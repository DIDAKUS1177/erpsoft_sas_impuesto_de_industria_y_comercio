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192.168.1.71\Impuestos\1. Especialista de Impuestos\Declaraciones Tributarias\ICA\HOJAS DE TRABAJO\2025\Exogenas\Centro\PAIPA\"/>
    </mc:Choice>
  </mc:AlternateContent>
  <xr:revisionPtr revIDLastSave="0" documentId="13_ncr:1_{250842D4-C7BA-4EA9-A1D8-642642140F44}" xr6:coauthVersionLast="47" xr6:coauthVersionMax="47" xr10:uidLastSave="{00000000-0000-0000-0000-000000000000}"/>
  <bookViews>
    <workbookView xWindow="-120" yWindow="-120" windowWidth="21840" windowHeight="13020" xr2:uid="{EC686654-E363-4498-953A-6C16F132865E}"/>
  </bookViews>
  <sheets>
    <sheet name="PFE4" sheetId="1" r:id="rId1"/>
    <sheet name="Actividades" sheetId="2" r:id="rId2"/>
    <sheet name="Municipios" sheetId="3" r:id="rId3"/>
  </sheets>
  <functionGroups builtInGroupCount="19"/>
  <externalReferences>
    <externalReference r:id="rId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055" i="1" l="1"/>
  <c r="E4055" i="1"/>
  <c r="F4054" i="1"/>
  <c r="E4054" i="1"/>
  <c r="F4053" i="1"/>
  <c r="E4053" i="1"/>
  <c r="F4051" i="1"/>
  <c r="E4051" i="1"/>
  <c r="F4050" i="1"/>
  <c r="E4050" i="1"/>
  <c r="F4049" i="1"/>
  <c r="E4049" i="1"/>
  <c r="F4048" i="1"/>
  <c r="E4048" i="1"/>
  <c r="F4047" i="1"/>
  <c r="E4047" i="1"/>
  <c r="F4046" i="1"/>
  <c r="E4046" i="1"/>
  <c r="F4045" i="1"/>
  <c r="E4045" i="1"/>
  <c r="F4044" i="1"/>
  <c r="E4044" i="1"/>
  <c r="F4043" i="1"/>
  <c r="E4043" i="1"/>
  <c r="F4042" i="1"/>
  <c r="E4042" i="1"/>
  <c r="F4041" i="1"/>
  <c r="E4041" i="1"/>
  <c r="F4040" i="1"/>
  <c r="E4040" i="1"/>
  <c r="F4039" i="1"/>
  <c r="E4039" i="1"/>
  <c r="F4038" i="1"/>
  <c r="E4038" i="1"/>
  <c r="F4036" i="1"/>
  <c r="E4036" i="1"/>
  <c r="F4035" i="1"/>
  <c r="E4035" i="1"/>
  <c r="F4034" i="1"/>
  <c r="E4034" i="1"/>
  <c r="F4033" i="1"/>
  <c r="E4033" i="1"/>
  <c r="F4030" i="1"/>
  <c r="E4030" i="1"/>
  <c r="F4027" i="1"/>
  <c r="E4027" i="1"/>
  <c r="F4025" i="1"/>
  <c r="E4025" i="1"/>
  <c r="F4024" i="1"/>
  <c r="E4024" i="1"/>
  <c r="F4022" i="1"/>
  <c r="E4022" i="1"/>
  <c r="F4020" i="1"/>
  <c r="E4020" i="1"/>
  <c r="F4019" i="1"/>
  <c r="E4019" i="1"/>
  <c r="F4017" i="1"/>
  <c r="E4017" i="1"/>
  <c r="F4016" i="1"/>
  <c r="E4016" i="1"/>
  <c r="F4015" i="1"/>
  <c r="E4015" i="1"/>
  <c r="F4014" i="1"/>
  <c r="E4014" i="1"/>
  <c r="F4013" i="1"/>
  <c r="E4013" i="1"/>
  <c r="F4012" i="1"/>
  <c r="E4012" i="1"/>
  <c r="F4011" i="1"/>
  <c r="E4011" i="1"/>
  <c r="F4010" i="1"/>
  <c r="E4010" i="1"/>
  <c r="F4009" i="1"/>
  <c r="E4009" i="1"/>
  <c r="F4008" i="1"/>
  <c r="E4008" i="1"/>
  <c r="F4007" i="1"/>
  <c r="E4007" i="1"/>
  <c r="F4006" i="1"/>
  <c r="E4006" i="1"/>
  <c r="F4005" i="1"/>
  <c r="E4005" i="1"/>
  <c r="F4004" i="1"/>
  <c r="E4004" i="1"/>
  <c r="F4003" i="1"/>
  <c r="E4003" i="1"/>
  <c r="F4002" i="1"/>
  <c r="E4002" i="1"/>
  <c r="F4001" i="1"/>
  <c r="E4001" i="1"/>
  <c r="F4000" i="1"/>
  <c r="E4000" i="1"/>
  <c r="F3997" i="1"/>
  <c r="E3997" i="1"/>
  <c r="F3995" i="1"/>
  <c r="E3995" i="1"/>
  <c r="F3994" i="1"/>
  <c r="E3994" i="1"/>
  <c r="F3992" i="1"/>
  <c r="E3992" i="1"/>
  <c r="F3990" i="1"/>
  <c r="E3990" i="1"/>
  <c r="F3989" i="1"/>
  <c r="E3989" i="1"/>
  <c r="F3988" i="1"/>
  <c r="E3988" i="1"/>
  <c r="F3987" i="1"/>
  <c r="E3987" i="1"/>
  <c r="F3983" i="1"/>
  <c r="E3983" i="1"/>
  <c r="F3982" i="1"/>
  <c r="E3982" i="1"/>
  <c r="F3980" i="1"/>
  <c r="E3980" i="1"/>
  <c r="F3978" i="1"/>
  <c r="E3978" i="1"/>
  <c r="F3977" i="1"/>
  <c r="E3977" i="1"/>
  <c r="F3975" i="1"/>
  <c r="E3975" i="1"/>
  <c r="F3974" i="1"/>
  <c r="E3974" i="1"/>
  <c r="F3973" i="1"/>
  <c r="E3973" i="1"/>
  <c r="F3972" i="1"/>
  <c r="E3972" i="1"/>
  <c r="F3970" i="1"/>
  <c r="E3970" i="1"/>
  <c r="F3968" i="1"/>
  <c r="E3968" i="1"/>
  <c r="F3967" i="1"/>
  <c r="E3967" i="1"/>
  <c r="F3966" i="1"/>
  <c r="E3966" i="1"/>
  <c r="F3963" i="1"/>
  <c r="E3963" i="1"/>
  <c r="F3961" i="1"/>
  <c r="E3961" i="1"/>
  <c r="F3959" i="1"/>
  <c r="E3959" i="1"/>
  <c r="F3958" i="1"/>
  <c r="E3958" i="1"/>
  <c r="F3956" i="1"/>
  <c r="E3956" i="1"/>
  <c r="F3955" i="1"/>
  <c r="E3955" i="1"/>
  <c r="F3954" i="1"/>
  <c r="E3954" i="1"/>
  <c r="F3953" i="1"/>
  <c r="E3953" i="1"/>
  <c r="F3950" i="1"/>
  <c r="E3950" i="1"/>
  <c r="F3948" i="1"/>
  <c r="E3948" i="1"/>
  <c r="F3947" i="1"/>
  <c r="E3947" i="1"/>
  <c r="F3946" i="1"/>
  <c r="E3946" i="1"/>
  <c r="F3945" i="1"/>
  <c r="E3945" i="1"/>
  <c r="F3944" i="1"/>
  <c r="E3944" i="1"/>
  <c r="F3943" i="1"/>
  <c r="E3943" i="1"/>
  <c r="F3942" i="1"/>
  <c r="E3942" i="1"/>
  <c r="F3941" i="1"/>
  <c r="E3941" i="1"/>
  <c r="F3940" i="1"/>
  <c r="E3940" i="1"/>
  <c r="F3938" i="1"/>
  <c r="E3938" i="1"/>
  <c r="F3937" i="1"/>
  <c r="E3937" i="1"/>
  <c r="F3935" i="1"/>
  <c r="E3935" i="1"/>
  <c r="F3934" i="1"/>
  <c r="E3934" i="1"/>
  <c r="F3933" i="1"/>
  <c r="E3933" i="1"/>
  <c r="F3932" i="1"/>
  <c r="E3932" i="1"/>
  <c r="F3931" i="1"/>
  <c r="E3931" i="1"/>
  <c r="F3929" i="1"/>
  <c r="E3929" i="1"/>
  <c r="F3928" i="1"/>
  <c r="E3928" i="1"/>
  <c r="F3927" i="1"/>
  <c r="E3927" i="1"/>
  <c r="F3926" i="1"/>
  <c r="E3926" i="1"/>
  <c r="F3925" i="1"/>
  <c r="E3925" i="1"/>
  <c r="F3923" i="1"/>
  <c r="E3923" i="1"/>
  <c r="F3922" i="1"/>
  <c r="E3922" i="1"/>
  <c r="F3921" i="1"/>
  <c r="E3921" i="1"/>
  <c r="F3920" i="1"/>
  <c r="E3920" i="1"/>
  <c r="F3919" i="1"/>
  <c r="E3919" i="1"/>
  <c r="F3918" i="1"/>
  <c r="E3918" i="1"/>
  <c r="F3917" i="1"/>
  <c r="E3917" i="1"/>
  <c r="F3916" i="1"/>
  <c r="E3916" i="1"/>
  <c r="F3915" i="1"/>
  <c r="E3915" i="1"/>
  <c r="F3913" i="1"/>
  <c r="E3913" i="1"/>
  <c r="F3911" i="1"/>
  <c r="E3911" i="1"/>
  <c r="F3909" i="1"/>
  <c r="E3909" i="1"/>
  <c r="F3908" i="1"/>
  <c r="E3908" i="1"/>
  <c r="F3907" i="1"/>
  <c r="E3907" i="1"/>
  <c r="F3906" i="1"/>
  <c r="E3906" i="1"/>
  <c r="F3905" i="1"/>
  <c r="E3905" i="1"/>
  <c r="F3902" i="1"/>
  <c r="E3902" i="1"/>
  <c r="F3901" i="1"/>
  <c r="E3901" i="1"/>
  <c r="F3900" i="1"/>
  <c r="E3900" i="1"/>
  <c r="F3899" i="1"/>
  <c r="E3899" i="1"/>
  <c r="F3898" i="1"/>
  <c r="E3898" i="1"/>
  <c r="F3897" i="1"/>
  <c r="E3897" i="1"/>
  <c r="F3895" i="1"/>
  <c r="E3895" i="1"/>
  <c r="F3891" i="1"/>
  <c r="E3891" i="1"/>
  <c r="F3889" i="1"/>
  <c r="E3889" i="1"/>
  <c r="F3888" i="1"/>
  <c r="E3888" i="1"/>
  <c r="F3886" i="1"/>
  <c r="E3886" i="1"/>
  <c r="F3885" i="1"/>
  <c r="E3885" i="1"/>
  <c r="F3884" i="1"/>
  <c r="E3884" i="1"/>
  <c r="F3883" i="1"/>
  <c r="E3883" i="1"/>
  <c r="F3881" i="1"/>
  <c r="E3881" i="1"/>
  <c r="F3877" i="1"/>
  <c r="E3877" i="1"/>
  <c r="F3876" i="1"/>
  <c r="E3876" i="1"/>
  <c r="F3875" i="1"/>
  <c r="E3875" i="1"/>
  <c r="F3874" i="1"/>
  <c r="E3874" i="1"/>
  <c r="F3872" i="1"/>
  <c r="E3872" i="1"/>
  <c r="F3871" i="1"/>
  <c r="E3871" i="1"/>
  <c r="F3870" i="1"/>
  <c r="E3870" i="1"/>
  <c r="F3869" i="1"/>
  <c r="E3869" i="1"/>
  <c r="F3868" i="1"/>
  <c r="E3868" i="1"/>
  <c r="F3866" i="1"/>
  <c r="E3866" i="1"/>
  <c r="F3865" i="1"/>
  <c r="E3865" i="1"/>
  <c r="F3863" i="1"/>
  <c r="E3863" i="1"/>
  <c r="F3862" i="1"/>
  <c r="E3862" i="1"/>
  <c r="F3860" i="1"/>
  <c r="E3860" i="1"/>
  <c r="F3859" i="1"/>
  <c r="E3859" i="1"/>
  <c r="F3858" i="1"/>
  <c r="E3858" i="1"/>
  <c r="F3857" i="1"/>
  <c r="E3857" i="1"/>
  <c r="F3856" i="1"/>
  <c r="E3856" i="1"/>
  <c r="F3855" i="1"/>
  <c r="E3855" i="1"/>
  <c r="F3853" i="1"/>
  <c r="E3853" i="1"/>
  <c r="F3852" i="1"/>
  <c r="E3852" i="1"/>
  <c r="F3851" i="1"/>
  <c r="E3851" i="1"/>
  <c r="F3850" i="1"/>
  <c r="E3850" i="1"/>
  <c r="F3848" i="1"/>
  <c r="E3848" i="1"/>
  <c r="F3847" i="1"/>
  <c r="E3847" i="1"/>
  <c r="F3846" i="1"/>
  <c r="E3846" i="1"/>
  <c r="F3843" i="1"/>
  <c r="E3843" i="1"/>
  <c r="F3842" i="1"/>
  <c r="E3842" i="1"/>
  <c r="F3841" i="1"/>
  <c r="E3841" i="1"/>
  <c r="F3840" i="1"/>
  <c r="E3840" i="1"/>
  <c r="F3839" i="1"/>
  <c r="E3839" i="1"/>
  <c r="F3838" i="1"/>
  <c r="E3838" i="1"/>
  <c r="F3837" i="1"/>
  <c r="E3837" i="1"/>
  <c r="F3835" i="1"/>
  <c r="E3835" i="1"/>
  <c r="F3833" i="1"/>
  <c r="E3833" i="1"/>
  <c r="F3832" i="1"/>
  <c r="E3832" i="1"/>
  <c r="F3829" i="1"/>
  <c r="E3829" i="1"/>
  <c r="F3828" i="1"/>
  <c r="E3828" i="1"/>
  <c r="F3827" i="1"/>
  <c r="E3827" i="1"/>
  <c r="F3826" i="1"/>
  <c r="E3826" i="1"/>
  <c r="F3823" i="1"/>
  <c r="E3823" i="1"/>
  <c r="F3822" i="1"/>
  <c r="E3822" i="1"/>
  <c r="F3820" i="1"/>
  <c r="E3820" i="1"/>
  <c r="F3819" i="1"/>
  <c r="E3819" i="1"/>
  <c r="F3816" i="1"/>
  <c r="E3816" i="1"/>
  <c r="F3815" i="1"/>
  <c r="E3815" i="1"/>
  <c r="F3814" i="1"/>
  <c r="E3814" i="1"/>
  <c r="F3813" i="1"/>
  <c r="E3813" i="1"/>
  <c r="F3812" i="1"/>
  <c r="E3812" i="1"/>
  <c r="F3810" i="1"/>
  <c r="E3810" i="1"/>
  <c r="F3807" i="1"/>
  <c r="E3807" i="1"/>
  <c r="F3806" i="1"/>
  <c r="E3806" i="1"/>
  <c r="F3804" i="1"/>
  <c r="E3804" i="1"/>
  <c r="F3803" i="1"/>
  <c r="E3803" i="1"/>
  <c r="F3802" i="1"/>
  <c r="E3802" i="1"/>
  <c r="F3801" i="1"/>
  <c r="E3801" i="1"/>
  <c r="F3800" i="1"/>
  <c r="E3800" i="1"/>
  <c r="F3799" i="1"/>
  <c r="E3799" i="1"/>
  <c r="F3798" i="1"/>
  <c r="E3798" i="1"/>
  <c r="F3797" i="1"/>
  <c r="E3797" i="1"/>
  <c r="F3788" i="1"/>
  <c r="E3788" i="1"/>
  <c r="F3787" i="1"/>
  <c r="E3787" i="1"/>
  <c r="F3786" i="1"/>
  <c r="E3786" i="1"/>
  <c r="F3785" i="1"/>
  <c r="E3785" i="1"/>
  <c r="F3783" i="1"/>
  <c r="E3783" i="1"/>
  <c r="F3782" i="1"/>
  <c r="E3782" i="1"/>
  <c r="F3781" i="1"/>
  <c r="E3781" i="1"/>
  <c r="F3780" i="1"/>
  <c r="E3780" i="1"/>
  <c r="F3779" i="1"/>
  <c r="E3779" i="1"/>
  <c r="F3778" i="1"/>
  <c r="E3778" i="1"/>
  <c r="F3777" i="1"/>
  <c r="E3777" i="1"/>
  <c r="F3776" i="1"/>
  <c r="E3776" i="1"/>
  <c r="F3774" i="1"/>
  <c r="E3774" i="1"/>
  <c r="F3771" i="1"/>
  <c r="E3771" i="1"/>
  <c r="F3770" i="1"/>
  <c r="E3770" i="1"/>
  <c r="F3769" i="1"/>
  <c r="E3769" i="1"/>
  <c r="F3768" i="1"/>
  <c r="E3768" i="1"/>
  <c r="F3767" i="1"/>
  <c r="E3767" i="1"/>
  <c r="F3765" i="1"/>
  <c r="E3765" i="1"/>
  <c r="F3764" i="1"/>
  <c r="E3764" i="1"/>
  <c r="F3760" i="1"/>
  <c r="E3760" i="1"/>
  <c r="F3759" i="1"/>
  <c r="E3759" i="1"/>
  <c r="F3756" i="1"/>
  <c r="E3756" i="1"/>
  <c r="F3754" i="1"/>
  <c r="E3754" i="1"/>
  <c r="F3753" i="1"/>
  <c r="E3753" i="1"/>
  <c r="F3752" i="1"/>
  <c r="E3752" i="1"/>
  <c r="F3751" i="1"/>
  <c r="E3751" i="1"/>
  <c r="F3750" i="1"/>
  <c r="E3750" i="1"/>
  <c r="F3749" i="1"/>
  <c r="E3749" i="1"/>
  <c r="F3748" i="1"/>
  <c r="E3748" i="1"/>
  <c r="F3747" i="1"/>
  <c r="E3747" i="1"/>
  <c r="F3746" i="1"/>
  <c r="E3746" i="1"/>
  <c r="F3745" i="1"/>
  <c r="E3745" i="1"/>
  <c r="F3742" i="1"/>
  <c r="E3742" i="1"/>
  <c r="F3741" i="1"/>
  <c r="E3741" i="1"/>
  <c r="F3740" i="1"/>
  <c r="E3740" i="1"/>
  <c r="F3738" i="1"/>
  <c r="E3738" i="1"/>
  <c r="F3737" i="1"/>
  <c r="E3737" i="1"/>
  <c r="F3735" i="1"/>
  <c r="E3735" i="1"/>
  <c r="F3734" i="1"/>
  <c r="E3734" i="1"/>
  <c r="F3732" i="1"/>
  <c r="E3732" i="1"/>
  <c r="F3731" i="1"/>
  <c r="E3731" i="1"/>
  <c r="F3729" i="1"/>
  <c r="E3729" i="1"/>
  <c r="F3727" i="1"/>
  <c r="E3727" i="1"/>
  <c r="F3726" i="1"/>
  <c r="E3726" i="1"/>
  <c r="F3725" i="1"/>
  <c r="E3725" i="1"/>
  <c r="F3724" i="1"/>
  <c r="E3724" i="1"/>
  <c r="F3723" i="1"/>
  <c r="E3723" i="1"/>
  <c r="F3721" i="1"/>
  <c r="E3721" i="1"/>
  <c r="F3720" i="1"/>
  <c r="E3720" i="1"/>
  <c r="F3719" i="1"/>
  <c r="E3719" i="1"/>
  <c r="F3718" i="1"/>
  <c r="E3718" i="1"/>
  <c r="F3717" i="1"/>
  <c r="E3717" i="1"/>
  <c r="F3716" i="1"/>
  <c r="E3716" i="1"/>
  <c r="F3715" i="1"/>
  <c r="E3715" i="1"/>
  <c r="F3714" i="1"/>
  <c r="E3714" i="1"/>
  <c r="F3712" i="1"/>
  <c r="E3712" i="1"/>
  <c r="F3711" i="1"/>
  <c r="E3711" i="1"/>
  <c r="F3709" i="1"/>
  <c r="E3709" i="1"/>
  <c r="F3707" i="1"/>
  <c r="E3707" i="1"/>
  <c r="F3706" i="1"/>
  <c r="E3706" i="1"/>
  <c r="F3705" i="1"/>
  <c r="E3705" i="1"/>
  <c r="F3704" i="1"/>
  <c r="E3704" i="1"/>
  <c r="F3702" i="1"/>
  <c r="E3702" i="1"/>
  <c r="F3701" i="1"/>
  <c r="E3701" i="1"/>
  <c r="F3700" i="1"/>
  <c r="E3700" i="1"/>
  <c r="F3699" i="1"/>
  <c r="E3699" i="1"/>
  <c r="F3697" i="1"/>
  <c r="E3697" i="1"/>
  <c r="F3695" i="1"/>
  <c r="E3695" i="1"/>
  <c r="F3694" i="1"/>
  <c r="E3694" i="1"/>
  <c r="F3693" i="1"/>
  <c r="E3693" i="1"/>
  <c r="F3688" i="1"/>
  <c r="E3688" i="1"/>
  <c r="F3687" i="1"/>
  <c r="E3687" i="1"/>
  <c r="F3685" i="1"/>
  <c r="E3685" i="1"/>
  <c r="F3683" i="1"/>
  <c r="E3683" i="1"/>
  <c r="F3682" i="1"/>
  <c r="E3682" i="1"/>
  <c r="F3681" i="1"/>
  <c r="E3681" i="1"/>
  <c r="F3680" i="1"/>
  <c r="E3680" i="1"/>
  <c r="F3678" i="1"/>
  <c r="E3678" i="1"/>
  <c r="F3677" i="1"/>
  <c r="E3677" i="1"/>
  <c r="F3674" i="1"/>
  <c r="E3674" i="1"/>
  <c r="F3673" i="1"/>
  <c r="E3673" i="1"/>
  <c r="F3672" i="1"/>
  <c r="E3672" i="1"/>
  <c r="F3671" i="1"/>
  <c r="E3671" i="1"/>
  <c r="F3670" i="1"/>
  <c r="E3670" i="1"/>
  <c r="F3669" i="1"/>
  <c r="E3669" i="1"/>
  <c r="F3668" i="1"/>
  <c r="E3668" i="1"/>
  <c r="F3667" i="1"/>
  <c r="E3667" i="1"/>
  <c r="F3666" i="1"/>
  <c r="E3666" i="1"/>
  <c r="F3663" i="1"/>
  <c r="E3663" i="1"/>
  <c r="F3662" i="1"/>
  <c r="E3662" i="1"/>
  <c r="F3661" i="1"/>
  <c r="E3661" i="1"/>
  <c r="F3660" i="1"/>
  <c r="E3660" i="1"/>
  <c r="F3659" i="1"/>
  <c r="E3659" i="1"/>
  <c r="F3658" i="1"/>
  <c r="E3658" i="1"/>
  <c r="F3657" i="1"/>
  <c r="E3657" i="1"/>
  <c r="F3656" i="1"/>
  <c r="E3656" i="1"/>
  <c r="F3655" i="1"/>
  <c r="E3655" i="1"/>
  <c r="F3654" i="1"/>
  <c r="E3654" i="1"/>
  <c r="F3653" i="1"/>
  <c r="E3653" i="1"/>
  <c r="F3652" i="1"/>
  <c r="E3652" i="1"/>
  <c r="F3650" i="1"/>
  <c r="E3650" i="1"/>
  <c r="F3649" i="1"/>
  <c r="E3649" i="1"/>
  <c r="F3648" i="1"/>
  <c r="E3648" i="1"/>
  <c r="F3647" i="1"/>
  <c r="E3647" i="1"/>
  <c r="F3646" i="1"/>
  <c r="E3646" i="1"/>
  <c r="F3645" i="1"/>
  <c r="E3645" i="1"/>
  <c r="F3644" i="1"/>
  <c r="E3644" i="1"/>
  <c r="F3643" i="1"/>
  <c r="E3643" i="1"/>
  <c r="F3642" i="1"/>
  <c r="E3642" i="1"/>
  <c r="F3641" i="1"/>
  <c r="E3641" i="1"/>
  <c r="F3640" i="1"/>
  <c r="E3640" i="1"/>
  <c r="F3639" i="1"/>
  <c r="E3639" i="1"/>
  <c r="F3638" i="1"/>
  <c r="E3638" i="1"/>
  <c r="F3637" i="1"/>
  <c r="E3637" i="1"/>
  <c r="F3636" i="1"/>
  <c r="E3636" i="1"/>
  <c r="F3635" i="1"/>
  <c r="E3635" i="1"/>
  <c r="F3634" i="1"/>
  <c r="E3634" i="1"/>
  <c r="F3633" i="1"/>
  <c r="E3633" i="1"/>
  <c r="F3631" i="1"/>
  <c r="E3631" i="1"/>
  <c r="F3630" i="1"/>
  <c r="E3630" i="1"/>
  <c r="F3629" i="1"/>
  <c r="E3629" i="1"/>
  <c r="F3628" i="1"/>
  <c r="E3628" i="1"/>
  <c r="F3627" i="1"/>
  <c r="E3627" i="1"/>
  <c r="F3626" i="1"/>
  <c r="E3626" i="1"/>
  <c r="F3625" i="1"/>
  <c r="E3625" i="1"/>
  <c r="F3623" i="1"/>
  <c r="E3623" i="1"/>
  <c r="F3622" i="1"/>
  <c r="E3622" i="1"/>
  <c r="F3621" i="1"/>
  <c r="E3621" i="1"/>
  <c r="F3620" i="1"/>
  <c r="E3620" i="1"/>
  <c r="F3619" i="1"/>
  <c r="E3619" i="1"/>
  <c r="F3618" i="1"/>
  <c r="E3618" i="1"/>
  <c r="F3617" i="1"/>
  <c r="E3617" i="1"/>
  <c r="F3616" i="1"/>
  <c r="E3616" i="1"/>
  <c r="F3615" i="1"/>
  <c r="E3615" i="1"/>
  <c r="F3614" i="1"/>
  <c r="E3614" i="1"/>
  <c r="F3613" i="1"/>
  <c r="E3613" i="1"/>
  <c r="F3612" i="1"/>
  <c r="E3612" i="1"/>
  <c r="F3611" i="1"/>
  <c r="E3611" i="1"/>
  <c r="F3610" i="1"/>
  <c r="E3610" i="1"/>
  <c r="F3609" i="1"/>
  <c r="E3609" i="1"/>
  <c r="F3608" i="1"/>
  <c r="E3608" i="1"/>
  <c r="F3607" i="1"/>
  <c r="E3607" i="1"/>
  <c r="F3606" i="1"/>
  <c r="E3606" i="1"/>
  <c r="F3605" i="1"/>
  <c r="E3605" i="1"/>
  <c r="F3604" i="1"/>
  <c r="E3604" i="1"/>
  <c r="F3603" i="1"/>
  <c r="E3603" i="1"/>
  <c r="F3602" i="1"/>
  <c r="E3602" i="1"/>
  <c r="F3601" i="1"/>
  <c r="E3601" i="1"/>
  <c r="F3599" i="1"/>
  <c r="E3599" i="1"/>
  <c r="F3598" i="1"/>
  <c r="E3598" i="1"/>
  <c r="F3597" i="1"/>
  <c r="E3597" i="1"/>
  <c r="F3596" i="1"/>
  <c r="E3596" i="1"/>
  <c r="F3595" i="1"/>
  <c r="E3595" i="1"/>
  <c r="F3594" i="1"/>
  <c r="E3594" i="1"/>
  <c r="F3593" i="1"/>
  <c r="E3593" i="1"/>
  <c r="F3592" i="1"/>
  <c r="E3592" i="1"/>
  <c r="F3591" i="1"/>
  <c r="E3591" i="1"/>
  <c r="F3590" i="1"/>
  <c r="E3590" i="1"/>
  <c r="F3589" i="1"/>
  <c r="E3589" i="1"/>
  <c r="F3588" i="1"/>
  <c r="E3588" i="1"/>
  <c r="F3586" i="1"/>
  <c r="E3586" i="1"/>
  <c r="F3585" i="1"/>
  <c r="E3585" i="1"/>
  <c r="F3584" i="1"/>
  <c r="E3584" i="1"/>
  <c r="F3582" i="1"/>
  <c r="E3582" i="1"/>
  <c r="F3581" i="1"/>
  <c r="E3581" i="1"/>
  <c r="F3580" i="1"/>
  <c r="E3580" i="1"/>
  <c r="F3579" i="1"/>
  <c r="E3579" i="1"/>
  <c r="F3578" i="1"/>
  <c r="E3578" i="1"/>
  <c r="F3577" i="1"/>
  <c r="E3577" i="1"/>
  <c r="F3576" i="1"/>
  <c r="E3576" i="1"/>
  <c r="F3575" i="1"/>
  <c r="E3575" i="1"/>
  <c r="F3574" i="1"/>
  <c r="E3574" i="1"/>
  <c r="F3573" i="1"/>
  <c r="E3573" i="1"/>
  <c r="F3572" i="1"/>
  <c r="E3572" i="1"/>
  <c r="F3571" i="1"/>
  <c r="E3571" i="1"/>
  <c r="F3570" i="1"/>
  <c r="E3570" i="1"/>
  <c r="F3569" i="1"/>
  <c r="E3569" i="1"/>
  <c r="F3568" i="1"/>
  <c r="E3568" i="1"/>
  <c r="F3567" i="1"/>
  <c r="E3567" i="1"/>
  <c r="F3566" i="1"/>
  <c r="E3566" i="1"/>
  <c r="F3565" i="1"/>
  <c r="E3565" i="1"/>
  <c r="F3564" i="1"/>
  <c r="E3564" i="1"/>
  <c r="F3563" i="1"/>
  <c r="E3563" i="1"/>
  <c r="F3562" i="1"/>
  <c r="E3562" i="1"/>
  <c r="F3561" i="1"/>
  <c r="E3561" i="1"/>
  <c r="F3560" i="1"/>
  <c r="E3560" i="1"/>
  <c r="F3559" i="1"/>
  <c r="E3559" i="1"/>
  <c r="F3558" i="1"/>
  <c r="E3558" i="1"/>
  <c r="F3557" i="1"/>
  <c r="E3557" i="1"/>
  <c r="F3556" i="1"/>
  <c r="E3556" i="1"/>
  <c r="F3555" i="1"/>
  <c r="E3555" i="1"/>
  <c r="F3554" i="1"/>
  <c r="E3554" i="1"/>
  <c r="F3553" i="1"/>
  <c r="E3553" i="1"/>
  <c r="F3552" i="1"/>
  <c r="E3552" i="1"/>
  <c r="F3551" i="1"/>
  <c r="E3551" i="1"/>
  <c r="F3550" i="1"/>
  <c r="E3550" i="1"/>
  <c r="F3549" i="1"/>
  <c r="E3549" i="1"/>
  <c r="F3548" i="1"/>
  <c r="E3548" i="1"/>
  <c r="F3547" i="1"/>
  <c r="E3547" i="1"/>
  <c r="F3546" i="1"/>
  <c r="E3546" i="1"/>
  <c r="F3545" i="1"/>
  <c r="E3545" i="1"/>
  <c r="F3544" i="1"/>
  <c r="E3544" i="1"/>
  <c r="F3543" i="1"/>
  <c r="E3543" i="1"/>
  <c r="F3542" i="1"/>
  <c r="E3542" i="1"/>
  <c r="F3541" i="1"/>
  <c r="E3541" i="1"/>
  <c r="F3540" i="1"/>
  <c r="E3540" i="1"/>
  <c r="F3539" i="1"/>
  <c r="E3539" i="1"/>
  <c r="F3538" i="1"/>
  <c r="E3538" i="1"/>
  <c r="F3537" i="1"/>
  <c r="E3537" i="1"/>
  <c r="F3536" i="1"/>
  <c r="E3536" i="1"/>
  <c r="F3535" i="1"/>
  <c r="E3535" i="1"/>
  <c r="F3534" i="1"/>
  <c r="E3534" i="1"/>
  <c r="F3533" i="1"/>
  <c r="E3533" i="1"/>
  <c r="F3532" i="1"/>
  <c r="E3532" i="1"/>
  <c r="F3531" i="1"/>
  <c r="E3531" i="1"/>
  <c r="F3530" i="1"/>
  <c r="E3530" i="1"/>
  <c r="F3529" i="1"/>
  <c r="E3529" i="1"/>
  <c r="F3528" i="1"/>
  <c r="E3528" i="1"/>
  <c r="F3527" i="1"/>
  <c r="E3527" i="1"/>
  <c r="F3526" i="1"/>
  <c r="E3526" i="1"/>
  <c r="F3525" i="1"/>
  <c r="E3525" i="1"/>
  <c r="F3524" i="1"/>
  <c r="E3524" i="1"/>
  <c r="F3523" i="1"/>
  <c r="E3523" i="1"/>
  <c r="F3522" i="1"/>
  <c r="E3522" i="1"/>
  <c r="F3521" i="1"/>
  <c r="E3521" i="1"/>
  <c r="F3520" i="1"/>
  <c r="E3520" i="1"/>
  <c r="F3519" i="1"/>
  <c r="E3519" i="1"/>
  <c r="F3518" i="1"/>
  <c r="E3518" i="1"/>
  <c r="F3517" i="1"/>
  <c r="E3517" i="1"/>
  <c r="F3515" i="1"/>
  <c r="E3515" i="1"/>
  <c r="F3514" i="1"/>
  <c r="E3514" i="1"/>
  <c r="F3513" i="1"/>
  <c r="E3513" i="1"/>
  <c r="F3512" i="1"/>
  <c r="E3512" i="1"/>
  <c r="F3511" i="1"/>
  <c r="E3511" i="1"/>
  <c r="F3510" i="1"/>
  <c r="E3510" i="1"/>
  <c r="F3509" i="1"/>
  <c r="E3509" i="1"/>
  <c r="F3508" i="1"/>
  <c r="E3508" i="1"/>
  <c r="F3507" i="1"/>
  <c r="E3507" i="1"/>
  <c r="F3506" i="1"/>
  <c r="E3506" i="1"/>
  <c r="F3505" i="1"/>
  <c r="E3505" i="1"/>
  <c r="F3504" i="1"/>
  <c r="E3504" i="1"/>
  <c r="F3503" i="1"/>
  <c r="E3503" i="1"/>
  <c r="F3502" i="1"/>
  <c r="E3502" i="1"/>
  <c r="F3501" i="1"/>
  <c r="E3501" i="1"/>
  <c r="F3500" i="1"/>
  <c r="E3500" i="1"/>
  <c r="F3499" i="1"/>
  <c r="E3499" i="1"/>
  <c r="F3498" i="1"/>
  <c r="E3498" i="1"/>
  <c r="F3497" i="1"/>
  <c r="E3497" i="1"/>
  <c r="F3496" i="1"/>
  <c r="E3496" i="1"/>
  <c r="F3495" i="1"/>
  <c r="E3495" i="1"/>
  <c r="F3494" i="1"/>
  <c r="E3494" i="1"/>
  <c r="F3493" i="1"/>
  <c r="E3493" i="1"/>
  <c r="F3492" i="1"/>
  <c r="E3492" i="1"/>
  <c r="F3491" i="1"/>
  <c r="E3491" i="1"/>
  <c r="F3490" i="1"/>
  <c r="E3490" i="1"/>
  <c r="F3488" i="1"/>
  <c r="E3488" i="1"/>
  <c r="F3487" i="1"/>
  <c r="E3487" i="1"/>
  <c r="F3486" i="1"/>
  <c r="E3486" i="1"/>
  <c r="F3485" i="1"/>
  <c r="E3485" i="1"/>
  <c r="F3484" i="1"/>
  <c r="E3484" i="1"/>
  <c r="F3483" i="1"/>
  <c r="E3483" i="1"/>
  <c r="F3482" i="1"/>
  <c r="E3482" i="1"/>
  <c r="F3481" i="1"/>
  <c r="E3481" i="1"/>
  <c r="F3480" i="1"/>
  <c r="E3480" i="1"/>
  <c r="F3479" i="1"/>
  <c r="E3479" i="1"/>
  <c r="F3478" i="1"/>
  <c r="E3478" i="1"/>
  <c r="F3477" i="1"/>
  <c r="E3477" i="1"/>
  <c r="F3476" i="1"/>
  <c r="E3476" i="1"/>
  <c r="F3475" i="1"/>
  <c r="E3475" i="1"/>
  <c r="F3474" i="1"/>
  <c r="E3474" i="1"/>
  <c r="F3473" i="1"/>
  <c r="E3473" i="1"/>
  <c r="F3472" i="1"/>
  <c r="E3472" i="1"/>
  <c r="F3471" i="1"/>
  <c r="E3471" i="1"/>
  <c r="F3470" i="1"/>
  <c r="E3470" i="1"/>
  <c r="F3469" i="1"/>
  <c r="E3469" i="1"/>
  <c r="F3468" i="1"/>
  <c r="E3468" i="1"/>
  <c r="F3467" i="1"/>
  <c r="E3467" i="1"/>
  <c r="F3466" i="1"/>
  <c r="E3466" i="1"/>
  <c r="F3465" i="1"/>
  <c r="E3465" i="1"/>
  <c r="F3464" i="1"/>
  <c r="E3464" i="1"/>
  <c r="F3463" i="1"/>
  <c r="E3463" i="1"/>
  <c r="F3462" i="1"/>
  <c r="E3462" i="1"/>
  <c r="F3461" i="1"/>
  <c r="E3461" i="1"/>
  <c r="F3460" i="1"/>
  <c r="E3460" i="1"/>
  <c r="F3459" i="1"/>
  <c r="E3459" i="1"/>
  <c r="F3458" i="1"/>
  <c r="E3458" i="1"/>
  <c r="F3457" i="1"/>
  <c r="E3457" i="1"/>
  <c r="F3456" i="1"/>
  <c r="E3456" i="1"/>
  <c r="F3455" i="1"/>
  <c r="E3455" i="1"/>
  <c r="F3454" i="1"/>
  <c r="E3454" i="1"/>
  <c r="F3452" i="1"/>
  <c r="E3452" i="1"/>
  <c r="F3451" i="1"/>
  <c r="E3451" i="1"/>
  <c r="F3450" i="1"/>
  <c r="E3450" i="1"/>
  <c r="F3449" i="1"/>
  <c r="E3449" i="1"/>
  <c r="F3448" i="1"/>
  <c r="E3448" i="1"/>
  <c r="F3447" i="1"/>
  <c r="E3447" i="1"/>
  <c r="F3446" i="1"/>
  <c r="E3446" i="1"/>
  <c r="F3445" i="1"/>
  <c r="E3445" i="1"/>
  <c r="F3444" i="1"/>
  <c r="E3444" i="1"/>
  <c r="F3443" i="1"/>
  <c r="E3443" i="1"/>
  <c r="F3442" i="1"/>
  <c r="E3442" i="1"/>
  <c r="F3441" i="1"/>
  <c r="E3441" i="1"/>
  <c r="F3440" i="1"/>
  <c r="E3440" i="1"/>
  <c r="F3439" i="1"/>
  <c r="E3439" i="1"/>
  <c r="F3438" i="1"/>
  <c r="E3438" i="1"/>
  <c r="F3437" i="1"/>
  <c r="E3437" i="1"/>
  <c r="F3436" i="1"/>
  <c r="E3436" i="1"/>
  <c r="F3435" i="1"/>
  <c r="E3435" i="1"/>
  <c r="F3434" i="1"/>
  <c r="E3434" i="1"/>
  <c r="F3433" i="1"/>
  <c r="E3433" i="1"/>
  <c r="F3432" i="1"/>
  <c r="E3432" i="1"/>
  <c r="F3431" i="1"/>
  <c r="E3431" i="1"/>
  <c r="F3430" i="1"/>
  <c r="E3430" i="1"/>
  <c r="F3429" i="1"/>
  <c r="E3429" i="1"/>
  <c r="F3428" i="1"/>
  <c r="E3428" i="1"/>
  <c r="F3427" i="1"/>
  <c r="E3427" i="1"/>
  <c r="F3426" i="1"/>
  <c r="E3426" i="1"/>
  <c r="F3425" i="1"/>
  <c r="E3425" i="1"/>
  <c r="F3424" i="1"/>
  <c r="E3424" i="1"/>
  <c r="F3423" i="1"/>
  <c r="E3423" i="1"/>
  <c r="F3422" i="1"/>
  <c r="E3422" i="1"/>
  <c r="F3421" i="1"/>
  <c r="E3421" i="1"/>
  <c r="F3420" i="1"/>
  <c r="E3420" i="1"/>
  <c r="F3419" i="1"/>
  <c r="E3419" i="1"/>
  <c r="F3418" i="1"/>
  <c r="E3418" i="1"/>
  <c r="F3417" i="1"/>
  <c r="E3417" i="1"/>
  <c r="F3416" i="1"/>
  <c r="E3416" i="1"/>
  <c r="F3415" i="1"/>
  <c r="E3415" i="1"/>
  <c r="F3414" i="1"/>
  <c r="E3414" i="1"/>
  <c r="F3413" i="1"/>
  <c r="E3413" i="1"/>
  <c r="F3412" i="1"/>
  <c r="E3412" i="1"/>
  <c r="F3411" i="1"/>
  <c r="E3411" i="1"/>
  <c r="F3410" i="1"/>
  <c r="E3410" i="1"/>
  <c r="F3409" i="1"/>
  <c r="E3409" i="1"/>
  <c r="F3408" i="1"/>
  <c r="E3408" i="1"/>
  <c r="F3407" i="1"/>
  <c r="E3407" i="1"/>
  <c r="F3406" i="1"/>
  <c r="E3406" i="1"/>
  <c r="F3405" i="1"/>
  <c r="E3405" i="1"/>
  <c r="F3404" i="1"/>
  <c r="E3404" i="1"/>
  <c r="F3403" i="1"/>
  <c r="E3403" i="1"/>
  <c r="F3402" i="1"/>
  <c r="E3402" i="1"/>
  <c r="F3401" i="1"/>
  <c r="E3401" i="1"/>
  <c r="F3400" i="1"/>
  <c r="E3400" i="1"/>
  <c r="F3399" i="1"/>
  <c r="E3399" i="1"/>
  <c r="F3398" i="1"/>
  <c r="E3398" i="1"/>
  <c r="F3397" i="1"/>
  <c r="E3397" i="1"/>
  <c r="F3396" i="1"/>
  <c r="E3396" i="1"/>
  <c r="F3395" i="1"/>
  <c r="E3395" i="1"/>
  <c r="F3394" i="1"/>
  <c r="E3394" i="1"/>
  <c r="F3393" i="1"/>
  <c r="E3393" i="1"/>
  <c r="F3392" i="1"/>
  <c r="E3392" i="1"/>
  <c r="F3391" i="1"/>
  <c r="E3391" i="1"/>
  <c r="F3390" i="1"/>
  <c r="E3390" i="1"/>
  <c r="F3389" i="1"/>
  <c r="E3389" i="1"/>
  <c r="F3388" i="1"/>
  <c r="E3388" i="1"/>
  <c r="F3387" i="1"/>
  <c r="E3387" i="1"/>
  <c r="F3386" i="1"/>
  <c r="E3386" i="1"/>
  <c r="F3385" i="1"/>
  <c r="E3385" i="1"/>
  <c r="F3384" i="1"/>
  <c r="E3384" i="1"/>
  <c r="F3383" i="1"/>
  <c r="E3383" i="1"/>
  <c r="F3382" i="1"/>
  <c r="E3382" i="1"/>
  <c r="F3381" i="1"/>
  <c r="E3381" i="1"/>
  <c r="F3380" i="1"/>
  <c r="E3380" i="1"/>
  <c r="F3379" i="1"/>
  <c r="E3379" i="1"/>
  <c r="F3378" i="1"/>
  <c r="E3378" i="1"/>
  <c r="F3377" i="1"/>
  <c r="E3377" i="1"/>
  <c r="F3376" i="1"/>
  <c r="E3376" i="1"/>
  <c r="F3375" i="1"/>
  <c r="E3375" i="1"/>
  <c r="F3374" i="1"/>
  <c r="E3374" i="1"/>
  <c r="F3373" i="1"/>
  <c r="E3373" i="1"/>
  <c r="F3372" i="1"/>
  <c r="E3372" i="1"/>
  <c r="F3371" i="1"/>
  <c r="E3371" i="1"/>
  <c r="F3370" i="1"/>
  <c r="E3370" i="1"/>
  <c r="F3369" i="1"/>
  <c r="E3369" i="1"/>
  <c r="F3368" i="1"/>
  <c r="E3368" i="1"/>
  <c r="F3367" i="1"/>
  <c r="E3367" i="1"/>
  <c r="F3366" i="1"/>
  <c r="E3366" i="1"/>
  <c r="F3365" i="1"/>
  <c r="E3365" i="1"/>
  <c r="F3364" i="1"/>
  <c r="E3364" i="1"/>
  <c r="F3363" i="1"/>
  <c r="E3363" i="1"/>
  <c r="F3362" i="1"/>
  <c r="E3362" i="1"/>
  <c r="F3361" i="1"/>
  <c r="E3361" i="1"/>
  <c r="F3359" i="1"/>
  <c r="E3359" i="1"/>
  <c r="F3358" i="1"/>
  <c r="E3358" i="1"/>
  <c r="F3357" i="1"/>
  <c r="E3357" i="1"/>
  <c r="F3356" i="1"/>
  <c r="E3356" i="1"/>
  <c r="F3355" i="1"/>
  <c r="E3355" i="1"/>
  <c r="F3354" i="1"/>
  <c r="E3354" i="1"/>
  <c r="F3353" i="1"/>
  <c r="E3353" i="1"/>
  <c r="F3352" i="1"/>
  <c r="E3352" i="1"/>
  <c r="F3351" i="1"/>
  <c r="E3351" i="1"/>
  <c r="F3350" i="1"/>
  <c r="E3350" i="1"/>
  <c r="F3349" i="1"/>
  <c r="E3349" i="1"/>
  <c r="F3347" i="1"/>
  <c r="E3347" i="1"/>
  <c r="F3346" i="1"/>
  <c r="E3346" i="1"/>
  <c r="F3345" i="1"/>
  <c r="E3345" i="1"/>
  <c r="F3344" i="1"/>
  <c r="E3344" i="1"/>
  <c r="F3343" i="1"/>
  <c r="E3343" i="1"/>
  <c r="F3342" i="1"/>
  <c r="E3342" i="1"/>
  <c r="F3341" i="1"/>
  <c r="E3341" i="1"/>
  <c r="F3340" i="1"/>
  <c r="E3340" i="1"/>
  <c r="F3339" i="1"/>
  <c r="E3339" i="1"/>
  <c r="F3338" i="1"/>
  <c r="E3338" i="1"/>
  <c r="F3337" i="1"/>
  <c r="E3337" i="1"/>
  <c r="F3336" i="1"/>
  <c r="E3336" i="1"/>
  <c r="F3335" i="1"/>
  <c r="E3335" i="1"/>
  <c r="F3334" i="1"/>
  <c r="E3334" i="1"/>
  <c r="F3333" i="1"/>
  <c r="E3333" i="1"/>
  <c r="F3332" i="1"/>
  <c r="E3332" i="1"/>
  <c r="F3331" i="1"/>
  <c r="E3331" i="1"/>
  <c r="F3330" i="1"/>
  <c r="E3330" i="1"/>
  <c r="F3329" i="1"/>
  <c r="E3329" i="1"/>
  <c r="F3328" i="1"/>
  <c r="E3328" i="1"/>
  <c r="F3327" i="1"/>
  <c r="E3327" i="1"/>
  <c r="F3326" i="1"/>
  <c r="E3326" i="1"/>
  <c r="F3325" i="1"/>
  <c r="E3325" i="1"/>
  <c r="F3324" i="1"/>
  <c r="E3324" i="1"/>
  <c r="F3322" i="1"/>
  <c r="E3322" i="1"/>
  <c r="F3321" i="1"/>
  <c r="E3321" i="1"/>
  <c r="F3320" i="1"/>
  <c r="E3320" i="1"/>
  <c r="F3319" i="1"/>
  <c r="E3319" i="1"/>
  <c r="F3318" i="1"/>
  <c r="E3318" i="1"/>
  <c r="F3317" i="1"/>
  <c r="E3317" i="1"/>
  <c r="F3316" i="1"/>
  <c r="E3316" i="1"/>
  <c r="F3315" i="1"/>
  <c r="E3315" i="1"/>
  <c r="F3314" i="1"/>
  <c r="E3314" i="1"/>
  <c r="F3313" i="1"/>
  <c r="E3313" i="1"/>
  <c r="F3312" i="1"/>
  <c r="E3312" i="1"/>
  <c r="F3311" i="1"/>
  <c r="E3311" i="1"/>
  <c r="F3310" i="1"/>
  <c r="E3310" i="1"/>
  <c r="F3309" i="1"/>
  <c r="E3309" i="1"/>
  <c r="F3308" i="1"/>
  <c r="E3308" i="1"/>
  <c r="F3307" i="1"/>
  <c r="E3307" i="1"/>
  <c r="F3306" i="1"/>
  <c r="E3306" i="1"/>
  <c r="F3303" i="1"/>
  <c r="E3303" i="1"/>
  <c r="F3302" i="1"/>
  <c r="E3302" i="1"/>
  <c r="F3301" i="1"/>
  <c r="E3301" i="1"/>
  <c r="F3299" i="1"/>
  <c r="E3299" i="1"/>
  <c r="F3298" i="1"/>
  <c r="E3298" i="1"/>
  <c r="F3297" i="1"/>
  <c r="E3297" i="1"/>
  <c r="F3296" i="1"/>
  <c r="E3296" i="1"/>
  <c r="F3295" i="1"/>
  <c r="E3295" i="1"/>
  <c r="F3294" i="1"/>
  <c r="E3294" i="1"/>
  <c r="F3293" i="1"/>
  <c r="E3293" i="1"/>
  <c r="F3292" i="1"/>
  <c r="E3292" i="1"/>
  <c r="F3291" i="1"/>
  <c r="E3291" i="1"/>
  <c r="F3290" i="1"/>
  <c r="E3290" i="1"/>
  <c r="F3288" i="1"/>
  <c r="E3288" i="1"/>
  <c r="F3287" i="1"/>
  <c r="E3287" i="1"/>
  <c r="F3286" i="1"/>
  <c r="E3286" i="1"/>
  <c r="F3285" i="1"/>
  <c r="E3285" i="1"/>
  <c r="F3284" i="1"/>
  <c r="E3284" i="1"/>
  <c r="F3283" i="1"/>
  <c r="E3283" i="1"/>
  <c r="F3282" i="1"/>
  <c r="E3282" i="1"/>
  <c r="F3281" i="1"/>
  <c r="E3281" i="1"/>
  <c r="F3280" i="1"/>
  <c r="E3280" i="1"/>
  <c r="F3279" i="1"/>
  <c r="E3279" i="1"/>
  <c r="F3278" i="1"/>
  <c r="E3278" i="1"/>
  <c r="F3277" i="1"/>
  <c r="E3277" i="1"/>
  <c r="F3276" i="1"/>
  <c r="E3276" i="1"/>
  <c r="F3275" i="1"/>
  <c r="E3275" i="1"/>
  <c r="F3274" i="1"/>
  <c r="E3274" i="1"/>
  <c r="F3273" i="1"/>
  <c r="E3273" i="1"/>
  <c r="F3272" i="1"/>
  <c r="E3272" i="1"/>
  <c r="F3271" i="1"/>
  <c r="E3271" i="1"/>
  <c r="F3270" i="1"/>
  <c r="E3270" i="1"/>
  <c r="F3269" i="1"/>
  <c r="E3269" i="1"/>
  <c r="F3268" i="1"/>
  <c r="E3268" i="1"/>
  <c r="F3267" i="1"/>
  <c r="E3267" i="1"/>
  <c r="F3266" i="1"/>
  <c r="E3266" i="1"/>
  <c r="F3265" i="1"/>
  <c r="E3265" i="1"/>
  <c r="F3264" i="1"/>
  <c r="E3264" i="1"/>
  <c r="F3263" i="1"/>
  <c r="E3263" i="1"/>
  <c r="F3262" i="1"/>
  <c r="E3262" i="1"/>
  <c r="F3261" i="1"/>
  <c r="E3261" i="1"/>
  <c r="F3260" i="1"/>
  <c r="E3260" i="1"/>
  <c r="F3259" i="1"/>
  <c r="E3259" i="1"/>
  <c r="F3258" i="1"/>
  <c r="E3258" i="1"/>
  <c r="F3257" i="1"/>
  <c r="E3257" i="1"/>
  <c r="F3256" i="1"/>
  <c r="E3256" i="1"/>
  <c r="F3255" i="1"/>
  <c r="E3255" i="1"/>
  <c r="F3254" i="1"/>
  <c r="E3254" i="1"/>
  <c r="F3253" i="1"/>
  <c r="E3253" i="1"/>
  <c r="F3252" i="1"/>
  <c r="E3252" i="1"/>
  <c r="F3251" i="1"/>
  <c r="E3251" i="1"/>
  <c r="F3250" i="1"/>
  <c r="E3250" i="1"/>
  <c r="F3249" i="1"/>
  <c r="E3249" i="1"/>
  <c r="F3248" i="1"/>
  <c r="E3248" i="1"/>
  <c r="F3247" i="1"/>
  <c r="E3247" i="1"/>
  <c r="F3246" i="1"/>
  <c r="E3246" i="1"/>
  <c r="F3245" i="1"/>
  <c r="E3245" i="1"/>
  <c r="F3244" i="1"/>
  <c r="E3244" i="1"/>
  <c r="F3243" i="1"/>
  <c r="E3243" i="1"/>
  <c r="F3242" i="1"/>
  <c r="E3242" i="1"/>
  <c r="F3241" i="1"/>
  <c r="E3241" i="1"/>
  <c r="F3240" i="1"/>
  <c r="E3240" i="1"/>
  <c r="F3239" i="1"/>
  <c r="E3239" i="1"/>
  <c r="F3238" i="1"/>
  <c r="E3238" i="1"/>
  <c r="F3237" i="1"/>
  <c r="E3237" i="1"/>
  <c r="F3236" i="1"/>
  <c r="E3236" i="1"/>
  <c r="F3235" i="1"/>
  <c r="E3235" i="1"/>
  <c r="F3234" i="1"/>
  <c r="E3234" i="1"/>
  <c r="F3233" i="1"/>
  <c r="E3233" i="1"/>
  <c r="F3232" i="1"/>
  <c r="E3232" i="1"/>
  <c r="F3231" i="1"/>
  <c r="E3231" i="1"/>
  <c r="F3230" i="1"/>
  <c r="E3230" i="1"/>
  <c r="F3229" i="1"/>
  <c r="E3229" i="1"/>
  <c r="F3228" i="1"/>
  <c r="E3228" i="1"/>
  <c r="F3227" i="1"/>
  <c r="E3227" i="1"/>
  <c r="F3226" i="1"/>
  <c r="E3226" i="1"/>
  <c r="F3225" i="1"/>
  <c r="E3225" i="1"/>
  <c r="F3224" i="1"/>
  <c r="E3224" i="1"/>
  <c r="F3223" i="1"/>
  <c r="E3223" i="1"/>
  <c r="F3222" i="1"/>
  <c r="E3222" i="1"/>
  <c r="F3221" i="1"/>
  <c r="E3221" i="1"/>
  <c r="F3220" i="1"/>
  <c r="E3220" i="1"/>
  <c r="F3219" i="1"/>
  <c r="E3219" i="1"/>
  <c r="F3218" i="1"/>
  <c r="E3218" i="1"/>
  <c r="F3217" i="1"/>
  <c r="E3217" i="1"/>
  <c r="F3216" i="1"/>
  <c r="E3216" i="1"/>
  <c r="F3215" i="1"/>
  <c r="E3215" i="1"/>
  <c r="F3214" i="1"/>
  <c r="E3214" i="1"/>
  <c r="F3213" i="1"/>
  <c r="E3213" i="1"/>
  <c r="F3212" i="1"/>
  <c r="E3212" i="1"/>
  <c r="F3211" i="1"/>
  <c r="E3211" i="1"/>
  <c r="F3210" i="1"/>
  <c r="E3210" i="1"/>
  <c r="F3209" i="1"/>
  <c r="E3209" i="1"/>
  <c r="F3208" i="1"/>
  <c r="E3208" i="1"/>
  <c r="F3206" i="1"/>
  <c r="E3206" i="1"/>
  <c r="F3205" i="1"/>
  <c r="E3205" i="1"/>
  <c r="F3204" i="1"/>
  <c r="E3204" i="1"/>
  <c r="F3203" i="1"/>
  <c r="E3203" i="1"/>
  <c r="F3202" i="1"/>
  <c r="E3202" i="1"/>
  <c r="F3201" i="1"/>
  <c r="E3201" i="1"/>
  <c r="F3200" i="1"/>
  <c r="E3200" i="1"/>
  <c r="F3199" i="1"/>
  <c r="E3199" i="1"/>
  <c r="F3198" i="1"/>
  <c r="E3198" i="1"/>
  <c r="F3197" i="1"/>
  <c r="E3197" i="1"/>
  <c r="F3196" i="1"/>
  <c r="E3196" i="1"/>
  <c r="F3195" i="1"/>
  <c r="E3195" i="1"/>
  <c r="F3194" i="1"/>
  <c r="E3194" i="1"/>
  <c r="F3193" i="1"/>
  <c r="E3193" i="1"/>
  <c r="F3192" i="1"/>
  <c r="E3192" i="1"/>
  <c r="F3191" i="1"/>
  <c r="E3191" i="1"/>
  <c r="F3190" i="1"/>
  <c r="E3190" i="1"/>
  <c r="F3189" i="1"/>
  <c r="E3189" i="1"/>
  <c r="F3188" i="1"/>
  <c r="E3188" i="1"/>
  <c r="F3187" i="1"/>
  <c r="E3187" i="1"/>
  <c r="F3186" i="1"/>
  <c r="E3186" i="1"/>
  <c r="F3185" i="1"/>
  <c r="E3185" i="1"/>
  <c r="F3184" i="1"/>
  <c r="E3184" i="1"/>
  <c r="F3182" i="1"/>
  <c r="E3182" i="1"/>
  <c r="F3181" i="1"/>
  <c r="E3181" i="1"/>
  <c r="F3180" i="1"/>
  <c r="E3180" i="1"/>
  <c r="F3179" i="1"/>
  <c r="E3179" i="1"/>
  <c r="F3178" i="1"/>
  <c r="E3178" i="1"/>
  <c r="F3177" i="1"/>
  <c r="E3177" i="1"/>
  <c r="F3176" i="1"/>
  <c r="E3176" i="1"/>
  <c r="F3175" i="1"/>
  <c r="E3175" i="1"/>
  <c r="F3174" i="1"/>
  <c r="E3174" i="1"/>
  <c r="F3173" i="1"/>
  <c r="E3173" i="1"/>
  <c r="F3172" i="1"/>
  <c r="E3172" i="1"/>
  <c r="F3171" i="1"/>
  <c r="E3171" i="1"/>
  <c r="F3170" i="1"/>
  <c r="E3170" i="1"/>
  <c r="F3169" i="1"/>
  <c r="E3169" i="1"/>
  <c r="F3168" i="1"/>
  <c r="E3168" i="1"/>
  <c r="F3167" i="1"/>
  <c r="E3167" i="1"/>
  <c r="F3166" i="1"/>
  <c r="E3166" i="1"/>
  <c r="F3165" i="1"/>
  <c r="E3165" i="1"/>
  <c r="F3164" i="1"/>
  <c r="E3164" i="1"/>
  <c r="F3163" i="1"/>
  <c r="E3163" i="1"/>
  <c r="F3162" i="1"/>
  <c r="E3162" i="1"/>
  <c r="F3161" i="1"/>
  <c r="E3161" i="1"/>
  <c r="F3160" i="1"/>
  <c r="E3160" i="1"/>
  <c r="F3159" i="1"/>
  <c r="E3159" i="1"/>
  <c r="F3158" i="1"/>
  <c r="E3158" i="1"/>
  <c r="F3157" i="1"/>
  <c r="E3157" i="1"/>
  <c r="F3156" i="1"/>
  <c r="E3156" i="1"/>
  <c r="F3155" i="1"/>
  <c r="E3155" i="1"/>
  <c r="F3154" i="1"/>
  <c r="E3154" i="1"/>
  <c r="F3153" i="1"/>
  <c r="E3153" i="1"/>
  <c r="F3152" i="1"/>
  <c r="E3152" i="1"/>
  <c r="F3151" i="1"/>
  <c r="E3151" i="1"/>
  <c r="F3150" i="1"/>
  <c r="E3150" i="1"/>
  <c r="F3149" i="1"/>
  <c r="E3149" i="1"/>
  <c r="F3148" i="1"/>
  <c r="E3148" i="1"/>
  <c r="F3147" i="1"/>
  <c r="E3147" i="1"/>
  <c r="F3146" i="1"/>
  <c r="E3146" i="1"/>
  <c r="F3145" i="1"/>
  <c r="E3145" i="1"/>
  <c r="F3144" i="1"/>
  <c r="E3144" i="1"/>
  <c r="F3143" i="1"/>
  <c r="E3143" i="1"/>
  <c r="F3142" i="1"/>
  <c r="E3142" i="1"/>
  <c r="F3141" i="1"/>
  <c r="E3141" i="1"/>
  <c r="F3140" i="1"/>
  <c r="E3140" i="1"/>
  <c r="F3139" i="1"/>
  <c r="E3139" i="1"/>
  <c r="F3138" i="1"/>
  <c r="E3138" i="1"/>
  <c r="F3137" i="1"/>
  <c r="E3137" i="1"/>
  <c r="F3136" i="1"/>
  <c r="E3136" i="1"/>
  <c r="F3135" i="1"/>
  <c r="E3135" i="1"/>
  <c r="F3134" i="1"/>
  <c r="E3134" i="1"/>
  <c r="F3133" i="1"/>
  <c r="E3133" i="1"/>
  <c r="F3132" i="1"/>
  <c r="E3132" i="1"/>
  <c r="F3131" i="1"/>
  <c r="E3131" i="1"/>
  <c r="F3130" i="1"/>
  <c r="E3130" i="1"/>
  <c r="F3129" i="1"/>
  <c r="E3129" i="1"/>
  <c r="F3128" i="1"/>
  <c r="E3128" i="1"/>
  <c r="F3127" i="1"/>
  <c r="E3127" i="1"/>
  <c r="F3126" i="1"/>
  <c r="E3126" i="1"/>
  <c r="F3125" i="1"/>
  <c r="E3125" i="1"/>
  <c r="F3124" i="1"/>
  <c r="E3124" i="1"/>
  <c r="F3123" i="1"/>
  <c r="E3123" i="1"/>
  <c r="F3122" i="1"/>
  <c r="E3122" i="1"/>
  <c r="F3121" i="1"/>
  <c r="E3121" i="1"/>
  <c r="F3120" i="1"/>
  <c r="E3120" i="1"/>
  <c r="F3119" i="1"/>
  <c r="E3119" i="1"/>
  <c r="F3118" i="1"/>
  <c r="E3118" i="1"/>
  <c r="F3117" i="1"/>
  <c r="E3117" i="1"/>
  <c r="F3116" i="1"/>
  <c r="E3116" i="1"/>
  <c r="F3115" i="1"/>
  <c r="E3115" i="1"/>
  <c r="F3114" i="1"/>
  <c r="E3114" i="1"/>
  <c r="F3113" i="1"/>
  <c r="E3113" i="1"/>
  <c r="F3112" i="1"/>
  <c r="E3112" i="1"/>
  <c r="F3111" i="1"/>
  <c r="E3111" i="1"/>
  <c r="F3110" i="1"/>
  <c r="E3110" i="1"/>
  <c r="F3109" i="1"/>
  <c r="E3109" i="1"/>
  <c r="F3108" i="1"/>
  <c r="E3108" i="1"/>
  <c r="F3107" i="1"/>
  <c r="E3107" i="1"/>
  <c r="F3106" i="1"/>
  <c r="E3106" i="1"/>
  <c r="F3105" i="1"/>
  <c r="E3105" i="1"/>
  <c r="F3104" i="1"/>
  <c r="E3104" i="1"/>
  <c r="F3103" i="1"/>
  <c r="E3103" i="1"/>
  <c r="F3102" i="1"/>
  <c r="E3102" i="1"/>
  <c r="F3101" i="1"/>
  <c r="E3101" i="1"/>
  <c r="F3100" i="1"/>
  <c r="E3100" i="1"/>
  <c r="F3099" i="1"/>
  <c r="E3099" i="1"/>
  <c r="F3098" i="1"/>
  <c r="E3098" i="1"/>
  <c r="F3097" i="1"/>
  <c r="E3097" i="1"/>
  <c r="F3096" i="1"/>
  <c r="E3096" i="1"/>
  <c r="F3095" i="1"/>
  <c r="E3095" i="1"/>
  <c r="F3094" i="1"/>
  <c r="E3094" i="1"/>
  <c r="F3093" i="1"/>
  <c r="E3093" i="1"/>
  <c r="F3092" i="1"/>
  <c r="E3092" i="1"/>
  <c r="F3091" i="1"/>
  <c r="E3091" i="1"/>
  <c r="F3090" i="1"/>
  <c r="E3090" i="1"/>
  <c r="F3089" i="1"/>
  <c r="E3089" i="1"/>
  <c r="F3088" i="1"/>
  <c r="E3088" i="1"/>
  <c r="F3087" i="1"/>
  <c r="E3087" i="1"/>
  <c r="F3086" i="1"/>
  <c r="E3086" i="1"/>
  <c r="F3085" i="1"/>
  <c r="E3085" i="1"/>
  <c r="F3084" i="1"/>
  <c r="E3084" i="1"/>
  <c r="F3083" i="1"/>
  <c r="E3083" i="1"/>
  <c r="F3082" i="1"/>
  <c r="E3082" i="1"/>
  <c r="F3081" i="1"/>
  <c r="E3081" i="1"/>
  <c r="F3080" i="1"/>
  <c r="E3080" i="1"/>
  <c r="F3079" i="1"/>
  <c r="E3079" i="1"/>
  <c r="F3078" i="1"/>
  <c r="E3078" i="1"/>
  <c r="F3077" i="1"/>
  <c r="E3077" i="1"/>
  <c r="F3076" i="1"/>
  <c r="E3076" i="1"/>
  <c r="F3075" i="1"/>
  <c r="E3075" i="1"/>
  <c r="F3074" i="1"/>
  <c r="E3074" i="1"/>
  <c r="F3073" i="1"/>
  <c r="E3073" i="1"/>
  <c r="F3072" i="1"/>
  <c r="E3072" i="1"/>
  <c r="F3071" i="1"/>
  <c r="E3071" i="1"/>
  <c r="F3070" i="1"/>
  <c r="E3070" i="1"/>
  <c r="F3069" i="1"/>
  <c r="E3069" i="1"/>
  <c r="F3068" i="1"/>
  <c r="E3068" i="1"/>
  <c r="F3067" i="1"/>
  <c r="E3067" i="1"/>
  <c r="F3066" i="1"/>
  <c r="E3066" i="1"/>
  <c r="F3065" i="1"/>
  <c r="E3065" i="1"/>
  <c r="F3064" i="1"/>
  <c r="E3064" i="1"/>
  <c r="F3063" i="1"/>
  <c r="E3063" i="1"/>
  <c r="F3062" i="1"/>
  <c r="E3062" i="1"/>
  <c r="F3061" i="1"/>
  <c r="E3061" i="1"/>
  <c r="F3060" i="1"/>
  <c r="E3060" i="1"/>
  <c r="F3059" i="1"/>
  <c r="E3059" i="1"/>
  <c r="F3058" i="1"/>
  <c r="E3058" i="1"/>
  <c r="F3057" i="1"/>
  <c r="E3057" i="1"/>
  <c r="F3055" i="1"/>
  <c r="E3055" i="1"/>
  <c r="F3054" i="1"/>
  <c r="E3054" i="1"/>
  <c r="F3053" i="1"/>
  <c r="E3053" i="1"/>
  <c r="F3052" i="1"/>
  <c r="E3052" i="1"/>
  <c r="F3051" i="1"/>
  <c r="E3051" i="1"/>
  <c r="F3050" i="1"/>
  <c r="E3050" i="1"/>
  <c r="F3049" i="1"/>
  <c r="E3049" i="1"/>
  <c r="F3048" i="1"/>
  <c r="E3048" i="1"/>
  <c r="F3047" i="1"/>
  <c r="E3047" i="1"/>
  <c r="F3046" i="1"/>
  <c r="E3046" i="1"/>
  <c r="F3045" i="1"/>
  <c r="E3045" i="1"/>
  <c r="F3044" i="1"/>
  <c r="E3044" i="1"/>
  <c r="F3043" i="1"/>
  <c r="E3043" i="1"/>
  <c r="F3042" i="1"/>
  <c r="E3042" i="1"/>
  <c r="F3041" i="1"/>
  <c r="E3041" i="1"/>
  <c r="F3040" i="1"/>
  <c r="E3040" i="1"/>
  <c r="F3039" i="1"/>
  <c r="E3039" i="1"/>
  <c r="F3038" i="1"/>
  <c r="E3038" i="1"/>
  <c r="F3037" i="1"/>
  <c r="E3037" i="1"/>
  <c r="F3036" i="1"/>
  <c r="E3036" i="1"/>
  <c r="F3035" i="1"/>
  <c r="E3035" i="1"/>
  <c r="F3034" i="1"/>
  <c r="E3034" i="1"/>
  <c r="F3033" i="1"/>
  <c r="E3033" i="1"/>
  <c r="F3032" i="1"/>
  <c r="E3032" i="1"/>
  <c r="F3031" i="1"/>
  <c r="E3031" i="1"/>
  <c r="F3030" i="1"/>
  <c r="E3030" i="1"/>
  <c r="F3029" i="1"/>
  <c r="E3029" i="1"/>
  <c r="F3028" i="1"/>
  <c r="E3028" i="1"/>
  <c r="F3027" i="1"/>
  <c r="E3027" i="1"/>
  <c r="F3026" i="1"/>
  <c r="E3026" i="1"/>
  <c r="F3025" i="1"/>
  <c r="E3025" i="1"/>
  <c r="F3024" i="1"/>
  <c r="E3024" i="1"/>
  <c r="F3023" i="1"/>
  <c r="E3023" i="1"/>
  <c r="F3022" i="1"/>
  <c r="E3022" i="1"/>
  <c r="F3021" i="1"/>
  <c r="E3021" i="1"/>
  <c r="F3020" i="1"/>
  <c r="E3020" i="1"/>
  <c r="F3019" i="1"/>
  <c r="E3019" i="1"/>
  <c r="F3018" i="1"/>
  <c r="E3018" i="1"/>
  <c r="F3017" i="1"/>
  <c r="E3017" i="1"/>
  <c r="F3016" i="1"/>
  <c r="E3016" i="1"/>
  <c r="F3015" i="1"/>
  <c r="E3015" i="1"/>
  <c r="F3014" i="1"/>
  <c r="E3014" i="1"/>
  <c r="F3013" i="1"/>
  <c r="E3013" i="1"/>
  <c r="F3012" i="1"/>
  <c r="E3012" i="1"/>
  <c r="F3010" i="1"/>
  <c r="E3010" i="1"/>
  <c r="F3009" i="1"/>
  <c r="E3009" i="1"/>
  <c r="F3008" i="1"/>
  <c r="E3008" i="1"/>
  <c r="F3006" i="1"/>
  <c r="E3006" i="1"/>
  <c r="F3005" i="1"/>
  <c r="E3005" i="1"/>
  <c r="F3004" i="1"/>
  <c r="E3004" i="1"/>
  <c r="F3003" i="1"/>
  <c r="E3003" i="1"/>
  <c r="F3002" i="1"/>
  <c r="E3002" i="1"/>
  <c r="F3001" i="1"/>
  <c r="E3001" i="1"/>
  <c r="F3000" i="1"/>
  <c r="E3000" i="1"/>
  <c r="F2999" i="1"/>
  <c r="E2999" i="1"/>
  <c r="F2998" i="1"/>
  <c r="E2998" i="1"/>
  <c r="F2997" i="1"/>
  <c r="E2997" i="1"/>
  <c r="F2996" i="1"/>
  <c r="E2996" i="1"/>
  <c r="F2995" i="1"/>
  <c r="E2995" i="1"/>
  <c r="F2994" i="1"/>
  <c r="E2994" i="1"/>
  <c r="F2993" i="1"/>
  <c r="E2993" i="1"/>
  <c r="F2992" i="1"/>
  <c r="E2992" i="1"/>
  <c r="F2991" i="1"/>
  <c r="E2991" i="1"/>
  <c r="F2990" i="1"/>
  <c r="E2990" i="1"/>
  <c r="F2989" i="1"/>
  <c r="E2989" i="1"/>
  <c r="F2988" i="1"/>
  <c r="E2988" i="1"/>
  <c r="F2987" i="1"/>
  <c r="E2987" i="1"/>
  <c r="F2986" i="1"/>
  <c r="E2986" i="1"/>
  <c r="F2985" i="1"/>
  <c r="E2985" i="1"/>
  <c r="F2984" i="1"/>
  <c r="E2984" i="1"/>
  <c r="F2983" i="1"/>
  <c r="E2983" i="1"/>
  <c r="F2982" i="1"/>
  <c r="E2982" i="1"/>
  <c r="F2981" i="1"/>
  <c r="E2981" i="1"/>
  <c r="F2980" i="1"/>
  <c r="E2980" i="1"/>
  <c r="F2979" i="1"/>
  <c r="E2979" i="1"/>
  <c r="F2977" i="1"/>
  <c r="E2977" i="1"/>
  <c r="F2976" i="1"/>
  <c r="E2976" i="1"/>
  <c r="F2975" i="1"/>
  <c r="E2975" i="1"/>
  <c r="F2974" i="1"/>
  <c r="E2974" i="1"/>
  <c r="F2973" i="1"/>
  <c r="E2973" i="1"/>
  <c r="F2972" i="1"/>
  <c r="E2972" i="1"/>
  <c r="F2971" i="1"/>
  <c r="E2971" i="1"/>
  <c r="F2970" i="1"/>
  <c r="E2970" i="1"/>
  <c r="F2969" i="1"/>
  <c r="E2969" i="1"/>
  <c r="F2967" i="1"/>
  <c r="E2967" i="1"/>
  <c r="F2966" i="1"/>
  <c r="E2966" i="1"/>
  <c r="F2965" i="1"/>
  <c r="E2965" i="1"/>
  <c r="F2963" i="1"/>
  <c r="E2963" i="1"/>
  <c r="F2962" i="1"/>
  <c r="E2962" i="1"/>
  <c r="F2961" i="1"/>
  <c r="E2961" i="1"/>
  <c r="F2960" i="1"/>
  <c r="E2960" i="1"/>
  <c r="F2959" i="1"/>
  <c r="E2959" i="1"/>
  <c r="F2957" i="1"/>
  <c r="E2957" i="1"/>
  <c r="F2956" i="1"/>
  <c r="E2956" i="1"/>
  <c r="F2955" i="1"/>
  <c r="E2955" i="1"/>
  <c r="F2954" i="1"/>
  <c r="E2954" i="1"/>
  <c r="F2953" i="1"/>
  <c r="E2953" i="1"/>
  <c r="F2952" i="1"/>
  <c r="E2952" i="1"/>
  <c r="F2951" i="1"/>
  <c r="E2951" i="1"/>
  <c r="F2950" i="1"/>
  <c r="E2950" i="1"/>
  <c r="F2949" i="1"/>
  <c r="E2949" i="1"/>
  <c r="F2948" i="1"/>
  <c r="E2948" i="1"/>
  <c r="F2946" i="1"/>
  <c r="E2946" i="1"/>
  <c r="F2945" i="1"/>
  <c r="E2945" i="1"/>
  <c r="F2944" i="1"/>
  <c r="E2944" i="1"/>
  <c r="F2943" i="1"/>
  <c r="E2943" i="1"/>
  <c r="F2942" i="1"/>
  <c r="E2942" i="1"/>
  <c r="F2941" i="1"/>
  <c r="E2941" i="1"/>
  <c r="F2940" i="1"/>
  <c r="E2940" i="1"/>
  <c r="F2939" i="1"/>
  <c r="E2939" i="1"/>
  <c r="F2938" i="1"/>
  <c r="E2938" i="1"/>
  <c r="F2937" i="1"/>
  <c r="E2937" i="1"/>
  <c r="F2936" i="1"/>
  <c r="E2936" i="1"/>
  <c r="F2935" i="1"/>
  <c r="E2935" i="1"/>
  <c r="F2934" i="1"/>
  <c r="E2934" i="1"/>
  <c r="F2933" i="1"/>
  <c r="E2933" i="1"/>
  <c r="F2932" i="1"/>
  <c r="E2932" i="1"/>
  <c r="F2931" i="1"/>
  <c r="E2931" i="1"/>
  <c r="F2930" i="1"/>
  <c r="E2930" i="1"/>
  <c r="F2929" i="1"/>
  <c r="E2929" i="1"/>
  <c r="F2928" i="1"/>
  <c r="E2928" i="1"/>
  <c r="F2927" i="1"/>
  <c r="E2927" i="1"/>
  <c r="F2926" i="1"/>
  <c r="E2926" i="1"/>
  <c r="F2925" i="1"/>
  <c r="E2925" i="1"/>
  <c r="F2924" i="1"/>
  <c r="E2924" i="1"/>
  <c r="F2921" i="1"/>
  <c r="E2921" i="1"/>
  <c r="F2920" i="1"/>
  <c r="E2920" i="1"/>
  <c r="F2919" i="1"/>
  <c r="E2919" i="1"/>
  <c r="F2918" i="1"/>
  <c r="E2918" i="1"/>
  <c r="F2917" i="1"/>
  <c r="E2917" i="1"/>
  <c r="F2916" i="1"/>
  <c r="E2916" i="1"/>
  <c r="F2915" i="1"/>
  <c r="E2915" i="1"/>
  <c r="F2914" i="1"/>
  <c r="E2914" i="1"/>
  <c r="F2913" i="1"/>
  <c r="E2913" i="1"/>
  <c r="F2912" i="1"/>
  <c r="E2912" i="1"/>
  <c r="F2911" i="1"/>
  <c r="E2911" i="1"/>
  <c r="F2910" i="1"/>
  <c r="E2910" i="1"/>
  <c r="F2909" i="1"/>
  <c r="E2909" i="1"/>
  <c r="F2908" i="1"/>
  <c r="E2908" i="1"/>
  <c r="F2907" i="1"/>
  <c r="E2907" i="1"/>
  <c r="F2906" i="1"/>
  <c r="E2906" i="1"/>
  <c r="F2905" i="1"/>
  <c r="E2905" i="1"/>
  <c r="F2903" i="1"/>
  <c r="E2903" i="1"/>
  <c r="F2902" i="1"/>
  <c r="E2902" i="1"/>
  <c r="F2901" i="1"/>
  <c r="E2901" i="1"/>
  <c r="F2900" i="1"/>
  <c r="E2900" i="1"/>
  <c r="F2899" i="1"/>
  <c r="E2899" i="1"/>
  <c r="F2898" i="1"/>
  <c r="E2898" i="1"/>
  <c r="F2897" i="1"/>
  <c r="E2897" i="1"/>
  <c r="F2896" i="1"/>
  <c r="E2896" i="1"/>
  <c r="F2895" i="1"/>
  <c r="E2895" i="1"/>
  <c r="F2894" i="1"/>
  <c r="E2894" i="1"/>
  <c r="F2893" i="1"/>
  <c r="E2893" i="1"/>
  <c r="F2892" i="1"/>
  <c r="E2892" i="1"/>
  <c r="F2891" i="1"/>
  <c r="E2891" i="1"/>
  <c r="F2890" i="1"/>
  <c r="E2890" i="1"/>
  <c r="F2889" i="1"/>
  <c r="E2889" i="1"/>
  <c r="F2888" i="1"/>
  <c r="E2888" i="1"/>
  <c r="F2887" i="1"/>
  <c r="E2887" i="1"/>
  <c r="F2886" i="1"/>
  <c r="E2886" i="1"/>
  <c r="F2885" i="1"/>
  <c r="E2885" i="1"/>
  <c r="F2884" i="1"/>
  <c r="E2884" i="1"/>
  <c r="F2883" i="1"/>
  <c r="E2883" i="1"/>
  <c r="F2882" i="1"/>
  <c r="E2882" i="1"/>
  <c r="F2881" i="1"/>
  <c r="E2881" i="1"/>
  <c r="F2880" i="1"/>
  <c r="E2880" i="1"/>
  <c r="F2879" i="1"/>
  <c r="E2879" i="1"/>
  <c r="F2878" i="1"/>
  <c r="E2878" i="1"/>
  <c r="F2877" i="1"/>
  <c r="E2877" i="1"/>
  <c r="F2876" i="1"/>
  <c r="E2876" i="1"/>
  <c r="F2875" i="1"/>
  <c r="E2875" i="1"/>
  <c r="F2874" i="1"/>
  <c r="E2874" i="1"/>
  <c r="F2873" i="1"/>
  <c r="E2873" i="1"/>
  <c r="F2872" i="1"/>
  <c r="E2872" i="1"/>
  <c r="F2871" i="1"/>
  <c r="E2871" i="1"/>
  <c r="F2870" i="1"/>
  <c r="E2870" i="1"/>
  <c r="F2869" i="1"/>
  <c r="E2869" i="1"/>
  <c r="F2868" i="1"/>
  <c r="E2868" i="1"/>
  <c r="F2867" i="1"/>
  <c r="E2867" i="1"/>
  <c r="F2866" i="1"/>
  <c r="E2866" i="1"/>
  <c r="F2865" i="1"/>
  <c r="E2865" i="1"/>
  <c r="F2864" i="1"/>
  <c r="E2864" i="1"/>
  <c r="F2863" i="1"/>
  <c r="E2863" i="1"/>
  <c r="F2862" i="1"/>
  <c r="E2862" i="1"/>
  <c r="F2861" i="1"/>
  <c r="E2861" i="1"/>
  <c r="F2860" i="1"/>
  <c r="E2860" i="1"/>
  <c r="F2859" i="1"/>
  <c r="E2859" i="1"/>
  <c r="F2858" i="1"/>
  <c r="E2858" i="1"/>
  <c r="F2857" i="1"/>
  <c r="E2857" i="1"/>
  <c r="F2856" i="1"/>
  <c r="E2856" i="1"/>
  <c r="F2855" i="1"/>
  <c r="E2855" i="1"/>
  <c r="F2854" i="1"/>
  <c r="E2854" i="1"/>
  <c r="F2853" i="1"/>
  <c r="E2853" i="1"/>
  <c r="F2852" i="1"/>
  <c r="E2852" i="1"/>
  <c r="F2851" i="1"/>
  <c r="E2851" i="1"/>
  <c r="F2850" i="1"/>
  <c r="E2850" i="1"/>
  <c r="F2849" i="1"/>
  <c r="E2849" i="1"/>
  <c r="F2848" i="1"/>
  <c r="E2848" i="1"/>
  <c r="F2847" i="1"/>
  <c r="E2847" i="1"/>
  <c r="F2846" i="1"/>
  <c r="E2846" i="1"/>
  <c r="F2845" i="1"/>
  <c r="E2845" i="1"/>
  <c r="F2844" i="1"/>
  <c r="E2844" i="1"/>
  <c r="F2843" i="1"/>
  <c r="E2843" i="1"/>
  <c r="F2842" i="1"/>
  <c r="E2842" i="1"/>
  <c r="F2841" i="1"/>
  <c r="E2841" i="1"/>
  <c r="F2840" i="1"/>
  <c r="E2840" i="1"/>
  <c r="F2839" i="1"/>
  <c r="E2839" i="1"/>
  <c r="F2838" i="1"/>
  <c r="E2838" i="1"/>
  <c r="F2837" i="1"/>
  <c r="E2837" i="1"/>
  <c r="F2836" i="1"/>
  <c r="E2836" i="1"/>
  <c r="F2835" i="1"/>
  <c r="E2835" i="1"/>
  <c r="F2834" i="1"/>
  <c r="E2834" i="1"/>
  <c r="F2833" i="1"/>
  <c r="E2833" i="1"/>
  <c r="F2832" i="1"/>
  <c r="E2832" i="1"/>
  <c r="F2831" i="1"/>
  <c r="E2831" i="1"/>
  <c r="F2830" i="1"/>
  <c r="E2830" i="1"/>
  <c r="F2829" i="1"/>
  <c r="E2829" i="1"/>
  <c r="F2828" i="1"/>
  <c r="E2828" i="1"/>
  <c r="F2827" i="1"/>
  <c r="E2827" i="1"/>
  <c r="F2826" i="1"/>
  <c r="E2826" i="1"/>
  <c r="F2825" i="1"/>
  <c r="E2825" i="1"/>
  <c r="F2824" i="1"/>
  <c r="E2824" i="1"/>
  <c r="F2823" i="1"/>
  <c r="E2823" i="1"/>
  <c r="F2822" i="1"/>
  <c r="E2822" i="1"/>
  <c r="F2820" i="1"/>
  <c r="E2820" i="1"/>
  <c r="F2819" i="1"/>
  <c r="E2819" i="1"/>
  <c r="F2818" i="1"/>
  <c r="E2818" i="1"/>
  <c r="F2817" i="1"/>
  <c r="E2817" i="1"/>
  <c r="F2816" i="1"/>
  <c r="E2816" i="1"/>
  <c r="F2815" i="1"/>
  <c r="E2815" i="1"/>
  <c r="F2814" i="1"/>
  <c r="E2814" i="1"/>
  <c r="F2813" i="1"/>
  <c r="E2813" i="1"/>
  <c r="F2812" i="1"/>
  <c r="E2812" i="1"/>
  <c r="F2811" i="1"/>
  <c r="E2811" i="1"/>
  <c r="F2810" i="1"/>
  <c r="E2810" i="1"/>
  <c r="F2809" i="1"/>
  <c r="E2809" i="1"/>
  <c r="F2808" i="1"/>
  <c r="E2808" i="1"/>
  <c r="F2807" i="1"/>
  <c r="E2807" i="1"/>
  <c r="F2806" i="1"/>
  <c r="E2806" i="1"/>
  <c r="F2805" i="1"/>
  <c r="E2805" i="1"/>
  <c r="F2804" i="1"/>
  <c r="E2804" i="1"/>
  <c r="F2803" i="1"/>
  <c r="E2803" i="1"/>
  <c r="F2802" i="1"/>
  <c r="E2802" i="1"/>
  <c r="F2801" i="1"/>
  <c r="E2801" i="1"/>
  <c r="F2800" i="1"/>
  <c r="E2800" i="1"/>
  <c r="F2799" i="1"/>
  <c r="E2799" i="1"/>
  <c r="F2798" i="1"/>
  <c r="E2798" i="1"/>
  <c r="F2797" i="1"/>
  <c r="E2797" i="1"/>
  <c r="F2796" i="1"/>
  <c r="E2796" i="1"/>
  <c r="F2795" i="1"/>
  <c r="E2795" i="1"/>
  <c r="F2794" i="1"/>
  <c r="E2794" i="1"/>
  <c r="F2793" i="1"/>
  <c r="E2793" i="1"/>
  <c r="F2792" i="1"/>
  <c r="E2792" i="1"/>
  <c r="F2791" i="1"/>
  <c r="E2791" i="1"/>
  <c r="F2790" i="1"/>
  <c r="E2790" i="1"/>
  <c r="F2789" i="1"/>
  <c r="E2789" i="1"/>
  <c r="F2788" i="1"/>
  <c r="E2788" i="1"/>
  <c r="F2787" i="1"/>
  <c r="E2787" i="1"/>
  <c r="F2786" i="1"/>
  <c r="E2786" i="1"/>
  <c r="F2785" i="1"/>
  <c r="E2785" i="1"/>
  <c r="F2784" i="1"/>
  <c r="E2784" i="1"/>
  <c r="F2783" i="1"/>
  <c r="E2783" i="1"/>
  <c r="F2782" i="1"/>
  <c r="E2782" i="1"/>
  <c r="F2780" i="1"/>
  <c r="E2780" i="1"/>
  <c r="F2779" i="1"/>
  <c r="E2779" i="1"/>
  <c r="F2778" i="1"/>
  <c r="E2778" i="1"/>
  <c r="F2777" i="1"/>
  <c r="E2777" i="1"/>
  <c r="F2776" i="1"/>
  <c r="E2776" i="1"/>
  <c r="F2775" i="1"/>
  <c r="E2775" i="1"/>
  <c r="F2774" i="1"/>
  <c r="E2774" i="1"/>
  <c r="F2773" i="1"/>
  <c r="E2773" i="1"/>
  <c r="F2772" i="1"/>
  <c r="E2772" i="1"/>
  <c r="F2771" i="1"/>
  <c r="E2771" i="1"/>
  <c r="F2770" i="1"/>
  <c r="E2770" i="1"/>
  <c r="F2769" i="1"/>
  <c r="E2769" i="1"/>
  <c r="F2768" i="1"/>
  <c r="E2768" i="1"/>
  <c r="F2767" i="1"/>
  <c r="E2767" i="1"/>
  <c r="F2766" i="1"/>
  <c r="E2766" i="1"/>
  <c r="F2765" i="1"/>
  <c r="E2765" i="1"/>
  <c r="F2764" i="1"/>
  <c r="E2764" i="1"/>
  <c r="F2763" i="1"/>
  <c r="E2763" i="1"/>
  <c r="F2762" i="1"/>
  <c r="E2762" i="1"/>
  <c r="F2760" i="1"/>
  <c r="E2760" i="1"/>
  <c r="F2759" i="1"/>
  <c r="E2759" i="1"/>
  <c r="F2758" i="1"/>
  <c r="E2758" i="1"/>
  <c r="F2757" i="1"/>
  <c r="E2757" i="1"/>
  <c r="F2756" i="1"/>
  <c r="E2756" i="1"/>
  <c r="F2755" i="1"/>
  <c r="E2755" i="1"/>
  <c r="F2754" i="1"/>
  <c r="E2754" i="1"/>
  <c r="F2753" i="1"/>
  <c r="E2753" i="1"/>
  <c r="F2752" i="1"/>
  <c r="E2752" i="1"/>
  <c r="F2751" i="1"/>
  <c r="E2751" i="1"/>
  <c r="F2750" i="1"/>
  <c r="E2750" i="1"/>
  <c r="F2749" i="1"/>
  <c r="E2749" i="1"/>
  <c r="F2748" i="1"/>
  <c r="E2748" i="1"/>
  <c r="F2747" i="1"/>
  <c r="E2747" i="1"/>
  <c r="F2746" i="1"/>
  <c r="E2746" i="1"/>
  <c r="F2745" i="1"/>
  <c r="E2745" i="1"/>
  <c r="F2744" i="1"/>
  <c r="E2744" i="1"/>
  <c r="F2743" i="1"/>
  <c r="E2743" i="1"/>
  <c r="F2742" i="1"/>
  <c r="E2742" i="1"/>
  <c r="F2741" i="1"/>
  <c r="E2741" i="1"/>
  <c r="F2740" i="1"/>
  <c r="E2740" i="1"/>
  <c r="F2739" i="1"/>
  <c r="E2739" i="1"/>
  <c r="F2738" i="1"/>
  <c r="E2738" i="1"/>
  <c r="F2737" i="1"/>
  <c r="E2737" i="1"/>
  <c r="F2736" i="1"/>
  <c r="E2736" i="1"/>
  <c r="F2734" i="1"/>
  <c r="E2734" i="1"/>
  <c r="F2733" i="1"/>
  <c r="E2733" i="1"/>
  <c r="F2732" i="1"/>
  <c r="E2732" i="1"/>
  <c r="F2731" i="1"/>
  <c r="E2731" i="1"/>
  <c r="F2730" i="1"/>
  <c r="E2730" i="1"/>
  <c r="F2729" i="1"/>
  <c r="E2729" i="1"/>
  <c r="F2728" i="1"/>
  <c r="E2728" i="1"/>
  <c r="F2726" i="1"/>
  <c r="E2726" i="1"/>
  <c r="F2725" i="1"/>
  <c r="E2725" i="1"/>
  <c r="F2724" i="1"/>
  <c r="E2724" i="1"/>
  <c r="F2723" i="1"/>
  <c r="E2723" i="1"/>
  <c r="F2722" i="1"/>
  <c r="E2722" i="1"/>
  <c r="F2721" i="1"/>
  <c r="E2721" i="1"/>
  <c r="F2719" i="1"/>
  <c r="E2719" i="1"/>
  <c r="F2718" i="1"/>
  <c r="E2718" i="1"/>
  <c r="F2717" i="1"/>
  <c r="E2717" i="1"/>
  <c r="F2716" i="1"/>
  <c r="E2716" i="1"/>
  <c r="F2715" i="1"/>
  <c r="E2715" i="1"/>
  <c r="F2714" i="1"/>
  <c r="E2714" i="1"/>
  <c r="F2713" i="1"/>
  <c r="E2713" i="1"/>
  <c r="F2712" i="1"/>
  <c r="E2712" i="1"/>
  <c r="F2711" i="1"/>
  <c r="E2711" i="1"/>
  <c r="F2710" i="1"/>
  <c r="E2710" i="1"/>
  <c r="F2709" i="1"/>
  <c r="E2709" i="1"/>
  <c r="F2708" i="1"/>
  <c r="E2708" i="1"/>
  <c r="F2707" i="1"/>
  <c r="E2707" i="1"/>
  <c r="F2706" i="1"/>
  <c r="E2706" i="1"/>
  <c r="F2705" i="1"/>
  <c r="E2705" i="1"/>
  <c r="F2704" i="1"/>
  <c r="E2704" i="1"/>
  <c r="F2703" i="1"/>
  <c r="E2703" i="1"/>
  <c r="F2702" i="1"/>
  <c r="E2702" i="1"/>
  <c r="F2701" i="1"/>
  <c r="E2701" i="1"/>
  <c r="F2700" i="1"/>
  <c r="E2700" i="1"/>
  <c r="F2699" i="1"/>
  <c r="E2699" i="1"/>
  <c r="F2698" i="1"/>
  <c r="E2698" i="1"/>
  <c r="F2697" i="1"/>
  <c r="E2697" i="1"/>
  <c r="F2696" i="1"/>
  <c r="E2696" i="1"/>
  <c r="F2694" i="1"/>
  <c r="E2694" i="1"/>
  <c r="F2693" i="1"/>
  <c r="E2693" i="1"/>
  <c r="F2692" i="1"/>
  <c r="E2692" i="1"/>
  <c r="F2691" i="1"/>
  <c r="E2691" i="1"/>
  <c r="F2690" i="1"/>
  <c r="E2690" i="1"/>
  <c r="F2689" i="1"/>
  <c r="E2689" i="1"/>
  <c r="F2688" i="1"/>
  <c r="E2688" i="1"/>
  <c r="F2687" i="1"/>
  <c r="E2687" i="1"/>
  <c r="F2686" i="1"/>
  <c r="E2686" i="1"/>
  <c r="F2684" i="1"/>
  <c r="E2684" i="1"/>
  <c r="F2683" i="1"/>
  <c r="E2683" i="1"/>
  <c r="F2682" i="1"/>
  <c r="E2682" i="1"/>
  <c r="F2681" i="1"/>
  <c r="E2681" i="1"/>
  <c r="F2680" i="1"/>
  <c r="E2680" i="1"/>
  <c r="F2679" i="1"/>
  <c r="E2679" i="1"/>
  <c r="F2678" i="1"/>
  <c r="E2678" i="1"/>
  <c r="F2677" i="1"/>
  <c r="E2677" i="1"/>
  <c r="F2676" i="1"/>
  <c r="E2676" i="1"/>
  <c r="F2675" i="1"/>
  <c r="E2675" i="1"/>
  <c r="F2674" i="1"/>
  <c r="E2674" i="1"/>
  <c r="F2673" i="1"/>
  <c r="E2673" i="1"/>
  <c r="F2672" i="1"/>
  <c r="E2672" i="1"/>
  <c r="F2671" i="1"/>
  <c r="E2671" i="1"/>
  <c r="F2670" i="1"/>
  <c r="E2670" i="1"/>
  <c r="F2669" i="1"/>
  <c r="E2669" i="1"/>
  <c r="F2668" i="1"/>
  <c r="E2668" i="1"/>
  <c r="F2667" i="1"/>
  <c r="E2667" i="1"/>
  <c r="F2666" i="1"/>
  <c r="E2666" i="1"/>
  <c r="F2665" i="1"/>
  <c r="E2665" i="1"/>
  <c r="F2664" i="1"/>
  <c r="E2664" i="1"/>
  <c r="F2663" i="1"/>
  <c r="E2663" i="1"/>
  <c r="F2662" i="1"/>
  <c r="E2662" i="1"/>
  <c r="F2661" i="1"/>
  <c r="E2661" i="1"/>
  <c r="F2660" i="1"/>
  <c r="E2660" i="1"/>
  <c r="F2659" i="1"/>
  <c r="E2659" i="1"/>
  <c r="F2658" i="1"/>
  <c r="E2658" i="1"/>
  <c r="F2657" i="1"/>
  <c r="E2657" i="1"/>
  <c r="F2656" i="1"/>
  <c r="E2656" i="1"/>
  <c r="F2655" i="1"/>
  <c r="E2655" i="1"/>
  <c r="F2654" i="1"/>
  <c r="E2654" i="1"/>
  <c r="F2653" i="1"/>
  <c r="E2653" i="1"/>
  <c r="F2652" i="1"/>
  <c r="E2652" i="1"/>
  <c r="F2651" i="1"/>
  <c r="E2651" i="1"/>
  <c r="F2650" i="1"/>
  <c r="E2650" i="1"/>
  <c r="F2649" i="1"/>
  <c r="E2649" i="1"/>
  <c r="F2648" i="1"/>
  <c r="E2648" i="1"/>
  <c r="F2647" i="1"/>
  <c r="E2647" i="1"/>
  <c r="F2646" i="1"/>
  <c r="E2646" i="1"/>
  <c r="F2645" i="1"/>
  <c r="E2645" i="1"/>
  <c r="F2644" i="1"/>
  <c r="E2644" i="1"/>
  <c r="F2643" i="1"/>
  <c r="E2643" i="1"/>
  <c r="F2642" i="1"/>
  <c r="E2642" i="1"/>
  <c r="F2641" i="1"/>
  <c r="E2641" i="1"/>
  <c r="F2640" i="1"/>
  <c r="E2640" i="1"/>
  <c r="F2639" i="1"/>
  <c r="E2639" i="1"/>
  <c r="F2638" i="1"/>
  <c r="E2638" i="1"/>
  <c r="F2637" i="1"/>
  <c r="E2637" i="1"/>
  <c r="F2636" i="1"/>
  <c r="E2636" i="1"/>
  <c r="F2635" i="1"/>
  <c r="E2635" i="1"/>
  <c r="F2634" i="1"/>
  <c r="E2634" i="1"/>
  <c r="F2633" i="1"/>
  <c r="E2633" i="1"/>
  <c r="F2632" i="1"/>
  <c r="E2632" i="1"/>
  <c r="F2631" i="1"/>
  <c r="E2631" i="1"/>
  <c r="F2630" i="1"/>
  <c r="E2630" i="1"/>
  <c r="F2629" i="1"/>
  <c r="E2629" i="1"/>
  <c r="F2628" i="1"/>
  <c r="E2628" i="1"/>
  <c r="F2627" i="1"/>
  <c r="E2627" i="1"/>
  <c r="F2626" i="1"/>
  <c r="E2626" i="1"/>
  <c r="F2625" i="1"/>
  <c r="E2625" i="1"/>
  <c r="F2624" i="1"/>
  <c r="E2624" i="1"/>
  <c r="F2623" i="1"/>
  <c r="E2623" i="1"/>
  <c r="F2622" i="1"/>
  <c r="E2622" i="1"/>
  <c r="F2621" i="1"/>
  <c r="E2621" i="1"/>
  <c r="F2620" i="1"/>
  <c r="E2620" i="1"/>
  <c r="F2619" i="1"/>
  <c r="E2619" i="1"/>
  <c r="F2618" i="1"/>
  <c r="E2618" i="1"/>
  <c r="F2617" i="1"/>
  <c r="E2617" i="1"/>
  <c r="F2616" i="1"/>
  <c r="E2616" i="1"/>
  <c r="F2615" i="1"/>
  <c r="E2615" i="1"/>
  <c r="F2614" i="1"/>
  <c r="E2614" i="1"/>
  <c r="F2612" i="1"/>
  <c r="E2612" i="1"/>
  <c r="F2611" i="1"/>
  <c r="E2611" i="1"/>
  <c r="F2610" i="1"/>
  <c r="E2610" i="1"/>
  <c r="F2609" i="1"/>
  <c r="E2609" i="1"/>
  <c r="F2608" i="1"/>
  <c r="E2608" i="1"/>
  <c r="F2607" i="1"/>
  <c r="E2607" i="1"/>
  <c r="F2606" i="1"/>
  <c r="E2606" i="1"/>
  <c r="F2605" i="1"/>
  <c r="E2605" i="1"/>
  <c r="F2604" i="1"/>
  <c r="E2604" i="1"/>
  <c r="F2603" i="1"/>
  <c r="E2603" i="1"/>
  <c r="F2602" i="1"/>
  <c r="E2602" i="1"/>
  <c r="F2601" i="1"/>
  <c r="E2601" i="1"/>
  <c r="F2600" i="1"/>
  <c r="E2600" i="1"/>
  <c r="F2599" i="1"/>
  <c r="E2599" i="1"/>
  <c r="F2598" i="1"/>
  <c r="E2598" i="1"/>
  <c r="F2597" i="1"/>
  <c r="E2597" i="1"/>
  <c r="F2596" i="1"/>
  <c r="E2596" i="1"/>
  <c r="F2595" i="1"/>
  <c r="E2595" i="1"/>
  <c r="F2594" i="1"/>
  <c r="E2594" i="1"/>
  <c r="F2593" i="1"/>
  <c r="E2593" i="1"/>
  <c r="F2592" i="1"/>
  <c r="E2592" i="1"/>
  <c r="F2591" i="1"/>
  <c r="E2591" i="1"/>
  <c r="F2590" i="1"/>
  <c r="E2590" i="1"/>
  <c r="F2589" i="1"/>
  <c r="E2589" i="1"/>
  <c r="F2588" i="1"/>
  <c r="E2588" i="1"/>
  <c r="F2587" i="1"/>
  <c r="E2587" i="1"/>
  <c r="F2586" i="1"/>
  <c r="E2586" i="1"/>
  <c r="F2585" i="1"/>
  <c r="E2585" i="1"/>
  <c r="F2584" i="1"/>
  <c r="E2584" i="1"/>
  <c r="F2583" i="1"/>
  <c r="E2583" i="1"/>
  <c r="F2582" i="1"/>
  <c r="E2582" i="1"/>
  <c r="F2581" i="1"/>
  <c r="E2581" i="1"/>
  <c r="F2580" i="1"/>
  <c r="E2580" i="1"/>
  <c r="F2579" i="1"/>
  <c r="E2579" i="1"/>
  <c r="F2578" i="1"/>
  <c r="E2578" i="1"/>
  <c r="F2577" i="1"/>
  <c r="E2577" i="1"/>
  <c r="F2576" i="1"/>
  <c r="E2576" i="1"/>
  <c r="F2575" i="1"/>
  <c r="E2575" i="1"/>
  <c r="F2574" i="1"/>
  <c r="E2574" i="1"/>
  <c r="F2573" i="1"/>
  <c r="E2573" i="1"/>
  <c r="F2572" i="1"/>
  <c r="E2572" i="1"/>
  <c r="F2571" i="1"/>
  <c r="E2571" i="1"/>
  <c r="F2570" i="1"/>
  <c r="E2570" i="1"/>
  <c r="F2569" i="1"/>
  <c r="E2569" i="1"/>
  <c r="F2568" i="1"/>
  <c r="E2568" i="1"/>
  <c r="F2567" i="1"/>
  <c r="E2567" i="1"/>
  <c r="F2566" i="1"/>
  <c r="E2566" i="1"/>
  <c r="F2565" i="1"/>
  <c r="E2565" i="1"/>
  <c r="F2564" i="1"/>
  <c r="E2564" i="1"/>
  <c r="F2563" i="1"/>
  <c r="E2563" i="1"/>
  <c r="F2562" i="1"/>
  <c r="E2562" i="1"/>
  <c r="F2561" i="1"/>
  <c r="E2561" i="1"/>
  <c r="F2560" i="1"/>
  <c r="E2560" i="1"/>
  <c r="F2559" i="1"/>
  <c r="E2559" i="1"/>
  <c r="F2558" i="1"/>
  <c r="E2558" i="1"/>
  <c r="F2557" i="1"/>
  <c r="E2557" i="1"/>
  <c r="F2556" i="1"/>
  <c r="E2556" i="1"/>
  <c r="F2555" i="1"/>
  <c r="E2555" i="1"/>
  <c r="F2554" i="1"/>
  <c r="E2554" i="1"/>
  <c r="F2553" i="1"/>
  <c r="E2553" i="1"/>
  <c r="F2552" i="1"/>
  <c r="E2552" i="1"/>
  <c r="F2551" i="1"/>
  <c r="E2551" i="1"/>
  <c r="F2550" i="1"/>
  <c r="E2550" i="1"/>
  <c r="F2549" i="1"/>
  <c r="E2549" i="1"/>
  <c r="F2548" i="1"/>
  <c r="E2548" i="1"/>
  <c r="F2547" i="1"/>
  <c r="E2547" i="1"/>
  <c r="F2546" i="1"/>
  <c r="E2546" i="1"/>
  <c r="F2545" i="1"/>
  <c r="E2545" i="1"/>
  <c r="F2543" i="1"/>
  <c r="E2543" i="1"/>
  <c r="F2542" i="1"/>
  <c r="E2542" i="1"/>
  <c r="F2541" i="1"/>
  <c r="E2541" i="1"/>
  <c r="F2540" i="1"/>
  <c r="E2540" i="1"/>
  <c r="F2539" i="1"/>
  <c r="E2539" i="1"/>
  <c r="F2538" i="1"/>
  <c r="E2538" i="1"/>
  <c r="F2537" i="1"/>
  <c r="E2537" i="1"/>
  <c r="F2536" i="1"/>
  <c r="E2536" i="1"/>
  <c r="F2535" i="1"/>
  <c r="E2535" i="1"/>
  <c r="F2534" i="1"/>
  <c r="E2534" i="1"/>
  <c r="F2533" i="1"/>
  <c r="E2533" i="1"/>
  <c r="F2532" i="1"/>
  <c r="E2532" i="1"/>
  <c r="F2531" i="1"/>
  <c r="E2531" i="1"/>
  <c r="F2530" i="1"/>
  <c r="E2530" i="1"/>
  <c r="F2529" i="1"/>
  <c r="E2529" i="1"/>
  <c r="F2528" i="1"/>
  <c r="E2528" i="1"/>
  <c r="F2527" i="1"/>
  <c r="E2527" i="1"/>
  <c r="F2526" i="1"/>
  <c r="E2526" i="1"/>
  <c r="F2525" i="1"/>
  <c r="E2525" i="1"/>
  <c r="F2524" i="1"/>
  <c r="E2524" i="1"/>
  <c r="F2523" i="1"/>
  <c r="E2523" i="1"/>
  <c r="F2522" i="1"/>
  <c r="E2522" i="1"/>
  <c r="F2521" i="1"/>
  <c r="E2521" i="1"/>
  <c r="F2520" i="1"/>
  <c r="E2520" i="1"/>
  <c r="F2519" i="1"/>
  <c r="E2519" i="1"/>
  <c r="F2518" i="1"/>
  <c r="E2518" i="1"/>
  <c r="F2517" i="1"/>
  <c r="E2517" i="1"/>
  <c r="F2516" i="1"/>
  <c r="E2516" i="1"/>
  <c r="F2515" i="1"/>
  <c r="E2515" i="1"/>
  <c r="F2514" i="1"/>
  <c r="E2514" i="1"/>
  <c r="F2513" i="1"/>
  <c r="E2513" i="1"/>
  <c r="F2512" i="1"/>
  <c r="E2512" i="1"/>
  <c r="F2511" i="1"/>
  <c r="E2511" i="1"/>
  <c r="F2510" i="1"/>
  <c r="E2510" i="1"/>
  <c r="F2509" i="1"/>
  <c r="E2509" i="1"/>
  <c r="F2508" i="1"/>
  <c r="E2508" i="1"/>
  <c r="F2507" i="1"/>
  <c r="E2507" i="1"/>
  <c r="F2506" i="1"/>
  <c r="E2506" i="1"/>
  <c r="F2505" i="1"/>
  <c r="E2505" i="1"/>
  <c r="F2504" i="1"/>
  <c r="E2504" i="1"/>
  <c r="F2503" i="1"/>
  <c r="E2503" i="1"/>
  <c r="F2502" i="1"/>
  <c r="E2502" i="1"/>
  <c r="F2501" i="1"/>
  <c r="E2501" i="1"/>
  <c r="F2500" i="1"/>
  <c r="E2500" i="1"/>
  <c r="F2499" i="1"/>
  <c r="E2499" i="1"/>
  <c r="F2498" i="1"/>
  <c r="E2498" i="1"/>
  <c r="F2497" i="1"/>
  <c r="E2497" i="1"/>
  <c r="F2496" i="1"/>
  <c r="E2496" i="1"/>
  <c r="F2495" i="1"/>
  <c r="E2495" i="1"/>
  <c r="F2494" i="1"/>
  <c r="E2494" i="1"/>
  <c r="F2493" i="1"/>
  <c r="E2493" i="1"/>
  <c r="F2492" i="1"/>
  <c r="E2492" i="1"/>
  <c r="F2491" i="1"/>
  <c r="E2491" i="1"/>
  <c r="F2490" i="1"/>
  <c r="E2490" i="1"/>
  <c r="F2489" i="1"/>
  <c r="E2489" i="1"/>
  <c r="F2488" i="1"/>
  <c r="E2488" i="1"/>
  <c r="F2487" i="1"/>
  <c r="E2487" i="1"/>
  <c r="F2486" i="1"/>
  <c r="E2486" i="1"/>
  <c r="F2485" i="1"/>
  <c r="E2485" i="1"/>
  <c r="F2483" i="1"/>
  <c r="E2483" i="1"/>
  <c r="F2482" i="1"/>
  <c r="E2482" i="1"/>
  <c r="F2481" i="1"/>
  <c r="E2481" i="1"/>
  <c r="F2480" i="1"/>
  <c r="E2480" i="1"/>
  <c r="F2479" i="1"/>
  <c r="E2479" i="1"/>
  <c r="F2478" i="1"/>
  <c r="E2478" i="1"/>
  <c r="F2477" i="1"/>
  <c r="E2477" i="1"/>
  <c r="F2476" i="1"/>
  <c r="E2476" i="1"/>
  <c r="F2475" i="1"/>
  <c r="E2475" i="1"/>
  <c r="F2474" i="1"/>
  <c r="E2474" i="1"/>
  <c r="F2473" i="1"/>
  <c r="E2473" i="1"/>
  <c r="F2472" i="1"/>
  <c r="E2472" i="1"/>
  <c r="F2471" i="1"/>
  <c r="E2471" i="1"/>
  <c r="F2470" i="1"/>
  <c r="E2470" i="1"/>
  <c r="F2469" i="1"/>
  <c r="E2469" i="1"/>
  <c r="F2468" i="1"/>
  <c r="E2468" i="1"/>
  <c r="F2467" i="1"/>
  <c r="E2467" i="1"/>
  <c r="F2466" i="1"/>
  <c r="E2466" i="1"/>
  <c r="F2465" i="1"/>
  <c r="E2465" i="1"/>
  <c r="F2464" i="1"/>
  <c r="E2464" i="1"/>
  <c r="F2463" i="1"/>
  <c r="E2463" i="1"/>
  <c r="F2462" i="1"/>
  <c r="E2462" i="1"/>
  <c r="F2461" i="1"/>
  <c r="E2461" i="1"/>
  <c r="F2460" i="1"/>
  <c r="E2460" i="1"/>
  <c r="F2459" i="1"/>
  <c r="E2459" i="1"/>
  <c r="F2458" i="1"/>
  <c r="E2458" i="1"/>
  <c r="F2457" i="1"/>
  <c r="E2457" i="1"/>
  <c r="F2456" i="1"/>
  <c r="E2456" i="1"/>
  <c r="F2455" i="1"/>
  <c r="E2455" i="1"/>
  <c r="F2454" i="1"/>
  <c r="E2454" i="1"/>
  <c r="F2453" i="1"/>
  <c r="E2453" i="1"/>
  <c r="F2452" i="1"/>
  <c r="E2452" i="1"/>
  <c r="F2451" i="1"/>
  <c r="E2451" i="1"/>
  <c r="F2450" i="1"/>
  <c r="E2450" i="1"/>
  <c r="F2449" i="1"/>
  <c r="E2449" i="1"/>
  <c r="F2447" i="1"/>
  <c r="E2447" i="1"/>
  <c r="F2446" i="1"/>
  <c r="E2446" i="1"/>
  <c r="F2445" i="1"/>
  <c r="E2445" i="1"/>
  <c r="F2444" i="1"/>
  <c r="E2444" i="1"/>
  <c r="F2443" i="1"/>
  <c r="E2443" i="1"/>
  <c r="F2442" i="1"/>
  <c r="E2442" i="1"/>
  <c r="F2441" i="1"/>
  <c r="E2441" i="1"/>
  <c r="F2440" i="1"/>
  <c r="E2440" i="1"/>
  <c r="F2439" i="1"/>
  <c r="E2439" i="1"/>
  <c r="F2438" i="1"/>
  <c r="E2438" i="1"/>
  <c r="F2437" i="1"/>
  <c r="E2437" i="1"/>
  <c r="F2436" i="1"/>
  <c r="E2436" i="1"/>
  <c r="F2435" i="1"/>
  <c r="E2435" i="1"/>
  <c r="F2434" i="1"/>
  <c r="E2434" i="1"/>
  <c r="F2433" i="1"/>
  <c r="E2433" i="1"/>
  <c r="F2432" i="1"/>
  <c r="E2432" i="1"/>
  <c r="F2431" i="1"/>
  <c r="E2431" i="1"/>
  <c r="F2430" i="1"/>
  <c r="E2430" i="1"/>
  <c r="F2429" i="1"/>
  <c r="E2429" i="1"/>
  <c r="F2428" i="1"/>
  <c r="E2428" i="1"/>
  <c r="F2427" i="1"/>
  <c r="E2427" i="1"/>
  <c r="F2426" i="1"/>
  <c r="E2426" i="1"/>
  <c r="F2425" i="1"/>
  <c r="E2425" i="1"/>
  <c r="F2423" i="1"/>
  <c r="E2423" i="1"/>
  <c r="F2422" i="1"/>
  <c r="E2422" i="1"/>
  <c r="F2421" i="1"/>
  <c r="E2421" i="1"/>
  <c r="F2420" i="1"/>
  <c r="E2420" i="1"/>
  <c r="F2419" i="1"/>
  <c r="E2419" i="1"/>
  <c r="F2418" i="1"/>
  <c r="E2418" i="1"/>
  <c r="F2417" i="1"/>
  <c r="E2417" i="1"/>
  <c r="F2416" i="1"/>
  <c r="E2416" i="1"/>
  <c r="F2415" i="1"/>
  <c r="E2415" i="1"/>
  <c r="F2414" i="1"/>
  <c r="E2414" i="1"/>
  <c r="F2413" i="1"/>
  <c r="E2413" i="1"/>
  <c r="F2412" i="1"/>
  <c r="E2412" i="1"/>
  <c r="F2411" i="1"/>
  <c r="E2411" i="1"/>
  <c r="F2410" i="1"/>
  <c r="E2410" i="1"/>
  <c r="F2409" i="1"/>
  <c r="E2409" i="1"/>
  <c r="F2408" i="1"/>
  <c r="E2408" i="1"/>
  <c r="F2407" i="1"/>
  <c r="E2407" i="1"/>
  <c r="F2405" i="1"/>
  <c r="E2405" i="1"/>
  <c r="F2404" i="1"/>
  <c r="E2404" i="1"/>
  <c r="F2403" i="1"/>
  <c r="E2403" i="1"/>
  <c r="F2402" i="1"/>
  <c r="E2402" i="1"/>
  <c r="F2401" i="1"/>
  <c r="E2401" i="1"/>
  <c r="F2400" i="1"/>
  <c r="E2400" i="1"/>
  <c r="F2399" i="1"/>
  <c r="E2399" i="1"/>
  <c r="F2398" i="1"/>
  <c r="E2398" i="1"/>
  <c r="F2397" i="1"/>
  <c r="E2397" i="1"/>
  <c r="F2396" i="1"/>
  <c r="E2396" i="1"/>
  <c r="F2395" i="1"/>
  <c r="E2395" i="1"/>
  <c r="F2394" i="1"/>
  <c r="E2394" i="1"/>
  <c r="F2393" i="1"/>
  <c r="E2393" i="1"/>
  <c r="F2392" i="1"/>
  <c r="E2392" i="1"/>
  <c r="F2390" i="1"/>
  <c r="E2390" i="1"/>
  <c r="F2389" i="1"/>
  <c r="E2389" i="1"/>
  <c r="F2388" i="1"/>
  <c r="E2388" i="1"/>
  <c r="F2387" i="1"/>
  <c r="E2387" i="1"/>
  <c r="F2386" i="1"/>
  <c r="E2386" i="1"/>
  <c r="F2385" i="1"/>
  <c r="E2385" i="1"/>
  <c r="F2383" i="1"/>
  <c r="E2383" i="1"/>
  <c r="F2382" i="1"/>
  <c r="E2382" i="1"/>
  <c r="F2381" i="1"/>
  <c r="E2381" i="1"/>
  <c r="F2380" i="1"/>
  <c r="E2380" i="1"/>
  <c r="F2379" i="1"/>
  <c r="E2379" i="1"/>
  <c r="F2378" i="1"/>
  <c r="E2378" i="1"/>
  <c r="F2377" i="1"/>
  <c r="E2377" i="1"/>
  <c r="F2376" i="1"/>
  <c r="E2376" i="1"/>
  <c r="F2375" i="1"/>
  <c r="E2375" i="1"/>
  <c r="F2374" i="1"/>
  <c r="E2374" i="1"/>
  <c r="F2373" i="1"/>
  <c r="E2373" i="1"/>
  <c r="F2372" i="1"/>
  <c r="E2372" i="1"/>
  <c r="F2371" i="1"/>
  <c r="E2371" i="1"/>
  <c r="F2370" i="1"/>
  <c r="E2370" i="1"/>
  <c r="F2368" i="1"/>
  <c r="E2368" i="1"/>
  <c r="F2367" i="1"/>
  <c r="E2367" i="1"/>
  <c r="F2366" i="1"/>
  <c r="E2366" i="1"/>
  <c r="F2365" i="1"/>
  <c r="E2365" i="1"/>
  <c r="F2364" i="1"/>
  <c r="E2364" i="1"/>
  <c r="F2363" i="1"/>
  <c r="E2363" i="1"/>
  <c r="F2362" i="1"/>
  <c r="E2362" i="1"/>
  <c r="F2361" i="1"/>
  <c r="E2361" i="1"/>
  <c r="F2359" i="1"/>
  <c r="E2359" i="1"/>
  <c r="F2358" i="1"/>
  <c r="E2358" i="1"/>
  <c r="F2357" i="1"/>
  <c r="E2357" i="1"/>
  <c r="F2356" i="1"/>
  <c r="E2356" i="1"/>
  <c r="F2355" i="1"/>
  <c r="E2355" i="1"/>
  <c r="F2354" i="1"/>
  <c r="E2354" i="1"/>
  <c r="F2353" i="1"/>
  <c r="E2353" i="1"/>
  <c r="F2352" i="1"/>
  <c r="E2352" i="1"/>
  <c r="F2351" i="1"/>
  <c r="E2351" i="1"/>
  <c r="F2350" i="1"/>
  <c r="E2350" i="1"/>
  <c r="F2349" i="1"/>
  <c r="E2349" i="1"/>
  <c r="F2348" i="1"/>
  <c r="E2348" i="1"/>
  <c r="F2347" i="1"/>
  <c r="E2347" i="1"/>
  <c r="F2346" i="1"/>
  <c r="E2346" i="1"/>
  <c r="F2345" i="1"/>
  <c r="E2345" i="1"/>
  <c r="F2344" i="1"/>
  <c r="E2344" i="1"/>
  <c r="F2343" i="1"/>
  <c r="E2343" i="1"/>
  <c r="F2342" i="1"/>
  <c r="E2342" i="1"/>
  <c r="F2341" i="1"/>
  <c r="E2341" i="1"/>
  <c r="F2340" i="1"/>
  <c r="E2340" i="1"/>
  <c r="F2339" i="1"/>
  <c r="E2339" i="1"/>
  <c r="F2338" i="1"/>
  <c r="E2338" i="1"/>
  <c r="F2337" i="1"/>
  <c r="E2337" i="1"/>
  <c r="F2336" i="1"/>
  <c r="E2336" i="1"/>
  <c r="F2335" i="1"/>
  <c r="E2335" i="1"/>
  <c r="F2334" i="1"/>
  <c r="E2334" i="1"/>
  <c r="F2333" i="1"/>
  <c r="E2333" i="1"/>
  <c r="F2332" i="1"/>
  <c r="E2332" i="1"/>
  <c r="F2331" i="1"/>
  <c r="E2331" i="1"/>
  <c r="F2330" i="1"/>
  <c r="E2330" i="1"/>
  <c r="F2328" i="1"/>
  <c r="E2328" i="1"/>
  <c r="F2327" i="1"/>
  <c r="E2327" i="1"/>
  <c r="F2326" i="1"/>
  <c r="E2326" i="1"/>
  <c r="F2325" i="1"/>
  <c r="E2325" i="1"/>
  <c r="F2324" i="1"/>
  <c r="E2324" i="1"/>
  <c r="F2323" i="1"/>
  <c r="E2323" i="1"/>
  <c r="F2322" i="1"/>
  <c r="E2322" i="1"/>
  <c r="F2321" i="1"/>
  <c r="E2321" i="1"/>
  <c r="F2320" i="1"/>
  <c r="E2320" i="1"/>
  <c r="F2319" i="1"/>
  <c r="E2319" i="1"/>
  <c r="F2318" i="1"/>
  <c r="E2318" i="1"/>
  <c r="F2317" i="1"/>
  <c r="E2317" i="1"/>
  <c r="F2316" i="1"/>
  <c r="E2316" i="1"/>
  <c r="F2315" i="1"/>
  <c r="E2315" i="1"/>
  <c r="F2314" i="1"/>
  <c r="E2314" i="1"/>
  <c r="F2313" i="1"/>
  <c r="E2313" i="1"/>
  <c r="F2312" i="1"/>
  <c r="E2312" i="1"/>
  <c r="F2311" i="1"/>
  <c r="E2311" i="1"/>
  <c r="F2310" i="1"/>
  <c r="E2310" i="1"/>
  <c r="F2309" i="1"/>
  <c r="E2309" i="1"/>
  <c r="F2308" i="1"/>
  <c r="E2308" i="1"/>
  <c r="F2307" i="1"/>
  <c r="E2307" i="1"/>
  <c r="F2306" i="1"/>
  <c r="E2306" i="1"/>
  <c r="F2305" i="1"/>
  <c r="E2305" i="1"/>
  <c r="F2304" i="1"/>
  <c r="E2304" i="1"/>
  <c r="F2303" i="1"/>
  <c r="E2303" i="1"/>
  <c r="F2302" i="1"/>
  <c r="E2302" i="1"/>
  <c r="F2301" i="1"/>
  <c r="E2301" i="1"/>
  <c r="F2300" i="1"/>
  <c r="E2300" i="1"/>
  <c r="F2299" i="1"/>
  <c r="E2299" i="1"/>
  <c r="F2298" i="1"/>
  <c r="E2298" i="1"/>
  <c r="F2297" i="1"/>
  <c r="E2297" i="1"/>
  <c r="F2296" i="1"/>
  <c r="E2296" i="1"/>
  <c r="F2295" i="1"/>
  <c r="E2295" i="1"/>
  <c r="F2294" i="1"/>
  <c r="E2294" i="1"/>
  <c r="F2293" i="1"/>
  <c r="E2293" i="1"/>
  <c r="F2292" i="1"/>
  <c r="E2292" i="1"/>
  <c r="F2291" i="1"/>
  <c r="E2291" i="1"/>
  <c r="F2290" i="1"/>
  <c r="E2290" i="1"/>
  <c r="F2289" i="1"/>
  <c r="E2289" i="1"/>
  <c r="F2288" i="1"/>
  <c r="E2288" i="1"/>
  <c r="F2287" i="1"/>
  <c r="E2287" i="1"/>
  <c r="F2286" i="1"/>
  <c r="E2286" i="1"/>
  <c r="F2285" i="1"/>
  <c r="E2285" i="1"/>
  <c r="F2284" i="1"/>
  <c r="E2284" i="1"/>
  <c r="F2283" i="1"/>
  <c r="E2283" i="1"/>
  <c r="F2282" i="1"/>
  <c r="E2282" i="1"/>
  <c r="F2281" i="1"/>
  <c r="E2281" i="1"/>
  <c r="F2280" i="1"/>
  <c r="E2280" i="1"/>
  <c r="F2279" i="1"/>
  <c r="E2279" i="1"/>
  <c r="F2278" i="1"/>
  <c r="E2278" i="1"/>
  <c r="F2277" i="1"/>
  <c r="E2277" i="1"/>
  <c r="F2275" i="1"/>
  <c r="E2275" i="1"/>
  <c r="F2274" i="1"/>
  <c r="E2274" i="1"/>
  <c r="F2273" i="1"/>
  <c r="E2273" i="1"/>
  <c r="F2272" i="1"/>
  <c r="E2272" i="1"/>
  <c r="F2271" i="1"/>
  <c r="E2271" i="1"/>
  <c r="F2270" i="1"/>
  <c r="E2270" i="1"/>
  <c r="F2268" i="1"/>
  <c r="E2268" i="1"/>
  <c r="F2267" i="1"/>
  <c r="E2267" i="1"/>
  <c r="F2266" i="1"/>
  <c r="E2266" i="1"/>
  <c r="F2265" i="1"/>
  <c r="E2265" i="1"/>
  <c r="F2264" i="1"/>
  <c r="E2264" i="1"/>
  <c r="F2263" i="1"/>
  <c r="E2263" i="1"/>
  <c r="F2262" i="1"/>
  <c r="E2262" i="1"/>
  <c r="F2261" i="1"/>
  <c r="E2261" i="1"/>
  <c r="F2260" i="1"/>
  <c r="E2260" i="1"/>
  <c r="F2259" i="1"/>
  <c r="E2259" i="1"/>
  <c r="F2258" i="1"/>
  <c r="E2258" i="1"/>
  <c r="F2257" i="1"/>
  <c r="E2257" i="1"/>
  <c r="F2256" i="1"/>
  <c r="E2256" i="1"/>
  <c r="F2255" i="1"/>
  <c r="E2255" i="1"/>
  <c r="F2254" i="1"/>
  <c r="E2254" i="1"/>
  <c r="F2253" i="1"/>
  <c r="E2253" i="1"/>
  <c r="F2252" i="1"/>
  <c r="E2252" i="1"/>
  <c r="F2251" i="1"/>
  <c r="E2251" i="1"/>
  <c r="F2250" i="1"/>
  <c r="E2250" i="1"/>
  <c r="F2249" i="1"/>
  <c r="E2249" i="1"/>
  <c r="F2248" i="1"/>
  <c r="E2248" i="1"/>
  <c r="F2247" i="1"/>
  <c r="E2247" i="1"/>
  <c r="F2246" i="1"/>
  <c r="E2246" i="1"/>
  <c r="F2245" i="1"/>
  <c r="E2245" i="1"/>
  <c r="F2244" i="1"/>
  <c r="E2244" i="1"/>
  <c r="F2243" i="1"/>
  <c r="E2243" i="1"/>
  <c r="F2242" i="1"/>
  <c r="E2242" i="1"/>
  <c r="F2241" i="1"/>
  <c r="E2241" i="1"/>
  <c r="F2240" i="1"/>
  <c r="E2240" i="1"/>
  <c r="F2239" i="1"/>
  <c r="E2239" i="1"/>
  <c r="F2238" i="1"/>
  <c r="E2238" i="1"/>
  <c r="F2237" i="1"/>
  <c r="E2237" i="1"/>
  <c r="F2236" i="1"/>
  <c r="E2236" i="1"/>
  <c r="F2235" i="1"/>
  <c r="E2235" i="1"/>
  <c r="F2234" i="1"/>
  <c r="E2234" i="1"/>
  <c r="F2233" i="1"/>
  <c r="E2233" i="1"/>
  <c r="F2232" i="1"/>
  <c r="E2232" i="1"/>
  <c r="F2231" i="1"/>
  <c r="E2231" i="1"/>
  <c r="F2230" i="1"/>
  <c r="E2230" i="1"/>
  <c r="F2229" i="1"/>
  <c r="E2229" i="1"/>
  <c r="F2228" i="1"/>
  <c r="E2228" i="1"/>
  <c r="F2227" i="1"/>
  <c r="E2227" i="1"/>
  <c r="F2226" i="1"/>
  <c r="E2226" i="1"/>
  <c r="F2225" i="1"/>
  <c r="E2225" i="1"/>
  <c r="F2224" i="1"/>
  <c r="E2224" i="1"/>
  <c r="F2223" i="1"/>
  <c r="E2223" i="1"/>
  <c r="F2222" i="1"/>
  <c r="E2222" i="1"/>
  <c r="F2221" i="1"/>
  <c r="E2221" i="1"/>
  <c r="F2220" i="1"/>
  <c r="E2220" i="1"/>
  <c r="F2219" i="1"/>
  <c r="E2219" i="1"/>
  <c r="F2218" i="1"/>
  <c r="E2218" i="1"/>
  <c r="F2217" i="1"/>
  <c r="E2217" i="1"/>
  <c r="F2216" i="1"/>
  <c r="E2216" i="1"/>
  <c r="F2215" i="1"/>
  <c r="E2215" i="1"/>
  <c r="F2214" i="1"/>
  <c r="E2214" i="1"/>
  <c r="F2213" i="1"/>
  <c r="E2213" i="1"/>
  <c r="F2212" i="1"/>
  <c r="E2212" i="1"/>
  <c r="F2211" i="1"/>
  <c r="E2211" i="1"/>
  <c r="F2210" i="1"/>
  <c r="E2210" i="1"/>
  <c r="F2209" i="1"/>
  <c r="E2209" i="1"/>
  <c r="F2208" i="1"/>
  <c r="E2208" i="1"/>
  <c r="F2207" i="1"/>
  <c r="E2207" i="1"/>
  <c r="F2205" i="1"/>
  <c r="E2205" i="1"/>
  <c r="F2204" i="1"/>
  <c r="E2204" i="1"/>
  <c r="F2203" i="1"/>
  <c r="E2203" i="1"/>
  <c r="F2202" i="1"/>
  <c r="E2202" i="1"/>
  <c r="F2201" i="1"/>
  <c r="E2201" i="1"/>
  <c r="F2200" i="1"/>
  <c r="E2200" i="1"/>
  <c r="F2199" i="1"/>
  <c r="E2199" i="1"/>
  <c r="F2198" i="1"/>
  <c r="E2198" i="1"/>
  <c r="F2197" i="1"/>
  <c r="E2197" i="1"/>
  <c r="F2196" i="1"/>
  <c r="E2196" i="1"/>
  <c r="F2195" i="1"/>
  <c r="E2195" i="1"/>
  <c r="F2194" i="1"/>
  <c r="E2194" i="1"/>
  <c r="F2193" i="1"/>
  <c r="E2193" i="1"/>
  <c r="F2192" i="1"/>
  <c r="E2192" i="1"/>
  <c r="F2191" i="1"/>
  <c r="E2191" i="1"/>
  <c r="F2190" i="1"/>
  <c r="E2190" i="1"/>
  <c r="F2189" i="1"/>
  <c r="E2189" i="1"/>
  <c r="F2188" i="1"/>
  <c r="E2188" i="1"/>
  <c r="F2187" i="1"/>
  <c r="E2187" i="1"/>
  <c r="F2186" i="1"/>
  <c r="E2186" i="1"/>
  <c r="F2185" i="1"/>
  <c r="E2185" i="1"/>
  <c r="F2184" i="1"/>
  <c r="E2184" i="1"/>
  <c r="F2183" i="1"/>
  <c r="E2183" i="1"/>
  <c r="F2182" i="1"/>
  <c r="E2182" i="1"/>
  <c r="F2181" i="1"/>
  <c r="E2181" i="1"/>
  <c r="F2180" i="1"/>
  <c r="E2180" i="1"/>
  <c r="F2179" i="1"/>
  <c r="E2179" i="1"/>
  <c r="F2178" i="1"/>
  <c r="E2178" i="1"/>
  <c r="F2177" i="1"/>
  <c r="E2177" i="1"/>
  <c r="F2176" i="1"/>
  <c r="E2176" i="1"/>
  <c r="F2175" i="1"/>
  <c r="E2175" i="1"/>
  <c r="F2174" i="1"/>
  <c r="E2174" i="1"/>
  <c r="F2173" i="1"/>
  <c r="E2173" i="1"/>
  <c r="F2172" i="1"/>
  <c r="E2172" i="1"/>
  <c r="F2171" i="1"/>
  <c r="E2171" i="1"/>
  <c r="F2170" i="1"/>
  <c r="E2170" i="1"/>
  <c r="F2169" i="1"/>
  <c r="E2169" i="1"/>
  <c r="F2168" i="1"/>
  <c r="E2168" i="1"/>
  <c r="F2167" i="1"/>
  <c r="E2167" i="1"/>
  <c r="F2166" i="1"/>
  <c r="E2166" i="1"/>
  <c r="F2165" i="1"/>
  <c r="E2165" i="1"/>
  <c r="F2164" i="1"/>
  <c r="E2164" i="1"/>
  <c r="F2163" i="1"/>
  <c r="E2163" i="1"/>
  <c r="F2162" i="1"/>
  <c r="E2162" i="1"/>
  <c r="F2161" i="1"/>
  <c r="E2161" i="1"/>
  <c r="F2160" i="1"/>
  <c r="E2160" i="1"/>
  <c r="F2159" i="1"/>
  <c r="E2159" i="1"/>
  <c r="F2158" i="1"/>
  <c r="E2158" i="1"/>
  <c r="F2157" i="1"/>
  <c r="E2157" i="1"/>
  <c r="F2156" i="1"/>
  <c r="E2156" i="1"/>
  <c r="F2155" i="1"/>
  <c r="E2155" i="1"/>
  <c r="F2154" i="1"/>
  <c r="E2154" i="1"/>
  <c r="F2153" i="1"/>
  <c r="E2153" i="1"/>
  <c r="F2152" i="1"/>
  <c r="E2152" i="1"/>
  <c r="F2151" i="1"/>
  <c r="E2151" i="1"/>
  <c r="F2150" i="1"/>
  <c r="E2150" i="1"/>
  <c r="F2149" i="1"/>
  <c r="E2149" i="1"/>
  <c r="F2147" i="1"/>
  <c r="E2147" i="1"/>
  <c r="F2145" i="1"/>
  <c r="E2145" i="1"/>
  <c r="F2143" i="1"/>
  <c r="E2143" i="1"/>
  <c r="F2142" i="1"/>
  <c r="E2142" i="1"/>
  <c r="F2141" i="1"/>
  <c r="E2141" i="1"/>
  <c r="F2140" i="1"/>
  <c r="E2140" i="1"/>
  <c r="F2139" i="1"/>
  <c r="E2139" i="1"/>
  <c r="F2138" i="1"/>
  <c r="E2138" i="1"/>
  <c r="F2137" i="1"/>
  <c r="E2137" i="1"/>
  <c r="F2136" i="1"/>
  <c r="E2136" i="1"/>
  <c r="F2135" i="1"/>
  <c r="E2135" i="1"/>
  <c r="F2134" i="1"/>
  <c r="E2134" i="1"/>
  <c r="F2132" i="1"/>
  <c r="E2132" i="1"/>
  <c r="F2131" i="1"/>
  <c r="E2131" i="1"/>
  <c r="F2130" i="1"/>
  <c r="E2130" i="1"/>
  <c r="F2129" i="1"/>
  <c r="E2129" i="1"/>
  <c r="F2128" i="1"/>
  <c r="E2128" i="1"/>
  <c r="F2127" i="1"/>
  <c r="E2127" i="1"/>
  <c r="F2126" i="1"/>
  <c r="E2126" i="1"/>
  <c r="F2125" i="1"/>
  <c r="E2125" i="1"/>
  <c r="F2124" i="1"/>
  <c r="E2124" i="1"/>
  <c r="F2123" i="1"/>
  <c r="E2123" i="1"/>
  <c r="F2122" i="1"/>
  <c r="E2122" i="1"/>
  <c r="F2121" i="1"/>
  <c r="E2121" i="1"/>
  <c r="F2120" i="1"/>
  <c r="E2120" i="1"/>
  <c r="F2119" i="1"/>
  <c r="E2119" i="1"/>
  <c r="F2118" i="1"/>
  <c r="E2118" i="1"/>
  <c r="F2117" i="1"/>
  <c r="E2117" i="1"/>
  <c r="F2116" i="1"/>
  <c r="E2116" i="1"/>
  <c r="F2115" i="1"/>
  <c r="E2115" i="1"/>
  <c r="F2114" i="1"/>
  <c r="E2114" i="1"/>
  <c r="F2113" i="1"/>
  <c r="E2113" i="1"/>
  <c r="F2112" i="1"/>
  <c r="E2112" i="1"/>
  <c r="F2111" i="1"/>
  <c r="E2111" i="1"/>
  <c r="F2110" i="1"/>
  <c r="E2110" i="1"/>
  <c r="F2109" i="1"/>
  <c r="E2109" i="1"/>
  <c r="F2108" i="1"/>
  <c r="E2108" i="1"/>
  <c r="F2107" i="1"/>
  <c r="E2107" i="1"/>
  <c r="F2106" i="1"/>
  <c r="E2106" i="1"/>
  <c r="F2105" i="1"/>
  <c r="E2105" i="1"/>
  <c r="F2104" i="1"/>
  <c r="E2104" i="1"/>
  <c r="F2103" i="1"/>
  <c r="E2103" i="1"/>
  <c r="F2102" i="1"/>
  <c r="E2102" i="1"/>
  <c r="F2101" i="1"/>
  <c r="E2101" i="1"/>
  <c r="F2100" i="1"/>
  <c r="E2100" i="1"/>
  <c r="F2099" i="1"/>
  <c r="E2099" i="1"/>
  <c r="F2098" i="1"/>
  <c r="E2098" i="1"/>
  <c r="F2097" i="1"/>
  <c r="E2097" i="1"/>
  <c r="F2096" i="1"/>
  <c r="E2096" i="1"/>
  <c r="F2095" i="1"/>
  <c r="E2095" i="1"/>
  <c r="F2094" i="1"/>
  <c r="E2094" i="1"/>
  <c r="F2093" i="1"/>
  <c r="E2093" i="1"/>
  <c r="F2092" i="1"/>
  <c r="E2092" i="1"/>
  <c r="F2091" i="1"/>
  <c r="E2091" i="1"/>
  <c r="F2089" i="1"/>
  <c r="E2089" i="1"/>
  <c r="F2088" i="1"/>
  <c r="E2088" i="1"/>
  <c r="F2087" i="1"/>
  <c r="E2087" i="1"/>
  <c r="F2086" i="1"/>
  <c r="E2086" i="1"/>
  <c r="F2085" i="1"/>
  <c r="E2085" i="1"/>
  <c r="F2084" i="1"/>
  <c r="E2084" i="1"/>
  <c r="F2083" i="1"/>
  <c r="E2083" i="1"/>
  <c r="F2082" i="1"/>
  <c r="E2082" i="1"/>
  <c r="F2081" i="1"/>
  <c r="E2081" i="1"/>
  <c r="F2080" i="1"/>
  <c r="E2080" i="1"/>
  <c r="F2079" i="1"/>
  <c r="E2079" i="1"/>
  <c r="F2078" i="1"/>
  <c r="E2078" i="1"/>
  <c r="F2076" i="1"/>
  <c r="E2076" i="1"/>
  <c r="F2075" i="1"/>
  <c r="E2075" i="1"/>
  <c r="F2074" i="1"/>
  <c r="E2074" i="1"/>
  <c r="F2073" i="1"/>
  <c r="E2073" i="1"/>
  <c r="F2072" i="1"/>
  <c r="E2072" i="1"/>
  <c r="F2071" i="1"/>
  <c r="E2071" i="1"/>
  <c r="F2070" i="1"/>
  <c r="E2070" i="1"/>
  <c r="F2069" i="1"/>
  <c r="E2069" i="1"/>
  <c r="F2068" i="1"/>
  <c r="E2068" i="1"/>
  <c r="F2067" i="1"/>
  <c r="E2067" i="1"/>
  <c r="F2066" i="1"/>
  <c r="E2066" i="1"/>
  <c r="F2065" i="1"/>
  <c r="E2065" i="1"/>
  <c r="F2064" i="1"/>
  <c r="E2064" i="1"/>
  <c r="F2063" i="1"/>
  <c r="E2063" i="1"/>
  <c r="F2062" i="1"/>
  <c r="E2062" i="1"/>
  <c r="F2061" i="1"/>
  <c r="E2061" i="1"/>
  <c r="F2060" i="1"/>
  <c r="E2060" i="1"/>
  <c r="F2059" i="1"/>
  <c r="E2059" i="1"/>
  <c r="F2058" i="1"/>
  <c r="E2058" i="1"/>
  <c r="F2057" i="1"/>
  <c r="E2057" i="1"/>
  <c r="F2056" i="1"/>
  <c r="E2056" i="1"/>
  <c r="F2055" i="1"/>
  <c r="E2055" i="1"/>
  <c r="F2054" i="1"/>
  <c r="E2054" i="1"/>
  <c r="F2053" i="1"/>
  <c r="E2053" i="1"/>
  <c r="F2052" i="1"/>
  <c r="E2052" i="1"/>
  <c r="F2051" i="1"/>
  <c r="E2051" i="1"/>
  <c r="F2050" i="1"/>
  <c r="E2050" i="1"/>
  <c r="F2048" i="1"/>
  <c r="E2048" i="1"/>
  <c r="F2046" i="1"/>
  <c r="E2046" i="1"/>
  <c r="F2045" i="1"/>
  <c r="E2045" i="1"/>
  <c r="F2044" i="1"/>
  <c r="E2044" i="1"/>
  <c r="F2043" i="1"/>
  <c r="E2043" i="1"/>
  <c r="F2042" i="1"/>
  <c r="E2042" i="1"/>
  <c r="F2041" i="1"/>
  <c r="E2041" i="1"/>
  <c r="F2040" i="1"/>
  <c r="E2040" i="1"/>
  <c r="F2039" i="1"/>
  <c r="E2039" i="1"/>
  <c r="F2038" i="1"/>
  <c r="E2038" i="1"/>
  <c r="F2037" i="1"/>
  <c r="E2037" i="1"/>
  <c r="F2036" i="1"/>
  <c r="E2036" i="1"/>
  <c r="F2035" i="1"/>
  <c r="E2035" i="1"/>
  <c r="F2034" i="1"/>
  <c r="E2034" i="1"/>
  <c r="F2033" i="1"/>
  <c r="E2033" i="1"/>
  <c r="F2032" i="1"/>
  <c r="E2032" i="1"/>
  <c r="F2031" i="1"/>
  <c r="E2031" i="1"/>
  <c r="F2030" i="1"/>
  <c r="E2030" i="1"/>
  <c r="F2029" i="1"/>
  <c r="E2029" i="1"/>
  <c r="F2028" i="1"/>
  <c r="E2028" i="1"/>
  <c r="F2027" i="1"/>
  <c r="E2027" i="1"/>
  <c r="F2026" i="1"/>
  <c r="E2026" i="1"/>
  <c r="F2025" i="1"/>
  <c r="E2025" i="1"/>
  <c r="F2024" i="1"/>
  <c r="E2024" i="1"/>
  <c r="F2023" i="1"/>
  <c r="E2023" i="1"/>
  <c r="F2022" i="1"/>
  <c r="E2022" i="1"/>
  <c r="F2021" i="1"/>
  <c r="E2021" i="1"/>
  <c r="F2020" i="1"/>
  <c r="E2020" i="1"/>
  <c r="F2018" i="1"/>
  <c r="E2018" i="1"/>
  <c r="F2017" i="1"/>
  <c r="E2017" i="1"/>
  <c r="F2016" i="1"/>
  <c r="E2016" i="1"/>
  <c r="F2015" i="1"/>
  <c r="E2015" i="1"/>
  <c r="F2014" i="1"/>
  <c r="E2014" i="1"/>
  <c r="F2013" i="1"/>
  <c r="E2013" i="1"/>
  <c r="F2012" i="1"/>
  <c r="E2012" i="1"/>
  <c r="F2011" i="1"/>
  <c r="E2011" i="1"/>
  <c r="F2010" i="1"/>
  <c r="E2010" i="1"/>
  <c r="F2009" i="1"/>
  <c r="E2009" i="1"/>
  <c r="F2008" i="1"/>
  <c r="E2008" i="1"/>
  <c r="F2007" i="1"/>
  <c r="E2007" i="1"/>
  <c r="F2006" i="1"/>
  <c r="E2006" i="1"/>
  <c r="F2005" i="1"/>
  <c r="E2005" i="1"/>
  <c r="F2004" i="1"/>
  <c r="E2004" i="1"/>
  <c r="F2003" i="1"/>
  <c r="E2003" i="1"/>
  <c r="F2002" i="1"/>
  <c r="E2002" i="1"/>
  <c r="F2001" i="1"/>
  <c r="E2001" i="1"/>
  <c r="F2000" i="1"/>
  <c r="E2000" i="1"/>
  <c r="F1999" i="1"/>
  <c r="E1999" i="1"/>
  <c r="F1998" i="1"/>
  <c r="E1998" i="1"/>
  <c r="F1997" i="1"/>
  <c r="E1997" i="1"/>
  <c r="F1996" i="1"/>
  <c r="E1996" i="1"/>
  <c r="F1995" i="1"/>
  <c r="E1995" i="1"/>
  <c r="F1994" i="1"/>
  <c r="E1994" i="1"/>
  <c r="F1992" i="1"/>
  <c r="E1992" i="1"/>
  <c r="F1991" i="1"/>
  <c r="E1991" i="1"/>
  <c r="F1990" i="1"/>
  <c r="E1990" i="1"/>
  <c r="F1989" i="1"/>
  <c r="E1989" i="1"/>
  <c r="F1988" i="1"/>
  <c r="E1988" i="1"/>
  <c r="F1987" i="1"/>
  <c r="E1987" i="1"/>
  <c r="F1986" i="1"/>
  <c r="E1986" i="1"/>
  <c r="F1985" i="1"/>
  <c r="E1985" i="1"/>
  <c r="F1983" i="1"/>
  <c r="E1983" i="1"/>
  <c r="F1982" i="1"/>
  <c r="E1982" i="1"/>
  <c r="F1981" i="1"/>
  <c r="E1981" i="1"/>
  <c r="F1980" i="1"/>
  <c r="E1980" i="1"/>
  <c r="F1979" i="1"/>
  <c r="E1979" i="1"/>
  <c r="F1978" i="1"/>
  <c r="E1978" i="1"/>
  <c r="F1977" i="1"/>
  <c r="E1977" i="1"/>
  <c r="F1976" i="1"/>
  <c r="E1976" i="1"/>
  <c r="F1975" i="1"/>
  <c r="E1975" i="1"/>
  <c r="F1974" i="1"/>
  <c r="E1974" i="1"/>
  <c r="F1973" i="1"/>
  <c r="E1973" i="1"/>
  <c r="F1972" i="1"/>
  <c r="E1972" i="1"/>
  <c r="F1971" i="1"/>
  <c r="E1971" i="1"/>
  <c r="F1970" i="1"/>
  <c r="E1970" i="1"/>
  <c r="F1969" i="1"/>
  <c r="E1969" i="1"/>
  <c r="F1968" i="1"/>
  <c r="E1968" i="1"/>
  <c r="F1967" i="1"/>
  <c r="E1967" i="1"/>
  <c r="F1966" i="1"/>
  <c r="E1966" i="1"/>
  <c r="F1965" i="1"/>
  <c r="E1965" i="1"/>
  <c r="F1964" i="1"/>
  <c r="E1964" i="1"/>
  <c r="F1962" i="1"/>
  <c r="E1962" i="1"/>
  <c r="F1961" i="1"/>
  <c r="E1961" i="1"/>
  <c r="F1959" i="1"/>
  <c r="E1959" i="1"/>
  <c r="F1958" i="1"/>
  <c r="E1958" i="1"/>
  <c r="F1957" i="1"/>
  <c r="E1957" i="1"/>
  <c r="F1955" i="1"/>
  <c r="E1955" i="1"/>
  <c r="F1954" i="1"/>
  <c r="E1954" i="1"/>
  <c r="F1952" i="1"/>
  <c r="E1952" i="1"/>
  <c r="F1951" i="1"/>
  <c r="E1951" i="1"/>
  <c r="F1950" i="1"/>
  <c r="E1950" i="1"/>
  <c r="F1949" i="1"/>
  <c r="E1949" i="1"/>
  <c r="F1948" i="1"/>
  <c r="E1948" i="1"/>
  <c r="F1947" i="1"/>
  <c r="E1947" i="1"/>
  <c r="F1946" i="1"/>
  <c r="E1946" i="1"/>
  <c r="F1945" i="1"/>
  <c r="E1945" i="1"/>
  <c r="F1944" i="1"/>
  <c r="E1944" i="1"/>
  <c r="F1943" i="1"/>
  <c r="E1943" i="1"/>
  <c r="F1942" i="1"/>
  <c r="E1942" i="1"/>
  <c r="F1941" i="1"/>
  <c r="E1941" i="1"/>
  <c r="F1940" i="1"/>
  <c r="E1940" i="1"/>
  <c r="F1939" i="1"/>
  <c r="E1939" i="1"/>
  <c r="F1938" i="1"/>
  <c r="E1938" i="1"/>
  <c r="F1937" i="1"/>
  <c r="E1937" i="1"/>
  <c r="F1936" i="1"/>
  <c r="E1936" i="1"/>
  <c r="F1935" i="1"/>
  <c r="E1935" i="1"/>
  <c r="F1934" i="1"/>
  <c r="E1934" i="1"/>
  <c r="F1933" i="1"/>
  <c r="E1933" i="1"/>
  <c r="F1932" i="1"/>
  <c r="E1932" i="1"/>
  <c r="F1931" i="1"/>
  <c r="E1931" i="1"/>
  <c r="F1930" i="1"/>
  <c r="E1930" i="1"/>
  <c r="F1929" i="1"/>
  <c r="E1929" i="1"/>
  <c r="F1928" i="1"/>
  <c r="E1928" i="1"/>
  <c r="F1927" i="1"/>
  <c r="E1927" i="1"/>
  <c r="F1926" i="1"/>
  <c r="E1926" i="1"/>
  <c r="F1925" i="1"/>
  <c r="E1925" i="1"/>
  <c r="F1924" i="1"/>
  <c r="E1924" i="1"/>
  <c r="F1923" i="1"/>
  <c r="E1923" i="1"/>
  <c r="F1922" i="1"/>
  <c r="E1922" i="1"/>
  <c r="F1921" i="1"/>
  <c r="E1921" i="1"/>
  <c r="F1920" i="1"/>
  <c r="E1920" i="1"/>
  <c r="F1919" i="1"/>
  <c r="E1919" i="1"/>
  <c r="F1918" i="1"/>
  <c r="E1918" i="1"/>
  <c r="F1917" i="1"/>
  <c r="E1917" i="1"/>
  <c r="F1916" i="1"/>
  <c r="E1916" i="1"/>
  <c r="F1915" i="1"/>
  <c r="E1915" i="1"/>
  <c r="F1914" i="1"/>
  <c r="E1914" i="1"/>
  <c r="F1913" i="1"/>
  <c r="E1913" i="1"/>
  <c r="F1912" i="1"/>
  <c r="E1912" i="1"/>
  <c r="F1911" i="1"/>
  <c r="E1911" i="1"/>
  <c r="F1910" i="1"/>
  <c r="E1910" i="1"/>
  <c r="F1909" i="1"/>
  <c r="E1909" i="1"/>
  <c r="F1908" i="1"/>
  <c r="E1908" i="1"/>
  <c r="F1906" i="1"/>
  <c r="E1906" i="1"/>
  <c r="F1905" i="1"/>
  <c r="E1905" i="1"/>
  <c r="F1904" i="1"/>
  <c r="E1904" i="1"/>
  <c r="F1903" i="1"/>
  <c r="E1903" i="1"/>
  <c r="F1901" i="1"/>
  <c r="E1901" i="1"/>
  <c r="F1900" i="1"/>
  <c r="E1900" i="1"/>
  <c r="F1899" i="1"/>
  <c r="E1899" i="1"/>
  <c r="F1898" i="1"/>
  <c r="E1898" i="1"/>
  <c r="F1897" i="1"/>
  <c r="E1897" i="1"/>
  <c r="F1896" i="1"/>
  <c r="E1896" i="1"/>
  <c r="F1895" i="1"/>
  <c r="E1895" i="1"/>
  <c r="F1894" i="1"/>
  <c r="E1894" i="1"/>
  <c r="F1893" i="1"/>
  <c r="E1893" i="1"/>
  <c r="F1892" i="1"/>
  <c r="E1892" i="1"/>
  <c r="F1891" i="1"/>
  <c r="E1891" i="1"/>
  <c r="F1889" i="1"/>
  <c r="E1889" i="1"/>
  <c r="F1888" i="1"/>
  <c r="E1888" i="1"/>
  <c r="F1886" i="1"/>
  <c r="E1886" i="1"/>
  <c r="F1885" i="1"/>
  <c r="E1885" i="1"/>
  <c r="F1884" i="1"/>
  <c r="E1884" i="1"/>
  <c r="F1883" i="1"/>
  <c r="E1883" i="1"/>
  <c r="F1882" i="1"/>
  <c r="E1882" i="1"/>
  <c r="F1881" i="1"/>
  <c r="E1881" i="1"/>
  <c r="F1880" i="1"/>
  <c r="E1880" i="1"/>
  <c r="F1879" i="1"/>
  <c r="E1879" i="1"/>
  <c r="F1878" i="1"/>
  <c r="E1878" i="1"/>
  <c r="F1876" i="1"/>
  <c r="E1876" i="1"/>
  <c r="F1875" i="1"/>
  <c r="E1875" i="1"/>
  <c r="F1874" i="1"/>
  <c r="E1874" i="1"/>
  <c r="F1873" i="1"/>
  <c r="E1873" i="1"/>
  <c r="F1872" i="1"/>
  <c r="E1872" i="1"/>
  <c r="F1871" i="1"/>
  <c r="E1871" i="1"/>
  <c r="F1870" i="1"/>
  <c r="E1870" i="1"/>
  <c r="F1869" i="1"/>
  <c r="E1869" i="1"/>
  <c r="F1868" i="1"/>
  <c r="E1868" i="1"/>
  <c r="F1867" i="1"/>
  <c r="E1867" i="1"/>
  <c r="F1866" i="1"/>
  <c r="E1866" i="1"/>
  <c r="F1865" i="1"/>
  <c r="E1865" i="1"/>
  <c r="F1864" i="1"/>
  <c r="E1864" i="1"/>
  <c r="F1863" i="1"/>
  <c r="E1863" i="1"/>
  <c r="F1862" i="1"/>
  <c r="E1862" i="1"/>
  <c r="F1861" i="1"/>
  <c r="E1861" i="1"/>
  <c r="F1860" i="1"/>
  <c r="E1860" i="1"/>
  <c r="F1859" i="1"/>
  <c r="E1859" i="1"/>
  <c r="F1858" i="1"/>
  <c r="E1858" i="1"/>
  <c r="F1857" i="1"/>
  <c r="E1857" i="1"/>
  <c r="F1856" i="1"/>
  <c r="E1856" i="1"/>
  <c r="F1855" i="1"/>
  <c r="E1855" i="1"/>
  <c r="F1854" i="1"/>
  <c r="E1854" i="1"/>
  <c r="F1853" i="1"/>
  <c r="E1853" i="1"/>
  <c r="F1852" i="1"/>
  <c r="E1852" i="1"/>
  <c r="F1851" i="1"/>
  <c r="E1851" i="1"/>
  <c r="F1850" i="1"/>
  <c r="E1850" i="1"/>
  <c r="F1849" i="1"/>
  <c r="E1849" i="1"/>
  <c r="F1848" i="1"/>
  <c r="E1848" i="1"/>
  <c r="F1847" i="1"/>
  <c r="E1847" i="1"/>
  <c r="F1846" i="1"/>
  <c r="E1846" i="1"/>
  <c r="F1845" i="1"/>
  <c r="E1845" i="1"/>
  <c r="F1844" i="1"/>
  <c r="E1844" i="1"/>
  <c r="F1843" i="1"/>
  <c r="E1843" i="1"/>
  <c r="F1842" i="1"/>
  <c r="E1842" i="1"/>
  <c r="F1841" i="1"/>
  <c r="E1841" i="1"/>
  <c r="F1840" i="1"/>
  <c r="E1840" i="1"/>
  <c r="F1839" i="1"/>
  <c r="E1839" i="1"/>
  <c r="F1838" i="1"/>
  <c r="E1838" i="1"/>
  <c r="F1837" i="1"/>
  <c r="E1837" i="1"/>
  <c r="F1835" i="1"/>
  <c r="E1835" i="1"/>
  <c r="F1834" i="1"/>
  <c r="E1834" i="1"/>
  <c r="F1833" i="1"/>
  <c r="E1833" i="1"/>
  <c r="F1832" i="1"/>
  <c r="E1832" i="1"/>
  <c r="F1831" i="1"/>
  <c r="E1831" i="1"/>
  <c r="F1828" i="1"/>
  <c r="E1828" i="1"/>
  <c r="F1827" i="1"/>
  <c r="E1827" i="1"/>
  <c r="F1826" i="1"/>
  <c r="E1826" i="1"/>
  <c r="F1825" i="1"/>
  <c r="E1825" i="1"/>
  <c r="F1824" i="1"/>
  <c r="E1824" i="1"/>
  <c r="F1823" i="1"/>
  <c r="E1823" i="1"/>
  <c r="F1822" i="1"/>
  <c r="E1822" i="1"/>
  <c r="F1821" i="1"/>
  <c r="E1821" i="1"/>
  <c r="F1820" i="1"/>
  <c r="E1820" i="1"/>
  <c r="F1819" i="1"/>
  <c r="E1819" i="1"/>
  <c r="F1818" i="1"/>
  <c r="E1818" i="1"/>
  <c r="F1817" i="1"/>
  <c r="E1817" i="1"/>
  <c r="F1816" i="1"/>
  <c r="E1816" i="1"/>
  <c r="F1815" i="1"/>
  <c r="E1815" i="1"/>
  <c r="F1814" i="1"/>
  <c r="E1814" i="1"/>
  <c r="F1813" i="1"/>
  <c r="E1813" i="1"/>
  <c r="F1812" i="1"/>
  <c r="E1812" i="1"/>
  <c r="F1811" i="1"/>
  <c r="E1811" i="1"/>
  <c r="F1810" i="1"/>
  <c r="E1810" i="1"/>
  <c r="F1809" i="1"/>
  <c r="E1809" i="1"/>
  <c r="F1808" i="1"/>
  <c r="E1808" i="1"/>
  <c r="F1807" i="1"/>
  <c r="E1807" i="1"/>
  <c r="F1806" i="1"/>
  <c r="E1806" i="1"/>
  <c r="F1805" i="1"/>
  <c r="E1805" i="1"/>
  <c r="F1804" i="1"/>
  <c r="E1804" i="1"/>
  <c r="F1803" i="1"/>
  <c r="E1803" i="1"/>
  <c r="F1802" i="1"/>
  <c r="E1802" i="1"/>
  <c r="F1801" i="1"/>
  <c r="E1801" i="1"/>
  <c r="F1800" i="1"/>
  <c r="E1800" i="1"/>
  <c r="F1799" i="1"/>
  <c r="E1799" i="1"/>
  <c r="F1798" i="1"/>
  <c r="E1798" i="1"/>
  <c r="F1797" i="1"/>
  <c r="E1797" i="1"/>
  <c r="F1796" i="1"/>
  <c r="E1796" i="1"/>
  <c r="F1795" i="1"/>
  <c r="E1795" i="1"/>
  <c r="F1794" i="1"/>
  <c r="E1794" i="1"/>
  <c r="F1793" i="1"/>
  <c r="E1793" i="1"/>
  <c r="F1792" i="1"/>
  <c r="E1792" i="1"/>
  <c r="F1791" i="1"/>
  <c r="E1791" i="1"/>
  <c r="F1790" i="1"/>
  <c r="E1790" i="1"/>
  <c r="F1789" i="1"/>
  <c r="E1789" i="1"/>
  <c r="F1788" i="1"/>
  <c r="E1788" i="1"/>
  <c r="F1786" i="1"/>
  <c r="E1786" i="1"/>
  <c r="F1785" i="1"/>
  <c r="E1785" i="1"/>
  <c r="F1784" i="1"/>
  <c r="E1784" i="1"/>
  <c r="F1783" i="1"/>
  <c r="E1783" i="1"/>
  <c r="F1782" i="1"/>
  <c r="E1782" i="1"/>
  <c r="F1781" i="1"/>
  <c r="E1781" i="1"/>
  <c r="F1780" i="1"/>
  <c r="E1780" i="1"/>
  <c r="F1779" i="1"/>
  <c r="E1779" i="1"/>
  <c r="F1778" i="1"/>
  <c r="E1778" i="1"/>
  <c r="F1777" i="1"/>
  <c r="E1777" i="1"/>
  <c r="F1776" i="1"/>
  <c r="E1776" i="1"/>
  <c r="F1775" i="1"/>
  <c r="E1775" i="1"/>
  <c r="F1774" i="1"/>
  <c r="E1774" i="1"/>
  <c r="F1773" i="1"/>
  <c r="E1773" i="1"/>
  <c r="F1772" i="1"/>
  <c r="E1772" i="1"/>
  <c r="F1771" i="1"/>
  <c r="E1771" i="1"/>
  <c r="F1770" i="1"/>
  <c r="E1770" i="1"/>
  <c r="F1769" i="1"/>
  <c r="E1769" i="1"/>
  <c r="F1768" i="1"/>
  <c r="E1768" i="1"/>
  <c r="F1767" i="1"/>
  <c r="E1767" i="1"/>
  <c r="F1766" i="1"/>
  <c r="E1766" i="1"/>
  <c r="F1765" i="1"/>
  <c r="E1765" i="1"/>
  <c r="F1764" i="1"/>
  <c r="E1764" i="1"/>
  <c r="F1763" i="1"/>
  <c r="E1763" i="1"/>
  <c r="F1762" i="1"/>
  <c r="E1762" i="1"/>
  <c r="F1761" i="1"/>
  <c r="E1761" i="1"/>
  <c r="F1760" i="1"/>
  <c r="E1760" i="1"/>
  <c r="F1759" i="1"/>
  <c r="E1759" i="1"/>
  <c r="F1758" i="1"/>
  <c r="E1758" i="1"/>
  <c r="F1756" i="1"/>
  <c r="E1756" i="1"/>
  <c r="F1755" i="1"/>
  <c r="E1755" i="1"/>
  <c r="F1754" i="1"/>
  <c r="E1754" i="1"/>
  <c r="F1753" i="1"/>
  <c r="E1753" i="1"/>
  <c r="F1752" i="1"/>
  <c r="E1752" i="1"/>
  <c r="F1751" i="1"/>
  <c r="E1751" i="1"/>
  <c r="F1750" i="1"/>
  <c r="E1750" i="1"/>
  <c r="F1749" i="1"/>
  <c r="E1749" i="1"/>
  <c r="F1747" i="1"/>
  <c r="E1747" i="1"/>
  <c r="F1746" i="1"/>
  <c r="E1746" i="1"/>
  <c r="F1745" i="1"/>
  <c r="E1745" i="1"/>
  <c r="F1744" i="1"/>
  <c r="E1744" i="1"/>
  <c r="F1743" i="1"/>
  <c r="E1743" i="1"/>
  <c r="F1742" i="1"/>
  <c r="E1742" i="1"/>
  <c r="F1741" i="1"/>
  <c r="E1741" i="1"/>
  <c r="F1740" i="1"/>
  <c r="E1740" i="1"/>
  <c r="F1738" i="1"/>
  <c r="E1738" i="1"/>
  <c r="F1737" i="1"/>
  <c r="E1737" i="1"/>
  <c r="F1736" i="1"/>
  <c r="E1736" i="1"/>
  <c r="F1735" i="1"/>
  <c r="E1735" i="1"/>
  <c r="F1734" i="1"/>
  <c r="E1734" i="1"/>
  <c r="F1733" i="1"/>
  <c r="E1733" i="1"/>
  <c r="F1732" i="1"/>
  <c r="E1732" i="1"/>
  <c r="F1731" i="1"/>
  <c r="E1731" i="1"/>
  <c r="F1729" i="1"/>
  <c r="E1729" i="1"/>
  <c r="F1728" i="1"/>
  <c r="E1728" i="1"/>
  <c r="F1727" i="1"/>
  <c r="E1727" i="1"/>
  <c r="F1726" i="1"/>
  <c r="E1726" i="1"/>
  <c r="F1725" i="1"/>
  <c r="E1725" i="1"/>
  <c r="F1724" i="1"/>
  <c r="E1724" i="1"/>
  <c r="F1723" i="1"/>
  <c r="E1723" i="1"/>
  <c r="F1722" i="1"/>
  <c r="E1722" i="1"/>
  <c r="F1721" i="1"/>
  <c r="E1721" i="1"/>
  <c r="F1720" i="1"/>
  <c r="E1720" i="1"/>
  <c r="F1719" i="1"/>
  <c r="E1719" i="1"/>
  <c r="F1718" i="1"/>
  <c r="E1718" i="1"/>
  <c r="F1717" i="1"/>
  <c r="E1717" i="1"/>
  <c r="F1716" i="1"/>
  <c r="E1716" i="1"/>
  <c r="F1715" i="1"/>
  <c r="E1715" i="1"/>
  <c r="F1714" i="1"/>
  <c r="E1714" i="1"/>
  <c r="F1713" i="1"/>
  <c r="E1713" i="1"/>
  <c r="F1712" i="1"/>
  <c r="E1712" i="1"/>
  <c r="F1711" i="1"/>
  <c r="E1711" i="1"/>
  <c r="F1710" i="1"/>
  <c r="E1710" i="1"/>
  <c r="F1709" i="1"/>
  <c r="E1709" i="1"/>
  <c r="F1708" i="1"/>
  <c r="E1708" i="1"/>
  <c r="F1707" i="1"/>
  <c r="E1707" i="1"/>
  <c r="F1706" i="1"/>
  <c r="E1706" i="1"/>
  <c r="F1705" i="1"/>
  <c r="E1705" i="1"/>
  <c r="F1704" i="1"/>
  <c r="E1704" i="1"/>
  <c r="F1703" i="1"/>
  <c r="E1703" i="1"/>
  <c r="F1702" i="1"/>
  <c r="E1702" i="1"/>
  <c r="F1701" i="1"/>
  <c r="E1701" i="1"/>
  <c r="F1700" i="1"/>
  <c r="E1700" i="1"/>
  <c r="F1699" i="1"/>
  <c r="E1699" i="1"/>
  <c r="F1698" i="1"/>
  <c r="E1698" i="1"/>
  <c r="F1697" i="1"/>
  <c r="E1697" i="1"/>
  <c r="F1696" i="1"/>
  <c r="E1696" i="1"/>
  <c r="F1695" i="1"/>
  <c r="E1695" i="1"/>
  <c r="F1694" i="1"/>
  <c r="E1694" i="1"/>
  <c r="F1693" i="1"/>
  <c r="E1693" i="1"/>
  <c r="F1692" i="1"/>
  <c r="E1692" i="1"/>
  <c r="F1690" i="1"/>
  <c r="E1690" i="1"/>
  <c r="F1689" i="1"/>
  <c r="E1689" i="1"/>
  <c r="F1688" i="1"/>
  <c r="E1688" i="1"/>
  <c r="F1687" i="1"/>
  <c r="E1687" i="1"/>
  <c r="F1686" i="1"/>
  <c r="E1686" i="1"/>
  <c r="F1685" i="1"/>
  <c r="E1685" i="1"/>
  <c r="F1684" i="1"/>
  <c r="E1684" i="1"/>
  <c r="F1683" i="1"/>
  <c r="E1683" i="1"/>
  <c r="F1681" i="1"/>
  <c r="E1681" i="1"/>
  <c r="F1680" i="1"/>
  <c r="E1680" i="1"/>
  <c r="F1679" i="1"/>
  <c r="E1679" i="1"/>
  <c r="F1678" i="1"/>
  <c r="E1678" i="1"/>
  <c r="F1677" i="1"/>
  <c r="E1677" i="1"/>
  <c r="F1676" i="1"/>
  <c r="E1676" i="1"/>
  <c r="F1675" i="1"/>
  <c r="E1675" i="1"/>
  <c r="F1674" i="1"/>
  <c r="E1674" i="1"/>
  <c r="F1673" i="1"/>
  <c r="E1673" i="1"/>
  <c r="F1672" i="1"/>
  <c r="E1672" i="1"/>
  <c r="F1671" i="1"/>
  <c r="E1671" i="1"/>
  <c r="F1670" i="1"/>
  <c r="E1670" i="1"/>
  <c r="F1669" i="1"/>
  <c r="E1669" i="1"/>
  <c r="F1668" i="1"/>
  <c r="E1668" i="1"/>
  <c r="F1667" i="1"/>
  <c r="E1667" i="1"/>
  <c r="F1666" i="1"/>
  <c r="E1666" i="1"/>
  <c r="F1665" i="1"/>
  <c r="E1665" i="1"/>
  <c r="F1664" i="1"/>
  <c r="E1664" i="1"/>
  <c r="F1663" i="1"/>
  <c r="E1663" i="1"/>
  <c r="F1662" i="1"/>
  <c r="E1662" i="1"/>
  <c r="F1661" i="1"/>
  <c r="E1661" i="1"/>
  <c r="F1660" i="1"/>
  <c r="E1660" i="1"/>
  <c r="F1659" i="1"/>
  <c r="E1659" i="1"/>
  <c r="F1658" i="1"/>
  <c r="E1658" i="1"/>
  <c r="F1657" i="1"/>
  <c r="E1657" i="1"/>
  <c r="F1656" i="1"/>
  <c r="E1656" i="1"/>
  <c r="F1655" i="1"/>
  <c r="E1655" i="1"/>
  <c r="F1654" i="1"/>
  <c r="E1654" i="1"/>
  <c r="F1653" i="1"/>
  <c r="E1653" i="1"/>
  <c r="F1652" i="1"/>
  <c r="E1652" i="1"/>
  <c r="F1650" i="1"/>
  <c r="E1650" i="1"/>
  <c r="F1649" i="1"/>
  <c r="E1649" i="1"/>
  <c r="F1648" i="1"/>
  <c r="E1648" i="1"/>
  <c r="F1647" i="1"/>
  <c r="E1647" i="1"/>
  <c r="F1646" i="1"/>
  <c r="E1646" i="1"/>
  <c r="F1645" i="1"/>
  <c r="E1645" i="1"/>
  <c r="F1644" i="1"/>
  <c r="E1644" i="1"/>
  <c r="F1643" i="1"/>
  <c r="E1643" i="1"/>
  <c r="F1642" i="1"/>
  <c r="E1642" i="1"/>
  <c r="F1641" i="1"/>
  <c r="E1641" i="1"/>
  <c r="F1640" i="1"/>
  <c r="E1640" i="1"/>
  <c r="F1639" i="1"/>
  <c r="E1639" i="1"/>
  <c r="F1638" i="1"/>
  <c r="E1638" i="1"/>
  <c r="F1637" i="1"/>
  <c r="E1637" i="1"/>
  <c r="F1636" i="1"/>
  <c r="E1636" i="1"/>
  <c r="F1634" i="1"/>
  <c r="E1634" i="1"/>
  <c r="F1633" i="1"/>
  <c r="E1633" i="1"/>
  <c r="F1632" i="1"/>
  <c r="E1632" i="1"/>
  <c r="F1631" i="1"/>
  <c r="E1631" i="1"/>
  <c r="F1630" i="1"/>
  <c r="E1630" i="1"/>
  <c r="F1629" i="1"/>
  <c r="E1629" i="1"/>
  <c r="F1628" i="1"/>
  <c r="E1628" i="1"/>
  <c r="F1627" i="1"/>
  <c r="E1627" i="1"/>
  <c r="F1626" i="1"/>
  <c r="E1626" i="1"/>
  <c r="F1625" i="1"/>
  <c r="E1625" i="1"/>
  <c r="F1624" i="1"/>
  <c r="E1624" i="1"/>
  <c r="F1623" i="1"/>
  <c r="E1623" i="1"/>
  <c r="F1622" i="1"/>
  <c r="E1622" i="1"/>
  <c r="F1621" i="1"/>
  <c r="E1621" i="1"/>
  <c r="F1620" i="1"/>
  <c r="E1620" i="1"/>
  <c r="F1619" i="1"/>
  <c r="E1619" i="1"/>
  <c r="F1618" i="1"/>
  <c r="E1618" i="1"/>
  <c r="F1617" i="1"/>
  <c r="E1617" i="1"/>
  <c r="F1616" i="1"/>
  <c r="E1616" i="1"/>
  <c r="F1615" i="1"/>
  <c r="E1615" i="1"/>
  <c r="F1614" i="1"/>
  <c r="E1614" i="1"/>
  <c r="F1613" i="1"/>
  <c r="E1613" i="1"/>
  <c r="F1612" i="1"/>
  <c r="E1612" i="1"/>
  <c r="F1611" i="1"/>
  <c r="E1611" i="1"/>
  <c r="F1610" i="1"/>
  <c r="E1610" i="1"/>
  <c r="F1609" i="1"/>
  <c r="E1609" i="1"/>
  <c r="F1608" i="1"/>
  <c r="E1608" i="1"/>
  <c r="F1607" i="1"/>
  <c r="E1607" i="1"/>
  <c r="F1606" i="1"/>
  <c r="E1606" i="1"/>
  <c r="F1605" i="1"/>
  <c r="E1605" i="1"/>
  <c r="F1604" i="1"/>
  <c r="E1604" i="1"/>
  <c r="F1603" i="1"/>
  <c r="E1603" i="1"/>
  <c r="F1602" i="1"/>
  <c r="E1602" i="1"/>
  <c r="F1601" i="1"/>
  <c r="E1601" i="1"/>
  <c r="F1600" i="1"/>
  <c r="E1600" i="1"/>
  <c r="F1599" i="1"/>
  <c r="E1599" i="1"/>
  <c r="F1598" i="1"/>
  <c r="E1598" i="1"/>
  <c r="F1597" i="1"/>
  <c r="E1597" i="1"/>
  <c r="F1595" i="1"/>
  <c r="E1595" i="1"/>
  <c r="F1594" i="1"/>
  <c r="E1594" i="1"/>
  <c r="F1593" i="1"/>
  <c r="E1593" i="1"/>
  <c r="F1592" i="1"/>
  <c r="E1592" i="1"/>
  <c r="F1591" i="1"/>
  <c r="E1591" i="1"/>
  <c r="F1590" i="1"/>
  <c r="E1590" i="1"/>
  <c r="F1589" i="1"/>
  <c r="E1589" i="1"/>
  <c r="F1588" i="1"/>
  <c r="E1588" i="1"/>
  <c r="F1587" i="1"/>
  <c r="E1587" i="1"/>
  <c r="F1586" i="1"/>
  <c r="E1586" i="1"/>
  <c r="F1585" i="1"/>
  <c r="E1585" i="1"/>
  <c r="F1584" i="1"/>
  <c r="E1584" i="1"/>
  <c r="F1583" i="1"/>
  <c r="E1583" i="1"/>
  <c r="F1582" i="1"/>
  <c r="E1582" i="1"/>
  <c r="F1581" i="1"/>
  <c r="E1581" i="1"/>
  <c r="F1580" i="1"/>
  <c r="E1580" i="1"/>
  <c r="F1579" i="1"/>
  <c r="E1579" i="1"/>
  <c r="F1578" i="1"/>
  <c r="E1578" i="1"/>
  <c r="F1577" i="1"/>
  <c r="E1577" i="1"/>
  <c r="F1576" i="1"/>
  <c r="E1576" i="1"/>
  <c r="F1575" i="1"/>
  <c r="E1575" i="1"/>
  <c r="F1574" i="1"/>
  <c r="E1574" i="1"/>
  <c r="F1573" i="1"/>
  <c r="E1573" i="1"/>
  <c r="F1572" i="1"/>
  <c r="E1572" i="1"/>
  <c r="F1571" i="1"/>
  <c r="E1571" i="1"/>
  <c r="F1570" i="1"/>
  <c r="E1570" i="1"/>
  <c r="F1569" i="1"/>
  <c r="E1569" i="1"/>
  <c r="F1568" i="1"/>
  <c r="E1568" i="1"/>
  <c r="F1567" i="1"/>
  <c r="E1567" i="1"/>
  <c r="F1566" i="1"/>
  <c r="E1566" i="1"/>
  <c r="F1565" i="1"/>
  <c r="E1565" i="1"/>
  <c r="F1564" i="1"/>
  <c r="E1564" i="1"/>
  <c r="F1563" i="1"/>
  <c r="E1563" i="1"/>
  <c r="F1562" i="1"/>
  <c r="E1562" i="1"/>
  <c r="F1561" i="1"/>
  <c r="E1561" i="1"/>
  <c r="F1560" i="1"/>
  <c r="E1560" i="1"/>
  <c r="F1559" i="1"/>
  <c r="E1559" i="1"/>
  <c r="F1558" i="1"/>
  <c r="E1558" i="1"/>
  <c r="F1557" i="1"/>
  <c r="E1557" i="1"/>
  <c r="F1556" i="1"/>
  <c r="E1556" i="1"/>
  <c r="F1555" i="1"/>
  <c r="E1555" i="1"/>
  <c r="F1554" i="1"/>
  <c r="E1554" i="1"/>
  <c r="F1553" i="1"/>
  <c r="E1553" i="1"/>
  <c r="F1551" i="1"/>
  <c r="E1551" i="1"/>
  <c r="F1550" i="1"/>
  <c r="E1550" i="1"/>
  <c r="F1549" i="1"/>
  <c r="E1549" i="1"/>
  <c r="F1548" i="1"/>
  <c r="E1548" i="1"/>
  <c r="F1547" i="1"/>
  <c r="E1547" i="1"/>
  <c r="F1546" i="1"/>
  <c r="E1546" i="1"/>
  <c r="F1544" i="1"/>
  <c r="E1544" i="1"/>
  <c r="F1543" i="1"/>
  <c r="E1543" i="1"/>
  <c r="F1542" i="1"/>
  <c r="E1542" i="1"/>
  <c r="F1541" i="1"/>
  <c r="E1541" i="1"/>
  <c r="F1540" i="1"/>
  <c r="E1540" i="1"/>
  <c r="F1539" i="1"/>
  <c r="E1539" i="1"/>
  <c r="F1538" i="1"/>
  <c r="E1538" i="1"/>
  <c r="F1537" i="1"/>
  <c r="E1537" i="1"/>
  <c r="F1536" i="1"/>
  <c r="E1536" i="1"/>
  <c r="F1535" i="1"/>
  <c r="E1535" i="1"/>
  <c r="F1534" i="1"/>
  <c r="E1534" i="1"/>
  <c r="F1533" i="1"/>
  <c r="E1533" i="1"/>
  <c r="F1532" i="1"/>
  <c r="E1532" i="1"/>
  <c r="F1531" i="1"/>
  <c r="E1531" i="1"/>
  <c r="F1530" i="1"/>
  <c r="E1530" i="1"/>
  <c r="F1529" i="1"/>
  <c r="E1529" i="1"/>
  <c r="F1528" i="1"/>
  <c r="E1528" i="1"/>
  <c r="F1527" i="1"/>
  <c r="E1527" i="1"/>
  <c r="F1526" i="1"/>
  <c r="E1526" i="1"/>
  <c r="F1525" i="1"/>
  <c r="E1525" i="1"/>
  <c r="F1524" i="1"/>
  <c r="E1524" i="1"/>
  <c r="F1523" i="1"/>
  <c r="E1523" i="1"/>
  <c r="F1522" i="1"/>
  <c r="E1522" i="1"/>
  <c r="F1521" i="1"/>
  <c r="E1521" i="1"/>
  <c r="F1520" i="1"/>
  <c r="E1520" i="1"/>
  <c r="F1519" i="1"/>
  <c r="E1519" i="1"/>
  <c r="F1518" i="1"/>
  <c r="E1518" i="1"/>
  <c r="F1517" i="1"/>
  <c r="E1517" i="1"/>
  <c r="F1516" i="1"/>
  <c r="E1516" i="1"/>
  <c r="F1515" i="1"/>
  <c r="E1515" i="1"/>
  <c r="F1514" i="1"/>
  <c r="E1514" i="1"/>
  <c r="F1513" i="1"/>
  <c r="E1513" i="1"/>
  <c r="F1512" i="1"/>
  <c r="E1512" i="1"/>
  <c r="F1511" i="1"/>
  <c r="E1511" i="1"/>
  <c r="F1510" i="1"/>
  <c r="E1510" i="1"/>
  <c r="F1509" i="1"/>
  <c r="E1509" i="1"/>
  <c r="F1508" i="1"/>
  <c r="E1508" i="1"/>
  <c r="F1507" i="1"/>
  <c r="E1507" i="1"/>
  <c r="F1506" i="1"/>
  <c r="E1506" i="1"/>
  <c r="F1505" i="1"/>
  <c r="E1505" i="1"/>
  <c r="F1504" i="1"/>
  <c r="E1504" i="1"/>
  <c r="F1503" i="1"/>
  <c r="E1503" i="1"/>
  <c r="F1502" i="1"/>
  <c r="E1502" i="1"/>
  <c r="F1501" i="1"/>
  <c r="E1501" i="1"/>
  <c r="F1500" i="1"/>
  <c r="E1500" i="1"/>
  <c r="F1499" i="1"/>
  <c r="E1499" i="1"/>
  <c r="F1498" i="1"/>
  <c r="E1498" i="1"/>
  <c r="F1497" i="1"/>
  <c r="E1497" i="1"/>
  <c r="F1496" i="1"/>
  <c r="E1496" i="1"/>
  <c r="F1495" i="1"/>
  <c r="E1495" i="1"/>
  <c r="F1494" i="1"/>
  <c r="E1494" i="1"/>
  <c r="F1493" i="1"/>
  <c r="E1493" i="1"/>
  <c r="F1492" i="1"/>
  <c r="E1492" i="1"/>
  <c r="F1491" i="1"/>
  <c r="E1491" i="1"/>
  <c r="F1490" i="1"/>
  <c r="E1490" i="1"/>
  <c r="F1489" i="1"/>
  <c r="E1489" i="1"/>
  <c r="F1488" i="1"/>
  <c r="E1488" i="1"/>
  <c r="F1487" i="1"/>
  <c r="E1487" i="1"/>
  <c r="F1486" i="1"/>
  <c r="E1486" i="1"/>
  <c r="F1485" i="1"/>
  <c r="E1485" i="1"/>
  <c r="F1484" i="1"/>
  <c r="E1484" i="1"/>
  <c r="F1483" i="1"/>
  <c r="E1483" i="1"/>
  <c r="F1482" i="1"/>
  <c r="E1482" i="1"/>
  <c r="F1481" i="1"/>
  <c r="E1481" i="1"/>
  <c r="F1480" i="1"/>
  <c r="E1480" i="1"/>
  <c r="F1479" i="1"/>
  <c r="E1479" i="1"/>
  <c r="F1478" i="1"/>
  <c r="E1478" i="1"/>
  <c r="F1477" i="1"/>
  <c r="E1477" i="1"/>
  <c r="F1476" i="1"/>
  <c r="E1476" i="1"/>
  <c r="F1475" i="1"/>
  <c r="E1475" i="1"/>
  <c r="F1474" i="1"/>
  <c r="E1474" i="1"/>
  <c r="F1473" i="1"/>
  <c r="E1473" i="1"/>
  <c r="F1472" i="1"/>
  <c r="E1472" i="1"/>
  <c r="F1471" i="1"/>
  <c r="E1471" i="1"/>
  <c r="F1470" i="1"/>
  <c r="E1470" i="1"/>
  <c r="F1469" i="1"/>
  <c r="E1469" i="1"/>
  <c r="F1468" i="1"/>
  <c r="E1468" i="1"/>
  <c r="F1467" i="1"/>
  <c r="E1467" i="1"/>
  <c r="F1466" i="1"/>
  <c r="E1466" i="1"/>
  <c r="F1465" i="1"/>
  <c r="E1465" i="1"/>
  <c r="F1464" i="1"/>
  <c r="E1464" i="1"/>
  <c r="F1463" i="1"/>
  <c r="E1463" i="1"/>
  <c r="F1462" i="1"/>
  <c r="E1462" i="1"/>
  <c r="F1461" i="1"/>
  <c r="E1461" i="1"/>
  <c r="F1460" i="1"/>
  <c r="E1460" i="1"/>
  <c r="F1459" i="1"/>
  <c r="E1459" i="1"/>
  <c r="F1458" i="1"/>
  <c r="E1458" i="1"/>
  <c r="F1457" i="1"/>
  <c r="E1457" i="1"/>
  <c r="F1455" i="1"/>
  <c r="E1455" i="1"/>
  <c r="F1454" i="1"/>
  <c r="E1454" i="1"/>
  <c r="F1453" i="1"/>
  <c r="E1453" i="1"/>
  <c r="F1452" i="1"/>
  <c r="E1452" i="1"/>
  <c r="F1451" i="1"/>
  <c r="E1451" i="1"/>
  <c r="F1450" i="1"/>
  <c r="E1450" i="1"/>
  <c r="F1449" i="1"/>
  <c r="E1449" i="1"/>
  <c r="F1448" i="1"/>
  <c r="E1448" i="1"/>
  <c r="F1447" i="1"/>
  <c r="E1447" i="1"/>
  <c r="F1446" i="1"/>
  <c r="E1446" i="1"/>
  <c r="F1445" i="1"/>
  <c r="E1445" i="1"/>
  <c r="F1444" i="1"/>
  <c r="E1444" i="1"/>
  <c r="F1443" i="1"/>
  <c r="E1443" i="1"/>
  <c r="F1442" i="1"/>
  <c r="E1442" i="1"/>
  <c r="F1441" i="1"/>
  <c r="E1441" i="1"/>
  <c r="F1440" i="1"/>
  <c r="E1440" i="1"/>
  <c r="F1439" i="1"/>
  <c r="E1439" i="1"/>
  <c r="F1438" i="1"/>
  <c r="E1438" i="1"/>
  <c r="F1436" i="1"/>
  <c r="E1436" i="1"/>
  <c r="F1435" i="1"/>
  <c r="E1435" i="1"/>
  <c r="F1434" i="1"/>
  <c r="E1434" i="1"/>
  <c r="F1433" i="1"/>
  <c r="E1433" i="1"/>
  <c r="F1432" i="1"/>
  <c r="E1432" i="1"/>
  <c r="F1431" i="1"/>
  <c r="E1431" i="1"/>
  <c r="F1430" i="1"/>
  <c r="E1430" i="1"/>
  <c r="F1429" i="1"/>
  <c r="E1429" i="1"/>
  <c r="F1428" i="1"/>
  <c r="E1428" i="1"/>
  <c r="F1427" i="1"/>
  <c r="E1427" i="1"/>
  <c r="F1426" i="1"/>
  <c r="E1426" i="1"/>
  <c r="F1425" i="1"/>
  <c r="E1425" i="1"/>
  <c r="F1423" i="1"/>
  <c r="E1423" i="1"/>
  <c r="F1422" i="1"/>
  <c r="E1422" i="1"/>
  <c r="F1421" i="1"/>
  <c r="E1421" i="1"/>
  <c r="F1420" i="1"/>
  <c r="E1420" i="1"/>
  <c r="F1419" i="1"/>
  <c r="E1419" i="1"/>
  <c r="F1418" i="1"/>
  <c r="E1418" i="1"/>
  <c r="F1417" i="1"/>
  <c r="E1417" i="1"/>
  <c r="F1416" i="1"/>
  <c r="E1416" i="1"/>
  <c r="F1415" i="1"/>
  <c r="E1415" i="1"/>
  <c r="F1414" i="1"/>
  <c r="E1414" i="1"/>
  <c r="F1413" i="1"/>
  <c r="E1413" i="1"/>
  <c r="F1412" i="1"/>
  <c r="E1412" i="1"/>
  <c r="F1411" i="1"/>
  <c r="E1411" i="1"/>
  <c r="F1410" i="1"/>
  <c r="E1410" i="1"/>
  <c r="F1409" i="1"/>
  <c r="E1409" i="1"/>
  <c r="F1408" i="1"/>
  <c r="E1408" i="1"/>
  <c r="F1407" i="1"/>
  <c r="E1407" i="1"/>
  <c r="F1406" i="1"/>
  <c r="E1406" i="1"/>
  <c r="F1405" i="1"/>
  <c r="E1405" i="1"/>
  <c r="F1404" i="1"/>
  <c r="E1404" i="1"/>
  <c r="F1403" i="1"/>
  <c r="E1403" i="1"/>
  <c r="F1402" i="1"/>
  <c r="E1402" i="1"/>
  <c r="F1401" i="1"/>
  <c r="E1401" i="1"/>
  <c r="F1400" i="1"/>
  <c r="E1400" i="1"/>
  <c r="F1399" i="1"/>
  <c r="E1399" i="1"/>
  <c r="F1398" i="1"/>
  <c r="E1398" i="1"/>
  <c r="F1397" i="1"/>
  <c r="E1397" i="1"/>
  <c r="F1396" i="1"/>
  <c r="E1396" i="1"/>
  <c r="F1395" i="1"/>
  <c r="E1395" i="1"/>
  <c r="F1394" i="1"/>
  <c r="E1394" i="1"/>
  <c r="F1393" i="1"/>
  <c r="E1393" i="1"/>
  <c r="F1392" i="1"/>
  <c r="E1392" i="1"/>
  <c r="F1391" i="1"/>
  <c r="E1391" i="1"/>
  <c r="F1390" i="1"/>
  <c r="E1390" i="1"/>
  <c r="F1389" i="1"/>
  <c r="E1389" i="1"/>
  <c r="F1388" i="1"/>
  <c r="E1388" i="1"/>
  <c r="F1387" i="1"/>
  <c r="E1387" i="1"/>
  <c r="F1386" i="1"/>
  <c r="E1386" i="1"/>
  <c r="F1385" i="1"/>
  <c r="E1385" i="1"/>
  <c r="F1384" i="1"/>
  <c r="E1384" i="1"/>
  <c r="F1383" i="1"/>
  <c r="E1383" i="1"/>
  <c r="F1382" i="1"/>
  <c r="E1382" i="1"/>
  <c r="F1381" i="1"/>
  <c r="E1381" i="1"/>
  <c r="F1380" i="1"/>
  <c r="E1380" i="1"/>
  <c r="F1379" i="1"/>
  <c r="E1379" i="1"/>
  <c r="F1378" i="1"/>
  <c r="E1378" i="1"/>
  <c r="F1376" i="1"/>
  <c r="E1376" i="1"/>
  <c r="F1375" i="1"/>
  <c r="E1375" i="1"/>
  <c r="F1374" i="1"/>
  <c r="E1374" i="1"/>
  <c r="F1373" i="1"/>
  <c r="E1373" i="1"/>
  <c r="F1372" i="1"/>
  <c r="E1372" i="1"/>
  <c r="F1371" i="1"/>
  <c r="E1371" i="1"/>
  <c r="F1370" i="1"/>
  <c r="E1370" i="1"/>
  <c r="F1369" i="1"/>
  <c r="E1369" i="1"/>
  <c r="F1368" i="1"/>
  <c r="E1368" i="1"/>
  <c r="F1367" i="1"/>
  <c r="E1367" i="1"/>
  <c r="F1366" i="1"/>
  <c r="E1366" i="1"/>
  <c r="F1365" i="1"/>
  <c r="E1365" i="1"/>
  <c r="F1364" i="1"/>
  <c r="E1364" i="1"/>
  <c r="F1363" i="1"/>
  <c r="E1363" i="1"/>
  <c r="F1361" i="1"/>
  <c r="E1361" i="1"/>
  <c r="F1360" i="1"/>
  <c r="E1360" i="1"/>
  <c r="F1359" i="1"/>
  <c r="E1359" i="1"/>
  <c r="F1358" i="1"/>
  <c r="E1358" i="1"/>
  <c r="F1357" i="1"/>
  <c r="E1357" i="1"/>
  <c r="F1356" i="1"/>
  <c r="E1356" i="1"/>
  <c r="F1354" i="1"/>
  <c r="E1354" i="1"/>
  <c r="F1353" i="1"/>
  <c r="E1353" i="1"/>
  <c r="F1352" i="1"/>
  <c r="E1352" i="1"/>
  <c r="F1351" i="1"/>
  <c r="E1351" i="1"/>
  <c r="F1350" i="1"/>
  <c r="E1350" i="1"/>
  <c r="F1349" i="1"/>
  <c r="E1349" i="1"/>
  <c r="F1348" i="1"/>
  <c r="E1348" i="1"/>
  <c r="F1347" i="1"/>
  <c r="E1347" i="1"/>
  <c r="F1346" i="1"/>
  <c r="E1346" i="1"/>
  <c r="F1345" i="1"/>
  <c r="E1345" i="1"/>
  <c r="F1344" i="1"/>
  <c r="E1344" i="1"/>
  <c r="F1343" i="1"/>
  <c r="E1343" i="1"/>
  <c r="F1342" i="1"/>
  <c r="E1342" i="1"/>
  <c r="F1341" i="1"/>
  <c r="E1341" i="1"/>
  <c r="F1340" i="1"/>
  <c r="E1340" i="1"/>
  <c r="F1339" i="1"/>
  <c r="E1339" i="1"/>
  <c r="F1338" i="1"/>
  <c r="E1338" i="1"/>
  <c r="F1336" i="1"/>
  <c r="E1336" i="1"/>
  <c r="F1335" i="1"/>
  <c r="E1335" i="1"/>
  <c r="F1334" i="1"/>
  <c r="E1334" i="1"/>
  <c r="F1333" i="1"/>
  <c r="E1333" i="1"/>
  <c r="F1332" i="1"/>
  <c r="E1332" i="1"/>
  <c r="F1331" i="1"/>
  <c r="E1331" i="1"/>
  <c r="F1330" i="1"/>
  <c r="E1330" i="1"/>
  <c r="F1329" i="1"/>
  <c r="E1329" i="1"/>
  <c r="F1328" i="1"/>
  <c r="E1328" i="1"/>
  <c r="F1327" i="1"/>
  <c r="E1327" i="1"/>
  <c r="F1326" i="1"/>
  <c r="E1326" i="1"/>
  <c r="F1325" i="1"/>
  <c r="E1325" i="1"/>
  <c r="F1324" i="1"/>
  <c r="E1324" i="1"/>
  <c r="F1323" i="1"/>
  <c r="E1323" i="1"/>
  <c r="F1322" i="1"/>
  <c r="E1322" i="1"/>
  <c r="F1321" i="1"/>
  <c r="E1321" i="1"/>
  <c r="F1320" i="1"/>
  <c r="E1320" i="1"/>
  <c r="F1319" i="1"/>
  <c r="E1319" i="1"/>
  <c r="F1318" i="1"/>
  <c r="E1318" i="1"/>
  <c r="F1317" i="1"/>
  <c r="E1317" i="1"/>
  <c r="F1316" i="1"/>
  <c r="E1316" i="1"/>
  <c r="F1315" i="1"/>
  <c r="E1315" i="1"/>
  <c r="F1314" i="1"/>
  <c r="E1314" i="1"/>
  <c r="F1313" i="1"/>
  <c r="E1313" i="1"/>
  <c r="F1312" i="1"/>
  <c r="E1312" i="1"/>
  <c r="F1311" i="1"/>
  <c r="E1311" i="1"/>
  <c r="F1310" i="1"/>
  <c r="E1310" i="1"/>
  <c r="F1309" i="1"/>
  <c r="E1309" i="1"/>
  <c r="F1308" i="1"/>
  <c r="E1308" i="1"/>
  <c r="F1307" i="1"/>
  <c r="E1307" i="1"/>
  <c r="F1306" i="1"/>
  <c r="E1306" i="1"/>
  <c r="F1305" i="1"/>
  <c r="E1305" i="1"/>
  <c r="F1304" i="1"/>
  <c r="E1304" i="1"/>
  <c r="F1303" i="1"/>
  <c r="E1303" i="1"/>
  <c r="F1302" i="1"/>
  <c r="E1302" i="1"/>
  <c r="F1301" i="1"/>
  <c r="E1301" i="1"/>
  <c r="F1300" i="1"/>
  <c r="E1300" i="1"/>
  <c r="F1299" i="1"/>
  <c r="E1299" i="1"/>
  <c r="F1298" i="1"/>
  <c r="E1298" i="1"/>
  <c r="F1296" i="1"/>
  <c r="E1296" i="1"/>
  <c r="F1295" i="1"/>
  <c r="E1295" i="1"/>
  <c r="F1294" i="1"/>
  <c r="E1294" i="1"/>
  <c r="F1293" i="1"/>
  <c r="E1293" i="1"/>
  <c r="F1292" i="1"/>
  <c r="E1292" i="1"/>
  <c r="F1291" i="1"/>
  <c r="E1291" i="1"/>
  <c r="F1290" i="1"/>
  <c r="E1290" i="1"/>
  <c r="F1289" i="1"/>
  <c r="E1289" i="1"/>
  <c r="F1288" i="1"/>
  <c r="E1288" i="1"/>
  <c r="F1287" i="1"/>
  <c r="E1287" i="1"/>
  <c r="F1286" i="1"/>
  <c r="E1286" i="1"/>
  <c r="F1285" i="1"/>
  <c r="E1285" i="1"/>
  <c r="F1284" i="1"/>
  <c r="E1284" i="1"/>
  <c r="F1283" i="1"/>
  <c r="E1283" i="1"/>
  <c r="F1282" i="1"/>
  <c r="E1282" i="1"/>
  <c r="F1281" i="1"/>
  <c r="E1281" i="1"/>
  <c r="F1279" i="1"/>
  <c r="E1279" i="1"/>
  <c r="F1278" i="1"/>
  <c r="E1278" i="1"/>
  <c r="F1277" i="1"/>
  <c r="E1277" i="1"/>
  <c r="F1276" i="1"/>
  <c r="E1276" i="1"/>
  <c r="F1275" i="1"/>
  <c r="E1275" i="1"/>
  <c r="F1274" i="1"/>
  <c r="E1274" i="1"/>
  <c r="F1273" i="1"/>
  <c r="E1273" i="1"/>
  <c r="F1272" i="1"/>
  <c r="E1272" i="1"/>
  <c r="F1271" i="1"/>
  <c r="E1271" i="1"/>
  <c r="F1270" i="1"/>
  <c r="E1270" i="1"/>
  <c r="F1269" i="1"/>
  <c r="E1269" i="1"/>
  <c r="F1268" i="1"/>
  <c r="E1268" i="1"/>
  <c r="F1267" i="1"/>
  <c r="E1267" i="1"/>
  <c r="F1266" i="1"/>
  <c r="E1266" i="1"/>
  <c r="F1265" i="1"/>
  <c r="E1265" i="1"/>
  <c r="F1264" i="1"/>
  <c r="E1264" i="1"/>
  <c r="F1263" i="1"/>
  <c r="E1263" i="1"/>
  <c r="F1262" i="1"/>
  <c r="E1262" i="1"/>
  <c r="F1261" i="1"/>
  <c r="E1261" i="1"/>
  <c r="F1260" i="1"/>
  <c r="E1260" i="1"/>
  <c r="F1259" i="1"/>
  <c r="E1259" i="1"/>
  <c r="F1258" i="1"/>
  <c r="E1258" i="1"/>
  <c r="F1257" i="1"/>
  <c r="E1257" i="1"/>
  <c r="F1256" i="1"/>
  <c r="E1256" i="1"/>
  <c r="F1255" i="1"/>
  <c r="E1255" i="1"/>
  <c r="F1254" i="1"/>
  <c r="E1254" i="1"/>
  <c r="F1253" i="1"/>
  <c r="E1253" i="1"/>
  <c r="F1252" i="1"/>
  <c r="E1252" i="1"/>
  <c r="F1251" i="1"/>
  <c r="E1251" i="1"/>
  <c r="F1250" i="1"/>
  <c r="E1250" i="1"/>
  <c r="F1249" i="1"/>
  <c r="E1249" i="1"/>
  <c r="F1248" i="1"/>
  <c r="E1248" i="1"/>
  <c r="F1247" i="1"/>
  <c r="E1247" i="1"/>
  <c r="F1246" i="1"/>
  <c r="E1246" i="1"/>
  <c r="F1245" i="1"/>
  <c r="E1245" i="1"/>
  <c r="F1244" i="1"/>
  <c r="E1244" i="1"/>
  <c r="F1242" i="1"/>
  <c r="E1242" i="1"/>
  <c r="F1241" i="1"/>
  <c r="E1241" i="1"/>
  <c r="F1240" i="1"/>
  <c r="E1240" i="1"/>
  <c r="F1239" i="1"/>
  <c r="E1239" i="1"/>
  <c r="F1238" i="1"/>
  <c r="E1238" i="1"/>
  <c r="F1237" i="1"/>
  <c r="E1237" i="1"/>
  <c r="F1236" i="1"/>
  <c r="E1236" i="1"/>
  <c r="F1235" i="1"/>
  <c r="E1235" i="1"/>
  <c r="F1234" i="1"/>
  <c r="E1234" i="1"/>
  <c r="F1233" i="1"/>
  <c r="E1233" i="1"/>
  <c r="F1232" i="1"/>
  <c r="E1232" i="1"/>
  <c r="F1231" i="1"/>
  <c r="E1231" i="1"/>
  <c r="F1230" i="1"/>
  <c r="E1230" i="1"/>
  <c r="F1229" i="1"/>
  <c r="E1229" i="1"/>
  <c r="F1228" i="1"/>
  <c r="E1228" i="1"/>
  <c r="F1227" i="1"/>
  <c r="E1227" i="1"/>
  <c r="F1226" i="1"/>
  <c r="E1226" i="1"/>
  <c r="F1225" i="1"/>
  <c r="E1225" i="1"/>
  <c r="F1224" i="1"/>
  <c r="E1224" i="1"/>
  <c r="F1223" i="1"/>
  <c r="E1223" i="1"/>
  <c r="F1222" i="1"/>
  <c r="E1222" i="1"/>
  <c r="F1221" i="1"/>
  <c r="E1221" i="1"/>
  <c r="F1220" i="1"/>
  <c r="E1220" i="1"/>
  <c r="F1219" i="1"/>
  <c r="E1219" i="1"/>
  <c r="F1218" i="1"/>
  <c r="E1218" i="1"/>
  <c r="F1217" i="1"/>
  <c r="E1217" i="1"/>
  <c r="F1216" i="1"/>
  <c r="E1216" i="1"/>
  <c r="F1215" i="1"/>
  <c r="E1215" i="1"/>
  <c r="F1214" i="1"/>
  <c r="E1214" i="1"/>
  <c r="F1213" i="1"/>
  <c r="E1213" i="1"/>
  <c r="F1212" i="1"/>
  <c r="E1212" i="1"/>
  <c r="F1211" i="1"/>
  <c r="E1211" i="1"/>
  <c r="F1210" i="1"/>
  <c r="E1210" i="1"/>
  <c r="F1209" i="1"/>
  <c r="E1209" i="1"/>
  <c r="F1208" i="1"/>
  <c r="E1208" i="1"/>
  <c r="F1207" i="1"/>
  <c r="E1207" i="1"/>
  <c r="F1206" i="1"/>
  <c r="E1206" i="1"/>
  <c r="F1205" i="1"/>
  <c r="E1205" i="1"/>
  <c r="F1204" i="1"/>
  <c r="E1204" i="1"/>
  <c r="F1203" i="1"/>
  <c r="E1203" i="1"/>
  <c r="F1202" i="1"/>
  <c r="E1202" i="1"/>
  <c r="F1201" i="1"/>
  <c r="E1201" i="1"/>
  <c r="F1200" i="1"/>
  <c r="E1200" i="1"/>
  <c r="F1199" i="1"/>
  <c r="E1199" i="1"/>
  <c r="F1196" i="1"/>
  <c r="E1196" i="1"/>
  <c r="F1195" i="1"/>
  <c r="E1195" i="1"/>
  <c r="F1194" i="1"/>
  <c r="E1194" i="1"/>
  <c r="F1193" i="1"/>
  <c r="E1193" i="1"/>
  <c r="F1192" i="1"/>
  <c r="E1192" i="1"/>
  <c r="F1191" i="1"/>
  <c r="E1191" i="1"/>
  <c r="F1189" i="1"/>
  <c r="E1189" i="1"/>
  <c r="F1188" i="1"/>
  <c r="E1188" i="1"/>
  <c r="F1187" i="1"/>
  <c r="E1187" i="1"/>
  <c r="F1186" i="1"/>
  <c r="E1186" i="1"/>
  <c r="F1184" i="1"/>
  <c r="E1184" i="1"/>
  <c r="F1183" i="1"/>
  <c r="E1183" i="1"/>
  <c r="F1182" i="1"/>
  <c r="E1182" i="1"/>
  <c r="F1180" i="1"/>
  <c r="E1180" i="1"/>
  <c r="F1179" i="1"/>
  <c r="E1179" i="1"/>
  <c r="F1178" i="1"/>
  <c r="E1178" i="1"/>
  <c r="F1177" i="1"/>
  <c r="E1177" i="1"/>
  <c r="F1176" i="1"/>
  <c r="E1176" i="1"/>
  <c r="F1175" i="1"/>
  <c r="E1175" i="1"/>
  <c r="F1174" i="1"/>
  <c r="E1174" i="1"/>
  <c r="F1173" i="1"/>
  <c r="E1173" i="1"/>
  <c r="F1172" i="1"/>
  <c r="E1172" i="1"/>
  <c r="F1171" i="1"/>
  <c r="E1171" i="1"/>
  <c r="F1170" i="1"/>
  <c r="E1170" i="1"/>
  <c r="F1169" i="1"/>
  <c r="E1169" i="1"/>
  <c r="F1168" i="1"/>
  <c r="E1168" i="1"/>
  <c r="F1167" i="1"/>
  <c r="E1167" i="1"/>
  <c r="F1166" i="1"/>
  <c r="E1166" i="1"/>
  <c r="F1165" i="1"/>
  <c r="E1165" i="1"/>
  <c r="F1164" i="1"/>
  <c r="E1164" i="1"/>
  <c r="F1163" i="1"/>
  <c r="E1163" i="1"/>
  <c r="F1162" i="1"/>
  <c r="E1162" i="1"/>
  <c r="F1161" i="1"/>
  <c r="E1161" i="1"/>
  <c r="F1160" i="1"/>
  <c r="E1160" i="1"/>
  <c r="F1159" i="1"/>
  <c r="E1159" i="1"/>
  <c r="F1158" i="1"/>
  <c r="E1158" i="1"/>
  <c r="F1157" i="1"/>
  <c r="E1157" i="1"/>
  <c r="F1156" i="1"/>
  <c r="E1156" i="1"/>
  <c r="F1155" i="1"/>
  <c r="E1155" i="1"/>
  <c r="F1154" i="1"/>
  <c r="E1154" i="1"/>
  <c r="F1153" i="1"/>
  <c r="E1153" i="1"/>
  <c r="F1152" i="1"/>
  <c r="E1152" i="1"/>
  <c r="F1151" i="1"/>
  <c r="E1151" i="1"/>
  <c r="F1150" i="1"/>
  <c r="E1150" i="1"/>
  <c r="F1149" i="1"/>
  <c r="E1149" i="1"/>
  <c r="F1147" i="1"/>
  <c r="E1147" i="1"/>
  <c r="F1146" i="1"/>
  <c r="E1146" i="1"/>
  <c r="F1145" i="1"/>
  <c r="E1145" i="1"/>
  <c r="F1144" i="1"/>
  <c r="E1144" i="1"/>
  <c r="F1143" i="1"/>
  <c r="E1143" i="1"/>
  <c r="F1142" i="1"/>
  <c r="E1142" i="1"/>
  <c r="F1141" i="1"/>
  <c r="E1141" i="1"/>
  <c r="F1140" i="1"/>
  <c r="E1140" i="1"/>
  <c r="F1139" i="1"/>
  <c r="E1139" i="1"/>
  <c r="F1137" i="1"/>
  <c r="E1137" i="1"/>
  <c r="F1136" i="1"/>
  <c r="E1136" i="1"/>
  <c r="F1135" i="1"/>
  <c r="E1135" i="1"/>
  <c r="F1134" i="1"/>
  <c r="E1134" i="1"/>
  <c r="F1133" i="1"/>
  <c r="E1133" i="1"/>
  <c r="F1132" i="1"/>
  <c r="E1132" i="1"/>
  <c r="F1131" i="1"/>
  <c r="E1131" i="1"/>
  <c r="F1130" i="1"/>
  <c r="E1130" i="1"/>
  <c r="F1129" i="1"/>
  <c r="E1129" i="1"/>
  <c r="F1128" i="1"/>
  <c r="E1128" i="1"/>
  <c r="F1127" i="1"/>
  <c r="E1127" i="1"/>
  <c r="F1126" i="1"/>
  <c r="E1126" i="1"/>
  <c r="F1125" i="1"/>
  <c r="E1125" i="1"/>
  <c r="F1124" i="1"/>
  <c r="E1124" i="1"/>
  <c r="F1123" i="1"/>
  <c r="E1123" i="1"/>
  <c r="F1122" i="1"/>
  <c r="E1122" i="1"/>
  <c r="F1121" i="1"/>
  <c r="E1121" i="1"/>
  <c r="F1120" i="1"/>
  <c r="E1120" i="1"/>
  <c r="F1119" i="1"/>
  <c r="E1119" i="1"/>
  <c r="F1118" i="1"/>
  <c r="E1118" i="1"/>
  <c r="F1117" i="1"/>
  <c r="E1117" i="1"/>
  <c r="F1116" i="1"/>
  <c r="E1116" i="1"/>
  <c r="F1115" i="1"/>
  <c r="E1115" i="1"/>
  <c r="F1114" i="1"/>
  <c r="E1114" i="1"/>
  <c r="F1113" i="1"/>
  <c r="E1113" i="1"/>
  <c r="F1112" i="1"/>
  <c r="E1112" i="1"/>
  <c r="F1111" i="1"/>
  <c r="E1111" i="1"/>
  <c r="F1110" i="1"/>
  <c r="E1110" i="1"/>
  <c r="F1109" i="1"/>
  <c r="E1109" i="1"/>
  <c r="F1108" i="1"/>
  <c r="E1108" i="1"/>
  <c r="F1107" i="1"/>
  <c r="E1107" i="1"/>
  <c r="F1106" i="1"/>
  <c r="E1106" i="1"/>
  <c r="F1105" i="1"/>
  <c r="E1105" i="1"/>
  <c r="F1104" i="1"/>
  <c r="E1104" i="1"/>
  <c r="F1103" i="1"/>
  <c r="E1103" i="1"/>
  <c r="F1102" i="1"/>
  <c r="E1102" i="1"/>
  <c r="F1101" i="1"/>
  <c r="E1101" i="1"/>
  <c r="F1100" i="1"/>
  <c r="E1100" i="1"/>
  <c r="F1099" i="1"/>
  <c r="E1099" i="1"/>
  <c r="F1098" i="1"/>
  <c r="E1098" i="1"/>
  <c r="F1097" i="1"/>
  <c r="E1097" i="1"/>
  <c r="F1096" i="1"/>
  <c r="E1096" i="1"/>
  <c r="F1095" i="1"/>
  <c r="E1095" i="1"/>
  <c r="F1094" i="1"/>
  <c r="E1094" i="1"/>
  <c r="F1093" i="1"/>
  <c r="E1093" i="1"/>
  <c r="F1092" i="1"/>
  <c r="E1092" i="1"/>
  <c r="F1091" i="1"/>
  <c r="E1091" i="1"/>
  <c r="F1090" i="1"/>
  <c r="E1090" i="1"/>
  <c r="F1089" i="1"/>
  <c r="E1089" i="1"/>
  <c r="F1088" i="1"/>
  <c r="E1088" i="1"/>
  <c r="F1087" i="1"/>
  <c r="E1087" i="1"/>
  <c r="F1086" i="1"/>
  <c r="E1086" i="1"/>
  <c r="F1085" i="1"/>
  <c r="E1085" i="1"/>
  <c r="F1084" i="1"/>
  <c r="E1084" i="1"/>
  <c r="F1083" i="1"/>
  <c r="E1083" i="1"/>
  <c r="F1082" i="1"/>
  <c r="E1082" i="1"/>
  <c r="F1081" i="1"/>
  <c r="E1081" i="1"/>
  <c r="F1080" i="1"/>
  <c r="E1080" i="1"/>
  <c r="F1079" i="1"/>
  <c r="E1079" i="1"/>
  <c r="F1078" i="1"/>
  <c r="E1078" i="1"/>
  <c r="F1077" i="1"/>
  <c r="E1077" i="1"/>
  <c r="F1076" i="1"/>
  <c r="E1076" i="1"/>
  <c r="F1075" i="1"/>
  <c r="E1075" i="1"/>
  <c r="F1074" i="1"/>
  <c r="E1074" i="1"/>
  <c r="F1073" i="1"/>
  <c r="E1073" i="1"/>
  <c r="F1072" i="1"/>
  <c r="E1072" i="1"/>
  <c r="F1071" i="1"/>
  <c r="E1071" i="1"/>
  <c r="F1070" i="1"/>
  <c r="E1070" i="1"/>
  <c r="F1069" i="1"/>
  <c r="E1069" i="1"/>
  <c r="F1068" i="1"/>
  <c r="E1068" i="1"/>
  <c r="F1067" i="1"/>
  <c r="E1067" i="1"/>
  <c r="F1066" i="1"/>
  <c r="E1066" i="1"/>
  <c r="F1065" i="1"/>
  <c r="E1065" i="1"/>
  <c r="F1064" i="1"/>
  <c r="E1064" i="1"/>
  <c r="F1063" i="1"/>
  <c r="E1063" i="1"/>
  <c r="F1062" i="1"/>
  <c r="E1062" i="1"/>
  <c r="F1061" i="1"/>
  <c r="E1061" i="1"/>
  <c r="F1060" i="1"/>
  <c r="E1060" i="1"/>
  <c r="F1059" i="1"/>
  <c r="E1059" i="1"/>
  <c r="F1058" i="1"/>
  <c r="E1058" i="1"/>
  <c r="F1057" i="1"/>
  <c r="E1057" i="1"/>
  <c r="F1056" i="1"/>
  <c r="E1056" i="1"/>
  <c r="F1055" i="1"/>
  <c r="E1055" i="1"/>
  <c r="F1054" i="1"/>
  <c r="E1054" i="1"/>
  <c r="F1053" i="1"/>
  <c r="E1053" i="1"/>
  <c r="F1052" i="1"/>
  <c r="E1052" i="1"/>
  <c r="F1051" i="1"/>
  <c r="E1051" i="1"/>
  <c r="F1050" i="1"/>
  <c r="E1050" i="1"/>
  <c r="F1049" i="1"/>
  <c r="E1049" i="1"/>
  <c r="F1048" i="1"/>
  <c r="E1048" i="1"/>
  <c r="F1047" i="1"/>
  <c r="E1047" i="1"/>
  <c r="F1046" i="1"/>
  <c r="E1046" i="1"/>
  <c r="F1045" i="1"/>
  <c r="E1045" i="1"/>
  <c r="F1043" i="1"/>
  <c r="E1043" i="1"/>
  <c r="F1042" i="1"/>
  <c r="E1042" i="1"/>
  <c r="F1041" i="1"/>
  <c r="E1041" i="1"/>
  <c r="F1040" i="1"/>
  <c r="E1040" i="1"/>
  <c r="F1039" i="1"/>
  <c r="E1039" i="1"/>
  <c r="F1038" i="1"/>
  <c r="E1038" i="1"/>
  <c r="F1037" i="1"/>
  <c r="E1037" i="1"/>
  <c r="F1036" i="1"/>
  <c r="E1036" i="1"/>
  <c r="F1035" i="1"/>
  <c r="E1035" i="1"/>
  <c r="F1034" i="1"/>
  <c r="E1034" i="1"/>
  <c r="F1033" i="1"/>
  <c r="E1033" i="1"/>
  <c r="F1032" i="1"/>
  <c r="E1032" i="1"/>
  <c r="F1031" i="1"/>
  <c r="E1031" i="1"/>
  <c r="F1030" i="1"/>
  <c r="E1030" i="1"/>
  <c r="F1029" i="1"/>
  <c r="E1029" i="1"/>
  <c r="F1028" i="1"/>
  <c r="E1028" i="1"/>
  <c r="F1027" i="1"/>
  <c r="E1027" i="1"/>
  <c r="F1026" i="1"/>
  <c r="E1026" i="1"/>
  <c r="F1025" i="1"/>
  <c r="E1025" i="1"/>
  <c r="F1024" i="1"/>
  <c r="E1024" i="1"/>
  <c r="F1023" i="1"/>
  <c r="E1023" i="1"/>
  <c r="F1022" i="1"/>
  <c r="E1022" i="1"/>
  <c r="F1021" i="1"/>
  <c r="E1021" i="1"/>
  <c r="F1020" i="1"/>
  <c r="E1020" i="1"/>
  <c r="F1019" i="1"/>
  <c r="E1019" i="1"/>
  <c r="F1017" i="1"/>
  <c r="E1017" i="1"/>
  <c r="F1015" i="1"/>
  <c r="E1015" i="1"/>
  <c r="F1014" i="1"/>
  <c r="E1014" i="1"/>
  <c r="F1012" i="1"/>
  <c r="E1012" i="1"/>
  <c r="F1011" i="1"/>
  <c r="E1011" i="1"/>
  <c r="F1010" i="1"/>
  <c r="E1010" i="1"/>
  <c r="F1009" i="1"/>
  <c r="E1009" i="1"/>
  <c r="F1008" i="1"/>
  <c r="E1008" i="1"/>
  <c r="F1007" i="1"/>
  <c r="E1007" i="1"/>
  <c r="F1006" i="1"/>
  <c r="E1006" i="1"/>
  <c r="F1005" i="1"/>
  <c r="E1005" i="1"/>
  <c r="F1003" i="1"/>
  <c r="E1003" i="1"/>
  <c r="F1002" i="1"/>
  <c r="E1002" i="1"/>
  <c r="F1001" i="1"/>
  <c r="E1001" i="1"/>
  <c r="F1000" i="1"/>
  <c r="E1000" i="1"/>
  <c r="F999" i="1"/>
  <c r="E999" i="1"/>
  <c r="F998" i="1"/>
  <c r="E998" i="1"/>
  <c r="F997" i="1"/>
  <c r="E997" i="1"/>
  <c r="F996" i="1"/>
  <c r="E996" i="1"/>
  <c r="F995" i="1"/>
  <c r="E995" i="1"/>
  <c r="F994" i="1"/>
  <c r="E994" i="1"/>
  <c r="F993" i="1"/>
  <c r="E993" i="1"/>
  <c r="F992" i="1"/>
  <c r="E992" i="1"/>
  <c r="F991" i="1"/>
  <c r="E991" i="1"/>
  <c r="F990" i="1"/>
  <c r="E990" i="1"/>
  <c r="F989" i="1"/>
  <c r="E989" i="1"/>
  <c r="F988" i="1"/>
  <c r="E988" i="1"/>
  <c r="F987" i="1"/>
  <c r="E987" i="1"/>
  <c r="F986" i="1"/>
  <c r="E986" i="1"/>
  <c r="F985" i="1"/>
  <c r="E985" i="1"/>
  <c r="F984" i="1"/>
  <c r="E984" i="1"/>
  <c r="F983" i="1"/>
  <c r="E983" i="1"/>
  <c r="F982" i="1"/>
  <c r="E982" i="1"/>
  <c r="F981" i="1"/>
  <c r="E981" i="1"/>
  <c r="F980" i="1"/>
  <c r="E980" i="1"/>
  <c r="F978" i="1"/>
  <c r="E978" i="1"/>
  <c r="F977" i="1"/>
  <c r="E977" i="1"/>
  <c r="F976" i="1"/>
  <c r="E976" i="1"/>
  <c r="F975" i="1"/>
  <c r="E975" i="1"/>
  <c r="F974" i="1"/>
  <c r="E974" i="1"/>
  <c r="F973" i="1"/>
  <c r="E973" i="1"/>
  <c r="F972" i="1"/>
  <c r="E972" i="1"/>
  <c r="F971" i="1"/>
  <c r="E971" i="1"/>
  <c r="F970" i="1"/>
  <c r="E970" i="1"/>
  <c r="F968" i="1"/>
  <c r="E968" i="1"/>
  <c r="F967" i="1"/>
  <c r="E967" i="1"/>
  <c r="F966" i="1"/>
  <c r="E966" i="1"/>
  <c r="F965" i="1"/>
  <c r="E965" i="1"/>
  <c r="F964" i="1"/>
  <c r="E964" i="1"/>
  <c r="F963" i="1"/>
  <c r="E963" i="1"/>
  <c r="F962" i="1"/>
  <c r="E962" i="1"/>
  <c r="F961" i="1"/>
  <c r="E961" i="1"/>
  <c r="F960" i="1"/>
  <c r="E960" i="1"/>
  <c r="F959" i="1"/>
  <c r="E959" i="1"/>
  <c r="F958" i="1"/>
  <c r="E958" i="1"/>
  <c r="F957" i="1"/>
  <c r="E957" i="1"/>
  <c r="F956" i="1"/>
  <c r="E956" i="1"/>
  <c r="F955" i="1"/>
  <c r="E955" i="1"/>
  <c r="F954" i="1"/>
  <c r="E954" i="1"/>
  <c r="F953" i="1"/>
  <c r="E953" i="1"/>
  <c r="F952" i="1"/>
  <c r="E952" i="1"/>
  <c r="F951" i="1"/>
  <c r="E951" i="1"/>
  <c r="F950" i="1"/>
  <c r="E950" i="1"/>
  <c r="F949" i="1"/>
  <c r="E949" i="1"/>
  <c r="F947" i="1"/>
  <c r="E947" i="1"/>
  <c r="F946" i="1"/>
  <c r="E946" i="1"/>
  <c r="F945" i="1"/>
  <c r="E945" i="1"/>
  <c r="F944" i="1"/>
  <c r="E944" i="1"/>
  <c r="F943" i="1"/>
  <c r="E943" i="1"/>
  <c r="F942" i="1"/>
  <c r="E942" i="1"/>
  <c r="F941" i="1"/>
  <c r="E941" i="1"/>
  <c r="F940" i="1"/>
  <c r="E940" i="1"/>
  <c r="F939" i="1"/>
  <c r="E939" i="1"/>
  <c r="F938" i="1"/>
  <c r="E938" i="1"/>
  <c r="F937" i="1"/>
  <c r="E937" i="1"/>
  <c r="F936" i="1"/>
  <c r="E936" i="1"/>
  <c r="F935" i="1"/>
  <c r="E935" i="1"/>
  <c r="F934" i="1"/>
  <c r="E934" i="1"/>
  <c r="F933" i="1"/>
  <c r="E933" i="1"/>
  <c r="F932" i="1"/>
  <c r="E932" i="1"/>
  <c r="F931" i="1"/>
  <c r="E931" i="1"/>
  <c r="F930" i="1"/>
  <c r="E930" i="1"/>
  <c r="F928" i="1"/>
  <c r="E928" i="1"/>
  <c r="F927" i="1"/>
  <c r="E927" i="1"/>
  <c r="F926" i="1"/>
  <c r="E926" i="1"/>
  <c r="F925" i="1"/>
  <c r="E925" i="1"/>
  <c r="F924" i="1"/>
  <c r="E924" i="1"/>
  <c r="F923" i="1"/>
  <c r="E923" i="1"/>
  <c r="F922" i="1"/>
  <c r="E922" i="1"/>
  <c r="F921" i="1"/>
  <c r="E921" i="1"/>
  <c r="F920" i="1"/>
  <c r="E920" i="1"/>
  <c r="F919" i="1"/>
  <c r="E919" i="1"/>
  <c r="F918" i="1"/>
  <c r="E918" i="1"/>
  <c r="F917" i="1"/>
  <c r="E917" i="1"/>
  <c r="F916" i="1"/>
  <c r="E916" i="1"/>
  <c r="F914" i="1"/>
  <c r="E914" i="1"/>
  <c r="F913" i="1"/>
  <c r="E913" i="1"/>
  <c r="F912" i="1"/>
  <c r="E912" i="1"/>
  <c r="F911" i="1"/>
  <c r="E911" i="1"/>
  <c r="F909" i="1"/>
  <c r="E909" i="1"/>
  <c r="F908" i="1"/>
  <c r="E908" i="1"/>
  <c r="F907" i="1"/>
  <c r="E907" i="1"/>
  <c r="F906" i="1"/>
  <c r="E906" i="1"/>
  <c r="F905" i="1"/>
  <c r="E905" i="1"/>
  <c r="F904" i="1"/>
  <c r="E904" i="1"/>
  <c r="F903" i="1"/>
  <c r="E903" i="1"/>
  <c r="F902" i="1"/>
  <c r="E902" i="1"/>
  <c r="F901" i="1"/>
  <c r="E901" i="1"/>
  <c r="F900" i="1"/>
  <c r="E900" i="1"/>
  <c r="F899" i="1"/>
  <c r="E899" i="1"/>
  <c r="F898" i="1"/>
  <c r="E898" i="1"/>
  <c r="F896" i="1"/>
  <c r="E896" i="1"/>
  <c r="F895" i="1"/>
  <c r="E895" i="1"/>
  <c r="F894" i="1"/>
  <c r="E894" i="1"/>
  <c r="F893" i="1"/>
  <c r="E893" i="1"/>
  <c r="F892" i="1"/>
  <c r="E892" i="1"/>
  <c r="F891" i="1"/>
  <c r="E891" i="1"/>
  <c r="F890" i="1"/>
  <c r="E890" i="1"/>
  <c r="F889" i="1"/>
  <c r="E889" i="1"/>
  <c r="F888" i="1"/>
  <c r="E888" i="1"/>
  <c r="F887" i="1"/>
  <c r="E887" i="1"/>
  <c r="F886" i="1"/>
  <c r="E886" i="1"/>
  <c r="F885" i="1"/>
  <c r="E885" i="1"/>
  <c r="F884" i="1"/>
  <c r="E884" i="1"/>
  <c r="F883" i="1"/>
  <c r="E883" i="1"/>
  <c r="F882" i="1"/>
  <c r="E882" i="1"/>
  <c r="F881" i="1"/>
  <c r="E881" i="1"/>
  <c r="F880" i="1"/>
  <c r="E880" i="1"/>
  <c r="F878" i="1"/>
  <c r="E878" i="1"/>
  <c r="F877" i="1"/>
  <c r="E877" i="1"/>
  <c r="F876" i="1"/>
  <c r="E876" i="1"/>
  <c r="F875" i="1"/>
  <c r="E875" i="1"/>
  <c r="F874" i="1"/>
  <c r="E874" i="1"/>
  <c r="F873" i="1"/>
  <c r="E873" i="1"/>
  <c r="F872" i="1"/>
  <c r="E872" i="1"/>
  <c r="F871" i="1"/>
  <c r="E871" i="1"/>
  <c r="F870" i="1"/>
  <c r="E870" i="1"/>
  <c r="F869" i="1"/>
  <c r="E869" i="1"/>
  <c r="F868" i="1"/>
  <c r="E868" i="1"/>
  <c r="F867" i="1"/>
  <c r="E867" i="1"/>
  <c r="F866" i="1"/>
  <c r="E866" i="1"/>
  <c r="F865" i="1"/>
  <c r="E865" i="1"/>
  <c r="F863" i="1"/>
  <c r="E863" i="1"/>
  <c r="F862" i="1"/>
  <c r="E862" i="1"/>
  <c r="F861" i="1"/>
  <c r="E861" i="1"/>
  <c r="F860" i="1"/>
  <c r="E860" i="1"/>
  <c r="F859" i="1"/>
  <c r="E859" i="1"/>
  <c r="F858" i="1"/>
  <c r="E858" i="1"/>
  <c r="F857" i="1"/>
  <c r="E857" i="1"/>
  <c r="F856" i="1"/>
  <c r="E856" i="1"/>
  <c r="F855" i="1"/>
  <c r="E855" i="1"/>
  <c r="F854" i="1"/>
  <c r="E854" i="1"/>
  <c r="F851" i="1"/>
  <c r="E851" i="1"/>
  <c r="F850" i="1"/>
  <c r="E850" i="1"/>
  <c r="F849" i="1"/>
  <c r="E849" i="1"/>
  <c r="F847" i="1"/>
  <c r="E847" i="1"/>
  <c r="F846" i="1"/>
  <c r="E846" i="1"/>
  <c r="F845" i="1"/>
  <c r="E845" i="1"/>
  <c r="F844" i="1"/>
  <c r="E844" i="1"/>
  <c r="F843" i="1"/>
  <c r="E843" i="1"/>
  <c r="F842" i="1"/>
  <c r="E842" i="1"/>
  <c r="F841" i="1"/>
  <c r="E841" i="1"/>
  <c r="F840" i="1"/>
  <c r="E840" i="1"/>
  <c r="F839" i="1"/>
  <c r="E839" i="1"/>
  <c r="F838" i="1"/>
  <c r="E838" i="1"/>
  <c r="F837" i="1"/>
  <c r="E837" i="1"/>
  <c r="F836" i="1"/>
  <c r="E836" i="1"/>
  <c r="F835" i="1"/>
  <c r="E835" i="1"/>
  <c r="F834" i="1"/>
  <c r="E834" i="1"/>
  <c r="F833" i="1"/>
  <c r="E833" i="1"/>
  <c r="F832" i="1"/>
  <c r="E832" i="1"/>
  <c r="F831" i="1"/>
  <c r="E831" i="1"/>
  <c r="F830" i="1"/>
  <c r="E830" i="1"/>
  <c r="F829" i="1"/>
  <c r="E829" i="1"/>
  <c r="F828" i="1"/>
  <c r="E828" i="1"/>
  <c r="F827" i="1"/>
  <c r="E827" i="1"/>
  <c r="F825" i="1"/>
  <c r="E825" i="1"/>
  <c r="F824" i="1"/>
  <c r="E824" i="1"/>
  <c r="F823" i="1"/>
  <c r="E823" i="1"/>
  <c r="F822" i="1"/>
  <c r="E822" i="1"/>
  <c r="F821" i="1"/>
  <c r="E821" i="1"/>
  <c r="F820" i="1"/>
  <c r="E820" i="1"/>
  <c r="F819" i="1"/>
  <c r="E819" i="1"/>
  <c r="F818" i="1"/>
  <c r="E818" i="1"/>
  <c r="F816" i="1"/>
  <c r="E816" i="1"/>
  <c r="F815" i="1"/>
  <c r="E815" i="1"/>
  <c r="F814" i="1"/>
  <c r="E814" i="1"/>
  <c r="F813" i="1"/>
  <c r="E813" i="1"/>
  <c r="F812" i="1"/>
  <c r="E812" i="1"/>
  <c r="F811" i="1"/>
  <c r="E811" i="1"/>
  <c r="F810" i="1"/>
  <c r="E810" i="1"/>
  <c r="F809" i="1"/>
  <c r="E809" i="1"/>
  <c r="F808" i="1"/>
  <c r="E808" i="1"/>
  <c r="F807" i="1"/>
  <c r="E807" i="1"/>
  <c r="F806" i="1"/>
  <c r="E806" i="1"/>
  <c r="F805" i="1"/>
  <c r="E805" i="1"/>
  <c r="F804" i="1"/>
  <c r="E804" i="1"/>
  <c r="F803" i="1"/>
  <c r="E803" i="1"/>
  <c r="F802" i="1"/>
  <c r="E802" i="1"/>
  <c r="F801" i="1"/>
  <c r="E801" i="1"/>
  <c r="F800" i="1"/>
  <c r="E800" i="1"/>
  <c r="F799" i="1"/>
  <c r="E799" i="1"/>
  <c r="F798" i="1"/>
  <c r="E798" i="1"/>
  <c r="F797" i="1"/>
  <c r="E797" i="1"/>
  <c r="F796" i="1"/>
  <c r="E796" i="1"/>
  <c r="F794" i="1"/>
  <c r="E794" i="1"/>
  <c r="F793" i="1"/>
  <c r="E793" i="1"/>
  <c r="F792" i="1"/>
  <c r="E792" i="1"/>
  <c r="F791" i="1"/>
  <c r="E791" i="1"/>
  <c r="F789" i="1"/>
  <c r="E789" i="1"/>
  <c r="F788" i="1"/>
  <c r="E788" i="1"/>
  <c r="F787" i="1"/>
  <c r="E787" i="1"/>
  <c r="F786" i="1"/>
  <c r="E786" i="1"/>
  <c r="F785" i="1"/>
  <c r="E785" i="1"/>
  <c r="F784" i="1"/>
  <c r="E784" i="1"/>
  <c r="F783" i="1"/>
  <c r="E783" i="1"/>
  <c r="F782" i="1"/>
  <c r="E782" i="1"/>
  <c r="F781" i="1"/>
  <c r="E781" i="1"/>
  <c r="F780" i="1"/>
  <c r="E780" i="1"/>
  <c r="F779" i="1"/>
  <c r="E779" i="1"/>
  <c r="F778" i="1"/>
  <c r="E778" i="1"/>
  <c r="F777" i="1"/>
  <c r="E777" i="1"/>
  <c r="F776" i="1"/>
  <c r="E776" i="1"/>
  <c r="F775" i="1"/>
  <c r="E775" i="1"/>
  <c r="F774" i="1"/>
  <c r="E774" i="1"/>
  <c r="F773" i="1"/>
  <c r="E773" i="1"/>
  <c r="F772" i="1"/>
  <c r="E772" i="1"/>
  <c r="F771" i="1"/>
  <c r="E771" i="1"/>
  <c r="F770" i="1"/>
  <c r="E770" i="1"/>
  <c r="F769" i="1"/>
  <c r="E769" i="1"/>
  <c r="F768" i="1"/>
  <c r="E768" i="1"/>
  <c r="F767" i="1"/>
  <c r="E767" i="1"/>
  <c r="F766" i="1"/>
  <c r="E766" i="1"/>
  <c r="F765" i="1"/>
  <c r="E765" i="1"/>
  <c r="F764" i="1"/>
  <c r="E764" i="1"/>
  <c r="F763" i="1"/>
  <c r="E763" i="1"/>
  <c r="F762" i="1"/>
  <c r="E762" i="1"/>
  <c r="F761" i="1"/>
  <c r="E761" i="1"/>
  <c r="F760" i="1"/>
  <c r="E760" i="1"/>
  <c r="F759" i="1"/>
  <c r="E759" i="1"/>
  <c r="F758" i="1"/>
  <c r="E758" i="1"/>
  <c r="F757" i="1"/>
  <c r="E757" i="1"/>
  <c r="F756" i="1"/>
  <c r="E756" i="1"/>
  <c r="F754" i="1"/>
  <c r="E754" i="1"/>
  <c r="F753" i="1"/>
  <c r="E753" i="1"/>
  <c r="F752" i="1"/>
  <c r="E752" i="1"/>
  <c r="F751" i="1"/>
  <c r="E751" i="1"/>
  <c r="F750" i="1"/>
  <c r="E750" i="1"/>
  <c r="F749" i="1"/>
  <c r="E749" i="1"/>
  <c r="F748" i="1"/>
  <c r="E748" i="1"/>
  <c r="F747" i="1"/>
  <c r="E747" i="1"/>
  <c r="F746" i="1"/>
  <c r="E746" i="1"/>
  <c r="F745" i="1"/>
  <c r="E745" i="1"/>
  <c r="F744" i="1"/>
  <c r="E744" i="1"/>
  <c r="F743" i="1"/>
  <c r="E743" i="1"/>
  <c r="F742" i="1"/>
  <c r="E742" i="1"/>
  <c r="F741" i="1"/>
  <c r="E741" i="1"/>
  <c r="F740" i="1"/>
  <c r="E740" i="1"/>
  <c r="F739" i="1"/>
  <c r="E739" i="1"/>
  <c r="F738" i="1"/>
  <c r="E738" i="1"/>
  <c r="F737" i="1"/>
  <c r="E737" i="1"/>
  <c r="F736" i="1"/>
  <c r="E736" i="1"/>
  <c r="F735" i="1"/>
  <c r="E735" i="1"/>
  <c r="F734" i="1"/>
  <c r="E734" i="1"/>
  <c r="F733" i="1"/>
  <c r="E733" i="1"/>
  <c r="F732" i="1"/>
  <c r="E732" i="1"/>
  <c r="F731" i="1"/>
  <c r="E731" i="1"/>
  <c r="F730" i="1"/>
  <c r="E730" i="1"/>
  <c r="F729" i="1"/>
  <c r="E729" i="1"/>
  <c r="F728" i="1"/>
  <c r="E728" i="1"/>
  <c r="F727" i="1"/>
  <c r="E727" i="1"/>
  <c r="F726" i="1"/>
  <c r="E726" i="1"/>
  <c r="F725" i="1"/>
  <c r="E725" i="1"/>
  <c r="F724" i="1"/>
  <c r="E724" i="1"/>
  <c r="F723" i="1"/>
  <c r="E723" i="1"/>
  <c r="F722" i="1"/>
  <c r="E722" i="1"/>
  <c r="F721" i="1"/>
  <c r="E721" i="1"/>
  <c r="F720" i="1"/>
  <c r="E720" i="1"/>
  <c r="F719" i="1"/>
  <c r="E719" i="1"/>
  <c r="F718" i="1"/>
  <c r="E718" i="1"/>
  <c r="F717" i="1"/>
  <c r="E717" i="1"/>
  <c r="F716" i="1"/>
  <c r="E716" i="1"/>
  <c r="F715" i="1"/>
  <c r="E715" i="1"/>
  <c r="F714" i="1"/>
  <c r="E714" i="1"/>
  <c r="F713" i="1"/>
  <c r="E713" i="1"/>
  <c r="F712" i="1"/>
  <c r="E712" i="1"/>
  <c r="F711" i="1"/>
  <c r="E711" i="1"/>
  <c r="F710" i="1"/>
  <c r="E710" i="1"/>
  <c r="F709" i="1"/>
  <c r="E709" i="1"/>
  <c r="F708" i="1"/>
  <c r="E708" i="1"/>
  <c r="F707" i="1"/>
  <c r="E707" i="1"/>
  <c r="F706" i="1"/>
  <c r="E706" i="1"/>
  <c r="F705" i="1"/>
  <c r="E705" i="1"/>
  <c r="F704" i="1"/>
  <c r="E704" i="1"/>
  <c r="F703" i="1"/>
  <c r="E703" i="1"/>
  <c r="F702" i="1"/>
  <c r="E702" i="1"/>
  <c r="F701" i="1"/>
  <c r="E701" i="1"/>
  <c r="F700" i="1"/>
  <c r="E700" i="1"/>
  <c r="F699" i="1"/>
  <c r="E699" i="1"/>
  <c r="F698" i="1"/>
  <c r="E698" i="1"/>
  <c r="F697" i="1"/>
  <c r="E697" i="1"/>
  <c r="F696" i="1"/>
  <c r="E696" i="1"/>
  <c r="F695" i="1"/>
  <c r="E695" i="1"/>
  <c r="F694" i="1"/>
  <c r="E694" i="1"/>
  <c r="F693" i="1"/>
  <c r="E693" i="1"/>
  <c r="F692" i="1"/>
  <c r="E692" i="1"/>
  <c r="F691" i="1"/>
  <c r="E691" i="1"/>
  <c r="F690" i="1"/>
  <c r="E690" i="1"/>
  <c r="F689" i="1"/>
  <c r="E689" i="1"/>
  <c r="F688" i="1"/>
  <c r="E688" i="1"/>
  <c r="F687" i="1"/>
  <c r="E687" i="1"/>
  <c r="F685" i="1"/>
  <c r="E685" i="1"/>
  <c r="F684" i="1"/>
  <c r="E684" i="1"/>
  <c r="F683" i="1"/>
  <c r="E683" i="1"/>
  <c r="F682" i="1"/>
  <c r="E682" i="1"/>
  <c r="F681" i="1"/>
  <c r="E681" i="1"/>
  <c r="F680" i="1"/>
  <c r="E680" i="1"/>
  <c r="F679" i="1"/>
  <c r="E679" i="1"/>
  <c r="F678" i="1"/>
  <c r="E678" i="1"/>
  <c r="F677" i="1"/>
  <c r="E677" i="1"/>
  <c r="F676" i="1"/>
  <c r="E676" i="1"/>
  <c r="F675" i="1"/>
  <c r="E675" i="1"/>
  <c r="F673" i="1"/>
  <c r="E673" i="1"/>
  <c r="F672" i="1"/>
  <c r="E672" i="1"/>
  <c r="F671" i="1"/>
  <c r="E671" i="1"/>
  <c r="F670" i="1"/>
  <c r="E670" i="1"/>
  <c r="F669" i="1"/>
  <c r="E669" i="1"/>
  <c r="F668" i="1"/>
  <c r="E668" i="1"/>
  <c r="F667" i="1"/>
  <c r="E667" i="1"/>
  <c r="F666" i="1"/>
  <c r="E666" i="1"/>
  <c r="F665" i="1"/>
  <c r="E665" i="1"/>
  <c r="F663" i="1"/>
  <c r="E663" i="1"/>
  <c r="F662" i="1"/>
  <c r="E662" i="1"/>
  <c r="F661" i="1"/>
  <c r="E661" i="1"/>
  <c r="F660" i="1"/>
  <c r="E660" i="1"/>
  <c r="F659" i="1"/>
  <c r="E659" i="1"/>
  <c r="F658" i="1"/>
  <c r="E658" i="1"/>
  <c r="F657" i="1"/>
  <c r="E657" i="1"/>
  <c r="F656" i="1"/>
  <c r="E656" i="1"/>
  <c r="F655" i="1"/>
  <c r="E655" i="1"/>
  <c r="F654" i="1"/>
  <c r="E654" i="1"/>
  <c r="F653" i="1"/>
  <c r="E653" i="1"/>
  <c r="F652" i="1"/>
  <c r="E652" i="1"/>
  <c r="F651" i="1"/>
  <c r="E651" i="1"/>
  <c r="F650" i="1"/>
  <c r="E650" i="1"/>
  <c r="F649" i="1"/>
  <c r="E649" i="1"/>
  <c r="F648" i="1"/>
  <c r="E648" i="1"/>
  <c r="F647" i="1"/>
  <c r="E647" i="1"/>
  <c r="F646" i="1"/>
  <c r="E646" i="1"/>
  <c r="F645" i="1"/>
  <c r="E645" i="1"/>
  <c r="F644" i="1"/>
  <c r="E644" i="1"/>
  <c r="F643" i="1"/>
  <c r="E643" i="1"/>
  <c r="F642" i="1"/>
  <c r="E642" i="1"/>
  <c r="F641" i="1"/>
  <c r="E641" i="1"/>
  <c r="F640" i="1"/>
  <c r="E640" i="1"/>
  <c r="F639" i="1"/>
  <c r="E639" i="1"/>
  <c r="F638" i="1"/>
  <c r="E638" i="1"/>
  <c r="F637" i="1"/>
  <c r="E637" i="1"/>
  <c r="F636" i="1"/>
  <c r="E636" i="1"/>
  <c r="F635" i="1"/>
  <c r="E635" i="1"/>
  <c r="F634" i="1"/>
  <c r="E634" i="1"/>
  <c r="F633" i="1"/>
  <c r="E633" i="1"/>
  <c r="F632" i="1"/>
  <c r="E632" i="1"/>
  <c r="F631" i="1"/>
  <c r="E631" i="1"/>
  <c r="F629" i="1"/>
  <c r="E629" i="1"/>
  <c r="F628" i="1"/>
  <c r="E628" i="1"/>
  <c r="F627" i="1"/>
  <c r="E627" i="1"/>
  <c r="F626" i="1"/>
  <c r="E626" i="1"/>
  <c r="F625" i="1"/>
  <c r="E625" i="1"/>
  <c r="F624" i="1"/>
  <c r="E624" i="1"/>
  <c r="F623" i="1"/>
  <c r="E623" i="1"/>
  <c r="F622" i="1"/>
  <c r="E622" i="1"/>
  <c r="F621" i="1"/>
  <c r="E621" i="1"/>
  <c r="F620" i="1"/>
  <c r="E620" i="1"/>
  <c r="F619" i="1"/>
  <c r="E619" i="1"/>
  <c r="F618" i="1"/>
  <c r="E618" i="1"/>
  <c r="F617" i="1"/>
  <c r="E617" i="1"/>
  <c r="F616" i="1"/>
  <c r="E616" i="1"/>
  <c r="F615" i="1"/>
  <c r="E615" i="1"/>
  <c r="F614" i="1"/>
  <c r="E614" i="1"/>
  <c r="F612" i="1"/>
  <c r="E612" i="1"/>
  <c r="F610" i="1"/>
  <c r="E610" i="1"/>
  <c r="F609" i="1"/>
  <c r="E609" i="1"/>
  <c r="F608" i="1"/>
  <c r="E608" i="1"/>
  <c r="F606" i="1"/>
  <c r="E606" i="1"/>
  <c r="F604" i="1"/>
  <c r="E604" i="1"/>
  <c r="F603" i="1"/>
  <c r="E603" i="1"/>
  <c r="F602" i="1"/>
  <c r="E602" i="1"/>
  <c r="F601" i="1"/>
  <c r="E601" i="1"/>
  <c r="F600" i="1"/>
  <c r="E600" i="1"/>
  <c r="F599" i="1"/>
  <c r="E599" i="1"/>
  <c r="F598" i="1"/>
  <c r="E598" i="1"/>
  <c r="F597" i="1"/>
  <c r="E597" i="1"/>
  <c r="F596" i="1"/>
  <c r="E596" i="1"/>
  <c r="F595" i="1"/>
  <c r="E595" i="1"/>
  <c r="F594" i="1"/>
  <c r="E594" i="1"/>
  <c r="F593" i="1"/>
  <c r="E593" i="1"/>
  <c r="F592" i="1"/>
  <c r="E592" i="1"/>
  <c r="F591" i="1"/>
  <c r="E591" i="1"/>
  <c r="F590" i="1"/>
  <c r="E590" i="1"/>
  <c r="F589" i="1"/>
  <c r="E589" i="1"/>
  <c r="F588" i="1"/>
  <c r="E588" i="1"/>
  <c r="F587" i="1"/>
  <c r="E587" i="1"/>
  <c r="F586" i="1"/>
  <c r="E586" i="1"/>
  <c r="F585" i="1"/>
  <c r="E585" i="1"/>
  <c r="F584" i="1"/>
  <c r="E584" i="1"/>
  <c r="F583" i="1"/>
  <c r="E583" i="1"/>
  <c r="F582" i="1"/>
  <c r="E582" i="1"/>
  <c r="F581" i="1"/>
  <c r="E581" i="1"/>
  <c r="F580" i="1"/>
  <c r="E580" i="1"/>
  <c r="F579" i="1"/>
  <c r="E579" i="1"/>
  <c r="F578" i="1"/>
  <c r="E578" i="1"/>
  <c r="F577" i="1"/>
  <c r="E577" i="1"/>
  <c r="F576" i="1"/>
  <c r="E576" i="1"/>
  <c r="F575" i="1"/>
  <c r="E575" i="1"/>
  <c r="F574" i="1"/>
  <c r="E574" i="1"/>
  <c r="F573" i="1"/>
  <c r="E573" i="1"/>
  <c r="F572" i="1"/>
  <c r="E572" i="1"/>
  <c r="F571" i="1"/>
  <c r="E571" i="1"/>
  <c r="F570" i="1"/>
  <c r="E570" i="1"/>
  <c r="F569" i="1"/>
  <c r="E569" i="1"/>
  <c r="F568" i="1"/>
  <c r="E568" i="1"/>
  <c r="F567" i="1"/>
  <c r="E567" i="1"/>
  <c r="F565" i="1"/>
  <c r="E565" i="1"/>
  <c r="F564" i="1"/>
  <c r="E564" i="1"/>
  <c r="F563" i="1"/>
  <c r="E563" i="1"/>
  <c r="F562" i="1"/>
  <c r="E562" i="1"/>
  <c r="F561" i="1"/>
  <c r="E561" i="1"/>
  <c r="F560" i="1"/>
  <c r="E560" i="1"/>
  <c r="F559" i="1"/>
  <c r="E559" i="1"/>
  <c r="F558" i="1"/>
  <c r="E558" i="1"/>
  <c r="F557" i="1"/>
  <c r="E557" i="1"/>
  <c r="F556" i="1"/>
  <c r="E556" i="1"/>
  <c r="F555" i="1"/>
  <c r="E555" i="1"/>
  <c r="F554" i="1"/>
  <c r="E554" i="1"/>
  <c r="F553" i="1"/>
  <c r="E553" i="1"/>
  <c r="F552" i="1"/>
  <c r="E552" i="1"/>
  <c r="F551" i="1"/>
  <c r="E551" i="1"/>
  <c r="F550" i="1"/>
  <c r="E550" i="1"/>
  <c r="F549" i="1"/>
  <c r="E549" i="1"/>
  <c r="F548" i="1"/>
  <c r="E548" i="1"/>
  <c r="F547" i="1"/>
  <c r="E547" i="1"/>
  <c r="F546" i="1"/>
  <c r="E546" i="1"/>
  <c r="F544" i="1"/>
  <c r="E544" i="1"/>
  <c r="F543" i="1"/>
  <c r="E543" i="1"/>
  <c r="F542" i="1"/>
  <c r="E542" i="1"/>
  <c r="F541" i="1"/>
  <c r="E541" i="1"/>
  <c r="F540" i="1"/>
  <c r="E540" i="1"/>
  <c r="F539" i="1"/>
  <c r="E539" i="1"/>
  <c r="F538" i="1"/>
  <c r="E538" i="1"/>
  <c r="F537" i="1"/>
  <c r="E537" i="1"/>
  <c r="F536" i="1"/>
  <c r="E536" i="1"/>
  <c r="F535" i="1"/>
  <c r="E535" i="1"/>
  <c r="F534" i="1"/>
  <c r="E534" i="1"/>
  <c r="F533" i="1"/>
  <c r="E533" i="1"/>
  <c r="F532" i="1"/>
  <c r="E532" i="1"/>
  <c r="F531" i="1"/>
  <c r="E531" i="1"/>
  <c r="F530" i="1"/>
  <c r="E530" i="1"/>
  <c r="F529" i="1"/>
  <c r="E529" i="1"/>
  <c r="F527" i="1"/>
  <c r="E527" i="1"/>
  <c r="F526" i="1"/>
  <c r="E526" i="1"/>
  <c r="F525" i="1"/>
  <c r="E525" i="1"/>
  <c r="F524" i="1"/>
  <c r="E524" i="1"/>
  <c r="F523" i="1"/>
  <c r="E523" i="1"/>
  <c r="F522" i="1"/>
  <c r="E522" i="1"/>
  <c r="F521" i="1"/>
  <c r="E521" i="1"/>
  <c r="F520" i="1"/>
  <c r="E520" i="1"/>
  <c r="F519" i="1"/>
  <c r="E519" i="1"/>
  <c r="F518" i="1"/>
  <c r="E518" i="1"/>
  <c r="F517" i="1"/>
  <c r="E517" i="1"/>
  <c r="F516" i="1"/>
  <c r="E516" i="1"/>
  <c r="F515" i="1"/>
  <c r="E515" i="1"/>
  <c r="F513" i="1"/>
  <c r="E513" i="1"/>
  <c r="F512" i="1"/>
  <c r="E512" i="1"/>
  <c r="F511" i="1"/>
  <c r="E511" i="1"/>
  <c r="F510" i="1"/>
  <c r="E510" i="1"/>
  <c r="F508" i="1"/>
  <c r="E508" i="1"/>
  <c r="F507" i="1"/>
  <c r="E507" i="1"/>
  <c r="F506" i="1"/>
  <c r="E506" i="1"/>
  <c r="F505" i="1"/>
  <c r="E505" i="1"/>
  <c r="F504" i="1"/>
  <c r="E504" i="1"/>
  <c r="F502" i="1"/>
  <c r="E502" i="1"/>
  <c r="F501" i="1"/>
  <c r="E501" i="1"/>
  <c r="F500" i="1"/>
  <c r="E500" i="1"/>
  <c r="F499" i="1"/>
  <c r="E499" i="1"/>
  <c r="F498" i="1"/>
  <c r="E498" i="1"/>
  <c r="F497" i="1"/>
  <c r="E497" i="1"/>
  <c r="F496" i="1"/>
  <c r="E496" i="1"/>
  <c r="F495" i="1"/>
  <c r="E495" i="1"/>
  <c r="F494" i="1"/>
  <c r="E494" i="1"/>
  <c r="F493" i="1"/>
  <c r="E493" i="1"/>
  <c r="F492" i="1"/>
  <c r="E492" i="1"/>
  <c r="F491" i="1"/>
  <c r="E491" i="1"/>
  <c r="F490" i="1"/>
  <c r="E490" i="1"/>
  <c r="F489" i="1"/>
  <c r="E489" i="1"/>
  <c r="F487" i="1"/>
  <c r="E487" i="1"/>
  <c r="F485" i="1"/>
  <c r="E485" i="1"/>
  <c r="F484" i="1"/>
  <c r="E484" i="1"/>
  <c r="F483" i="1"/>
  <c r="E483" i="1"/>
  <c r="F482" i="1"/>
  <c r="E482" i="1"/>
  <c r="F481" i="1"/>
  <c r="E481" i="1"/>
  <c r="F480" i="1"/>
  <c r="E480" i="1"/>
  <c r="F479" i="1"/>
  <c r="E479" i="1"/>
  <c r="F478" i="1"/>
  <c r="E478" i="1"/>
  <c r="F475" i="1"/>
  <c r="E475" i="1"/>
  <c r="F474" i="1"/>
  <c r="E474" i="1"/>
  <c r="F473" i="1"/>
  <c r="E473" i="1"/>
  <c r="F472" i="1"/>
  <c r="E472" i="1"/>
  <c r="F471" i="1"/>
  <c r="E471" i="1"/>
  <c r="F470" i="1"/>
  <c r="E470" i="1"/>
  <c r="F469" i="1"/>
  <c r="E469" i="1"/>
  <c r="F468" i="1"/>
  <c r="E468" i="1"/>
  <c r="F467" i="1"/>
  <c r="E467" i="1"/>
  <c r="F466" i="1"/>
  <c r="E466" i="1"/>
  <c r="F465" i="1"/>
  <c r="E465" i="1"/>
  <c r="F464" i="1"/>
  <c r="E464" i="1"/>
  <c r="F462" i="1"/>
  <c r="E462" i="1"/>
  <c r="F460" i="1"/>
  <c r="E460" i="1"/>
  <c r="F459" i="1"/>
  <c r="E459" i="1"/>
  <c r="F458" i="1"/>
  <c r="E458" i="1"/>
  <c r="F457" i="1"/>
  <c r="E457" i="1"/>
  <c r="F456" i="1"/>
  <c r="E456" i="1"/>
  <c r="F455" i="1"/>
  <c r="E455" i="1"/>
  <c r="F454" i="1"/>
  <c r="E454" i="1"/>
  <c r="F453" i="1"/>
  <c r="E453" i="1"/>
  <c r="F452" i="1"/>
  <c r="E452" i="1"/>
  <c r="F451" i="1"/>
  <c r="E451" i="1"/>
  <c r="F450" i="1"/>
  <c r="E450" i="1"/>
  <c r="F449" i="1"/>
  <c r="E449" i="1"/>
  <c r="F448" i="1"/>
  <c r="E448" i="1"/>
  <c r="F447" i="1"/>
  <c r="E447" i="1"/>
  <c r="F446" i="1"/>
  <c r="E446" i="1"/>
  <c r="F445" i="1"/>
  <c r="E445" i="1"/>
  <c r="F444" i="1"/>
  <c r="E444" i="1"/>
  <c r="F443" i="1"/>
  <c r="E443" i="1"/>
  <c r="F442" i="1"/>
  <c r="E442" i="1"/>
  <c r="F441" i="1"/>
  <c r="E441" i="1"/>
  <c r="F440" i="1"/>
  <c r="E440" i="1"/>
  <c r="F438" i="1"/>
  <c r="E438" i="1"/>
  <c r="F436" i="1"/>
  <c r="E436" i="1"/>
  <c r="F435" i="1"/>
  <c r="E435" i="1"/>
  <c r="F434" i="1"/>
  <c r="E434" i="1"/>
  <c r="F433" i="1"/>
  <c r="E433" i="1"/>
  <c r="F432" i="1"/>
  <c r="E432" i="1"/>
  <c r="F431" i="1"/>
  <c r="E431" i="1"/>
  <c r="F430" i="1"/>
  <c r="E430" i="1"/>
  <c r="F429" i="1"/>
  <c r="E429" i="1"/>
  <c r="F428" i="1"/>
  <c r="E428" i="1"/>
  <c r="F427" i="1"/>
  <c r="E427" i="1"/>
  <c r="F426" i="1"/>
  <c r="E426" i="1"/>
  <c r="F425" i="1"/>
  <c r="E425" i="1"/>
  <c r="F424" i="1"/>
  <c r="E424" i="1"/>
  <c r="F423" i="1"/>
  <c r="E423" i="1"/>
  <c r="F422" i="1"/>
  <c r="E422" i="1"/>
  <c r="F421" i="1"/>
  <c r="E421" i="1"/>
  <c r="F420" i="1"/>
  <c r="E420" i="1"/>
  <c r="F419" i="1"/>
  <c r="E419" i="1"/>
  <c r="F417" i="1"/>
  <c r="E417" i="1"/>
  <c r="F416" i="1"/>
  <c r="E416" i="1"/>
  <c r="F415" i="1"/>
  <c r="E415" i="1"/>
  <c r="F414" i="1"/>
  <c r="E414" i="1"/>
  <c r="F413" i="1"/>
  <c r="E413" i="1"/>
  <c r="F412" i="1"/>
  <c r="E412" i="1"/>
  <c r="F411" i="1"/>
  <c r="E411" i="1"/>
  <c r="F410" i="1"/>
  <c r="E410" i="1"/>
  <c r="F409" i="1"/>
  <c r="E409" i="1"/>
  <c r="F408" i="1"/>
  <c r="E408" i="1"/>
  <c r="F407" i="1"/>
  <c r="E407" i="1"/>
  <c r="F406" i="1"/>
  <c r="E406" i="1"/>
  <c r="F405" i="1"/>
  <c r="E405" i="1"/>
  <c r="F403" i="1"/>
  <c r="E403" i="1"/>
  <c r="F402" i="1"/>
  <c r="E402" i="1"/>
  <c r="F401" i="1"/>
  <c r="E401" i="1"/>
  <c r="F400" i="1"/>
  <c r="E400" i="1"/>
  <c r="F399" i="1"/>
  <c r="E399" i="1"/>
  <c r="F398" i="1"/>
  <c r="E398" i="1"/>
  <c r="F396" i="1"/>
  <c r="E396" i="1"/>
  <c r="F394" i="1"/>
  <c r="E394" i="1"/>
  <c r="F393" i="1"/>
  <c r="E393" i="1"/>
  <c r="F392" i="1"/>
  <c r="E392" i="1"/>
  <c r="F391" i="1"/>
  <c r="E391" i="1"/>
  <c r="F390" i="1"/>
  <c r="E390" i="1"/>
  <c r="F389" i="1"/>
  <c r="E389" i="1"/>
  <c r="F388" i="1"/>
  <c r="E388" i="1"/>
  <c r="F386" i="1"/>
  <c r="E386" i="1"/>
  <c r="F385" i="1"/>
  <c r="E385" i="1"/>
  <c r="F384" i="1"/>
  <c r="E384" i="1"/>
  <c r="F383" i="1"/>
  <c r="E383" i="1"/>
  <c r="F382" i="1"/>
  <c r="E382" i="1"/>
  <c r="F381" i="1"/>
  <c r="E381" i="1"/>
  <c r="F380" i="1"/>
  <c r="E380" i="1"/>
  <c r="F379" i="1"/>
  <c r="E379" i="1"/>
  <c r="F378" i="1"/>
  <c r="E378" i="1"/>
  <c r="F376" i="1"/>
  <c r="E376" i="1"/>
  <c r="F375" i="1"/>
  <c r="E375" i="1"/>
  <c r="F374" i="1"/>
  <c r="E374" i="1"/>
  <c r="F373" i="1"/>
  <c r="E373" i="1"/>
  <c r="F372" i="1"/>
  <c r="E372" i="1"/>
  <c r="F370" i="1"/>
  <c r="E370" i="1"/>
  <c r="F369" i="1"/>
  <c r="E369" i="1"/>
  <c r="F368" i="1"/>
  <c r="E368" i="1"/>
  <c r="F367" i="1"/>
  <c r="E367" i="1"/>
  <c r="F366" i="1"/>
  <c r="E366" i="1"/>
  <c r="F365" i="1"/>
  <c r="E365" i="1"/>
  <c r="F364" i="1"/>
  <c r="E364" i="1"/>
  <c r="F363" i="1"/>
  <c r="E363" i="1"/>
  <c r="F362" i="1"/>
  <c r="E362" i="1"/>
  <c r="F361" i="1"/>
  <c r="E361" i="1"/>
  <c r="F359" i="1"/>
  <c r="E359" i="1"/>
  <c r="F358" i="1"/>
  <c r="E358" i="1"/>
  <c r="F357" i="1"/>
  <c r="E357" i="1"/>
  <c r="F356" i="1"/>
  <c r="E356" i="1"/>
  <c r="F354" i="1"/>
  <c r="E354" i="1"/>
  <c r="F353" i="1"/>
  <c r="E353" i="1"/>
  <c r="F352" i="1"/>
  <c r="E352" i="1"/>
  <c r="F351" i="1"/>
  <c r="E351" i="1"/>
  <c r="F348" i="1"/>
  <c r="E348" i="1"/>
  <c r="F347" i="1"/>
  <c r="E347" i="1"/>
  <c r="F346" i="1"/>
  <c r="E346" i="1"/>
  <c r="F344" i="1"/>
  <c r="E344" i="1"/>
  <c r="F343" i="1"/>
  <c r="E343" i="1"/>
  <c r="F342" i="1"/>
  <c r="E342" i="1"/>
  <c r="F341" i="1"/>
  <c r="E341" i="1"/>
  <c r="F340" i="1"/>
  <c r="E340" i="1"/>
  <c r="F339" i="1"/>
  <c r="E339" i="1"/>
  <c r="F338" i="1"/>
  <c r="E338" i="1"/>
  <c r="F337" i="1"/>
  <c r="E337" i="1"/>
  <c r="F334" i="1"/>
  <c r="E334" i="1"/>
  <c r="F333" i="1"/>
  <c r="E333" i="1"/>
  <c r="F332" i="1"/>
  <c r="E332" i="1"/>
  <c r="F331" i="1"/>
  <c r="E331" i="1"/>
  <c r="F329" i="1"/>
  <c r="E329" i="1"/>
  <c r="F328" i="1"/>
  <c r="E328" i="1"/>
  <c r="F327" i="1"/>
  <c r="E327" i="1"/>
  <c r="F326" i="1"/>
  <c r="E326" i="1"/>
  <c r="F325" i="1"/>
  <c r="E325" i="1"/>
  <c r="F323" i="1"/>
  <c r="E323" i="1"/>
  <c r="F320" i="1"/>
  <c r="E320" i="1"/>
  <c r="F319" i="1"/>
  <c r="E319" i="1"/>
  <c r="F318" i="1"/>
  <c r="E318" i="1"/>
  <c r="F317" i="1"/>
  <c r="E317" i="1"/>
  <c r="F316" i="1"/>
  <c r="E316" i="1"/>
  <c r="F312" i="1"/>
  <c r="E312" i="1"/>
  <c r="F311" i="1"/>
  <c r="E311" i="1"/>
  <c r="F308" i="1"/>
  <c r="E308" i="1"/>
  <c r="F307" i="1"/>
  <c r="E307" i="1"/>
  <c r="F306" i="1"/>
  <c r="E306" i="1"/>
  <c r="F304" i="1"/>
  <c r="E304" i="1"/>
  <c r="F302" i="1"/>
  <c r="E302" i="1"/>
  <c r="F301" i="1"/>
  <c r="E301" i="1"/>
  <c r="F300" i="1"/>
  <c r="E300" i="1"/>
  <c r="F298" i="1"/>
  <c r="E298" i="1"/>
  <c r="F296" i="1"/>
  <c r="E296" i="1"/>
  <c r="F293" i="1"/>
  <c r="E293" i="1"/>
  <c r="F292" i="1"/>
  <c r="E292" i="1"/>
  <c r="F288" i="1"/>
  <c r="E288" i="1"/>
  <c r="F287" i="1"/>
  <c r="E287" i="1"/>
  <c r="F281" i="1"/>
  <c r="E281" i="1"/>
  <c r="F280" i="1"/>
  <c r="E280" i="1"/>
  <c r="F275" i="1"/>
  <c r="E275" i="1"/>
  <c r="F271" i="1"/>
  <c r="E271" i="1"/>
  <c r="F269" i="1"/>
  <c r="E269" i="1"/>
  <c r="F268" i="1"/>
  <c r="E268" i="1"/>
  <c r="F267" i="1"/>
  <c r="E267" i="1"/>
  <c r="F265" i="1"/>
  <c r="E265" i="1"/>
  <c r="F264" i="1"/>
  <c r="E264" i="1"/>
  <c r="F263" i="1"/>
  <c r="E263" i="1"/>
  <c r="F261" i="1"/>
  <c r="E261" i="1"/>
  <c r="F260" i="1"/>
  <c r="E260" i="1"/>
  <c r="F259" i="1"/>
  <c r="E259" i="1"/>
  <c r="F258" i="1"/>
  <c r="E258" i="1"/>
  <c r="F257" i="1"/>
  <c r="E257" i="1"/>
  <c r="F256" i="1"/>
  <c r="E256" i="1"/>
  <c r="F255" i="1"/>
  <c r="E255" i="1"/>
  <c r="F254" i="1"/>
  <c r="E254" i="1"/>
  <c r="F253" i="1"/>
  <c r="E253" i="1"/>
  <c r="F251" i="1"/>
  <c r="E251" i="1"/>
  <c r="F250" i="1"/>
  <c r="E250" i="1"/>
  <c r="F248" i="1"/>
  <c r="E248" i="1"/>
  <c r="F246" i="1"/>
  <c r="E246" i="1"/>
  <c r="F245" i="1"/>
  <c r="E245" i="1"/>
  <c r="F243" i="1"/>
  <c r="E243" i="1"/>
  <c r="F241" i="1"/>
  <c r="E241" i="1"/>
  <c r="F239" i="1"/>
  <c r="E239" i="1"/>
  <c r="F237" i="1"/>
  <c r="E237" i="1"/>
  <c r="F236" i="1"/>
  <c r="E236" i="1"/>
  <c r="F233" i="1"/>
  <c r="E233" i="1"/>
  <c r="F230" i="1"/>
  <c r="E230" i="1"/>
  <c r="F226" i="1"/>
  <c r="E226" i="1"/>
  <c r="F225" i="1"/>
  <c r="E225" i="1"/>
  <c r="F223" i="1"/>
  <c r="E223" i="1"/>
  <c r="F222" i="1"/>
  <c r="E222" i="1"/>
  <c r="F218" i="1"/>
  <c r="E218" i="1"/>
  <c r="F216" i="1"/>
  <c r="E216" i="1"/>
  <c r="F215" i="1"/>
  <c r="E215" i="1"/>
  <c r="F214" i="1"/>
  <c r="E214" i="1"/>
  <c r="F211" i="1"/>
  <c r="E211" i="1"/>
  <c r="F208" i="1"/>
  <c r="E208" i="1"/>
  <c r="F207" i="1"/>
  <c r="E207" i="1"/>
  <c r="F206" i="1"/>
  <c r="E206" i="1"/>
  <c r="F205" i="1"/>
  <c r="E205" i="1"/>
  <c r="F204" i="1"/>
  <c r="E204" i="1"/>
  <c r="F203" i="1"/>
  <c r="E203" i="1"/>
  <c r="F202" i="1"/>
  <c r="E202" i="1"/>
  <c r="F197" i="1"/>
  <c r="E197" i="1"/>
  <c r="F196" i="1"/>
  <c r="E196" i="1"/>
  <c r="F195" i="1"/>
  <c r="E195" i="1"/>
  <c r="F194" i="1"/>
  <c r="E194" i="1"/>
  <c r="F192" i="1"/>
  <c r="E192" i="1"/>
  <c r="F191" i="1"/>
  <c r="E191" i="1"/>
  <c r="F190" i="1"/>
  <c r="E190" i="1"/>
  <c r="F188" i="1"/>
  <c r="E188" i="1"/>
  <c r="F187" i="1"/>
  <c r="E187" i="1"/>
  <c r="F186" i="1"/>
  <c r="E186" i="1"/>
  <c r="F185" i="1"/>
  <c r="E185" i="1"/>
  <c r="F183" i="1"/>
  <c r="E183" i="1"/>
  <c r="F181" i="1"/>
  <c r="E181" i="1"/>
  <c r="F178" i="1"/>
  <c r="E178" i="1"/>
  <c r="F176" i="1"/>
  <c r="E176" i="1"/>
  <c r="F175" i="1"/>
  <c r="E175" i="1"/>
  <c r="F174" i="1"/>
  <c r="E174" i="1"/>
  <c r="F173" i="1"/>
  <c r="E173" i="1"/>
  <c r="F170" i="1"/>
  <c r="E170" i="1"/>
  <c r="F169" i="1"/>
  <c r="E169" i="1"/>
  <c r="F168" i="1"/>
  <c r="E168" i="1"/>
  <c r="F167" i="1"/>
  <c r="E167" i="1"/>
  <c r="F166" i="1"/>
  <c r="E166" i="1"/>
  <c r="F162" i="1"/>
  <c r="E162" i="1"/>
  <c r="F159" i="1"/>
  <c r="E159" i="1"/>
  <c r="F157" i="1"/>
  <c r="E157" i="1"/>
  <c r="F151" i="1"/>
  <c r="E151" i="1"/>
  <c r="F148" i="1"/>
  <c r="E148" i="1"/>
  <c r="F147" i="1"/>
  <c r="E147" i="1"/>
  <c r="F143" i="1"/>
  <c r="E143" i="1"/>
  <c r="F140" i="1"/>
  <c r="E140" i="1"/>
  <c r="F136" i="1"/>
  <c r="E136" i="1"/>
  <c r="F135" i="1"/>
  <c r="E135" i="1"/>
  <c r="F132" i="1"/>
  <c r="E132" i="1"/>
  <c r="F130" i="1"/>
  <c r="E13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<sst xmlns="http://schemas.openxmlformats.org/spreadsheetml/2006/main" count="17890" uniqueCount="13288">
  <si>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</si>
  <si>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</si>
  <si>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</si>
  <si>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</si>
  <si>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</si>
  <si>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</si>
  <si>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</si>
  <si>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</si>
  <si>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</si>
  <si>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</si>
  <si>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</si>
  <si>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</si>
  <si>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</si>
  <si>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</si>
  <si>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</si>
  <si>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</si>
  <si>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</si>
  <si>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</si>
  <si>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</si>
  <si>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</si>
  <si>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</si>
  <si>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</si>
  <si>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</si>
  <si>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</si>
  <si>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</si>
  <si>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</si>
  <si>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</si>
  <si>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</si>
  <si>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</si>
  <si>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</si>
  <si>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</si>
  <si>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</si>
  <si>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</si>
  <si>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</si>
  <si>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</si>
  <si>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</si>
  <si>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</si>
  <si>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</si>
  <si>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</si>
  <si>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</si>
  <si>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</si>
  <si>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</si>
  <si>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</si>
  <si>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</si>
  <si>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</si>
  <si>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</si>
  <si>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</si>
  <si>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</si>
  <si>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</si>
  <si>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</si>
  <si>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</si>
  <si>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</si>
  <si>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</si>
  <si>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</si>
  <si>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</si>
  <si>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</si>
  <si>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</si>
  <si>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</si>
  <si>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</si>
  <si>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</si>
  <si>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</si>
  <si>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</si>
  <si>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</si>
  <si>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</si>
  <si>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</si>
  <si>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</si>
  <si>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</si>
  <si>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</si>
  <si>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</si>
  <si>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</si>
  <si>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</si>
  <si>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</si>
  <si>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</si>
  <si>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</si>
  <si>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</si>
  <si>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</si>
  <si>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</si>
  <si>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</si>
  <si>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</si>
  <si>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</si>
  <si>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</si>
  <si>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</si>
  <si>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</si>
  <si>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</si>
  <si>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</si>
  <si>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</si>
  <si>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</si>
  <si>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</si>
  <si>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</si>
  <si>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</si>
  <si>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</si>
  <si>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</si>
  <si>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</si>
  <si>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</si>
  <si>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</si>
  <si>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</si>
  <si>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</si>
  <si>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</si>
  <si>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</si>
  <si>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</si>
  <si>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</si>
  <si>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</si>
  <si>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</si>
  <si>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</si>
  <si>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</si>
  <si>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</si>
  <si>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</si>
  <si>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</si>
  <si>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</si>
  <si>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</si>
  <si>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</si>
  <si>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</si>
  <si>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</si>
  <si>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</si>
  <si>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</si>
  <si>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</si>
  <si>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</si>
  <si>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</si>
  <si>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</si>
  <si>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</si>
  <si>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</si>
  <si>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</si>
  <si>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</si>
  <si>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</si>
  <si>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</si>
  <si>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</si>
  <si>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</si>
  <si>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</si>
  <si>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</si>
  <si>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</si>
  <si>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</si>
  <si>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</si>
  <si>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</si>
  <si>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</si>
  <si>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</si>
  <si>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</si>
  <si>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</si>
  <si>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</si>
  <si>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</si>
  <si>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</si>
  <si>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</si>
  <si>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</si>
  <si>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</si>
  <si>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</si>
  <si>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</si>
  <si>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</si>
  <si>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</si>
  <si>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</si>
  <si>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</si>
  <si>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</si>
  <si>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</si>
  <si>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</si>
  <si>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</si>
  <si>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</si>
  <si>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</si>
  <si>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</si>
  <si>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</si>
  <si>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</si>
  <si>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</si>
  <si>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</si>
  <si>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</si>
  <si>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</si>
  <si>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</si>
  <si>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</si>
  <si>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</si>
  <si>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</si>
  <si>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</si>
  <si>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</si>
  <si>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</si>
  <si>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</si>
  <si>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</si>
  <si>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</si>
  <si>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</si>
  <si>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</si>
  <si>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</si>
  <si>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</si>
  <si>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</si>
  <si>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</si>
  <si>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</si>
  <si>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</si>
  <si>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</si>
  <si>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</si>
  <si>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</si>
  <si>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</si>
  <si>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</si>
  <si>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</si>
  <si>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</si>
  <si>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</si>
  <si>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</si>
  <si>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</si>
  <si>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</si>
  <si>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</si>
  <si>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</si>
  <si>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</si>
  <si>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</si>
  <si>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</si>
  <si>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</si>
  <si>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</si>
  <si>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</si>
  <si>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</si>
  <si>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</si>
  <si>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</si>
  <si>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</si>
  <si>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</si>
  <si>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</si>
  <si>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</si>
  <si>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</si>
  <si>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</si>
  <si>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</si>
  <si>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</si>
  <si>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</si>
  <si>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</si>
  <si>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</si>
  <si>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</si>
  <si>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</si>
  <si>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</si>
  <si>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</si>
  <si>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</si>
  <si>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</si>
  <si>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</si>
  <si>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</si>
  <si>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</si>
  <si>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</si>
  <si>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</si>
  <si>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</si>
  <si>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</si>
  <si>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</si>
  <si>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</si>
  <si>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</si>
  <si>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</si>
  <si>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</si>
  <si>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</si>
  <si>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</si>
  <si>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</si>
  <si>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</si>
  <si>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</si>
  <si>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</si>
  <si>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</si>
  <si>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</si>
  <si>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</si>
  <si>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</si>
  <si>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</si>
  <si>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</si>
  <si>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</si>
  <si>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</si>
  <si>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</si>
  <si>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</si>
  <si>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</si>
  <si>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</si>
  <si>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</si>
  <si>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</si>
  <si>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</si>
  <si>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</si>
  <si>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</si>
  <si>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</si>
  <si>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</si>
  <si>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</si>
  <si>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</si>
  <si>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</si>
  <si>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</si>
  <si>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</si>
  <si>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</si>
  <si>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</si>
  <si>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</si>
  <si>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</si>
  <si>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</si>
  <si>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</si>
  <si>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</si>
  <si>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</si>
  <si>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</si>
  <si>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</si>
  <si>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</si>
  <si>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</si>
  <si>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</si>
  <si>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</si>
  <si>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</si>
  <si>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</si>
  <si>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</si>
  <si>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</si>
  <si>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</si>
  <si>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</si>
  <si>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</si>
  <si>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</si>
  <si>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</si>
  <si>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</si>
  <si>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</si>
  <si>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</si>
  <si>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</si>
  <si>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</si>
  <si>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</si>
  <si>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</si>
  <si>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</si>
  <si>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</si>
  <si>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</si>
  <si>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</si>
  <si>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</si>
  <si>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</si>
  <si>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</si>
  <si>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</si>
  <si>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</si>
  <si>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</si>
  <si>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</si>
  <si>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</si>
  <si>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</si>
  <si>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</si>
  <si>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</si>
  <si>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</si>
  <si>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</si>
  <si>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</si>
  <si>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</si>
  <si>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</si>
  <si>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</si>
  <si>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</si>
  <si>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</si>
  <si>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</si>
  <si>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</si>
  <si>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</si>
  <si>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</si>
  <si>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</si>
  <si>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</si>
  <si>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</si>
  <si>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</si>
  <si>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</si>
  <si>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</si>
  <si>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</si>
  <si>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</si>
  <si>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</si>
  <si>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</si>
  <si>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</si>
  <si>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</si>
  <si>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</si>
  <si>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</si>
  <si>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</si>
  <si>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</si>
  <si>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</si>
  <si>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</si>
  <si>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</si>
  <si>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</si>
  <si>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</si>
  <si>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</si>
  <si>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</si>
  <si>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</si>
  <si>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</si>
  <si>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</si>
  <si>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</si>
  <si>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</si>
  <si>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</si>
  <si>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</si>
  <si>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</si>
  <si>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</si>
  <si>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</si>
  <si>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</si>
  <si>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</si>
  <si>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</si>
  <si>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</si>
  <si>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</si>
  <si>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</si>
  <si>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</si>
  <si>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</si>
  <si>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</si>
  <si>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</si>
  <si>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</si>
  <si>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</si>
  <si>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</si>
  <si>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</si>
  <si>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</si>
  <si>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</si>
  <si>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</si>
  <si>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</si>
  <si>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</si>
  <si>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</si>
  <si>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</si>
  <si>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</si>
  <si>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</si>
  <si>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</si>
  <si>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</si>
  <si>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</si>
  <si>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</si>
  <si>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</si>
  <si>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</si>
  <si>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</si>
  <si>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</si>
  <si>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</si>
  <si>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</si>
  <si>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</si>
  <si>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</si>
  <si>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</si>
  <si>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</si>
  <si>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</si>
  <si>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</si>
  <si>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</si>
  <si>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</si>
  <si>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</si>
  <si>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</si>
  <si>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</si>
  <si>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</si>
  <si>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</si>
  <si>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</si>
  <si>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</si>
  <si>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</si>
  <si>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</si>
  <si>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</si>
  <si>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</si>
  <si>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</si>
  <si>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</si>
  <si>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</si>
  <si>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</si>
  <si>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</si>
  <si>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</si>
  <si>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</si>
  <si>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</si>
  <si>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</si>
  <si>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</si>
  <si>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</si>
  <si>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</si>
  <si>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</si>
  <si>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</si>
  <si>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</si>
  <si>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</si>
  <si>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</si>
  <si>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</si>
  <si>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</si>
  <si>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</si>
  <si>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</si>
  <si>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</si>
  <si>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</si>
  <si>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</si>
  <si>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</si>
  <si>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</si>
  <si>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</si>
  <si>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</si>
  <si>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</si>
  <si>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</si>
  <si>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</si>
  <si>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</si>
  <si>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</si>
  <si>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</si>
  <si>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</si>
  <si>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</si>
  <si>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</si>
  <si>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</si>
  <si>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</si>
  <si>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</si>
  <si>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</si>
  <si>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</si>
  <si>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</si>
  <si>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</si>
  <si>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</si>
  <si>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</si>
  <si>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</si>
  <si>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</si>
  <si>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</si>
  <si>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</si>
  <si>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</si>
  <si>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</si>
  <si>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</si>
  <si>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</si>
  <si>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</si>
  <si>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</si>
  <si>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</si>
  <si>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</si>
  <si>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</si>
  <si>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</si>
  <si>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</si>
  <si>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</si>
  <si>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</si>
  <si>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</si>
  <si>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</si>
  <si>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</si>
  <si>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</si>
  <si>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</si>
  <si>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</si>
  <si>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</si>
  <si>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</si>
  <si>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</si>
  <si>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</si>
  <si>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</si>
  <si>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</si>
  <si>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</si>
  <si>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</si>
  <si>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</si>
  <si>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</si>
  <si>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</si>
  <si>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</si>
  <si>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</si>
  <si>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</si>
  <si>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</si>
  <si>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</si>
  <si>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</si>
  <si>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</si>
  <si>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</si>
  <si>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</si>
  <si>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</si>
  <si>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</si>
  <si>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</si>
  <si>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</si>
  <si>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</si>
  <si>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</si>
  <si>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</si>
  <si>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</si>
  <si>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</si>
  <si>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</si>
  <si>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</si>
  <si>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</si>
  <si>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</si>
  <si>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</si>
  <si>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</si>
  <si>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</si>
  <si>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</si>
  <si>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</si>
  <si>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</si>
  <si>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</si>
  <si>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</si>
  <si>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</si>
  <si>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</si>
  <si>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</si>
  <si>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</si>
  <si>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</si>
  <si>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</si>
  <si>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</si>
  <si>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</si>
  <si>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</si>
  <si>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</si>
  <si>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</si>
  <si>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</si>
  <si>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</si>
  <si>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</si>
  <si>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</si>
  <si>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</si>
  <si>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</si>
  <si>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</si>
  <si>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</si>
  <si>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</si>
  <si>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</si>
  <si>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</si>
  <si>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</si>
  <si>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</si>
  <si>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</si>
  <si>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</si>
  <si>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</si>
  <si>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</si>
  <si>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</si>
  <si>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</si>
  <si>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</si>
  <si>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</si>
  <si>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</si>
  <si>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</si>
  <si>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</si>
  <si>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</si>
  <si>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</si>
  <si>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</si>
  <si>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</si>
  <si>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</si>
  <si>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</si>
  <si>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</si>
  <si>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</si>
  <si>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</si>
  <si>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</si>
  <si>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</si>
  <si>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</si>
  <si>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</si>
  <si>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</si>
  <si>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</si>
  <si>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</si>
  <si>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</si>
  <si>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</si>
  <si>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</si>
  <si>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</si>
  <si>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</si>
  <si>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</si>
  <si>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</si>
  <si>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</si>
  <si>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</si>
  <si>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</si>
  <si>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</si>
  <si>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</si>
  <si>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</si>
  <si>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</si>
  <si>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</si>
  <si>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</si>
  <si>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</si>
  <si>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</si>
  <si>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</si>
  <si>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</si>
  <si>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</si>
  <si>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</si>
  <si>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</si>
  <si>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</si>
  <si>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</si>
  <si>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</si>
  <si>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</si>
  <si>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</si>
  <si>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</si>
  <si>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</si>
  <si>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</si>
  <si>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</si>
  <si>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</si>
  <si>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</si>
  <si>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</si>
  <si>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</si>
  <si>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</si>
  <si>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</si>
  <si>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</si>
  <si>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</si>
  <si>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</si>
  <si>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</si>
  <si>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</si>
  <si>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</si>
  <si>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</si>
  <si>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</si>
  <si>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</si>
  <si>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</si>
  <si>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</si>
  <si>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</si>
  <si>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</si>
  <si>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</si>
  <si>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</si>
  <si>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</si>
  <si>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</si>
  <si>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</si>
  <si>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</si>
  <si>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</si>
  <si>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</si>
  <si>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</si>
  <si>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</si>
  <si>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</si>
  <si>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</si>
  <si>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</si>
  <si>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</si>
  <si>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</si>
  <si>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</si>
  <si>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</si>
  <si>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</si>
  <si>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</si>
  <si>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</si>
  <si>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</si>
  <si>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</si>
  <si>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</si>
  <si>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</si>
  <si>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</si>
  <si>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</si>
  <si>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</si>
  <si>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</si>
  <si>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</si>
  <si>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</si>
  <si>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</si>
  <si>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</si>
  <si>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</si>
  <si>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</si>
  <si>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</si>
  <si>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</si>
  <si>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</si>
  <si>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</si>
  <si>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</si>
  <si>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</si>
  <si>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</si>
  <si>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</si>
  <si>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</si>
  <si>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</si>
  <si>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</si>
  <si>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</si>
  <si>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</si>
  <si>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</si>
  <si>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</si>
  <si>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</si>
  <si>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</si>
  <si>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</si>
  <si>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</si>
  <si>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</si>
  <si>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</si>
  <si>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</si>
  <si>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</si>
  <si>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</si>
  <si>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</si>
  <si>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</si>
  <si>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</si>
  <si>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</si>
  <si>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</si>
  <si>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</si>
  <si>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</si>
  <si>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</si>
  <si>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</si>
  <si>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</si>
  <si>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</si>
  <si>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</si>
  <si>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</si>
  <si>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</si>
  <si>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</si>
  <si>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</si>
  <si>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</si>
  <si>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</si>
  <si>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</si>
  <si>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</si>
  <si>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</si>
  <si>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</si>
  <si>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</si>
  <si>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</si>
  <si>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</si>
  <si>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</si>
  <si>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</si>
  <si>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</si>
  <si>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</si>
  <si>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</si>
  <si>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</si>
  <si>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</si>
  <si>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</si>
  <si>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</si>
  <si>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</si>
  <si>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</si>
  <si>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</si>
  <si>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</si>
  <si>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</si>
  <si>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</si>
  <si>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</si>
  <si>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</si>
  <si>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</si>
  <si>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</si>
  <si>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</si>
  <si>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</si>
  <si>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</si>
  <si>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</si>
  <si>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</si>
  <si>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</si>
  <si>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</si>
  <si>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</si>
  <si>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</si>
  <si>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</si>
  <si>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</si>
  <si>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</si>
  <si>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</si>
  <si>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</si>
  <si>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</si>
  <si>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</si>
  <si>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</si>
  <si>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</si>
  <si>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</si>
  <si>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</si>
  <si>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</si>
  <si>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</si>
  <si>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</si>
  <si>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</si>
  <si>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</si>
  <si>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</si>
  <si>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</si>
  <si>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</si>
  <si>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</si>
  <si>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</si>
  <si>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</si>
  <si>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</si>
  <si>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</si>
  <si>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</si>
  <si>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</si>
  <si>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</si>
  <si>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</si>
  <si>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</si>
  <si>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</si>
  <si>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</si>
  <si>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</si>
  <si>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</si>
  <si>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</si>
  <si>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</si>
  <si>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</si>
  <si>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</si>
  <si>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</si>
  <si>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</si>
  <si>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</si>
  <si>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</si>
  <si>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</si>
  <si>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</si>
  <si>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</si>
  <si>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</si>
  <si>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</si>
  <si>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</si>
  <si>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</si>
  <si>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</si>
  <si>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</si>
  <si>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</si>
  <si>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</si>
  <si>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</si>
  <si>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</si>
  <si>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</si>
  <si>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</si>
  <si>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</si>
  <si>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</si>
  <si>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</si>
  <si>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</si>
  <si>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</si>
  <si>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</si>
  <si>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</si>
  <si>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</si>
  <si>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</si>
  <si>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</si>
  <si>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</si>
  <si>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</si>
  <si>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</si>
  <si>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</si>
  <si>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</si>
  <si>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</si>
  <si>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</si>
  <si>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</si>
  <si>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</si>
  <si>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</si>
  <si>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</si>
  <si>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</si>
  <si>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</si>
  <si>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</si>
  <si>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</si>
  <si>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</si>
  <si>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</si>
  <si>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</si>
  <si>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</si>
  <si>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</si>
  <si>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</si>
  <si>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</si>
  <si>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</si>
  <si>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</si>
  <si>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</si>
  <si>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</si>
  <si>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</si>
  <si>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</si>
  <si>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</si>
  <si>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</si>
  <si>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</si>
  <si>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</si>
  <si>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</si>
  <si>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</si>
  <si>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</si>
  <si>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</si>
  <si>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</si>
  <si>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</si>
  <si>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</si>
  <si>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</si>
  <si>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</si>
  <si>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</si>
  <si>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</si>
  <si>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</si>
  <si>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</si>
  <si>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</si>
  <si>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</si>
  <si>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</si>
  <si>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</si>
  <si>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</si>
  <si>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</si>
  <si>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</si>
  <si>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</si>
  <si>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</si>
  <si>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</si>
  <si>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</si>
  <si>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</si>
  <si>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</si>
  <si>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</si>
  <si>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</si>
  <si>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</si>
  <si>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</si>
  <si>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</si>
  <si>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</si>
  <si>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</si>
  <si>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</si>
  <si>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</si>
  <si>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</si>
  <si>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</si>
  <si>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</si>
  <si>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</si>
  <si>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</si>
  <si>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</si>
  <si>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</si>
  <si>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</si>
  <si>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</si>
  <si>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</si>
  <si>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</si>
  <si>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</si>
  <si>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</si>
  <si>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</si>
  <si>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</si>
  <si>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</si>
  <si>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</si>
  <si>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</si>
  <si>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</si>
  <si>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</si>
  <si>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</si>
  <si>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</si>
  <si>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</si>
  <si>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</si>
  <si>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</si>
  <si>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</si>
  <si>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</si>
  <si>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</si>
  <si>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</si>
  <si>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</si>
  <si>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</si>
  <si>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</si>
  <si>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</si>
  <si>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</si>
  <si>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</si>
  <si>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</si>
  <si>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</si>
  <si>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</si>
  <si>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</si>
  <si>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</si>
  <si>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</si>
  <si>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</si>
  <si>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</si>
  <si>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</si>
  <si>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</si>
  <si>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</si>
  <si>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</si>
  <si>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</si>
  <si>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</si>
  <si>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</si>
  <si>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</si>
  <si>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</si>
  <si>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</si>
  <si>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</si>
  <si>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</si>
  <si>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</si>
  <si>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</si>
  <si>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</si>
  <si>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</si>
  <si>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</si>
  <si>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</si>
  <si>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</si>
  <si>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</si>
  <si>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</si>
  <si>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</si>
  <si>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</si>
  <si>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</si>
  <si>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</si>
  <si>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</si>
  <si>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</si>
  <si>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</si>
  <si>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</si>
  <si>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</si>
  <si>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</si>
  <si>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</si>
  <si>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</si>
  <si>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</si>
  <si>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</si>
  <si>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</si>
  <si>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</si>
  <si>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</si>
  <si>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</si>
  <si>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</si>
  <si>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</si>
  <si>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</si>
  <si>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</si>
  <si>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</si>
  <si>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</si>
  <si>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</si>
  <si>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</si>
  <si>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</si>
  <si>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</si>
  <si>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</si>
  <si>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</si>
  <si>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</si>
  <si>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</si>
  <si>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</si>
  <si>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</si>
  <si>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</si>
  <si>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</si>
  <si>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</si>
  <si>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</si>
  <si>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</si>
  <si>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</si>
  <si>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</si>
  <si>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</si>
  <si>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</si>
  <si>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</si>
  <si>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</si>
  <si>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</si>
  <si>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</si>
  <si>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</si>
  <si>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</si>
  <si>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</si>
  <si>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</si>
  <si>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</si>
  <si>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</si>
  <si>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</si>
  <si>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</si>
  <si>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</si>
  <si>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</si>
  <si>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</si>
  <si>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</si>
  <si>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</si>
  <si>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</si>
  <si>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</si>
  <si>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</si>
  <si>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</si>
  <si>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</si>
  <si>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</si>
  <si>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</si>
  <si>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</si>
  <si>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</si>
  <si>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</si>
  <si>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</si>
  <si>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</si>
  <si>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</si>
  <si>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</si>
  <si>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</si>
  <si>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</si>
  <si>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</si>
  <si>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</si>
  <si>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</si>
  <si>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</si>
  <si>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</si>
  <si>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</si>
  <si>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</si>
  <si>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</si>
  <si>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</si>
  <si>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</si>
  <si>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</si>
  <si>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</si>
  <si>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</si>
  <si>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</si>
  <si>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</si>
  <si>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</si>
  <si>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</si>
  <si>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</si>
  <si>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</si>
  <si>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</si>
  <si>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</si>
  <si>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</si>
  <si>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</si>
  <si>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</si>
  <si>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</si>
  <si>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</si>
  <si>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</si>
  <si>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</si>
  <si>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</si>
  <si>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</si>
  <si>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</si>
  <si>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</si>
  <si>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</si>
  <si>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</si>
  <si>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</si>
  <si>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</si>
  <si>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</si>
  <si>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</si>
  <si>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</si>
  <si>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</si>
  <si>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</si>
  <si>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</si>
  <si>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</si>
  <si>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</si>
  <si>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</si>
  <si>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</si>
  <si>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</si>
  <si>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</si>
  <si>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</si>
  <si>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</si>
  <si>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</si>
  <si>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</si>
  <si>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</si>
  <si>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</si>
  <si>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</si>
  <si>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</si>
  <si>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</si>
  <si>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</si>
  <si>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</si>
  <si>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</si>
  <si>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</si>
  <si>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</si>
  <si>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</si>
  <si>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</si>
  <si>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</si>
  <si>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</si>
  <si>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</si>
  <si>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</si>
  <si>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</si>
  <si>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</si>
  <si>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</si>
  <si>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</si>
  <si>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</si>
  <si>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</si>
  <si>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</si>
  <si>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</si>
  <si>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</si>
  <si>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</si>
  <si>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</si>
  <si>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</si>
  <si>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</si>
  <si>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</si>
  <si>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</si>
  <si>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</si>
  <si>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</si>
  <si>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</si>
  <si>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</si>
  <si>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</si>
  <si>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</si>
  <si>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</si>
  <si>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</si>
  <si>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</si>
  <si>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</si>
  <si>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</si>
  <si>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</si>
  <si>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</si>
  <si>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</si>
  <si>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</si>
  <si>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</si>
  <si>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</si>
  <si>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</si>
  <si>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</si>
  <si>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</si>
  <si>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</si>
  <si>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</si>
  <si>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</si>
  <si>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</si>
  <si>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</si>
  <si>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</si>
  <si>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</si>
  <si>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</si>
  <si>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</si>
  <si>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</si>
  <si>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</si>
  <si>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</si>
  <si>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</si>
  <si>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</si>
  <si>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</si>
  <si>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</si>
  <si>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</si>
  <si>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</si>
  <si>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</si>
  <si>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</si>
  <si>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</si>
  <si>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</si>
  <si>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</si>
  <si>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</si>
  <si>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</si>
  <si>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</si>
  <si>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</si>
  <si>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</si>
  <si>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</si>
  <si>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</si>
  <si>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</si>
  <si>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</si>
  <si>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</si>
  <si>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</si>
  <si>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</si>
  <si>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</si>
  <si>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</si>
  <si>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</si>
  <si>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</si>
  <si>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</si>
  <si>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</si>
  <si>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</si>
  <si>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</si>
  <si>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</si>
  <si>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</si>
  <si>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</si>
  <si>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</si>
  <si>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</si>
  <si>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</si>
  <si>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</si>
  <si>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</si>
  <si>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</si>
  <si>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</si>
  <si>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</si>
  <si>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</si>
  <si>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</si>
  <si>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</si>
  <si>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</si>
  <si>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</si>
  <si>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</si>
  <si>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</si>
  <si>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</si>
  <si>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</si>
  <si>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</si>
  <si>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</si>
  <si>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</si>
  <si>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</si>
  <si>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</si>
  <si>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</si>
  <si>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</si>
  <si>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</si>
  <si>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</si>
  <si>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</si>
  <si>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</si>
  <si>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</si>
  <si>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</si>
  <si>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</si>
  <si>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</si>
  <si>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</si>
  <si>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</si>
  <si>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</si>
  <si>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</si>
  <si>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</si>
  <si>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</si>
  <si>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</si>
  <si>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</si>
  <si>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</si>
  <si>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</si>
  <si>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</si>
  <si>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</si>
  <si>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</si>
  <si>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</si>
  <si>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</si>
  <si>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</si>
  <si>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</si>
  <si>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</si>
  <si>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</si>
  <si>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</si>
  <si>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</si>
  <si>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</si>
  <si>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</si>
  <si>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</si>
  <si>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</si>
  <si>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</si>
  <si>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</si>
  <si>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</si>
  <si>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</si>
  <si>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</si>
  <si>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</si>
  <si>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</si>
  <si>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</si>
  <si>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</si>
  <si>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</si>
  <si>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</si>
  <si>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</si>
  <si>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</si>
  <si>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</si>
  <si>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</si>
  <si>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</si>
  <si>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</si>
  <si>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</si>
  <si>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</si>
  <si>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</si>
  <si>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</si>
  <si>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</si>
  <si>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</si>
  <si>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</si>
  <si>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</si>
  <si>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</si>
  <si>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</si>
  <si>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</si>
  <si>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</si>
  <si>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</si>
  <si>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</si>
  <si>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</si>
  <si>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</si>
  <si>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</si>
  <si>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</si>
  <si>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</si>
  <si>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</si>
  <si>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</si>
  <si>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</si>
  <si>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</si>
  <si>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</si>
  <si>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</si>
  <si>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</si>
  <si>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</si>
  <si>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</si>
  <si>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</si>
  <si>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</si>
  <si>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</si>
  <si>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</si>
  <si>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</si>
  <si>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</si>
  <si>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</si>
  <si>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</si>
  <si>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</si>
  <si>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</si>
  <si>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</si>
  <si>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</si>
  <si>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</si>
  <si>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</si>
  <si>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</si>
  <si>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</si>
  <si>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</si>
  <si>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</si>
  <si>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</si>
  <si>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</si>
  <si>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</si>
  <si>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</si>
  <si>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</si>
  <si>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</si>
  <si>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</si>
  <si>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</si>
  <si>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</si>
  <si>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</si>
  <si>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</si>
  <si>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</si>
  <si>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</si>
  <si>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</si>
  <si>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</si>
  <si>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</si>
  <si>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</si>
  <si>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</si>
  <si>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</si>
  <si>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</si>
  <si>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</si>
  <si>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</si>
  <si>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</si>
  <si>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</si>
  <si>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</si>
  <si>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</si>
  <si>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</si>
  <si>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</si>
  <si>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</si>
  <si>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</si>
  <si>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</si>
  <si>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</si>
  <si>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</si>
  <si>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</si>
  <si>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</si>
  <si>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</si>
  <si>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</si>
  <si>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</si>
  <si>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</si>
  <si>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</si>
  <si>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</si>
  <si>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</si>
  <si>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</si>
  <si>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</si>
  <si>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</si>
  <si>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</si>
  <si>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</si>
  <si>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</si>
  <si>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</si>
  <si>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</si>
  <si>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</si>
  <si>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</si>
  <si>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</si>
  <si>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</si>
  <si>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</si>
  <si>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</si>
  <si>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</si>
  <si>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</si>
  <si>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</si>
  <si>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</si>
  <si>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</si>
  <si>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</si>
  <si>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</si>
  <si>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</si>
  <si>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</si>
  <si>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</si>
  <si>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</si>
  <si>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</si>
  <si>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</si>
  <si>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</si>
  <si>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</si>
  <si>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</si>
  <si>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</si>
  <si>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</si>
  <si>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</si>
  <si>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</si>
  <si>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</si>
  <si>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</si>
  <si>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</si>
  <si>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</si>
  <si>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</si>
  <si>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</si>
  <si>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</si>
  <si>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</si>
  <si>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</si>
  <si>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</si>
  <si>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</si>
  <si>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</si>
  <si>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</si>
  <si>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</si>
  <si>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</si>
  <si>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</si>
  <si>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</si>
  <si>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</si>
  <si>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</si>
  <si>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</si>
  <si>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</si>
  <si>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</si>
  <si>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</si>
  <si>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</si>
  <si>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</si>
  <si>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</si>
  <si>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</si>
  <si>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</si>
  <si>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</si>
  <si>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</si>
  <si>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</si>
  <si>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</si>
  <si>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</si>
  <si>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</si>
  <si>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</si>
  <si>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</si>
  <si>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</si>
  <si>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</si>
  <si>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</si>
  <si>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</si>
  <si>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</si>
  <si>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</si>
  <si>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</si>
  <si>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</si>
  <si>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</si>
  <si>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</si>
  <si>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</si>
  <si>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</si>
  <si>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</si>
  <si>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</si>
  <si>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</si>
  <si>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</si>
  <si>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</si>
  <si>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</si>
  <si>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</si>
  <si>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</si>
  <si>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</si>
  <si>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</si>
  <si>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</si>
  <si>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</si>
  <si>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</si>
  <si>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</si>
  <si>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</si>
  <si>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</si>
  <si>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</si>
  <si>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</si>
  <si>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</si>
  <si>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</si>
  <si>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</si>
  <si>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</si>
  <si>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</si>
  <si>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</si>
  <si>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</si>
  <si>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</si>
  <si>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</si>
  <si>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</si>
  <si>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</si>
  <si>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</si>
  <si>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</si>
  <si>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</si>
  <si>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</si>
  <si>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</si>
  <si>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</si>
  <si>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</si>
  <si>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</si>
  <si>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</si>
  <si>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</si>
  <si>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</si>
  <si>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</si>
  <si>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</si>
  <si>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</si>
  <si>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</si>
  <si>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</si>
  <si>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</si>
  <si>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</si>
  <si>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</si>
  <si>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</si>
  <si>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</si>
  <si>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</si>
  <si>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</si>
  <si>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</si>
  <si>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</si>
  <si>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</si>
  <si>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</si>
  <si>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</si>
  <si>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</si>
  <si>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</si>
  <si>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</si>
  <si>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</si>
  <si>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</si>
  <si>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</si>
  <si>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</si>
  <si>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</si>
  <si>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</si>
  <si>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</si>
  <si>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</si>
  <si>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</si>
  <si>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</si>
  <si>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</si>
  <si>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</si>
  <si>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</si>
  <si>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</si>
  <si>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</si>
  <si>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</si>
  <si>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</si>
  <si>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</si>
  <si>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</si>
  <si>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</si>
  <si>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</si>
  <si>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</si>
  <si>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</si>
  <si>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</si>
  <si>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</si>
  <si>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</si>
  <si>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</si>
  <si>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</si>
  <si>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</si>
  <si>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</si>
  <si>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</si>
  <si>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</si>
  <si>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</si>
  <si>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</si>
  <si>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</si>
  <si>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</si>
  <si>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</si>
  <si>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</si>
  <si>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</si>
  <si>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</si>
  <si>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</si>
  <si>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</si>
  <si>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</si>
  <si>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</si>
  <si>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</si>
  <si>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</si>
  <si>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</si>
  <si>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</si>
  <si>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</si>
  <si>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</si>
  <si>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</si>
  <si>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</si>
  <si>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</si>
  <si>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</si>
  <si>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</si>
  <si>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</si>
  <si>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</si>
  <si>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</si>
  <si>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</si>
  <si>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</si>
  <si>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</si>
  <si>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</si>
  <si>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</si>
  <si>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</si>
  <si>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</si>
  <si>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</si>
  <si>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</si>
  <si>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</si>
  <si>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</si>
  <si>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</si>
  <si>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</si>
  <si>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</si>
  <si>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</si>
  <si>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</si>
  <si>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</si>
  <si>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</si>
  <si>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</si>
  <si>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</si>
  <si>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</si>
  <si>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</si>
  <si>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</si>
  <si>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</si>
  <si>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</si>
  <si>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</si>
  <si>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</si>
  <si>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</si>
  <si>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</si>
  <si>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</si>
  <si>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</si>
  <si>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</si>
  <si>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</si>
  <si>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</si>
  <si>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</si>
  <si>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</si>
  <si>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</si>
  <si>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</si>
  <si>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</si>
  <si>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</si>
  <si>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</si>
  <si>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</si>
  <si>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</si>
  <si>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</si>
  <si>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</si>
  <si>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</si>
  <si>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</si>
  <si>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</si>
  <si>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</si>
  <si>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</si>
  <si>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</si>
  <si>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</si>
  <si>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</si>
  <si>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</si>
  <si>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</si>
  <si>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</si>
  <si>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</si>
  <si>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</si>
  <si>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</si>
  <si>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</si>
  <si>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</si>
  <si>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</si>
  <si>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</si>
  <si>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</si>
  <si>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</si>
  <si>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</si>
  <si>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</si>
  <si>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</si>
  <si>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</si>
  <si>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</si>
  <si>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</si>
  <si>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</si>
  <si>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</si>
  <si>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</si>
  <si>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</si>
  <si>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</si>
  <si>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</si>
  <si>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</si>
  <si>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</si>
  <si>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</si>
  <si>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</si>
  <si>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</si>
  <si>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</si>
  <si>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</si>
  <si>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</si>
  <si>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</si>
  <si>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</si>
  <si>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</si>
  <si>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</si>
  <si>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</si>
  <si>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</si>
  <si>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</si>
  <si>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</si>
  <si>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</si>
  <si>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</si>
  <si>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</si>
  <si>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</si>
  <si>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</si>
  <si>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</si>
  <si>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</si>
  <si>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</si>
  <si>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</si>
  <si>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</si>
  <si>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</si>
  <si>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</si>
  <si>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</si>
  <si>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</si>
  <si>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</si>
  <si>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</si>
  <si>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</si>
  <si>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</si>
  <si>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</si>
  <si>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</si>
  <si>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</si>
  <si>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</si>
  <si>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</si>
  <si>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</si>
  <si>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</si>
  <si>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</si>
  <si>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</si>
  <si>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</si>
  <si>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</si>
  <si>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</si>
  <si>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</si>
  <si>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</si>
  <si>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</si>
  <si>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</si>
  <si>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</si>
  <si>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</si>
  <si>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</si>
  <si>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</si>
  <si>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</si>
  <si>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</si>
  <si>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</si>
  <si>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</si>
  <si>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</si>
  <si>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</si>
  <si>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</si>
  <si>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</si>
  <si>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</si>
  <si>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</si>
  <si>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</si>
  <si>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</si>
  <si>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</si>
  <si>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</si>
  <si>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</si>
  <si>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</si>
  <si>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</si>
  <si>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</si>
  <si>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</si>
  <si>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</si>
  <si>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</si>
  <si>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</si>
  <si>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</si>
  <si>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</si>
  <si>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</si>
  <si>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</si>
  <si>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</si>
  <si>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</si>
  <si>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</si>
  <si>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</si>
  <si>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</si>
  <si>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</si>
  <si>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</si>
  <si>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</si>
  <si>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</si>
  <si>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</si>
  <si>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</si>
  <si>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</si>
  <si>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</si>
  <si>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</si>
  <si>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</si>
  <si>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</si>
  <si>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</si>
  <si>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</si>
  <si>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</si>
  <si>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</si>
  <si>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</si>
  <si>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</si>
  <si>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</si>
  <si>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</si>
  <si>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</si>
  <si>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</si>
  <si>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</si>
  <si>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</si>
  <si>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</si>
  <si>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</si>
  <si>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</si>
  <si>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</si>
  <si>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</si>
  <si>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</si>
  <si>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</si>
  <si>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</si>
  <si>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</si>
  <si>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</si>
  <si>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</si>
  <si>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</si>
  <si>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</si>
  <si>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</si>
  <si>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</si>
  <si>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</si>
  <si>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</si>
  <si>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</si>
  <si>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</si>
  <si>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</si>
  <si>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</si>
  <si>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</si>
  <si>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</si>
  <si>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</si>
  <si>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</si>
  <si>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</si>
  <si>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</si>
  <si>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</si>
  <si>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</si>
  <si>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</si>
  <si>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</si>
  <si>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</si>
  <si>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</si>
  <si>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</si>
  <si>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</si>
  <si>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</si>
  <si>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</si>
  <si>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</si>
  <si>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</si>
  <si>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</si>
  <si>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</si>
  <si>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</si>
  <si>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</si>
  <si>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</si>
  <si>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</si>
  <si>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</si>
  <si>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</si>
  <si>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</si>
  <si>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</si>
  <si>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</si>
  <si>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</si>
  <si>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</si>
  <si>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</si>
  <si>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</si>
  <si>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</si>
  <si>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</si>
  <si>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</si>
  <si>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</si>
  <si>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</si>
  <si>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</si>
  <si>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</si>
  <si>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</si>
  <si>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</si>
  <si>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</si>
  <si>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</si>
  <si>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</si>
  <si>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</si>
  <si>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</si>
  <si>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</si>
  <si>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</si>
  <si>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</si>
  <si>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</si>
  <si>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</si>
  <si>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</si>
  <si>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</si>
  <si>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</si>
  <si>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</si>
  <si>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</si>
  <si>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</si>
  <si>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</si>
  <si>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</si>
  <si>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</si>
  <si>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</si>
  <si>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</si>
  <si>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</si>
  <si>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</si>
  <si>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</si>
  <si>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</si>
  <si>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</si>
  <si>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</si>
  <si>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</si>
  <si>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</si>
  <si>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</si>
  <si>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</si>
  <si>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</si>
  <si>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</si>
  <si>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</si>
  <si>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</si>
  <si>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</si>
  <si>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</si>
  <si>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</si>
  <si>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</si>
  <si>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</si>
  <si>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</si>
  <si>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</si>
  <si>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</si>
  <si>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</si>
  <si>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</si>
  <si>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</si>
  <si>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</si>
  <si>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</si>
  <si>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</si>
  <si>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</si>
  <si>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</si>
  <si>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</si>
  <si>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</si>
  <si>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</si>
  <si>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</si>
  <si>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</si>
  <si>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</si>
  <si>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</si>
  <si>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</si>
  <si>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</si>
  <si>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</si>
  <si>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</si>
  <si>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</si>
  <si>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</si>
  <si>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</si>
  <si>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</si>
  <si>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</si>
  <si>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</si>
  <si>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</si>
  <si>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</si>
  <si>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</si>
  <si>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</si>
  <si>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</si>
  <si>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</si>
  <si>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</si>
  <si>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</si>
  <si>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</si>
  <si>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</si>
  <si>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</si>
  <si>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</si>
  <si>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</si>
  <si>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</si>
  <si>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</si>
  <si>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</si>
  <si>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</si>
  <si>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</si>
  <si>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</si>
  <si>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</si>
  <si>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</si>
  <si>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</si>
  <si>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</si>
  <si>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</si>
  <si>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</si>
  <si>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</si>
  <si>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</si>
  <si>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</si>
  <si>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</si>
  <si>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</si>
  <si>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</si>
  <si>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</si>
  <si>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</si>
  <si>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</si>
  <si>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</si>
  <si>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</si>
  <si>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</si>
  <si>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</si>
  <si>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</si>
  <si>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</si>
  <si>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</si>
  <si>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</si>
  <si>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</si>
  <si>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</si>
  <si>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</si>
  <si>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</si>
  <si>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</si>
  <si>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</si>
  <si>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</si>
  <si>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</si>
  <si>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</si>
  <si>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</si>
  <si>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</si>
  <si>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</si>
  <si>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</si>
  <si>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</si>
  <si>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</si>
  <si>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</si>
  <si>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</si>
  <si>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</si>
  <si>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</si>
  <si>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</si>
  <si>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</si>
  <si>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</si>
  <si>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</si>
  <si>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</si>
  <si>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</si>
  <si>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</si>
  <si>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</si>
  <si>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</si>
  <si>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</si>
  <si>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</si>
  <si>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</si>
  <si>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</si>
  <si>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</si>
  <si>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</si>
  <si>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</si>
  <si>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</si>
  <si>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</si>
  <si>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</si>
  <si>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</si>
  <si>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</si>
  <si>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</si>
  <si>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</si>
  <si>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</si>
  <si>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</si>
  <si>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</si>
  <si>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</si>
  <si>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</si>
  <si>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</si>
  <si>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</si>
  <si>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</si>
  <si>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</si>
  <si>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</si>
  <si>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</si>
  <si>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</si>
  <si>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</si>
  <si>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</si>
  <si>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</si>
  <si>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</si>
  <si>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</si>
  <si>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</si>
  <si>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</si>
  <si>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</si>
  <si>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</si>
  <si>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</si>
  <si>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</si>
  <si>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</si>
  <si>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</si>
  <si>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</si>
  <si>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</si>
  <si>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</si>
  <si>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</si>
  <si>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</si>
  <si>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</si>
  <si>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</si>
  <si>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</si>
  <si>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</si>
  <si>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</si>
  <si>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</si>
  <si>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</si>
  <si>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</si>
  <si>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</si>
  <si>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</si>
  <si>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</si>
  <si>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</si>
  <si>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</si>
  <si>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</si>
  <si>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</si>
  <si>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</si>
  <si>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</si>
  <si>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</si>
  <si>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</si>
  <si>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</si>
  <si>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</si>
  <si>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</si>
  <si>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</si>
  <si>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</si>
  <si>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</si>
  <si>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</si>
  <si>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</si>
  <si>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</si>
  <si>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</si>
  <si>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</si>
  <si>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</si>
  <si>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</si>
  <si>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</si>
  <si>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</si>
  <si>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</si>
  <si>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</si>
  <si>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</si>
  <si>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</si>
  <si>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</si>
  <si>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</si>
  <si>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</si>
  <si>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</si>
  <si>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</si>
  <si>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</si>
  <si>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</si>
  <si>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</si>
  <si>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</si>
  <si>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</si>
  <si>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</si>
  <si>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</si>
  <si>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</si>
  <si>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</si>
  <si>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</si>
  <si>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</si>
  <si>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</si>
  <si>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</si>
  <si>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</si>
  <si>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</si>
  <si>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</si>
  <si>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</si>
  <si>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</si>
  <si>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</si>
  <si>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</si>
  <si>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</si>
  <si>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</si>
  <si>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</si>
  <si>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</si>
  <si>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</si>
  <si>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</si>
  <si>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</si>
  <si>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</si>
  <si>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</si>
  <si>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</si>
  <si>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</si>
  <si>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</si>
  <si>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</si>
  <si>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</si>
  <si>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</si>
  <si>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</si>
  <si>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</si>
  <si>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</si>
  <si>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</si>
  <si>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</si>
  <si>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</si>
  <si>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</si>
  <si>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</si>
  <si>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</si>
  <si>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</si>
  <si>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</si>
  <si>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</si>
  <si>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</si>
  <si>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</si>
  <si>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</si>
  <si>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</si>
  <si>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</si>
  <si>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</si>
  <si>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</si>
  <si>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</si>
  <si>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</si>
  <si>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</si>
  <si>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</si>
  <si>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</si>
  <si>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</si>
  <si>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</si>
  <si>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</si>
  <si>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</si>
  <si>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</si>
  <si>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</si>
  <si>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</si>
  <si>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</si>
  <si>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</si>
  <si>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</si>
  <si>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</si>
  <si>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</si>
  <si>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</si>
  <si>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</si>
  <si>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</si>
  <si>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</si>
  <si>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</si>
  <si>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</si>
  <si>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</si>
  <si>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</si>
  <si>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</si>
  <si>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</si>
  <si>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</si>
  <si>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</si>
  <si>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</si>
  <si>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</si>
  <si>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</si>
  <si>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</si>
  <si>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</si>
  <si>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</si>
  <si>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</si>
  <si>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</si>
  <si>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</si>
  <si>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</si>
  <si>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</si>
  <si>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</si>
  <si>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</si>
  <si>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</si>
  <si>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</si>
  <si>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</si>
  <si>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</si>
  <si>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</si>
  <si>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</si>
  <si>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</si>
  <si>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</si>
  <si>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</si>
  <si>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</si>
  <si>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</si>
  <si>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</si>
  <si>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</si>
  <si>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</si>
  <si>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</si>
  <si>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</si>
  <si>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</si>
  <si>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</si>
  <si>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</si>
  <si>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</si>
  <si>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</si>
  <si>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</si>
  <si>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</si>
  <si>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</si>
  <si>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</si>
  <si>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</si>
  <si>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</si>
  <si>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</si>
  <si>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</si>
  <si>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</si>
  <si>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</si>
  <si>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</si>
  <si>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</si>
  <si>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</si>
  <si>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</si>
  <si>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</si>
  <si>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</si>
  <si>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</si>
  <si>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</si>
  <si>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</si>
  <si>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</si>
  <si>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</si>
  <si>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</si>
  <si>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</si>
  <si>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</si>
  <si>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</si>
  <si>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</si>
  <si>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</si>
  <si>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</si>
  <si>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</si>
  <si>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</si>
  <si>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</si>
  <si>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</si>
  <si>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</si>
  <si>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</si>
  <si>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</si>
  <si>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</si>
  <si>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</si>
  <si>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</si>
  <si>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</si>
  <si>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</si>
  <si>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</si>
  <si>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</si>
  <si>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</si>
  <si>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</si>
  <si>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</si>
  <si>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</si>
  <si>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</si>
  <si>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</si>
  <si>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</si>
  <si>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</si>
  <si>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</si>
  <si>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</si>
  <si>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</si>
  <si>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</si>
  <si>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</si>
  <si>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</si>
  <si>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</si>
  <si>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</si>
  <si>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</si>
  <si>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</si>
  <si>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</si>
  <si>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</si>
  <si>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</si>
  <si>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</si>
  <si>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</si>
  <si>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</si>
  <si>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</si>
  <si>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</si>
  <si>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</si>
  <si>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</si>
  <si>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</si>
  <si>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</si>
  <si>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</si>
  <si>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</si>
  <si>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</si>
  <si>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</si>
  <si>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</si>
  <si>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</si>
  <si>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</si>
  <si>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</si>
  <si>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</si>
  <si>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</si>
  <si>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</si>
  <si>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</si>
  <si>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</si>
  <si>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</si>
  <si>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</si>
  <si>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</si>
  <si>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</si>
  <si>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</si>
  <si>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</si>
  <si>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</si>
  <si>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</si>
  <si>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</si>
  <si>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</si>
  <si>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</si>
  <si>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</si>
  <si>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</si>
  <si>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</si>
  <si>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</si>
  <si>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</si>
  <si>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</si>
  <si>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</si>
  <si>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</si>
  <si>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</si>
  <si>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</si>
  <si>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</si>
  <si>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</si>
  <si>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</si>
  <si>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</si>
  <si>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</si>
  <si>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</si>
  <si>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</si>
  <si>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</si>
  <si>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</si>
  <si>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</si>
  <si>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</si>
  <si>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</si>
  <si>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</si>
  <si>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</si>
  <si>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</si>
  <si>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</si>
  <si>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</si>
  <si>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</si>
  <si>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</si>
  <si>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</si>
  <si>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</si>
  <si>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</si>
  <si>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</si>
  <si>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</si>
  <si>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</si>
  <si>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</si>
  <si>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</si>
  <si>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</si>
  <si>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</si>
  <si>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</si>
  <si>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</si>
  <si>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</si>
  <si>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</si>
  <si>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</si>
  <si>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</si>
  <si>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</si>
  <si>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</si>
  <si>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</si>
  <si>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</si>
  <si>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</si>
  <si>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</si>
  <si>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</si>
  <si>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</si>
  <si>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</si>
  <si>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</si>
  <si>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1013660800</t>
  </si>
  <si>
    <t>73184806</t>
  </si>
  <si>
    <t>1026562777</t>
  </si>
  <si>
    <t>1014190832</t>
  </si>
  <si>
    <t>1024468164</t>
  </si>
  <si>
    <t>52028241</t>
  </si>
  <si>
    <t>79602625</t>
  </si>
  <si>
    <t>79381392</t>
  </si>
  <si>
    <t>22549407</t>
  </si>
  <si>
    <t>79051376</t>
  </si>
  <si>
    <t>79806582</t>
  </si>
  <si>
    <t>1016096961</t>
  </si>
  <si>
    <t>1096035110</t>
  </si>
  <si>
    <t>1023920263</t>
  </si>
  <si>
    <t>1128482473</t>
  </si>
  <si>
    <t>1035439597</t>
  </si>
  <si>
    <t>1214722298</t>
  </si>
  <si>
    <t>1036614039</t>
  </si>
  <si>
    <t>1102360943</t>
  </si>
  <si>
    <t>1036942368</t>
  </si>
  <si>
    <t>1140879268</t>
  </si>
  <si>
    <t>1039450889</t>
  </si>
  <si>
    <t>1152696482</t>
  </si>
  <si>
    <t>1014273830</t>
  </si>
  <si>
    <t>1030534091</t>
  </si>
  <si>
    <t>1030586583</t>
  </si>
  <si>
    <t>1098671138</t>
  </si>
  <si>
    <t>1044509221</t>
  </si>
  <si>
    <t>1032426168</t>
  </si>
  <si>
    <t>1030604575</t>
  </si>
  <si>
    <t>1130639243</t>
  </si>
  <si>
    <t>1045715860</t>
  </si>
  <si>
    <t>1023887753</t>
  </si>
  <si>
    <t>1017248354</t>
  </si>
  <si>
    <t>1152200672</t>
  </si>
  <si>
    <t>1048275694</t>
  </si>
  <si>
    <t>1023924944</t>
  </si>
  <si>
    <t>1005336022</t>
  </si>
  <si>
    <t>1023932143</t>
  </si>
  <si>
    <t>1052951157</t>
  </si>
  <si>
    <t>1053350286</t>
  </si>
  <si>
    <t>1098660566</t>
  </si>
  <si>
    <t>1030608781</t>
  </si>
  <si>
    <t>1098764874</t>
  </si>
  <si>
    <t>1007603403</t>
  </si>
  <si>
    <t>1000950274</t>
  </si>
  <si>
    <t>1060587493</t>
  </si>
  <si>
    <t>1023002900</t>
  </si>
  <si>
    <t>1064117969</t>
  </si>
  <si>
    <t>1032486866</t>
  </si>
  <si>
    <t>1001233759</t>
  </si>
  <si>
    <t>1000834452</t>
  </si>
  <si>
    <t>1022336615</t>
  </si>
  <si>
    <t>1143941583</t>
  </si>
  <si>
    <t>1022358837</t>
  </si>
  <si>
    <t>1144193788</t>
  </si>
  <si>
    <t>1015451386</t>
  </si>
  <si>
    <t>1152195418</t>
  </si>
  <si>
    <t>1014255878</t>
  </si>
  <si>
    <t>1152451102</t>
  </si>
  <si>
    <t>1013579656</t>
  </si>
  <si>
    <t>1152698450</t>
  </si>
  <si>
    <t>1076622291</t>
  </si>
  <si>
    <t>1193603654</t>
  </si>
  <si>
    <t>1090395681</t>
  </si>
  <si>
    <t>1233192267</t>
  </si>
  <si>
    <t>1091660396</t>
  </si>
  <si>
    <t>1026574277</t>
  </si>
  <si>
    <t>1022413421</t>
  </si>
  <si>
    <t>1095807606</t>
  </si>
  <si>
    <t>1010132885</t>
  </si>
  <si>
    <t>14623687</t>
  </si>
  <si>
    <t>80920933</t>
  </si>
  <si>
    <t>5398473</t>
  </si>
  <si>
    <t>70531354</t>
  </si>
  <si>
    <t>79579628</t>
  </si>
  <si>
    <t>79909040</t>
  </si>
  <si>
    <t>10980930</t>
  </si>
  <si>
    <t>74320358</t>
  </si>
  <si>
    <t>85203862</t>
  </si>
  <si>
    <t>1708648</t>
  </si>
  <si>
    <t>94074216</t>
  </si>
  <si>
    <t>80160321</t>
  </si>
  <si>
    <t>98699877</t>
  </si>
  <si>
    <t>98774174</t>
  </si>
  <si>
    <t>4249197</t>
  </si>
  <si>
    <t>79740136</t>
  </si>
  <si>
    <t>1101596921</t>
  </si>
  <si>
    <t>7604249</t>
  </si>
  <si>
    <t>1192922215</t>
  </si>
  <si>
    <t>1075232699</t>
  </si>
  <si>
    <t>1030629793</t>
  </si>
  <si>
    <t>1143350507</t>
  </si>
  <si>
    <t>1033814334</t>
  </si>
  <si>
    <t>1006101360</t>
  </si>
  <si>
    <t>1128044961</t>
  </si>
  <si>
    <t>1080011606</t>
  </si>
  <si>
    <t>1016045881</t>
  </si>
  <si>
    <t>6136533</t>
  </si>
  <si>
    <t>1095935164</t>
  </si>
  <si>
    <t>1039286865</t>
  </si>
  <si>
    <t>1121953281</t>
  </si>
  <si>
    <t>1012434760</t>
  </si>
  <si>
    <t>1097721377</t>
  </si>
  <si>
    <t>1063648988</t>
  </si>
  <si>
    <t>1001968379</t>
  </si>
  <si>
    <t>1050958593</t>
  </si>
  <si>
    <t>1047465041</t>
  </si>
  <si>
    <t>4264329</t>
  </si>
  <si>
    <t>1042459109</t>
  </si>
  <si>
    <t>1024548816</t>
  </si>
  <si>
    <t>1095947464</t>
  </si>
  <si>
    <t>85474772</t>
  </si>
  <si>
    <t>85460866</t>
  </si>
  <si>
    <t>1020445905</t>
  </si>
  <si>
    <t>1136887406</t>
  </si>
  <si>
    <t>1095841927</t>
  </si>
  <si>
    <t>72197214</t>
  </si>
  <si>
    <t>1022949609</t>
  </si>
  <si>
    <t>901806001</t>
  </si>
  <si>
    <t>91490766</t>
  </si>
  <si>
    <t>860524772</t>
  </si>
  <si>
    <t>900192581</t>
  </si>
  <si>
    <t>901629116</t>
  </si>
  <si>
    <t>807008957</t>
  </si>
  <si>
    <t>819002380</t>
  </si>
  <si>
    <t>900436448</t>
  </si>
  <si>
    <t>80229367</t>
  </si>
  <si>
    <t>26259816</t>
  </si>
  <si>
    <t>901230741</t>
  </si>
  <si>
    <t>1129581592</t>
  </si>
  <si>
    <t>1053613060</t>
  </si>
  <si>
    <t>1014216389</t>
  </si>
  <si>
    <t>800182895</t>
  </si>
  <si>
    <t>830044260</t>
  </si>
  <si>
    <t>1128396255</t>
  </si>
  <si>
    <t>830126170</t>
  </si>
  <si>
    <t>1014738295</t>
  </si>
  <si>
    <t>1074557895</t>
  </si>
  <si>
    <t>43987045</t>
  </si>
  <si>
    <t>901571878</t>
  </si>
  <si>
    <t>900674442</t>
  </si>
  <si>
    <t>901885661</t>
  </si>
  <si>
    <t>900446666</t>
  </si>
  <si>
    <t>822001763</t>
  </si>
  <si>
    <t>860401496</t>
  </si>
  <si>
    <t>804016472</t>
  </si>
  <si>
    <t>1023968747</t>
  </si>
  <si>
    <t>1007790641</t>
  </si>
  <si>
    <t>900156270</t>
  </si>
  <si>
    <t>901262594</t>
  </si>
  <si>
    <t>10539837</t>
  </si>
  <si>
    <t>901241273</t>
  </si>
  <si>
    <t>1019097480</t>
  </si>
  <si>
    <t>900470204</t>
  </si>
  <si>
    <t>901531392</t>
  </si>
  <si>
    <t>901950100</t>
  </si>
  <si>
    <t>900575789</t>
  </si>
  <si>
    <t>800152751</t>
  </si>
  <si>
    <t>890903938</t>
  </si>
  <si>
    <t>890212255</t>
  </si>
  <si>
    <t>900923608</t>
  </si>
  <si>
    <t>804006414</t>
  </si>
  <si>
    <t>900733397</t>
  </si>
  <si>
    <t>901985539</t>
  </si>
  <si>
    <t>91523528</t>
  </si>
  <si>
    <t>901272655</t>
  </si>
  <si>
    <t>900604440</t>
  </si>
  <si>
    <t>5466460</t>
  </si>
  <si>
    <t>13068486</t>
  </si>
  <si>
    <t>901468788</t>
  </si>
  <si>
    <t>901367176</t>
  </si>
  <si>
    <t>901262219</t>
  </si>
  <si>
    <t>901937358</t>
  </si>
  <si>
    <t>890937250</t>
  </si>
  <si>
    <t>15323810</t>
  </si>
  <si>
    <t>830046003</t>
  </si>
  <si>
    <t>900102195</t>
  </si>
  <si>
    <t>901162646</t>
  </si>
  <si>
    <t>901349830</t>
  </si>
  <si>
    <t>901426421</t>
  </si>
  <si>
    <t>901140328</t>
  </si>
  <si>
    <t>900586637</t>
  </si>
  <si>
    <t>901390025</t>
  </si>
  <si>
    <t>800097984</t>
  </si>
  <si>
    <t>900513283</t>
  </si>
  <si>
    <t>1098630705</t>
  </si>
  <si>
    <t>901349626</t>
  </si>
  <si>
    <t>900308942</t>
  </si>
  <si>
    <t>901509222</t>
  </si>
  <si>
    <t>802023682</t>
  </si>
  <si>
    <t>1018419177</t>
  </si>
  <si>
    <t>91526495</t>
  </si>
  <si>
    <t>901449849</t>
  </si>
  <si>
    <t>900785218</t>
  </si>
  <si>
    <t>19165797</t>
  </si>
  <si>
    <t>809008066</t>
  </si>
  <si>
    <t>91231170</t>
  </si>
  <si>
    <t>901219729</t>
  </si>
  <si>
    <t>2879401</t>
  </si>
  <si>
    <t>901190064</t>
  </si>
  <si>
    <t>900462403</t>
  </si>
  <si>
    <t>900592737</t>
  </si>
  <si>
    <t>900128010</t>
  </si>
  <si>
    <t>901516411</t>
  </si>
  <si>
    <t>901692967</t>
  </si>
  <si>
    <t>802014897</t>
  </si>
  <si>
    <t>901700114</t>
  </si>
  <si>
    <t>805024076</t>
  </si>
  <si>
    <t>900257103</t>
  </si>
  <si>
    <t>900051745</t>
  </si>
  <si>
    <t>901607083</t>
  </si>
  <si>
    <t>901928070</t>
  </si>
  <si>
    <t>901967549</t>
  </si>
  <si>
    <t>51836255</t>
  </si>
  <si>
    <t>800030999</t>
  </si>
  <si>
    <t>819000666</t>
  </si>
  <si>
    <t>700035583</t>
  </si>
  <si>
    <t>901152903</t>
  </si>
  <si>
    <t>900470629</t>
  </si>
  <si>
    <t>901975945</t>
  </si>
  <si>
    <t>1091652541</t>
  </si>
  <si>
    <t>900361237</t>
  </si>
  <si>
    <t>900248195</t>
  </si>
  <si>
    <t>7214055</t>
  </si>
  <si>
    <t>900614260</t>
  </si>
  <si>
    <t>900579817</t>
  </si>
  <si>
    <t>901992251</t>
  </si>
  <si>
    <t>901989738</t>
  </si>
  <si>
    <t>42083900</t>
  </si>
  <si>
    <t>42062513</t>
  </si>
  <si>
    <t>829001846</t>
  </si>
  <si>
    <t>901113578</t>
  </si>
  <si>
    <t>901887111</t>
  </si>
  <si>
    <t>901015722</t>
  </si>
  <si>
    <t>901879511</t>
  </si>
  <si>
    <t>1090405519</t>
  </si>
  <si>
    <t>900320247</t>
  </si>
  <si>
    <t>900183668</t>
  </si>
  <si>
    <t>900886165</t>
  </si>
  <si>
    <t>1047969346</t>
  </si>
  <si>
    <t>901167327</t>
  </si>
  <si>
    <t>800170737</t>
  </si>
  <si>
    <t>800066588</t>
  </si>
  <si>
    <t>901732824</t>
  </si>
  <si>
    <t>860016662</t>
  </si>
  <si>
    <t>901647822</t>
  </si>
  <si>
    <t>901653427</t>
  </si>
  <si>
    <t>900695212</t>
  </si>
  <si>
    <t>900303011</t>
  </si>
  <si>
    <t>800096890</t>
  </si>
  <si>
    <t>13744250</t>
  </si>
  <si>
    <t>901499962</t>
  </si>
  <si>
    <t>804005319</t>
  </si>
  <si>
    <t>800251440</t>
  </si>
  <si>
    <t>901605752</t>
  </si>
  <si>
    <t>802012179</t>
  </si>
  <si>
    <t>91224724</t>
  </si>
  <si>
    <t>830044503</t>
  </si>
  <si>
    <t>901980892</t>
  </si>
  <si>
    <t>901687251</t>
  </si>
  <si>
    <t>811038194</t>
  </si>
  <si>
    <t>830503439</t>
  </si>
  <si>
    <t>900623199</t>
  </si>
  <si>
    <t>900794932</t>
  </si>
  <si>
    <t>901948046</t>
  </si>
  <si>
    <t>901605648</t>
  </si>
  <si>
    <t>860022343</t>
  </si>
  <si>
    <t>900529899</t>
  </si>
  <si>
    <t>1065292287</t>
  </si>
  <si>
    <t>1024541374</t>
  </si>
  <si>
    <t>1092346302</t>
  </si>
  <si>
    <t>901948600</t>
  </si>
  <si>
    <t>800021131</t>
  </si>
  <si>
    <t>900022943</t>
  </si>
  <si>
    <t>94430293</t>
  </si>
  <si>
    <t>860002837</t>
  </si>
  <si>
    <t>1083012521</t>
  </si>
  <si>
    <t>900681263</t>
  </si>
  <si>
    <t>98771550</t>
  </si>
  <si>
    <t>900359871</t>
  </si>
  <si>
    <t>901329117</t>
  </si>
  <si>
    <t>901864261</t>
  </si>
  <si>
    <t>860350005</t>
  </si>
  <si>
    <t>1026555860</t>
  </si>
  <si>
    <t>900667508</t>
  </si>
  <si>
    <t>819006193</t>
  </si>
  <si>
    <t>901935396</t>
  </si>
  <si>
    <t>901974312</t>
  </si>
  <si>
    <t>900054027</t>
  </si>
  <si>
    <t>901876732</t>
  </si>
  <si>
    <t>800003850</t>
  </si>
  <si>
    <t>901934964</t>
  </si>
  <si>
    <t>43616846</t>
  </si>
  <si>
    <t>42058301</t>
  </si>
  <si>
    <t>900176968</t>
  </si>
  <si>
    <t>800078692</t>
  </si>
  <si>
    <t>901572847</t>
  </si>
  <si>
    <t>901884794</t>
  </si>
  <si>
    <t>890206740</t>
  </si>
  <si>
    <t>900099641</t>
  </si>
  <si>
    <t>79051595</t>
  </si>
  <si>
    <t>15321185</t>
  </si>
  <si>
    <t>901990373</t>
  </si>
  <si>
    <t>830509871</t>
  </si>
  <si>
    <t>900348206</t>
  </si>
  <si>
    <t>41517697</t>
  </si>
  <si>
    <t>830500365</t>
  </si>
  <si>
    <t>901664749</t>
  </si>
  <si>
    <t>900036646</t>
  </si>
  <si>
    <t>900524978</t>
  </si>
  <si>
    <t>901622504</t>
  </si>
  <si>
    <t>1049810</t>
  </si>
  <si>
    <t>830007080</t>
  </si>
  <si>
    <t>901966221</t>
  </si>
  <si>
    <t>901932572</t>
  </si>
  <si>
    <t>900680595</t>
  </si>
  <si>
    <t>1037236605</t>
  </si>
  <si>
    <t>900739470</t>
  </si>
  <si>
    <t>901858759</t>
  </si>
  <si>
    <t>901587027</t>
  </si>
  <si>
    <t>5475489</t>
  </si>
  <si>
    <t>830008592</t>
  </si>
  <si>
    <t>901955141</t>
  </si>
  <si>
    <t>800091489</t>
  </si>
  <si>
    <t>901498327</t>
  </si>
  <si>
    <t>802022443</t>
  </si>
  <si>
    <t>901014692</t>
  </si>
  <si>
    <t>901950717</t>
  </si>
  <si>
    <t>900732772</t>
  </si>
  <si>
    <t>900711085</t>
  </si>
  <si>
    <t>901243827</t>
  </si>
  <si>
    <t>900819269</t>
  </si>
  <si>
    <t>860006334</t>
  </si>
  <si>
    <t>808001329</t>
  </si>
  <si>
    <t>900132559</t>
  </si>
  <si>
    <t>30702552</t>
  </si>
  <si>
    <t>901237386</t>
  </si>
  <si>
    <t>901085615</t>
  </si>
  <si>
    <t>900679200</t>
  </si>
  <si>
    <t>901542570</t>
  </si>
  <si>
    <t>900431463</t>
  </si>
  <si>
    <t>901982819</t>
  </si>
  <si>
    <t>901946796</t>
  </si>
  <si>
    <t>900813917</t>
  </si>
  <si>
    <t>900846735</t>
  </si>
  <si>
    <t>901558032</t>
  </si>
  <si>
    <t>16769217</t>
  </si>
  <si>
    <t>901606421</t>
  </si>
  <si>
    <t>801000507</t>
  </si>
  <si>
    <t>800053550</t>
  </si>
  <si>
    <t>700181820</t>
  </si>
  <si>
    <t>900051019</t>
  </si>
  <si>
    <t>901947779</t>
  </si>
  <si>
    <t>900549129</t>
  </si>
  <si>
    <t>901505533</t>
  </si>
  <si>
    <t>890937515</t>
  </si>
  <si>
    <t>900777295</t>
  </si>
  <si>
    <t>800094968</t>
  </si>
  <si>
    <t>901326260</t>
  </si>
  <si>
    <t>42688571</t>
  </si>
  <si>
    <t>901576709</t>
  </si>
  <si>
    <t>900437821</t>
  </si>
  <si>
    <t>901741594</t>
  </si>
  <si>
    <t>901956625</t>
  </si>
  <si>
    <t>70325465</t>
  </si>
  <si>
    <t>43506866</t>
  </si>
  <si>
    <t>800151392</t>
  </si>
  <si>
    <t>901027210</t>
  </si>
  <si>
    <t>800165874</t>
  </si>
  <si>
    <t>901987820</t>
  </si>
  <si>
    <t>37844992</t>
  </si>
  <si>
    <t>901624279</t>
  </si>
  <si>
    <t>899999067</t>
  </si>
  <si>
    <t>43758156</t>
  </si>
  <si>
    <t>900853003</t>
  </si>
  <si>
    <t>900638684</t>
  </si>
  <si>
    <t>79114671</t>
  </si>
  <si>
    <t>901051294</t>
  </si>
  <si>
    <t>900601350</t>
  </si>
  <si>
    <t>901657088</t>
  </si>
  <si>
    <t>6768405</t>
  </si>
  <si>
    <t>901075184</t>
  </si>
  <si>
    <t>900399936</t>
  </si>
  <si>
    <t>901495709</t>
  </si>
  <si>
    <t>901073970</t>
  </si>
  <si>
    <t>1128264538</t>
  </si>
  <si>
    <t>802014704</t>
  </si>
  <si>
    <t>900660085</t>
  </si>
  <si>
    <t>91295252</t>
  </si>
  <si>
    <t>900188928</t>
  </si>
  <si>
    <t>901380386</t>
  </si>
  <si>
    <t>901331099</t>
  </si>
  <si>
    <t>900367625</t>
  </si>
  <si>
    <t>900200232</t>
  </si>
  <si>
    <t>830084804</t>
  </si>
  <si>
    <t>830065782</t>
  </si>
  <si>
    <t>901984287</t>
  </si>
  <si>
    <t>807004110</t>
  </si>
  <si>
    <t>901307309</t>
  </si>
  <si>
    <t>826002049</t>
  </si>
  <si>
    <t>900367684</t>
  </si>
  <si>
    <t>901640754</t>
  </si>
  <si>
    <t>901540779</t>
  </si>
  <si>
    <t>800135582</t>
  </si>
  <si>
    <t>900491572</t>
  </si>
  <si>
    <t>830068871</t>
  </si>
  <si>
    <t>901172228</t>
  </si>
  <si>
    <t>901776665</t>
  </si>
  <si>
    <t>900039606</t>
  </si>
  <si>
    <t>900976750</t>
  </si>
  <si>
    <t>900390126</t>
  </si>
  <si>
    <t>860078767</t>
  </si>
  <si>
    <t>900549168</t>
  </si>
  <si>
    <t>900821877</t>
  </si>
  <si>
    <t>800243134</t>
  </si>
  <si>
    <t>900827617</t>
  </si>
  <si>
    <t>901571708</t>
  </si>
  <si>
    <t>900091742</t>
  </si>
  <si>
    <t>901363051</t>
  </si>
  <si>
    <t>36146165</t>
  </si>
  <si>
    <t>900331283</t>
  </si>
  <si>
    <t>800198998</t>
  </si>
  <si>
    <t>901317313</t>
  </si>
  <si>
    <t>901402810</t>
  </si>
  <si>
    <t>830070047</t>
  </si>
  <si>
    <t>804000714</t>
  </si>
  <si>
    <t>860042526</t>
  </si>
  <si>
    <t>900449718</t>
  </si>
  <si>
    <t>900416632</t>
  </si>
  <si>
    <t>890922961</t>
  </si>
  <si>
    <t>830046446</t>
  </si>
  <si>
    <t>890480079</t>
  </si>
  <si>
    <t>890980782</t>
  </si>
  <si>
    <t>900348451</t>
  </si>
  <si>
    <t>900928755</t>
  </si>
  <si>
    <t>1087984808</t>
  </si>
  <si>
    <t>901284484</t>
  </si>
  <si>
    <t>13386056</t>
  </si>
  <si>
    <t>900647364</t>
  </si>
  <si>
    <t>900876875</t>
  </si>
  <si>
    <t>901843655</t>
  </si>
  <si>
    <t>900554485</t>
  </si>
  <si>
    <t>901518874</t>
  </si>
  <si>
    <t>12988375</t>
  </si>
  <si>
    <t>91202117</t>
  </si>
  <si>
    <t>30297801</t>
  </si>
  <si>
    <t>88283650</t>
  </si>
  <si>
    <t>901270137</t>
  </si>
  <si>
    <t>24622127</t>
  </si>
  <si>
    <t>900174728</t>
  </si>
  <si>
    <t>900542425</t>
  </si>
  <si>
    <t>900512033</t>
  </si>
  <si>
    <t>900277003</t>
  </si>
  <si>
    <t>800015551</t>
  </si>
  <si>
    <t>51958326</t>
  </si>
  <si>
    <t>901941380</t>
  </si>
  <si>
    <t>901859465</t>
  </si>
  <si>
    <t>900645047</t>
  </si>
  <si>
    <t>830083709</t>
  </si>
  <si>
    <t>900836187</t>
  </si>
  <si>
    <t>890805175</t>
  </si>
  <si>
    <t>900792093</t>
  </si>
  <si>
    <t>830140423</t>
  </si>
  <si>
    <t>901537157</t>
  </si>
  <si>
    <t>900527689</t>
  </si>
  <si>
    <t>900907803</t>
  </si>
  <si>
    <t>901521864</t>
  </si>
  <si>
    <t>900211245</t>
  </si>
  <si>
    <t>901864479</t>
  </si>
  <si>
    <t>901836906</t>
  </si>
  <si>
    <t>71227830</t>
  </si>
  <si>
    <t>900985305</t>
  </si>
  <si>
    <t>890933898</t>
  </si>
  <si>
    <t>900383721</t>
  </si>
  <si>
    <t>805018997</t>
  </si>
  <si>
    <t>4956924</t>
  </si>
  <si>
    <t>900991060</t>
  </si>
  <si>
    <t>830051698</t>
  </si>
  <si>
    <t>25169272</t>
  </si>
  <si>
    <t>901321769</t>
  </si>
  <si>
    <t>900642305</t>
  </si>
  <si>
    <t>800232500</t>
  </si>
  <si>
    <t>900343552</t>
  </si>
  <si>
    <t>800109462</t>
  </si>
  <si>
    <t>900318590</t>
  </si>
  <si>
    <t>890901128</t>
  </si>
  <si>
    <t>32405745</t>
  </si>
  <si>
    <t>51936573</t>
  </si>
  <si>
    <t>900570782</t>
  </si>
  <si>
    <t>900883861</t>
  </si>
  <si>
    <t>8434247</t>
  </si>
  <si>
    <t>891400669</t>
  </si>
  <si>
    <t>4110372</t>
  </si>
  <si>
    <t>900884042</t>
  </si>
  <si>
    <t>901066646</t>
  </si>
  <si>
    <t>901888153</t>
  </si>
  <si>
    <t>901335136</t>
  </si>
  <si>
    <t>901780575</t>
  </si>
  <si>
    <t>901552958</t>
  </si>
  <si>
    <t>800195467</t>
  </si>
  <si>
    <t>900588842</t>
  </si>
  <si>
    <t>901798084</t>
  </si>
  <si>
    <t>900829247</t>
  </si>
  <si>
    <t>901506148</t>
  </si>
  <si>
    <t>901727538</t>
  </si>
  <si>
    <t>810000284</t>
  </si>
  <si>
    <t>901966536</t>
  </si>
  <si>
    <t>890109593</t>
  </si>
  <si>
    <t>900855900</t>
  </si>
  <si>
    <t>901005006</t>
  </si>
  <si>
    <t>830084236</t>
  </si>
  <si>
    <t>1020418494</t>
  </si>
  <si>
    <t>800156889</t>
  </si>
  <si>
    <t>901506769</t>
  </si>
  <si>
    <t>901144210</t>
  </si>
  <si>
    <t>901728852</t>
  </si>
  <si>
    <t>813002551</t>
  </si>
  <si>
    <t>900026307</t>
  </si>
  <si>
    <t>901323857</t>
  </si>
  <si>
    <t>901852203</t>
  </si>
  <si>
    <t>811007832</t>
  </si>
  <si>
    <t>5893260</t>
  </si>
  <si>
    <t>900553359</t>
  </si>
  <si>
    <t>901859138</t>
  </si>
  <si>
    <t>901133768</t>
  </si>
  <si>
    <t>900025128</t>
  </si>
  <si>
    <t>900284483</t>
  </si>
  <si>
    <t>22391391</t>
  </si>
  <si>
    <t>901420618</t>
  </si>
  <si>
    <t>830105933</t>
  </si>
  <si>
    <t>901114073</t>
  </si>
  <si>
    <t>805019832</t>
  </si>
  <si>
    <t>901211111</t>
  </si>
  <si>
    <t>801004861</t>
  </si>
  <si>
    <t>901066151</t>
  </si>
  <si>
    <t>860006522</t>
  </si>
  <si>
    <t>900596370</t>
  </si>
  <si>
    <t>901346144</t>
  </si>
  <si>
    <t>901238131</t>
  </si>
  <si>
    <t>900518521</t>
  </si>
  <si>
    <t>890929877</t>
  </si>
  <si>
    <t>901573148</t>
  </si>
  <si>
    <t>830142201</t>
  </si>
  <si>
    <t>830027624</t>
  </si>
  <si>
    <t>900018975</t>
  </si>
  <si>
    <t>900437923</t>
  </si>
  <si>
    <t>32842791</t>
  </si>
  <si>
    <t>811033203</t>
  </si>
  <si>
    <t>900363069</t>
  </si>
  <si>
    <t>890316660</t>
  </si>
  <si>
    <t>890803285</t>
  </si>
  <si>
    <t>804010412</t>
  </si>
  <si>
    <t>900417540</t>
  </si>
  <si>
    <t>900919128</t>
  </si>
  <si>
    <t>901651724</t>
  </si>
  <si>
    <t>830119121</t>
  </si>
  <si>
    <t>800226209</t>
  </si>
  <si>
    <t>70142552</t>
  </si>
  <si>
    <t>901841556</t>
  </si>
  <si>
    <t>900323025</t>
  </si>
  <si>
    <t>901281696</t>
  </si>
  <si>
    <t>901151425</t>
  </si>
  <si>
    <t>810003093</t>
  </si>
  <si>
    <t>900236599</t>
  </si>
  <si>
    <t>800052712</t>
  </si>
  <si>
    <t>900434649</t>
  </si>
  <si>
    <t>900314995</t>
  </si>
  <si>
    <t>800231780</t>
  </si>
  <si>
    <t>79433853</t>
  </si>
  <si>
    <t>900057284</t>
  </si>
  <si>
    <t>805018153</t>
  </si>
  <si>
    <t>901550439</t>
  </si>
  <si>
    <t>901799162</t>
  </si>
  <si>
    <t>901034314</t>
  </si>
  <si>
    <t>901233167</t>
  </si>
  <si>
    <t>901620773</t>
  </si>
  <si>
    <t>901706229</t>
  </si>
  <si>
    <t>800098315</t>
  </si>
  <si>
    <t>70190607</t>
  </si>
  <si>
    <t>800087355</t>
  </si>
  <si>
    <t>901509489</t>
  </si>
  <si>
    <t>900543391</t>
  </si>
  <si>
    <t>900432827</t>
  </si>
  <si>
    <t>900504491</t>
  </si>
  <si>
    <t>900327285</t>
  </si>
  <si>
    <t>43595562</t>
  </si>
  <si>
    <t>901198630</t>
  </si>
  <si>
    <t>900262189</t>
  </si>
  <si>
    <t>901701874</t>
  </si>
  <si>
    <t>802023098</t>
  </si>
  <si>
    <t>830034795</t>
  </si>
  <si>
    <t>901262021</t>
  </si>
  <si>
    <t>901451850</t>
  </si>
  <si>
    <t>900420751</t>
  </si>
  <si>
    <t>900752661</t>
  </si>
  <si>
    <t>901338264</t>
  </si>
  <si>
    <t>901037795</t>
  </si>
  <si>
    <t>901801580</t>
  </si>
  <si>
    <t>900145460</t>
  </si>
  <si>
    <t>901032084</t>
  </si>
  <si>
    <t>700128120</t>
  </si>
  <si>
    <t>900644443</t>
  </si>
  <si>
    <t>830129327</t>
  </si>
  <si>
    <t>901989488</t>
  </si>
  <si>
    <t>900926031</t>
  </si>
  <si>
    <t>830005448</t>
  </si>
  <si>
    <t>901189514</t>
  </si>
  <si>
    <t>900255458</t>
  </si>
  <si>
    <t>901064697</t>
  </si>
  <si>
    <t>900501388</t>
  </si>
  <si>
    <t>901549648</t>
  </si>
  <si>
    <t>800020449</t>
  </si>
  <si>
    <t>901445033</t>
  </si>
  <si>
    <t>900262982</t>
  </si>
  <si>
    <t>19132069</t>
  </si>
  <si>
    <t>900402510</t>
  </si>
  <si>
    <t>900192251</t>
  </si>
  <si>
    <t>860532530</t>
  </si>
  <si>
    <t>900921345</t>
  </si>
  <si>
    <t>41389717</t>
  </si>
  <si>
    <t>91280391</t>
  </si>
  <si>
    <t>901131164</t>
  </si>
  <si>
    <t>901051621</t>
  </si>
  <si>
    <t>43676928</t>
  </si>
  <si>
    <t>891400093</t>
  </si>
  <si>
    <t>901762451</t>
  </si>
  <si>
    <t>901668301</t>
  </si>
  <si>
    <t>10262055</t>
  </si>
  <si>
    <t>901601362</t>
  </si>
  <si>
    <t>900501029</t>
  </si>
  <si>
    <t>900096048</t>
  </si>
  <si>
    <t>890913902</t>
  </si>
  <si>
    <t>801000120</t>
  </si>
  <si>
    <t>900435099</t>
  </si>
  <si>
    <t>901796670</t>
  </si>
  <si>
    <t>901161173</t>
  </si>
  <si>
    <t>830037843</t>
  </si>
  <si>
    <t>900477940</t>
  </si>
  <si>
    <t>900052229</t>
  </si>
  <si>
    <t>900987664</t>
  </si>
  <si>
    <t>901331255</t>
  </si>
  <si>
    <t>900832984</t>
  </si>
  <si>
    <t>900857186</t>
  </si>
  <si>
    <t>901135749</t>
  </si>
  <si>
    <t>900689584</t>
  </si>
  <si>
    <t>901244393</t>
  </si>
  <si>
    <t>800132674</t>
  </si>
  <si>
    <t>809012539</t>
  </si>
  <si>
    <t>890001639</t>
  </si>
  <si>
    <t>890000381</t>
  </si>
  <si>
    <t>901201677</t>
  </si>
  <si>
    <t>900679277</t>
  </si>
  <si>
    <t>900679548</t>
  </si>
  <si>
    <t>900279246</t>
  </si>
  <si>
    <t>900280245</t>
  </si>
  <si>
    <t>900349220</t>
  </si>
  <si>
    <t>901908740</t>
  </si>
  <si>
    <t>900001170</t>
  </si>
  <si>
    <t>900223322</t>
  </si>
  <si>
    <t>801001096</t>
  </si>
  <si>
    <t>900923712</t>
  </si>
  <si>
    <t>900385533</t>
  </si>
  <si>
    <t>901866773</t>
  </si>
  <si>
    <t>901077562</t>
  </si>
  <si>
    <t>900657960</t>
  </si>
  <si>
    <t>900775183</t>
  </si>
  <si>
    <t>900626866</t>
  </si>
  <si>
    <t>900261419</t>
  </si>
  <si>
    <t>900259210</t>
  </si>
  <si>
    <t>900381347</t>
  </si>
  <si>
    <t>900870457</t>
  </si>
  <si>
    <t>901036725</t>
  </si>
  <si>
    <t>901120030</t>
  </si>
  <si>
    <t>900081534</t>
  </si>
  <si>
    <t>901314538</t>
  </si>
  <si>
    <t>830097275</t>
  </si>
  <si>
    <t>21273086</t>
  </si>
  <si>
    <t>71741228</t>
  </si>
  <si>
    <t>901467198</t>
  </si>
  <si>
    <t>71638952</t>
  </si>
  <si>
    <t>900821119</t>
  </si>
  <si>
    <t>72179484</t>
  </si>
  <si>
    <t>900038458</t>
  </si>
  <si>
    <t>900392211</t>
  </si>
  <si>
    <t>900029311</t>
  </si>
  <si>
    <t>91243811</t>
  </si>
  <si>
    <t>860061903</t>
  </si>
  <si>
    <t>900528879</t>
  </si>
  <si>
    <t>830119122</t>
  </si>
  <si>
    <t>900400593</t>
  </si>
  <si>
    <t>71411284</t>
  </si>
  <si>
    <t>901568925</t>
  </si>
  <si>
    <t>830008468</t>
  </si>
  <si>
    <t>830096395</t>
  </si>
  <si>
    <t>900773223</t>
  </si>
  <si>
    <t>901670986</t>
  </si>
  <si>
    <t>15254125</t>
  </si>
  <si>
    <t>900446972</t>
  </si>
  <si>
    <t>800247065</t>
  </si>
  <si>
    <t>900275410</t>
  </si>
  <si>
    <t>901070335</t>
  </si>
  <si>
    <t>901691206</t>
  </si>
  <si>
    <t>830102865</t>
  </si>
  <si>
    <t>900111829</t>
  </si>
  <si>
    <t>900042103</t>
  </si>
  <si>
    <t>900972820</t>
  </si>
  <si>
    <t>900389817</t>
  </si>
  <si>
    <t>900432637</t>
  </si>
  <si>
    <t>900401055</t>
  </si>
  <si>
    <t>891855571</t>
  </si>
  <si>
    <t>900231186</t>
  </si>
  <si>
    <t>900705070</t>
  </si>
  <si>
    <t>900232060</t>
  </si>
  <si>
    <t>900300531</t>
  </si>
  <si>
    <t>890915822</t>
  </si>
  <si>
    <t>900714238</t>
  </si>
  <si>
    <t>900526569</t>
  </si>
  <si>
    <t>900533110</t>
  </si>
  <si>
    <t>811027326</t>
  </si>
  <si>
    <t>901168957</t>
  </si>
  <si>
    <t>900987512</t>
  </si>
  <si>
    <t>15319044</t>
  </si>
  <si>
    <t>830002578</t>
  </si>
  <si>
    <t>900644945</t>
  </si>
  <si>
    <t>900691267</t>
  </si>
  <si>
    <t>890938876</t>
  </si>
  <si>
    <t>900397613</t>
  </si>
  <si>
    <t>901306556</t>
  </si>
  <si>
    <t>901743012</t>
  </si>
  <si>
    <t>901783385</t>
  </si>
  <si>
    <t>900258936</t>
  </si>
  <si>
    <t>900928569</t>
  </si>
  <si>
    <t>900419812</t>
  </si>
  <si>
    <t>19304311</t>
  </si>
  <si>
    <t>901491163</t>
  </si>
  <si>
    <t>900835232</t>
  </si>
  <si>
    <t>900409731</t>
  </si>
  <si>
    <t>901055746</t>
  </si>
  <si>
    <t>901074940</t>
  </si>
  <si>
    <t>830139352</t>
  </si>
  <si>
    <t>890908387</t>
  </si>
  <si>
    <t>901266217</t>
  </si>
  <si>
    <t>901590893</t>
  </si>
  <si>
    <t>900768742</t>
  </si>
  <si>
    <t>901022021</t>
  </si>
  <si>
    <t>900327919</t>
  </si>
  <si>
    <t>901204596</t>
  </si>
  <si>
    <t>901848752</t>
  </si>
  <si>
    <t>800085667</t>
  </si>
  <si>
    <t>901075665</t>
  </si>
  <si>
    <t>900184212</t>
  </si>
  <si>
    <t>901773348</t>
  </si>
  <si>
    <t>809008800</t>
  </si>
  <si>
    <t>70976316</t>
  </si>
  <si>
    <t>860020290</t>
  </si>
  <si>
    <t>900910852</t>
  </si>
  <si>
    <t>860532316</t>
  </si>
  <si>
    <t>900509192</t>
  </si>
  <si>
    <t>900463541</t>
  </si>
  <si>
    <t>801000361</t>
  </si>
  <si>
    <t>830032662</t>
  </si>
  <si>
    <t>900660150</t>
  </si>
  <si>
    <t>802014909</t>
  </si>
  <si>
    <t>901093448</t>
  </si>
  <si>
    <t>901038411</t>
  </si>
  <si>
    <t>900063061</t>
  </si>
  <si>
    <t>900611209</t>
  </si>
  <si>
    <t>900372271</t>
  </si>
  <si>
    <t>900099810</t>
  </si>
  <si>
    <t>900770387</t>
  </si>
  <si>
    <t>901331343</t>
  </si>
  <si>
    <t>900838855</t>
  </si>
  <si>
    <t>900976713</t>
  </si>
  <si>
    <t>901210816</t>
  </si>
  <si>
    <t>901375422</t>
  </si>
  <si>
    <t>901717382</t>
  </si>
  <si>
    <t>901878093</t>
  </si>
  <si>
    <t>807002152</t>
  </si>
  <si>
    <t>901549759</t>
  </si>
  <si>
    <t>800161519</t>
  </si>
  <si>
    <t>900561898</t>
  </si>
  <si>
    <t>901620569</t>
  </si>
  <si>
    <t>901726593</t>
  </si>
  <si>
    <t>830083392</t>
  </si>
  <si>
    <t>900904846</t>
  </si>
  <si>
    <t>3608433</t>
  </si>
  <si>
    <t>900009970</t>
  </si>
  <si>
    <t>901711881</t>
  </si>
  <si>
    <t>900151246</t>
  </si>
  <si>
    <t>800246256</t>
  </si>
  <si>
    <t>900775306</t>
  </si>
  <si>
    <t>900168789</t>
  </si>
  <si>
    <t>71685662</t>
  </si>
  <si>
    <t>900972996</t>
  </si>
  <si>
    <t>900359738</t>
  </si>
  <si>
    <t>900326683</t>
  </si>
  <si>
    <t>900599648</t>
  </si>
  <si>
    <t>900373438</t>
  </si>
  <si>
    <t>860001300</t>
  </si>
  <si>
    <t>900304954</t>
  </si>
  <si>
    <t>900071659</t>
  </si>
  <si>
    <t>900432880</t>
  </si>
  <si>
    <t>900199314</t>
  </si>
  <si>
    <t>900263320</t>
  </si>
  <si>
    <t>37898513</t>
  </si>
  <si>
    <t>830054271</t>
  </si>
  <si>
    <t>900621778</t>
  </si>
  <si>
    <t>901201946</t>
  </si>
  <si>
    <t>860533491</t>
  </si>
  <si>
    <t>901949559</t>
  </si>
  <si>
    <t>901506444</t>
  </si>
  <si>
    <t>900989285</t>
  </si>
  <si>
    <t>900835161</t>
  </si>
  <si>
    <t>901053250</t>
  </si>
  <si>
    <t>900254749</t>
  </si>
  <si>
    <t>901220727</t>
  </si>
  <si>
    <t>901632143</t>
  </si>
  <si>
    <t>900459218</t>
  </si>
  <si>
    <t>800215065</t>
  </si>
  <si>
    <t>900216430</t>
  </si>
  <si>
    <t>830133541</t>
  </si>
  <si>
    <t>900442370</t>
  </si>
  <si>
    <t>900347905</t>
  </si>
  <si>
    <t>900891014</t>
  </si>
  <si>
    <t>891224762</t>
  </si>
  <si>
    <t>800235532</t>
  </si>
  <si>
    <t>900522508</t>
  </si>
  <si>
    <t>901553477</t>
  </si>
  <si>
    <t>900900769</t>
  </si>
  <si>
    <t>901663918</t>
  </si>
  <si>
    <t>830072608</t>
  </si>
  <si>
    <t>830145316</t>
  </si>
  <si>
    <t>900742074</t>
  </si>
  <si>
    <t>900304411</t>
  </si>
  <si>
    <t>900725058</t>
  </si>
  <si>
    <t>900658575</t>
  </si>
  <si>
    <t>901120796</t>
  </si>
  <si>
    <t>900168793</t>
  </si>
  <si>
    <t>900960977</t>
  </si>
  <si>
    <t>900327292</t>
  </si>
  <si>
    <t>901984983</t>
  </si>
  <si>
    <t>901251153</t>
  </si>
  <si>
    <t>830145603</t>
  </si>
  <si>
    <t>901280790</t>
  </si>
  <si>
    <t>901910365</t>
  </si>
  <si>
    <t>901876721</t>
  </si>
  <si>
    <t>3420057</t>
  </si>
  <si>
    <t>900867405</t>
  </si>
  <si>
    <t>901217346</t>
  </si>
  <si>
    <t>804013299</t>
  </si>
  <si>
    <t>900085267</t>
  </si>
  <si>
    <t>901709804</t>
  </si>
  <si>
    <t>811004390</t>
  </si>
  <si>
    <t>900695749</t>
  </si>
  <si>
    <t>900086731</t>
  </si>
  <si>
    <t>900332192</t>
  </si>
  <si>
    <t>901356495</t>
  </si>
  <si>
    <t>900011395</t>
  </si>
  <si>
    <t>901152152</t>
  </si>
  <si>
    <t>804000538</t>
  </si>
  <si>
    <t>901093314</t>
  </si>
  <si>
    <t>901253088</t>
  </si>
  <si>
    <t>900326814</t>
  </si>
  <si>
    <t>901558088</t>
  </si>
  <si>
    <t>901509157</t>
  </si>
  <si>
    <t>901065069</t>
  </si>
  <si>
    <t>805016765</t>
  </si>
  <si>
    <t>900832687</t>
  </si>
  <si>
    <t>900755730</t>
  </si>
  <si>
    <t>901177176</t>
  </si>
  <si>
    <t>901338815</t>
  </si>
  <si>
    <t>901965062</t>
  </si>
  <si>
    <t>800252042</t>
  </si>
  <si>
    <t>900357817</t>
  </si>
  <si>
    <t>16715284</t>
  </si>
  <si>
    <t>900466753</t>
  </si>
  <si>
    <t>900337303</t>
  </si>
  <si>
    <t>890212317</t>
  </si>
  <si>
    <t>900798953</t>
  </si>
  <si>
    <t>830002267</t>
  </si>
  <si>
    <t>900603068</t>
  </si>
  <si>
    <t>901418159</t>
  </si>
  <si>
    <t>900663078</t>
  </si>
  <si>
    <t>901742529</t>
  </si>
  <si>
    <t>900698093</t>
  </si>
  <si>
    <t>830058393</t>
  </si>
  <si>
    <t>901396212</t>
  </si>
  <si>
    <t>901215816</t>
  </si>
  <si>
    <t>830026733</t>
  </si>
  <si>
    <t>901200481</t>
  </si>
  <si>
    <t>901040419</t>
  </si>
  <si>
    <t>890903937</t>
  </si>
  <si>
    <t>830035240</t>
  </si>
  <si>
    <t>830064516</t>
  </si>
  <si>
    <t>46664104</t>
  </si>
  <si>
    <t>901680728</t>
  </si>
  <si>
    <t>901159545</t>
  </si>
  <si>
    <t>901055458</t>
  </si>
  <si>
    <t>901814156</t>
  </si>
  <si>
    <t>900900203</t>
  </si>
  <si>
    <t>890939936</t>
  </si>
  <si>
    <t>901525755</t>
  </si>
  <si>
    <t>816007761</t>
  </si>
  <si>
    <t>900550154</t>
  </si>
  <si>
    <t>901435867</t>
  </si>
  <si>
    <t>901734741</t>
  </si>
  <si>
    <t>900298579</t>
  </si>
  <si>
    <t>901776188</t>
  </si>
  <si>
    <t>6757096</t>
  </si>
  <si>
    <t>900543310</t>
  </si>
  <si>
    <t>900190264</t>
  </si>
  <si>
    <t>900578226</t>
  </si>
  <si>
    <t>900193392</t>
  </si>
  <si>
    <t>71741730</t>
  </si>
  <si>
    <t>901738053</t>
  </si>
  <si>
    <t>800131917</t>
  </si>
  <si>
    <t>900939276</t>
  </si>
  <si>
    <t>901174832</t>
  </si>
  <si>
    <t>900985054</t>
  </si>
  <si>
    <t>802009225</t>
  </si>
  <si>
    <t>830085747</t>
  </si>
  <si>
    <t>901056326</t>
  </si>
  <si>
    <t>800219615</t>
  </si>
  <si>
    <t>1128264305</t>
  </si>
  <si>
    <t>860069879</t>
  </si>
  <si>
    <t>900558071</t>
  </si>
  <si>
    <t>800034614</t>
  </si>
  <si>
    <t>901333394</t>
  </si>
  <si>
    <t>900330486</t>
  </si>
  <si>
    <t>900183736</t>
  </si>
  <si>
    <t>900419119</t>
  </si>
  <si>
    <t>901705533</t>
  </si>
  <si>
    <t>900450376</t>
  </si>
  <si>
    <t>900175232</t>
  </si>
  <si>
    <t>72192261</t>
  </si>
  <si>
    <t>900276706</t>
  </si>
  <si>
    <t>900471415</t>
  </si>
  <si>
    <t>900533720</t>
  </si>
  <si>
    <t>900684375</t>
  </si>
  <si>
    <t>900873514</t>
  </si>
  <si>
    <t>901951501</t>
  </si>
  <si>
    <t>804016032</t>
  </si>
  <si>
    <t>15274904</t>
  </si>
  <si>
    <t>900848944</t>
  </si>
  <si>
    <t>900177525</t>
  </si>
  <si>
    <t>826001086</t>
  </si>
  <si>
    <t>900071596</t>
  </si>
  <si>
    <t>800036229</t>
  </si>
  <si>
    <t>900928659</t>
  </si>
  <si>
    <t>900974499</t>
  </si>
  <si>
    <t>900566370</t>
  </si>
  <si>
    <t>900470211</t>
  </si>
  <si>
    <t>900275599</t>
  </si>
  <si>
    <t>800182069</t>
  </si>
  <si>
    <t>900874988</t>
  </si>
  <si>
    <t>830145831</t>
  </si>
  <si>
    <t>900315872</t>
  </si>
  <si>
    <t>900618886</t>
  </si>
  <si>
    <t>901631722</t>
  </si>
  <si>
    <t>900970954</t>
  </si>
  <si>
    <t>900511542</t>
  </si>
  <si>
    <t>901728959</t>
  </si>
  <si>
    <t>901509497</t>
  </si>
  <si>
    <t>800248557</t>
  </si>
  <si>
    <t>901241255</t>
  </si>
  <si>
    <t>901501206</t>
  </si>
  <si>
    <t>900347507</t>
  </si>
  <si>
    <t>901010657</t>
  </si>
  <si>
    <t>63513761</t>
  </si>
  <si>
    <t>900396713</t>
  </si>
  <si>
    <t>901844693</t>
  </si>
  <si>
    <t>901930930</t>
  </si>
  <si>
    <t>13848725</t>
  </si>
  <si>
    <t>901192215</t>
  </si>
  <si>
    <t>800148420</t>
  </si>
  <si>
    <t>901551360</t>
  </si>
  <si>
    <t>800211372</t>
  </si>
  <si>
    <t>900305252</t>
  </si>
  <si>
    <t>42876684</t>
  </si>
  <si>
    <t>700117713</t>
  </si>
  <si>
    <t>890983674</t>
  </si>
  <si>
    <t>901067544</t>
  </si>
  <si>
    <t>900301070</t>
  </si>
  <si>
    <t>901216727</t>
  </si>
  <si>
    <t>900240225</t>
  </si>
  <si>
    <t>900553179</t>
  </si>
  <si>
    <t>3575717</t>
  </si>
  <si>
    <t>901869968</t>
  </si>
  <si>
    <t>830062398</t>
  </si>
  <si>
    <t>901104926</t>
  </si>
  <si>
    <t>830018507</t>
  </si>
  <si>
    <t>900749190</t>
  </si>
  <si>
    <t>901081781</t>
  </si>
  <si>
    <t>900773225</t>
  </si>
  <si>
    <t>900986931</t>
  </si>
  <si>
    <t>900075471</t>
  </si>
  <si>
    <t>901496126</t>
  </si>
  <si>
    <t>804005009</t>
  </si>
  <si>
    <t>900179221</t>
  </si>
  <si>
    <t>890212568</t>
  </si>
  <si>
    <t>830045046</t>
  </si>
  <si>
    <t>891501133</t>
  </si>
  <si>
    <t>900838422</t>
  </si>
  <si>
    <t>900686427</t>
  </si>
  <si>
    <t>900621501</t>
  </si>
  <si>
    <t>804015183</t>
  </si>
  <si>
    <t>900577378</t>
  </si>
  <si>
    <t>1042766190</t>
  </si>
  <si>
    <t>901854482</t>
  </si>
  <si>
    <t>3598386</t>
  </si>
  <si>
    <t>901894264</t>
  </si>
  <si>
    <t>900943183</t>
  </si>
  <si>
    <t>901860036</t>
  </si>
  <si>
    <t>900954540</t>
  </si>
  <si>
    <t>900220974</t>
  </si>
  <si>
    <t>802004237</t>
  </si>
  <si>
    <t>900663864</t>
  </si>
  <si>
    <t>900350290</t>
  </si>
  <si>
    <t>900189960</t>
  </si>
  <si>
    <t>830071216</t>
  </si>
  <si>
    <t>901046184</t>
  </si>
  <si>
    <t>800155541</t>
  </si>
  <si>
    <t>900253021</t>
  </si>
  <si>
    <t>901046794</t>
  </si>
  <si>
    <t>900734574</t>
  </si>
  <si>
    <t>900469931</t>
  </si>
  <si>
    <t>800147506</t>
  </si>
  <si>
    <t>890117128</t>
  </si>
  <si>
    <t>901700191</t>
  </si>
  <si>
    <t>901131614</t>
  </si>
  <si>
    <t>800056130</t>
  </si>
  <si>
    <t>901048306</t>
  </si>
  <si>
    <t>901470921</t>
  </si>
  <si>
    <t>830046989</t>
  </si>
  <si>
    <t>800221059</t>
  </si>
  <si>
    <t>900076166</t>
  </si>
  <si>
    <t>900109444</t>
  </si>
  <si>
    <t>900146799</t>
  </si>
  <si>
    <t>802007906</t>
  </si>
  <si>
    <t>900881744</t>
  </si>
  <si>
    <t>900866424</t>
  </si>
  <si>
    <t>830139542</t>
  </si>
  <si>
    <t>900229422</t>
  </si>
  <si>
    <t>900267487</t>
  </si>
  <si>
    <t>900986950</t>
  </si>
  <si>
    <t>17844609</t>
  </si>
  <si>
    <t>900856280</t>
  </si>
  <si>
    <t>900743080</t>
  </si>
  <si>
    <t>900673869</t>
  </si>
  <si>
    <t>800205390</t>
  </si>
  <si>
    <t>900312310</t>
  </si>
  <si>
    <t>56083267</t>
  </si>
  <si>
    <t>15502833</t>
  </si>
  <si>
    <t>900635068</t>
  </si>
  <si>
    <t>900153610</t>
  </si>
  <si>
    <t>900233227</t>
  </si>
  <si>
    <t>900239840</t>
  </si>
  <si>
    <t>901141901</t>
  </si>
  <si>
    <t>88142097</t>
  </si>
  <si>
    <t>901281731</t>
  </si>
  <si>
    <t>900045832</t>
  </si>
  <si>
    <t>826001390</t>
  </si>
  <si>
    <t>800145754</t>
  </si>
  <si>
    <t>900292706</t>
  </si>
  <si>
    <t>830076407</t>
  </si>
  <si>
    <t>830133425</t>
  </si>
  <si>
    <t>900469919</t>
  </si>
  <si>
    <t>900423651</t>
  </si>
  <si>
    <t>900731617</t>
  </si>
  <si>
    <t>901176396</t>
  </si>
  <si>
    <t>901147219</t>
  </si>
  <si>
    <t>900221080</t>
  </si>
  <si>
    <t>900888298</t>
  </si>
  <si>
    <t>900223605</t>
  </si>
  <si>
    <t>900680482</t>
  </si>
  <si>
    <t>901029318</t>
  </si>
  <si>
    <t>900230150</t>
  </si>
  <si>
    <t>901658191</t>
  </si>
  <si>
    <t>900525331</t>
  </si>
  <si>
    <t>900182071</t>
  </si>
  <si>
    <t>900212563</t>
  </si>
  <si>
    <t>900065618</t>
  </si>
  <si>
    <t>900096024</t>
  </si>
  <si>
    <t>900170988</t>
  </si>
  <si>
    <t>900524714</t>
  </si>
  <si>
    <t>900273328</t>
  </si>
  <si>
    <t>802018452</t>
  </si>
  <si>
    <t>901539809</t>
  </si>
  <si>
    <t>900715427</t>
  </si>
  <si>
    <t>830007873</t>
  </si>
  <si>
    <t>900989356</t>
  </si>
  <si>
    <t>901328844</t>
  </si>
  <si>
    <t>830081427</t>
  </si>
  <si>
    <t>900936018</t>
  </si>
  <si>
    <t>900555782</t>
  </si>
  <si>
    <t>900327305</t>
  </si>
  <si>
    <t>900876947</t>
  </si>
  <si>
    <t>900327281</t>
  </si>
  <si>
    <t>901003044</t>
  </si>
  <si>
    <t>900232327</t>
  </si>
  <si>
    <t>901296439</t>
  </si>
  <si>
    <t>900094402</t>
  </si>
  <si>
    <t>800004599</t>
  </si>
  <si>
    <t>900413436</t>
  </si>
  <si>
    <t>901307240</t>
  </si>
  <si>
    <t>830118776</t>
  </si>
  <si>
    <t>900225904</t>
  </si>
  <si>
    <t>901126705</t>
  </si>
  <si>
    <t>830134799</t>
  </si>
  <si>
    <t>1037548877</t>
  </si>
  <si>
    <t>900845628</t>
  </si>
  <si>
    <t>830032584</t>
  </si>
  <si>
    <t>890206193</t>
  </si>
  <si>
    <t>901177395</t>
  </si>
  <si>
    <t>900619008</t>
  </si>
  <si>
    <t>900965897</t>
  </si>
  <si>
    <t>900451691</t>
  </si>
  <si>
    <t>900280930</t>
  </si>
  <si>
    <t>901204809</t>
  </si>
  <si>
    <t>901694072</t>
  </si>
  <si>
    <t>900657070</t>
  </si>
  <si>
    <t>900519786</t>
  </si>
  <si>
    <t>900267029</t>
  </si>
  <si>
    <t>860006628</t>
  </si>
  <si>
    <t>900429521</t>
  </si>
  <si>
    <t>830032792</t>
  </si>
  <si>
    <t>901045468</t>
  </si>
  <si>
    <t>900577494</t>
  </si>
  <si>
    <t>901377765</t>
  </si>
  <si>
    <t>900323238</t>
  </si>
  <si>
    <t>900801256</t>
  </si>
  <si>
    <t>900568542</t>
  </si>
  <si>
    <t>901092031</t>
  </si>
  <si>
    <t>37312992</t>
  </si>
  <si>
    <t>800236302</t>
  </si>
  <si>
    <t>890323239</t>
  </si>
  <si>
    <t>900708791</t>
  </si>
  <si>
    <t>900764969</t>
  </si>
  <si>
    <t>901160881</t>
  </si>
  <si>
    <t>800134187</t>
  </si>
  <si>
    <t>901937239</t>
  </si>
  <si>
    <t>900526061</t>
  </si>
  <si>
    <t>900317107</t>
  </si>
  <si>
    <t>900045611</t>
  </si>
  <si>
    <t>800069941</t>
  </si>
  <si>
    <t>901296635</t>
  </si>
  <si>
    <t>800199119</t>
  </si>
  <si>
    <t>900245172</t>
  </si>
  <si>
    <t>900527168</t>
  </si>
  <si>
    <t>901103926</t>
  </si>
  <si>
    <t>800131970</t>
  </si>
  <si>
    <t>900109568</t>
  </si>
  <si>
    <t>900767329</t>
  </si>
  <si>
    <t>830079619</t>
  </si>
  <si>
    <t>900447134</t>
  </si>
  <si>
    <t>800227090</t>
  </si>
  <si>
    <t>900310631</t>
  </si>
  <si>
    <t>900625968</t>
  </si>
  <si>
    <t>900349051</t>
  </si>
  <si>
    <t>900850692</t>
  </si>
  <si>
    <t>901179015</t>
  </si>
  <si>
    <t>900671845</t>
  </si>
  <si>
    <t>901100664</t>
  </si>
  <si>
    <t>900403689</t>
  </si>
  <si>
    <t>901343082</t>
  </si>
  <si>
    <t>901194522</t>
  </si>
  <si>
    <t>901418387</t>
  </si>
  <si>
    <t>860006797</t>
  </si>
  <si>
    <t>901210498</t>
  </si>
  <si>
    <t>901567289</t>
  </si>
  <si>
    <t>900547887</t>
  </si>
  <si>
    <t>830124772</t>
  </si>
  <si>
    <t>900000916</t>
  </si>
  <si>
    <t>901839450</t>
  </si>
  <si>
    <t>900999752</t>
  </si>
  <si>
    <t>901337664</t>
  </si>
  <si>
    <t>810000996</t>
  </si>
  <si>
    <t>901583477</t>
  </si>
  <si>
    <t>901332923</t>
  </si>
  <si>
    <t>900664175</t>
  </si>
  <si>
    <t>900466703</t>
  </si>
  <si>
    <t>900976971</t>
  </si>
  <si>
    <t>901883100</t>
  </si>
  <si>
    <t>830134534</t>
  </si>
  <si>
    <t>830129629</t>
  </si>
  <si>
    <t>900377835</t>
  </si>
  <si>
    <t>901098023</t>
  </si>
  <si>
    <t>800252485</t>
  </si>
  <si>
    <t>890203975</t>
  </si>
  <si>
    <t>900935050</t>
  </si>
  <si>
    <t>900315674</t>
  </si>
  <si>
    <t>860532742</t>
  </si>
  <si>
    <t>900945122</t>
  </si>
  <si>
    <t>901493760</t>
  </si>
  <si>
    <t>900740296</t>
  </si>
  <si>
    <t>830044478</t>
  </si>
  <si>
    <t>900176487</t>
  </si>
  <si>
    <t>900385277</t>
  </si>
  <si>
    <t>900367416</t>
  </si>
  <si>
    <t>800106361</t>
  </si>
  <si>
    <t>900336199</t>
  </si>
  <si>
    <t>43581631</t>
  </si>
  <si>
    <t>900401117</t>
  </si>
  <si>
    <t>901061021</t>
  </si>
  <si>
    <t>901263939</t>
  </si>
  <si>
    <t>901834822</t>
  </si>
  <si>
    <t>900262756</t>
  </si>
  <si>
    <t>901327416</t>
  </si>
  <si>
    <t>830111415</t>
  </si>
  <si>
    <t>900165824</t>
  </si>
  <si>
    <t>900644908</t>
  </si>
  <si>
    <t>901302246</t>
  </si>
  <si>
    <t>900543702</t>
  </si>
  <si>
    <t>901173840</t>
  </si>
  <si>
    <t>805002583</t>
  </si>
  <si>
    <t>900284437</t>
  </si>
  <si>
    <t>901018344</t>
  </si>
  <si>
    <t>900208732</t>
  </si>
  <si>
    <t>900656148</t>
  </si>
  <si>
    <t>901261568</t>
  </si>
  <si>
    <t>900160972</t>
  </si>
  <si>
    <t>830139050</t>
  </si>
  <si>
    <t>900706503</t>
  </si>
  <si>
    <t>890207543</t>
  </si>
  <si>
    <t>800115283</t>
  </si>
  <si>
    <t>800039348</t>
  </si>
  <si>
    <t>830044427</t>
  </si>
  <si>
    <t>830022079</t>
  </si>
  <si>
    <t>80415452</t>
  </si>
  <si>
    <t>900210705</t>
  </si>
  <si>
    <t>901159410</t>
  </si>
  <si>
    <t>900004092</t>
  </si>
  <si>
    <t>900410022</t>
  </si>
  <si>
    <t>900503541</t>
  </si>
  <si>
    <t>890700817</t>
  </si>
  <si>
    <t>901409745</t>
  </si>
  <si>
    <t>900949415</t>
  </si>
  <si>
    <t>900466713</t>
  </si>
  <si>
    <t>830091015</t>
  </si>
  <si>
    <t>900138304</t>
  </si>
  <si>
    <t>900642720</t>
  </si>
  <si>
    <t>801003135</t>
  </si>
  <si>
    <t>900788456</t>
  </si>
  <si>
    <t>860013830</t>
  </si>
  <si>
    <t>901373411</t>
  </si>
  <si>
    <t>900409145</t>
  </si>
  <si>
    <t>900445782</t>
  </si>
  <si>
    <t>900983633</t>
  </si>
  <si>
    <t>800254746</t>
  </si>
  <si>
    <t>800252447</t>
  </si>
  <si>
    <t>900659966</t>
  </si>
  <si>
    <t>901275059</t>
  </si>
  <si>
    <t>830001349</t>
  </si>
  <si>
    <t>900747836</t>
  </si>
  <si>
    <t>901623468</t>
  </si>
  <si>
    <t>900640411</t>
  </si>
  <si>
    <t>802004499</t>
  </si>
  <si>
    <t>901574368</t>
  </si>
  <si>
    <t>901035853</t>
  </si>
  <si>
    <t>900707679</t>
  </si>
  <si>
    <t>901142996</t>
  </si>
  <si>
    <t>901098085</t>
  </si>
  <si>
    <t>900600890</t>
  </si>
  <si>
    <t>900729728</t>
  </si>
  <si>
    <t>901233457</t>
  </si>
  <si>
    <t>901372347</t>
  </si>
  <si>
    <t>901035122</t>
  </si>
  <si>
    <t>900301471</t>
  </si>
  <si>
    <t>900296821</t>
  </si>
  <si>
    <t>52619438</t>
  </si>
  <si>
    <t>830039109</t>
  </si>
  <si>
    <t>900230701</t>
  </si>
  <si>
    <t>901951080</t>
  </si>
  <si>
    <t>901179391</t>
  </si>
  <si>
    <t>901110323</t>
  </si>
  <si>
    <t>901450660</t>
  </si>
  <si>
    <t>830025297</t>
  </si>
  <si>
    <t>901664829</t>
  </si>
  <si>
    <t>901214340</t>
  </si>
  <si>
    <t>900962483</t>
  </si>
  <si>
    <t>900433454</t>
  </si>
  <si>
    <t>900562124</t>
  </si>
  <si>
    <t>900452965</t>
  </si>
  <si>
    <t>804004668</t>
  </si>
  <si>
    <t>901140329</t>
  </si>
  <si>
    <t>901143770</t>
  </si>
  <si>
    <t>60266827</t>
  </si>
  <si>
    <t>901236038</t>
  </si>
  <si>
    <t>79325928</t>
  </si>
  <si>
    <t>900011381</t>
  </si>
  <si>
    <t>830064076</t>
  </si>
  <si>
    <t>800156613</t>
  </si>
  <si>
    <t>830504920</t>
  </si>
  <si>
    <t>901308003</t>
  </si>
  <si>
    <t>900680534</t>
  </si>
  <si>
    <t>901302217</t>
  </si>
  <si>
    <t>900980974</t>
  </si>
  <si>
    <t>900695195</t>
  </si>
  <si>
    <t>830015079</t>
  </si>
  <si>
    <t>901633701</t>
  </si>
  <si>
    <t>900839121</t>
  </si>
  <si>
    <t>804000986</t>
  </si>
  <si>
    <t>900605856</t>
  </si>
  <si>
    <t>802010467</t>
  </si>
  <si>
    <t>800219667</t>
  </si>
  <si>
    <t>900826486</t>
  </si>
  <si>
    <t>900101764</t>
  </si>
  <si>
    <t>835000771</t>
  </si>
  <si>
    <t>900569426</t>
  </si>
  <si>
    <t>901469261</t>
  </si>
  <si>
    <t>901598855</t>
  </si>
  <si>
    <t>900275452</t>
  </si>
  <si>
    <t>900816972</t>
  </si>
  <si>
    <t>900378359</t>
  </si>
  <si>
    <t>900445806</t>
  </si>
  <si>
    <t>900753767</t>
  </si>
  <si>
    <t>900120347</t>
  </si>
  <si>
    <t>900179427</t>
  </si>
  <si>
    <t>901383843</t>
  </si>
  <si>
    <t>900601106</t>
  </si>
  <si>
    <t>900333783</t>
  </si>
  <si>
    <t>900404661</t>
  </si>
  <si>
    <t>900704200</t>
  </si>
  <si>
    <t>890201201</t>
  </si>
  <si>
    <t>900583137</t>
  </si>
  <si>
    <t>900676628</t>
  </si>
  <si>
    <t>900404774</t>
  </si>
  <si>
    <t>900779804</t>
  </si>
  <si>
    <t>800131881</t>
  </si>
  <si>
    <t>901958522</t>
  </si>
  <si>
    <t>900684067</t>
  </si>
  <si>
    <t>800148484</t>
  </si>
  <si>
    <t>900778195</t>
  </si>
  <si>
    <t>900882382</t>
  </si>
  <si>
    <t>901420538</t>
  </si>
  <si>
    <t>860078828</t>
  </si>
  <si>
    <t>901311245</t>
  </si>
  <si>
    <t>900433915</t>
  </si>
  <si>
    <t>900280831</t>
  </si>
  <si>
    <t>900435776</t>
  </si>
  <si>
    <t>800219433</t>
  </si>
  <si>
    <t>900282855</t>
  </si>
  <si>
    <t>901218708</t>
  </si>
  <si>
    <t>71605728</t>
  </si>
  <si>
    <t>900065043</t>
  </si>
  <si>
    <t>900601068</t>
  </si>
  <si>
    <t>900879283</t>
  </si>
  <si>
    <t>901990652</t>
  </si>
  <si>
    <t>830073295</t>
  </si>
  <si>
    <t>830001512</t>
  </si>
  <si>
    <t>800254511</t>
  </si>
  <si>
    <t>900795219</t>
  </si>
  <si>
    <t>900484996</t>
  </si>
  <si>
    <t>900448039</t>
  </si>
  <si>
    <t>29363583</t>
  </si>
  <si>
    <t>900915456</t>
  </si>
  <si>
    <t>890301544</t>
  </si>
  <si>
    <t>901331332</t>
  </si>
  <si>
    <t>811003134</t>
  </si>
  <si>
    <t>900193579</t>
  </si>
  <si>
    <t>900270800</t>
  </si>
  <si>
    <t>900823854</t>
  </si>
  <si>
    <t>817004535</t>
  </si>
  <si>
    <t>800081054</t>
  </si>
  <si>
    <t>900315003</t>
  </si>
  <si>
    <t>860506838</t>
  </si>
  <si>
    <t>900736391</t>
  </si>
  <si>
    <t>901314383</t>
  </si>
  <si>
    <t>901202191</t>
  </si>
  <si>
    <t>900577539</t>
  </si>
  <si>
    <t>900698924</t>
  </si>
  <si>
    <t>900356018</t>
  </si>
  <si>
    <t>901417148</t>
  </si>
  <si>
    <t>830034471</t>
  </si>
  <si>
    <t>900869168</t>
  </si>
  <si>
    <t>900472220</t>
  </si>
  <si>
    <t>901325043</t>
  </si>
  <si>
    <t>900572521</t>
  </si>
  <si>
    <t>900487755</t>
  </si>
  <si>
    <t>900571626</t>
  </si>
  <si>
    <t>800201110</t>
  </si>
  <si>
    <t>802014538</t>
  </si>
  <si>
    <t>900167734</t>
  </si>
  <si>
    <t>900329163</t>
  </si>
  <si>
    <t>805011901</t>
  </si>
  <si>
    <t>901461053</t>
  </si>
  <si>
    <t>901134023</t>
  </si>
  <si>
    <t>900702688</t>
  </si>
  <si>
    <t>830075659</t>
  </si>
  <si>
    <t>900062677</t>
  </si>
  <si>
    <t>900074582</t>
  </si>
  <si>
    <t>900284674</t>
  </si>
  <si>
    <t>901157466</t>
  </si>
  <si>
    <t>800186518</t>
  </si>
  <si>
    <t>900364760</t>
  </si>
  <si>
    <t>900575349</t>
  </si>
  <si>
    <t>901146202</t>
  </si>
  <si>
    <t>900206401</t>
  </si>
  <si>
    <t>900591249</t>
  </si>
  <si>
    <t>800159941</t>
  </si>
  <si>
    <t>900676346</t>
  </si>
  <si>
    <t>900741587</t>
  </si>
  <si>
    <t>900279227</t>
  </si>
  <si>
    <t>901253117</t>
  </si>
  <si>
    <t>800199501</t>
  </si>
  <si>
    <t>830003260</t>
  </si>
  <si>
    <t>900284020</t>
  </si>
  <si>
    <t>900317869</t>
  </si>
  <si>
    <t>900683108</t>
  </si>
  <si>
    <t>900421762</t>
  </si>
  <si>
    <t>900474322</t>
  </si>
  <si>
    <t>860066524</t>
  </si>
  <si>
    <t>900258033</t>
  </si>
  <si>
    <t>900522921</t>
  </si>
  <si>
    <t>830051640</t>
  </si>
  <si>
    <t>900101736</t>
  </si>
  <si>
    <t>900348662</t>
  </si>
  <si>
    <t>800224877</t>
  </si>
  <si>
    <t>900885659</t>
  </si>
  <si>
    <t>900929244</t>
  </si>
  <si>
    <t>900988547</t>
  </si>
  <si>
    <t>805008686</t>
  </si>
  <si>
    <t>800227535</t>
  </si>
  <si>
    <t>900608746</t>
  </si>
  <si>
    <t>800255926</t>
  </si>
  <si>
    <t>900126565</t>
  </si>
  <si>
    <t>900228076</t>
  </si>
  <si>
    <t>900816107</t>
  </si>
  <si>
    <t>830079618</t>
  </si>
  <si>
    <t>901174853</t>
  </si>
  <si>
    <t>900222649</t>
  </si>
  <si>
    <t>901084343</t>
  </si>
  <si>
    <t>901437092</t>
  </si>
  <si>
    <t>900851788</t>
  </si>
  <si>
    <t>900947614</t>
  </si>
  <si>
    <t>900715365</t>
  </si>
  <si>
    <t>900324235</t>
  </si>
  <si>
    <t>901665583</t>
  </si>
  <si>
    <t>900804823</t>
  </si>
  <si>
    <t>900373796</t>
  </si>
  <si>
    <t>900445016</t>
  </si>
  <si>
    <t>830122405</t>
  </si>
  <si>
    <t>900968167</t>
  </si>
  <si>
    <t>900324972</t>
  </si>
  <si>
    <t>901274593</t>
  </si>
  <si>
    <t>900573930</t>
  </si>
  <si>
    <t>900894294</t>
  </si>
  <si>
    <t>900489559</t>
  </si>
  <si>
    <t>901899450</t>
  </si>
  <si>
    <t>800198578</t>
  </si>
  <si>
    <t>830137279</t>
  </si>
  <si>
    <t>804001861</t>
  </si>
  <si>
    <t>901481527</t>
  </si>
  <si>
    <t>804001010</t>
  </si>
  <si>
    <t>810006362</t>
  </si>
  <si>
    <t>901058192</t>
  </si>
  <si>
    <t>901567211</t>
  </si>
  <si>
    <t>900302609</t>
  </si>
  <si>
    <t>830511773</t>
  </si>
  <si>
    <t>900634355</t>
  </si>
  <si>
    <t>901326370</t>
  </si>
  <si>
    <t>900781822</t>
  </si>
  <si>
    <t>901549549</t>
  </si>
  <si>
    <t>901240846</t>
  </si>
  <si>
    <t>900256955</t>
  </si>
  <si>
    <t>900833663</t>
  </si>
  <si>
    <t>900580986</t>
  </si>
  <si>
    <t>900446438</t>
  </si>
  <si>
    <t>901010558</t>
  </si>
  <si>
    <t>900402827</t>
  </si>
  <si>
    <t>900842128</t>
  </si>
  <si>
    <t>830000422</t>
  </si>
  <si>
    <t>900117796</t>
  </si>
  <si>
    <t>800027370</t>
  </si>
  <si>
    <t>900310625</t>
  </si>
  <si>
    <t>901100056</t>
  </si>
  <si>
    <t>891855847</t>
  </si>
  <si>
    <t>890902920</t>
  </si>
  <si>
    <t>830147087</t>
  </si>
  <si>
    <t>900924722</t>
  </si>
  <si>
    <t>900928271</t>
  </si>
  <si>
    <t>800252542</t>
  </si>
  <si>
    <t>830106970</t>
  </si>
  <si>
    <t>900026211</t>
  </si>
  <si>
    <t>900339444</t>
  </si>
  <si>
    <t>900062601</t>
  </si>
  <si>
    <t>19311126</t>
  </si>
  <si>
    <t>900372276</t>
  </si>
  <si>
    <t>890912426</t>
  </si>
  <si>
    <t>900772111</t>
  </si>
  <si>
    <t>830035347</t>
  </si>
  <si>
    <t>900401583</t>
  </si>
  <si>
    <t>805008738</t>
  </si>
  <si>
    <t>900097642</t>
  </si>
  <si>
    <t>16755344</t>
  </si>
  <si>
    <t>830074506</t>
  </si>
  <si>
    <t>900955193</t>
  </si>
  <si>
    <t>830053030</t>
  </si>
  <si>
    <t>900838326</t>
  </si>
  <si>
    <t>900695867</t>
  </si>
  <si>
    <t>900586557</t>
  </si>
  <si>
    <t>900168255</t>
  </si>
  <si>
    <t>900958028</t>
  </si>
  <si>
    <t>92558978</t>
  </si>
  <si>
    <t>900000680</t>
  </si>
  <si>
    <t>860525814</t>
  </si>
  <si>
    <t>901205599</t>
  </si>
  <si>
    <t>901538639</t>
  </si>
  <si>
    <t>900782862</t>
  </si>
  <si>
    <t>830077017</t>
  </si>
  <si>
    <t>900132097</t>
  </si>
  <si>
    <t>900845366</t>
  </si>
  <si>
    <t>900126497</t>
  </si>
  <si>
    <t>900055806</t>
  </si>
  <si>
    <t>900025676</t>
  </si>
  <si>
    <t>830007585</t>
  </si>
  <si>
    <t>900337783</t>
  </si>
  <si>
    <t>900511583</t>
  </si>
  <si>
    <t>805028447</t>
  </si>
  <si>
    <t>900424055</t>
  </si>
  <si>
    <t>900604828</t>
  </si>
  <si>
    <t>901231316</t>
  </si>
  <si>
    <t>900990970</t>
  </si>
  <si>
    <t>900314196</t>
  </si>
  <si>
    <t>811007144</t>
  </si>
  <si>
    <t>901616830</t>
  </si>
  <si>
    <t>830031251</t>
  </si>
  <si>
    <t>860517435</t>
  </si>
  <si>
    <t>900274571</t>
  </si>
  <si>
    <t>892000146</t>
  </si>
  <si>
    <t>900117722</t>
  </si>
  <si>
    <t>900163185</t>
  </si>
  <si>
    <t>900540823</t>
  </si>
  <si>
    <t>900131623</t>
  </si>
  <si>
    <t>830121745</t>
  </si>
  <si>
    <t>830085771</t>
  </si>
  <si>
    <t>900702851</t>
  </si>
  <si>
    <t>901667128</t>
  </si>
  <si>
    <t>900810620</t>
  </si>
  <si>
    <t>900354717</t>
  </si>
  <si>
    <t>901028022</t>
  </si>
  <si>
    <t>901201146</t>
  </si>
  <si>
    <t>900365103</t>
  </si>
  <si>
    <t>800077812</t>
  </si>
  <si>
    <t>900775224</t>
  </si>
  <si>
    <t>830047533</t>
  </si>
  <si>
    <t>900798964</t>
  </si>
  <si>
    <t>800170669</t>
  </si>
  <si>
    <t>900662799</t>
  </si>
  <si>
    <t>901215361</t>
  </si>
  <si>
    <t>900367045</t>
  </si>
  <si>
    <t>900744369</t>
  </si>
  <si>
    <t>901840560</t>
  </si>
  <si>
    <t>900809614</t>
  </si>
  <si>
    <t>900357761</t>
  </si>
  <si>
    <t>830044433</t>
  </si>
  <si>
    <t>900618090</t>
  </si>
  <si>
    <t>900332913</t>
  </si>
  <si>
    <t>900587103</t>
  </si>
  <si>
    <t>890001600</t>
  </si>
  <si>
    <t>79116178</t>
  </si>
  <si>
    <t>900838520</t>
  </si>
  <si>
    <t>900747599</t>
  </si>
  <si>
    <t>901336069</t>
  </si>
  <si>
    <t>900942410</t>
  </si>
  <si>
    <t>900384473</t>
  </si>
  <si>
    <t>830037104</t>
  </si>
  <si>
    <t>901547553</t>
  </si>
  <si>
    <t>900311948</t>
  </si>
  <si>
    <t>52105894</t>
  </si>
  <si>
    <t>830117679</t>
  </si>
  <si>
    <t>830018269</t>
  </si>
  <si>
    <t>900962193</t>
  </si>
  <si>
    <t>830061210</t>
  </si>
  <si>
    <t>800049489</t>
  </si>
  <si>
    <t>811011331</t>
  </si>
  <si>
    <t>860531502</t>
  </si>
  <si>
    <t>900861637</t>
  </si>
  <si>
    <t>900311370</t>
  </si>
  <si>
    <t>900830472</t>
  </si>
  <si>
    <t>901229124</t>
  </si>
  <si>
    <t>900750163</t>
  </si>
  <si>
    <t>800229161</t>
  </si>
  <si>
    <t>800248472</t>
  </si>
  <si>
    <t>900575522</t>
  </si>
  <si>
    <t>830076168</t>
  </si>
  <si>
    <t>900188985</t>
  </si>
  <si>
    <t>900906554</t>
  </si>
  <si>
    <t>901876523</t>
  </si>
  <si>
    <t>900369330</t>
  </si>
  <si>
    <t>900884937</t>
  </si>
  <si>
    <t>890402047</t>
  </si>
  <si>
    <t>900670040</t>
  </si>
  <si>
    <t>901442616</t>
  </si>
  <si>
    <t>900312419</t>
  </si>
  <si>
    <t>811026598</t>
  </si>
  <si>
    <t>830011036</t>
  </si>
  <si>
    <t>830041814</t>
  </si>
  <si>
    <t>901137177</t>
  </si>
  <si>
    <t>900387152</t>
  </si>
  <si>
    <t>901659955</t>
  </si>
  <si>
    <t>900773333</t>
  </si>
  <si>
    <t>900347725</t>
  </si>
  <si>
    <t>800020999</t>
  </si>
  <si>
    <t>830006970</t>
  </si>
  <si>
    <t>800202947</t>
  </si>
  <si>
    <t>900431212</t>
  </si>
  <si>
    <t>901104127</t>
  </si>
  <si>
    <t>900641398</t>
  </si>
  <si>
    <t>900150843</t>
  </si>
  <si>
    <t>901188381</t>
  </si>
  <si>
    <t>901271646</t>
  </si>
  <si>
    <t>804002445</t>
  </si>
  <si>
    <t>900029610</t>
  </si>
  <si>
    <t>900126499</t>
  </si>
  <si>
    <t>900015081</t>
  </si>
  <si>
    <t>900547643</t>
  </si>
  <si>
    <t>800250107</t>
  </si>
  <si>
    <t>830115155</t>
  </si>
  <si>
    <t>900202026</t>
  </si>
  <si>
    <t>900428956</t>
  </si>
  <si>
    <t>890115166</t>
  </si>
  <si>
    <t>900602320</t>
  </si>
  <si>
    <t>830114921</t>
  </si>
  <si>
    <t>900615391</t>
  </si>
  <si>
    <t>900146765</t>
  </si>
  <si>
    <t>860030168</t>
  </si>
  <si>
    <t>901960251</t>
  </si>
  <si>
    <t>900553515</t>
  </si>
  <si>
    <t>813000162</t>
  </si>
  <si>
    <t>900871453</t>
  </si>
  <si>
    <t>900871468</t>
  </si>
  <si>
    <t>830006030</t>
  </si>
  <si>
    <t>900586694</t>
  </si>
  <si>
    <t>900605548</t>
  </si>
  <si>
    <t>800075197</t>
  </si>
  <si>
    <t>900115045</t>
  </si>
  <si>
    <t>900248800</t>
  </si>
  <si>
    <t>800177155</t>
  </si>
  <si>
    <t>900640094</t>
  </si>
  <si>
    <t>802001515</t>
  </si>
  <si>
    <t>830074988</t>
  </si>
  <si>
    <t>860512699</t>
  </si>
  <si>
    <t>901871823</t>
  </si>
  <si>
    <t>900564941</t>
  </si>
  <si>
    <t>900303560</t>
  </si>
  <si>
    <t>900208855</t>
  </si>
  <si>
    <t>900265281</t>
  </si>
  <si>
    <t>901094096</t>
  </si>
  <si>
    <t>900395502</t>
  </si>
  <si>
    <t>800097112</t>
  </si>
  <si>
    <t>900327534</t>
  </si>
  <si>
    <t>900180530</t>
  </si>
  <si>
    <t>901190887</t>
  </si>
  <si>
    <t>901409944</t>
  </si>
  <si>
    <t>900710607</t>
  </si>
  <si>
    <t>900698474</t>
  </si>
  <si>
    <t>900202064</t>
  </si>
  <si>
    <t>900649251</t>
  </si>
  <si>
    <t>901692671</t>
  </si>
  <si>
    <t>900859241</t>
  </si>
  <si>
    <t>900107489</t>
  </si>
  <si>
    <t>901252926</t>
  </si>
  <si>
    <t>901805556</t>
  </si>
  <si>
    <t>901157164</t>
  </si>
  <si>
    <t>830052552</t>
  </si>
  <si>
    <t>900265052</t>
  </si>
  <si>
    <t>900932920</t>
  </si>
  <si>
    <t>900070183</t>
  </si>
  <si>
    <t>901086562</t>
  </si>
  <si>
    <t>900214874</t>
  </si>
  <si>
    <t>800200156</t>
  </si>
  <si>
    <t>901304706</t>
  </si>
  <si>
    <t>900820818</t>
  </si>
  <si>
    <t>804011536</t>
  </si>
  <si>
    <t>830009986</t>
  </si>
  <si>
    <t>900181798</t>
  </si>
  <si>
    <t>901050707</t>
  </si>
  <si>
    <t>70694129</t>
  </si>
  <si>
    <t>901343624</t>
  </si>
  <si>
    <t>901750908</t>
  </si>
  <si>
    <t>901197813</t>
  </si>
  <si>
    <t>900577392</t>
  </si>
  <si>
    <t>901911382</t>
  </si>
  <si>
    <t>900526342</t>
  </si>
  <si>
    <t>900301770</t>
  </si>
  <si>
    <t>900222174</t>
  </si>
  <si>
    <t>900868445</t>
  </si>
  <si>
    <t>830147660</t>
  </si>
  <si>
    <t>900180381</t>
  </si>
  <si>
    <t>900918889</t>
  </si>
  <si>
    <t>901086734</t>
  </si>
  <si>
    <t>901039644</t>
  </si>
  <si>
    <t>800071491</t>
  </si>
  <si>
    <t>900872162</t>
  </si>
  <si>
    <t>890332766</t>
  </si>
  <si>
    <t>802012998</t>
  </si>
  <si>
    <t>900856229</t>
  </si>
  <si>
    <t>901729914</t>
  </si>
  <si>
    <t>830054524</t>
  </si>
  <si>
    <t>901037520</t>
  </si>
  <si>
    <t>900508983</t>
  </si>
  <si>
    <t>830010367</t>
  </si>
  <si>
    <t>900735729</t>
  </si>
  <si>
    <t>800235434</t>
  </si>
  <si>
    <t>900375454</t>
  </si>
  <si>
    <t>830044885</t>
  </si>
  <si>
    <t>860021924</t>
  </si>
  <si>
    <t>900437301</t>
  </si>
  <si>
    <t>901552688</t>
  </si>
  <si>
    <t>830122028</t>
  </si>
  <si>
    <t>900843690</t>
  </si>
  <si>
    <t>900385483</t>
  </si>
  <si>
    <t>901094591</t>
  </si>
  <si>
    <t>830117597</t>
  </si>
  <si>
    <t>830002049</t>
  </si>
  <si>
    <t>901294742</t>
  </si>
  <si>
    <t>900001665</t>
  </si>
  <si>
    <t>901111923</t>
  </si>
  <si>
    <t>900708367</t>
  </si>
  <si>
    <t>900592984</t>
  </si>
  <si>
    <t>800072974</t>
  </si>
  <si>
    <t>901961372</t>
  </si>
  <si>
    <t>890984043</t>
  </si>
  <si>
    <t>900902431</t>
  </si>
  <si>
    <t>900040770</t>
  </si>
  <si>
    <t>800184385</t>
  </si>
  <si>
    <t>901619429</t>
  </si>
  <si>
    <t>800165377</t>
  </si>
  <si>
    <t>830144129</t>
  </si>
  <si>
    <t>901561614</t>
  </si>
  <si>
    <t>800187569</t>
  </si>
  <si>
    <t>900194825</t>
  </si>
  <si>
    <t>900936902</t>
  </si>
  <si>
    <t>900527736</t>
  </si>
  <si>
    <t>900541932</t>
  </si>
  <si>
    <t>901519011</t>
  </si>
  <si>
    <t>901113182</t>
  </si>
  <si>
    <t>900935126</t>
  </si>
  <si>
    <t>860035827</t>
  </si>
  <si>
    <t>901919111</t>
  </si>
  <si>
    <t>900517570</t>
  </si>
  <si>
    <t>900761943</t>
  </si>
  <si>
    <t>900848747</t>
  </si>
  <si>
    <t>900199095</t>
  </si>
  <si>
    <t>900207480</t>
  </si>
  <si>
    <t>830080428</t>
  </si>
  <si>
    <t>900345056</t>
  </si>
  <si>
    <t>800238121</t>
  </si>
  <si>
    <t>901889823</t>
  </si>
  <si>
    <t>901502537</t>
  </si>
  <si>
    <t>900392204</t>
  </si>
  <si>
    <t>900941689</t>
  </si>
  <si>
    <t>901116739</t>
  </si>
  <si>
    <t>900285656</t>
  </si>
  <si>
    <t>830144120</t>
  </si>
  <si>
    <t>830028134</t>
  </si>
  <si>
    <t>900851094</t>
  </si>
  <si>
    <t>900301403</t>
  </si>
  <si>
    <t>900399920</t>
  </si>
  <si>
    <t>890300513</t>
  </si>
  <si>
    <t>901008104</t>
  </si>
  <si>
    <t>890804209</t>
  </si>
  <si>
    <t>900600372</t>
  </si>
  <si>
    <t>891780093</t>
  </si>
  <si>
    <t>901119498</t>
  </si>
  <si>
    <t>900729206</t>
  </si>
  <si>
    <t>901222941</t>
  </si>
  <si>
    <t>900093411</t>
  </si>
  <si>
    <t>806000326</t>
  </si>
  <si>
    <t>800095123</t>
  </si>
  <si>
    <t>900577102</t>
  </si>
  <si>
    <t>901068679</t>
  </si>
  <si>
    <t>900628045</t>
  </si>
  <si>
    <t>901152366</t>
  </si>
  <si>
    <t>901148885</t>
  </si>
  <si>
    <t>900384758</t>
  </si>
  <si>
    <t>901311655</t>
  </si>
  <si>
    <t>901466557</t>
  </si>
  <si>
    <t>800235869</t>
  </si>
  <si>
    <t>901639207</t>
  </si>
  <si>
    <t>901100935</t>
  </si>
  <si>
    <t>901745214</t>
  </si>
  <si>
    <t>900798363</t>
  </si>
  <si>
    <t>900936631</t>
  </si>
  <si>
    <t>901371770</t>
  </si>
  <si>
    <t>800034093</t>
  </si>
  <si>
    <t>900173931</t>
  </si>
  <si>
    <t>830023202</t>
  </si>
  <si>
    <t>804003253</t>
  </si>
  <si>
    <t>900610680</t>
  </si>
  <si>
    <t>830097622</t>
  </si>
  <si>
    <t>901483485</t>
  </si>
  <si>
    <t>901750999</t>
  </si>
  <si>
    <t>830063748</t>
  </si>
  <si>
    <t>830139717</t>
  </si>
  <si>
    <t>900865565</t>
  </si>
  <si>
    <t>900185930</t>
  </si>
  <si>
    <t>804002373</t>
  </si>
  <si>
    <t>900444694</t>
  </si>
  <si>
    <t>901015368</t>
  </si>
  <si>
    <t>800138944</t>
  </si>
  <si>
    <t>900823976</t>
  </si>
  <si>
    <t>800112806</t>
  </si>
  <si>
    <t>901087177</t>
  </si>
  <si>
    <t>804000561</t>
  </si>
  <si>
    <t>900261756</t>
  </si>
  <si>
    <t>900762303</t>
  </si>
  <si>
    <t>819000310</t>
  </si>
  <si>
    <t>830046535</t>
  </si>
  <si>
    <t>901230870</t>
  </si>
  <si>
    <t>901766998</t>
  </si>
  <si>
    <t>800165862</t>
  </si>
  <si>
    <t>830027736</t>
  </si>
  <si>
    <t>901443945</t>
  </si>
  <si>
    <t>901002667</t>
  </si>
  <si>
    <t>901087200</t>
  </si>
  <si>
    <t>901122252</t>
  </si>
  <si>
    <t>890107370</t>
  </si>
  <si>
    <t>901759145</t>
  </si>
  <si>
    <t>900983901</t>
  </si>
  <si>
    <t>901347798</t>
  </si>
  <si>
    <t>900941368</t>
  </si>
  <si>
    <t>901669189</t>
  </si>
  <si>
    <t>900905228</t>
  </si>
  <si>
    <t>900191332</t>
  </si>
  <si>
    <t>830073148</t>
  </si>
  <si>
    <t>900042759</t>
  </si>
  <si>
    <t>901493984</t>
  </si>
  <si>
    <t>901191509</t>
  </si>
  <si>
    <t>900269834</t>
  </si>
  <si>
    <t>900250846</t>
  </si>
  <si>
    <t>890480878</t>
  </si>
  <si>
    <t>900352987</t>
  </si>
  <si>
    <t>901229120</t>
  </si>
  <si>
    <t>830063758</t>
  </si>
  <si>
    <t>901731111</t>
  </si>
  <si>
    <t>830056115</t>
  </si>
  <si>
    <t>900322879</t>
  </si>
  <si>
    <t>811004236</t>
  </si>
  <si>
    <t>900423696</t>
  </si>
  <si>
    <t>830015118</t>
  </si>
  <si>
    <t>900917740</t>
  </si>
  <si>
    <t>900052981</t>
  </si>
  <si>
    <t>830036901</t>
  </si>
  <si>
    <t>900526787</t>
  </si>
  <si>
    <t>900250835</t>
  </si>
  <si>
    <t>901167607</t>
  </si>
  <si>
    <t>900603142</t>
  </si>
  <si>
    <t>901678850</t>
  </si>
  <si>
    <t>901122961</t>
  </si>
  <si>
    <t>830096797</t>
  </si>
  <si>
    <t>900254248</t>
  </si>
  <si>
    <t>900266890</t>
  </si>
  <si>
    <t>900391707</t>
  </si>
  <si>
    <t>901856653</t>
  </si>
  <si>
    <t>830030851</t>
  </si>
  <si>
    <t>830130706</t>
  </si>
  <si>
    <t>860006743</t>
  </si>
  <si>
    <t>900158777</t>
  </si>
  <si>
    <t>900853340</t>
  </si>
  <si>
    <t>900922022</t>
  </si>
  <si>
    <t>900394560</t>
  </si>
  <si>
    <t>901895581</t>
  </si>
  <si>
    <t>901012569</t>
  </si>
  <si>
    <t>900957974</t>
  </si>
  <si>
    <t>900484779</t>
  </si>
  <si>
    <t>901032980</t>
  </si>
  <si>
    <t>830034187</t>
  </si>
  <si>
    <t>900102202</t>
  </si>
  <si>
    <t>901174692</t>
  </si>
  <si>
    <t>901180401</t>
  </si>
  <si>
    <t>901692192</t>
  </si>
  <si>
    <t>900296991</t>
  </si>
  <si>
    <t>900524988</t>
  </si>
  <si>
    <t>900118546</t>
  </si>
  <si>
    <t>901218075</t>
  </si>
  <si>
    <t>900430960</t>
  </si>
  <si>
    <t>900786994</t>
  </si>
  <si>
    <t>901848568</t>
  </si>
  <si>
    <t>830043473</t>
  </si>
  <si>
    <t>901235916</t>
  </si>
  <si>
    <t>901917062</t>
  </si>
  <si>
    <t>900319398</t>
  </si>
  <si>
    <t>806002467</t>
  </si>
  <si>
    <t>900094020</t>
  </si>
  <si>
    <t>900896013</t>
  </si>
  <si>
    <t>901164869</t>
  </si>
  <si>
    <t>900794797</t>
  </si>
  <si>
    <t>901738793</t>
  </si>
  <si>
    <t>900844711</t>
  </si>
  <si>
    <t>900489135</t>
  </si>
  <si>
    <t>901175727</t>
  </si>
  <si>
    <t>900225828</t>
  </si>
  <si>
    <t>901337343</t>
  </si>
  <si>
    <t>830021138</t>
  </si>
  <si>
    <t>900841113</t>
  </si>
  <si>
    <t>900314958</t>
  </si>
  <si>
    <t>800255971</t>
  </si>
  <si>
    <t>890202002</t>
  </si>
  <si>
    <t>901751805</t>
  </si>
  <si>
    <t>901167386</t>
  </si>
  <si>
    <t>800101666</t>
  </si>
  <si>
    <t>806012958</t>
  </si>
  <si>
    <t>860015767</t>
  </si>
  <si>
    <t>901524029</t>
  </si>
  <si>
    <t>900559381</t>
  </si>
  <si>
    <t>800228481</t>
  </si>
  <si>
    <t>901004946</t>
  </si>
  <si>
    <t>900526765</t>
  </si>
  <si>
    <t>901062690</t>
  </si>
  <si>
    <t>830032791</t>
  </si>
  <si>
    <t>900166056</t>
  </si>
  <si>
    <t>830044490</t>
  </si>
  <si>
    <t>901674187</t>
  </si>
  <si>
    <t>901351413</t>
  </si>
  <si>
    <t>900341810</t>
  </si>
  <si>
    <t>800213569</t>
  </si>
  <si>
    <t>900987044</t>
  </si>
  <si>
    <t>901018045</t>
  </si>
  <si>
    <t>900161580</t>
  </si>
  <si>
    <t>900726358</t>
  </si>
  <si>
    <t>830037968</t>
  </si>
  <si>
    <t>901438316</t>
  </si>
  <si>
    <t>901761512</t>
  </si>
  <si>
    <t>900959247</t>
  </si>
  <si>
    <t>900293380</t>
  </si>
  <si>
    <t>900754500</t>
  </si>
  <si>
    <t>805011625</t>
  </si>
  <si>
    <t>900322981</t>
  </si>
  <si>
    <t>900984897</t>
  </si>
  <si>
    <t>901291374</t>
  </si>
  <si>
    <t>901065425</t>
  </si>
  <si>
    <t>800238379</t>
  </si>
  <si>
    <t>900539684</t>
  </si>
  <si>
    <t>94324405</t>
  </si>
  <si>
    <t>900487643</t>
  </si>
  <si>
    <t>901488815</t>
  </si>
  <si>
    <t>890805603</t>
  </si>
  <si>
    <t>901136880</t>
  </si>
  <si>
    <t>901270447</t>
  </si>
  <si>
    <t>900129644</t>
  </si>
  <si>
    <t>901658821</t>
  </si>
  <si>
    <t>901123791</t>
  </si>
  <si>
    <t>901734043</t>
  </si>
  <si>
    <t>901919382</t>
  </si>
  <si>
    <t>830086634</t>
  </si>
  <si>
    <t>901208393</t>
  </si>
  <si>
    <t>901884525</t>
  </si>
  <si>
    <t>800217385</t>
  </si>
  <si>
    <t>901809157</t>
  </si>
  <si>
    <t>830040198</t>
  </si>
  <si>
    <t>901948914</t>
  </si>
  <si>
    <t>900504222</t>
  </si>
  <si>
    <t>901048663</t>
  </si>
  <si>
    <t>901514218</t>
  </si>
  <si>
    <t>901710692</t>
  </si>
  <si>
    <t>900041410</t>
  </si>
  <si>
    <t>901591209</t>
  </si>
  <si>
    <t>802000774</t>
  </si>
  <si>
    <t>900351407</t>
  </si>
  <si>
    <t>800242292</t>
  </si>
  <si>
    <t>901058860</t>
  </si>
  <si>
    <t>900218730</t>
  </si>
  <si>
    <t>900458521</t>
  </si>
  <si>
    <t>806000787</t>
  </si>
  <si>
    <t>901470268</t>
  </si>
  <si>
    <t>811005425</t>
  </si>
  <si>
    <t>900822805</t>
  </si>
  <si>
    <t>900734432</t>
  </si>
  <si>
    <t>830078579</t>
  </si>
  <si>
    <t>901412912</t>
  </si>
  <si>
    <t>805003291</t>
  </si>
  <si>
    <t>901826195</t>
  </si>
  <si>
    <t>826000361</t>
  </si>
  <si>
    <t>830016899</t>
  </si>
  <si>
    <t>13501434</t>
  </si>
  <si>
    <t>800138108</t>
  </si>
  <si>
    <t>901667765</t>
  </si>
  <si>
    <t>900035490</t>
  </si>
  <si>
    <t>900773551</t>
  </si>
  <si>
    <t>901585722</t>
  </si>
  <si>
    <t>860352418</t>
  </si>
  <si>
    <t>900355936</t>
  </si>
  <si>
    <t>860066789</t>
  </si>
  <si>
    <t>900919110</t>
  </si>
  <si>
    <t>900754643</t>
  </si>
  <si>
    <t>900109928</t>
  </si>
  <si>
    <t>900228549</t>
  </si>
  <si>
    <t>890307250</t>
  </si>
  <si>
    <t>809000760</t>
  </si>
  <si>
    <t>900529203</t>
  </si>
  <si>
    <t>890401952</t>
  </si>
  <si>
    <t>70826092</t>
  </si>
  <si>
    <t>890325802</t>
  </si>
  <si>
    <t>900370941</t>
  </si>
  <si>
    <t>901529239</t>
  </si>
  <si>
    <t>900877247</t>
  </si>
  <si>
    <t>900916810</t>
  </si>
  <si>
    <t>900982783</t>
  </si>
  <si>
    <t>900069282</t>
  </si>
  <si>
    <t>802005619</t>
  </si>
  <si>
    <t>900296866</t>
  </si>
  <si>
    <t>890312706</t>
  </si>
  <si>
    <t>900270380</t>
  </si>
  <si>
    <t>860516881</t>
  </si>
  <si>
    <t>900472705</t>
  </si>
  <si>
    <t>900496494</t>
  </si>
  <si>
    <t>800134804</t>
  </si>
  <si>
    <t>901544649</t>
  </si>
  <si>
    <t>800122289</t>
  </si>
  <si>
    <t>901033965</t>
  </si>
  <si>
    <t>900364701</t>
  </si>
  <si>
    <t>901243344</t>
  </si>
  <si>
    <t>804000252</t>
  </si>
  <si>
    <t>901131909</t>
  </si>
  <si>
    <t>900033972</t>
  </si>
  <si>
    <t>91216727</t>
  </si>
  <si>
    <t>900972830</t>
  </si>
  <si>
    <t>901616688</t>
  </si>
  <si>
    <t>901079997</t>
  </si>
  <si>
    <t>800071813</t>
  </si>
  <si>
    <t>901087225</t>
  </si>
  <si>
    <t>900785948</t>
  </si>
  <si>
    <t>900354174</t>
  </si>
  <si>
    <t>900529308</t>
  </si>
  <si>
    <t>806002666</t>
  </si>
  <si>
    <t>901587935</t>
  </si>
  <si>
    <t>900704743</t>
  </si>
  <si>
    <t>805011262</t>
  </si>
  <si>
    <t>900817045</t>
  </si>
  <si>
    <t>901539784</t>
  </si>
  <si>
    <t>900710093</t>
  </si>
  <si>
    <t>860048656</t>
  </si>
  <si>
    <t>901035292</t>
  </si>
  <si>
    <t>900613916</t>
  </si>
  <si>
    <t>900778565</t>
  </si>
  <si>
    <t>901525243</t>
  </si>
  <si>
    <t>901450173</t>
  </si>
  <si>
    <t>901888148</t>
  </si>
  <si>
    <t>900823932</t>
  </si>
  <si>
    <t>800070415</t>
  </si>
  <si>
    <t>900166535</t>
  </si>
  <si>
    <t>900219120</t>
  </si>
  <si>
    <t>901652347</t>
  </si>
  <si>
    <t>901127794</t>
  </si>
  <si>
    <t>830084093</t>
  </si>
  <si>
    <t>830003780</t>
  </si>
  <si>
    <t>800106339</t>
  </si>
  <si>
    <t>900922720</t>
  </si>
  <si>
    <t>901081147</t>
  </si>
  <si>
    <t>901620666</t>
  </si>
  <si>
    <t>901720476</t>
  </si>
  <si>
    <t>900703852</t>
  </si>
  <si>
    <t>890501434</t>
  </si>
  <si>
    <t>901483319</t>
  </si>
  <si>
    <t>901200146</t>
  </si>
  <si>
    <t>900240251</t>
  </si>
  <si>
    <t>901499901</t>
  </si>
  <si>
    <t>901015977</t>
  </si>
  <si>
    <t>901089919</t>
  </si>
  <si>
    <t>901630789</t>
  </si>
  <si>
    <t>804002203</t>
  </si>
  <si>
    <t>900255079</t>
  </si>
  <si>
    <t>901864010</t>
  </si>
  <si>
    <t>900223667</t>
  </si>
  <si>
    <t>890206395</t>
  </si>
  <si>
    <t>900610952</t>
  </si>
  <si>
    <t>860054983</t>
  </si>
  <si>
    <t>813009622</t>
  </si>
  <si>
    <t>800084487</t>
  </si>
  <si>
    <t>901046829</t>
  </si>
  <si>
    <t>900754210</t>
  </si>
  <si>
    <t>900651798</t>
  </si>
  <si>
    <t>900720719</t>
  </si>
  <si>
    <t>900861726</t>
  </si>
  <si>
    <t>860006762</t>
  </si>
  <si>
    <t>900933079</t>
  </si>
  <si>
    <t>901669036</t>
  </si>
  <si>
    <t>900259953</t>
  </si>
  <si>
    <t>816000262</t>
  </si>
  <si>
    <t>901896406</t>
  </si>
  <si>
    <t>814003448</t>
  </si>
  <si>
    <t>901534042</t>
  </si>
  <si>
    <t>901112212</t>
  </si>
  <si>
    <t>860013874</t>
  </si>
  <si>
    <t>800248532</t>
  </si>
  <si>
    <t>800125173</t>
  </si>
  <si>
    <t>901812009</t>
  </si>
  <si>
    <t>901358382</t>
  </si>
  <si>
    <t>900712943</t>
  </si>
  <si>
    <t>901054760</t>
  </si>
  <si>
    <t>901170762</t>
  </si>
  <si>
    <t>830078578</t>
  </si>
  <si>
    <t>900659984</t>
  </si>
  <si>
    <t>900404987</t>
  </si>
  <si>
    <t>800165939</t>
  </si>
  <si>
    <t>900675130</t>
  </si>
  <si>
    <t>901457917</t>
  </si>
  <si>
    <t>900810450</t>
  </si>
  <si>
    <t>901115771</t>
  </si>
  <si>
    <t>900058374</t>
  </si>
  <si>
    <t>901227926</t>
  </si>
  <si>
    <t>901028641</t>
  </si>
  <si>
    <t>900371922</t>
  </si>
  <si>
    <t>900297601</t>
  </si>
  <si>
    <t>900865735</t>
  </si>
  <si>
    <t>901727371</t>
  </si>
  <si>
    <t>900450264</t>
  </si>
  <si>
    <t>901555421</t>
  </si>
  <si>
    <t>830145532</t>
  </si>
  <si>
    <t>810000207</t>
  </si>
  <si>
    <t>805031063</t>
  </si>
  <si>
    <t>900619914</t>
  </si>
  <si>
    <t>901505941</t>
  </si>
  <si>
    <t>901234775</t>
  </si>
  <si>
    <t>901431987</t>
  </si>
  <si>
    <t>901244282</t>
  </si>
  <si>
    <t>901155508</t>
  </si>
  <si>
    <t>901822760</t>
  </si>
  <si>
    <t>901626082</t>
  </si>
  <si>
    <t>901202790</t>
  </si>
  <si>
    <t>900168346</t>
  </si>
  <si>
    <t>901472732</t>
  </si>
  <si>
    <t>900899920</t>
  </si>
  <si>
    <t>900983130</t>
  </si>
  <si>
    <t>900917830</t>
  </si>
  <si>
    <t>900722394</t>
  </si>
  <si>
    <t>830029153</t>
  </si>
  <si>
    <t>901341312</t>
  </si>
  <si>
    <t>806003150</t>
  </si>
  <si>
    <t>830034914</t>
  </si>
  <si>
    <t>830078580</t>
  </si>
  <si>
    <t>901318048</t>
  </si>
  <si>
    <t>800214603</t>
  </si>
  <si>
    <t>901936884</t>
  </si>
  <si>
    <t>800117564</t>
  </si>
  <si>
    <t>901666436</t>
  </si>
  <si>
    <t>901715842</t>
  </si>
  <si>
    <t>901868022</t>
  </si>
  <si>
    <t>901278137</t>
  </si>
  <si>
    <t>900662433</t>
  </si>
  <si>
    <t>900315532</t>
  </si>
  <si>
    <t>901311131</t>
  </si>
  <si>
    <t>901194241</t>
  </si>
  <si>
    <t>900480181</t>
  </si>
  <si>
    <t>804003441</t>
  </si>
  <si>
    <t>900313904</t>
  </si>
  <si>
    <t>901235972</t>
  </si>
  <si>
    <t>901179192</t>
  </si>
  <si>
    <t>830035403</t>
  </si>
  <si>
    <t>811018428</t>
  </si>
  <si>
    <t>901634830</t>
  </si>
  <si>
    <t>901663182</t>
  </si>
  <si>
    <t>900979369</t>
  </si>
  <si>
    <t>900848267</t>
  </si>
  <si>
    <t>901526801</t>
  </si>
  <si>
    <t>900102608</t>
  </si>
  <si>
    <t>900038024</t>
  </si>
  <si>
    <t>901143102</t>
  </si>
  <si>
    <t>901842332</t>
  </si>
  <si>
    <t>900333632</t>
  </si>
  <si>
    <t>900835655</t>
  </si>
  <si>
    <t>901101026</t>
  </si>
  <si>
    <t>900328260</t>
  </si>
  <si>
    <t>900395762</t>
  </si>
  <si>
    <t>900181419</t>
  </si>
  <si>
    <t>901381036</t>
  </si>
  <si>
    <t>804000634</t>
  </si>
  <si>
    <t>900858844</t>
  </si>
  <si>
    <t>901376799</t>
  </si>
  <si>
    <t>900788112</t>
  </si>
  <si>
    <t>900754255</t>
  </si>
  <si>
    <t>900258964</t>
  </si>
  <si>
    <t>802003538</t>
  </si>
  <si>
    <t>800244177</t>
  </si>
  <si>
    <t>901002225</t>
  </si>
  <si>
    <t>901073846</t>
  </si>
  <si>
    <t>900939093</t>
  </si>
  <si>
    <t>900614001</t>
  </si>
  <si>
    <t>805027653</t>
  </si>
  <si>
    <t>900177384</t>
  </si>
  <si>
    <t>806001351</t>
  </si>
  <si>
    <t>901839259</t>
  </si>
  <si>
    <t>900252401</t>
  </si>
  <si>
    <t>901417342</t>
  </si>
  <si>
    <t>901346912</t>
  </si>
  <si>
    <t>800202272</t>
  </si>
  <si>
    <t>813001266</t>
  </si>
  <si>
    <t>900347525</t>
  </si>
  <si>
    <t>830119679</t>
  </si>
  <si>
    <t>901682981</t>
  </si>
  <si>
    <t>901200128</t>
  </si>
  <si>
    <t>900846436</t>
  </si>
  <si>
    <t>901657402</t>
  </si>
  <si>
    <t>901327692</t>
  </si>
  <si>
    <t>901285655</t>
  </si>
  <si>
    <t>860034313</t>
  </si>
  <si>
    <t>830137696</t>
  </si>
  <si>
    <t>900756946</t>
  </si>
  <si>
    <t>900549670</t>
  </si>
  <si>
    <t>900900892</t>
  </si>
  <si>
    <t>900833516</t>
  </si>
  <si>
    <t>901244183</t>
  </si>
  <si>
    <t>900220355</t>
  </si>
  <si>
    <t>900321227</t>
  </si>
  <si>
    <t>830058385</t>
  </si>
  <si>
    <t>900200998</t>
  </si>
  <si>
    <t>901054769</t>
  </si>
  <si>
    <t>860037950</t>
  </si>
  <si>
    <t>901102907</t>
  </si>
  <si>
    <t>804003527</t>
  </si>
  <si>
    <t>900504453</t>
  </si>
  <si>
    <t>900236485</t>
  </si>
  <si>
    <t>900118760</t>
  </si>
  <si>
    <t>830074627</t>
  </si>
  <si>
    <t>900706240</t>
  </si>
  <si>
    <t>901653829</t>
  </si>
  <si>
    <t>830029151</t>
  </si>
  <si>
    <t>830010659</t>
  </si>
  <si>
    <t>901564720</t>
  </si>
  <si>
    <t>900904514</t>
  </si>
  <si>
    <t>830047887</t>
  </si>
  <si>
    <t>901190322</t>
  </si>
  <si>
    <t>800195413</t>
  </si>
  <si>
    <t>901240042</t>
  </si>
  <si>
    <t>901201650</t>
  </si>
  <si>
    <t>801000209</t>
  </si>
  <si>
    <t>900864734</t>
  </si>
  <si>
    <t>805024493</t>
  </si>
  <si>
    <t>830013883</t>
  </si>
  <si>
    <t>890942766</t>
  </si>
  <si>
    <t>830019805</t>
  </si>
  <si>
    <t>901046973</t>
  </si>
  <si>
    <t>860503394</t>
  </si>
  <si>
    <t>900907370</t>
  </si>
  <si>
    <t>800058607</t>
  </si>
  <si>
    <t>800251602</t>
  </si>
  <si>
    <t>830012796</t>
  </si>
  <si>
    <t>900237609</t>
  </si>
  <si>
    <t>900554515</t>
  </si>
  <si>
    <t>900649338</t>
  </si>
  <si>
    <t>901427037</t>
  </si>
  <si>
    <t>900262734</t>
  </si>
  <si>
    <t>901187696</t>
  </si>
  <si>
    <t>900617519</t>
  </si>
  <si>
    <t>900370771</t>
  </si>
  <si>
    <t>900750307</t>
  </si>
  <si>
    <t>800133919</t>
  </si>
  <si>
    <t>900831663</t>
  </si>
  <si>
    <t>890480123</t>
  </si>
  <si>
    <t>830050993</t>
  </si>
  <si>
    <t>900868947</t>
  </si>
  <si>
    <t>901602645</t>
  </si>
  <si>
    <t>800078475</t>
  </si>
  <si>
    <t>901054512</t>
  </si>
  <si>
    <t>901287265</t>
  </si>
  <si>
    <t>900711807</t>
  </si>
  <si>
    <t>900259520</t>
  </si>
  <si>
    <t>901462800</t>
  </si>
  <si>
    <t>901897311</t>
  </si>
  <si>
    <t>802017924</t>
  </si>
  <si>
    <t>830053344</t>
  </si>
  <si>
    <t>901383350</t>
  </si>
  <si>
    <t>830123373</t>
  </si>
  <si>
    <t>900637004</t>
  </si>
  <si>
    <t>830007643</t>
  </si>
  <si>
    <t>900923673</t>
  </si>
  <si>
    <t>900274338</t>
  </si>
  <si>
    <t>900355316</t>
  </si>
  <si>
    <t>802013703</t>
  </si>
  <si>
    <t>900050188</t>
  </si>
  <si>
    <t>900511883</t>
  </si>
  <si>
    <t>860025596</t>
  </si>
  <si>
    <t>901498283</t>
  </si>
  <si>
    <t>901352652</t>
  </si>
  <si>
    <t>900722746</t>
  </si>
  <si>
    <t>901385451</t>
  </si>
  <si>
    <t>901188057</t>
  </si>
  <si>
    <t>800064784</t>
  </si>
  <si>
    <t>900866992</t>
  </si>
  <si>
    <t>815002107</t>
  </si>
  <si>
    <t>813011577</t>
  </si>
  <si>
    <t>901509855</t>
  </si>
  <si>
    <t>901713253</t>
  </si>
  <si>
    <t>900864233</t>
  </si>
  <si>
    <t>900145284</t>
  </si>
  <si>
    <t>901067311</t>
  </si>
  <si>
    <t>901325418</t>
  </si>
  <si>
    <t>900902620</t>
  </si>
  <si>
    <t>830016812</t>
  </si>
  <si>
    <t>901593294</t>
  </si>
  <si>
    <t>900168652</t>
  </si>
  <si>
    <t>901151426</t>
  </si>
  <si>
    <t>901349836</t>
  </si>
  <si>
    <t>830100520</t>
  </si>
  <si>
    <t>900747073</t>
  </si>
  <si>
    <t>900931547</t>
  </si>
  <si>
    <t>901090976</t>
  </si>
  <si>
    <t>901402553</t>
  </si>
  <si>
    <t>830107059</t>
  </si>
  <si>
    <t>900699454</t>
  </si>
  <si>
    <t>900410839</t>
  </si>
  <si>
    <t>900860036</t>
  </si>
  <si>
    <t>900989793</t>
  </si>
  <si>
    <t>900909236</t>
  </si>
  <si>
    <t>70976947</t>
  </si>
  <si>
    <t>802007594</t>
  </si>
  <si>
    <t>901088898</t>
  </si>
  <si>
    <t>900720537</t>
  </si>
  <si>
    <t>900334584</t>
  </si>
  <si>
    <t>830000176</t>
  </si>
  <si>
    <t>900560675</t>
  </si>
  <si>
    <t>800236265</t>
  </si>
  <si>
    <t>830061150</t>
  </si>
  <si>
    <t>800248487</t>
  </si>
  <si>
    <t>830068720</t>
  </si>
  <si>
    <t>900692196</t>
  </si>
  <si>
    <t>830084039</t>
  </si>
  <si>
    <t>830006550</t>
  </si>
  <si>
    <t>901948218</t>
  </si>
  <si>
    <t>900486566</t>
  </si>
  <si>
    <t>901160325</t>
  </si>
  <si>
    <t>901028828</t>
  </si>
  <si>
    <t>800224160</t>
  </si>
  <si>
    <t>900375764</t>
  </si>
  <si>
    <t>900715579</t>
  </si>
  <si>
    <t>800157427</t>
  </si>
  <si>
    <t>900341022</t>
  </si>
  <si>
    <t>900335947</t>
  </si>
  <si>
    <t>901136595</t>
  </si>
  <si>
    <t>901656889</t>
  </si>
  <si>
    <t>901321893</t>
  </si>
  <si>
    <t>900180533</t>
  </si>
  <si>
    <t>900948943</t>
  </si>
  <si>
    <t>830045813</t>
  </si>
  <si>
    <t>901553472</t>
  </si>
  <si>
    <t>900147167</t>
  </si>
  <si>
    <t>830017828</t>
  </si>
  <si>
    <t>805003412</t>
  </si>
  <si>
    <t>901040157</t>
  </si>
  <si>
    <t>900618401</t>
  </si>
  <si>
    <t>804000181</t>
  </si>
  <si>
    <t>901674188</t>
  </si>
  <si>
    <t>901193980</t>
  </si>
  <si>
    <t>900580330</t>
  </si>
  <si>
    <t>901088932</t>
  </si>
  <si>
    <t>900497026</t>
  </si>
  <si>
    <t>901315681</t>
  </si>
  <si>
    <t>901296885</t>
  </si>
  <si>
    <t>890909034</t>
  </si>
  <si>
    <t>901886654</t>
  </si>
  <si>
    <t>900010413</t>
  </si>
  <si>
    <t>900119565</t>
  </si>
  <si>
    <t>900210625</t>
  </si>
  <si>
    <t>900680368</t>
  </si>
  <si>
    <t>900256838</t>
  </si>
  <si>
    <t>901301993</t>
  </si>
  <si>
    <t>900727946</t>
  </si>
  <si>
    <t>830039762</t>
  </si>
  <si>
    <t>901903638</t>
  </si>
  <si>
    <t>900233771</t>
  </si>
  <si>
    <t>900451845</t>
  </si>
  <si>
    <t>900295077</t>
  </si>
  <si>
    <t>901632883</t>
  </si>
  <si>
    <t>901763658</t>
  </si>
  <si>
    <t>901041282</t>
  </si>
  <si>
    <t>900222382</t>
  </si>
  <si>
    <t>800241745</t>
  </si>
  <si>
    <t>901505510</t>
  </si>
  <si>
    <t>901670735</t>
  </si>
  <si>
    <t>901217914</t>
  </si>
  <si>
    <t>901506082</t>
  </si>
  <si>
    <t>901786014</t>
  </si>
  <si>
    <t>901598176</t>
  </si>
  <si>
    <t>900826510</t>
  </si>
  <si>
    <t>830100567</t>
  </si>
  <si>
    <t>901102656</t>
  </si>
  <si>
    <t>900324868</t>
  </si>
  <si>
    <t>900909067</t>
  </si>
  <si>
    <t>901224554</t>
  </si>
  <si>
    <t>800024956</t>
  </si>
  <si>
    <t>900030329</t>
  </si>
  <si>
    <t>901772898</t>
  </si>
  <si>
    <t>901644062</t>
  </si>
  <si>
    <t>900630529</t>
  </si>
  <si>
    <t>890916768</t>
  </si>
  <si>
    <t>900915161</t>
  </si>
  <si>
    <t>830008923</t>
  </si>
  <si>
    <t>900261993</t>
  </si>
  <si>
    <t>900452897</t>
  </si>
  <si>
    <t>900889268</t>
  </si>
  <si>
    <t>901147602</t>
  </si>
  <si>
    <t>800143355</t>
  </si>
  <si>
    <t>901374718</t>
  </si>
  <si>
    <t>901308774</t>
  </si>
  <si>
    <t>830134537</t>
  </si>
  <si>
    <t>901848129</t>
  </si>
  <si>
    <t>900148744</t>
  </si>
  <si>
    <t>800227072</t>
  </si>
  <si>
    <t>900251030</t>
  </si>
  <si>
    <t>900100549</t>
  </si>
  <si>
    <t>900379629</t>
  </si>
  <si>
    <t>901239927</t>
  </si>
  <si>
    <t>901151254</t>
  </si>
  <si>
    <t>860026357</t>
  </si>
  <si>
    <t>901744199</t>
  </si>
  <si>
    <t>900747510</t>
  </si>
  <si>
    <t>900239499</t>
  </si>
  <si>
    <t>811008019</t>
  </si>
  <si>
    <t>830015904</t>
  </si>
  <si>
    <t>805009186</t>
  </si>
  <si>
    <t>900802894</t>
  </si>
  <si>
    <t>900168865</t>
  </si>
  <si>
    <t>804001521</t>
  </si>
  <si>
    <t>901845499</t>
  </si>
  <si>
    <t>900670510</t>
  </si>
  <si>
    <t>900762054</t>
  </si>
  <si>
    <t>800157136</t>
  </si>
  <si>
    <t>79230983</t>
  </si>
  <si>
    <t>900231624</t>
  </si>
  <si>
    <t>901109939</t>
  </si>
  <si>
    <t>900297183</t>
  </si>
  <si>
    <t>900780145</t>
  </si>
  <si>
    <t>800057699</t>
  </si>
  <si>
    <t>800249860</t>
  </si>
  <si>
    <t>901338275</t>
  </si>
  <si>
    <t>901753289</t>
  </si>
  <si>
    <t>900651982</t>
  </si>
  <si>
    <t>901508923</t>
  </si>
  <si>
    <t>1017211526</t>
  </si>
  <si>
    <t>901200489</t>
  </si>
  <si>
    <t>901069535</t>
  </si>
  <si>
    <t>900870994</t>
  </si>
  <si>
    <t>900173376</t>
  </si>
  <si>
    <t>901006748</t>
  </si>
  <si>
    <t>901048144</t>
  </si>
  <si>
    <t>800234027</t>
  </si>
  <si>
    <t>900686680</t>
  </si>
  <si>
    <t>901926526</t>
  </si>
  <si>
    <t>900212155</t>
  </si>
  <si>
    <t>900993226</t>
  </si>
  <si>
    <t>900402684</t>
  </si>
  <si>
    <t>900910416</t>
  </si>
  <si>
    <t>900996588</t>
  </si>
  <si>
    <t>901781222</t>
  </si>
  <si>
    <t>900275417</t>
  </si>
  <si>
    <t>901851947</t>
  </si>
  <si>
    <t>901650697</t>
  </si>
  <si>
    <t>901681929</t>
  </si>
  <si>
    <t>900251442</t>
  </si>
  <si>
    <t>901421059</t>
  </si>
  <si>
    <t>901222559</t>
  </si>
  <si>
    <t>900555009</t>
  </si>
  <si>
    <t>901520200</t>
  </si>
  <si>
    <t>900601695</t>
  </si>
  <si>
    <t>819000952</t>
  </si>
  <si>
    <t>900583159</t>
  </si>
  <si>
    <t>901064646</t>
  </si>
  <si>
    <t>901834714</t>
  </si>
  <si>
    <t>900839941</t>
  </si>
  <si>
    <t>900750294</t>
  </si>
  <si>
    <t>900636017</t>
  </si>
  <si>
    <t>900816554</t>
  </si>
  <si>
    <t>901359423</t>
  </si>
  <si>
    <t>901122362</t>
  </si>
  <si>
    <t>901569786</t>
  </si>
  <si>
    <t>901311883</t>
  </si>
  <si>
    <t>900530489</t>
  </si>
  <si>
    <t>901150531</t>
  </si>
  <si>
    <t>900388012</t>
  </si>
  <si>
    <t>806006613</t>
  </si>
  <si>
    <t>890200499</t>
  </si>
  <si>
    <t>900354300</t>
  </si>
  <si>
    <t>890933882</t>
  </si>
  <si>
    <t>901903058</t>
  </si>
  <si>
    <t>900351870</t>
  </si>
  <si>
    <t>901380968</t>
  </si>
  <si>
    <t>901271426</t>
  </si>
  <si>
    <t>900186276</t>
  </si>
  <si>
    <t>901700016</t>
  </si>
  <si>
    <t>806002301</t>
  </si>
  <si>
    <t>900155103</t>
  </si>
  <si>
    <t>37329058</t>
  </si>
  <si>
    <t>900001401</t>
  </si>
  <si>
    <t>901445310</t>
  </si>
  <si>
    <t>900355608</t>
  </si>
  <si>
    <t>901237326</t>
  </si>
  <si>
    <t>900147556</t>
  </si>
  <si>
    <t>901782261</t>
  </si>
  <si>
    <t>900587668</t>
  </si>
  <si>
    <t>830048245</t>
  </si>
  <si>
    <t>901032522</t>
  </si>
  <si>
    <t>900920741</t>
  </si>
  <si>
    <t>830006982</t>
  </si>
  <si>
    <t>800225466</t>
  </si>
  <si>
    <t>890904041</t>
  </si>
  <si>
    <t>901292339</t>
  </si>
  <si>
    <t>901826107</t>
  </si>
  <si>
    <t>900061932</t>
  </si>
  <si>
    <t>901108932</t>
  </si>
  <si>
    <t>802004159</t>
  </si>
  <si>
    <t>901534606</t>
  </si>
  <si>
    <t>900268306</t>
  </si>
  <si>
    <t>900922820</t>
  </si>
  <si>
    <t>900429542</t>
  </si>
  <si>
    <t>900053139</t>
  </si>
  <si>
    <t>800171234</t>
  </si>
  <si>
    <t>901770797</t>
  </si>
  <si>
    <t>900753033</t>
  </si>
  <si>
    <t>830138718</t>
  </si>
  <si>
    <t>900764955</t>
  </si>
  <si>
    <t>901040080</t>
  </si>
  <si>
    <t>901261192</t>
  </si>
  <si>
    <t>900217859</t>
  </si>
  <si>
    <t>900300432</t>
  </si>
  <si>
    <t>900899402</t>
  </si>
  <si>
    <t>900474783</t>
  </si>
  <si>
    <t>800149725</t>
  </si>
  <si>
    <t>819000476</t>
  </si>
  <si>
    <t>800242463</t>
  </si>
  <si>
    <t>900399795</t>
  </si>
  <si>
    <t>900468620</t>
  </si>
  <si>
    <t>900354339</t>
  </si>
  <si>
    <t>900551707</t>
  </si>
  <si>
    <t>900187229</t>
  </si>
  <si>
    <t>901690048</t>
  </si>
  <si>
    <t>900806826</t>
  </si>
  <si>
    <t>900357592</t>
  </si>
  <si>
    <t>805013649</t>
  </si>
  <si>
    <t>901173382</t>
  </si>
  <si>
    <t>900376454</t>
  </si>
  <si>
    <t>900733612</t>
  </si>
  <si>
    <t>800179730</t>
  </si>
  <si>
    <t>900212048</t>
  </si>
  <si>
    <t>901812638</t>
  </si>
  <si>
    <t>900557345</t>
  </si>
  <si>
    <t>900888250</t>
  </si>
  <si>
    <t>901721988</t>
  </si>
  <si>
    <t>900516974</t>
  </si>
  <si>
    <t>900716796</t>
  </si>
  <si>
    <t>800114830</t>
  </si>
  <si>
    <t>900370930</t>
  </si>
  <si>
    <t>901159067</t>
  </si>
  <si>
    <t>900454667</t>
  </si>
  <si>
    <t>900615778</t>
  </si>
  <si>
    <t>901576120</t>
  </si>
  <si>
    <t>900122090</t>
  </si>
  <si>
    <t>900264160</t>
  </si>
  <si>
    <t>830034348</t>
  </si>
  <si>
    <t>901464441</t>
  </si>
  <si>
    <t>900233215</t>
  </si>
  <si>
    <t>901405359</t>
  </si>
  <si>
    <t>901740981</t>
  </si>
  <si>
    <t>901437106</t>
  </si>
  <si>
    <t>830013420</t>
  </si>
  <si>
    <t>900808261</t>
  </si>
  <si>
    <t>901441644</t>
  </si>
  <si>
    <t>900917321</t>
  </si>
  <si>
    <t>900814875</t>
  </si>
  <si>
    <t>901623666</t>
  </si>
  <si>
    <t>901301914</t>
  </si>
  <si>
    <t>900903543</t>
  </si>
  <si>
    <t>900421220</t>
  </si>
  <si>
    <t>900573567</t>
  </si>
  <si>
    <t>901692013</t>
  </si>
  <si>
    <t>901488959</t>
  </si>
  <si>
    <t>901549968</t>
  </si>
  <si>
    <t>900211816</t>
  </si>
  <si>
    <t>901350436</t>
  </si>
  <si>
    <t>804002738</t>
  </si>
  <si>
    <t>900562387</t>
  </si>
  <si>
    <t>900834684</t>
  </si>
  <si>
    <t>901056132</t>
  </si>
  <si>
    <t>900731875</t>
  </si>
  <si>
    <t>900184106</t>
  </si>
  <si>
    <t>900561801</t>
  </si>
  <si>
    <t>901164317</t>
  </si>
  <si>
    <t>901033321</t>
  </si>
  <si>
    <t>901460747</t>
  </si>
  <si>
    <t>800235367</t>
  </si>
  <si>
    <t>900428158</t>
  </si>
  <si>
    <t>901124030</t>
  </si>
  <si>
    <t>900340751</t>
  </si>
  <si>
    <t>901859619</t>
  </si>
  <si>
    <t>802004135</t>
  </si>
  <si>
    <t>901178786</t>
  </si>
  <si>
    <t>900475398</t>
  </si>
  <si>
    <t>901133777</t>
  </si>
  <si>
    <t>901454048</t>
  </si>
  <si>
    <t>900837806</t>
  </si>
  <si>
    <t>900705252</t>
  </si>
  <si>
    <t>901402221</t>
  </si>
  <si>
    <t>19092769</t>
  </si>
  <si>
    <t>900262169</t>
  </si>
  <si>
    <t>900687791</t>
  </si>
  <si>
    <t>900531157</t>
  </si>
  <si>
    <t>901650678</t>
  </si>
  <si>
    <t>901000945</t>
  </si>
  <si>
    <t>901051864</t>
  </si>
  <si>
    <t>830015147</t>
  </si>
  <si>
    <t>900787482</t>
  </si>
  <si>
    <t>805003104</t>
  </si>
  <si>
    <t>900924145</t>
  </si>
  <si>
    <t>901840207</t>
  </si>
  <si>
    <t>900536615</t>
  </si>
  <si>
    <t>900801357</t>
  </si>
  <si>
    <t>830046274</t>
  </si>
  <si>
    <t>900510634</t>
  </si>
  <si>
    <t>900273967</t>
  </si>
  <si>
    <t>900597937</t>
  </si>
  <si>
    <t>901364620</t>
  </si>
  <si>
    <t>830121294</t>
  </si>
  <si>
    <t>900348706</t>
  </si>
  <si>
    <t>860002541</t>
  </si>
  <si>
    <t>900758573</t>
  </si>
  <si>
    <t>900487136</t>
  </si>
  <si>
    <t>830034913</t>
  </si>
  <si>
    <t>901179832</t>
  </si>
  <si>
    <t>901098394</t>
  </si>
  <si>
    <t>802004212</t>
  </si>
  <si>
    <t>901682908</t>
  </si>
  <si>
    <t>800178892</t>
  </si>
  <si>
    <t>901088569</t>
  </si>
  <si>
    <t>830021837</t>
  </si>
  <si>
    <t>901699479</t>
  </si>
  <si>
    <t>901789278</t>
  </si>
  <si>
    <t>901078331</t>
  </si>
  <si>
    <t>900281538</t>
  </si>
  <si>
    <t>900179512</t>
  </si>
  <si>
    <t>901236898</t>
  </si>
  <si>
    <t>900747611</t>
  </si>
  <si>
    <t>901579790</t>
  </si>
  <si>
    <t>900263081</t>
  </si>
  <si>
    <t>900886709</t>
  </si>
  <si>
    <t>900575958</t>
  </si>
  <si>
    <t>900497001</t>
  </si>
  <si>
    <t>900345633</t>
  </si>
  <si>
    <t>901197919</t>
  </si>
  <si>
    <t>900628243</t>
  </si>
  <si>
    <t>830106975</t>
  </si>
  <si>
    <t>901277040</t>
  </si>
  <si>
    <t>900297030</t>
  </si>
  <si>
    <t>901164342</t>
  </si>
  <si>
    <t>800084048</t>
  </si>
  <si>
    <t>901092699</t>
  </si>
  <si>
    <t>901276916</t>
  </si>
  <si>
    <t>900480554</t>
  </si>
  <si>
    <t>900349998</t>
  </si>
  <si>
    <t>900259208</t>
  </si>
  <si>
    <t>830013137</t>
  </si>
  <si>
    <t>901001189</t>
  </si>
  <si>
    <t>900212365</t>
  </si>
  <si>
    <t>901781587</t>
  </si>
  <si>
    <t>900373535</t>
  </si>
  <si>
    <t>860351894</t>
  </si>
  <si>
    <t>900367310</t>
  </si>
  <si>
    <t>901056520</t>
  </si>
  <si>
    <t>830141195</t>
  </si>
  <si>
    <t>800218230</t>
  </si>
  <si>
    <t>819006340</t>
  </si>
  <si>
    <t>901825120</t>
  </si>
  <si>
    <t>900331876</t>
  </si>
  <si>
    <t>900472875</t>
  </si>
  <si>
    <t>900127767</t>
  </si>
  <si>
    <t>901359102</t>
  </si>
  <si>
    <t>901683015</t>
  </si>
  <si>
    <t>901147450</t>
  </si>
  <si>
    <t>900600883</t>
  </si>
  <si>
    <t>900947738</t>
  </si>
  <si>
    <t>800158793</t>
  </si>
  <si>
    <t>901130604</t>
  </si>
  <si>
    <t>900464466</t>
  </si>
  <si>
    <t>901123512</t>
  </si>
  <si>
    <t>901201191</t>
  </si>
  <si>
    <t>901886419</t>
  </si>
  <si>
    <t>901458877</t>
  </si>
  <si>
    <t>901084139</t>
  </si>
  <si>
    <t>800248317</t>
  </si>
  <si>
    <t>901528452</t>
  </si>
  <si>
    <t>901076735</t>
  </si>
  <si>
    <t>900586426</t>
  </si>
  <si>
    <t>901074958</t>
  </si>
  <si>
    <t>900704930</t>
  </si>
  <si>
    <t>830019540</t>
  </si>
  <si>
    <t>901173941</t>
  </si>
  <si>
    <t>830005361</t>
  </si>
  <si>
    <t>830054539</t>
  </si>
  <si>
    <t>901110203</t>
  </si>
  <si>
    <t>802004227</t>
  </si>
  <si>
    <t>900663245</t>
  </si>
  <si>
    <t>830076344</t>
  </si>
  <si>
    <t>900691272</t>
  </si>
  <si>
    <t>900606816</t>
  </si>
  <si>
    <t>900136268</t>
  </si>
  <si>
    <t>901341758</t>
  </si>
  <si>
    <t>901415300</t>
  </si>
  <si>
    <t>900745811</t>
  </si>
  <si>
    <t>900155524</t>
  </si>
  <si>
    <t>900475600</t>
  </si>
  <si>
    <t>900677969</t>
  </si>
  <si>
    <t>830146489</t>
  </si>
  <si>
    <t>900645814</t>
  </si>
  <si>
    <t>901198552</t>
  </si>
  <si>
    <t>890300431</t>
  </si>
  <si>
    <t>900718228</t>
  </si>
  <si>
    <t>901205341</t>
  </si>
  <si>
    <t>900579238</t>
  </si>
  <si>
    <t>804008673</t>
  </si>
  <si>
    <t>901158187</t>
  </si>
  <si>
    <t>901920000</t>
  </si>
  <si>
    <t>900682822</t>
  </si>
  <si>
    <t>830013621</t>
  </si>
  <si>
    <t>901211672</t>
  </si>
  <si>
    <t>900761639</t>
  </si>
  <si>
    <t>900896001</t>
  </si>
  <si>
    <t>901271357</t>
  </si>
  <si>
    <t>901324007</t>
  </si>
  <si>
    <t>900298503</t>
  </si>
  <si>
    <t>900616001</t>
  </si>
  <si>
    <t>901775984</t>
  </si>
  <si>
    <t>900891198</t>
  </si>
  <si>
    <t>901449905</t>
  </si>
  <si>
    <t>900115975</t>
  </si>
  <si>
    <t>900976435</t>
  </si>
  <si>
    <t>800185549</t>
  </si>
  <si>
    <t>901236614</t>
  </si>
  <si>
    <t>901272990</t>
  </si>
  <si>
    <t>900593807</t>
  </si>
  <si>
    <t>901066227</t>
  </si>
  <si>
    <t>900227508</t>
  </si>
  <si>
    <t>901147522</t>
  </si>
  <si>
    <t>901236007</t>
  </si>
  <si>
    <t>830064205</t>
  </si>
  <si>
    <t>901242203</t>
  </si>
  <si>
    <t>901612409</t>
  </si>
  <si>
    <t>901042289</t>
  </si>
  <si>
    <t>901450738</t>
  </si>
  <si>
    <t>900449418</t>
  </si>
  <si>
    <t>901619877</t>
  </si>
  <si>
    <t>890286793</t>
  </si>
  <si>
    <t>901380159</t>
  </si>
  <si>
    <t>800184994</t>
  </si>
  <si>
    <t>900749528</t>
  </si>
  <si>
    <t>901403473</t>
  </si>
  <si>
    <t>900238900</t>
  </si>
  <si>
    <t>901885706</t>
  </si>
  <si>
    <t>900248725</t>
  </si>
  <si>
    <t>901168187</t>
  </si>
  <si>
    <t>830510371</t>
  </si>
  <si>
    <t>900254327</t>
  </si>
  <si>
    <t>901814294</t>
  </si>
  <si>
    <t>20304923</t>
  </si>
  <si>
    <t>901455851</t>
  </si>
  <si>
    <t>900369572</t>
  </si>
  <si>
    <t>901330381</t>
  </si>
  <si>
    <t>900740170</t>
  </si>
  <si>
    <t>901228111</t>
  </si>
  <si>
    <t>900377870</t>
  </si>
  <si>
    <t>900061516</t>
  </si>
  <si>
    <t>900310653</t>
  </si>
  <si>
    <t>901119662</t>
  </si>
  <si>
    <t>890915475</t>
  </si>
  <si>
    <t>901225952</t>
  </si>
  <si>
    <t>810000278</t>
  </si>
  <si>
    <t>900790628</t>
  </si>
  <si>
    <t>900684405</t>
  </si>
  <si>
    <t>901117401</t>
  </si>
  <si>
    <t>901766492</t>
  </si>
  <si>
    <t>900792136</t>
  </si>
  <si>
    <t>900159105</t>
  </si>
  <si>
    <t>900985222</t>
  </si>
  <si>
    <t>900312558</t>
  </si>
  <si>
    <t>800165940</t>
  </si>
  <si>
    <t>901813255</t>
  </si>
  <si>
    <t>900592410</t>
  </si>
  <si>
    <t>900050903</t>
  </si>
  <si>
    <t>900678649</t>
  </si>
  <si>
    <t>800207122</t>
  </si>
  <si>
    <t>901000145</t>
  </si>
  <si>
    <t>900667152</t>
  </si>
  <si>
    <t>800235398</t>
  </si>
  <si>
    <t>900898065</t>
  </si>
  <si>
    <t>900488868</t>
  </si>
  <si>
    <t>901273213</t>
  </si>
  <si>
    <t>901741619</t>
  </si>
  <si>
    <t>900196618</t>
  </si>
  <si>
    <t>901128797</t>
  </si>
  <si>
    <t>819003451</t>
  </si>
  <si>
    <t>900859211</t>
  </si>
  <si>
    <t>901486175</t>
  </si>
  <si>
    <t>830006006</t>
  </si>
  <si>
    <t>900525110</t>
  </si>
  <si>
    <t>901218725</t>
  </si>
  <si>
    <t>900356952</t>
  </si>
  <si>
    <t>900776558</t>
  </si>
  <si>
    <t>901530319</t>
  </si>
  <si>
    <t>900791651</t>
  </si>
  <si>
    <t>900733526</t>
  </si>
  <si>
    <t>10094400</t>
  </si>
  <si>
    <t>900043342</t>
  </si>
  <si>
    <t>900125826</t>
  </si>
  <si>
    <t>900908891</t>
  </si>
  <si>
    <t>900226186</t>
  </si>
  <si>
    <t>901169493</t>
  </si>
  <si>
    <t>900176201</t>
  </si>
  <si>
    <t>901160513</t>
  </si>
  <si>
    <t>901176068</t>
  </si>
  <si>
    <t>899999061</t>
  </si>
  <si>
    <t>890980756</t>
  </si>
  <si>
    <t>900863862</t>
  </si>
  <si>
    <t>901893146</t>
  </si>
  <si>
    <t>900231337</t>
  </si>
  <si>
    <t>900375429</t>
  </si>
  <si>
    <t>900303707</t>
  </si>
  <si>
    <t>901675447</t>
  </si>
  <si>
    <t>900482939</t>
  </si>
  <si>
    <t>900516590</t>
  </si>
  <si>
    <t>900600638</t>
  </si>
  <si>
    <t>900694446</t>
  </si>
  <si>
    <t>901661777</t>
  </si>
  <si>
    <t>900381547</t>
  </si>
  <si>
    <t>900850109</t>
  </si>
  <si>
    <t>901612633</t>
  </si>
  <si>
    <t>901486842</t>
  </si>
  <si>
    <t>800203269</t>
  </si>
  <si>
    <t>900616100</t>
  </si>
  <si>
    <t>900354029</t>
  </si>
  <si>
    <t>901748555</t>
  </si>
  <si>
    <t>860002964</t>
  </si>
  <si>
    <t>901026280</t>
  </si>
  <si>
    <t>901257534</t>
  </si>
  <si>
    <t>900783505</t>
  </si>
  <si>
    <t>901064230</t>
  </si>
  <si>
    <t>900487602</t>
  </si>
  <si>
    <t>800212128</t>
  </si>
  <si>
    <t>900264151</t>
  </si>
  <si>
    <t>901168127</t>
  </si>
  <si>
    <t>900279342</t>
  </si>
  <si>
    <t>900360828</t>
  </si>
  <si>
    <t>900579660</t>
  </si>
  <si>
    <t>900253270</t>
  </si>
  <si>
    <t>900959048</t>
  </si>
  <si>
    <t>901144191</t>
  </si>
  <si>
    <t>901728313</t>
  </si>
  <si>
    <t>900212260</t>
  </si>
  <si>
    <t>900641214</t>
  </si>
  <si>
    <t>901432510</t>
  </si>
  <si>
    <t>800191231</t>
  </si>
  <si>
    <t>900726399</t>
  </si>
  <si>
    <t>900350579</t>
  </si>
  <si>
    <t>900455310</t>
  </si>
  <si>
    <t>900272873</t>
  </si>
  <si>
    <t>800224062</t>
  </si>
  <si>
    <t>901017979</t>
  </si>
  <si>
    <t>900361412</t>
  </si>
  <si>
    <t>900998387</t>
  </si>
  <si>
    <t>901059302</t>
  </si>
  <si>
    <t>900668150</t>
  </si>
  <si>
    <t>900412424</t>
  </si>
  <si>
    <t>900191119</t>
  </si>
  <si>
    <t>900343819</t>
  </si>
  <si>
    <t>901028858</t>
  </si>
  <si>
    <t>900681257</t>
  </si>
  <si>
    <t>901729006</t>
  </si>
  <si>
    <t>900149832</t>
  </si>
  <si>
    <t>901140915</t>
  </si>
  <si>
    <t>900150878</t>
  </si>
  <si>
    <t>900253909</t>
  </si>
  <si>
    <t>805028041</t>
  </si>
  <si>
    <t>900165714</t>
  </si>
  <si>
    <t>900130340</t>
  </si>
  <si>
    <t>901550156</t>
  </si>
  <si>
    <t>900427696</t>
  </si>
  <si>
    <t>830032247</t>
  </si>
  <si>
    <t>901208279</t>
  </si>
  <si>
    <t>900239395</t>
  </si>
  <si>
    <t>890312688</t>
  </si>
  <si>
    <t>890307400</t>
  </si>
  <si>
    <t>901410670</t>
  </si>
  <si>
    <t>901163118</t>
  </si>
  <si>
    <t>800219881</t>
  </si>
  <si>
    <t>901248636</t>
  </si>
  <si>
    <t>901225960</t>
  </si>
  <si>
    <t>900226103</t>
  </si>
  <si>
    <t>900815105</t>
  </si>
  <si>
    <t>901482738</t>
  </si>
  <si>
    <t>900304302</t>
  </si>
  <si>
    <t>901760997</t>
  </si>
  <si>
    <t>901392183</t>
  </si>
  <si>
    <t>830030553</t>
  </si>
  <si>
    <t>901276066</t>
  </si>
  <si>
    <t>800155725</t>
  </si>
  <si>
    <t>901297953</t>
  </si>
  <si>
    <t>900406150</t>
  </si>
  <si>
    <t>830055228</t>
  </si>
  <si>
    <t>901065201</t>
  </si>
  <si>
    <t>901314517</t>
  </si>
  <si>
    <t>900056003</t>
  </si>
  <si>
    <t>901826664</t>
  </si>
  <si>
    <t>901655787</t>
  </si>
  <si>
    <t>804008792</t>
  </si>
  <si>
    <t>901125145</t>
  </si>
  <si>
    <t>900865345</t>
  </si>
  <si>
    <t>830078577</t>
  </si>
  <si>
    <t>901767919</t>
  </si>
  <si>
    <t>901223457</t>
  </si>
  <si>
    <t>806003007</t>
  </si>
  <si>
    <t>900791352</t>
  </si>
  <si>
    <t>830026278</t>
  </si>
  <si>
    <t>900745704</t>
  </si>
  <si>
    <t>901776494</t>
  </si>
  <si>
    <t>901849669</t>
  </si>
  <si>
    <t>901823223</t>
  </si>
  <si>
    <t>901469932</t>
  </si>
  <si>
    <t>900560251</t>
  </si>
  <si>
    <t>901448374</t>
  </si>
  <si>
    <t>900279258</t>
  </si>
  <si>
    <t>901029543</t>
  </si>
  <si>
    <t>901755486</t>
  </si>
  <si>
    <t>800176890</t>
  </si>
  <si>
    <t>800235478</t>
  </si>
  <si>
    <t>900300055</t>
  </si>
  <si>
    <t>900262219</t>
  </si>
  <si>
    <t>900998885</t>
  </si>
  <si>
    <t>901378803</t>
  </si>
  <si>
    <t>900833982</t>
  </si>
  <si>
    <t>900417735</t>
  </si>
  <si>
    <t>901315579</t>
  </si>
  <si>
    <t>901139510</t>
  </si>
  <si>
    <t>900398649</t>
  </si>
  <si>
    <t>890324177</t>
  </si>
  <si>
    <t>817006728</t>
  </si>
  <si>
    <t>901582611</t>
  </si>
  <si>
    <t>901340759</t>
  </si>
  <si>
    <t>900614544</t>
  </si>
  <si>
    <t>900233051</t>
  </si>
  <si>
    <t>901851772</t>
  </si>
  <si>
    <t>901552112</t>
  </si>
  <si>
    <t>901320831</t>
  </si>
  <si>
    <t>901619729</t>
  </si>
  <si>
    <t>901150282</t>
  </si>
  <si>
    <t>900453569</t>
  </si>
  <si>
    <t>860014195</t>
  </si>
  <si>
    <t>830012259</t>
  </si>
  <si>
    <t>900775399</t>
  </si>
  <si>
    <t>900209545</t>
  </si>
  <si>
    <t>901068821</t>
  </si>
  <si>
    <t>901847450</t>
  </si>
  <si>
    <t>900579294</t>
  </si>
  <si>
    <t>901842001</t>
  </si>
  <si>
    <t>901193085</t>
  </si>
  <si>
    <t>900151049</t>
  </si>
  <si>
    <t>900899934</t>
  </si>
  <si>
    <t>901897246</t>
  </si>
  <si>
    <t>900579458</t>
  </si>
  <si>
    <t>901129104</t>
  </si>
  <si>
    <t>900405480</t>
  </si>
  <si>
    <t>900917577</t>
  </si>
  <si>
    <t>901801988</t>
  </si>
  <si>
    <t>901628333</t>
  </si>
  <si>
    <t>900459990</t>
  </si>
  <si>
    <t>830097922</t>
  </si>
  <si>
    <t>900807010</t>
  </si>
  <si>
    <t>860353487</t>
  </si>
  <si>
    <t>901022343</t>
  </si>
  <si>
    <t>901241382</t>
  </si>
  <si>
    <t>901053024</t>
  </si>
  <si>
    <t>901426334</t>
  </si>
  <si>
    <t>901056905</t>
  </si>
  <si>
    <t>901206436</t>
  </si>
  <si>
    <t>901522623</t>
  </si>
  <si>
    <t>901623460</t>
  </si>
  <si>
    <t>832000235</t>
  </si>
  <si>
    <t>901486721</t>
  </si>
  <si>
    <t>800256297</t>
  </si>
  <si>
    <t>901418674</t>
  </si>
  <si>
    <t>802010247</t>
  </si>
  <si>
    <t>901596522</t>
  </si>
  <si>
    <t>900744179</t>
  </si>
  <si>
    <t>901175290</t>
  </si>
  <si>
    <t>901112404</t>
  </si>
  <si>
    <t>900741849</t>
  </si>
  <si>
    <t>891500319</t>
  </si>
  <si>
    <t>901329048</t>
  </si>
  <si>
    <t>901201742</t>
  </si>
  <si>
    <t>900230163</t>
  </si>
  <si>
    <t>901177024</t>
  </si>
  <si>
    <t>900892364</t>
  </si>
  <si>
    <t>900989511</t>
  </si>
  <si>
    <t>900045833</t>
  </si>
  <si>
    <t>900599257</t>
  </si>
  <si>
    <t>901374716</t>
  </si>
  <si>
    <t>901293085</t>
  </si>
  <si>
    <t>901383598</t>
  </si>
  <si>
    <t>830140624</t>
  </si>
  <si>
    <t>901542753</t>
  </si>
  <si>
    <t>901916849</t>
  </si>
  <si>
    <t>830060982</t>
  </si>
  <si>
    <t>901316819</t>
  </si>
  <si>
    <t>901270034</t>
  </si>
  <si>
    <t>901793275</t>
  </si>
  <si>
    <t>901220474</t>
  </si>
  <si>
    <t>900875637</t>
  </si>
  <si>
    <t>830031729</t>
  </si>
  <si>
    <t>901257570</t>
  </si>
  <si>
    <t>901117665</t>
  </si>
  <si>
    <t>900912209</t>
  </si>
  <si>
    <t>860013570</t>
  </si>
  <si>
    <t>901116250</t>
  </si>
  <si>
    <t>901730852</t>
  </si>
  <si>
    <t>901576504</t>
  </si>
  <si>
    <t>900715906</t>
  </si>
  <si>
    <t>901589132</t>
  </si>
  <si>
    <t>900957967</t>
  </si>
  <si>
    <t>900296454</t>
  </si>
  <si>
    <t>900245777</t>
  </si>
  <si>
    <t>901054835</t>
  </si>
  <si>
    <t>900441148</t>
  </si>
  <si>
    <t>901317679</t>
  </si>
  <si>
    <t>900939501</t>
  </si>
  <si>
    <t>901164760</t>
  </si>
  <si>
    <t>901685297</t>
  </si>
  <si>
    <t>901615674</t>
  </si>
  <si>
    <t>901355600</t>
  </si>
  <si>
    <t>830050721</t>
  </si>
  <si>
    <t>901301962</t>
  </si>
  <si>
    <t>900445517</t>
  </si>
  <si>
    <t>901130381</t>
  </si>
  <si>
    <t>901615906</t>
  </si>
  <si>
    <t>900408437</t>
  </si>
  <si>
    <t>830024060</t>
  </si>
  <si>
    <t>900264124</t>
  </si>
  <si>
    <t>900074364</t>
  </si>
  <si>
    <t>901330272</t>
  </si>
  <si>
    <t>900911827</t>
  </si>
  <si>
    <t>900608114</t>
  </si>
  <si>
    <t>900631638</t>
  </si>
  <si>
    <t>901062685</t>
  </si>
  <si>
    <t>900956945</t>
  </si>
  <si>
    <t>901641311</t>
  </si>
  <si>
    <t>890939068</t>
  </si>
  <si>
    <t>901213625</t>
  </si>
  <si>
    <t>901462016</t>
  </si>
  <si>
    <t>901186185</t>
  </si>
  <si>
    <t>900975018</t>
  </si>
  <si>
    <t>900062302</t>
  </si>
  <si>
    <t>901195262</t>
  </si>
  <si>
    <t>901210109</t>
  </si>
  <si>
    <t>830035204</t>
  </si>
  <si>
    <t>890113621</t>
  </si>
  <si>
    <t>890105652</t>
  </si>
  <si>
    <t>901393841</t>
  </si>
  <si>
    <t>901048730</t>
  </si>
  <si>
    <t>811029368</t>
  </si>
  <si>
    <t>901591709</t>
  </si>
  <si>
    <t>800218875</t>
  </si>
  <si>
    <t>901173942</t>
  </si>
  <si>
    <t>900550169</t>
  </si>
  <si>
    <t>900795829</t>
  </si>
  <si>
    <t>900700811</t>
  </si>
  <si>
    <t>901257438</t>
  </si>
  <si>
    <t>900378003</t>
  </si>
  <si>
    <t>901224589</t>
  </si>
  <si>
    <t>830010077</t>
  </si>
  <si>
    <t>901083017</t>
  </si>
  <si>
    <t>900265133</t>
  </si>
  <si>
    <t>900654889</t>
  </si>
  <si>
    <t>800060949</t>
  </si>
  <si>
    <t>901323754</t>
  </si>
  <si>
    <t>800152783</t>
  </si>
  <si>
    <t>901330683</t>
  </si>
  <si>
    <t>901682083</t>
  </si>
  <si>
    <t>901539578</t>
  </si>
  <si>
    <t>830021165</t>
  </si>
  <si>
    <t>900713870</t>
  </si>
  <si>
    <t>830018231</t>
  </si>
  <si>
    <t>890201213</t>
  </si>
  <si>
    <t>890200106</t>
  </si>
  <si>
    <t>890201578</t>
  </si>
  <si>
    <t>901527905</t>
  </si>
  <si>
    <t>901743970</t>
  </si>
  <si>
    <t>901425258</t>
  </si>
  <si>
    <t>901347758</t>
  </si>
  <si>
    <t>900793123</t>
  </si>
  <si>
    <t>900245386</t>
  </si>
  <si>
    <t>901739677</t>
  </si>
  <si>
    <t>900197433</t>
  </si>
  <si>
    <t>900844059</t>
  </si>
  <si>
    <t>860002130</t>
  </si>
  <si>
    <t>900257167</t>
  </si>
  <si>
    <t>901204558</t>
  </si>
  <si>
    <t>800180375</t>
  </si>
  <si>
    <t>900582280</t>
  </si>
  <si>
    <t>901190165</t>
  </si>
  <si>
    <t>901053518</t>
  </si>
  <si>
    <t>901407332</t>
  </si>
  <si>
    <t>900292709</t>
  </si>
  <si>
    <t>901151912</t>
  </si>
  <si>
    <t>901033851</t>
  </si>
  <si>
    <t>900712828</t>
  </si>
  <si>
    <t>901407620</t>
  </si>
  <si>
    <t>901560949</t>
  </si>
  <si>
    <t>901305891</t>
  </si>
  <si>
    <t>900228640</t>
  </si>
  <si>
    <t>901563805</t>
  </si>
  <si>
    <t>901149378</t>
  </si>
  <si>
    <t>901135916</t>
  </si>
  <si>
    <t>900876756</t>
  </si>
  <si>
    <t>900681878</t>
  </si>
  <si>
    <t>901236127</t>
  </si>
  <si>
    <t>900917933</t>
  </si>
  <si>
    <t>901577375</t>
  </si>
  <si>
    <t>901425881</t>
  </si>
  <si>
    <t>901717496</t>
  </si>
  <si>
    <t>900966876</t>
  </si>
  <si>
    <t>901401571</t>
  </si>
  <si>
    <t>819001492</t>
  </si>
  <si>
    <t>901323153</t>
  </si>
  <si>
    <t>900732551</t>
  </si>
  <si>
    <t>900929739</t>
  </si>
  <si>
    <t>900447574</t>
  </si>
  <si>
    <t>901848523</t>
  </si>
  <si>
    <t>901223706</t>
  </si>
  <si>
    <t>900875423</t>
  </si>
  <si>
    <t>901303721</t>
  </si>
  <si>
    <t>901792700</t>
  </si>
  <si>
    <t>901591116</t>
  </si>
  <si>
    <t>900878918</t>
  </si>
  <si>
    <t>900959956</t>
  </si>
  <si>
    <t>901135910</t>
  </si>
  <si>
    <t>901157137</t>
  </si>
  <si>
    <t>830039743</t>
  </si>
  <si>
    <t>900360261</t>
  </si>
  <si>
    <t>901142051</t>
  </si>
  <si>
    <t>900632520</t>
  </si>
  <si>
    <t>901779229</t>
  </si>
  <si>
    <t>901525390</t>
  </si>
  <si>
    <t>901112944</t>
  </si>
  <si>
    <t>800210409</t>
  </si>
  <si>
    <t>901439895</t>
  </si>
  <si>
    <t>800171624</t>
  </si>
  <si>
    <t>901560646</t>
  </si>
  <si>
    <t>830016644</t>
  </si>
  <si>
    <t>900166095</t>
  </si>
  <si>
    <t>830015329</t>
  </si>
  <si>
    <t>900631676</t>
  </si>
  <si>
    <t>900464357</t>
  </si>
  <si>
    <t>900649548</t>
  </si>
  <si>
    <t>900833562</t>
  </si>
  <si>
    <t>900959559</t>
  </si>
  <si>
    <t>900600783</t>
  </si>
  <si>
    <t>901078686</t>
  </si>
  <si>
    <t>900911900</t>
  </si>
  <si>
    <t>901109851</t>
  </si>
  <si>
    <t>901256357</t>
  </si>
  <si>
    <t>900885230</t>
  </si>
  <si>
    <t>900829850</t>
  </si>
  <si>
    <t>901128687</t>
  </si>
  <si>
    <t>901120828</t>
  </si>
  <si>
    <t>900815102</t>
  </si>
  <si>
    <t>901451996</t>
  </si>
  <si>
    <t>901028679</t>
  </si>
  <si>
    <t>901263625</t>
  </si>
  <si>
    <t>900146389</t>
  </si>
  <si>
    <t>901151493</t>
  </si>
  <si>
    <t>900150278</t>
  </si>
  <si>
    <t>830030520</t>
  </si>
  <si>
    <t>900049779</t>
  </si>
  <si>
    <t>900810594</t>
  </si>
  <si>
    <t>900861009</t>
  </si>
  <si>
    <t>900972126</t>
  </si>
  <si>
    <t>901518130</t>
  </si>
  <si>
    <t>901884352</t>
  </si>
  <si>
    <t>830126703</t>
  </si>
  <si>
    <t>900218930</t>
  </si>
  <si>
    <t>800245764</t>
  </si>
  <si>
    <t>901137814</t>
  </si>
  <si>
    <t>860068182</t>
  </si>
  <si>
    <t>899999003</t>
  </si>
  <si>
    <t>900667432</t>
  </si>
  <si>
    <t>901629909</t>
  </si>
  <si>
    <t>900820419</t>
  </si>
  <si>
    <t>800085754</t>
  </si>
  <si>
    <t>900945566</t>
  </si>
  <si>
    <t>901358760</t>
  </si>
  <si>
    <t>900639325</t>
  </si>
  <si>
    <t>900925445</t>
  </si>
  <si>
    <t>900661615</t>
  </si>
  <si>
    <t>800151106</t>
  </si>
  <si>
    <t>900860014</t>
  </si>
  <si>
    <t>900887751</t>
  </si>
  <si>
    <t>900134850</t>
  </si>
  <si>
    <t>900343357</t>
  </si>
  <si>
    <t>901353820</t>
  </si>
  <si>
    <t>901087490</t>
  </si>
  <si>
    <t>901041279</t>
  </si>
  <si>
    <t>901227370</t>
  </si>
  <si>
    <t>900329216</t>
  </si>
  <si>
    <t>901578778</t>
  </si>
  <si>
    <t>811017653</t>
  </si>
  <si>
    <t>901393858</t>
  </si>
  <si>
    <t>901485834</t>
  </si>
  <si>
    <t>901477467</t>
  </si>
  <si>
    <t>901616972</t>
  </si>
  <si>
    <t>900618032</t>
  </si>
  <si>
    <t>900573179</t>
  </si>
  <si>
    <t>860402847</t>
  </si>
  <si>
    <t>900959751</t>
  </si>
  <si>
    <t>901575084</t>
  </si>
  <si>
    <t>901102148</t>
  </si>
  <si>
    <t>901003050</t>
  </si>
  <si>
    <t>860009107</t>
  </si>
  <si>
    <t>901644431</t>
  </si>
  <si>
    <t>901519384</t>
  </si>
  <si>
    <t>901138084</t>
  </si>
  <si>
    <t>830080714</t>
  </si>
  <si>
    <t>900948872</t>
  </si>
  <si>
    <t>900879300</t>
  </si>
  <si>
    <t>900206048</t>
  </si>
  <si>
    <t>901418955</t>
  </si>
  <si>
    <t>901534662</t>
  </si>
  <si>
    <t>816007746</t>
  </si>
  <si>
    <t>900534663</t>
  </si>
  <si>
    <t>901261147</t>
  </si>
  <si>
    <t>900343003</t>
  </si>
  <si>
    <t>901429666</t>
  </si>
  <si>
    <t>900864755</t>
  </si>
  <si>
    <t>901024039</t>
  </si>
  <si>
    <t>901279357</t>
  </si>
  <si>
    <t>900453172</t>
  </si>
  <si>
    <t>900247427</t>
  </si>
  <si>
    <t>900621142</t>
  </si>
  <si>
    <t>900645675</t>
  </si>
  <si>
    <t>901610442</t>
  </si>
  <si>
    <t>900237387</t>
  </si>
  <si>
    <t>901623472</t>
  </si>
  <si>
    <t>900108877</t>
  </si>
  <si>
    <t>900718137</t>
  </si>
  <si>
    <t>901670428</t>
  </si>
  <si>
    <t>900190554</t>
  </si>
  <si>
    <t>900666216</t>
  </si>
  <si>
    <t>901229672</t>
  </si>
  <si>
    <t>900252072</t>
  </si>
  <si>
    <t>901167009</t>
  </si>
  <si>
    <t>901439605</t>
  </si>
  <si>
    <t>901428066</t>
  </si>
  <si>
    <t>860043106</t>
  </si>
  <si>
    <t>890806490</t>
  </si>
  <si>
    <t>900144581</t>
  </si>
  <si>
    <t>901023380</t>
  </si>
  <si>
    <t>901603067</t>
  </si>
  <si>
    <t>901047518</t>
  </si>
  <si>
    <t>805008394</t>
  </si>
  <si>
    <t>901000665</t>
  </si>
  <si>
    <t>901526147</t>
  </si>
  <si>
    <t>805030587</t>
  </si>
  <si>
    <t>830104261</t>
  </si>
  <si>
    <t>901372563</t>
  </si>
  <si>
    <t>860517302</t>
  </si>
  <si>
    <t>900748128</t>
  </si>
  <si>
    <t>901187625</t>
  </si>
  <si>
    <t>901365620</t>
  </si>
  <si>
    <t>900313373</t>
  </si>
  <si>
    <t>900744194</t>
  </si>
  <si>
    <t>901105650</t>
  </si>
  <si>
    <t>900915305</t>
  </si>
  <si>
    <t>901032721</t>
  </si>
  <si>
    <t>900634856</t>
  </si>
  <si>
    <t>830060922</t>
  </si>
  <si>
    <t>901622655</t>
  </si>
  <si>
    <t>900522235</t>
  </si>
  <si>
    <t>901301265</t>
  </si>
  <si>
    <t>900683868</t>
  </si>
  <si>
    <t>860053790</t>
  </si>
  <si>
    <t>900625744</t>
  </si>
  <si>
    <t>900119072</t>
  </si>
  <si>
    <t>900525395</t>
  </si>
  <si>
    <t>901102640</t>
  </si>
  <si>
    <t>901833470</t>
  </si>
  <si>
    <t>830035247</t>
  </si>
  <si>
    <t>900281982</t>
  </si>
  <si>
    <t>890102044</t>
  </si>
  <si>
    <t>900222424</t>
  </si>
  <si>
    <t>901182919</t>
  </si>
  <si>
    <t>901324465</t>
  </si>
  <si>
    <t>900353500</t>
  </si>
  <si>
    <t>900749935</t>
  </si>
  <si>
    <t>901005416</t>
  </si>
  <si>
    <t>901279251</t>
  </si>
  <si>
    <t>830053812</t>
  </si>
  <si>
    <t>900265131</t>
  </si>
  <si>
    <t>900691738</t>
  </si>
  <si>
    <t>900461812</t>
  </si>
  <si>
    <t>900212186</t>
  </si>
  <si>
    <t>901884342</t>
  </si>
  <si>
    <t>900552268</t>
  </si>
  <si>
    <t>901439210</t>
  </si>
  <si>
    <t>901307355</t>
  </si>
  <si>
    <t>901663012</t>
  </si>
  <si>
    <t>901281235</t>
  </si>
  <si>
    <t>900297016</t>
  </si>
  <si>
    <t>901481568</t>
  </si>
  <si>
    <t>891701522</t>
  </si>
  <si>
    <t>891300237</t>
  </si>
  <si>
    <t>901288067</t>
  </si>
  <si>
    <t>900224237</t>
  </si>
  <si>
    <t>890931549</t>
  </si>
  <si>
    <t>901071802</t>
  </si>
  <si>
    <t>901438824</t>
  </si>
  <si>
    <t>900466771</t>
  </si>
  <si>
    <t>901786003</t>
  </si>
  <si>
    <t>830030992</t>
  </si>
  <si>
    <t>901867205</t>
  </si>
  <si>
    <t>901166698</t>
  </si>
  <si>
    <t>901575648</t>
  </si>
  <si>
    <t>901399851</t>
  </si>
  <si>
    <t>900298569</t>
  </si>
  <si>
    <t>901096004</t>
  </si>
  <si>
    <t>900720395</t>
  </si>
  <si>
    <t>901153772</t>
  </si>
  <si>
    <t>901366087</t>
  </si>
  <si>
    <t>900364637</t>
  </si>
  <si>
    <t>900706183</t>
  </si>
  <si>
    <t>900869628</t>
  </si>
  <si>
    <t>901135605</t>
  </si>
  <si>
    <t>900380955</t>
  </si>
  <si>
    <t>900188530</t>
  </si>
  <si>
    <t>901421898</t>
  </si>
  <si>
    <t>901331844</t>
  </si>
  <si>
    <t>901074425</t>
  </si>
  <si>
    <t>900240956</t>
  </si>
  <si>
    <t>901460370</t>
  </si>
  <si>
    <t>800176628</t>
  </si>
  <si>
    <t>900917828</t>
  </si>
  <si>
    <t>890200179</t>
  </si>
  <si>
    <t>901459130</t>
  </si>
  <si>
    <t>900253958</t>
  </si>
  <si>
    <t>901177492</t>
  </si>
  <si>
    <t>900586501</t>
  </si>
  <si>
    <t>901204050</t>
  </si>
  <si>
    <t>901336243</t>
  </si>
  <si>
    <t>901133921</t>
  </si>
  <si>
    <t>800121506</t>
  </si>
  <si>
    <t>900908714</t>
  </si>
  <si>
    <t>800218362</t>
  </si>
  <si>
    <t>901645415</t>
  </si>
  <si>
    <t>891300238</t>
  </si>
  <si>
    <t>900531292</t>
  </si>
  <si>
    <t>900847493</t>
  </si>
  <si>
    <t>901862237</t>
  </si>
  <si>
    <t>901385516</t>
  </si>
  <si>
    <t>860058553</t>
  </si>
  <si>
    <t>901133701</t>
  </si>
  <si>
    <t>900895608</t>
  </si>
  <si>
    <t>901057938</t>
  </si>
  <si>
    <t>890208727</t>
  </si>
  <si>
    <t>901783367</t>
  </si>
  <si>
    <t>900656718</t>
  </si>
  <si>
    <t>901104514</t>
  </si>
  <si>
    <t>901061400</t>
  </si>
  <si>
    <t>901491553</t>
  </si>
  <si>
    <t>901238646</t>
  </si>
  <si>
    <t>901180185</t>
  </si>
  <si>
    <t>901818335</t>
  </si>
  <si>
    <t>901416622</t>
  </si>
  <si>
    <t>890201235</t>
  </si>
  <si>
    <t>901347001</t>
  </si>
  <si>
    <t>900542465</t>
  </si>
  <si>
    <t>900675610</t>
  </si>
  <si>
    <t>900593098</t>
  </si>
  <si>
    <t>901044339</t>
  </si>
  <si>
    <t>901218949</t>
  </si>
  <si>
    <t>860006656</t>
  </si>
  <si>
    <t>900589777</t>
  </si>
  <si>
    <t>900452158</t>
  </si>
  <si>
    <t>900600303</t>
  </si>
  <si>
    <t>901287603</t>
  </si>
  <si>
    <t>901242969</t>
  </si>
  <si>
    <t>900732325</t>
  </si>
  <si>
    <t>901790688</t>
  </si>
  <si>
    <t>900999171</t>
  </si>
  <si>
    <t>900578105</t>
  </si>
  <si>
    <t>900500937</t>
  </si>
  <si>
    <t>900720751</t>
  </si>
  <si>
    <t>900233968</t>
  </si>
  <si>
    <t>901671035</t>
  </si>
  <si>
    <t>900038194</t>
  </si>
  <si>
    <t>901016610</t>
  </si>
  <si>
    <t>900654315</t>
  </si>
  <si>
    <t>901040907</t>
  </si>
  <si>
    <t>900928188</t>
  </si>
  <si>
    <t>900140743</t>
  </si>
  <si>
    <t>830012169</t>
  </si>
  <si>
    <t>901271256</t>
  </si>
  <si>
    <t>900341322</t>
  </si>
  <si>
    <t>900484492</t>
  </si>
  <si>
    <t>901591892</t>
  </si>
  <si>
    <t>901145189</t>
  </si>
  <si>
    <t>901723529</t>
  </si>
  <si>
    <t>901198725</t>
  </si>
  <si>
    <t>900528234</t>
  </si>
  <si>
    <t>900303331</t>
  </si>
  <si>
    <t>900220909</t>
  </si>
  <si>
    <t>900859669</t>
  </si>
  <si>
    <t>900329217</t>
  </si>
  <si>
    <t>900502208</t>
  </si>
  <si>
    <t>901346157</t>
  </si>
  <si>
    <t>901448050</t>
  </si>
  <si>
    <t>900727614</t>
  </si>
  <si>
    <t>901266292</t>
  </si>
  <si>
    <t>901342845</t>
  </si>
  <si>
    <t>890211796</t>
  </si>
  <si>
    <t>900966675</t>
  </si>
  <si>
    <t>900686955</t>
  </si>
  <si>
    <t>804004265</t>
  </si>
  <si>
    <t>901311136</t>
  </si>
  <si>
    <t>900344385</t>
  </si>
  <si>
    <t>890903995</t>
  </si>
  <si>
    <t>900924527</t>
  </si>
  <si>
    <t>900307343</t>
  </si>
  <si>
    <t>901155166</t>
  </si>
  <si>
    <t>900084747</t>
  </si>
  <si>
    <t>901135539</t>
  </si>
  <si>
    <t>901502270</t>
  </si>
  <si>
    <t>900302493</t>
  </si>
  <si>
    <t>901681231</t>
  </si>
  <si>
    <t>900429775</t>
  </si>
  <si>
    <t>800216988</t>
  </si>
  <si>
    <t>901285494</t>
  </si>
  <si>
    <t>901739188</t>
  </si>
  <si>
    <t>901170594</t>
  </si>
  <si>
    <t>900317084</t>
  </si>
  <si>
    <t>901730144</t>
  </si>
  <si>
    <t>901171680</t>
  </si>
  <si>
    <t>901227650</t>
  </si>
  <si>
    <t>891500182</t>
  </si>
  <si>
    <t>900622212</t>
  </si>
  <si>
    <t>901101718</t>
  </si>
  <si>
    <t>901152960</t>
  </si>
  <si>
    <t>800116217</t>
  </si>
  <si>
    <t>901249443</t>
  </si>
  <si>
    <t>901209144</t>
  </si>
  <si>
    <t>800048954</t>
  </si>
  <si>
    <t>900565405</t>
  </si>
  <si>
    <t>900722301</t>
  </si>
  <si>
    <t>900657695</t>
  </si>
  <si>
    <t>901272632</t>
  </si>
  <si>
    <t>830037044</t>
  </si>
  <si>
    <t>901124389</t>
  </si>
  <si>
    <t>900066319</t>
  </si>
  <si>
    <t>900704722</t>
  </si>
  <si>
    <t>901871315</t>
  </si>
  <si>
    <t>900703092</t>
  </si>
  <si>
    <t>901065601</t>
  </si>
  <si>
    <t>900903072</t>
  </si>
  <si>
    <t>901112433</t>
  </si>
  <si>
    <t>900961946</t>
  </si>
  <si>
    <t>900167407</t>
  </si>
  <si>
    <t>900316871</t>
  </si>
  <si>
    <t>890928257</t>
  </si>
  <si>
    <t>800020706</t>
  </si>
  <si>
    <t>900520318</t>
  </si>
  <si>
    <t>901061794</t>
  </si>
  <si>
    <t>901065412</t>
  </si>
  <si>
    <t>901106701</t>
  </si>
  <si>
    <t>900170870</t>
  </si>
  <si>
    <t>901616174</t>
  </si>
  <si>
    <t>901668934</t>
  </si>
  <si>
    <t>890212433</t>
  </si>
  <si>
    <t>901342678</t>
  </si>
  <si>
    <t>900257327</t>
  </si>
  <si>
    <t>891702516</t>
  </si>
  <si>
    <t>830122407</t>
  </si>
  <si>
    <t>890200877</t>
  </si>
  <si>
    <t>900401190</t>
  </si>
  <si>
    <t>901516671</t>
  </si>
  <si>
    <t>901638612</t>
  </si>
  <si>
    <t>901302390</t>
  </si>
  <si>
    <t>901908582</t>
  </si>
  <si>
    <t>901165729</t>
  </si>
  <si>
    <t>901041997</t>
  </si>
  <si>
    <t>900951237</t>
  </si>
  <si>
    <t>900466346</t>
  </si>
  <si>
    <t>901578020</t>
  </si>
  <si>
    <t>900425303</t>
  </si>
  <si>
    <t>900169905</t>
  </si>
  <si>
    <t>901719664</t>
  </si>
  <si>
    <t>900269315</t>
  </si>
  <si>
    <t>900398876</t>
  </si>
  <si>
    <t>901108105</t>
  </si>
  <si>
    <t>900245583</t>
  </si>
  <si>
    <t>901104989</t>
  </si>
  <si>
    <t>830029568</t>
  </si>
  <si>
    <t>901562955</t>
  </si>
  <si>
    <t>900918152</t>
  </si>
  <si>
    <t>901769268</t>
  </si>
  <si>
    <t>900508117</t>
  </si>
  <si>
    <t>900647565</t>
  </si>
  <si>
    <t>900992879</t>
  </si>
  <si>
    <t>900755600</t>
  </si>
  <si>
    <t>901723644</t>
  </si>
  <si>
    <t>901368258</t>
  </si>
  <si>
    <t>901112440</t>
  </si>
  <si>
    <t>900694108</t>
  </si>
  <si>
    <t>900175545</t>
  </si>
  <si>
    <t>890404970</t>
  </si>
  <si>
    <t>900538783</t>
  </si>
  <si>
    <t>901214578</t>
  </si>
  <si>
    <t>900466223</t>
  </si>
  <si>
    <t>901507831</t>
  </si>
  <si>
    <t>901112477</t>
  </si>
  <si>
    <t>901167612</t>
  </si>
  <si>
    <t>901320181</t>
  </si>
  <si>
    <t>901404913</t>
  </si>
  <si>
    <t>901682898</t>
  </si>
  <si>
    <t>900368894</t>
  </si>
  <si>
    <t>900418036</t>
  </si>
  <si>
    <t>901690088</t>
  </si>
  <si>
    <t>901054820</t>
  </si>
  <si>
    <t>900716134</t>
  </si>
  <si>
    <t>800149384</t>
  </si>
  <si>
    <t>800003765</t>
  </si>
  <si>
    <t>900754972</t>
  </si>
  <si>
    <t>901668605</t>
  </si>
  <si>
    <t>901168543</t>
  </si>
  <si>
    <t>901136542</t>
  </si>
  <si>
    <t>900209052</t>
  </si>
  <si>
    <t>901245899</t>
  </si>
  <si>
    <t>800012189</t>
  </si>
  <si>
    <t>800198458</t>
  </si>
  <si>
    <t>901055072</t>
  </si>
  <si>
    <t>900338573</t>
  </si>
  <si>
    <t>901128927</t>
  </si>
  <si>
    <t>900329215</t>
  </si>
  <si>
    <t>901483232</t>
  </si>
  <si>
    <t>900348246</t>
  </si>
  <si>
    <t>860012357</t>
  </si>
  <si>
    <t>800159809</t>
  </si>
  <si>
    <t>900660012</t>
  </si>
  <si>
    <t>901722602</t>
  </si>
  <si>
    <t>900562990</t>
  </si>
  <si>
    <t>901722365</t>
  </si>
  <si>
    <t>901112488</t>
  </si>
  <si>
    <t>901133906</t>
  </si>
  <si>
    <t>830032492</t>
  </si>
  <si>
    <t>901160334</t>
  </si>
  <si>
    <t>900677637</t>
  </si>
  <si>
    <t>900678179</t>
  </si>
  <si>
    <t>900144577</t>
  </si>
  <si>
    <t>901436095</t>
  </si>
  <si>
    <t>901805820</t>
  </si>
  <si>
    <t>900854835</t>
  </si>
  <si>
    <t>901479333</t>
  </si>
  <si>
    <t>900225318</t>
  </si>
  <si>
    <t>901541734</t>
  </si>
  <si>
    <t>900572139</t>
  </si>
  <si>
    <t>901588735</t>
  </si>
  <si>
    <t>901157511</t>
  </si>
  <si>
    <t>901531784</t>
  </si>
  <si>
    <t>900546460</t>
  </si>
  <si>
    <t>900437657</t>
  </si>
  <si>
    <t>900854821</t>
  </si>
  <si>
    <t>900148948</t>
  </si>
  <si>
    <t>900147844</t>
  </si>
  <si>
    <t>900495414</t>
  </si>
  <si>
    <t>900898958</t>
  </si>
  <si>
    <t>900671790</t>
  </si>
  <si>
    <t>900481277</t>
  </si>
  <si>
    <t>901248938</t>
  </si>
  <si>
    <t>830038015</t>
  </si>
  <si>
    <t>900106364</t>
  </si>
  <si>
    <t>901248753</t>
  </si>
  <si>
    <t>830006551</t>
  </si>
  <si>
    <t>900283218</t>
  </si>
  <si>
    <t>900355706</t>
  </si>
  <si>
    <t>900846543</t>
  </si>
  <si>
    <t>800166247</t>
  </si>
  <si>
    <t>901269699</t>
  </si>
  <si>
    <t>830000818</t>
  </si>
  <si>
    <t>900489491</t>
  </si>
  <si>
    <t>800200976</t>
  </si>
  <si>
    <t>830027225</t>
  </si>
  <si>
    <t>900746489</t>
  </si>
  <si>
    <t>901226711</t>
  </si>
  <si>
    <t>901389184</t>
  </si>
  <si>
    <t>900984824</t>
  </si>
  <si>
    <t>901004020</t>
  </si>
  <si>
    <t>900721895</t>
  </si>
  <si>
    <t>900777293</t>
  </si>
  <si>
    <t>901763441</t>
  </si>
  <si>
    <t>900149470</t>
  </si>
  <si>
    <t>901469538</t>
  </si>
  <si>
    <t>900520848</t>
  </si>
  <si>
    <t>901576645</t>
  </si>
  <si>
    <t>900494375</t>
  </si>
  <si>
    <t>900296870</t>
  </si>
  <si>
    <t>901444281</t>
  </si>
  <si>
    <t>900349596</t>
  </si>
  <si>
    <t>860517030</t>
  </si>
  <si>
    <t>830005198</t>
  </si>
  <si>
    <t>901334489</t>
  </si>
  <si>
    <t>900544537</t>
  </si>
  <si>
    <t>900591514</t>
  </si>
  <si>
    <t>900257823</t>
  </si>
  <si>
    <t>900807391</t>
  </si>
  <si>
    <t>901018652</t>
  </si>
  <si>
    <t>900458819</t>
  </si>
  <si>
    <t>901682422</t>
  </si>
  <si>
    <t>900218859</t>
  </si>
  <si>
    <t>900297845</t>
  </si>
  <si>
    <t>900346725</t>
  </si>
  <si>
    <t>901239171</t>
  </si>
  <si>
    <t>900673005</t>
  </si>
  <si>
    <t>900680899</t>
  </si>
  <si>
    <t>900572146</t>
  </si>
  <si>
    <t>901404336</t>
  </si>
  <si>
    <t>901803654</t>
  </si>
  <si>
    <t>900465319</t>
  </si>
  <si>
    <t>900998312</t>
  </si>
  <si>
    <t>900819485</t>
  </si>
  <si>
    <t>901488843</t>
  </si>
  <si>
    <t>900303612</t>
  </si>
  <si>
    <t>900641786</t>
  </si>
  <si>
    <t>900691061</t>
  </si>
  <si>
    <t>901710736</t>
  </si>
  <si>
    <t>800250720</t>
  </si>
  <si>
    <t>900296061</t>
  </si>
  <si>
    <t>900307389</t>
  </si>
  <si>
    <t>900582301</t>
  </si>
  <si>
    <t>900920395</t>
  </si>
  <si>
    <t>901139752</t>
  </si>
  <si>
    <t>800240349</t>
  </si>
  <si>
    <t>901671041</t>
  </si>
  <si>
    <t>830051700</t>
  </si>
  <si>
    <t>900424412</t>
  </si>
  <si>
    <t>900404487</t>
  </si>
  <si>
    <t>901154093</t>
  </si>
  <si>
    <t>900497541</t>
  </si>
  <si>
    <t>890316745</t>
  </si>
  <si>
    <t>900632170</t>
  </si>
  <si>
    <t>39181584</t>
  </si>
  <si>
    <t>900085569</t>
  </si>
  <si>
    <t>890303395</t>
  </si>
  <si>
    <t>900842287</t>
  </si>
  <si>
    <t>901143710</t>
  </si>
  <si>
    <t>901235309</t>
  </si>
  <si>
    <t>900253884</t>
  </si>
  <si>
    <t>901535223</t>
  </si>
  <si>
    <t>805012921</t>
  </si>
  <si>
    <t>901641687</t>
  </si>
  <si>
    <t>901041736</t>
  </si>
  <si>
    <t>901017725</t>
  </si>
  <si>
    <t>901062820</t>
  </si>
  <si>
    <t>860090819</t>
  </si>
  <si>
    <t>890802356</t>
  </si>
  <si>
    <t>900672550</t>
  </si>
  <si>
    <t>860078643</t>
  </si>
  <si>
    <t>901218433</t>
  </si>
  <si>
    <t>901166475</t>
  </si>
  <si>
    <t>800169065</t>
  </si>
  <si>
    <t>900922066</t>
  </si>
  <si>
    <t>901110929</t>
  </si>
  <si>
    <t>890902922</t>
  </si>
  <si>
    <t>901521075</t>
  </si>
  <si>
    <t>800164122</t>
  </si>
  <si>
    <t>900519138</t>
  </si>
  <si>
    <t>901351845</t>
  </si>
  <si>
    <t>900330970</t>
  </si>
  <si>
    <t>800135595</t>
  </si>
  <si>
    <t>900914501</t>
  </si>
  <si>
    <t>900388029</t>
  </si>
  <si>
    <t>901184176</t>
  </si>
  <si>
    <t>901568216</t>
  </si>
  <si>
    <t>830082764</t>
  </si>
  <si>
    <t>901403268</t>
  </si>
  <si>
    <t>901056154</t>
  </si>
  <si>
    <t>900419948</t>
  </si>
  <si>
    <t>901698514</t>
  </si>
  <si>
    <t>71645331</t>
  </si>
  <si>
    <t>900828015</t>
  </si>
  <si>
    <t>900362359</t>
  </si>
  <si>
    <t>900252453</t>
  </si>
  <si>
    <t>900207959</t>
  </si>
  <si>
    <t>830061949</t>
  </si>
  <si>
    <t>900312472</t>
  </si>
  <si>
    <t>900442603</t>
  </si>
  <si>
    <t>901346328</t>
  </si>
  <si>
    <t>21396802</t>
  </si>
  <si>
    <t>900744099</t>
  </si>
  <si>
    <t>900119526</t>
  </si>
  <si>
    <t>900316184</t>
  </si>
  <si>
    <t>901151971</t>
  </si>
  <si>
    <t>73148001</t>
  </si>
  <si>
    <t>901242304</t>
  </si>
  <si>
    <t>900265057</t>
  </si>
  <si>
    <t>900724292</t>
  </si>
  <si>
    <t>901020337</t>
  </si>
  <si>
    <t>901064211</t>
  </si>
  <si>
    <t>900475484</t>
  </si>
  <si>
    <t>901305552</t>
  </si>
  <si>
    <t>800020023</t>
  </si>
  <si>
    <t>900348487</t>
  </si>
  <si>
    <t>900773249</t>
  </si>
  <si>
    <t>901409127</t>
  </si>
  <si>
    <t>901541728</t>
  </si>
  <si>
    <t>900664886</t>
  </si>
  <si>
    <t>900770444</t>
  </si>
  <si>
    <t>817000680</t>
  </si>
  <si>
    <t>901282920</t>
  </si>
  <si>
    <t>900316995</t>
  </si>
  <si>
    <t>900359688</t>
  </si>
  <si>
    <t>901599291</t>
  </si>
  <si>
    <t>830001359</t>
  </si>
  <si>
    <t>900156200</t>
  </si>
  <si>
    <t>900253913</t>
  </si>
  <si>
    <t>900896673</t>
  </si>
  <si>
    <t>900514614</t>
  </si>
  <si>
    <t>901118375</t>
  </si>
  <si>
    <t>901017432</t>
  </si>
  <si>
    <t>901274468</t>
  </si>
  <si>
    <t>901089729</t>
  </si>
  <si>
    <t>830031237</t>
  </si>
  <si>
    <t>900580915</t>
  </si>
  <si>
    <t>901751138</t>
  </si>
  <si>
    <t>900675799</t>
  </si>
  <si>
    <t>900422831</t>
  </si>
  <si>
    <t>901065883</t>
  </si>
  <si>
    <t>900246222</t>
  </si>
  <si>
    <t>830116807</t>
  </si>
  <si>
    <t>900428520</t>
  </si>
  <si>
    <t>901564240</t>
  </si>
  <si>
    <t>901221471</t>
  </si>
  <si>
    <t>70978686</t>
  </si>
  <si>
    <t>901835391</t>
  </si>
  <si>
    <t>890505217</t>
  </si>
  <si>
    <t>900567883</t>
  </si>
  <si>
    <t>900998507</t>
  </si>
  <si>
    <t>900511787</t>
  </si>
  <si>
    <t>901134108</t>
  </si>
  <si>
    <t>900545890</t>
  </si>
  <si>
    <t>900633179</t>
  </si>
  <si>
    <t>900483366</t>
  </si>
  <si>
    <t>901235459</t>
  </si>
  <si>
    <t>900486650</t>
  </si>
  <si>
    <t>901862221</t>
  </si>
  <si>
    <t>901441031</t>
  </si>
  <si>
    <t>900846234</t>
  </si>
  <si>
    <t>901573719</t>
  </si>
  <si>
    <t>901041691</t>
  </si>
  <si>
    <t>805005143</t>
  </si>
  <si>
    <t>88284813</t>
  </si>
  <si>
    <t>899999032</t>
  </si>
  <si>
    <t>901602806</t>
  </si>
  <si>
    <t>900602224</t>
  </si>
  <si>
    <t>901428858</t>
  </si>
  <si>
    <t>901613553</t>
  </si>
  <si>
    <t>901564742</t>
  </si>
  <si>
    <t>901022548</t>
  </si>
  <si>
    <t>900885681</t>
  </si>
  <si>
    <t>900967050</t>
  </si>
  <si>
    <t>800194798</t>
  </si>
  <si>
    <t>901743481</t>
  </si>
  <si>
    <t>800141695</t>
  </si>
  <si>
    <t>901171799</t>
  </si>
  <si>
    <t>900492992</t>
  </si>
  <si>
    <t>900055900</t>
  </si>
  <si>
    <t>900802350</t>
  </si>
  <si>
    <t>900807763</t>
  </si>
  <si>
    <t>900799023</t>
  </si>
  <si>
    <t>900901619</t>
  </si>
  <si>
    <t>900221212</t>
  </si>
  <si>
    <t>900341497</t>
  </si>
  <si>
    <t>38942733</t>
  </si>
  <si>
    <t>900431348</t>
  </si>
  <si>
    <t>901682136</t>
  </si>
  <si>
    <t>900104697</t>
  </si>
  <si>
    <t>900393369</t>
  </si>
  <si>
    <t>901242034</t>
  </si>
  <si>
    <t>901596161</t>
  </si>
  <si>
    <t>901108825</t>
  </si>
  <si>
    <t>1017228672</t>
  </si>
  <si>
    <t>900003261</t>
  </si>
  <si>
    <t>901617808</t>
  </si>
  <si>
    <t>900637346</t>
  </si>
  <si>
    <t>900004566</t>
  </si>
  <si>
    <t>890935225</t>
  </si>
  <si>
    <t>860000531</t>
  </si>
  <si>
    <t>900327261</t>
  </si>
  <si>
    <t>900512582</t>
  </si>
  <si>
    <t>901596575</t>
  </si>
  <si>
    <t>901102469</t>
  </si>
  <si>
    <t>901555265</t>
  </si>
  <si>
    <t>900527925</t>
  </si>
  <si>
    <t>860029924</t>
  </si>
  <si>
    <t>901715623</t>
  </si>
  <si>
    <t>900740669</t>
  </si>
  <si>
    <t>900544640</t>
  </si>
  <si>
    <t>900373913</t>
  </si>
  <si>
    <t>900111404</t>
  </si>
  <si>
    <t>900630471</t>
  </si>
  <si>
    <t>900260749</t>
  </si>
  <si>
    <t>901179823</t>
  </si>
  <si>
    <t>901550354</t>
  </si>
  <si>
    <t>901598389</t>
  </si>
  <si>
    <t>900566321</t>
  </si>
  <si>
    <t>901537569</t>
  </si>
  <si>
    <t>901153564</t>
  </si>
  <si>
    <t>901770913</t>
  </si>
  <si>
    <t>900955467</t>
  </si>
  <si>
    <t>901578884</t>
  </si>
  <si>
    <t>900350135</t>
  </si>
  <si>
    <t>901025538</t>
  </si>
  <si>
    <t>892301291</t>
  </si>
  <si>
    <t>900162172</t>
  </si>
  <si>
    <t>901204271</t>
  </si>
  <si>
    <t>900372463</t>
  </si>
  <si>
    <t>901667067</t>
  </si>
  <si>
    <t>900035438</t>
  </si>
  <si>
    <t>900253687</t>
  </si>
  <si>
    <t>800039474</t>
  </si>
  <si>
    <t>900982140</t>
  </si>
  <si>
    <t>860516806</t>
  </si>
  <si>
    <t>901014961</t>
  </si>
  <si>
    <t>901504689</t>
  </si>
  <si>
    <t>901017111</t>
  </si>
  <si>
    <t>901225714</t>
  </si>
  <si>
    <t>860025674</t>
  </si>
  <si>
    <t>901623033</t>
  </si>
  <si>
    <t>901633043</t>
  </si>
  <si>
    <t>901149728</t>
  </si>
  <si>
    <t>900309049</t>
  </si>
  <si>
    <t>900361648</t>
  </si>
  <si>
    <t>901080032</t>
  </si>
  <si>
    <t>900192626</t>
  </si>
  <si>
    <t>900722891</t>
  </si>
  <si>
    <t>901334383</t>
  </si>
  <si>
    <t>901296806</t>
  </si>
  <si>
    <t>805027743</t>
  </si>
  <si>
    <t>901629583</t>
  </si>
  <si>
    <t>890303208</t>
  </si>
  <si>
    <t>900890315</t>
  </si>
  <si>
    <t>900329574</t>
  </si>
  <si>
    <t>800089253</t>
  </si>
  <si>
    <t>900215751</t>
  </si>
  <si>
    <t>900571671</t>
  </si>
  <si>
    <t>900553537</t>
  </si>
  <si>
    <t>901559041</t>
  </si>
  <si>
    <t>900860244</t>
  </si>
  <si>
    <t>901105125</t>
  </si>
  <si>
    <t>900403080</t>
  </si>
  <si>
    <t>901607531</t>
  </si>
  <si>
    <t>901344167</t>
  </si>
  <si>
    <t>804001890</t>
  </si>
  <si>
    <t>901769567</t>
  </si>
  <si>
    <t>900730483</t>
  </si>
  <si>
    <t>901139819</t>
  </si>
  <si>
    <t>800000465</t>
  </si>
  <si>
    <t>830022327</t>
  </si>
  <si>
    <t>800102364</t>
  </si>
  <si>
    <t>901170221</t>
  </si>
  <si>
    <t>900959856</t>
  </si>
  <si>
    <t>901190138</t>
  </si>
  <si>
    <t>900398709</t>
  </si>
  <si>
    <t>900617526</t>
  </si>
  <si>
    <t>901003188</t>
  </si>
  <si>
    <t>900423905</t>
  </si>
  <si>
    <t>860007336</t>
  </si>
  <si>
    <t>890913647</t>
  </si>
  <si>
    <t>98457583</t>
  </si>
  <si>
    <t>900753328</t>
  </si>
  <si>
    <t>860013798</t>
  </si>
  <si>
    <t>860028712</t>
  </si>
  <si>
    <t>860024746</t>
  </si>
  <si>
    <t>901325390</t>
  </si>
  <si>
    <t>900799319</t>
  </si>
  <si>
    <t>900716499</t>
  </si>
  <si>
    <t>15323165</t>
  </si>
  <si>
    <t>890481180</t>
  </si>
  <si>
    <t>860035992</t>
  </si>
  <si>
    <t>901545696</t>
  </si>
  <si>
    <t>900352255</t>
  </si>
  <si>
    <t>901252304</t>
  </si>
  <si>
    <t>901784051</t>
  </si>
  <si>
    <t>900078247</t>
  </si>
  <si>
    <t>800251262</t>
  </si>
  <si>
    <t>901566782</t>
  </si>
  <si>
    <t>901218702</t>
  </si>
  <si>
    <t>901203437</t>
  </si>
  <si>
    <t>900459473</t>
  </si>
  <si>
    <t>802000810</t>
  </si>
  <si>
    <t>901464540</t>
  </si>
  <si>
    <t>800180832</t>
  </si>
  <si>
    <t>901079754</t>
  </si>
  <si>
    <t>901785245</t>
  </si>
  <si>
    <t>901166447</t>
  </si>
  <si>
    <t>802016130</t>
  </si>
  <si>
    <t>900810339</t>
  </si>
  <si>
    <t>900168758</t>
  </si>
  <si>
    <t>901256161</t>
  </si>
  <si>
    <t>3101306657</t>
  </si>
  <si>
    <t>901014018</t>
  </si>
  <si>
    <t>901570873</t>
  </si>
  <si>
    <t>900464398</t>
  </si>
  <si>
    <t>475731370664</t>
  </si>
  <si>
    <t>900398866</t>
  </si>
  <si>
    <t>901120943</t>
  </si>
  <si>
    <t>900857294</t>
  </si>
  <si>
    <t>901593393</t>
  </si>
  <si>
    <t>901502991</t>
  </si>
  <si>
    <t>900896782</t>
  </si>
  <si>
    <t>901011143</t>
  </si>
  <si>
    <t>900573124</t>
  </si>
  <si>
    <t>900652395</t>
  </si>
  <si>
    <t>800197960</t>
  </si>
  <si>
    <t>900908192</t>
  </si>
  <si>
    <t>900256727</t>
  </si>
  <si>
    <t>900981887</t>
  </si>
  <si>
    <t>900008187</t>
  </si>
  <si>
    <t>805006582</t>
  </si>
  <si>
    <t>901151154</t>
  </si>
  <si>
    <t>900962591</t>
  </si>
  <si>
    <t>900007056</t>
  </si>
  <si>
    <t>800065539</t>
  </si>
  <si>
    <t>900609031</t>
  </si>
  <si>
    <t>900256940</t>
  </si>
  <si>
    <t>901665493</t>
  </si>
  <si>
    <t>901238921</t>
  </si>
  <si>
    <t>900817525</t>
  </si>
  <si>
    <t>800229143</t>
  </si>
  <si>
    <t>806000591</t>
  </si>
  <si>
    <t>901042042</t>
  </si>
  <si>
    <t>890304099</t>
  </si>
  <si>
    <t>800153993</t>
  </si>
  <si>
    <t>900539381</t>
  </si>
  <si>
    <t>800256395</t>
  </si>
  <si>
    <t>890901389</t>
  </si>
  <si>
    <t>900551702</t>
  </si>
  <si>
    <t>832008540</t>
  </si>
  <si>
    <t>73267658</t>
  </si>
  <si>
    <t>800178639</t>
  </si>
  <si>
    <t>800172933</t>
  </si>
  <si>
    <t>900968283</t>
  </si>
  <si>
    <t>860007386</t>
  </si>
  <si>
    <t>900911752</t>
  </si>
  <si>
    <t>900788594</t>
  </si>
  <si>
    <t>805003626</t>
  </si>
  <si>
    <t>901385932</t>
  </si>
  <si>
    <t>900507451</t>
  </si>
  <si>
    <t>900017447</t>
  </si>
  <si>
    <t>800188129</t>
  </si>
  <si>
    <t>900178403</t>
  </si>
  <si>
    <t>901072711</t>
  </si>
  <si>
    <t>901364175</t>
  </si>
  <si>
    <t>901539138</t>
  </si>
  <si>
    <t>900211734</t>
  </si>
  <si>
    <t>901020093</t>
  </si>
  <si>
    <t>900098143</t>
  </si>
  <si>
    <t>800185685</t>
  </si>
  <si>
    <t>901093273</t>
  </si>
  <si>
    <t>900796336</t>
  </si>
  <si>
    <t>901656776</t>
  </si>
  <si>
    <t>900938701</t>
  </si>
  <si>
    <t>800194880</t>
  </si>
  <si>
    <t>900342373</t>
  </si>
  <si>
    <t>900231049</t>
  </si>
  <si>
    <t>900488083</t>
  </si>
  <si>
    <t>900018934</t>
  </si>
  <si>
    <t>860062854</t>
  </si>
  <si>
    <t>805030849</t>
  </si>
  <si>
    <t>800242739</t>
  </si>
  <si>
    <t>900773269</t>
  </si>
  <si>
    <t>901118744</t>
  </si>
  <si>
    <t>830021423</t>
  </si>
  <si>
    <t>900714205</t>
  </si>
  <si>
    <t>901626318</t>
  </si>
  <si>
    <t>900343825</t>
  </si>
  <si>
    <t>900637542</t>
  </si>
  <si>
    <t>890321156</t>
  </si>
  <si>
    <t>830010776</t>
  </si>
  <si>
    <t>901120547</t>
  </si>
  <si>
    <t>900580322</t>
  </si>
  <si>
    <t>900136206</t>
  </si>
  <si>
    <t>901432889</t>
  </si>
  <si>
    <t>901039903</t>
  </si>
  <si>
    <t>901276714</t>
  </si>
  <si>
    <t>901456016</t>
  </si>
  <si>
    <t>901516233</t>
  </si>
  <si>
    <t>816000276</t>
  </si>
  <si>
    <t>800109273</t>
  </si>
  <si>
    <t>890303093</t>
  </si>
  <si>
    <t>900985404</t>
  </si>
  <si>
    <t>890307200</t>
  </si>
  <si>
    <t>901244087</t>
  </si>
  <si>
    <t>800056712</t>
  </si>
  <si>
    <t>900085852</t>
  </si>
  <si>
    <t>900082107</t>
  </si>
  <si>
    <t>900280551</t>
  </si>
  <si>
    <t>800154155</t>
  </si>
  <si>
    <t>901471706</t>
  </si>
  <si>
    <t>800161633</t>
  </si>
  <si>
    <t>900446443</t>
  </si>
  <si>
    <t>800165798</t>
  </si>
  <si>
    <t>800093117</t>
  </si>
  <si>
    <t>860524118</t>
  </si>
  <si>
    <t>830030598</t>
  </si>
  <si>
    <t>890506038</t>
  </si>
  <si>
    <t>901307871</t>
  </si>
  <si>
    <t>901328109</t>
  </si>
  <si>
    <t>900527685</t>
  </si>
  <si>
    <t>900158685</t>
  </si>
  <si>
    <t>900935510</t>
  </si>
  <si>
    <t>900397244</t>
  </si>
  <si>
    <t>901593422</t>
  </si>
  <si>
    <t>810002455</t>
  </si>
  <si>
    <t>800023162</t>
  </si>
  <si>
    <t>901042249</t>
  </si>
  <si>
    <t>811000555</t>
  </si>
  <si>
    <t>901546069</t>
  </si>
  <si>
    <t>901450317</t>
  </si>
  <si>
    <t>900315057</t>
  </si>
  <si>
    <t>900156839</t>
  </si>
  <si>
    <t>890302629</t>
  </si>
  <si>
    <t>900497754</t>
  </si>
  <si>
    <t>800006608</t>
  </si>
  <si>
    <t>890911431</t>
  </si>
  <si>
    <t>901095185</t>
  </si>
  <si>
    <t>901335234</t>
  </si>
  <si>
    <t>860005216</t>
  </si>
  <si>
    <t>860090486</t>
  </si>
  <si>
    <t>800150443</t>
  </si>
  <si>
    <t>860527800</t>
  </si>
  <si>
    <t>890905022</t>
  </si>
  <si>
    <t>811033259</t>
  </si>
  <si>
    <t>830000135</t>
  </si>
  <si>
    <t>860037900</t>
  </si>
  <si>
    <t>811032292</t>
  </si>
  <si>
    <t>900291923</t>
  </si>
  <si>
    <t>860058070</t>
  </si>
  <si>
    <t>800185295</t>
  </si>
  <si>
    <t>860513493</t>
  </si>
  <si>
    <t>901612346</t>
  </si>
  <si>
    <t>900192711</t>
  </si>
  <si>
    <t>811040443</t>
  </si>
  <si>
    <t>800027617</t>
  </si>
  <si>
    <t>860063830</t>
  </si>
  <si>
    <t>860002503</t>
  </si>
  <si>
    <t>860037013</t>
  </si>
  <si>
    <t>43871664</t>
  </si>
  <si>
    <t>222222222</t>
  </si>
  <si>
    <t xml:space="preserve">RAMOS  ROJAS  YEISON  ANDRES  </t>
  </si>
  <si>
    <t xml:space="preserve">GUZMAN  RODRIGUEZ  HENRY  NELSON  </t>
  </si>
  <si>
    <t xml:space="preserve">RODRIGUEZ  GARCIA  CARLOS  ANDRES  </t>
  </si>
  <si>
    <t xml:space="preserve">GOMEZ  GONZALEZ  JOSE  STEVEN  </t>
  </si>
  <si>
    <t xml:space="preserve">NAVARRETE  SUAREZ  OMAR    </t>
  </si>
  <si>
    <t xml:space="preserve">CARDOZO  LEON  YULI    </t>
  </si>
  <si>
    <t xml:space="preserve">DIAZ  SEPULVEDA  WUILFREDO    </t>
  </si>
  <si>
    <t xml:space="preserve">ROCHA  BEJARANO  JORGE  LUIS  </t>
  </si>
  <si>
    <t xml:space="preserve">OCHOA  CONSUEGRA  ANGELICA  MARIA  </t>
  </si>
  <si>
    <t xml:space="preserve">CHANG  COLEY  JOSE  MANUEL  </t>
  </si>
  <si>
    <t xml:space="preserve">MORA  CORREDOR  ABELARDO    </t>
  </si>
  <si>
    <t xml:space="preserve">DEVIA  SIERRA  ANDRES  HERNAN  </t>
  </si>
  <si>
    <t xml:space="preserve">MORALES  RINCON  CARLOS  ANDRES  </t>
  </si>
  <si>
    <t xml:space="preserve">CARDENAS  RINCON  LUIS  DANIEL  </t>
  </si>
  <si>
    <t xml:space="preserve">HERNANDEZ  BORDA  SERGIO  ANDRES  </t>
  </si>
  <si>
    <t xml:space="preserve">PEREZ  TABARES  FRANK  ESNEIDER  </t>
  </si>
  <si>
    <t xml:space="preserve">ORDOÑEZ  CAÑAS  RUBEN  DAVID  </t>
  </si>
  <si>
    <t xml:space="preserve">MONSALVE  OSPINA  LUIS  FELIPE  </t>
  </si>
  <si>
    <t xml:space="preserve">MORALES  SILVA  DIEGO  MARLON  </t>
  </si>
  <si>
    <t xml:space="preserve">GALEANO  GUARIN  ANDRES  RODRIGO  </t>
  </si>
  <si>
    <t xml:space="preserve">HERNANDEZ  CABARCAS  LEONARDO  RAFAEL  </t>
  </si>
  <si>
    <t xml:space="preserve">HENAO  OLARTE  YECID    </t>
  </si>
  <si>
    <t xml:space="preserve">RAMIREZ  PEREZ  DAWIN  ALEJANDRO  </t>
  </si>
  <si>
    <t xml:space="preserve">OSORIO  RUIZ  JOSE  ISMAEL  </t>
  </si>
  <si>
    <t xml:space="preserve">APONTE  VACA  FAUSTO  GIOVANY  </t>
  </si>
  <si>
    <t xml:space="preserve">RUBIO  SAENZ  YEISSON  DAMIAN  </t>
  </si>
  <si>
    <t xml:space="preserve">POVEDA  CASTELLANOS  STIVE  GIOVANNY  </t>
  </si>
  <si>
    <t xml:space="preserve">PEREZ  0  ANDRES  ESTIVEN  </t>
  </si>
  <si>
    <t xml:space="preserve">BOCANEGRA  PUERTO  ARNOLD  ENRIQUE  </t>
  </si>
  <si>
    <t xml:space="preserve">CARRILLO  CARRILLO  WILMER  ALEXY  </t>
  </si>
  <si>
    <t xml:space="preserve">LEMUS  ROA  CARLOS  ALBERTO  </t>
  </si>
  <si>
    <t xml:space="preserve">VILLARREAL  MARTINEZ  WILMER  DE JESUS  </t>
  </si>
  <si>
    <t xml:space="preserve">MALAMBO  SALCEDO  JOHN  PAUL  </t>
  </si>
  <si>
    <t xml:space="preserve">DAVID  MERCADO  DANIEL  DAVID  </t>
  </si>
  <si>
    <t xml:space="preserve">MORENO  0  CRISTIAN  0  </t>
  </si>
  <si>
    <t xml:space="preserve">JIMENEZ  LLINAS  JOHANN  JAMES  </t>
  </si>
  <si>
    <t xml:space="preserve">VALLEJO  MALDONADO  BRANDON  SMITH  </t>
  </si>
  <si>
    <t xml:space="preserve">QUIROGA  MORENO  DEIVER    </t>
  </si>
  <si>
    <t xml:space="preserve">BUITRAGO  GUZMAN  JORGE  ENRIQUE  </t>
  </si>
  <si>
    <t xml:space="preserve">ARCIA  HERNANDEZ  MARTIN  ANTONIO  </t>
  </si>
  <si>
    <t xml:space="preserve">REYES  BARINAS  FABIAN  FERNEY  </t>
  </si>
  <si>
    <t xml:space="preserve">RODRIGUEZ  ORTIZ  ANDRES  DANIEL  </t>
  </si>
  <si>
    <t xml:space="preserve">OLAYA  BETANCOURT  GARY  ALEXANDER  </t>
  </si>
  <si>
    <t xml:space="preserve">JAIMES  BERMUDEZ  JAVIER  ALONSO  </t>
  </si>
  <si>
    <t xml:space="preserve">ZULETA  PIÑEROS  CAMILO  STIVEN  </t>
  </si>
  <si>
    <t xml:space="preserve">CASTRO  CASTILLO  ANDRES  FELIPE  </t>
  </si>
  <si>
    <t xml:space="preserve">VELARDE  BEDOYA  JUAN  FERNANDO  </t>
  </si>
  <si>
    <t xml:space="preserve">RODRIGUEZ  TRIVIÑO  STIVEN  LEONARDO  </t>
  </si>
  <si>
    <t xml:space="preserve">JIMENEZ  BOBADILLO  EDWIN  ALBERTO  </t>
  </si>
  <si>
    <t xml:space="preserve">BOHORQUEZ  ROJAS  BRAYAN  CAMILO  </t>
  </si>
  <si>
    <t xml:space="preserve">LOPEZ  MONSALVE  CRISTHIAN  0  </t>
  </si>
  <si>
    <t xml:space="preserve">FALLA  ACOSTA  EDUARDO  0  </t>
  </si>
  <si>
    <t xml:space="preserve">LAVERDE  HERNANDEZ  JONATHAN  0  </t>
  </si>
  <si>
    <t xml:space="preserve">CUERO  MANYOMA  ALEXANDER    </t>
  </si>
  <si>
    <t xml:space="preserve">RIVERA  GAMBA  JUAN  CARLOS  </t>
  </si>
  <si>
    <t xml:space="preserve">CEBALLOS  CRUZ  SERGIO  ALBERTO  </t>
  </si>
  <si>
    <t xml:space="preserve">HERNANDEZ  MUÑOZ  CRISTIAN  DAVID  </t>
  </si>
  <si>
    <t xml:space="preserve">VILLA  PUERTA  JAIVER  HUMBERTO  </t>
  </si>
  <si>
    <t xml:space="preserve">RIVERA  RUBIANO  JULIAN  EDUARDO  </t>
  </si>
  <si>
    <t xml:space="preserve">GUTIERREZ  TABORDA  SEBASTIAN    </t>
  </si>
  <si>
    <t xml:space="preserve">CASTRO  PEREZ  LUIS  VICENTE  </t>
  </si>
  <si>
    <t xml:space="preserve">HERNANDEZ  BARRIOSNUEVO  FRANCISCO  JAVIER  </t>
  </si>
  <si>
    <t xml:space="preserve">MURCIA  CASTAÑO  WILLIAM    </t>
  </si>
  <si>
    <t xml:space="preserve">BERMUDEZ  GUERRA  JORGE  ELIECER  </t>
  </si>
  <si>
    <t xml:space="preserve">CORZO  MANTILLA  JONATHAN  ALEXIS  </t>
  </si>
  <si>
    <t xml:space="preserve">BRAVO  CORAL  JOSUE  SAMIR  </t>
  </si>
  <si>
    <t xml:space="preserve">CORREDOR  LEON  EDUAR  EMIRO  </t>
  </si>
  <si>
    <t xml:space="preserve">SALOMON  MORALES  JONATHAN  MAKEINCY  </t>
  </si>
  <si>
    <t xml:space="preserve">BALLEN  GUTIERREZ  MIGUEL  ANGEL  </t>
  </si>
  <si>
    <t xml:space="preserve">LOPEZ  MOSQUERA  CARLOS  ERNESTO  </t>
  </si>
  <si>
    <t xml:space="preserve">ESPEJO  TAPASCO  ALEJANDRO  0  </t>
  </si>
  <si>
    <t xml:space="preserve">GUAMANGA  DAGUA  RUBEN  DARIO  </t>
  </si>
  <si>
    <t xml:space="preserve">ANDRADE  TOLOSA  VLADIMIR    </t>
  </si>
  <si>
    <t xml:space="preserve">ZAPATA  HERNANDEZ  ORWELL  EFREN  </t>
  </si>
  <si>
    <t xml:space="preserve">GALLEGO  ESPINOSA  JUAN  GABRIEL  </t>
  </si>
  <si>
    <t xml:space="preserve">SANCHEZ  0  GILBERTO  0  </t>
  </si>
  <si>
    <t xml:space="preserve">MANRIQUE  SALAZAR  JAIRO  ALBERTO  </t>
  </si>
  <si>
    <t xml:space="preserve">ROSARIO  ESPITIA  LUIS  JOSE  </t>
  </si>
  <si>
    <t xml:space="preserve">SALCEDO  CARVAJAL  JOSE  ADOLFO  </t>
  </si>
  <si>
    <t xml:space="preserve">MEDINA  LOPEZ  JOSE  LEONARDO  </t>
  </si>
  <si>
    <t xml:space="preserve">MORENO  JIMENEZ  JOSE  0  </t>
  </si>
  <si>
    <t xml:space="preserve">RAMOS  QUIÑONES  ROOSEVETH    </t>
  </si>
  <si>
    <t xml:space="preserve">BAEZ  ANGARITA  DAVID  MAURICIO  </t>
  </si>
  <si>
    <t xml:space="preserve">ALZATE  CASTAÑO  JUAN  CARLOS  </t>
  </si>
  <si>
    <t xml:space="preserve">DURANGO  OCHOA  JOHN  FREDY  </t>
  </si>
  <si>
    <t xml:space="preserve">MARTINEZ  DESALVADOR  LUIS  ANTONIO  </t>
  </si>
  <si>
    <t xml:space="preserve">BARBOSA  VIDAL  JOHN  PAUL  </t>
  </si>
  <si>
    <t xml:space="preserve">FLOREZ  BAUTISTA  ALBEIRO  ANTONIO  </t>
  </si>
  <si>
    <t xml:space="preserve">GOMEZ  VELEZ  CRISTIAN  DUBAN  </t>
  </si>
  <si>
    <t xml:space="preserve">LOPEZ  GILON  EDINSON  DAVID  </t>
  </si>
  <si>
    <t xml:space="preserve">OSSA  PACHO  MILER  ELKIN  </t>
  </si>
  <si>
    <t xml:space="preserve">QUINTERO  CARVAJAL  EDISON  HERNEY  </t>
  </si>
  <si>
    <t xml:space="preserve">SALAS  RAMOS  CRISTIAN  ENRIQUE  </t>
  </si>
  <si>
    <t xml:space="preserve">BARBOSA  MARTINEZ  CRISTIAN  FERNEY  </t>
  </si>
  <si>
    <t xml:space="preserve">VIAFARA  MONTAÑO  JOEL  DANIEL  </t>
  </si>
  <si>
    <t xml:space="preserve">DURAN  MADERA  LUIS  ARTURO  </t>
  </si>
  <si>
    <t xml:space="preserve">RODRIGUEZ  MERIÑO  PEDRO  LUIS  </t>
  </si>
  <si>
    <t xml:space="preserve">BARRAGAN  GUTIERREZ  RODRIGO    </t>
  </si>
  <si>
    <t xml:space="preserve">GOMEZ  FUENMAYOR  GUSTAVO  ALBERTO  </t>
  </si>
  <si>
    <t xml:space="preserve">ROJAS  GOMEZ  ALEXANDER  GILLETTE  </t>
  </si>
  <si>
    <t xml:space="preserve">USUGA  SANMIGUEL  YEFERSON  DAVID  </t>
  </si>
  <si>
    <t xml:space="preserve">GONZALEZ  PINZON  JUAN  JOSE  </t>
  </si>
  <si>
    <t xml:space="preserve">VELA  PLAZA  CESAR  ANDRES  </t>
  </si>
  <si>
    <t xml:space="preserve">TORRES  OCAMPO  GERMAN  ALEJANDRO  </t>
  </si>
  <si>
    <t xml:space="preserve">GONZALEZ  FUENTES  ROBERTO  CARLOS  </t>
  </si>
  <si>
    <t xml:space="preserve">AYARZA  PALOMINO  JONATHAN    </t>
  </si>
  <si>
    <t xml:space="preserve">ARRIETA  PADILLA  JAVIER  ARMANDO  </t>
  </si>
  <si>
    <t xml:space="preserve">MELENDEZ  OSPINO  JOAQUIN  ENRIQUE  </t>
  </si>
  <si>
    <t xml:space="preserve">SANCHEZ  ALFONSO  MARCO  ANTONIO  </t>
  </si>
  <si>
    <t xml:space="preserve">UCROS  DE LA HOZ  SEBASTIAN  ALEJANDRO  </t>
  </si>
  <si>
    <t xml:space="preserve">GAMBOA  JIMENEZ  IVONNE  KATHERINE  </t>
  </si>
  <si>
    <t xml:space="preserve">CARRILLO  BAUTISTA  JUAN  CARLOS  </t>
  </si>
  <si>
    <t xml:space="preserve">PRIETO  CARDOZO  FERNANDO  GREGORIO  </t>
  </si>
  <si>
    <t xml:space="preserve">MONTENEGRO  PERTUZ  EBERTO  JUAN  </t>
  </si>
  <si>
    <t xml:space="preserve">ESCUDERO  CARMONA  LUIS  FERNANDO  </t>
  </si>
  <si>
    <t xml:space="preserve">RUBIO  HILARION  JAVIER  LEONARDO  </t>
  </si>
  <si>
    <t xml:space="preserve">ORTEGA  RAMIREZ  STHEIVER    </t>
  </si>
  <si>
    <t xml:space="preserve">FERRER  SEGURA  LUIS  CARLOS  </t>
  </si>
  <si>
    <t xml:space="preserve">RIVERA  HERRERA  KEEMBERLY  MARILYN  </t>
  </si>
  <si>
    <t xml:space="preserve">        PAVCO PEGACERAMICA JB SAS</t>
  </si>
  <si>
    <t xml:space="preserve">SOLANO  DIAZ  HENRY    </t>
  </si>
  <si>
    <t xml:space="preserve">        KASSANI DISEÑO S.A.S</t>
  </si>
  <si>
    <t xml:space="preserve">        JUNCAL SAS</t>
  </si>
  <si>
    <t xml:space="preserve">        CONJUNTO RESIDENCIAL BRISAS DE BUENAVISTA</t>
  </si>
  <si>
    <t xml:space="preserve">        EBISU S.A.S. EMPRESA DE SERVICIOS Y SUMINISTROS</t>
  </si>
  <si>
    <t xml:space="preserve">        CONSTRUCCIONES C.P. S.A.S.</t>
  </si>
  <si>
    <t xml:space="preserve">        EL CALAFATE S.A.S.</t>
  </si>
  <si>
    <t xml:space="preserve">CHACON  RIVERA  ARLEX    </t>
  </si>
  <si>
    <t xml:space="preserve">COPETE  MURILLO  LUZ  MARINA  </t>
  </si>
  <si>
    <t xml:space="preserve">        PROYECTOS CIVILES Y MECANICOS S.A.S</t>
  </si>
  <si>
    <t xml:space="preserve">OSPINO  BUSTAMANTE  BRIANA  PAOLA  </t>
  </si>
  <si>
    <t xml:space="preserve">SUANCHA  PEDRAZA  JEFFERSON  ANDRES  </t>
  </si>
  <si>
    <t xml:space="preserve">APONTE  CIFUENTES  LAURA  JULIETH  </t>
  </si>
  <si>
    <t xml:space="preserve">        ORBE S. A.S.  CONSTRUCCIONES</t>
  </si>
  <si>
    <t xml:space="preserve">        GAONA CURREA S.A.S</t>
  </si>
  <si>
    <t xml:space="preserve">RUIZ  POSADA  SANTIAGO    </t>
  </si>
  <si>
    <t xml:space="preserve">        PROMOTORA VIVENDUM S.A.</t>
  </si>
  <si>
    <t xml:space="preserve">CORTES  VANEGAS  EDWARD  STEVEN  </t>
  </si>
  <si>
    <t xml:space="preserve">JARAMILLO  GUARNIZO  HERNAN  CAMILO  </t>
  </si>
  <si>
    <t xml:space="preserve">GARCIA  BEDOYA  LUCY  MILENA  </t>
  </si>
  <si>
    <t xml:space="preserve">        MAGNUS PROMOTORA DE PROYECTOS SAS</t>
  </si>
  <si>
    <t xml:space="preserve">        GRUPO INMOBILIARIO HAMBURGO S A S</t>
  </si>
  <si>
    <t xml:space="preserve">        INSTANTES GROUP S.A.S.</t>
  </si>
  <si>
    <t xml:space="preserve">        CONSTRUCTORA AV S.A.S</t>
  </si>
  <si>
    <t xml:space="preserve">        EDIFICIO TERRAZAS DEL LLANO 1A ETAPA</t>
  </si>
  <si>
    <t xml:space="preserve">        UNIVERSIDAD ECCI</t>
  </si>
  <si>
    <t xml:space="preserve">        AMERICANA DE SERVICIOS LTDA</t>
  </si>
  <si>
    <t xml:space="preserve">ALAPE  ROJAS  REYNALDO  ALONSO  </t>
  </si>
  <si>
    <t xml:space="preserve">VACA  TARAZONA  ANA  YANETH  </t>
  </si>
  <si>
    <t xml:space="preserve">        CORPORACION RED NACIONAL ACADEMICA DE TECNOLOGIA AVANZADA -RENATA-</t>
  </si>
  <si>
    <t xml:space="preserve">        TESORO LIVING CONSTRUCTORES S.A.S</t>
  </si>
  <si>
    <t xml:space="preserve">LLANOS  PALACIOS  CARLOS  ARTURO  </t>
  </si>
  <si>
    <t xml:space="preserve">        PADICOR  S.A.S.</t>
  </si>
  <si>
    <t xml:space="preserve">MELENDEZ  MOJICA  BRENDA  MARIA  </t>
  </si>
  <si>
    <t xml:space="preserve">        OBRARTE S A S</t>
  </si>
  <si>
    <t xml:space="preserve">        COMERCIALIZADORA DISLON S.A.S.</t>
  </si>
  <si>
    <t xml:space="preserve">        ARKA RENTAL S.A.S.</t>
  </si>
  <si>
    <t xml:space="preserve">        OPTIME CONSULTING ANDINA SAS</t>
  </si>
  <si>
    <t xml:space="preserve">        ASEO SERVICIOS SAS</t>
  </si>
  <si>
    <t xml:space="preserve">        BANCOLOMBIA S.A.</t>
  </si>
  <si>
    <t xml:space="preserve">        EDIFICAR S.A.S.</t>
  </si>
  <si>
    <t xml:space="preserve">        LINEA RECTA S.A.S.</t>
  </si>
  <si>
    <t xml:space="preserve">        CONJUNTO RESIDENCIAL EDIFICIO MONTEARROYO</t>
  </si>
  <si>
    <t xml:space="preserve">        INVERSIONES ZB S A S</t>
  </si>
  <si>
    <t xml:space="preserve">        EDIFICIO OXFORD - PROPIEDAD HORIZONTAL</t>
  </si>
  <si>
    <t xml:space="preserve">LEON  PEÑA  NELSON    </t>
  </si>
  <si>
    <t xml:space="preserve">        SUHAUS S.A.S</t>
  </si>
  <si>
    <t xml:space="preserve">        INVERSIONES L&amp; P S.A.S</t>
  </si>
  <si>
    <t xml:space="preserve">VACA  TORRADO  JOSE  EUSEBIO  </t>
  </si>
  <si>
    <t xml:space="preserve">ROMO  LOZANO  JUAN  MANUEL  </t>
  </si>
  <si>
    <t xml:space="preserve">        EDIFICIO BAMBU 94</t>
  </si>
  <si>
    <t xml:space="preserve">        ZULUAGA PATIOS SAS</t>
  </si>
  <si>
    <t xml:space="preserve">        INVERSIONES LOS GIRALDO SAS</t>
  </si>
  <si>
    <t xml:space="preserve">        HOUSINN.CO S.A.S.</t>
  </si>
  <si>
    <t xml:space="preserve">        UNION ELECTRICA S.A.</t>
  </si>
  <si>
    <t xml:space="preserve">ZAPATA  ZABALA  OSCAR  FERNANDO  </t>
  </si>
  <si>
    <t xml:space="preserve">        EDIFICIO JARDINES DE NAVARRA</t>
  </si>
  <si>
    <t xml:space="preserve">        AGUILAR GOMEZ DISEÑOS Y CONTRUCCIONES LTDA</t>
  </si>
  <si>
    <t xml:space="preserve">        COLVIVIENDAS S.A.S.</t>
  </si>
  <si>
    <t xml:space="preserve">        4A CONSTRUCTORA S.A.S.</t>
  </si>
  <si>
    <t xml:space="preserve">        EDIFICIO SANTORINI P.H.</t>
  </si>
  <si>
    <t xml:space="preserve">        EDIFICO SAN FRANCISCO PROPIEDAD HORIZONTAL</t>
  </si>
  <si>
    <t xml:space="preserve">        GONZALEZ CONSTRUCTORES SAS</t>
  </si>
  <si>
    <t xml:space="preserve">        MIRADOR DE SANTA HELENA ETAPA 1 - PROPIEDAD HORIZONTAL</t>
  </si>
  <si>
    <t xml:space="preserve">        M.G.L. INGENIEROS S.A.S.</t>
  </si>
  <si>
    <t xml:space="preserve">        PROFESIONALES EN INGENIERIA Y DESARROLLO S.A.S</t>
  </si>
  <si>
    <t xml:space="preserve">SABA  SANTIAGO  LAURA  SORAYA  </t>
  </si>
  <si>
    <t xml:space="preserve">        INVERSIONES LOS ANGELES A&amp;F SAS</t>
  </si>
  <si>
    <t xml:space="preserve">        PROMOTORA INMOBILIARIA LA CUENCA S.A.S.</t>
  </si>
  <si>
    <t xml:space="preserve">        PROMOTORA EL LAUREL S.A.S.</t>
  </si>
  <si>
    <t xml:space="preserve">        EDIFICIO ASTORGA REAL</t>
  </si>
  <si>
    <t xml:space="preserve">RODRIGUEZ  TERRAZA  JOSE  MIGUEL  </t>
  </si>
  <si>
    <t xml:space="preserve">GUERRERO  RAMIREZ  VICTOR  ELKIN  </t>
  </si>
  <si>
    <t xml:space="preserve">        GASTRONOMY SOCIETY OF COLOMBIA S.A.S.</t>
  </si>
  <si>
    <t xml:space="preserve">        INSTALACION Y MANTENIMIENTOS DE ASCENSORES CORDOBA S.A.S.</t>
  </si>
  <si>
    <t xml:space="preserve">NOVOA  PINEDA  ANDRES    </t>
  </si>
  <si>
    <t xml:space="preserve">        EDIFICIO EL ALCAZAR - PROPIEDAD HORIZONTAL</t>
  </si>
  <si>
    <t xml:space="preserve">ABRIL  HERNANDEZ  GREGORIO    </t>
  </si>
  <si>
    <t xml:space="preserve">        EDIFICIO BARI - PROPIEDAD HORIZONTAL</t>
  </si>
  <si>
    <t xml:space="preserve">SALGADO  FARIAS  ALVARO  DANIEL  </t>
  </si>
  <si>
    <t xml:space="preserve">        EDIFICIO DINASTIA P.H.</t>
  </si>
  <si>
    <t xml:space="preserve">        INMOBILIARIA CONSTRUCTORA SERVING S.A.S.</t>
  </si>
  <si>
    <t xml:space="preserve">        PERFILES Y SOLUCIONES LOGISTICAS S A S</t>
  </si>
  <si>
    <t xml:space="preserve">        EDIFICIO MIRAMONTE - PROPIEDAD HORIZONTAL</t>
  </si>
  <si>
    <t xml:space="preserve">        EDIFFICO S.A.S</t>
  </si>
  <si>
    <t xml:space="preserve">        PROMOTORA EL HATO S.A.S.</t>
  </si>
  <si>
    <t xml:space="preserve">        INVERSIONES DONADO ORTIZ  S.A.S</t>
  </si>
  <si>
    <t xml:space="preserve">        CONSORCIO CDV 2023</t>
  </si>
  <si>
    <t xml:space="preserve">        ANGLO ANGULO &amp; CIA S C A</t>
  </si>
  <si>
    <t xml:space="preserve">        TORRE  73  S.A.S.</t>
  </si>
  <si>
    <t xml:space="preserve">        FIX CONSTRUCCIONES SOCIEDAD POR ACCIONES SIMPLIFICADA</t>
  </si>
  <si>
    <t xml:space="preserve">        RESERVA LAS MERCEDES SAS</t>
  </si>
  <si>
    <t xml:space="preserve">        CLUB CENTRO DE BIENESTAR SIGUENZA - PROPIEDAD HORIZONTAL</t>
  </si>
  <si>
    <t xml:space="preserve">        EDIFICIO SAN MARTÍN DE ALAMEDA - PROPIEDAD HORIZONTAL</t>
  </si>
  <si>
    <t xml:space="preserve">CABALLERO  GIRALDO  LUZ  ANGELA  </t>
  </si>
  <si>
    <t xml:space="preserve">        EDIFICIO DUQUE IV</t>
  </si>
  <si>
    <t xml:space="preserve">        FONDO COMUN PLAYA SALGUERO</t>
  </si>
  <si>
    <t xml:space="preserve">BETANCUR  GARCIA  TAHIANA    </t>
  </si>
  <si>
    <t xml:space="preserve">        PROMOTORA PORTOBELO SAS</t>
  </si>
  <si>
    <t xml:space="preserve">        RESTREPO ROJAS PINEDA ARQUITECTOS S.A.S</t>
  </si>
  <si>
    <t xml:space="preserve">        EDIFICIO OSLO APARTAMENTOS PROPIEDAD HORIZONTAL</t>
  </si>
  <si>
    <t xml:space="preserve">LOBO  BOHORQUEZ  ELIAS    </t>
  </si>
  <si>
    <t xml:space="preserve">        CASA CANABAL HOTEL BOUTIQUE S.A.S.</t>
  </si>
  <si>
    <t xml:space="preserve">        TORRE  93  SAS</t>
  </si>
  <si>
    <t xml:space="preserve">JIMENEZ  TAMAYO  ELBERTO    </t>
  </si>
  <si>
    <t xml:space="preserve">        EDIFICIO TREVISO PROPIEDAD HORIZONTAL</t>
  </si>
  <si>
    <t xml:space="preserve">        EL OLYMPO CONDOMINIO  &amp; RESORT</t>
  </si>
  <si>
    <t xml:space="preserve">        CONJUNTO DE VIVIENDA TORRES DE SANTA LUCIA - PROPIEDAD HORIZONTAL</t>
  </si>
  <si>
    <t xml:space="preserve">        EDIFICIO TERRA 93 - PROPIEDAD HORIZONTAL</t>
  </si>
  <si>
    <t xml:space="preserve">TRUJILLO  RESTREPO  ADRIANA  PATRICIA  </t>
  </si>
  <si>
    <t xml:space="preserve">TRUJILLO  RESTREPO  BEATRIZ  ELENA  </t>
  </si>
  <si>
    <t xml:space="preserve">        EMPRESA SOCIAL DEL ESTADO BARRANCABERMEJA</t>
  </si>
  <si>
    <t xml:space="preserve">        CONSTRUCTORA DELAMAR S.A.S.</t>
  </si>
  <si>
    <t xml:space="preserve">        VERONA APARTAMENTOS P.H.</t>
  </si>
  <si>
    <t xml:space="preserve">        EDIFICIO MULTIFAMILIAR HIPONA - PROPIEDAD HORIZONTAL</t>
  </si>
  <si>
    <t xml:space="preserve">        NOMADIC HOUSE S.A.S.</t>
  </si>
  <si>
    <t xml:space="preserve">IBARRA  ORTEGA  NAYARITH  VANESSA  </t>
  </si>
  <si>
    <t xml:space="preserve">        INVERSIONES VECTOR S.A.S.</t>
  </si>
  <si>
    <t xml:space="preserve">        EDIFICIO LOFT DE LA 93 PIJAO PROPIEDAD HORIZONTAL - PROPIEDAD HORIZONTAL</t>
  </si>
  <si>
    <t xml:space="preserve">        AGROPECUARIA AGUA VERDE S.A.S.</t>
  </si>
  <si>
    <t xml:space="preserve">MORALES  GAVIRIA  ERIKA  CRISTINA  </t>
  </si>
  <si>
    <t xml:space="preserve">        CONSTRUIR YJK S.A.S</t>
  </si>
  <si>
    <t xml:space="preserve">        INTERNACIONAL FERRETERA S.A.S.</t>
  </si>
  <si>
    <t xml:space="preserve">        CONJUNTO MULTIFAMILIAR FUENTES DE ZUÑIGA P.H.</t>
  </si>
  <si>
    <t xml:space="preserve">        INVERSIONES SOLAR 1010 S.A.S.</t>
  </si>
  <si>
    <t xml:space="preserve">        COMITE OLIMPICO COLOMBIANO</t>
  </si>
  <si>
    <t xml:space="preserve">        CONSORCIO SOMAC</t>
  </si>
  <si>
    <t xml:space="preserve">        UNION TEMPORAL COTES-B&amp;B</t>
  </si>
  <si>
    <t xml:space="preserve">        CONSTRUYE ESPINOSA S.A.S.</t>
  </si>
  <si>
    <t xml:space="preserve">        INGENIERIA EN CONSTRUCCIONES CIVILES S.A.S.</t>
  </si>
  <si>
    <t xml:space="preserve">        MUROS Y TECHOS S.A.S INGENIEROS Y ARQUITECTOS "MUROS Y TECHOS S.A.S."</t>
  </si>
  <si>
    <t xml:space="preserve">AMADO  NEIRA  HESSING  ADRIANO  </t>
  </si>
  <si>
    <t xml:space="preserve">        CFG PARTNERS COLOMBIA S.A.S.</t>
  </si>
  <si>
    <t xml:space="preserve">        CONSTRUCTORA  VALDERRAMA S.A.S</t>
  </si>
  <si>
    <t xml:space="preserve">        ENTIDAD PROMOTORA DE SALUD SANITAS S.A.S.</t>
  </si>
  <si>
    <t xml:space="preserve">        R&amp;R CONSTRUCTORA ASOCIADOS S.A.S</t>
  </si>
  <si>
    <t xml:space="preserve">        DOLMEN S.A.  E.S.P.</t>
  </si>
  <si>
    <t xml:space="preserve">MANTILLA  HERNANDEZ  LUIS  CARLOS  </t>
  </si>
  <si>
    <t xml:space="preserve">        COLEGIO JULIO GARAVITO ARMERO  (IED)</t>
  </si>
  <si>
    <t xml:space="preserve">        EDIFICIO MORROS KAI PROPIEDAD HORIZONTAL</t>
  </si>
  <si>
    <t xml:space="preserve">        STANDOUT MGMT S.A.S.</t>
  </si>
  <si>
    <t xml:space="preserve">        INSTITUCION EDUCATIVA JORGE ELIECER GAITAN AYALA</t>
  </si>
  <si>
    <t xml:space="preserve">        LIAN S. A.S.</t>
  </si>
  <si>
    <t xml:space="preserve">        RUTA INMOBILIARIA S.A.S.</t>
  </si>
  <si>
    <t xml:space="preserve">        INAGRAM DE COLOMBIA S.A.S.</t>
  </si>
  <si>
    <t xml:space="preserve">        DOMUS CAPITAL S.A.S.</t>
  </si>
  <si>
    <t xml:space="preserve">        CONSORCIO VIVE PUERTO COLOMBIA</t>
  </si>
  <si>
    <t xml:space="preserve">        CONGREGACION DE SANTO DOMINGO</t>
  </si>
  <si>
    <t xml:space="preserve">        EDIFICIO SANTA CLARA IV - PROPIEDAD HORIZONTAL</t>
  </si>
  <si>
    <t xml:space="preserve">GOMEZ  SOTO  JUAN  DAVID  </t>
  </si>
  <si>
    <t xml:space="preserve">VALENCIA  ALARCON  JONATHAN    </t>
  </si>
  <si>
    <t xml:space="preserve">CARREÑO  GARCIA  JHONATAN  ARLEY  </t>
  </si>
  <si>
    <t xml:space="preserve">        EDIFICIO QUADRATO - PROPIEDAD HORIZONTAL</t>
  </si>
  <si>
    <t xml:space="preserve">        EDIFICIO CENTRO COMERCIAL EL CARACOL - PROPIEDAD HORIZONTAL</t>
  </si>
  <si>
    <t xml:space="preserve">        CONSTRUCTORA INFANTE VIVES S.A.S</t>
  </si>
  <si>
    <t xml:space="preserve">HERNANDEZ  SARRIA  LUIS  EDUARDO  </t>
  </si>
  <si>
    <t xml:space="preserve">        OSPINAS Y CIA S A</t>
  </si>
  <si>
    <t xml:space="preserve">GONZALEZ  YANCE  JOSE  GREGORIO  </t>
  </si>
  <si>
    <t xml:space="preserve">        INTEGRAL DE NEGOCIOS CALI S.A.S.</t>
  </si>
  <si>
    <t xml:space="preserve">CORREA  RAMIREZ  ALEXIS  FERNANDO  </t>
  </si>
  <si>
    <t xml:space="preserve">        TRANSPORTES FARIAS S.A.S.</t>
  </si>
  <si>
    <t xml:space="preserve">        IVORY CONSTRUCCIONES S.A.S.</t>
  </si>
  <si>
    <t xml:space="preserve">        BUENDIA HOTEL SAS</t>
  </si>
  <si>
    <t xml:space="preserve">        DIES S.A.S.</t>
  </si>
  <si>
    <t xml:space="preserve">OVIEDO  ALGARRA  YEHIMI  TATIANA  </t>
  </si>
  <si>
    <t xml:space="preserve">        LA EMBAJADA DE LOS EMIRATOS ARABES UNIDOS</t>
  </si>
  <si>
    <t xml:space="preserve">        INSTITUTO NEUROPSIQUIATRICO NUESTRA SEÑORA DEL CARMEN INSECAR S.A.S.</t>
  </si>
  <si>
    <t xml:space="preserve">        EDIFICIO INFINITO 1111 COMERCIO VECINAL P.H.</t>
  </si>
  <si>
    <t xml:space="preserve">        EDIFICIO LIAN GALLERY 74 - PROPIEDAD HORIZONTAL</t>
  </si>
  <si>
    <t xml:space="preserve">        PROYECTOS Y SERVICIOS DE INGENIERIA GAS Y PETROLEO SOCIEDAD POR ACCIONES SIMPLIFICADA</t>
  </si>
  <si>
    <t xml:space="preserve">        CANELIA VIS - PROPIEDAD HORIZONTAL</t>
  </si>
  <si>
    <t xml:space="preserve">        EDIFICIO ANTARES -P.H.-</t>
  </si>
  <si>
    <t xml:space="preserve">        81 LIVING-PROPIEDAD HORIZONTAL</t>
  </si>
  <si>
    <t xml:space="preserve">FLOREZ  ARANGO  DIANA  MARIA  </t>
  </si>
  <si>
    <t xml:space="preserve">TRUJILLO  RESTREPO  MARIA  CECILIA  </t>
  </si>
  <si>
    <t xml:space="preserve">        QUINTOSPAZIO LTDA</t>
  </si>
  <si>
    <t xml:space="preserve">        TRAVEL CLUB SAS</t>
  </si>
  <si>
    <t xml:space="preserve">        PROMOTORA EL SOLAR S.A.S.</t>
  </si>
  <si>
    <t xml:space="preserve">        KOI CONSTRUCTORA S.A.S.</t>
  </si>
  <si>
    <t xml:space="preserve">        CONSULTORES, CONSTRUCTORES, ARQUITECTOS, INGENIEROS, ASOCIADOS S.A.S.</t>
  </si>
  <si>
    <t xml:space="preserve">        CONSUBER S.A.S.</t>
  </si>
  <si>
    <t xml:space="preserve">GORDO  MORALES  GUSTAVO  ERNESTO  </t>
  </si>
  <si>
    <t xml:space="preserve">CORREA  CORREA  PEDRO  HERNAN  </t>
  </si>
  <si>
    <t xml:space="preserve">        APARTAMENTOS RESERVA LAS MERCEDES</t>
  </si>
  <si>
    <t xml:space="preserve">        TRANSPORTES JAIME BUENDIA S.A.S.</t>
  </si>
  <si>
    <t xml:space="preserve">        PROYECTOS DE INGENIERIA  I &amp; D S.A.S</t>
  </si>
  <si>
    <t xml:space="preserve">PALACIOS  TRIVIÑO  NORBY    </t>
  </si>
  <si>
    <t xml:space="preserve">        QUIMICOLOR SAS</t>
  </si>
  <si>
    <t xml:space="preserve">        EDIFICIO HASHTAG 98 HOTEL - PROPIEDAD HORIZONTAL</t>
  </si>
  <si>
    <t xml:space="preserve">        EDIFICIO SAN LUIS - PROPIEDAD HORIZONTAL</t>
  </si>
  <si>
    <t xml:space="preserve">        EDIFICIO MARIA JOSE</t>
  </si>
  <si>
    <t xml:space="preserve">        EDIFICIO MULTIFAMILIAR TABELLA PH</t>
  </si>
  <si>
    <t xml:space="preserve">LEON  NIÑO  ARGEMIRO    </t>
  </si>
  <si>
    <t xml:space="preserve">        EDIFICIO PORTON DEL NOGAL - PROPIEDAD HORIZONTAL</t>
  </si>
  <si>
    <t xml:space="preserve">        "CONJUNTO TIERRALINDA DEL VALLE" - PROPIEDAD HORIZONTAL</t>
  </si>
  <si>
    <t xml:space="preserve">        EDIFICIO NOMADIC HOUSE - PROPIEDAD HORIZONTAL</t>
  </si>
  <si>
    <t xml:space="preserve">        PROMOTORA INMOBILIARIA MI CIUDAD S.A.S</t>
  </si>
  <si>
    <t xml:space="preserve">VERGARA  SANCHEZ  EDWIN  ALEXANDER  </t>
  </si>
  <si>
    <t xml:space="preserve">        G KOI S.A.S.</t>
  </si>
  <si>
    <t xml:space="preserve">        EDIFICIO RESIDENCIAL BALCONES DEL CAUDAL RINCON PROPIEDAD HORIZONTAL</t>
  </si>
  <si>
    <t xml:space="preserve">        EDIFICIO ACUARELA - PROPIEDAD HORIZONTAL</t>
  </si>
  <si>
    <t xml:space="preserve">VERA  CONTRERAS  GONZALO    </t>
  </si>
  <si>
    <t xml:space="preserve">        EDIFICIO NEUCHATEL-PROPIEDAD HORIZONTAL</t>
  </si>
  <si>
    <t xml:space="preserve">        CONJUNTO TIERRA LINDA DEL LAGO - VIS - PROPIEDAD HORIZONTAL</t>
  </si>
  <si>
    <t xml:space="preserve">        PROPIEDAD HORIZONTAL DEL EDIFICIO LOS ALPES</t>
  </si>
  <si>
    <t xml:space="preserve">        BROKEN CHAINS S.A.S.</t>
  </si>
  <si>
    <t xml:space="preserve">        INVERSIONES BALLESTEROS LEON  S.A.S</t>
  </si>
  <si>
    <t xml:space="preserve">        MAN &amp; OBRA S.A.S.</t>
  </si>
  <si>
    <t xml:space="preserve">        CONJUNTO RESIDENCIAL RESERVA DEL SOL - PROPIEDAD HORIZONTAL</t>
  </si>
  <si>
    <t xml:space="preserve">        ANDEXCO COLOMBIA S.A.S</t>
  </si>
  <si>
    <t xml:space="preserve">        EDIFICIO DA VINCI</t>
  </si>
  <si>
    <t xml:space="preserve">        GF INGENIEROS S.A.S.</t>
  </si>
  <si>
    <t xml:space="preserve">        EDIFICIO "MULTIFAMILIAR LUCIANA" PROPIEDAD HORIZONTAL</t>
  </si>
  <si>
    <t xml:space="preserve">        ORDEN DE AGUSTINOS RECOLETOS</t>
  </si>
  <si>
    <t xml:space="preserve">        EDIFICIO LAGOS DEL MEDITERRANEO</t>
  </si>
  <si>
    <t xml:space="preserve">        ALCIELO CONSTRUCTORA S.A.S.</t>
  </si>
  <si>
    <t xml:space="preserve">ROMO  ROSERO  RUTH  DEL CARMEN  </t>
  </si>
  <si>
    <t xml:space="preserve">        EDIFICIO STUDIO 56- PROPIEDAD HORIZONTAL</t>
  </si>
  <si>
    <t xml:space="preserve">        CONSORCIO MEDITERRANEA</t>
  </si>
  <si>
    <t xml:space="preserve">        CONSTRUCTORA ZABDI S.A.S.</t>
  </si>
  <si>
    <t xml:space="preserve">        EDIFICIO 14K - PROPIEDAD HORIZONTAL</t>
  </si>
  <si>
    <t xml:space="preserve">        EDIFICIO RIVIERA  IMPERIAL- PROPIEDAD HORIZONTAL</t>
  </si>
  <si>
    <t xml:space="preserve">        EDIFICIO OCEANI TOWERS ETAPA 2 TORRE 1 PROPIEDAD HORIZONTAL</t>
  </si>
  <si>
    <t xml:space="preserve">        EDIFICIO RIO LILY - PROPIEDAD HORIZONTAL</t>
  </si>
  <si>
    <t xml:space="preserve">        EDIFICIO MAYARI</t>
  </si>
  <si>
    <t xml:space="preserve">        EDIFICIO  BOREAL -PROPIEDAD  HORIZONTAL</t>
  </si>
  <si>
    <t xml:space="preserve">        RÍO LILY S.A.S.</t>
  </si>
  <si>
    <t xml:space="preserve">MEDINA  GUTIERREZ  REINALDO    </t>
  </si>
  <si>
    <t xml:space="preserve">        AKELA HOTELS S.A.S</t>
  </si>
  <si>
    <t xml:space="preserve">        EDIFICIO TORRES DE LOS ANDES TORRES  A  Y  B</t>
  </si>
  <si>
    <t xml:space="preserve">        FUNDACION COSME Y DAMIAN</t>
  </si>
  <si>
    <t xml:space="preserve">BOLLINGER    CHRISTIAN  JOHANNES  </t>
  </si>
  <si>
    <t xml:space="preserve">        EDIFICIO VIAREGGI - PROPIEDAD HORIZONTAL</t>
  </si>
  <si>
    <t xml:space="preserve">        EDIFICIO MILANO _ PROPIEDAD HORIZONTAL</t>
  </si>
  <si>
    <t xml:space="preserve">        SICOL HOLDING SOCIEDAD POR ACCIONES SIMPLIFICADA</t>
  </si>
  <si>
    <t xml:space="preserve">        EDIFICIO RESIDENCIAL TORRE ISA</t>
  </si>
  <si>
    <t xml:space="preserve">        ESTRUCTURAR     S . A . S .  INGENIEROS CONSTRUCTORES</t>
  </si>
  <si>
    <t xml:space="preserve">        EDIFICIO FIRENZE - PROPIEDAD HORIZONTAL</t>
  </si>
  <si>
    <t xml:space="preserve">        JARAMILLO MORA CONSTRUCTORA S.A.</t>
  </si>
  <si>
    <t xml:space="preserve">        EDIFICIO KOBLENZ - PROPIEDAD HORIZONTAL</t>
  </si>
  <si>
    <t xml:space="preserve">ARIAS  VANEGAS  DORA  PATRICIA  </t>
  </si>
  <si>
    <t xml:space="preserve">        NEGOCIOS E INVERSIONES INMOBILIARIAS J&amp;G S.A.S.</t>
  </si>
  <si>
    <t xml:space="preserve">        EDIFICIO TORRES DE SAN NICOLAS PROPIEDAD HORIZONTAL</t>
  </si>
  <si>
    <t xml:space="preserve">        CONJUNTO CAMPOS DE PANGOLA A - VIS</t>
  </si>
  <si>
    <t xml:space="preserve">        "AQUARELA APARTAMENTOS" PROPIEDAD HORIZONTAL</t>
  </si>
  <si>
    <t xml:space="preserve">ELEJALDE  ZAPATA  EDWIN  RUDERICO  </t>
  </si>
  <si>
    <t xml:space="preserve">VELASQUEZ  GALLEGO  OMAIRA  DEL SOCORRO  </t>
  </si>
  <si>
    <t xml:space="preserve">        COMPASSION INTERNATIONAL INCORPORATED</t>
  </si>
  <si>
    <t xml:space="preserve">        LEPLAZTIQUE SAS</t>
  </si>
  <si>
    <t xml:space="preserve">        RAMA JUDICIAL DIRECCION SECCIONAL DE ADMINISTRACION JUDICIAL NORTE DE SANTANDER - CUCUTA</t>
  </si>
  <si>
    <t xml:space="preserve">        METROPOLITAN CONJUNTO INMOBILIARIO - PROPIEDAD HORIZONTAL</t>
  </si>
  <si>
    <t xml:space="preserve">SANABRIA  RODRIGUEZ  EDDY  ROCIO  </t>
  </si>
  <si>
    <t xml:space="preserve">        MCONSTRUCTION, S.A.S.</t>
  </si>
  <si>
    <t xml:space="preserve">        CONTRALORIA GENERAL DE LA REPUBLICA</t>
  </si>
  <si>
    <t xml:space="preserve">CARDONA  GOMEZ  MARGARITA  MARIA  </t>
  </si>
  <si>
    <t xml:space="preserve">        EDIFICIO ALTOS DE GUZMAN - PROPIEDAD HORIZONTAL</t>
  </si>
  <si>
    <t xml:space="preserve">        CENTRO ODONTOLOGICO &amp; MAXILOFACIAL DR. JUAN DAVID DIAZ B. S.A.S.</t>
  </si>
  <si>
    <t xml:space="preserve">ORTEGA  ENRIQUEZ  OSCAR  JAVIER  </t>
  </si>
  <si>
    <t xml:space="preserve">        ESTRUCTURAR INFRAESTRUCTURA S.A.S.</t>
  </si>
  <si>
    <t xml:space="preserve">        EDIFICIO ZAFIRO</t>
  </si>
  <si>
    <t xml:space="preserve">        CONCRETO Y ARQUITECTURA NORTE SAS</t>
  </si>
  <si>
    <t xml:space="preserve">LEMUS  SAAB  ARMANDO    </t>
  </si>
  <si>
    <t xml:space="preserve">        HL  OPERADORES  S.A.S.</t>
  </si>
  <si>
    <t xml:space="preserve">        EDIFICIO MILENA  -PROPIEDAD HORIZONTAL</t>
  </si>
  <si>
    <t xml:space="preserve">        CONJUNTO RESIDENCIAL NOBORI - PROPIEDAD HORIZONTAL</t>
  </si>
  <si>
    <t xml:space="preserve">        ACTIVOS CAPITAL S.A.S.</t>
  </si>
  <si>
    <t xml:space="preserve">CONTRERAS  RESTREPO  CATALINA    </t>
  </si>
  <si>
    <t xml:space="preserve">        JASSIR SAIEH S.A.S</t>
  </si>
  <si>
    <t xml:space="preserve">        EXALTA S.A.S.</t>
  </si>
  <si>
    <t xml:space="preserve">RAMIREZ  AMAYA  JOSE  GREGORIO  </t>
  </si>
  <si>
    <t xml:space="preserve">        EDIFICIO ALBORAN - P.H.</t>
  </si>
  <si>
    <t xml:space="preserve">        EDIFICIO LUXOR P.H.</t>
  </si>
  <si>
    <t xml:space="preserve">        CENTRO COMERCIAL MONSERRAT PLAZA</t>
  </si>
  <si>
    <t xml:space="preserve">        EDIFICIO SAN FELIPE</t>
  </si>
  <si>
    <t xml:space="preserve">        SOCIEDAD INVERSORA DE CAPITALES S.A.</t>
  </si>
  <si>
    <t xml:space="preserve">        EDIFICIO LOS CAMBULOS 65 PROPIEDAD HORIZONTAL</t>
  </si>
  <si>
    <t xml:space="preserve">        EDIFICIO PARQUE REAL DE FRANCIA P H</t>
  </si>
  <si>
    <t xml:space="preserve">        CONJUNTO RESIDENCIAL CABO ALTO</t>
  </si>
  <si>
    <t xml:space="preserve">        CONDOMINIO EDIFICIO EL CARRETERO</t>
  </si>
  <si>
    <t xml:space="preserve">        EDIFICIO AMARETTO - PROPIEDAD HORIZONTAL</t>
  </si>
  <si>
    <t xml:space="preserve">        EDIFICIO CAMARA DE COMERCIO</t>
  </si>
  <si>
    <t xml:space="preserve">        EDIFICIO  SANTA MARIA   - PROPIEDAD HORIZONTAL</t>
  </si>
  <si>
    <t xml:space="preserve">        CONJUNTO RESIDENCIAL JACARANDA -  PROPIEDAD HORIZONTAL</t>
  </si>
  <si>
    <t xml:space="preserve">        EDIFICIO SAKURA - PROPIEDAD HORIZONTAL</t>
  </si>
  <si>
    <t xml:space="preserve">        FUNDACION ALEJANDRO LONDOÑO</t>
  </si>
  <si>
    <t xml:space="preserve">        EDIFICIO AGAVE -  PROPIEDAD HORIZONTAL</t>
  </si>
  <si>
    <t xml:space="preserve">        EDIFICIO PARQUE 98 PROPIEDAD HORIZONTAL</t>
  </si>
  <si>
    <t xml:space="preserve">        EDIFICIO QUANTUM - PROPIEDAD HORIZONTAL</t>
  </si>
  <si>
    <t xml:space="preserve">        EDIFICIO ESTORIL 100 - PROPIEDAD HORIZONTAL</t>
  </si>
  <si>
    <t xml:space="preserve">        UNIBANK S A S</t>
  </si>
  <si>
    <t xml:space="preserve">        EDIFICIO QOSQO</t>
  </si>
  <si>
    <t xml:space="preserve">        THE FACTORY HKA COLOMBIA S.A.S.</t>
  </si>
  <si>
    <t xml:space="preserve">        LA FRAGATA NORTE S.A.S.</t>
  </si>
  <si>
    <t xml:space="preserve">        SUCCO JUICEBAR SAS</t>
  </si>
  <si>
    <t xml:space="preserve">        CONJUNTO RESIDENCIAL ANTARES TORRE 2 - PROPIEDAD HORIZONTAL</t>
  </si>
  <si>
    <t xml:space="preserve">        CONJUNTO RESIDENCIAL TORRELADERA</t>
  </si>
  <si>
    <t xml:space="preserve">        EDIFICIO VALME - PROPIEDAD HORIZONTAL</t>
  </si>
  <si>
    <t xml:space="preserve">        EDIFICIO UMBRACLE - PROPIEDAD HORIZONTAL</t>
  </si>
  <si>
    <t xml:space="preserve">        VISION PLANNING GROUP SAS</t>
  </si>
  <si>
    <t xml:space="preserve">        CONJUNTO RESIDENCIAL NUEVO GUAYACANES - PROPIEDAD HORIZONTAL</t>
  </si>
  <si>
    <t xml:space="preserve">QUESADA  DE PERDOMO  MARIA  ILDA  </t>
  </si>
  <si>
    <t xml:space="preserve">        CAPRIVAL S.A.S.</t>
  </si>
  <si>
    <t xml:space="preserve">        MANUEL GONZALEZ MALAVER E HIJOS SAS</t>
  </si>
  <si>
    <t xml:space="preserve">        EDIFICIO FENICIA - PROPIEDAD HORIZONTAL</t>
  </si>
  <si>
    <t xml:space="preserve">        ALUMINIOS Y VIDRIOS GALERÍAS S.A.S</t>
  </si>
  <si>
    <t xml:space="preserve">        EDIFICIO PAVILLON - PROPIEDAD HORIZONTAL</t>
  </si>
  <si>
    <t xml:space="preserve">        EDIFICIO EL PLAZA</t>
  </si>
  <si>
    <t xml:space="preserve">        INVERSIONES XUGAMUXI LTDA</t>
  </si>
  <si>
    <t xml:space="preserve">        URBANIZACION QUINTAS DE SAN MIGUEL</t>
  </si>
  <si>
    <t xml:space="preserve">        JAVER SERVICIOS E INVERSIONES S.A.S</t>
  </si>
  <si>
    <t xml:space="preserve">        EDIFICIO LONJA DE PROPIEDAD RAIZ P.H.</t>
  </si>
  <si>
    <t xml:space="preserve">        EDIFICIO EL ROBLE  PROPIEDAD HORIZONTAL</t>
  </si>
  <si>
    <t xml:space="preserve">        CORPORACION COLEGIO JORGE WASHINGTON</t>
  </si>
  <si>
    <t xml:space="preserve">        MUNICIPIO DE LA ESTRELLA</t>
  </si>
  <si>
    <t xml:space="preserve">        EDIFICIO ESTANCIA PROPIEDAD HORIZONTAL</t>
  </si>
  <si>
    <t xml:space="preserve">        EDIFICIO VERONA PROPIEDAD HORIZONTAL</t>
  </si>
  <si>
    <t xml:space="preserve">VASCO  ALZATE  ALEXANDER    </t>
  </si>
  <si>
    <t xml:space="preserve">        CONJUNTO RESIDENCIAL CASA MATALLANA - PROPIEDAD HORIZONTAL</t>
  </si>
  <si>
    <t xml:space="preserve">PEREZ  RODRIGUEZ  ELIMELECH    </t>
  </si>
  <si>
    <t xml:space="preserve">        EDIFICIO SAN SILVESTRE</t>
  </si>
  <si>
    <t xml:space="preserve">        TAMAYO INGENIEROS S.A.S.</t>
  </si>
  <si>
    <t xml:space="preserve">        EDIFICIO "9-20" - PROPIEDAD HORIZONTAL</t>
  </si>
  <si>
    <t xml:space="preserve">        ISA VICTORY HOTEL BOUTIQUE S.A.S</t>
  </si>
  <si>
    <t xml:space="preserve">        LA BONITA LUXURY ECOHOTEL S.A.S</t>
  </si>
  <si>
    <t xml:space="preserve">GUERRA  ZAMBRANO  ANIBAL    </t>
  </si>
  <si>
    <t xml:space="preserve">JARAMILLO  SARMIENTO  LIBARDO    </t>
  </si>
  <si>
    <t xml:space="preserve">SERPA  GARZA  NANCY  MABEL  </t>
  </si>
  <si>
    <t xml:space="preserve">PINZON  LOPEZ  SAUL    </t>
  </si>
  <si>
    <t xml:space="preserve">        EDIFICIO TERRANOVA 181 - PROPIEDAD HORIZONTAL</t>
  </si>
  <si>
    <t xml:space="preserve">BETANCUR  HINCAPIE  MARTHA  ISABEL  </t>
  </si>
  <si>
    <t xml:space="preserve">        EDIFICIO PARQUE 138  P H</t>
  </si>
  <si>
    <t xml:space="preserve">        EDIFICIO CHICO PLAZA 97 - PROPIEDAD HORIZONTAL</t>
  </si>
  <si>
    <t xml:space="preserve">        EDIFICIO PORTAL DE CALASANZ PROPIEDAD HORIZONTAL</t>
  </si>
  <si>
    <t xml:space="preserve">        EDIFICIO THE POINT II PROPIEDAD HORIZONTAL</t>
  </si>
  <si>
    <t xml:space="preserve">        CAMARA DE COMERCIO DEL ORIENTE ANTIOQUEÑO</t>
  </si>
  <si>
    <t xml:space="preserve">CELY  DIAZ  MARTHA  LUCIA  </t>
  </si>
  <si>
    <t xml:space="preserve">        EDIFICIO EL SOLAR - PROPIEDAD HORIZONTAL</t>
  </si>
  <si>
    <t xml:space="preserve">        EMPRENDU 90 BTS SAS</t>
  </si>
  <si>
    <t xml:space="preserve">        EDIFICIO MANARA</t>
  </si>
  <si>
    <t xml:space="preserve">        EDIFICIO PORTAL DE EMAUS II</t>
  </si>
  <si>
    <t xml:space="preserve">        EDIFICIO NAVARRA 103 - PROPIEDAD HORIZONTAL</t>
  </si>
  <si>
    <t xml:space="preserve">        ASOCIACION COLEGIO GRANADINO</t>
  </si>
  <si>
    <t xml:space="preserve">        CONJUNTO RESIDENCIAL NATIVO FLORA  P.H.</t>
  </si>
  <si>
    <t xml:space="preserve">        EDIFICIO SURINAME - PROPIEDAD HORIZONTAL</t>
  </si>
  <si>
    <t xml:space="preserve">        EDIFICIO SANTA ISABELLA - PROPIEDAD HORIZONTAL</t>
  </si>
  <si>
    <t xml:space="preserve">        EDIFICIO HELENA</t>
  </si>
  <si>
    <t xml:space="preserve">        TODOREPUESTOS Y FRENOS LA 61 S.A.S</t>
  </si>
  <si>
    <t xml:space="preserve">        INVERSIONES KO U OHANA SAS</t>
  </si>
  <si>
    <t xml:space="preserve">        EDIFICIO POLIDORO PINTO ESCOBAR - PROPIEDAD HORIZONTAL- PROPIEDAD HORIZONTAL</t>
  </si>
  <si>
    <t xml:space="preserve">        CONJUNTO ENTRE BOSQUES - PH - PROPIEDAD HORIZONTAL</t>
  </si>
  <si>
    <t xml:space="preserve">        EDIFICIO UNIVERSAL - PROPIEDAD HORIZONTAL</t>
  </si>
  <si>
    <t xml:space="preserve">HOYOS  ECHEVERRY  CARLOS  ANDRES  </t>
  </si>
  <si>
    <t xml:space="preserve">        EDIFICIO ANKARA 138 - PROPIEDAD HORIZONTAL</t>
  </si>
  <si>
    <t xml:space="preserve">        MERCAELECTRO LIMITADA</t>
  </si>
  <si>
    <t xml:space="preserve">        EDIFICIO PORTAL DE LOS FUNDADORES II P.H.</t>
  </si>
  <si>
    <t xml:space="preserve">        EDIFICIO CORBARAQUE - PROPIEDAD HORIZONTAL</t>
  </si>
  <si>
    <t xml:space="preserve">GUARNIZO  PEREZ  JOSE  ALDEMAR  </t>
  </si>
  <si>
    <t xml:space="preserve">        EDIFICIO RIOJA 85</t>
  </si>
  <si>
    <t xml:space="preserve">        EDIFICIO SANTA ANA 110 PROPIEDAD HORIZONTAL</t>
  </si>
  <si>
    <t xml:space="preserve">BUILES  RUIZ  MARIA  LIBIA  </t>
  </si>
  <si>
    <t xml:space="preserve">        EDIFICIO KATLEYA</t>
  </si>
  <si>
    <t xml:space="preserve">        COPROPIEDAD EDIFICIO ORBE PLAZA CENTRO DE NEGOCIOS</t>
  </si>
  <si>
    <t xml:space="preserve">        EDIFICIO ACROPOLIS SANCANCIO PROPIEDAD HORIZONTAL</t>
  </si>
  <si>
    <t xml:space="preserve">        EDIFICIO CARLOS URIBE GARZON - PROPIEDAD HORIZONTAL</t>
  </si>
  <si>
    <t xml:space="preserve">        EDIFICIO LOS CAOBOS PROPIEDAD HORIZONTAL</t>
  </si>
  <si>
    <t xml:space="preserve">        EDIFICIO CHICO GARDEN-PROPIEDAD HORIZONTAL</t>
  </si>
  <si>
    <t xml:space="preserve">        HERMANAS TERCIARIAS CAPUCHINAS PROVINCIA NUESTRA SEÑORA DE LA DIVINA PROVIDENCIA</t>
  </si>
  <si>
    <t xml:space="preserve">GONZALEZ  SALAZAR  OLGA  DEL ROSARIO  </t>
  </si>
  <si>
    <t xml:space="preserve">ROPERO  PACHECO  LEDY  KARINA  </t>
  </si>
  <si>
    <t xml:space="preserve">        EDIFICIO BULEVAR 26</t>
  </si>
  <si>
    <t xml:space="preserve">        VIVIENDA MULTIFAMILIAR EDIFICIO CHICO - PROPIEDAD HORIZONTAL</t>
  </si>
  <si>
    <t xml:space="preserve">RAMIREZ  BOTELLO  ALEJANDRO  ANTONIO  </t>
  </si>
  <si>
    <t xml:space="preserve">        CAMARA DE COMERCIO DE PEREIRA</t>
  </si>
  <si>
    <t xml:space="preserve">MOJICA  MEDINA  RICARDO  IGNACIO  </t>
  </si>
  <si>
    <t xml:space="preserve">        INVERSIONES BUR S.A.S.</t>
  </si>
  <si>
    <t xml:space="preserve">        EDIFICIO  CRZ-2-PROPIEDAD  HORIZONTAL</t>
  </si>
  <si>
    <t xml:space="preserve">        VIVIENDA MULTIFAMILIAR BOGOLI - PROPIEDAD HORIZONTAL</t>
  </si>
  <si>
    <t xml:space="preserve">        EDIFICIO NICOLAS 50/59 - PROPIEDAD HORIZONTAL</t>
  </si>
  <si>
    <t xml:space="preserve">        EDIFICIO MIRLA SERRANA - PROPIEDAD HORIZONTAL</t>
  </si>
  <si>
    <t xml:space="preserve">        INVERSIONES AMORE MIO SUITES SAS</t>
  </si>
  <si>
    <t xml:space="preserve">        EDIFICIO SAN JORGE PROPIEDAD HORIZONTAL</t>
  </si>
  <si>
    <t xml:space="preserve">        TOSCANA CONDOMINIO</t>
  </si>
  <si>
    <t xml:space="preserve">        CONSTRUCTORA DISLON S.A.S.</t>
  </si>
  <si>
    <t xml:space="preserve">        EDIFICIO PARQUES - PROPIEDAD HORIZONTAL</t>
  </si>
  <si>
    <t xml:space="preserve">        EDIFICIO MALEIWA  PARK- PROPIEDAD HORIZONTAL</t>
  </si>
  <si>
    <t xml:space="preserve">        CONSTRUCTORA C &amp; J S.A.S</t>
  </si>
  <si>
    <t xml:space="preserve">        EDIFICIO CENTRO PROFESIONAL PROPIEDAD HORIZONTAL</t>
  </si>
  <si>
    <t xml:space="preserve">        LA VIDA ES BELLA 2 P.H</t>
  </si>
  <si>
    <t xml:space="preserve">        EDIFICIO CIUDADELA COMERCIAL FINANCIERA Y DE OFICINAS GRANCENTRO</t>
  </si>
  <si>
    <t xml:space="preserve">        EDIFICIO ALUMINE - PROPIEDAD HORIZONTAL</t>
  </si>
  <si>
    <t xml:space="preserve">        EDIFICIO SINDAMANOY - PROPIEDAD HORIZONTAL</t>
  </si>
  <si>
    <t xml:space="preserve">        EDIFICIO RESIDENCIAL GASPAR DE RODAS - PROPIEDAD HORIZONTAL</t>
  </si>
  <si>
    <t xml:space="preserve">ORTIZ  LOPEZ  CARLOS  MARIO  </t>
  </si>
  <si>
    <t xml:space="preserve">        DISTRIBUIDORA KIRAMAR S.A.S</t>
  </si>
  <si>
    <t xml:space="preserve">        EDIFICIO PRELUDIUM - PROPIEDAD HORIZONTAL</t>
  </si>
  <si>
    <t xml:space="preserve">        COMERCIALIZADORA RIANDE S.A.S.</t>
  </si>
  <si>
    <t xml:space="preserve">        EDIFICIO AQUALINDA  - PROPIEDAD HORIZONTAL</t>
  </si>
  <si>
    <t xml:space="preserve">        EDIFICIO INFIHUILA</t>
  </si>
  <si>
    <t xml:space="preserve">        CONJUNTO RESIDENCIAL ALTO ALTO</t>
  </si>
  <si>
    <t xml:space="preserve">        CLINICA DE ESPECIALIDADES VETERINARIAS MEVET ENVIGADO S.A.S</t>
  </si>
  <si>
    <t xml:space="preserve">        EDIFICIO SIXTH AVENUE</t>
  </si>
  <si>
    <t xml:space="preserve">        SERVICIOS DE SALUD IPS SURAMERICANA S.A.S.</t>
  </si>
  <si>
    <t xml:space="preserve">PEÑA  PACHECO  ALVARO    </t>
  </si>
  <si>
    <t xml:space="preserve">        EDIFICIO JOAN ELISA PROPIEDAD  HORIZONTAL</t>
  </si>
  <si>
    <t xml:space="preserve">        EDIFICIO PORTAL DE SAN MARTIN N.1 P.H.</t>
  </si>
  <si>
    <t xml:space="preserve">        EDIFICIO MARIA FERNANDA</t>
  </si>
  <si>
    <t xml:space="preserve">        EDIFICIO CALLEJA PARK III - PROPIEDAD HORIZONTAL</t>
  </si>
  <si>
    <t xml:space="preserve">        EDIFICIO MILANO -PROPIEDAD HORZONTAL</t>
  </si>
  <si>
    <t xml:space="preserve">GUERRERO  DE RUIZ  SARI  MAGALY  </t>
  </si>
  <si>
    <t xml:space="preserve">        CONJUNTO PADUA PARQUE RESIDENCIAL</t>
  </si>
  <si>
    <t xml:space="preserve">        EDIFICIO TORINO - PROPIEDAD HORIZONTAL</t>
  </si>
  <si>
    <t xml:space="preserve">        EDIFICIO VENTURA 49</t>
  </si>
  <si>
    <t xml:space="preserve">        ASOCIACION DE DISCAPACITADOS DEL VALLE</t>
  </si>
  <si>
    <t xml:space="preserve">        EDIFICIO PORTALES DEL PRADO - PROPIEDAD HORIZONTAL</t>
  </si>
  <si>
    <t xml:space="preserve">        EDIFICIO MONTEVERDE</t>
  </si>
  <si>
    <t xml:space="preserve">        CONJUNTO GREEN PARK  APARTAMENTOS CON SERVICIOS HOTELEROS - CENTRO VACACIONAL LA CALERA (CUND) TORRES 1 Y 2 - PROPIEDAD HORIZONTAL</t>
  </si>
  <si>
    <t xml:space="preserve">        CORPORACION COLEGIO NUEVA GRANADA</t>
  </si>
  <si>
    <t xml:space="preserve">        EDIFICIO NOVO - PROPIEDAD HORIZONTAL</t>
  </si>
  <si>
    <t xml:space="preserve">        EDIFICIO TORRE MONTEALMENDROS - PROPIEDAD HORIZONTAL</t>
  </si>
  <si>
    <t xml:space="preserve">        EDIFICIO LEFORET - SANTA MONICA ALTA - PROPIEDAD HORIZONTAL</t>
  </si>
  <si>
    <t xml:space="preserve">        EDIFICIO MULTIFAMILIAR COMERCIAL OPORTO PROPIEDAD HORIZONTAL</t>
  </si>
  <si>
    <t xml:space="preserve">        NEWREST SERVICES COLOMBIA S.A.S</t>
  </si>
  <si>
    <t xml:space="preserve">        EDIFICIO CRZ 4 - PROPIEDAD HORIZONTAL</t>
  </si>
  <si>
    <t xml:space="preserve">        MTS CONSULTORÍA + GESTIÓN S.A.S</t>
  </si>
  <si>
    <t xml:space="preserve">        EDIFICIO ANTARES - PROPIEDAD HORIZONTAL</t>
  </si>
  <si>
    <t xml:space="preserve">        CASS CONSTRUCTORES  S.A.S</t>
  </si>
  <si>
    <t xml:space="preserve">        EDIFICIO BALCONES DE SAN LUIS - PROPIEDAD HORIZONTAL</t>
  </si>
  <si>
    <t xml:space="preserve">GOMEZ  PEÑA  SIRLEY    </t>
  </si>
  <si>
    <t xml:space="preserve">        INSTITUCION EDUCATIVA BARRIO PARIS</t>
  </si>
  <si>
    <t xml:space="preserve">        EDIFICIO BILBAO PROPIEDAD HORIZONTAL</t>
  </si>
  <si>
    <t xml:space="preserve">        VALENCIA Y SOTO S.A. EN REORGANIZACION</t>
  </si>
  <si>
    <t xml:space="preserve">        TERMINAL DE TRANSPORTES DE MANIZALES S.A.</t>
  </si>
  <si>
    <t xml:space="preserve">        AGROMILENIO S.A.S</t>
  </si>
  <si>
    <t xml:space="preserve">        EDIFICIO ALTO PRADO</t>
  </si>
  <si>
    <t xml:space="preserve">        COLORS CONSTRUCTORES SAS</t>
  </si>
  <si>
    <t xml:space="preserve">        EDIFICIO NOVA APARTAMENTOS PROPIEDAD HORIZONTAL</t>
  </si>
  <si>
    <t xml:space="preserve">        EDIFICIO AVENTINO - PROPIEDAD HORIZONTAL</t>
  </si>
  <si>
    <t xml:space="preserve">        EDIFICIO PEGASUS - PROPIEDAD HORIZONTAL</t>
  </si>
  <si>
    <t xml:space="preserve">OLARTE  ZAPATA  JOHNY  ANDERSON  </t>
  </si>
  <si>
    <t xml:space="preserve">        PRONTA PLAZA NATURA</t>
  </si>
  <si>
    <t xml:space="preserve">        EDIFICIO EL MIRADOR PROPIEDAD HORIZONTAL</t>
  </si>
  <si>
    <t xml:space="preserve">        EDIFICIO MULTIFAMILIAR SAN AMBROSIO PROPIEDAD HORIZONTAL</t>
  </si>
  <si>
    <t xml:space="preserve">        EDIFICIO SABBILA APARTAMENTOS PROPIEDAD HORIZONTAL</t>
  </si>
  <si>
    <t xml:space="preserve">        EDIFICIO TORRE MEDITERRANEA PROPIEDAD HORIZONTAL</t>
  </si>
  <si>
    <t xml:space="preserve">        INVERSIONES MUÑOZ ORDOÑEZ &amp; CIA. S A S</t>
  </si>
  <si>
    <t xml:space="preserve">        INVERSIONES HAGAMOS S.A.S</t>
  </si>
  <si>
    <t xml:space="preserve">        EDIFICIO MULTIFAMILIAR PANORAMA 80</t>
  </si>
  <si>
    <t xml:space="preserve">        CONSTRUBIENES J.G. S.A.S</t>
  </si>
  <si>
    <t xml:space="preserve">        EDIFICIO SANTAGUEDA  PROPIEDAD HORIZONTAL</t>
  </si>
  <si>
    <t xml:space="preserve">GUTIERREZ  PELAEZ  ALEXANDER    </t>
  </si>
  <si>
    <t xml:space="preserve">        EDIFICIO VEGAS DE VILLAGRANDE P.H.</t>
  </si>
  <si>
    <t xml:space="preserve">        JUAN  CARLOS PEREZ R. MULTICARGO S.A.S.</t>
  </si>
  <si>
    <t xml:space="preserve">        CONJUNTO RESIDENCIAL MIRLA</t>
  </si>
  <si>
    <t xml:space="preserve">        EDIFICIO TORRE RESIDENCIAL GRAUN - PROPIEDAD HORIZONTAL</t>
  </si>
  <si>
    <t xml:space="preserve">        EDIFICIO PALMARES DE TOSCANA - PROPIEDAD HORIZONTAL</t>
  </si>
  <si>
    <t xml:space="preserve">        LA NOTA COLOMBIA SAS</t>
  </si>
  <si>
    <t xml:space="preserve">        CONJUNTO RESIDENCIAL NEVADO</t>
  </si>
  <si>
    <t xml:space="preserve">        PROYECTO INMOBILIARIO MEGAOBRA SAS</t>
  </si>
  <si>
    <t xml:space="preserve">        EDIFICIO PLAYA BLANCA</t>
  </si>
  <si>
    <t xml:space="preserve">AVENDAÑO  MUNERA  JAIRO  LEON  </t>
  </si>
  <si>
    <t xml:space="preserve">        EDIFICIO TABAGO II - PROPIEDAD HORIZONTAL</t>
  </si>
  <si>
    <t xml:space="preserve">        EDIFICIO VIAMONTE APARTAMENTOS - PROPIEDAD HORIZONTAL</t>
  </si>
  <si>
    <t xml:space="preserve">        EDIFICIO LAGOS DE COVADONGA  PROPIEDAD HORIZONTAL</t>
  </si>
  <si>
    <t xml:space="preserve">        EDIFICIO SUITE PARK 102 PROPIEDAD HORIZONTAL</t>
  </si>
  <si>
    <t xml:space="preserve">        EDIFICIO SUITE PARK 101- PROPIEDAD HORIZONTAL</t>
  </si>
  <si>
    <t xml:space="preserve">        EDIFICIO  RINCON DEL VIRREY PROPIEDAD HORIZONTAL</t>
  </si>
  <si>
    <t xml:space="preserve">CIFUENTES  BOTERO  LUZ  ELENA  </t>
  </si>
  <si>
    <t xml:space="preserve">        "EDIFICIO CASTELL - PROPIEDAD HORIZONTAL"</t>
  </si>
  <si>
    <t xml:space="preserve">        CASTELLAR S.A.</t>
  </si>
  <si>
    <t xml:space="preserve">        CONJUNTO RESIDENCIAL  ALTOS DE SOLEMIO</t>
  </si>
  <si>
    <t xml:space="preserve">        MERCADEO ESTRATEGICO S.A.S</t>
  </si>
  <si>
    <t xml:space="preserve">        EDIFICIO PLAZA SANTA BARBARA-PROPIEDAD HORIZONTAL</t>
  </si>
  <si>
    <t xml:space="preserve">        EDIFICIO VERONA</t>
  </si>
  <si>
    <t xml:space="preserve">        COMPAÑIA INMOBILIARIA MEDELLIN SAS</t>
  </si>
  <si>
    <t xml:space="preserve">        SPORT MEDICAL CENTER IPS GUSTAVO PORTELA S.A.S.</t>
  </si>
  <si>
    <t xml:space="preserve">        EDIFICIO PORTAL DE LA IGLESIA P.H</t>
  </si>
  <si>
    <t xml:space="preserve">        EDIFICIO SANTA MONIKA PROPIEDAD HORIZONTAL</t>
  </si>
  <si>
    <t xml:space="preserve">        JCA SOLUCIONES INMOBILIARIAS S.A.S.</t>
  </si>
  <si>
    <t xml:space="preserve">        SANTA BARBARA CLUB HOUSE - PROPIEDAD HORIZONTAL</t>
  </si>
  <si>
    <t xml:space="preserve">        EDIFICIO PARQUE DE LOS CIPRESES</t>
  </si>
  <si>
    <t xml:space="preserve">        OSO FACTORY SAS</t>
  </si>
  <si>
    <t xml:space="preserve">LEVIT    GENNADY    </t>
  </si>
  <si>
    <t xml:space="preserve">        EDIFICIO FONTAINE BLEAU</t>
  </si>
  <si>
    <t xml:space="preserve">        FARMATODO   COLOMBIA S.A.</t>
  </si>
  <si>
    <t xml:space="preserve">        EDIFICIO EL FEDERAL - PROPIEDAD HORIZONTAL</t>
  </si>
  <si>
    <t xml:space="preserve">        GRUPO DE HOTELERIA Y RESTAURANTES INTERNACIONAL S.A.S.</t>
  </si>
  <si>
    <t xml:space="preserve">        OTIS ELEVATOR COMPANY COLOMBIA S A S</t>
  </si>
  <si>
    <t xml:space="preserve">        EDIFICIO PALATINO - PROPIEDAD HORIZONTAL</t>
  </si>
  <si>
    <t xml:space="preserve">        EDIFICIO BIELA - PROPIEDAD HORIZONTAL</t>
  </si>
  <si>
    <t xml:space="preserve">        INVERSIONES NARVAEZ VANEGAS SAS</t>
  </si>
  <si>
    <t xml:space="preserve">        EDIFICIO TORRE DEL SOL - PROPIEDAD HORIZONTAL</t>
  </si>
  <si>
    <t xml:space="preserve">        EDIFICIO CK-23 APARTAMENTOS</t>
  </si>
  <si>
    <t xml:space="preserve">        HERMANAS BETHLEMITAS PROVINCIA DEL SAGRADO CORAZON DE JESUS</t>
  </si>
  <si>
    <t xml:space="preserve">        PRIMAVERA PROJECT S.A.S.</t>
  </si>
  <si>
    <t xml:space="preserve">        EDIFICIO VILLAGGIO PROPIEDAD HORIZONTAL</t>
  </si>
  <si>
    <t xml:space="preserve">JIMENEZ  OLACIREGUI  ADOLFO  RICARDO  </t>
  </si>
  <si>
    <t xml:space="preserve">        EDIFICIO CONQUISTADORES DEL RIO P.H.</t>
  </si>
  <si>
    <t xml:space="preserve">        EDIFICIO TORRE SANTANA P-H</t>
  </si>
  <si>
    <t xml:space="preserve">        COLEGIO RAFAEL URIBE URIBE IED</t>
  </si>
  <si>
    <t xml:space="preserve">        SOLUCA SOLUCIONES CONSTRUCCIONES Y ACABADOS S.A.S.</t>
  </si>
  <si>
    <t xml:space="preserve">RODRIGUEZ  MENJURA  RITA  DELIA  </t>
  </si>
  <si>
    <t xml:space="preserve">RIOS  BUITRAGO  CARLOS  ALBERTO  </t>
  </si>
  <si>
    <t xml:space="preserve">        EDIFICIO PASEO REAL - PROPIEDAD HORIZONTAL</t>
  </si>
  <si>
    <t xml:space="preserve">        DGRD INVERSIONES S A S</t>
  </si>
  <si>
    <t xml:space="preserve">TORRES  GALLEGO  MARIELA  ESTELLA  </t>
  </si>
  <si>
    <t xml:space="preserve">        CORPORACION CULTURAL Y DEPORTIVA DEL COMERCIO</t>
  </si>
  <si>
    <t xml:space="preserve">        ISALUNA S.A.S.</t>
  </si>
  <si>
    <t xml:space="preserve">        EL SOL DE MEXICO S.A.S.</t>
  </si>
  <si>
    <t xml:space="preserve">DUQUE  GARCIA  LUIS  GONZAGA  </t>
  </si>
  <si>
    <t xml:space="preserve">        EDIFICIO VARENNA - PROPIEDAD HORIZONTAL</t>
  </si>
  <si>
    <t xml:space="preserve">        INVERSIONES L.J.C. S.A.S.</t>
  </si>
  <si>
    <t xml:space="preserve">        OCHS S.A.S  CHEMICAL PRODUCTS</t>
  </si>
  <si>
    <t xml:space="preserve">        ANTIOQUEÑA DE AUTOMOTORES Y REPUESTOS S.A.</t>
  </si>
  <si>
    <t xml:space="preserve">        EDIFICIO TORRE ALICANTE-PROPIEDAD HORIZONTAL</t>
  </si>
  <si>
    <t xml:space="preserve">        EDIFICIO  SOL  CARIBE</t>
  </si>
  <si>
    <t xml:space="preserve">        EDIFICIO MIXTO CASTILLO DEL DORADO PROPIEDAD HORIZONTAL</t>
  </si>
  <si>
    <t xml:space="preserve">        GRUPO MILLA S.A.S.</t>
  </si>
  <si>
    <t xml:space="preserve">        WINNER GROUP S.A</t>
  </si>
  <si>
    <t xml:space="preserve">        EDIFICIO "GIRALDO PROPIEDAD HORIZONTAL"</t>
  </si>
  <si>
    <t xml:space="preserve">        EDIFICIO PARQUE EL VIRREY  PROPIEDAD HORIZONTAL</t>
  </si>
  <si>
    <t xml:space="preserve">        CONSTRUCTORA CIUDAD FUTURA S.A.S.</t>
  </si>
  <si>
    <t xml:space="preserve">        EDIFICIO LIBÙ -PROPIEDAD HORIZONTAL</t>
  </si>
  <si>
    <t xml:space="preserve">        EDIFICIO DE USO MIXTO "TORRE MADEIRA - PROPIEDAD HORIZONTAL"</t>
  </si>
  <si>
    <t xml:space="preserve">        ANGIOSUR S.A.S.</t>
  </si>
  <si>
    <t xml:space="preserve">        EDIFICIO PARAISO 80</t>
  </si>
  <si>
    <t xml:space="preserve">        EDIFICIO TORRES DE MARSELLA</t>
  </si>
  <si>
    <t xml:space="preserve">        "EDIFICIO MULTIFAMILIAR SAN JOSE" PROPIEDAD HORIZONTAL</t>
  </si>
  <si>
    <t xml:space="preserve">        LABORATORIO CLINICO CONTINENTAL S.A.S.</t>
  </si>
  <si>
    <t xml:space="preserve">        LEON GRAFICAS S.A.S.</t>
  </si>
  <si>
    <t xml:space="preserve">        DEPARTAMENTO DEL QUINDIO</t>
  </si>
  <si>
    <t xml:space="preserve">        CAJA DE COMPENSACION FAMILIAR DE FENALCO COMFENALCO QUINDIO</t>
  </si>
  <si>
    <t xml:space="preserve">        EDIFICIO PARK AVENUE 88</t>
  </si>
  <si>
    <t xml:space="preserve">        EDIFICIO TARRAGONA</t>
  </si>
  <si>
    <t xml:space="preserve">        EDIFICIO DUPLEX 65 - PROPIEDAD HORIZONTAL</t>
  </si>
  <si>
    <t xml:space="preserve">        EDIFICIO TATAMI PROPIEDAD HORIZONTAL</t>
  </si>
  <si>
    <t xml:space="preserve">        REFUGIO DEL VIRREY - PROPIEDAD HORIZONTAL</t>
  </si>
  <si>
    <t xml:space="preserve">        EDIFICIO ALTOS DE SANTA CLARA</t>
  </si>
  <si>
    <t xml:space="preserve">        CONJUNTO RESIDENCIAL BOSQUE CEIBAL - PROPIEDAD HORIZONTAL</t>
  </si>
  <si>
    <t xml:space="preserve">        CONJUNTO RESIDENCIAL SIERRAS DEL MORAL MANZANA 4 ETAPA 5 TORRE 9 - PROPIEDAD HORIZONTAL</t>
  </si>
  <si>
    <t xml:space="preserve">        EDIFICIO "SAN JOAQUINES" - P.H.</t>
  </si>
  <si>
    <t xml:space="preserve">        ECHEVERRI HERRAN SOCIEDAD POR ACCIONES SIMPLIFICADA  S.A.S.</t>
  </si>
  <si>
    <t xml:space="preserve">        EDIFICIO ANCON - PROPIEDAD HORIZONTAL</t>
  </si>
  <si>
    <t xml:space="preserve">        FAMILIA ARANGO SOCIEDAD POR ACCIONES SIMPLIFICADA</t>
  </si>
  <si>
    <t xml:space="preserve">        EDIFICIO SOVERATO - PROPIEDAD HORIZONTAL</t>
  </si>
  <si>
    <t xml:space="preserve">        EDIFICIO MORANO - PROPIEDAD HORIZONTAL</t>
  </si>
  <si>
    <t xml:space="preserve">        EDIFICIO  KAVIR- PROPIEDAD HORIZONTAL</t>
  </si>
  <si>
    <t xml:space="preserve">        COMERCIALIZADORA SURTINEGOCIOS S.A.S.</t>
  </si>
  <si>
    <t xml:space="preserve">        EDIFICIO RINCON DE LA CALLEJA PROPIEDAD HORIZONTAL</t>
  </si>
  <si>
    <t xml:space="preserve">        EDIFICIO EL ROBLE 93 - PROPIEDAD HORIZONTAL</t>
  </si>
  <si>
    <t xml:space="preserve">        MATRIX INVERSIONES S.A.S</t>
  </si>
  <si>
    <t xml:space="preserve">        EDIFICIO TORRE SAN PIETRO PROPIEDAD HORIZONTAL</t>
  </si>
  <si>
    <t xml:space="preserve">        EDIFICIO TORRE DE LA CONCORDIA</t>
  </si>
  <si>
    <t xml:space="preserve">        EDIFICIO SANTA BARBARA DEL PARQUE - PROPIEDAD HORIZONTAL</t>
  </si>
  <si>
    <t xml:space="preserve">        EDIFICIO CANTON DE BERNA PROPIEDAD HORIZONTAL</t>
  </si>
  <si>
    <t xml:space="preserve">        EDIFICIO PARQUE CONQUISTADORES - PROPIEDAD HORIZONTAL</t>
  </si>
  <si>
    <t xml:space="preserve">        EDIFICIO GAVIOTAS - PROPIEDAD HORIZONTAL</t>
  </si>
  <si>
    <t xml:space="preserve">GUTIERREZ  DE ZULUAGA  MARIA  JOSEFINA  </t>
  </si>
  <si>
    <t xml:space="preserve">JIMENEZ  ESPINOSA  JAYSON    </t>
  </si>
  <si>
    <t xml:space="preserve">        EDIFICIO CALABRIA - PROPIEDAD HORIZONTAL</t>
  </si>
  <si>
    <t xml:space="preserve">FERNANDEZ  MUÑOZ  FERNANDO  DE JESUS  </t>
  </si>
  <si>
    <t xml:space="preserve">        URBANIZACION IRIS P.H.</t>
  </si>
  <si>
    <t xml:space="preserve">CASTAÑO  CORCHUELO  RAUL  ALFONSO  </t>
  </si>
  <si>
    <t xml:space="preserve">        EDIFICIO CELTA P.H.</t>
  </si>
  <si>
    <t xml:space="preserve">        CAFE DE SANTA BARBARA  S.A.S.</t>
  </si>
  <si>
    <t xml:space="preserve">        EDIFICIO LORETO - PROPIEDAD HORIZONTAL</t>
  </si>
  <si>
    <t xml:space="preserve">LOPEZ  SUAREZ  EDILSO    </t>
  </si>
  <si>
    <t xml:space="preserve">        ALMACENADORA COLOMBIANA S.A C.I</t>
  </si>
  <si>
    <t xml:space="preserve">        EDIFICIO  LA  RESERVA  DEL  PARQUE</t>
  </si>
  <si>
    <t xml:space="preserve">        EDIFICIO OLIMPO PROPIEDAD HORIZONTAL</t>
  </si>
  <si>
    <t xml:space="preserve">        INVERSIS BC SAS</t>
  </si>
  <si>
    <t xml:space="preserve">AGUDELO  BERRIO  JOHNY  ALBERTO  </t>
  </si>
  <si>
    <t xml:space="preserve">        CONSTRUORTIZ 2022 S.A.S</t>
  </si>
  <si>
    <t xml:space="preserve">        EDIFICIO TRANSVERSAL 21 PLAZA</t>
  </si>
  <si>
    <t xml:space="preserve">        EDIFICIO VIGIA DE LOS ROSALES PROPIEDAD HORIZONTAL</t>
  </si>
  <si>
    <t xml:space="preserve">        APARTAMENTOS EDIFICIO BALCONES DEL ALAMO - PROPIEDAD HORIZONTAL</t>
  </si>
  <si>
    <t xml:space="preserve">        INVERSIONES MACEO SAS</t>
  </si>
  <si>
    <t xml:space="preserve">CORREA  VELEZ  JOSE  MAURO  </t>
  </si>
  <si>
    <t xml:space="preserve">        EDIFICIO MIRADOR DEL RIO PROPIEDAD HORIZONTAL</t>
  </si>
  <si>
    <t xml:space="preserve">        EDIFICIO BRITANIA</t>
  </si>
  <si>
    <t xml:space="preserve">        EDIFICIO KYRIOS P H</t>
  </si>
  <si>
    <t xml:space="preserve">        EDIFICIO EL SOL PROPIEDAD HORIZONTAL</t>
  </si>
  <si>
    <t xml:space="preserve">        EDIFICIO MULTIFAMILIAR Y COMERCIAL NATURA</t>
  </si>
  <si>
    <t xml:space="preserve">        EDIFICIO SORRENTO - PROPIEDAD HORIZONTAL</t>
  </si>
  <si>
    <t xml:space="preserve">        HOTEL LINCOLN S.A.S</t>
  </si>
  <si>
    <t xml:space="preserve">        ESE HOSPITAL UNIVERSITARIO DEL CARIBE</t>
  </si>
  <si>
    <t xml:space="preserve">        EDIFICIO GENESIS</t>
  </si>
  <si>
    <t xml:space="preserve">        EDIFICIO BALCONES DE  SAN MARCOS - PROPIEDAD HORIZONTAL</t>
  </si>
  <si>
    <t xml:space="preserve">        EDIFICIO MONTREAL PROPIEDAD HORIZONTAL</t>
  </si>
  <si>
    <t xml:space="preserve">        EDIFICIO MILANO</t>
  </si>
  <si>
    <t xml:space="preserve">        TRANSPORTES DEL TUNDAMA S. A.</t>
  </si>
  <si>
    <t xml:space="preserve">        EDIFICIO 123 PARK-PROPIEDAD HORIZONTAL</t>
  </si>
  <si>
    <t xml:space="preserve">        EDIFICIO  ACROPOLIS  DE  CAICEDONIA  VALLE</t>
  </si>
  <si>
    <t xml:space="preserve">        EDIFICIO GANVI</t>
  </si>
  <si>
    <t xml:space="preserve">        EDIFICIO NIKO PROPIEDAD HORIZONTAL</t>
  </si>
  <si>
    <t xml:space="preserve">        EDIFICIO CENTRO COMERCIAL CAFETERO P.H.</t>
  </si>
  <si>
    <t xml:space="preserve">        "EDIFICIO EL SAMAN" -  PROPIEDAD HORIZONTAL</t>
  </si>
  <si>
    <t xml:space="preserve">        EDIFICIO MIZU - PROPIEDAD HORIZONTAL</t>
  </si>
  <si>
    <t xml:space="preserve">        BLUE ROCK INVESTMENTS S.A.S.</t>
  </si>
  <si>
    <t xml:space="preserve">        BELL CHEM INTERNACIONAL S.A.S.</t>
  </si>
  <si>
    <t xml:space="preserve">        EDIFICIO AVALON - PROPIEDAD HORIZONTAL</t>
  </si>
  <si>
    <t xml:space="preserve">        EDIFICIO CAPRIZZI - PROPIEDAD HORIZONTAL</t>
  </si>
  <si>
    <t xml:space="preserve">SANCHEZ  VILLEGAS  MARTIN  ALONSO  </t>
  </si>
  <si>
    <t xml:space="preserve">        EDIFICIO LECLUB</t>
  </si>
  <si>
    <t xml:space="preserve">        CONDOMINIO EDIFICIO SAN GIORGIO</t>
  </si>
  <si>
    <t xml:space="preserve">        EDIFICIO ESPARTILLAL-PROPIEDAD HORIZONTAL</t>
  </si>
  <si>
    <t xml:space="preserve">        EDIFICIO EL RECTANGULO PROPIEDAD HORIZONTAL</t>
  </si>
  <si>
    <t xml:space="preserve">        INVERSIONES DATILES S.A.S.</t>
  </si>
  <si>
    <t xml:space="preserve">        PROPIEDD HORIZONTAL  " MIRADOR DE CERRITO - CONDOMINIO "</t>
  </si>
  <si>
    <t xml:space="preserve">        EDIFICIO ALEPH - PROPIEDAD HORIZONTAL</t>
  </si>
  <si>
    <t xml:space="preserve">        EDIFICIO 16 95 - PROPIEDAD HORIZONTAL</t>
  </si>
  <si>
    <t xml:space="preserve">        EDIFICIO TORRE LAURELES P.H.</t>
  </si>
  <si>
    <t xml:space="preserve">        CENTRO MEDICO SANTUARIO SAS</t>
  </si>
  <si>
    <t xml:space="preserve">        EDIFICIO FINO MORNASCO - PROPIEDAD HORIZONTAL</t>
  </si>
  <si>
    <t xml:space="preserve">QUEVEDO  VELEZ  OCTAVIO    </t>
  </si>
  <si>
    <t xml:space="preserve">        EDIFICIO CAYENA REAL - PROPIEDAD HORIZONTAL</t>
  </si>
  <si>
    <t xml:space="preserve">        EDIFICIO AZAFRAN- PROPIEDAD HORIZONTAL</t>
  </si>
  <si>
    <t xml:space="preserve">        CONDOMINIO ALCALA DE LA ESTANCIA APARTAMENTOS - COMERCIAL</t>
  </si>
  <si>
    <t xml:space="preserve">        EL PARQUE CONSTRUCTORA S.A.S</t>
  </si>
  <si>
    <t xml:space="preserve">        EDIFICIO VITTANZA - PROPIEDAD HORIZONTAL</t>
  </si>
  <si>
    <t xml:space="preserve">        CONJUNTO RESIDENCIAL SIERRAS DEL MORAL MANZANA 4 ETAPA 5 TORRE 8 - PROPIEDAD HORIZONTAL</t>
  </si>
  <si>
    <t xml:space="preserve">        SOCIEDAD DE MEJORAS PUBLICAS DE ENVIGADO</t>
  </si>
  <si>
    <t xml:space="preserve">        EDIFICIO PRAVIA 102</t>
  </si>
  <si>
    <t xml:space="preserve">        EDIFICIO MIXTO AVENIDA SAN JOSE P.H.</t>
  </si>
  <si>
    <t xml:space="preserve">        EDIFICIO RESIDENCIAL CONCEPT 112 - PROPIEDAD HORIZONTAL</t>
  </si>
  <si>
    <t xml:space="preserve">        MIRADOR DE LA CUMBRE</t>
  </si>
  <si>
    <t xml:space="preserve">        EDIFICIO MARTHA LILIANA - PROPIEDAD HORIZONTAL</t>
  </si>
  <si>
    <t xml:space="preserve">        EDIFICIO TERRALUNA P.H</t>
  </si>
  <si>
    <t xml:space="preserve">        EDIFICIO MONTEVISTA - PROPIEDAD HORIZONTAL ETAPA 1</t>
  </si>
  <si>
    <t xml:space="preserve">        EMPRESAS A.M.P.  S.A.S</t>
  </si>
  <si>
    <t xml:space="preserve">        BANSURI HOTEL GROUP S.A.S.</t>
  </si>
  <si>
    <t xml:space="preserve">        EDIFICIO ALCAZAR DEL VIRREY - PROPIEDAD HORIZONTAL</t>
  </si>
  <si>
    <t xml:space="preserve">        EDIFICIO SAINT JOSEPH - PROPIEDAD HORIZONTAL</t>
  </si>
  <si>
    <t xml:space="preserve">        EDIFICIO MULTIFAMILIARES TORRES DEL LIBANO</t>
  </si>
  <si>
    <t xml:space="preserve">BEDOYA  MEJIA  OSCAR  DE JESUS  </t>
  </si>
  <si>
    <t xml:space="preserve">        HERMANITAS DE LOS POBRES DE SAN PEDRO CLAVER</t>
  </si>
  <si>
    <t xml:space="preserve">        EDIFICIO ALTOS DEL POBLADO</t>
  </si>
  <si>
    <t xml:space="preserve">        COLEGIO TECNICO MENORAH INSTITUCION EDUCATIVA DISTRITAL</t>
  </si>
  <si>
    <t xml:space="preserve">        INVERSIONES GPBA S.A.S.</t>
  </si>
  <si>
    <t xml:space="preserve">        EDIFICIO  UNIVERSITE   PLUS   PROPIEDAD   HORIZONTAL</t>
  </si>
  <si>
    <t xml:space="preserve">        EDIFICIO ALCAZARES EN PROPIEDAD HORIZONTAL</t>
  </si>
  <si>
    <t xml:space="preserve">        EDIFICIO ALTOS DE SOTILEZA PROPIEDAD HORIZONTAL</t>
  </si>
  <si>
    <t xml:space="preserve">        EDIFICIO VENTO II - PROPIEDAD HORIZONTAL</t>
  </si>
  <si>
    <t xml:space="preserve">        EDIFICIO EL PEDREGAL</t>
  </si>
  <si>
    <t xml:space="preserve">        EDIFICIO ABSOLUTE 123 - PROPIEDAD HORIZONTAL</t>
  </si>
  <si>
    <t xml:space="preserve">        EDIFICIO BISANZ - PROPIEDAD HORIZONTAL</t>
  </si>
  <si>
    <t xml:space="preserve">        EDIFICIO RINCON DEL CHICO PLAZA - PROPIEDAD HORIZONTAL</t>
  </si>
  <si>
    <t xml:space="preserve">        EDIFICIO RESERVA DE MAZUREN - PROPIEDAD HORIZONTAL</t>
  </si>
  <si>
    <t xml:space="preserve">        EDIFICIO MALBEC - PROPIEDAD HORIZONTAL</t>
  </si>
  <si>
    <t xml:space="preserve">        EDIFICIO VILLA DE PARIS  -  PROPIEDAD HORIZONTAL</t>
  </si>
  <si>
    <t xml:space="preserve">        EDIFICIO ALVERDE - PROPIEDAD HORIZONTAL</t>
  </si>
  <si>
    <t xml:space="preserve">        RIMART S.A.S.</t>
  </si>
  <si>
    <t xml:space="preserve">        MAIHOEHE S.A.S.</t>
  </si>
  <si>
    <t xml:space="preserve">        PRIMERA ETAPA DEL CONDOMINIO CAMPESTRE FORESTA APARTAMENTOS CAMPESTRES P.H.</t>
  </si>
  <si>
    <t xml:space="preserve">        CONJUNTO RESIDENCIAL CANARIAS PROPIEDAD HORIZONTAL</t>
  </si>
  <si>
    <t xml:space="preserve">        EDIFICIO U 14/26 - PROPIEDAD HORIZONTAL</t>
  </si>
  <si>
    <t xml:space="preserve">        INNER BEAUTY SAS</t>
  </si>
  <si>
    <t xml:space="preserve">        EDIFICIO MULTIFAMILIAR SIENNA - PROPIEDAD HORIZONTAL</t>
  </si>
  <si>
    <t xml:space="preserve">        CLINICA OFTALMOLOGICA PEÑARANDA S.A.S</t>
  </si>
  <si>
    <t xml:space="preserve">        EDIFICIO HERBIVORO - PROPIEDAD HORIZONTAL</t>
  </si>
  <si>
    <t xml:space="preserve">        EDIFICIO EL CAIMO</t>
  </si>
  <si>
    <t xml:space="preserve">        VIA TRIP SAS</t>
  </si>
  <si>
    <t xml:space="preserve">        EDIFICIO MULTIFAMILIAR COMERCIAL "SAN FELIPE" PROPIEDAD HORIZONTAL</t>
  </si>
  <si>
    <t xml:space="preserve">        CONDOMINIO BOSQUE MASARYK - PROPIEDAD HORIZONTAL</t>
  </si>
  <si>
    <t xml:space="preserve">        PRODUCTORA DE TEXTILES DE TOCANCIPA S A TOPTEX S A</t>
  </si>
  <si>
    <t xml:space="preserve">        EDIFICIO ALTAMIRA DE LA FLORIDA PH</t>
  </si>
  <si>
    <t xml:space="preserve">BOTERO  GOMEZ  JOSE  OCTAVIO  </t>
  </si>
  <si>
    <t xml:space="preserve">        EDIFICIO MIRADOR DE IBAGUE</t>
  </si>
  <si>
    <t xml:space="preserve">        CONJUNTO RESIDENCIAL LAGUNA</t>
  </si>
  <si>
    <t xml:space="preserve">        EDIFICIO VERDECCHIA II PROPIEDAD HORIZONTAL</t>
  </si>
  <si>
    <t xml:space="preserve">        EDIFICIO APARCADERO CENTRO - PROPIEDAD HORIZONTAL</t>
  </si>
  <si>
    <t xml:space="preserve">        EDIFICIO TORRES DEL CAMINO - PROPIEDAD HORIZONTAL</t>
  </si>
  <si>
    <t xml:space="preserve">        EDIFICIO THE POINT - PROPIEDAD HORIZONTAL</t>
  </si>
  <si>
    <t xml:space="preserve">ACEVEDO  ESCOBAR  LUIS  ALBERTO  </t>
  </si>
  <si>
    <t xml:space="preserve">        EDIFICIO G 64 - PROPIEDAD HORIZONTAL</t>
  </si>
  <si>
    <t xml:space="preserve">        HOTEL BALCONES DE LA BAHIA S.A.S</t>
  </si>
  <si>
    <t xml:space="preserve">        EDIFICIO SANTA BARBARA REAL - PROPIEDAD HORIZONTAL</t>
  </si>
  <si>
    <t xml:space="preserve">        EDIFICIO ALTANA- PROPIEDAD  HORIZONTAL</t>
  </si>
  <si>
    <t xml:space="preserve">        EDIFICIO EDIFICIO SANTIAGO PROPIEDAD HORIZONTAL - PROPIEDAD HORIZONTAL</t>
  </si>
  <si>
    <t xml:space="preserve">        IGNACIO GOMEZ  IHM SAS</t>
  </si>
  <si>
    <t xml:space="preserve">        TERRACOTA 93 PH</t>
  </si>
  <si>
    <t xml:space="preserve">        EDIFICIO TORRE GALATEA PROPIEDAD HORIZONTAL</t>
  </si>
  <si>
    <t xml:space="preserve">        EDIFICIO 97 IN - PROPIEDAD HORIZONTAL</t>
  </si>
  <si>
    <t xml:space="preserve">        EDIFICIO SAN PEDRO Y SAN PABLO P-H</t>
  </si>
  <si>
    <t xml:space="preserve">        EDIFICIO "TORRE TISCALI" - P.H.</t>
  </si>
  <si>
    <t xml:space="preserve">BARRERA  CARREÑO  MONICA  MARIA  </t>
  </si>
  <si>
    <t xml:space="preserve">        EDIFICIO ASTORIA PLAZA - PROPIEDAD HORIZONTAL</t>
  </si>
  <si>
    <t xml:space="preserve">        EDIFICIO URA 147 - PROPIEDAD HORIZONTAL</t>
  </si>
  <si>
    <t xml:space="preserve">        EDIFICIO VIVERDI 42 D</t>
  </si>
  <si>
    <t xml:space="preserve">        MARIO EDUARDO TELLO PARDO Y CIA S.EN.C.</t>
  </si>
  <si>
    <t xml:space="preserve">        CONJUNTO RESIDENCIAL IVORY APARTAMENTOS - PROPIEDAD HORIZONTAL</t>
  </si>
  <si>
    <t xml:space="preserve">        EDIFICIO HOJARASCA - PROPIEDAD HORIZONTAL</t>
  </si>
  <si>
    <t xml:space="preserve">        EDIFICIO TRENTO 21 ETAPA II</t>
  </si>
  <si>
    <t xml:space="preserve">        EDIFICIO PALMARES DEL BATAN - PROPIEDAD HORIZONTAL</t>
  </si>
  <si>
    <t xml:space="preserve">        EDIFICIO TERRAZZO116 - PROPIEDAD HORIZONTAL</t>
  </si>
  <si>
    <t xml:space="preserve">        CEFIRO S.A.S</t>
  </si>
  <si>
    <t xml:space="preserve">        EDIFICIO PROVENZA P.H.</t>
  </si>
  <si>
    <t xml:space="preserve">        EDIFICIO SAN MIGUEL - PROPIEDAD HORIZONTAL</t>
  </si>
  <si>
    <t xml:space="preserve">        EDIFICIO ATURES - PROPIEDAD HORIZONTAL</t>
  </si>
  <si>
    <t xml:space="preserve">        COORDINADORA DE SERVICIOS DE PARQUE CEMENTERIO S A S</t>
  </si>
  <si>
    <t xml:space="preserve">        EDIFICIO  VIRREY CITY  FLATS- PROPIEDAD HORIZONTAL</t>
  </si>
  <si>
    <t xml:space="preserve">        EDIFICIO ALTEA PROPIEDAD HORIZONTAL</t>
  </si>
  <si>
    <t xml:space="preserve">        EDIFICIO TERRA NOVA</t>
  </si>
  <si>
    <t xml:space="preserve">        VILLARREAL &amp; ASOCIADOS S. EN C.</t>
  </si>
  <si>
    <t xml:space="preserve">        EDIFICIO FIORENZE - PROPIEDAD HORIZONTAL</t>
  </si>
  <si>
    <t xml:space="preserve">        CORPORACION UNIVERSITARIA AUTONOMA DE NARIÑO "AUNAR"</t>
  </si>
  <si>
    <t xml:space="preserve">        ASOCIACION DE COPROPIETARIOS EDIFICIO VALDEZCARAY</t>
  </si>
  <si>
    <t xml:space="preserve">        INVERSIONES  SUPERVAQUITA  LA  33   S.A.S.</t>
  </si>
  <si>
    <t xml:space="preserve">        PLAZAMAR PACIFICO HOTEL S.A.S.</t>
  </si>
  <si>
    <t xml:space="preserve">        EDIFICIO HIGUA SEGUNDA ETAPA - PROPIEDAD HORIZONTAL</t>
  </si>
  <si>
    <t xml:space="preserve">        TRENTTO CENTRAL VIVIENDA DE INTERES SOCIAL - PROPIEDAD HORIZONTAL</t>
  </si>
  <si>
    <t xml:space="preserve">        CONJUNTO RESIDENCIAL SIERRAS DEL MORAL MANZANA 4 ETAPA 5 TORRE 6 - PROPIEDAD HORIZONTAL</t>
  </si>
  <si>
    <t xml:space="preserve">        EDIFICIO LOS PINOS DEL COUNTRY PROPIEDAD HORIZONTAL</t>
  </si>
  <si>
    <t xml:space="preserve">        MEXIRUMBA S.A.S</t>
  </si>
  <si>
    <t xml:space="preserve">        EDIFICIO ALTAVISTA PROPIEDAD HORIZONTAL</t>
  </si>
  <si>
    <t xml:space="preserve">        EDIFICIO CAYENA - PROPIEDAD HORIZONTAL</t>
  </si>
  <si>
    <t xml:space="preserve">        EDIFICIO MIRAVALLE</t>
  </si>
  <si>
    <t xml:space="preserve">        INVERSIONES SALMON S.A.S</t>
  </si>
  <si>
    <t xml:space="preserve">        EDIFICIO PLAZA GRANADA</t>
  </si>
  <si>
    <t xml:space="preserve">        INMOBILIARIA DINAMICA SAN JOSE SAS</t>
  </si>
  <si>
    <t xml:space="preserve">        UNIDAD RESIDENCIAL PRADOASIS</t>
  </si>
  <si>
    <t xml:space="preserve">        CONJUNTO CERRADO MAJESTIC III PROPIEDAD HORIZONTAL</t>
  </si>
  <si>
    <t xml:space="preserve">        EDIFICIO LA RIVIERA - APARTAMENTOS P.H.</t>
  </si>
  <si>
    <t xml:space="preserve">        EDIFICIO CALLEJA PARK PROPIEDAD HORIZONTAL</t>
  </si>
  <si>
    <t xml:space="preserve">        EDIFICIO CORINTO - PROPIEDAD HORIZONTAL</t>
  </si>
  <si>
    <t xml:space="preserve">        EDIFICIO TESORO LIVING - PROPIEDAD HORIZONTAL</t>
  </si>
  <si>
    <t xml:space="preserve">        KUNA-PROPIEDAD HORIZONTAL</t>
  </si>
  <si>
    <t xml:space="preserve">CAMPO  HIGUITA  JUAN  GUILLERMO  </t>
  </si>
  <si>
    <t xml:space="preserve">        EDIFICIO MONTANAR</t>
  </si>
  <si>
    <t xml:space="preserve">        MULTIFAMILIAR EDIFICIO TIKAY</t>
  </si>
  <si>
    <t xml:space="preserve">        EDIFICIO TERRANOVA</t>
  </si>
  <si>
    <t xml:space="preserve">        EDIFICIO OIKOS BATAN -PROPIEDAD HORIZONTAL</t>
  </si>
  <si>
    <t xml:space="preserve">        "EDIFICIO ALCORES DEL RIO P.H"</t>
  </si>
  <si>
    <t xml:space="preserve">        UNIDAD RESIDENCIAL SAN LUCAR DE BARRAMEDA P.H.</t>
  </si>
  <si>
    <t xml:space="preserve">        PROMOTORA RUMIE CAÑATE  S.A.S.</t>
  </si>
  <si>
    <t xml:space="preserve">        EDIFICIO MONTENOVA</t>
  </si>
  <si>
    <t xml:space="preserve">        EDIFICIO SHANKARA - PROPIEDAD HORIZONTAL</t>
  </si>
  <si>
    <t xml:space="preserve">        OR  SUITE  S. A. S.</t>
  </si>
  <si>
    <t xml:space="preserve">        BPM CONSULTING SAS - BUSINESS PROCESS MANAGEMENT CONSULTING SAS</t>
  </si>
  <si>
    <t xml:space="preserve">        COMPAÑIA GRUPO INNOVA S.A.S.</t>
  </si>
  <si>
    <t xml:space="preserve">        EDIFICIO MULTIFAMILIAR PLAZA PRESTIGIO</t>
  </si>
  <si>
    <t xml:space="preserve">        EDIFICIO OPORTO PROPIEDAD HORIZONTAL</t>
  </si>
  <si>
    <t xml:space="preserve">        EDIFICIO CIBELES P.H</t>
  </si>
  <si>
    <t xml:space="preserve">        EDIFICIO PALMAR DE LA FLORA PROPIEDAD HORIZONTAL</t>
  </si>
  <si>
    <t xml:space="preserve">        CONJUNTO RESIDENCIAL POBLADO</t>
  </si>
  <si>
    <t xml:space="preserve">        M&amp;C PROYECTOS SAS</t>
  </si>
  <si>
    <t xml:space="preserve">        LA MERCERIA ARTE Y MANUALIDADES SAS</t>
  </si>
  <si>
    <t xml:space="preserve">        EDIFICIO PEÑON DE ANTAÑO</t>
  </si>
  <si>
    <t xml:space="preserve">        EDIFICIO KIEV - PROPIEDAD HORIZONTAL</t>
  </si>
  <si>
    <t xml:space="preserve">        CENTRO MEDICO Y EMPRESARIAL CENTENARIO</t>
  </si>
  <si>
    <t xml:space="preserve">        EDIFICIO RESIDENCIAL VALENCIA</t>
  </si>
  <si>
    <t xml:space="preserve">        EDIFICIO CEIBA REAL - PROPIEDAD HORIZONTAL</t>
  </si>
  <si>
    <t xml:space="preserve">        CONJUNTO RESIDENCIAL POZO GRANDE-PROPIEDAD HORIZONTAL</t>
  </si>
  <si>
    <t xml:space="preserve">        EDIFICIO TARANTELLA</t>
  </si>
  <si>
    <t xml:space="preserve">        EDIFICIO ISHVARA  - PROPIEDAD HORIZONTAL</t>
  </si>
  <si>
    <t xml:space="preserve">GOMEZ  MARTINEZ  PEDRO  HENRY  </t>
  </si>
  <si>
    <t xml:space="preserve">        GUTIERREZ FRANCO INGENIERIA S.A.S.</t>
  </si>
  <si>
    <t xml:space="preserve">        CENTRO EJECUTIVO TORRELAVEGA P.H.</t>
  </si>
  <si>
    <t xml:space="preserve">        EDIFICIO LLANO ALTO</t>
  </si>
  <si>
    <t xml:space="preserve">        EDIFICIO ZAPPAN 109 - PRPIEDAD HORIZONTAL</t>
  </si>
  <si>
    <t xml:space="preserve">        EDIFICIO AZAHARA 1 - PROPIEDAD HORIZONTAL</t>
  </si>
  <si>
    <t xml:space="preserve">        CARLOS ANSELMO PARRA ARDILA &amp; CIA S EN C A</t>
  </si>
  <si>
    <t xml:space="preserve">        EDIFICIO KAOBA</t>
  </si>
  <si>
    <t xml:space="preserve">        EDIFICIO D´ANGELO-PROPIEDAD HORIZONTAL</t>
  </si>
  <si>
    <t xml:space="preserve">        EDIFICIO SOL 93 - PROPIEDAD HORIZONTAL</t>
  </si>
  <si>
    <t xml:space="preserve">        EDIFICIO CEDRO-VITA - PROPIEDAD HORIZONTAL</t>
  </si>
  <si>
    <t xml:space="preserve">        EDIFICIO MIRADOR DE LA SABANA PROPIEDAD HORIZONTAL</t>
  </si>
  <si>
    <t xml:space="preserve">        COMERCIALIZADORA JATTAB SAS</t>
  </si>
  <si>
    <t xml:space="preserve">        EDIFICIO MARTINEKO PROPIEDAD HORIZONTAL</t>
  </si>
  <si>
    <t xml:space="preserve">        EDIFICIO PORTAL DE ROSALES</t>
  </si>
  <si>
    <t xml:space="preserve">        EDIFICIO CORAL APARTAMENTOS P.H</t>
  </si>
  <si>
    <t xml:space="preserve">        EDIFICIO MULTIFAMILIAR ELIM PROPIEDAD HORIZONTAL</t>
  </si>
  <si>
    <t xml:space="preserve">        ITAÚ COLOMBIA S A</t>
  </si>
  <si>
    <t xml:space="preserve">        EDIFICIO JAZMINES DE UNICENTRO - PROPIEDAD HORIZONTAL</t>
  </si>
  <si>
    <t xml:space="preserve">        EDIFICIO CAROLINA REAL - PROPIEDAD HORIZONTAL</t>
  </si>
  <si>
    <t xml:space="preserve">MORENO  TORRES  NORA  NANCY  </t>
  </si>
  <si>
    <t xml:space="preserve">        EDIFICIO CARDANY APARTAMENTOS PROPIEDAD HORIZONTAL</t>
  </si>
  <si>
    <t xml:space="preserve">        SERVICIOS BOLIVAR FACILITIES S.A.S</t>
  </si>
  <si>
    <t xml:space="preserve">        EDIFICIO  ANKARA  LIVING</t>
  </si>
  <si>
    <t xml:space="preserve">        "SAN TELMO CONDOMINIO NÁUTICO PROPIEDAD HORIZONTAL"</t>
  </si>
  <si>
    <t xml:space="preserve">        EDIFICIO LEMONT - PROPIEDAD HORIZONTAL</t>
  </si>
  <si>
    <t xml:space="preserve">        SOCIEDAD MEDICA RIONEGRO S.A. SOMER S.A.</t>
  </si>
  <si>
    <t xml:space="preserve">        EDIFICIO GALLERY LOFT 52 PH - PROPIEDAD HORIZONTAL</t>
  </si>
  <si>
    <t xml:space="preserve">        UNIDAD RESIDENCIAL PIEDRAS BLANCAS U.I.C PROPIEDAD HORIZONTAL</t>
  </si>
  <si>
    <t xml:space="preserve">        EDIFICIO VIVALDI - PROPIEDAD HORIZONTAL-</t>
  </si>
  <si>
    <t xml:space="preserve">        EDIFICIO RIVER VIEW</t>
  </si>
  <si>
    <t xml:space="preserve">        CONJUNTO CERRADO PATIOS CLUB - PROPIEDAD HORIZONTAL</t>
  </si>
  <si>
    <t xml:space="preserve">        EDIFICIO MIRADOR DEL VALLE P.H.</t>
  </si>
  <si>
    <t xml:space="preserve">        GROWING GROUP SAS</t>
  </si>
  <si>
    <t xml:space="preserve">SANCHEZ  HERNANDEZ  PEDRO    </t>
  </si>
  <si>
    <t xml:space="preserve">        EDIFICIO FLORENCIA - PROPIEDAD HORIZONTAL</t>
  </si>
  <si>
    <t xml:space="preserve">        VINSA INVERSIONES S A S</t>
  </si>
  <si>
    <t xml:space="preserve">        EDIFICIO MIRADOR DEL BOSQUE</t>
  </si>
  <si>
    <t xml:space="preserve">        EDIFICIO CEREZO ROSALES PROPIEDAD HORIZONTAL</t>
  </si>
  <si>
    <t xml:space="preserve">MARTINEZ  GIRALDO  DIEGO  ALEXANDER  </t>
  </si>
  <si>
    <t xml:space="preserve">        EDIFICIO SANTA MONICA - PROPIEDAD HORIZONTAL</t>
  </si>
  <si>
    <t xml:space="preserve">        INVERSIONES MARQUEZ  S.A.S</t>
  </si>
  <si>
    <t xml:space="preserve">        CARVAJAL &amp; CASTILLO CONSTRUCTORA S.A.S</t>
  </si>
  <si>
    <t xml:space="preserve">        EDIFICIO MIXTO SANTAMARIA DEL PORTAL P.H.</t>
  </si>
  <si>
    <t xml:space="preserve">        EDIFICIO MULTIFAMILIAR TORRE DEL PARQUE PROPIEDAD HORIZONTAL</t>
  </si>
  <si>
    <t xml:space="preserve">        EDIFICIO PLAZA 79</t>
  </si>
  <si>
    <t xml:space="preserve">        EDIFICIO ALPES PROPIEDAD HORIZONTAL</t>
  </si>
  <si>
    <t xml:space="preserve">        CASA NUA MG S.A.S.</t>
  </si>
  <si>
    <t xml:space="preserve">        EDIFICIO PORTOBELO</t>
  </si>
  <si>
    <t xml:space="preserve">AVENDAÑO  BUILES  OLGA  JANETH  </t>
  </si>
  <si>
    <t xml:space="preserve">        CONSTRUCTORA NACIONAL DE OBRAS CIVILES  S A S</t>
  </si>
  <si>
    <t xml:space="preserve">        EDIFICIO PALLADIO</t>
  </si>
  <si>
    <t xml:space="preserve">        SURTICAMPO  S.A.S.</t>
  </si>
  <si>
    <t xml:space="preserve">        EDIFICIO NUBENZZA P.H.</t>
  </si>
  <si>
    <t xml:space="preserve">        NUEVA INVERSIONES GRATAMIRA S.A.S.</t>
  </si>
  <si>
    <t xml:space="preserve">        EDIFICIO LOS SAUCOS - PROPIEDAD HORIZONTAL</t>
  </si>
  <si>
    <t xml:space="preserve">        EDIFICIO  NAZARY  PROPIEDAD  HORIZONTAL</t>
  </si>
  <si>
    <t xml:space="preserve">        EDIFICIO BOE PROPIEDAD HORIZONTAL.</t>
  </si>
  <si>
    <t xml:space="preserve">        EDIFICIO  ALTOS  DE  CADAQUES  -  PROPIEDAD  HORIZONTAL</t>
  </si>
  <si>
    <t xml:space="preserve">        CONJUNTO RESIDENCIAL LOS PINOS DEL CHICO - PROPIEDAD HORIZONTAL</t>
  </si>
  <si>
    <t xml:space="preserve">GALLARDO  QUINTERO  LORENZO  TERCERO  </t>
  </si>
  <si>
    <t xml:space="preserve">        EDIFICIO "H2O APARTAMENTOS" - P.H.</t>
  </si>
  <si>
    <t xml:space="preserve">        EDIFICIO MAYOHA-PROPIEDAD HORIZONTAL</t>
  </si>
  <si>
    <t xml:space="preserve">        EDIFICIO AMBAR 152 - PROPIEDAD HORIZONTAL</t>
  </si>
  <si>
    <t xml:space="preserve">        EDIFICIO PARQUE CENTRAL</t>
  </si>
  <si>
    <t xml:space="preserve">        EDIFICIO ESPACIO PLUS - PROPIEDAD HORIZONTAL</t>
  </si>
  <si>
    <t xml:space="preserve">        URBANIZACIÓN BALTICO - PROPIEDAD HORIZONTAL</t>
  </si>
  <si>
    <t xml:space="preserve">        EDIFICIO UNIDAD RESIDENCIAL PROCYON</t>
  </si>
  <si>
    <t xml:space="preserve">ESPINOSA  CARDENAS  DANLY    </t>
  </si>
  <si>
    <t xml:space="preserve">        EDIFICIO   IBIS  - PROPIEDAD   HORIZONTAL</t>
  </si>
  <si>
    <t xml:space="preserve">        EDIFICIO JARDINES DE SANTA BARBARA - PROPIEDAD HORIZONTAL</t>
  </si>
  <si>
    <t xml:space="preserve">        EDIFICIO CENTRO COMERCIAL LA CALLEJA</t>
  </si>
  <si>
    <t xml:space="preserve">        EDIFICIO BALCONES DEL CHICO ALTO</t>
  </si>
  <si>
    <t xml:space="preserve">        CLINICA OFTALMOLOGICA LAURELES S.A.</t>
  </si>
  <si>
    <t xml:space="preserve">        EDIFICIO ALERO 59 - PROPIEDAD HORIZONTAL</t>
  </si>
  <si>
    <t xml:space="preserve">        EDIFICIO KASTOR - PROPIEDAD HORIZONTAL</t>
  </si>
  <si>
    <t xml:space="preserve">        EDIFICIO SASSARI  PROPIEDAD HORIZONTAL</t>
  </si>
  <si>
    <t xml:space="preserve">        EDIFICIO PARQUE 106 -PROPIEDAD HORIZONTAL</t>
  </si>
  <si>
    <t xml:space="preserve">        EDIFICIO  BARLOVENTO  P.H.</t>
  </si>
  <si>
    <t xml:space="preserve">        EDIFICIO  SANTA  RITA  DEL  RIO</t>
  </si>
  <si>
    <t xml:space="preserve">        "EDIFICIO  ELITE  P.H"</t>
  </si>
  <si>
    <t xml:space="preserve">        EDIFICIO MILLENNIUM 121 - PROPIEDAD HORIZONTAL</t>
  </si>
  <si>
    <t xml:space="preserve">        EDIFICIO MULTIFAMILIAR IBIZA PROPIEDAD HORIZONTAL</t>
  </si>
  <si>
    <t xml:space="preserve">        EDIFICIO VIA VENETO - PROPIEDAD HORIZONTAL</t>
  </si>
  <si>
    <t xml:space="preserve">        URBANIZACION SENDEROS DE CANAVITA</t>
  </si>
  <si>
    <t xml:space="preserve">        EDIFICIO TERRA 26</t>
  </si>
  <si>
    <t xml:space="preserve">        COLINVER CITY S.A.S.</t>
  </si>
  <si>
    <t xml:space="preserve">        CONJUNTO ALDEA DE SAN MARCO PROPIEDAD HORIZONTAL</t>
  </si>
  <si>
    <t xml:space="preserve">        EDIFICIO TREBOLI</t>
  </si>
  <si>
    <t xml:space="preserve">        EDIFICIO ESTRELLA  DEL MAR</t>
  </si>
  <si>
    <t xml:space="preserve">        CLINISPORTS DE COLOMBIA S.A.S.</t>
  </si>
  <si>
    <t xml:space="preserve">        EDIFICIO MIXTO BETHEL</t>
  </si>
  <si>
    <t xml:space="preserve">        EDIFICIO SANTA PAULA VILLAGE- PROPIEDAD HORIZONTAL</t>
  </si>
  <si>
    <t xml:space="preserve">        CONSTRUCTORA ARROYAVE Y COMPAÑIA S.A.S</t>
  </si>
  <si>
    <t xml:space="preserve">MARTINEZ  CUADROS  MARIA  CAROLINA  </t>
  </si>
  <si>
    <t xml:space="preserve">        CONJUNTO RESIDENCIAL GRAN RESERVA DE CHABLIS PROPIEDAD HORIZONTAL</t>
  </si>
  <si>
    <t xml:space="preserve">        PALMANOVA APARTAMENTOS P.H.</t>
  </si>
  <si>
    <t xml:space="preserve">        EDIFICIO MEDITERRANEA TOWERS ETAPA 1 TORRE 1</t>
  </si>
  <si>
    <t xml:space="preserve">PACHON  MANTILLA  ALBERTO    </t>
  </si>
  <si>
    <t xml:space="preserve">        EDIFICIO ANTILIA - PROPIEDAD HORIZONTAL</t>
  </si>
  <si>
    <t xml:space="preserve">        EDIFICIO PERLA DEL CARIBE PROPIEDAD HORIZONTAL</t>
  </si>
  <si>
    <t xml:space="preserve">        EDIFICIO TORRES DE BATAN II - PROPIEDAD HORIZONTAL</t>
  </si>
  <si>
    <t xml:space="preserve">        UNIDAD RESIDENCIAL LOS OBELISCOS</t>
  </si>
  <si>
    <t xml:space="preserve">        EDIFICIO RIO MOLINO - PROPIEDAD HORIZONTAL</t>
  </si>
  <si>
    <t xml:space="preserve">DELGADO  POSSO  LUZ  STELLA  </t>
  </si>
  <si>
    <t xml:space="preserve">GEYSKENS    ILSE  MARIA PAULA GHISLENA  </t>
  </si>
  <si>
    <t xml:space="preserve">        MUNICIPIO  EL RETIRO</t>
  </si>
  <si>
    <t xml:space="preserve">        PLAZA COMERCIAL PLAZA BOUTIQUE</t>
  </si>
  <si>
    <t xml:space="preserve">        EDIFICIO  BAHIA  MARINA</t>
  </si>
  <si>
    <t xml:space="preserve">        CONJUNTO CERRADO MIXTO DENOMINADO URBANIZACION PARQUE 34,</t>
  </si>
  <si>
    <t xml:space="preserve">        EDIFICIO "TAO" P.H.</t>
  </si>
  <si>
    <t xml:space="preserve">        EDIFICIO MONTE GRANDE</t>
  </si>
  <si>
    <t xml:space="preserve">GARCIA  LOPEZ  JORGE  ALADINO  </t>
  </si>
  <si>
    <t xml:space="preserve">        EDIFICIO BOSQUE ALTO APARTASUITES - PROPIEDAD HORIZONTAL</t>
  </si>
  <si>
    <t xml:space="preserve">        CONJUNTO TORRES DE ZAMORA - PROPIEDAD HORIZONTAL</t>
  </si>
  <si>
    <t xml:space="preserve">        EDIFICIO MACADAMIA PROPIEDAD HORIZONTAL</t>
  </si>
  <si>
    <t xml:space="preserve">        EDIFICIO PORTAL DE LA 94 - PROPIEDAD HORIZONTAL</t>
  </si>
  <si>
    <t xml:space="preserve">        IKG S.A.S.</t>
  </si>
  <si>
    <t xml:space="preserve">        EDIFICIO TORRE ACUARELA P.H.</t>
  </si>
  <si>
    <t xml:space="preserve">        EDIFICIO TORRE YANUBA PROPIEDAD HORIZONTAL</t>
  </si>
  <si>
    <t xml:space="preserve">        EDIFICIO DE USO MIXTO "MUGICA - PROPIEDAD HORIZONTAL"</t>
  </si>
  <si>
    <t xml:space="preserve">        EDIFICIO CATALINA I - PROPIEDAD HORIZONTAL</t>
  </si>
  <si>
    <t xml:space="preserve">        CONSTRUCTORA AGA SAS</t>
  </si>
  <si>
    <t xml:space="preserve">        EDIFICIO MULTIFAMILIAR BOSTON PLAZA</t>
  </si>
  <si>
    <t xml:space="preserve">        EDIFICIO ALTOS DE LA QUINTA</t>
  </si>
  <si>
    <t xml:space="preserve">        FUNDACION CARDIOVASCULAR DE COLOMBIA</t>
  </si>
  <si>
    <t xml:space="preserve">        EDIFICIO CALLE 125 -  PROPIEDAD HORIZONTAL</t>
  </si>
  <si>
    <t xml:space="preserve">        INGENIO LA CABAÑA S.A.</t>
  </si>
  <si>
    <t xml:space="preserve">        EDIFICIO LINK - PROPIEDAD HORIZONTAL</t>
  </si>
  <si>
    <t xml:space="preserve">        EL EDIFICIO SANTA PAULA PARK - PROPIEDAD HORIZONTAL</t>
  </si>
  <si>
    <t xml:space="preserve">        EDIFICIO PALMA AVANTI - PROPIEDAD HORIZONTAL</t>
  </si>
  <si>
    <t xml:space="preserve">        FUNDACION AUTONOMA DE SANTANDER</t>
  </si>
  <si>
    <t xml:space="preserve">        EDIFICIO ZEUS PROPIEDAD HORIZONTAL</t>
  </si>
  <si>
    <t xml:space="preserve">ZABALA  ALVAREZ  DEISY  YURLEY  </t>
  </si>
  <si>
    <t xml:space="preserve">        DISTRIBUIDORA CASTILLO IMPERIAL S.A.S.</t>
  </si>
  <si>
    <t xml:space="preserve">LONDOÑO  GOMEZ  ANGEL  DE DIOS  </t>
  </si>
  <si>
    <t xml:space="preserve">        INVERSIONES MANA CALI S.A.S.</t>
  </si>
  <si>
    <t xml:space="preserve">        EDIFICIO HABITAT 77 - PROPIEDAD HORIZONTAL</t>
  </si>
  <si>
    <t xml:space="preserve">        OCTAVA B - PROPIEDAD HORIZONTAL</t>
  </si>
  <si>
    <t xml:space="preserve">        EDIFICIO PALMA SORIANO PROPIEDAD HORIZONTAL</t>
  </si>
  <si>
    <t xml:space="preserve">        EDIFICIO ANDORRA PROPIEDAD HORIZONTAL</t>
  </si>
  <si>
    <t xml:space="preserve">        ASOCIACION DE COPROPIETARIOS DE LA UNIDAD MEDICA ESPECIALIZADA</t>
  </si>
  <si>
    <t xml:space="preserve">        FONSECA AMAYA INVERSIONES S.A.S.</t>
  </si>
  <si>
    <t xml:space="preserve">        EDIFICIO SALTO DE BORDONES</t>
  </si>
  <si>
    <t xml:space="preserve">        EDIFICIO PORLAMAR P-H</t>
  </si>
  <si>
    <t xml:space="preserve">        EDIFICIO EL PARQUE PROPIEDAD HORIZONTAL</t>
  </si>
  <si>
    <t xml:space="preserve">        EDIFICIO BASIKA 72 - PROPIEDAD HORIZONTAL</t>
  </si>
  <si>
    <t xml:space="preserve">        CONJUNTO RESIDENCIAL SHANGRILA P.H.</t>
  </si>
  <si>
    <t xml:space="preserve">        CORPORACION UNIVERSITARIA DE SABANETA - UNISABANETA</t>
  </si>
  <si>
    <t xml:space="preserve">        EDIFICIO MATORRAL - PROPIEDAD HORIZONTAL</t>
  </si>
  <si>
    <t xml:space="preserve">        CENTRO COMERCIAL DIVEREXPRESS ETAPA 3 - PROPIEDAD HORIZONTAL</t>
  </si>
  <si>
    <t xml:space="preserve">        INVERSIONES REIMORAN S.A.S</t>
  </si>
  <si>
    <t xml:space="preserve">        VILLA CECILIA PROPIEDAD HORIZONTAL</t>
  </si>
  <si>
    <t xml:space="preserve">        YEPES CARBONO E HIJOS &amp; CIA S.A.S.</t>
  </si>
  <si>
    <t xml:space="preserve">        EDIFICIO "KOA PARK"</t>
  </si>
  <si>
    <t xml:space="preserve">        LOS NOGALES CONDOMINIO</t>
  </si>
  <si>
    <t xml:space="preserve">        EDIFICIO ATLANTIS II PROPIEDAD HORIZONTAL</t>
  </si>
  <si>
    <t xml:space="preserve">        EDIFICIO ENTORNO 109 - PROPIEDAD HORIZONTAL</t>
  </si>
  <si>
    <t xml:space="preserve">        EDIFICIO SAN PEDRO DEL BATAN - PROPIEDAD HORIZONTAL</t>
  </si>
  <si>
    <t xml:space="preserve">        EDIFICIO PIAMONTE - PROPIEDAD HORIZONTAL</t>
  </si>
  <si>
    <t xml:space="preserve">        EDIFICIO SOCIEDAD CALDENSE DE INGENIEROS PROPIEDAD HORIZONTAL</t>
  </si>
  <si>
    <t xml:space="preserve">        LEOTECNICAS LIMITADA CENTRAL DE MANTENIMIENTOS ELECTRO INDUSTRIALES</t>
  </si>
  <si>
    <t xml:space="preserve">        BRADCO SAS</t>
  </si>
  <si>
    <t xml:space="preserve">        EDIFICIO APARTAMENTOS SAN JOSE - PROPIEDAD HORIZONTAL</t>
  </si>
  <si>
    <t xml:space="preserve">        EDIFICIO IRAZU</t>
  </si>
  <si>
    <t xml:space="preserve">        EDIFICIO ESTADIO SEÑORIAL - PROPIEDAD HORIZONTAL</t>
  </si>
  <si>
    <t xml:space="preserve">        EDIFICIO FORMENTERA PROPIEDAD HORIZONTAL</t>
  </si>
  <si>
    <t xml:space="preserve">        EDIFICO ACACIAS 94 - PROPIEDAD HORIZONTAL</t>
  </si>
  <si>
    <t xml:space="preserve">        EDIFICIO MULTIFAMILIAR CAMELOT P.H.</t>
  </si>
  <si>
    <t xml:space="preserve">        EDIFICIO COMPOSTELA P.H.</t>
  </si>
  <si>
    <t xml:space="preserve">        EDIFICIO BATAN 123  - PROPIEDAD HORIZONTAL</t>
  </si>
  <si>
    <t xml:space="preserve">DIAZ  DAZA  VICTOR  JULIO  </t>
  </si>
  <si>
    <t xml:space="preserve">        EDIFICIO TOSKANA ANTIGUA- PROPIEDAD HORIZONTAL</t>
  </si>
  <si>
    <t xml:space="preserve">        SMART TRAVELS S.A.S.</t>
  </si>
  <si>
    <t xml:space="preserve">        EDIFICIO EL VERGEL P.H.</t>
  </si>
  <si>
    <t xml:space="preserve">        EDIFICIO LOS NEVADOS</t>
  </si>
  <si>
    <t xml:space="preserve">        EDIFICIO 3 PARQUES - PROPIEDAD HORIZONTAL</t>
  </si>
  <si>
    <t xml:space="preserve">LOPEZ  LOPEZ  MARIA  NUBIA  </t>
  </si>
  <si>
    <t xml:space="preserve">ZAPATA  CORREA  CARLOS  MARIO  </t>
  </si>
  <si>
    <t xml:space="preserve">        EDIFICIO SOHO PROPIEDAD HORIZONTAL</t>
  </si>
  <si>
    <t xml:space="preserve">        EDIFICIO CALICANTO - PROPIEDAD HORIZONTAL</t>
  </si>
  <si>
    <t xml:space="preserve">        EDIFICO REFUGIO REAL PROPIEDAD HORIZONTAL</t>
  </si>
  <si>
    <t xml:space="preserve">        EDIFICIO BALCONES DE VENECIA II - P.H</t>
  </si>
  <si>
    <t xml:space="preserve">        CONJUNTO DE VIVIENDA MULTIFAMILIAR MIRADOR DE LA FRANCIA - PROPIEDAD HORIZONTAL</t>
  </si>
  <si>
    <t xml:space="preserve">LOBO  ROSO  JOSE  DAVID  </t>
  </si>
  <si>
    <t xml:space="preserve">        EDIFICIO BOSQUES DE PINOS - PROPIEDAD HORIZONTAL</t>
  </si>
  <si>
    <t xml:space="preserve">        EDIFICIO PTOLOMEO - PROPIEDAD HORIZONTAL</t>
  </si>
  <si>
    <t xml:space="preserve">        EDIFICIO CENTER PLAZA</t>
  </si>
  <si>
    <t xml:space="preserve">        EDIFICIO EL RINCON DE LOS CERROS - PROPIEDAD HORIZONTAL</t>
  </si>
  <si>
    <t xml:space="preserve">        EDIFICIO JARDINES DE PONTEVEDRA P.H.</t>
  </si>
  <si>
    <t xml:space="preserve">        EDIFICIO AGORA PLAZA PROPIEDAD HORIZONTAL</t>
  </si>
  <si>
    <t xml:space="preserve">        EDIFICIO ICARO CALLE 103 - PROPIEDAD HORIZONTAL</t>
  </si>
  <si>
    <t xml:space="preserve">        EDIFICIO SOTOMAYOR CENTRAL</t>
  </si>
  <si>
    <t xml:space="preserve">        EDIFICIO ZURYA - PROPIEDAD HORIZONTAL</t>
  </si>
  <si>
    <t xml:space="preserve">        EDIFICIO TORRE TADAIMA</t>
  </si>
  <si>
    <t xml:space="preserve">        EDIFICIO RESIDENCIAL SAGA 106 PH-PROPIEDAD HORIZONTAL</t>
  </si>
  <si>
    <t xml:space="preserve">        EDIFICIO  DALIA  64</t>
  </si>
  <si>
    <t xml:space="preserve">        CONDOMINIO EDIFICIO ALTAMIRA</t>
  </si>
  <si>
    <t xml:space="preserve">        EDIFICIO CENTRO EMPRESARIAL 2.23 PROPIEDAD HORIZONTAL</t>
  </si>
  <si>
    <t xml:space="preserve">        EDIFICIO BARILOCHE P-H</t>
  </si>
  <si>
    <t xml:space="preserve">        EDIFICIO PONTETRESA - PROPIEDAD HORIZONTAL</t>
  </si>
  <si>
    <t xml:space="preserve">        EDIFICIO BRISAS DEL TRIANON P.H.</t>
  </si>
  <si>
    <t xml:space="preserve">        EDIFICIO DOÑA ELSA</t>
  </si>
  <si>
    <t xml:space="preserve">        EDIFICIO MONTAÑA ARRIBA - PROPIEDAD HORIZONTAL</t>
  </si>
  <si>
    <t xml:space="preserve">        EDIFICIO TERZETTO 27</t>
  </si>
  <si>
    <t xml:space="preserve">        EDIFICIO CRACOVIA - P.H.-</t>
  </si>
  <si>
    <t xml:space="preserve">        EDIFICIO CORAL VILLAGE- PROPIEDAD HORIZONTAL</t>
  </si>
  <si>
    <t xml:space="preserve">        EDIFICIO CALIFORNIA ANTIGUA - PROPIEDAD HORIZONTAL</t>
  </si>
  <si>
    <t xml:space="preserve">        EDIFICIO ALCAZAR P.H.</t>
  </si>
  <si>
    <t xml:space="preserve">        CONJUNTO RESIDENCIAL OIKOS COLINA RESERVADO - PROPIEDAD HORIZONTAL</t>
  </si>
  <si>
    <t xml:space="preserve">        EDIFICIO CRYSTAL VILLAGE - PROPIEDAD HORIZONTAL</t>
  </si>
  <si>
    <t xml:space="preserve">        CONDOMINIO  EDIFICIO  PLATINO</t>
  </si>
  <si>
    <t xml:space="preserve">        INVERSIONES TATIS SOLANO S EN C</t>
  </si>
  <si>
    <t xml:space="preserve">        EDIFICIO QUEBRADA ARRIBA - PROPIEDAD HORIZONTAL</t>
  </si>
  <si>
    <t xml:space="preserve">        CONJUNTO RESIDENCIAL TORRES DE ALCALA - PROPIEDAD HORIZONTAL PRIMERA  ETAPA</t>
  </si>
  <si>
    <t xml:space="preserve">        EDIFICIO CALLE 76</t>
  </si>
  <si>
    <t xml:space="preserve">        EDIFICIO SAN REMO</t>
  </si>
  <si>
    <t xml:space="preserve">        EDIFICIO NUEVA FLORIDA - PROPIEDAD HORIZONTAL</t>
  </si>
  <si>
    <t xml:space="preserve">        TAKAMI S A</t>
  </si>
  <si>
    <t xml:space="preserve">        EDIFICIO  ELITE  VILLAGE  - PROPIEDAD HORIZONTAL</t>
  </si>
  <si>
    <t xml:space="preserve">        EDIFICIO SEPPIA - PROPIEDAD HORIZONTAL</t>
  </si>
  <si>
    <t xml:space="preserve">        EDIFICIO CASCADA DE LAURELES PROPIEDAD HORIZONTAL</t>
  </si>
  <si>
    <t xml:space="preserve">        EDIFICIO ALMA MATER</t>
  </si>
  <si>
    <t xml:space="preserve">        EDIFICIO REFUGIO DE LISBOA - PROPIEDAD HORIZONTAL</t>
  </si>
  <si>
    <t xml:space="preserve">        DHL SUPPLY CHAIN COLOMBIA SAS</t>
  </si>
  <si>
    <t xml:space="preserve">        HANNOVER TORRE DE APARTAMENTOS P.H.</t>
  </si>
  <si>
    <t xml:space="preserve">        EDIFICIO TORRE PRADO-PROPIEDAD HORIZONTAL</t>
  </si>
  <si>
    <t xml:space="preserve">        EDIFICIO LISET DE ZUÑIGA P. H.</t>
  </si>
  <si>
    <t xml:space="preserve">        COMERCIALIZADORA MARDEN LTDA.</t>
  </si>
  <si>
    <t xml:space="preserve">        EDIFICIO SANTOME - PROPIEDAD HORIZONTAL</t>
  </si>
  <si>
    <t xml:space="preserve">        ROYAL LIVING S.A.S</t>
  </si>
  <si>
    <t xml:space="preserve">        EDIFICIO SIENA - PROPIEDAD HORIZONTAL</t>
  </si>
  <si>
    <t xml:space="preserve">        EDIFICIO MULTIFAMILIAR LOS NOGALES</t>
  </si>
  <si>
    <t xml:space="preserve">        EDIFICIO TORRES DEL ANGEL - PROPIEDAD HORIZONTAL</t>
  </si>
  <si>
    <t xml:space="preserve">        CONJUNTO RESIDENCIAL SIERRAS DEL MORAL MANZANA 4 ETAPA 5 TORRE 7 - PROPIEDAD HORIZONTAL</t>
  </si>
  <si>
    <t xml:space="preserve">SEPULVEDA  SEPULVEDA  ESBREIDDY    </t>
  </si>
  <si>
    <t xml:space="preserve">        EDIFICIO BICENTENARIO DE LA PLAYA - PROPIEDAD HORIZONTAL</t>
  </si>
  <si>
    <t xml:space="preserve">        EDIFICIO OPE MULTIACTIVO - PROPIEDAD HORIZONTAL</t>
  </si>
  <si>
    <t xml:space="preserve">        EDIFICIO GUALANDAY</t>
  </si>
  <si>
    <t xml:space="preserve">        EDIFICIO MULTIFAMILIAR BOSQUES DE CAMPO BELLO</t>
  </si>
  <si>
    <t xml:space="preserve">        EDIFICIO LOS ALMENDROS DE ZUÑIGA  P.H</t>
  </si>
  <si>
    <t xml:space="preserve">        EDIFICIO FARO DEL VELODROMO PROPIEDAD HORIZONTAL</t>
  </si>
  <si>
    <t xml:space="preserve">        EDIFICIO MOKA P.H.</t>
  </si>
  <si>
    <t xml:space="preserve">        EDIFICIO  SANTA  MONICA   CENTRAL PROPIEDAD HORIZONTAL</t>
  </si>
  <si>
    <t xml:space="preserve">        " EDIFICIO VILANOVA PLUS  - PROPIEDAD HORIZONTAL"</t>
  </si>
  <si>
    <t xml:space="preserve">        EDIFICIO BONANZA PROPIEDAD HORIZONTAL</t>
  </si>
  <si>
    <t xml:space="preserve">        EDIFICIO CRISTOBAL REAL- PROPIEDAD HORIZONTAL</t>
  </si>
  <si>
    <t xml:space="preserve">        EDIFICIO ZYTAR - PROPIEDAD HORIZONTAL</t>
  </si>
  <si>
    <t xml:space="preserve">        EDIFICIO MANTRA - PROPIEDAD HORIZONTAL</t>
  </si>
  <si>
    <t xml:space="preserve">        MCCANN ERICKSON CORPORATION S A</t>
  </si>
  <si>
    <t xml:space="preserve">        EDIFICIO EPIK - PROPIEDAD HORIZONTAL</t>
  </si>
  <si>
    <t xml:space="preserve">        EDIFICIO ALAMEDA 106 - PROPIEDAD HORIZONTAL</t>
  </si>
  <si>
    <t xml:space="preserve">        EDIFICIO NOVARA - PROPIEDAD HORIZONTAL</t>
  </si>
  <si>
    <t xml:space="preserve">        SUPERMERCADO Y PASAJE COMERCIAL SAN DIEGO PLAZA</t>
  </si>
  <si>
    <t xml:space="preserve">        MADERO - PROPIEDAD HORIZONTAL</t>
  </si>
  <si>
    <t xml:space="preserve">        INVERSIONES ALEJO LEON S.A.S.</t>
  </si>
  <si>
    <t xml:space="preserve">        CARIBE HOTELES &amp; SUITES S.A.S.</t>
  </si>
  <si>
    <t xml:space="preserve">        EDIFICIO "GIRARDOT SEÑORIAL- PROPIEDAD HORIZONTAL"</t>
  </si>
  <si>
    <t xml:space="preserve">        EDIFICIO TORRE UNO A PROPIEDAD HORIZONTAL</t>
  </si>
  <si>
    <t xml:space="preserve">ROZO  DE MEJIA  MARINA  ESTER  </t>
  </si>
  <si>
    <t xml:space="preserve">        EDIFICIO TORRE VERSALLES</t>
  </si>
  <si>
    <t xml:space="preserve">        SUMMAR TEMPORALES S.A.S.</t>
  </si>
  <si>
    <t xml:space="preserve">        EDIFICIO SOLAIRE</t>
  </si>
  <si>
    <t xml:space="preserve">        EDIFICIO FERRARA 67 - PROPIEDAD HORIZONTAL</t>
  </si>
  <si>
    <t xml:space="preserve">        CENTRO COMERCIAL SANANDRESITO BARRANQUILLA CENTRO</t>
  </si>
  <si>
    <t xml:space="preserve">        INGENIERIA IT &amp; T DE COLOMBIA S A S</t>
  </si>
  <si>
    <t xml:space="preserve">        EDIFICIO OMH - PROPIEDAD HORIZONTAL</t>
  </si>
  <si>
    <t xml:space="preserve">        EDIFICIO DELFOZ</t>
  </si>
  <si>
    <t xml:space="preserve">        EDIFICIO ATARDEZZER -PROPIEEDAD HORIZONTAL</t>
  </si>
  <si>
    <t xml:space="preserve">        EDIFICIO PORTOBELO VILLAGE - PROPIEDAD HORIZONTAL</t>
  </si>
  <si>
    <t xml:space="preserve">        CENTRO COMERCIAL MAZUREN - PROPIEDAD HORIZONTAL</t>
  </si>
  <si>
    <t xml:space="preserve">        INVERSIONES GOYCA SAS</t>
  </si>
  <si>
    <t xml:space="preserve">        EDIFICIO MAR DE GAIRA</t>
  </si>
  <si>
    <t xml:space="preserve">        EDIFICIO PUERTO MADERO - PROPIEDAD HORIZONTAL</t>
  </si>
  <si>
    <t xml:space="preserve">        EDIFICIO TORRE 19</t>
  </si>
  <si>
    <t xml:space="preserve">        "EDIFICIO HOUSING - PROPIEDAD HORIZONTAL"</t>
  </si>
  <si>
    <t xml:space="preserve">        EDIFICIO LA  POSADA DE IPANEMA</t>
  </si>
  <si>
    <t xml:space="preserve">        EDIFICIO ORION 96 - PROPIEDAD HORIZONTAL</t>
  </si>
  <si>
    <t xml:space="preserve">        EDIFICIO AZURE - PROPIEDAD HORIZONTAL</t>
  </si>
  <si>
    <t xml:space="preserve">        EDIFICIO SAN REMO III PROPIEDAD HORIZONTAL</t>
  </si>
  <si>
    <t xml:space="preserve">        EDIFICIO ALTOS DEL ROSARIO P.H.</t>
  </si>
  <si>
    <t xml:space="preserve">        EDIFICIO PONFERRADA</t>
  </si>
  <si>
    <t xml:space="preserve">        EDIFICIO CHATEL BELLA SUIZA - PROPIEDAD HORIZONTAL</t>
  </si>
  <si>
    <t xml:space="preserve">        EDIFICIO VISTA 51 - PROPIEDAD HORIZONTAL</t>
  </si>
  <si>
    <t xml:space="preserve">        EDIFICIO LIFE PROPIEDAD HORIZONTAL</t>
  </si>
  <si>
    <t xml:space="preserve">        EDIFICIO MASSALIA 126 - PROPIEDAD HORIZONTAL</t>
  </si>
  <si>
    <t xml:space="preserve">        OPERADORA CLINICA AZUL SAS</t>
  </si>
  <si>
    <t xml:space="preserve">        EDIFICIO ZUÑIGA REAL P.H.</t>
  </si>
  <si>
    <t xml:space="preserve">        SOMOS SOCIAL HOUSE S.A.S</t>
  </si>
  <si>
    <t xml:space="preserve">        CENTRO MEDICO DE ESPECIALISTAS  CAÑAVERAL</t>
  </si>
  <si>
    <t xml:space="preserve">        CONJUNTO RESIDENCIAL CERRADO ALTOS DE MONSERRATE P H</t>
  </si>
  <si>
    <t xml:space="preserve">        EDIFICIO MAZZARO - PROPIEDAD HORIZONTAL</t>
  </si>
  <si>
    <t xml:space="preserve">        CONJUNTO INMOBILIARIO FIORI VITA MALL - PROPIEDAD HORIZONTAL</t>
  </si>
  <si>
    <t xml:space="preserve">        BANCO UNION S.A.</t>
  </si>
  <si>
    <t xml:space="preserve">        EDIFICIO ANGELUS</t>
  </si>
  <si>
    <t xml:space="preserve">        BUENOS PROYECTOS SAS</t>
  </si>
  <si>
    <t xml:space="preserve">        EDIFICIO SAGRADO CORAZON</t>
  </si>
  <si>
    <t xml:space="preserve">        EDIFICIO EL SAMAN - PROPIEDAD HORIZONTAL</t>
  </si>
  <si>
    <t xml:space="preserve">        EDIFICIO CALLEJA PARK  - PROPIEDAD HORIZONTAL</t>
  </si>
  <si>
    <t xml:space="preserve">        TORRE 51B-PROPIEDAD HORIZONTAL</t>
  </si>
  <si>
    <t xml:space="preserve">        EDIFICIO LARES 134 - PROPIEDAD HORIZONTAL</t>
  </si>
  <si>
    <t xml:space="preserve">        SERVICIOS E INVERSIONES RJ SAS</t>
  </si>
  <si>
    <t xml:space="preserve">        EDIFICIO CAMINO DEL PARQUE PROPIEDAD HORIZONTAL</t>
  </si>
  <si>
    <t xml:space="preserve">        MANZANA 4 URBANIZACIÓN NATURA PARQUE CENTRAL - PROPIEDAD HORIZONTAL</t>
  </si>
  <si>
    <t xml:space="preserve">        EDIFICIO ALICANTE PH - PROPIEDAD HORIZONTAL</t>
  </si>
  <si>
    <t xml:space="preserve">        EDIFICIO ZARAHEMLA</t>
  </si>
  <si>
    <t xml:space="preserve">        METROLOFT APARTASUITES</t>
  </si>
  <si>
    <t xml:space="preserve">        EDIFICIO TORRE PANORAMIC</t>
  </si>
  <si>
    <t xml:space="preserve">        UT MANTENIMIENTOS RFWILBROC</t>
  </si>
  <si>
    <t xml:space="preserve">        EDIFICIO GUAYACAN PROPIEDAD HORIZONTAL</t>
  </si>
  <si>
    <t xml:space="preserve">        EDIFICIO ATANATOS I - PROPIEDAD HORIZONTAL</t>
  </si>
  <si>
    <t xml:space="preserve">        EDIFICIO MULTIFAMILIAR ESPACIO 118</t>
  </si>
  <si>
    <t xml:space="preserve">        EDIFICIO CALLE 104 - PROPIEDAD HORIZONTAL</t>
  </si>
  <si>
    <t xml:space="preserve">        EDIFICIO TORRE DE LA CAROLINA PROPIEDAD HORIZONTAL</t>
  </si>
  <si>
    <t xml:space="preserve">        INVERSORA HOTELERA COLOMBIANA  S.A.</t>
  </si>
  <si>
    <t xml:space="preserve">        EDIFICIO SAN FRANCISCO DE PAULA</t>
  </si>
  <si>
    <t xml:space="preserve">        FONDO DE INVERSION  COLECTIVA INMOBILIARIO - INMOVAL</t>
  </si>
  <si>
    <t xml:space="preserve">        EDIFICIO CENTRO CHICO I- PROPIEDAD HORIZONTAL</t>
  </si>
  <si>
    <t xml:space="preserve">        EDIFICIO MONTICHELLO - PROPIEDAD HORIZONTAL</t>
  </si>
  <si>
    <t xml:space="preserve">        EDIFICIO VIVARIUM</t>
  </si>
  <si>
    <t xml:space="preserve">        EDIFICIO MIRADOR DEL CEDRO - PROPIEDAD HORIZONTAL</t>
  </si>
  <si>
    <t xml:space="preserve">        EDIFICIO ASTURIAS CALLE 101 PROPIEDAD HORIZONTAL</t>
  </si>
  <si>
    <t xml:space="preserve">        EDIFICIO EL CANTIL - PROPIEDAD HORIZONTAL</t>
  </si>
  <si>
    <t xml:space="preserve">        EDIFICIO DIMONTI</t>
  </si>
  <si>
    <t xml:space="preserve">        EDIFICIO DANIELA - PROPIEDAD HORIZONTAL</t>
  </si>
  <si>
    <t xml:space="preserve">        CONJUNTO RESIDENCIAL SINDAMANOY</t>
  </si>
  <si>
    <t xml:space="preserve">        EDIFICIO MONTE CARMELO</t>
  </si>
  <si>
    <t xml:space="preserve">ARANGO  HENAO  EUSTELLY  DE LAS MISERICORDIAS  </t>
  </si>
  <si>
    <t xml:space="preserve">        AGROPECUARIA GARZON LOPEZ S.A.S</t>
  </si>
  <si>
    <t xml:space="preserve">        EDIFICIO 30 URBANO</t>
  </si>
  <si>
    <t xml:space="preserve">        EDIFICIO PILARICA FLATS - PROPIEDAD HORIZONTAL</t>
  </si>
  <si>
    <t xml:space="preserve">        PROYECTO VERDHIA CAJICÁ - PROPIEDAD HORIZONTAL</t>
  </si>
  <si>
    <t xml:space="preserve">        EDIFICIO LAURELES DE LA CONCHA</t>
  </si>
  <si>
    <t xml:space="preserve">        EDIFICIO QATAR PROPIEDAD HORIZONTAL</t>
  </si>
  <si>
    <t xml:space="preserve">        EDIFICIO TERRACOTA PROPIEDAD HORIZONTAL</t>
  </si>
  <si>
    <t xml:space="preserve">        EDIFICIO ALICANTE P.H.</t>
  </si>
  <si>
    <t xml:space="preserve">        EDIFICIO DENVER - PROPIEDAD HORIZONTAL</t>
  </si>
  <si>
    <t xml:space="preserve">        EDIFICIO VISTAMARE</t>
  </si>
  <si>
    <t xml:space="preserve">        URBANIZACIÓN LA VEGA PARQUE RESIDENCIAL P.H.</t>
  </si>
  <si>
    <t xml:space="preserve">        EDIFICIO PARQUE PUENTE LARGO - PROPIEDAD HORIZONTAL</t>
  </si>
  <si>
    <t xml:space="preserve">        FD SAN JORGE S.A.S.</t>
  </si>
  <si>
    <t xml:space="preserve">        EDIFICIO BRESCIA - PROPIEDAD HORIZONTAL</t>
  </si>
  <si>
    <t xml:space="preserve">        "EDIFICIO ITACA - PROPIEDAD HORIZONTAL"</t>
  </si>
  <si>
    <t xml:space="preserve">        CONJUNTO RESIDENCIAL PRADO LEXUS</t>
  </si>
  <si>
    <t xml:space="preserve">        RENT HOUSE S.A.S.</t>
  </si>
  <si>
    <t xml:space="preserve">        EDIFICIO TRENDUM - PROPIEDAD HORIZONTAL</t>
  </si>
  <si>
    <t xml:space="preserve">        INVERSIONES E INMOBILIARIA ARCIVIL S.A.S</t>
  </si>
  <si>
    <t xml:space="preserve">        EDIFICIO ISANORTE PROPIEDAD HORIZONTAL</t>
  </si>
  <si>
    <t xml:space="preserve">        EDIFICIO MASERATO</t>
  </si>
  <si>
    <t xml:space="preserve">        VENTANAR S.A.S.</t>
  </si>
  <si>
    <t xml:space="preserve">        EDIFICIO TORRE DE IPACARAI</t>
  </si>
  <si>
    <t xml:space="preserve">        INVERSIONES DECAILLET QUINTANA &amp; CIA S EN C</t>
  </si>
  <si>
    <t xml:space="preserve">        EDIFICIO ILARCO 2 - PROPIEDAD HORIZONTAL</t>
  </si>
  <si>
    <t xml:space="preserve">        CONJUNTO RESIDENCIAL TORRES DE MALLORCA PH -  PROPIEDAD HORIZONTAL</t>
  </si>
  <si>
    <t xml:space="preserve">SAIZ  SILVA  CAMILO    </t>
  </si>
  <si>
    <t xml:space="preserve">        EDIFICIO "TORRE CONQUISTADORES" P-H.</t>
  </si>
  <si>
    <t xml:space="preserve">        EDIFICIO MULTIFAMILIAR OPORTO - PROPIEDAD HORIZONTAL</t>
  </si>
  <si>
    <t xml:space="preserve">        EDIFICIO EL BREZO</t>
  </si>
  <si>
    <t xml:space="preserve">        EDIFICIO LA TRAVIATA</t>
  </si>
  <si>
    <t xml:space="preserve">        CONDOMINIO SANTORINI</t>
  </si>
  <si>
    <t xml:space="preserve">        COOPERATIVA DE MAESTROS Y EMPLEADOS DE LA EDUCACION DEL TOLIMA</t>
  </si>
  <si>
    <t xml:space="preserve">        INDUSTRIAS PLASTICAS ZARCO PLAST S.A.S</t>
  </si>
  <si>
    <t xml:space="preserve">        EDIFICIO OPARI</t>
  </si>
  <si>
    <t xml:space="preserve">        PARQUE RESIDENCIAL SAN MARTIN  DE LOS ANDES-PROPIEDAD HORIZONTAL</t>
  </si>
  <si>
    <t xml:space="preserve">        EDIFICIO LAS MARIANAS - PROPIEDAD HORIZONTAL</t>
  </si>
  <si>
    <t xml:space="preserve">        EDIFICIO SANTAMARIA DE ZUÑIGA P.H</t>
  </si>
  <si>
    <t xml:space="preserve">        EDIFICIO HÁBITAT 34 P.H</t>
  </si>
  <si>
    <t xml:space="preserve">        CORPORACION UNIVERSITARIA EMPRESARIAL ALEXANDER VON HUMBOLD</t>
  </si>
  <si>
    <t xml:space="preserve">        APARTAMENTOS PESCARA P.H.</t>
  </si>
  <si>
    <t xml:space="preserve">        FUNDACION GIMNASIO MODERNO</t>
  </si>
  <si>
    <t xml:space="preserve">        CONJUNTO CERRADO MONSERRATE</t>
  </si>
  <si>
    <t xml:space="preserve">        "EDIFICIO H23 P.H."</t>
  </si>
  <si>
    <t xml:space="preserve">        EDIFICIO ZAPPAN CHICO PROPIEDAD HORIZONTAL</t>
  </si>
  <si>
    <t xml:space="preserve">        CÍNGULAR SORELLANZA S.A.S.</t>
  </si>
  <si>
    <t xml:space="preserve">        EDIFICIO AVENTINO PROPIEDAD HORIZONTAL</t>
  </si>
  <si>
    <t xml:space="preserve">        EDIFICIO DA  VINCI PROPIEDAD HORIZONTAL</t>
  </si>
  <si>
    <t xml:space="preserve">        EDIFICIO EVA 101 - PROPIEDAD HORIZONTAL</t>
  </si>
  <si>
    <t xml:space="preserve">        CONJUNTO MÚNN APARTAMENTOS</t>
  </si>
  <si>
    <t xml:space="preserve">        EDIFICIO CHICO 95 -  PROPIEDAD HORIZONTAL</t>
  </si>
  <si>
    <t xml:space="preserve">        EDIFICIO PARK 87</t>
  </si>
  <si>
    <t xml:space="preserve">        AGRUPACION NACAR - PROPIEDAD HORIZONTAL</t>
  </si>
  <si>
    <t xml:space="preserve">        EDIFICIO MAYORCA FLATS P.H.</t>
  </si>
  <si>
    <t xml:space="preserve">        EDIFICIO  BALMORAL  DEL  PRADO</t>
  </si>
  <si>
    <t xml:space="preserve">        EDIFICIO BREMEN</t>
  </si>
  <si>
    <t xml:space="preserve">        EDIFICIO 118 OLIVAR DE SANTA BARBARA PROPIEDAD HORIZONTAL</t>
  </si>
  <si>
    <t xml:space="preserve">        HOTEL GOLD PLAZA SAS</t>
  </si>
  <si>
    <t xml:space="preserve">        EDIFICIO PARK 84</t>
  </si>
  <si>
    <t xml:space="preserve">        L.H. OBO S.A.S</t>
  </si>
  <si>
    <t xml:space="preserve">        CONJUNTO RESIDENCIAL CATAYA REAL - PROPIEDAD HORIZONTAL</t>
  </si>
  <si>
    <t xml:space="preserve">        INVERSIONES DICO SAS</t>
  </si>
  <si>
    <t xml:space="preserve">        EDIFICIO EL GULUNGO - PROPIEDAD HORIZONTAL</t>
  </si>
  <si>
    <t xml:space="preserve">        EDIFICIO  SAN MATEO</t>
  </si>
  <si>
    <t xml:space="preserve">        EDIFICIO LINAR DE LAURELES - P.H.</t>
  </si>
  <si>
    <t xml:space="preserve">        EDIFICIO SOTTOMONTE</t>
  </si>
  <si>
    <t xml:space="preserve">MESTRE  RINCON  MARIA  CATALINA  </t>
  </si>
  <si>
    <t xml:space="preserve">        INGENIERIA DISEÑO Y CONSULTORIA S A S</t>
  </si>
  <si>
    <t xml:space="preserve">        A RAMIREZ   Y COMPAÑIA HOTEL PINARES  PLAZA S .C . A</t>
  </si>
  <si>
    <t xml:space="preserve">        EDIFICIO 30 LIVING - PROPIEDAD HORIZONTAL</t>
  </si>
  <si>
    <t xml:space="preserve">        CENTRO COMERCIAL  PLAZA CATALUÑA</t>
  </si>
  <si>
    <t xml:space="preserve">        EDIFICIO  TORRE DE MARFIL P.H.</t>
  </si>
  <si>
    <t xml:space="preserve">        EDIFICIO ARIZÁ DE CASTROPOL - PROPIEDAD HORIZONTAL</t>
  </si>
  <si>
    <t xml:space="preserve">        EDIFICIO PORTAL DEL VIEJO PARQUE</t>
  </si>
  <si>
    <t xml:space="preserve">        EDIFICIO LIVING - PROPIEDAD HORIZONTAL</t>
  </si>
  <si>
    <t xml:space="preserve">        EDIFICIO "SKYROS 79"</t>
  </si>
  <si>
    <t xml:space="preserve">        CONSTRUCTORA ARDICO S.A.S</t>
  </si>
  <si>
    <t xml:space="preserve">        INVERSIONES EL RETIRO 82 S.A.S.</t>
  </si>
  <si>
    <t xml:space="preserve">        EDIFICIO BAHREIN PROPIEDAD HORIZONTAL</t>
  </si>
  <si>
    <t xml:space="preserve">        EDIFICIO GAUDI</t>
  </si>
  <si>
    <t xml:space="preserve">        EDIFICIO  CAMPESTRE COUNTRY</t>
  </si>
  <si>
    <t xml:space="preserve">        EDIFICIO MONZA</t>
  </si>
  <si>
    <t xml:space="preserve">        ORGANIZACION SJ STUDIO SAS</t>
  </si>
  <si>
    <t xml:space="preserve">VILLAMIZAR  PEREZ  YUDY  VIVIANA  </t>
  </si>
  <si>
    <t xml:space="preserve">        EDIFICIO TORRE ANDALUCIA P.H</t>
  </si>
  <si>
    <t xml:space="preserve">CIFUENTES  BOHORQUEZ  HELBER  RICARDO  </t>
  </si>
  <si>
    <t xml:space="preserve">        I &amp; P LIMITADA</t>
  </si>
  <si>
    <t xml:space="preserve">        EDIFICIO VERONA - PROPIEDAD HORIZONTAL</t>
  </si>
  <si>
    <t xml:space="preserve">        EDIFICIO ARANJUEZ</t>
  </si>
  <si>
    <t xml:space="preserve">        GALERIA LA TERCERA S.A.S.</t>
  </si>
  <si>
    <t xml:space="preserve">        EDIFICIO PRAGATI - PROPIEDAD HORIZONTAL</t>
  </si>
  <si>
    <t xml:space="preserve">        HENVAL S.A.S</t>
  </si>
  <si>
    <t xml:space="preserve">        EDIFICIO NOMO PASADENA - PROPIEDAD HORIZONTAL</t>
  </si>
  <si>
    <t xml:space="preserve">        EDIFICIO QUINTA REAL</t>
  </si>
  <si>
    <t xml:space="preserve">        PRANHA URBANO S.A.S.</t>
  </si>
  <si>
    <t xml:space="preserve">        COLEGIO LICEO NACIONAL ANTONIA SANTOS INSTITUCION EDUCATIVA DISTRITAL</t>
  </si>
  <si>
    <t xml:space="preserve">        EDIFICIO HABITAT 118 - PROPIEDAD HORIZONTAL</t>
  </si>
  <si>
    <t xml:space="preserve">        EDIFICIO SORRENTO 135 - PROPIEDAD HORIZONTAL</t>
  </si>
  <si>
    <t xml:space="preserve">        EDIFICIO POSADA PRINCESS</t>
  </si>
  <si>
    <t xml:space="preserve">        EDIFICIO PORTALES PROPIEDAD HORIZONTAL</t>
  </si>
  <si>
    <t xml:space="preserve">        ORGANIZACION ESCORCE GONZALEZ Y CIA S EN C.S.</t>
  </si>
  <si>
    <t xml:space="preserve">        EDIFICIO CAROLINA COUNTRY PLAZA - PROPIEDAD HORIZONTAL</t>
  </si>
  <si>
    <t xml:space="preserve">        ANTARA APARTAMENTOS PROPIEDAD HORIZONTAL</t>
  </si>
  <si>
    <t xml:space="preserve">        EDIFICIO TORRE 74 - PROPIEDAD HORIZONTAL</t>
  </si>
  <si>
    <t xml:space="preserve">        DIMAR - GRUPO INTENDENCIA REGIONAL PACIFICO</t>
  </si>
  <si>
    <t xml:space="preserve">        EDIFICIO  KYRIAD PARK - PROPIEDAD HORIZONTAL</t>
  </si>
  <si>
    <t xml:space="preserve">        "EDIFICIO  NUEVO  VERSALLES " - PROPIEDAD HORIZONTAL</t>
  </si>
  <si>
    <t xml:space="preserve">        EDIFICIO QATAR 34 - PROPIEDAD HORIZONTAL</t>
  </si>
  <si>
    <t xml:space="preserve">        EDIFICIO  SEVILLA PROPIEDAD HORIZONTAL</t>
  </si>
  <si>
    <t xml:space="preserve">        EDIFICIO AQUAZUL PROPIEDAD HORIZONTAL</t>
  </si>
  <si>
    <t xml:space="preserve">        EDIFICIO CURITIVA APARTAMENTOS - PROPIEDAD HORIZONTAL</t>
  </si>
  <si>
    <t xml:space="preserve">        EDIFICIO SANTO DOMINGO PLAZA</t>
  </si>
  <si>
    <t xml:space="preserve">        EDIFICIO EMANUEL P.H.</t>
  </si>
  <si>
    <t xml:space="preserve">        EDIFICIO CHICO LOUNGE - PROPIEDAD HORIZONTAL</t>
  </si>
  <si>
    <t xml:space="preserve">        EDIFICIO PALMA REAL II</t>
  </si>
  <si>
    <t xml:space="preserve">        EDIFICIO TORRE 28 - PROPIEDAD HORIZONTAL</t>
  </si>
  <si>
    <t xml:space="preserve">        "EDIFICIO PIETRASANTA PROPIEDAD HORIZONTAL"</t>
  </si>
  <si>
    <t xml:space="preserve">        EDIFICIO BRUSELAS-PROPIEDAD HORIZONTAL</t>
  </si>
  <si>
    <t xml:space="preserve">        EDIFICIO MULTIFAMILIAR ESPACIO 127 - PROPIEDAD HORIZONTAL</t>
  </si>
  <si>
    <t xml:space="preserve">        "EDIFICIO JARDINES DE ALEJANDRIA - PROPIEDAD HORIZONTAL"</t>
  </si>
  <si>
    <t xml:space="preserve">        OTACC S.A.S.</t>
  </si>
  <si>
    <t xml:space="preserve">        EDIFICIO KIYANGO - PROPIEDAD HORIZONTAL</t>
  </si>
  <si>
    <t xml:space="preserve">        EDIFICIO ALTOS DE LOS ROSALES - PROPIEDAD HORIZONTAL</t>
  </si>
  <si>
    <t xml:space="preserve">        SERVI EFECTIVA SAS</t>
  </si>
  <si>
    <t xml:space="preserve">        EDIFICIO RESIDENCIAL LAGOS CLUB</t>
  </si>
  <si>
    <t xml:space="preserve">        CENTRO COMERCIAL PLAZA DEL SOL - PROPIEDAD HORIZONTAL</t>
  </si>
  <si>
    <t xml:space="preserve">        "URBANIZACIÓN AKI P.H"</t>
  </si>
  <si>
    <t xml:space="preserve">        EDIFICIO TRIBECCA - PROPIEDAD HORIZONTAL</t>
  </si>
  <si>
    <t xml:space="preserve">        EDIFICIO MADRIGAL DE LAS ALTAS TORRES</t>
  </si>
  <si>
    <t xml:space="preserve">        EDIFICIO TERRAZZE 119 - PROPIEDAD HORIZONTAL</t>
  </si>
  <si>
    <t xml:space="preserve">        MUSIDIN  S.A.S</t>
  </si>
  <si>
    <t xml:space="preserve">        PROMOTORA ANTILIA 98 S.A.S.</t>
  </si>
  <si>
    <t xml:space="preserve">        COMPAÑIA DE MEDICINA PREPAGADA COLSANITAS S.A.</t>
  </si>
  <si>
    <t xml:space="preserve">        EDIFICIO SAN FRANCISCO - PROPIEDAD HORIZONTAL</t>
  </si>
  <si>
    <t xml:space="preserve">        EDIFICIO TORRE BALCANES</t>
  </si>
  <si>
    <t xml:space="preserve">        EDIFICIO 17-103- PROPIEDAD HORIZONTAL</t>
  </si>
  <si>
    <t xml:space="preserve">        EDIFICIO SIMONETTA</t>
  </si>
  <si>
    <t xml:space="preserve">        EDIFICIO MAR DE BARU</t>
  </si>
  <si>
    <t xml:space="preserve">        EDIFICIO MADISON P.H.</t>
  </si>
  <si>
    <t xml:space="preserve">        AQUA 104 S.A.S.</t>
  </si>
  <si>
    <t xml:space="preserve">ROZO  JAIME  GIOVANY  DE JESUS  </t>
  </si>
  <si>
    <t xml:space="preserve">        EDIFICIO PASYMAR PROPIEDAD HORIZONTAL</t>
  </si>
  <si>
    <t xml:space="preserve">        EDIFICIO RESERVA DEL PARQUE - PROPIEDAD HORIZONTAL</t>
  </si>
  <si>
    <t xml:space="preserve">        EDIFICIO FLORES DEL RIO - PROPIEDAD HORIZONTAL</t>
  </si>
  <si>
    <t xml:space="preserve">        EDIFICIO NOHO PROPIEDAD HORIZONTAL</t>
  </si>
  <si>
    <t xml:space="preserve">        EDIFICIO CIPRES DE PASADENA PROPIEDAD HORIZONTAL</t>
  </si>
  <si>
    <t xml:space="preserve">        EDIFICIO CENTRO OCHENTA Y SEIS (86) PROPIEDAD HORIZONTAL</t>
  </si>
  <si>
    <t xml:space="preserve">        EDIFICIO BUCARAL</t>
  </si>
  <si>
    <t xml:space="preserve">        EDIFICIO RESIDENCIAL VILLAGE PARK 125 PH - PROPIEDAD HORIZONTAL</t>
  </si>
  <si>
    <t xml:space="preserve">        INVERSIONES CYNSA SAS</t>
  </si>
  <si>
    <t xml:space="preserve">        EDIFICIO ALCALA 122 PROPIEDAD HORIZONTAL</t>
  </si>
  <si>
    <t xml:space="preserve">GIL  VELASQUEZ  LORENA    </t>
  </si>
  <si>
    <t xml:space="preserve">        EDIFICIO BRESCIA 8-128 -PROPIEDAD HORIZONTAL</t>
  </si>
  <si>
    <t xml:space="preserve">        SOCIEDAD HEBREA DE SOCORROS</t>
  </si>
  <si>
    <t xml:space="preserve">        EDIFICIO SAN PEDRO 113 - PROPIEDAD HORIZONTAL</t>
  </si>
  <si>
    <t xml:space="preserve">        HOTEL SANTIAGO DE ARMA S.A.</t>
  </si>
  <si>
    <t xml:space="preserve">        GRUPO THEOS S.A.S.</t>
  </si>
  <si>
    <t xml:space="preserve">        SANTELMO DE LA AMERICA - P.H</t>
  </si>
  <si>
    <t xml:space="preserve">        EDIFICIO TORRE QUINCE PROPIEDAD HORIZONTAL</t>
  </si>
  <si>
    <t xml:space="preserve">        CORPORACION UNIVERSITARIA COMFACAUCA</t>
  </si>
  <si>
    <t xml:space="preserve">        EDIFICIO BANCO SUDAMERIS GNB COLOMBIA - PROPIEDAD HORIZONTAL</t>
  </si>
  <si>
    <t xml:space="preserve">        EDIFICIO PALMAR DE ZUÑIGA P.H</t>
  </si>
  <si>
    <t xml:space="preserve">        SARUGO &amp; CIA S EN C</t>
  </si>
  <si>
    <t xml:space="preserve">        TORRE 8 CORVILAR COMUNEROS</t>
  </si>
  <si>
    <t xml:space="preserve">        " EDIFICIO TORRE SAN RAFAEL - PROPIEDAD HORIZONTAL "</t>
  </si>
  <si>
    <t xml:space="preserve">        EDIFICIO DUO</t>
  </si>
  <si>
    <t xml:space="preserve">        EDIFICIO RESIDENCIAL ALTOS DE ROSALES - PROPIEDAD HORIZONTAL</t>
  </si>
  <si>
    <t xml:space="preserve">        LOS CISNES GB S.A.S.</t>
  </si>
  <si>
    <t xml:space="preserve">        EDIFICIO MONTREAL P.H</t>
  </si>
  <si>
    <t xml:space="preserve">        CARGA PARAMO SAS</t>
  </si>
  <si>
    <t xml:space="preserve">        CENTRO COMERCIAL  LAS VEGAS - PROPIEDAD HORIZONTAL</t>
  </si>
  <si>
    <t xml:space="preserve">        EDIFICIO TRENTO 21</t>
  </si>
  <si>
    <t xml:space="preserve">        URBANIZACION PRADO GRANDE ASOPROVES- PROPIEDAD HORIZONTAL</t>
  </si>
  <si>
    <t xml:space="preserve">        GRUPO EL ZARZO S.A.S.</t>
  </si>
  <si>
    <t xml:space="preserve">        EDIFICIO SAMOA</t>
  </si>
  <si>
    <t xml:space="preserve">        EDIFICIO BAHIA BLANCA</t>
  </si>
  <si>
    <t xml:space="preserve">        EDIFICIO ARAE - PROPIEDAD HORIZONTAL</t>
  </si>
  <si>
    <t xml:space="preserve">        CORPORACION EDUCATIVA AMERICAN SCHOOL</t>
  </si>
  <si>
    <t xml:space="preserve">        VITALSALUD DEL CARIBE IPS S.A.</t>
  </si>
  <si>
    <t xml:space="preserve">        EDIFICIO PARQUE 120 - PROPIEDAD HORIZONTAL</t>
  </si>
  <si>
    <t xml:space="preserve">        EDIFICIO QATAR - PROPIEDAD HORIZONTAL</t>
  </si>
  <si>
    <t xml:space="preserve">        LASKIN S.A.</t>
  </si>
  <si>
    <t xml:space="preserve">        INVERSIONES LUGAL SAS</t>
  </si>
  <si>
    <t xml:space="preserve">        EDIFICIO APARTAESTUDIOS 8-43 - PROPIEDAD HORIZONTAL</t>
  </si>
  <si>
    <t xml:space="preserve">        MULTIFAMILIAR EDIFICIO ARCANGELO</t>
  </si>
  <si>
    <t xml:space="preserve">        EDIFICIO VEREDA DEL PARQUE - PROPIEDAD HORIZONTAL</t>
  </si>
  <si>
    <t xml:space="preserve">        EDIFICIO RETIRO 82 - PROPIEDAD HORIZONTAL</t>
  </si>
  <si>
    <t xml:space="preserve">        EDIFICIO BELLA SUIZA PARK - PROPIEDAD HORIZONTAL</t>
  </si>
  <si>
    <t xml:space="preserve">        EDIFICIO BALI - P.H.</t>
  </si>
  <si>
    <t xml:space="preserve">        GESTORES INMOBILIARIOS COMERCIALES AGESINCO S.A.S</t>
  </si>
  <si>
    <t xml:space="preserve">        EDIFICIO SANTA BARBARA</t>
  </si>
  <si>
    <t xml:space="preserve">        EDIFICIO LIRA PROPIEDAD  HORIZONTAL</t>
  </si>
  <si>
    <t xml:space="preserve">        EDIFICIO VERTIKA - PROPIEDAD HORIZONTAL</t>
  </si>
  <si>
    <t xml:space="preserve">        EDIFICIO MORET - PROPIEDAD HORIZONTAL</t>
  </si>
  <si>
    <t xml:space="preserve">        EDIFICIO CONTI - PROPIEDAD HORIZONTAL</t>
  </si>
  <si>
    <t xml:space="preserve">        EDIFICIO ACQUA 145 - PROPIEDAD HORIZONTAL</t>
  </si>
  <si>
    <t xml:space="preserve">        EDIFICIO COSMOS 104 - PROPIEDAD HORIZONTAL</t>
  </si>
  <si>
    <t xml:space="preserve">        EDIFICIO EL PRADO</t>
  </si>
  <si>
    <t xml:space="preserve">        EDIFICIO CENTRAL PARK</t>
  </si>
  <si>
    <t xml:space="preserve">        EDIFICIO RESIDENCIAL VIVALDI</t>
  </si>
  <si>
    <t xml:space="preserve">        EDIFICIO ALTAVISTA 49 PROPIEDAD HORIZONTAL</t>
  </si>
  <si>
    <t xml:space="preserve">        CENTRO COMERCIAL Y DE NEGOCIOS ANDINO PROPIEDAD HORIZONTAL</t>
  </si>
  <si>
    <t xml:space="preserve">        EDIFICIO 81 A</t>
  </si>
  <si>
    <t xml:space="preserve">        SEBASTIAN  DE LOS PARQUES  P.H</t>
  </si>
  <si>
    <t xml:space="preserve">        EDIFICIO BARCELONA</t>
  </si>
  <si>
    <t xml:space="preserve">        EDIFICIO PROVENZA</t>
  </si>
  <si>
    <t xml:space="preserve">        EDIFICIO BALCONES DE CASTROPOL PROPIEDAD HORIZONTAL</t>
  </si>
  <si>
    <t xml:space="preserve">        EDIFICIO NORTEN -  PROPIEDAD HORIZONTAL</t>
  </si>
  <si>
    <t xml:space="preserve">        CEIBA PROPERTIES S.A.S.</t>
  </si>
  <si>
    <t xml:space="preserve">        EDIFICIO MIRADOR DEL COUNTRY - PROPIEDAD HORIZONTAL</t>
  </si>
  <si>
    <t xml:space="preserve">        EDIFICIO MARDELIZ PROPIEDAD HORIZONTAL</t>
  </si>
  <si>
    <t xml:space="preserve">        EDIFICIO CONTRY DE LA HERRERIA PROPIEDAD HORIZONTAL</t>
  </si>
  <si>
    <t xml:space="preserve">        COOPERATIVA MULTIACTIVA DE SERVICIOS INTEGRALES GESTIONARBIENESTAR</t>
  </si>
  <si>
    <t xml:space="preserve">        INVERSIONES  RAMOS  VILLALOBOS  S.A.S.</t>
  </si>
  <si>
    <t xml:space="preserve">        CENTRO COMERCIAL I.B.G. S.A.S.</t>
  </si>
  <si>
    <t xml:space="preserve">        EDIFICIO LARES 95 - PROPIEDAD HORIZONTAL</t>
  </si>
  <si>
    <t xml:space="preserve">        EDIFICIO TIKAL - PROPIEDAD HORIZONTAL</t>
  </si>
  <si>
    <t xml:space="preserve">        EDIFICIO RENOVA - PROPIEDAD HORIZONTAL</t>
  </si>
  <si>
    <t xml:space="preserve">        CENTRO COMERCIAL ALFAGUARA P.H</t>
  </si>
  <si>
    <t xml:space="preserve">        EDIFICIO GAVILANES - PROPIEDAD HORIZONTAL</t>
  </si>
  <si>
    <t xml:space="preserve">        EDIFICIO BAVARIA GREEN</t>
  </si>
  <si>
    <t xml:space="preserve">        EDIFICIO MONTELLANO</t>
  </si>
  <si>
    <t xml:space="preserve">        EDIFICIO ALTOS DE GRANADA - PROPIEDAD HORIZONTAL</t>
  </si>
  <si>
    <t xml:space="preserve">        EDIFICIO CENTRO CLINICO PARQUE 103 - PROPIEDAD HORIZONTAL</t>
  </si>
  <si>
    <t xml:space="preserve">        EDIFICIO ALTOS DEL RETIRO - PROPIEDAD HORIZONTAL</t>
  </si>
  <si>
    <t xml:space="preserve">        EDIFICIO ACUARIMANTIMA - PROPIEDAD HORIZONTAL</t>
  </si>
  <si>
    <t xml:space="preserve">        SERJULIMAR S.A.S.</t>
  </si>
  <si>
    <t xml:space="preserve">        D´CORPUS SPA S.A.S</t>
  </si>
  <si>
    <t xml:space="preserve">        EDIFICIO PASEO MADERO-PROPIEDAD HORIZONTAL</t>
  </si>
  <si>
    <t xml:space="preserve">        EDIFICIO ATUA -PROPIEDAD HORIZONTAL</t>
  </si>
  <si>
    <t xml:space="preserve">        CONJUNTO CERRADO FRAILEJONES - PROPIEDAD HORIZONTAL</t>
  </si>
  <si>
    <t xml:space="preserve">        EDIFICIO MIRADORES DE ZUÑIGA P.H.</t>
  </si>
  <si>
    <t xml:space="preserve">        EDIFICIO CENTRO EMPRESARIAL BELUZ</t>
  </si>
  <si>
    <t xml:space="preserve">        EDIFICIO NEFERETH - PROPIEDAD HORIZONTAL</t>
  </si>
  <si>
    <t xml:space="preserve">        ABHOTELES Y TURISMO SAS</t>
  </si>
  <si>
    <t xml:space="preserve">        EDIFICIO PLAZUELA DE LOS ALAMOS  PROPIEDAD HORIZONTAL</t>
  </si>
  <si>
    <t xml:space="preserve">        EDIFICIO RESIDENCIAL CAPRI - PROPIEDAD HORIZONTAL</t>
  </si>
  <si>
    <t xml:space="preserve">        EDIFICIO COLORS - PROPIEDAD HORIZONTAL</t>
  </si>
  <si>
    <t xml:space="preserve">        EDIFICIO BOSQUE DE LOS ROSALES PROPIEDAD HORIZONTAL</t>
  </si>
  <si>
    <t xml:space="preserve">        CONJUNTO DE USO MIXTO OBRASQUINCE - PROPIEDAD HORIZONTAL</t>
  </si>
  <si>
    <t xml:space="preserve">        EDIFICIO TORRE BLANCA PROPIEDAD HORIZONTAL</t>
  </si>
  <si>
    <t xml:space="preserve">        TECNOMARF S.A.S.</t>
  </si>
  <si>
    <t xml:space="preserve">        EDIFICIO GUARUPI - PROPIEDAD HORIZONTAL</t>
  </si>
  <si>
    <t xml:space="preserve">        EDIFICIO MAVI PROPIEDAD HORIZONTAL</t>
  </si>
  <si>
    <t xml:space="preserve">        EDIFICIO COLINA SUIZA - PROPIEDAD HORIZONTAL</t>
  </si>
  <si>
    <t xml:space="preserve">        EDIFICIO ENTRELAGOS P. H.</t>
  </si>
  <si>
    <t xml:space="preserve">        EDIFICIO LOS ROSALES</t>
  </si>
  <si>
    <t xml:space="preserve">        EDIFICIO CAMINO DE SANTA CLARA II PROPIEDAD HORIZONTAL</t>
  </si>
  <si>
    <t xml:space="preserve">        EDIFICIO JAN LUI</t>
  </si>
  <si>
    <t xml:space="preserve">        EDIFICIO PARADISO</t>
  </si>
  <si>
    <t xml:space="preserve">        CONDOMINIO FERRAMONTI</t>
  </si>
  <si>
    <t xml:space="preserve">        EDIFICIO CENTRO COMERCIAL CABLE PLAZA PROPIEDAD HORIZONTAL</t>
  </si>
  <si>
    <t xml:space="preserve">        EDIFICIO TORRE ZAPHIRA</t>
  </si>
  <si>
    <t xml:space="preserve">        EDIFICIO ALMIRANTE PROPIEDAD HORIZONTAL</t>
  </si>
  <si>
    <t xml:space="preserve">        O CAPITAL S.A.S</t>
  </si>
  <si>
    <t xml:space="preserve">        BRM S.A.S.</t>
  </si>
  <si>
    <t xml:space="preserve">        EDIFICIO PUERTA DE AGUA</t>
  </si>
  <si>
    <t xml:space="preserve">        EDIFICIO TIRRENIA PROPIEDAD-HORIZONTAL</t>
  </si>
  <si>
    <t xml:space="preserve">        EDIFICIO PASEO ALCANTARA - PROPIEDAD HORIZONTAL</t>
  </si>
  <si>
    <t xml:space="preserve">        EDIFICIO RONDA DEL RIO CENTRO COMERCIAL - PROPIEDAD HORIZONTAL</t>
  </si>
  <si>
    <t xml:space="preserve">        EDIFICIO TORRE ASTANA-PROPIEDAD HORIZONTAL</t>
  </si>
  <si>
    <t xml:space="preserve">        EDIFICIO CERRO 72 - PROPIEDAD HORIZONTAL</t>
  </si>
  <si>
    <t xml:space="preserve">        EDIFICIO CUMARE</t>
  </si>
  <si>
    <t xml:space="preserve">        EDIFICIO MIRATTO -  PROPIEDAD HORIZONTAL</t>
  </si>
  <si>
    <t xml:space="preserve">        EDIFICIO VINTAGE PROPIEDAD HORIZONTAL</t>
  </si>
  <si>
    <t xml:space="preserve">        EDIFICIO DOMINIQ</t>
  </si>
  <si>
    <t xml:space="preserve">        EDIFICIO ZYNNIA PARK PROPIEDAD HORIZONTAL</t>
  </si>
  <si>
    <t xml:space="preserve">        EDIFICIO EL MAYOR</t>
  </si>
  <si>
    <t xml:space="preserve">        EDIFICIO PARQUE TERRAZA PROPIEDAD HORIZONTAL</t>
  </si>
  <si>
    <t xml:space="preserve">        EDIFICIO PORTAL DE LOS ALPES - PROPIEDAD HORIZONTAL</t>
  </si>
  <si>
    <t xml:space="preserve">        EDIFICIO SANTA CRUZ DE TARRAGONA PROPIEDAD HORIZONTAL</t>
  </si>
  <si>
    <t xml:space="preserve">        EDIFICIO KARIBE</t>
  </si>
  <si>
    <t xml:space="preserve">        EDIFICIO TORINO</t>
  </si>
  <si>
    <t xml:space="preserve">        CLINICA CASANARE S.A.</t>
  </si>
  <si>
    <t xml:space="preserve">        UNIVERSIDAD DE MEDELLIN</t>
  </si>
  <si>
    <t xml:space="preserve">        EDIFICIO BANCO GNB  SUDAMERIS CALLE 94  PROPIEDAD HORIZONTAL</t>
  </si>
  <si>
    <t xml:space="preserve">        EDIFICIO SAN PAOLO - PROPIEDAD HORIZONTAL</t>
  </si>
  <si>
    <t xml:space="preserve">        EDIFICIO TORRE LAS VILLAS PROPIEDAD HORIZONTAL</t>
  </si>
  <si>
    <t xml:space="preserve">        EDIFICIO AZAHARA 92</t>
  </si>
  <si>
    <t xml:space="preserve">        DISTRIBUCIONES SANTA MARTA S.A.S.</t>
  </si>
  <si>
    <t xml:space="preserve">        TRENTO 66</t>
  </si>
  <si>
    <t xml:space="preserve">        EDIFICIO CAMINO DE SANTA CLARA TRES 3 PROPIEDAD HORIZONTAL</t>
  </si>
  <si>
    <t xml:space="preserve">FIERRO  BONILLA  JAIME    </t>
  </si>
  <si>
    <t xml:space="preserve">        GENESIS IMPORTADORA Y COMERCIALIZADORA S.A.S</t>
  </si>
  <si>
    <t xml:space="preserve">        PEREZ Y CARDONA S.A.S.</t>
  </si>
  <si>
    <t xml:space="preserve">        EDIFICIO JARDIN PLAZA</t>
  </si>
  <si>
    <t xml:space="preserve">        EDIFICIO MULTIFAMILIAR FERRARA - PROPIEDAD HORIZONTAL</t>
  </si>
  <si>
    <t xml:space="preserve">        EDIFICIO  OFICINAS  CHICO  93 - PROPIEDAD HORIZONTAL</t>
  </si>
  <si>
    <t xml:space="preserve">        EDIFICIO CENTRO DE EMPRESAS Y NEGOCIOS</t>
  </si>
  <si>
    <t xml:space="preserve">        EDIFICIO REFUGIO 86 PROPIEDAD HORIZONTAL</t>
  </si>
  <si>
    <t xml:space="preserve">ISAZA  ALVAREZ  GONZALO  ENRIQUE  </t>
  </si>
  <si>
    <t xml:space="preserve">        EDIFICIO OFICINAS ROYAL 93 PROPIEDAD HORIZONTAL</t>
  </si>
  <si>
    <t xml:space="preserve">        CONJUNTO HABITACIONAL LOS CAMBULOS - PROPIEDAD HORIZONTAL</t>
  </si>
  <si>
    <t xml:space="preserve">        CONJUNTO RESIDENCIAL PARQUE DE LOS CIPRESES - EDIFICIO VISTA AL PARQUE DEL SALITRE -PROPIEDAD HORIZONTAL</t>
  </si>
  <si>
    <t xml:space="preserve">        UNIDAD CERRADA PIEDRA VERDE</t>
  </si>
  <si>
    <t xml:space="preserve">        EDIFICIO PRADO ONIX</t>
  </si>
  <si>
    <t xml:space="preserve">        EDIFICIO EL TREBOL - PROPIEDAD HORIZONTAL</t>
  </si>
  <si>
    <t xml:space="preserve">        EDIFICIO SAN LUIS P-H</t>
  </si>
  <si>
    <t xml:space="preserve">        EDIFICIO MILENTTO - PROPIEDAD HORIZONTAL</t>
  </si>
  <si>
    <t xml:space="preserve">VILLEGAS  DUQUE  SAMUEL  ARTURO  </t>
  </si>
  <si>
    <t xml:space="preserve">        EDIFICIO TORRE DE ALCALA - PROPIEDAD HORIZONTAL</t>
  </si>
  <si>
    <t xml:space="preserve">        TEXTILES MIRATEX S A S</t>
  </si>
  <si>
    <t xml:space="preserve">        APARTAHOTEL B Y E SAS</t>
  </si>
  <si>
    <t xml:space="preserve">        EDIFICIO PORTAL DEL RECREO</t>
  </si>
  <si>
    <t xml:space="preserve">        UNIDAD RESIDENCIAL XPERIA</t>
  </si>
  <si>
    <t xml:space="preserve">        EDIFICIO CENTRO EMPRESARIAL ORION PROPIEDAD HORIZONTAL</t>
  </si>
  <si>
    <t xml:space="preserve">        EDIFICIO PARQUE CENTENARIO PROPIEDAD HORIZONTAL</t>
  </si>
  <si>
    <t xml:space="preserve">        EDIFICIO LARES 125 - PROPIEDAD HORIZONTAL</t>
  </si>
  <si>
    <t xml:space="preserve">        EDIFICIO MONTEGO VILLAGE - PROPIEDAD HORIZONTAL</t>
  </si>
  <si>
    <t xml:space="preserve">        EDIFICIO VERDECCHIA PROPIEDAD HORIZONTAL</t>
  </si>
  <si>
    <t xml:space="preserve">        EDIFICIO SANTA HELENA PROPIEDAD HORIZONTAL</t>
  </si>
  <si>
    <t xml:space="preserve">        EDIFICIO EL MANDARINO</t>
  </si>
  <si>
    <t xml:space="preserve">        EDIFICIO ASTORIA  PLAZA</t>
  </si>
  <si>
    <t xml:space="preserve">        EDIFICIO DOMUS 95 - PROPIEDAD HORIZONTAL</t>
  </si>
  <si>
    <t xml:space="preserve">        HOTEL VIZCAYA REAL SOCIEDAD POR ACCIONES SIMPLIFICADA</t>
  </si>
  <si>
    <t xml:space="preserve">        EDIFICIO BALI APARTAMENTOS</t>
  </si>
  <si>
    <t xml:space="preserve">        EDIFICIO MODENA 64 - PROPIEDAD HORIZONTAL</t>
  </si>
  <si>
    <t xml:space="preserve">        INGEENIAR  S.A.</t>
  </si>
  <si>
    <t xml:space="preserve">        EDIFICIO PEDREGAL RESERVADO TORRE 3 (SECTOR 5 ETAPA V SUBETAPA 4 ) - PROPIEDAD HORIZONTAL</t>
  </si>
  <si>
    <t xml:space="preserve">        EDIFICIO BAUHAUS PROPIEDAD HORIZONTAL</t>
  </si>
  <si>
    <t xml:space="preserve">        CEDIMED S.A.S.</t>
  </si>
  <si>
    <t xml:space="preserve">        EDIFICIO QUIMBAYA E Q - PROPIEDAD HORIZONTAL</t>
  </si>
  <si>
    <t xml:space="preserve">        CONJUNTO RESIDENCIAL LA ALAMEDA TORRE III TERCERA ETAPA- PROPIEDAD HORIZONTAL</t>
  </si>
  <si>
    <t xml:space="preserve">        GRUPO  SASA  S.A.S.</t>
  </si>
  <si>
    <t xml:space="preserve">        UNIDAD RESIDENCIAL  "BARDELLA"</t>
  </si>
  <si>
    <t xml:space="preserve">        CAJA DE COMPENSACION FAMILIAR COFREM</t>
  </si>
  <si>
    <t xml:space="preserve">        EDIFICIO MULTIFAMILIAR VALVERDE</t>
  </si>
  <si>
    <t xml:space="preserve">        EDIFICIO 3 PARK - PROPIEDAD HORIZONTAL</t>
  </si>
  <si>
    <t xml:space="preserve">        EDIFICIO OASIS DE ZUÑIGA P.H.</t>
  </si>
  <si>
    <t xml:space="preserve">        DINAMIC  INVERSIONES  S  A</t>
  </si>
  <si>
    <t xml:space="preserve">        ESCUELA DE GASTRONOMIA G D S A S</t>
  </si>
  <si>
    <t xml:space="preserve">        EDIFICIO REAL SANTAFE PROPIEDAD HORIZONTAL</t>
  </si>
  <si>
    <t xml:space="preserve">        EDIFICIO UNIDAD RESIDENCIAL 24 URBANO</t>
  </si>
  <si>
    <t xml:space="preserve">        ETAPA TIZIANO VIS - UNIDAD PRIVADA UNO</t>
  </si>
  <si>
    <t xml:space="preserve">        EDIFICIO TERRAZZINO  ROYAL  P.H.</t>
  </si>
  <si>
    <t xml:space="preserve">        EDIFICIO AUREA 97 P H</t>
  </si>
  <si>
    <t xml:space="preserve">        EDIFICIO TERRAZAS DEL ENCANTO - PROPIEDAD HORIZONTAL</t>
  </si>
  <si>
    <t xml:space="preserve">        EDIFICIO AKALIA - PROPIEDAD HORIZONTAL</t>
  </si>
  <si>
    <t xml:space="preserve">        EDIFICIO OASIS DE LAURELES</t>
  </si>
  <si>
    <t xml:space="preserve">        EDIFICIO DESARROLLO- PROPIEDAD HORIZONTAL</t>
  </si>
  <si>
    <t xml:space="preserve">        EDIFICIO SAN ANGELO CONDOMINIO</t>
  </si>
  <si>
    <t xml:space="preserve">        EDIFICIO GUATAPURI - PROPIEDAD HORIZONTAL</t>
  </si>
  <si>
    <t xml:space="preserve">        EDIFICIO SCALA 27 CEDRITOS - PROPIEDAD HORIZONTAL</t>
  </si>
  <si>
    <t xml:space="preserve">        CLINICA BURGOS S.A.S.</t>
  </si>
  <si>
    <t xml:space="preserve">        EDIFICIO IMOVAL XII - PROPIEDAD HORIZONTAL</t>
  </si>
  <si>
    <t xml:space="preserve">        EDIFICIO CHICO 104 PROPIEDAD HORIZONTAL</t>
  </si>
  <si>
    <t xml:space="preserve">        EDIFICIO CASTROPOL SEÑORIAL II - PROPIEDAD HORIZONTAL</t>
  </si>
  <si>
    <t xml:space="preserve">        MULTIFAMILIAR TORRES DE VENTURA VIS PRIMERA ETAPA</t>
  </si>
  <si>
    <t xml:space="preserve">        RAIZ GRUPO CONSTRUCTOR S.A.S.</t>
  </si>
  <si>
    <t xml:space="preserve">        EDIFICIO FUTURO 51</t>
  </si>
  <si>
    <t xml:space="preserve">        EDIFICIO CIPRES DE PASADENA II - PROPIEDAD HORIZONTAL</t>
  </si>
  <si>
    <t xml:space="preserve">        EDIFICIO FERRARA - PROPIEDAD HORIZONTAL</t>
  </si>
  <si>
    <t xml:space="preserve">        PROPIEDAD HORIZONTAL EDIFICIO TAMANAE DE DUITAMA</t>
  </si>
  <si>
    <t xml:space="preserve">        EDIFICIO ATARDEZZER 2 - PROPIEDAD HORIZONTAL</t>
  </si>
  <si>
    <t xml:space="preserve">        IVAN BOTERO GOMEZ S.A.S.</t>
  </si>
  <si>
    <t xml:space="preserve">VIRVIESCAS  CALVETE  ALIRIO    </t>
  </si>
  <si>
    <t xml:space="preserve">        EDIFICIO UNIQUE G - PROPIEDAD HORIZONTAL</t>
  </si>
  <si>
    <t xml:space="preserve">        INMOBILIARIOS CUFOR S.A.S.</t>
  </si>
  <si>
    <t xml:space="preserve">        EDIFICIO SAN PATRIZIO - PROPIEDAD HORIZONTAL</t>
  </si>
  <si>
    <t xml:space="preserve">        EDIFICIO EL TREBOL PROPIEDAD HORIZONTAL</t>
  </si>
  <si>
    <t xml:space="preserve">        EDIFICIO SETAI - PROPIEDAD HORIZONTAL</t>
  </si>
  <si>
    <t xml:space="preserve">        EDIFICIO CANCILLER - PROPIEDAD HORIZONTAL</t>
  </si>
  <si>
    <t xml:space="preserve">        CONDOMINIO RESIDENCIAL SAN NICOLAS</t>
  </si>
  <si>
    <t xml:space="preserve">        EDIFICIO "EL ESPEJO DEL PARQUE"</t>
  </si>
  <si>
    <t xml:space="preserve">ACOSTA  GONZALEZ  LINA  MARCELA  </t>
  </si>
  <si>
    <t xml:space="preserve">        EDIFICIO PARQUE FRANCIA PROPIEDAD HORIZONTAL</t>
  </si>
  <si>
    <t xml:space="preserve">        EDIFICIO ISNOS PROPIEDAD HORIZONTAL</t>
  </si>
  <si>
    <t xml:space="preserve">        EDIFICIO CENTRO MODA PROPIEDAD HORIZONTAL</t>
  </si>
  <si>
    <t xml:space="preserve">        EDIFICIO CERES PROPIEDAD HORIZONTAL</t>
  </si>
  <si>
    <t xml:space="preserve">        COSMOTEXTIL S A S</t>
  </si>
  <si>
    <t xml:space="preserve">        CONJUNTO RESIDENCIAL ESTADIO 70 P.H.</t>
  </si>
  <si>
    <t xml:space="preserve">        AGRUPACION ANTIGUA HELVETIA - PROPIEDAD HORIZONTAL</t>
  </si>
  <si>
    <t xml:space="preserve">        "CONJUNTO  RESIDENCIAL  MIRADOR  DEL  QUINDÍO"</t>
  </si>
  <si>
    <t xml:space="preserve">        EDIFICIO BONAVISTA PROPIEDAD HORIZONTAL</t>
  </si>
  <si>
    <t xml:space="preserve">        EDIFICIO DAVIDIA 101  -  PROPIEDAD HORIZONTAL</t>
  </si>
  <si>
    <t xml:space="preserve">        CONJUNTO RESIDENCIAL GRAND BOULEVARD - PROPIEDAD HORIZONTAL</t>
  </si>
  <si>
    <t xml:space="preserve">        EDIFICIO PALMA MAGNA - PROPIEDAD HORIZONTAL</t>
  </si>
  <si>
    <t xml:space="preserve">        EDIFICIO LA ESTRELLA DE LA MAÑANA</t>
  </si>
  <si>
    <t xml:space="preserve">        FLORIDA INVERSIONES SAS</t>
  </si>
  <si>
    <t xml:space="preserve">        EDIFICIO BIANCO PROPIEDAD HORIZONTAL</t>
  </si>
  <si>
    <t xml:space="preserve">        EDIFICIO BALCONES DEL NOGAL -  PROPIEDAD HORIZONTAL</t>
  </si>
  <si>
    <t xml:space="preserve">        EDIFICIO MONTE CAPIRO P.H.</t>
  </si>
  <si>
    <t xml:space="preserve">        CANTINA LA 15 S.A.S</t>
  </si>
  <si>
    <t xml:space="preserve">        VIVIT S.A.S.</t>
  </si>
  <si>
    <t xml:space="preserve">        EDIFICIO SOLEVENTO PROPIEDAD HORIZONTAL</t>
  </si>
  <si>
    <t xml:space="preserve">        CLINICA IPS CABECERA SAS</t>
  </si>
  <si>
    <t xml:space="preserve">        FUNERARIA LORDUY S.A.</t>
  </si>
  <si>
    <t xml:space="preserve">        EDIFICIO  TORRE  DEL  PARQUE</t>
  </si>
  <si>
    <t xml:space="preserve">        EDIFICIO PASEO DEL BOSQUE PROPIEDAD HORIZONTAL</t>
  </si>
  <si>
    <t xml:space="preserve">        EDIFICIO OLIVARA</t>
  </si>
  <si>
    <t xml:space="preserve">        RIVA S.A.</t>
  </si>
  <si>
    <t xml:space="preserve">        EDIFICIO BELLAVISTA DE ROSALES PROPIEDAD HORIZONTAL</t>
  </si>
  <si>
    <t xml:space="preserve">        EDIFICIO PASEO DE GRACIA</t>
  </si>
  <si>
    <t xml:space="preserve">        CENTRO COMERCIAL EL HOBO</t>
  </si>
  <si>
    <t xml:space="preserve">        LA RESERVA - PROPIEDAD HORIZONTAL</t>
  </si>
  <si>
    <t xml:space="preserve">        EDIFICIO "FRONTERA DE LA PILARICA" - PROPIEDAD HORIZONTAL</t>
  </si>
  <si>
    <t xml:space="preserve">        CONJUNTO RESIDENCIAL  RIVET-PROPIEDAD HORIZONTAL</t>
  </si>
  <si>
    <t xml:space="preserve">        INVERSIONES FT. SANTA CECILIA S.A.S.</t>
  </si>
  <si>
    <t xml:space="preserve">        EDIFICIO AZAHARA EMPRESARIAL PROPIEDAD HORIZONTAL</t>
  </si>
  <si>
    <t xml:space="preserve">        EDIFICIO MONTECARMELO</t>
  </si>
  <si>
    <t xml:space="preserve">        EDIFICIO KBC KALINKA BUSINESS CENTER</t>
  </si>
  <si>
    <t xml:space="preserve">        EDIFICIO EULER - PROPIEDAD HORIZONTAL</t>
  </si>
  <si>
    <t xml:space="preserve">        EDIFICIO MONTICELLO</t>
  </si>
  <si>
    <t xml:space="preserve">        EDIFICIO L'ANGOLO - PROPIEDAD HORIZONTAL</t>
  </si>
  <si>
    <t xml:space="preserve">        SANTA CATALINA DE INDIAS S.A.S.</t>
  </si>
  <si>
    <t xml:space="preserve">        EDIFICIO TORRE MONCALIERI - PROPIEDAD HORIZONTAL</t>
  </si>
  <si>
    <t xml:space="preserve">        UNIDAD RESIDENCIAL KALINKA</t>
  </si>
  <si>
    <t xml:space="preserve">        CONJUNTO SINTANA RESORT</t>
  </si>
  <si>
    <t xml:space="preserve">        EDIFICIO CONJUNTO RESIDENCIAL PARQUE CENTENARIO</t>
  </si>
  <si>
    <t xml:space="preserve">        EDIFICIO CHICO 97 - PROPIEDAD HORIZONTAL</t>
  </si>
  <si>
    <t xml:space="preserve">        EDIFICIO TANNAT - PROPIEDAD HORIZONTAL</t>
  </si>
  <si>
    <t xml:space="preserve">        EDIFICIO EL PARQUE -  PROPIEDAD  HORIZONTAL</t>
  </si>
  <si>
    <t xml:space="preserve">        EDIFICIO ACOCENTRO  94 PROPIEDAD HORIZONTAL</t>
  </si>
  <si>
    <t xml:space="preserve">        EDIFICIO OFICENTRO ASTORGA P.H</t>
  </si>
  <si>
    <t xml:space="preserve">        EDIFICIO TERRACOTA CONDOMINIO - APARTAMENTOS</t>
  </si>
  <si>
    <t xml:space="preserve">        AEROSUCRE S.A.</t>
  </si>
  <si>
    <t xml:space="preserve">        CLINICA LA MISERICORDIA S.A.S.</t>
  </si>
  <si>
    <t xml:space="preserve">        COLOMBIA MOVIL S A.S</t>
  </si>
  <si>
    <t xml:space="preserve">        EDIFICIO ORQUIDEA REAL</t>
  </si>
  <si>
    <t xml:space="preserve">        EDIFICIO CAMINOS DEL CAMPESTRE</t>
  </si>
  <si>
    <t xml:space="preserve">        PARROQUIA DE CRISTO REY</t>
  </si>
  <si>
    <t xml:space="preserve">        UNIDAD RESIDENCIAL RESERVA 103 CLUB CONDOMINIUM PH</t>
  </si>
  <si>
    <t xml:space="preserve">        EDIFICIO AZURE</t>
  </si>
  <si>
    <t xml:space="preserve">        CONDOMINIO EDIFICIO COVADONGA</t>
  </si>
  <si>
    <t xml:space="preserve">        EDIFICIO 92/19 - PROPIEDAD HORIZONTAL</t>
  </si>
  <si>
    <t xml:space="preserve">        EDIFICIO LUXOR</t>
  </si>
  <si>
    <t xml:space="preserve">        EDIFICIO EL PEDREGAL I Y II PROPIEDAD HORIZONTAL</t>
  </si>
  <si>
    <t xml:space="preserve">        EDIFICIO MONETT, PROPIEDAD HORIZONTAL</t>
  </si>
  <si>
    <t xml:space="preserve">        EDIFICIO SAINT MICHEL PROPIEDAD HORIZONTAL</t>
  </si>
  <si>
    <t xml:space="preserve">        EDIFICIO NAVARRA PROPIEDAD HORIZONTAL</t>
  </si>
  <si>
    <t xml:space="preserve">        EDIFICIO TORRE 95 - PROPIEDAD HORIZONTAL</t>
  </si>
  <si>
    <t xml:space="preserve">        INDIANA MALL P. H.</t>
  </si>
  <si>
    <t xml:space="preserve">        EDIFICIO MARGARITA DEL MAR</t>
  </si>
  <si>
    <t xml:space="preserve">        PROMOTORA ZR  S.A.S.</t>
  </si>
  <si>
    <t xml:space="preserve">        EDIFICIO GAVALLINI</t>
  </si>
  <si>
    <t xml:space="preserve">        EDIFICIO LAS ATALAYAS - PROPIEDAD HORIZONTAL</t>
  </si>
  <si>
    <t xml:space="preserve">        PRODUCTORA DE AROMAS Y FRAGANCIAS S.A.S.</t>
  </si>
  <si>
    <t xml:space="preserve">        CONJUNTO CERRADO TERRA DE CASTILLA - PROPIEDAD HORIZONTAL</t>
  </si>
  <si>
    <t xml:space="preserve">        INVERSIONES PROMATEX SOCIEDAD POR ACCIONES SIMPLIFICADA</t>
  </si>
  <si>
    <t xml:space="preserve">        EDIFICIO TORRE SANTA TERESITA -P.H.-</t>
  </si>
  <si>
    <t xml:space="preserve">        UNIDAD RESIDENCIAL PALMAR - SOTOMAYOR</t>
  </si>
  <si>
    <t xml:space="preserve">        EDIFICIO MARLY 50 - 15 -PROPIEDAD HORIZONTAL</t>
  </si>
  <si>
    <t xml:space="preserve">        EDIFICIO TERRAZZINO ZUÑIGA TORRE 2 P.H.</t>
  </si>
  <si>
    <t xml:space="preserve">        EDIFICIO PASEO ESPAÑA</t>
  </si>
  <si>
    <t xml:space="preserve">        EDIFICIO CALANDA - PROPIEDAD HORIZONTAL</t>
  </si>
  <si>
    <t xml:space="preserve">        EDIFICIO NOGALES DEL PARQUE</t>
  </si>
  <si>
    <t xml:space="preserve">        EDIFICIO JARDINES DE LA ABADIA P.H</t>
  </si>
  <si>
    <t xml:space="preserve">        MANILA HOTEL BOUTIQUE S.A.S.</t>
  </si>
  <si>
    <t xml:space="preserve">        EDIFICIO TALLER 6 PH - PROPIEDAD HORIZONTAL</t>
  </si>
  <si>
    <t xml:space="preserve">        EDIFICIO EL MIRADOR</t>
  </si>
  <si>
    <t xml:space="preserve">        HOTELES DE LA ANTIGUA SOCIEDAD POR ACCIONES SIMPLIFICADA</t>
  </si>
  <si>
    <t xml:space="preserve">        EDIFICIO CALLE 96 - PROPIEDAD HORIZONTAL</t>
  </si>
  <si>
    <t xml:space="preserve">        EDIFICACION MIXTA LAGO PLAZA II - PROPIEDAD HORIZONTAL</t>
  </si>
  <si>
    <t xml:space="preserve">        EDIFICIO PALMA VECCHIA</t>
  </si>
  <si>
    <t xml:space="preserve">        EDIFICIO STUDIO 106 - PROPIEDAD HORIZONTAL</t>
  </si>
  <si>
    <t xml:space="preserve">        EDIFICIO PORTAL DE LA QUEBRADA - PROPIEDAD HORIZONTAL</t>
  </si>
  <si>
    <t xml:space="preserve">        EDIFICIO KD ESSENTIAL - PROPIEDAD HORIZONTAL</t>
  </si>
  <si>
    <t xml:space="preserve">        PLANEA HOTEL GROUP SAS</t>
  </si>
  <si>
    <t xml:space="preserve">        EDIFICIO BELLAVISTA 75 - PROPIEDAD HORIZONTAL</t>
  </si>
  <si>
    <t xml:space="preserve">        EDIFICIO ALTOS DE SANTA ANA - PROPIEDAD HORIZONTAL</t>
  </si>
  <si>
    <t xml:space="preserve">        EDIFICIO RESERVA DE GRACIA - PROPIEDAD HORIZONTAL</t>
  </si>
  <si>
    <t xml:space="preserve">        EDIFICIO CALLE NOVENTA Y UNA (91) - PROPIEDAD HORIZONTAL</t>
  </si>
  <si>
    <t xml:space="preserve">        EDIFICIO JARDIN PLAZA II</t>
  </si>
  <si>
    <t xml:space="preserve">        EDIFICIO SANTA MARIA DEL PARQUE - PROPIEDAD HORIZONTAL</t>
  </si>
  <si>
    <t xml:space="preserve">        EDIFICIO CENTRO EJECUTIVO</t>
  </si>
  <si>
    <t xml:space="preserve">        EDIFICIO BALCONES DEL FONCE PROPIEDAD HORIZONTAL</t>
  </si>
  <si>
    <t xml:space="preserve">        MULTIFAMILIAR " IO " - EDIFICIO</t>
  </si>
  <si>
    <t xml:space="preserve">        SEGURIDAD ACROPOLIS LIMITADA</t>
  </si>
  <si>
    <t xml:space="preserve">        INVERSIONES CUCHICUTE S.A.S</t>
  </si>
  <si>
    <t xml:space="preserve">        EDIFICIO TERRANOVA - PROPIEDAD HORIZONTAL</t>
  </si>
  <si>
    <t xml:space="preserve">        TESALONICA APARTAMENTOS ETAPA I - PROPIEDAD HORIZONTAL</t>
  </si>
  <si>
    <t xml:space="preserve">DUQUE  RAMIREZ  HECTOR  RAUL  </t>
  </si>
  <si>
    <t xml:space="preserve">        "EDIFICIO LA MANIGUA - PROPIEDAD HORIZONTAL"</t>
  </si>
  <si>
    <t xml:space="preserve">        COUNTRY PARADISE- ETAPA 1 Y ETAPA 2 - PROPIEDAD HORIZONTAL</t>
  </si>
  <si>
    <t xml:space="preserve">        EDIFICIO ALTAVISTA 146- PROPIEDAD HORIZONTAL</t>
  </si>
  <si>
    <t xml:space="preserve">        CONDOMINIO MONTE REAL</t>
  </si>
  <si>
    <t xml:space="preserve">        CONJUNTO RESIDENCIAL MONTERIVERA</t>
  </si>
  <si>
    <t xml:space="preserve">        EDIFICIO PALO SANTO P.H</t>
  </si>
  <si>
    <t xml:space="preserve">        NEUROCOOP REHABILITACION FISICA Y MEDICA INTEGRAL S.A.S</t>
  </si>
  <si>
    <t xml:space="preserve">        EDIFICIO AVANTE - PROPIEDAD HORIZONTAL</t>
  </si>
  <si>
    <t xml:space="preserve">        EDIFICIO MONTICELLO - PROPIEDAD HORIZONTAL</t>
  </si>
  <si>
    <t xml:space="preserve">        EDIFICIO KANSEI II - PROPIEDAD HORIZONTAL</t>
  </si>
  <si>
    <t xml:space="preserve">        EDIFICIO BELLAVISTA 76 - PROPIEDAD HORIZONTAL</t>
  </si>
  <si>
    <t xml:space="preserve">        CONJUNTO RESIDENCIAL PARK 200 PH</t>
  </si>
  <si>
    <t xml:space="preserve">        EDIFICIO PLAZA 16</t>
  </si>
  <si>
    <t xml:space="preserve">        PARADISE VALLEY SAS</t>
  </si>
  <si>
    <t xml:space="preserve">        CRAYOLA Y LAPIZ SAS</t>
  </si>
  <si>
    <t xml:space="preserve">        CONJUNTO RESIDENCIAL MONTEALTO PROPIEDAD HORIZONTAL</t>
  </si>
  <si>
    <t xml:space="preserve">        EDIFICIO CENTRO MEDICO SAN JOSE - PROPIEDAD HORIZONTAL</t>
  </si>
  <si>
    <t xml:space="preserve">        UNION VITAL S.A.S</t>
  </si>
  <si>
    <t xml:space="preserve">        TORRES MEDITERRANEO - PROPIEDAD HORIZONTAL</t>
  </si>
  <si>
    <t xml:space="preserve">        URBANIZACIÓN BAMBUCO APARTAMENTOS PROPIEDAD HORIZONTAL</t>
  </si>
  <si>
    <t xml:space="preserve">        COLEGIO  BILINGUE   RICHMOND SAS</t>
  </si>
  <si>
    <t xml:space="preserve">        EDIFICIO IMOVAL XIII- PROPIEDAD HORIZONTAL</t>
  </si>
  <si>
    <t xml:space="preserve">        EDIFICIO NAVARRA REAL - PROPIEDAD HORIZONTAL</t>
  </si>
  <si>
    <t xml:space="preserve">        PARQUE CENTRAL BAVARIA - PROPIEDAD HORIZONTAL</t>
  </si>
  <si>
    <t xml:space="preserve">        CENTRO DE REHABILITACION Y TRATAMIENTO DEL DOLOR KINESIS S.A.S</t>
  </si>
  <si>
    <t xml:space="preserve">        EDIFICIO CALLE 94 A P.H</t>
  </si>
  <si>
    <t xml:space="preserve">        EL VIAJERO HOSTELS S.A.S</t>
  </si>
  <si>
    <t xml:space="preserve">        BODEGA Y COCINA  SAS</t>
  </si>
  <si>
    <t xml:space="preserve">        CONGREGACION DE LA PUREZA DE MARIA SANTISIMA</t>
  </si>
  <si>
    <t xml:space="preserve">        EDIIFICIO PARQUE DE LA PILARICA PROPIEDAD HORIZONTAL</t>
  </si>
  <si>
    <t xml:space="preserve">        EDIFICIO EL UNIVERSAL - PROPIEDAD HORIZONTAL</t>
  </si>
  <si>
    <t xml:space="preserve">        EDIFICIO CASA BONITA PROPIEDAD HIORIZONTAL</t>
  </si>
  <si>
    <t xml:space="preserve">        EDIFICIO MYSTIQUE NAVARRA PROPIEDAD HORIZONTAL</t>
  </si>
  <si>
    <t xml:space="preserve">        EDIFICIO ZEN APARTAMENTOS - PROPIEDAD HORIZONTAL</t>
  </si>
  <si>
    <t xml:space="preserve">        CONJUNTO MULTIFAMILIAR CORAL - PROPIEDAD HORIZONTAL</t>
  </si>
  <si>
    <t xml:space="preserve">        EDIFICIO TERRANOVA PH - PROPIEDAD HORIZONTAL</t>
  </si>
  <si>
    <t xml:space="preserve">        EDIFICIO LOS EUCALIPTOS - PROPIEDAD HORIZONTAL</t>
  </si>
  <si>
    <t xml:space="preserve">        EDIFICIO TORRES DE MALAGA PROPIEDAD HORIZONTAL</t>
  </si>
  <si>
    <t xml:space="preserve">        EDIFICIO MIRADORES DE ROSALES PROPIEDAD HORIZONTAL</t>
  </si>
  <si>
    <t xml:space="preserve">        CONSTRUCTORA ATTIA S.A.S.</t>
  </si>
  <si>
    <t xml:space="preserve">        CONJUNTO RESIDENCIAL PALMAS DE LA FRONTERA ETAPA I PROPIEDAD HORIZONTAL</t>
  </si>
  <si>
    <t xml:space="preserve">        EDIFICIO TORRES DEL MAYOR</t>
  </si>
  <si>
    <t xml:space="preserve">        UNIDADES RESIDENCIALES MODERNAS S A</t>
  </si>
  <si>
    <t xml:space="preserve">        "EDIFICIO ANTILIA 96 - PROPIEDAD HORIZONTAL"</t>
  </si>
  <si>
    <t xml:space="preserve">        MUNICIPIO DE DONMATIAS</t>
  </si>
  <si>
    <t xml:space="preserve">        HOTEL CARTAGENA PLAZA DE LA ADUANA S.A.S.</t>
  </si>
  <si>
    <t xml:space="preserve">        EDIFICIO TORRE SAN MARCOS - PROPIEDAD HORIZONTAL</t>
  </si>
  <si>
    <t xml:space="preserve">        FOTOMONTAJES S.A.S.</t>
  </si>
  <si>
    <t xml:space="preserve">        CONJUNTO RESIDENCIAL Y COMERCIAL CALERA HILLS PROPIEDAD HORIZONTAL</t>
  </si>
  <si>
    <t xml:space="preserve">        GRUPO DECOR S.A.S.</t>
  </si>
  <si>
    <t xml:space="preserve">        EDIFICIO SANTA MARIA  P H</t>
  </si>
  <si>
    <t xml:space="preserve">        EDIFICIO MULTIFAMILIAR ATENAS</t>
  </si>
  <si>
    <t xml:space="preserve">        FISCALIA GENERAL DE LA NACION SECCIONAL SANTANDER</t>
  </si>
  <si>
    <t xml:space="preserve">        EDIFICIO CYAN  P H</t>
  </si>
  <si>
    <t xml:space="preserve">        CONDOMINIO BARCELONA</t>
  </si>
  <si>
    <t xml:space="preserve">        EDIFICIO MIRADOR DE LA SUIZA - PROPIEDAD HORIZONTAL</t>
  </si>
  <si>
    <t xml:space="preserve">        LOGISTICA E INVERSIONES EN TURISMO S.A.S.</t>
  </si>
  <si>
    <t xml:space="preserve">        EDIFICIO TORRE CENTRAL P.H.</t>
  </si>
  <si>
    <t xml:space="preserve">        CONJUNTO RESIDENCIAL MARANTA</t>
  </si>
  <si>
    <t xml:space="preserve">        ASMET SALUD EPS SAS</t>
  </si>
  <si>
    <t xml:space="preserve">        BANCO COMERCIAL AV VILLAS S.A.</t>
  </si>
  <si>
    <t xml:space="preserve">        CONJUNTO RESIDENCIAL VISTAVERDE P.H.</t>
  </si>
  <si>
    <t xml:space="preserve">        EDIFICIO CASTROPOL SEÑORIAL I - PROPIEDAD HORIZONTAL</t>
  </si>
  <si>
    <t xml:space="preserve">        EDIFICIO AMBAR P.H</t>
  </si>
  <si>
    <t xml:space="preserve">        HOTELES DE LA 107 SOCIEDAD POR ACCIONES SIMPLIFICADAS</t>
  </si>
  <si>
    <t xml:space="preserve">        EDIFICIO MAXIM</t>
  </si>
  <si>
    <t xml:space="preserve">        EDIFICIO COUNTRY VIRREY - PROPIEDAD HORIZONTAL</t>
  </si>
  <si>
    <t xml:space="preserve">        EDIFICIO CHICO 95-51 -PROPIEDAD HORIZONTAL</t>
  </si>
  <si>
    <t xml:space="preserve">        OPORTO 93 PROPIEDAD HORIZONTAL</t>
  </si>
  <si>
    <t xml:space="preserve">        EDIFICIO DINERS</t>
  </si>
  <si>
    <t xml:space="preserve">        VERMONTE SEMILLAS PH - PROPIEDAD HORIZONTAL</t>
  </si>
  <si>
    <t xml:space="preserve">        " PROMOTORA CASA DE LAS CARRETAS S.A.S. "</t>
  </si>
  <si>
    <t xml:space="preserve">        CENTRO COMERCIAL REAL PLAZA - PROPIEDAD HORIZONTAL</t>
  </si>
  <si>
    <t xml:space="preserve">        EDIFICIO VERTICAL  87  PROPIEDAD HORIZONTAL</t>
  </si>
  <si>
    <t xml:space="preserve">        EDIFICIO MONSERRAT PROPIEDAD HORIZONTAL</t>
  </si>
  <si>
    <t xml:space="preserve">        "CONDOMINIO EDIFICIO MULTIFAMILIAR TERRAZAS DEL PARQUE-PROPIEDAD HORIZONTAL"</t>
  </si>
  <si>
    <t xml:space="preserve">        MULTIFAMILIAR TOSCANA PROPIEDAD HORIZONTAL</t>
  </si>
  <si>
    <t xml:space="preserve">        EDIFICIO CIPRES DE LA COLINA - PROPIEDAD HORIZONTAL</t>
  </si>
  <si>
    <t xml:space="preserve">        EDIFICIO BARVENTO</t>
  </si>
  <si>
    <t xml:space="preserve">        JI CAPITAL S.A.S</t>
  </si>
  <si>
    <t xml:space="preserve">        PARQUE LOGISTICO INTEGRAL LA MOLIENDA S.A.S.</t>
  </si>
  <si>
    <t xml:space="preserve">        CLINICA DE OCCIDENTE S.A.</t>
  </si>
  <si>
    <t xml:space="preserve">        EDIFICIO LA CANDELARIA - PROPIEDAD HORIZONTAL</t>
  </si>
  <si>
    <t xml:space="preserve">        PROPIEDAD HORIZONTAL EDIFICIO EL TRIANGULO</t>
  </si>
  <si>
    <t xml:space="preserve">        EDIFICIO CALABRIA VIRREY - PROPIEDAD HORIZONTAL</t>
  </si>
  <si>
    <t xml:space="preserve">        CAJA DE COMPENSACION FAMILIAR DEL MAGDALENA</t>
  </si>
  <si>
    <t xml:space="preserve">        LATERAL SAS</t>
  </si>
  <si>
    <t xml:space="preserve">        EDIFICIO PARQUE 97 - PROPIEDAD HORIZONTAL</t>
  </si>
  <si>
    <t xml:space="preserve">        EDIFICIO CHELSEA</t>
  </si>
  <si>
    <t xml:space="preserve">        URBANIZADORA MARTINEZ ESPARZA SAS</t>
  </si>
  <si>
    <t xml:space="preserve">        ASOCIACION DE COPROPIETARIOS EDIFICIO MADRIGAL</t>
  </si>
  <si>
    <t xml:space="preserve">        EDIFICIO ROSA BLANCA-PROPIEDAD HORIZONTAL</t>
  </si>
  <si>
    <t xml:space="preserve">        EDIFICIO SERENDIP.</t>
  </si>
  <si>
    <t xml:space="preserve">        EDIFICIO MANANTIAL 72A - PROPIEDAD HORIZONTAL</t>
  </si>
  <si>
    <t xml:space="preserve">        CONSTRUCTORA INMOBILIARIA FUTURA S.A.S.</t>
  </si>
  <si>
    <t xml:space="preserve">        CONJUNTO RESIDENCIAL SUBA RESERVADO PROPIEDAD HORIZONTAL. - PROPIEDAD HORIZONTAL</t>
  </si>
  <si>
    <t xml:space="preserve">        EDIFICIO VERTICE 2 NORTE - PROPIEDAD HORIZONTAL</t>
  </si>
  <si>
    <t xml:space="preserve">        B 611 PROPIEDAD HORIZONTAL</t>
  </si>
  <si>
    <t xml:space="preserve">        EDIFICIO BEDFORD</t>
  </si>
  <si>
    <t xml:space="preserve">        EDIFICIO URBAN APARTAMENTOS - PROPIEDAD HORIZONTAL</t>
  </si>
  <si>
    <t xml:space="preserve">        REJU DE COLOMBIA S.A.S.</t>
  </si>
  <si>
    <t xml:space="preserve">        EDIFICIO BUSSINES CENTER - PROPIEDAD HORIZONTAL</t>
  </si>
  <si>
    <t xml:space="preserve">        EDIFICIO ODESSA</t>
  </si>
  <si>
    <t xml:space="preserve">        EDIFICIO CENTRIKO PROPIEDAD HORIZONTAL</t>
  </si>
  <si>
    <t xml:space="preserve">        "EDIFICIO OBRACATORCE - PROPIEDAD HORIZONTAL"</t>
  </si>
  <si>
    <t xml:space="preserve">        EDIFICIO TORRE 100</t>
  </si>
  <si>
    <t xml:space="preserve">        "EDIFICIO BOSCHETTO - PROPIEDAD HORIZONTAL"</t>
  </si>
  <si>
    <t xml:space="preserve">        EDIFICIO ATLANTIS I ETAPA- PROPIEDAD HORIZONTAL</t>
  </si>
  <si>
    <t xml:space="preserve">        EDIFICIO SOLARIS</t>
  </si>
  <si>
    <t xml:space="preserve">        COSMITET LTDA CORPORACION DE SERVICIOS MEDICOS INTERNACIONALES THEM Y CIA LTDA</t>
  </si>
  <si>
    <t xml:space="preserve">        CONJUNTO RESIDENCIAL CONDADO CAMPESTRE</t>
  </si>
  <si>
    <t xml:space="preserve">        EDIFICIO FARO DE VELODROMO - PROPIEDAD HORIZONTAL</t>
  </si>
  <si>
    <t xml:space="preserve">        PANEL ROCK COLOMBIA S A S</t>
  </si>
  <si>
    <t xml:space="preserve">        HOTEL CASA PEDREGAL - PROPIEDAD HORIZONTAL</t>
  </si>
  <si>
    <t xml:space="preserve">        EDIFICIO RIVIERA PLAZA PRIMERA ETAPA - PROPIEDAD HORIZONTAL</t>
  </si>
  <si>
    <t xml:space="preserve">        EDIFICIO PARMA PROPIEDAD HORIZONTAL</t>
  </si>
  <si>
    <t xml:space="preserve">        EDIFICIO TABAGO IV PROPIEDAD HORIZONTAL</t>
  </si>
  <si>
    <t xml:space="preserve">        FIVE PACK ALLIANCE S.A.S.</t>
  </si>
  <si>
    <t xml:space="preserve">        EDIFICIO ARKGO 1 PROPIEDAD HORIZONTAL</t>
  </si>
  <si>
    <t xml:space="preserve">        EDIFICIO VALDIVIA</t>
  </si>
  <si>
    <t xml:space="preserve">        EDIFICIO IDEO PROPIEDAD HORIZONTAL</t>
  </si>
  <si>
    <t xml:space="preserve">        EDIFICIO PIXEL 98 - PROPIEDAD HORIZONTAL</t>
  </si>
  <si>
    <t xml:space="preserve">        EDIFICIO ALAMEDA 94 PROPIEDAD HORIZONTAL</t>
  </si>
  <si>
    <t xml:space="preserve">        EDIFICIO HESPERIA REAL</t>
  </si>
  <si>
    <t xml:space="preserve">        FONDO DE PASIVO SOCIAL DE FERROCARRILES NACIONALES DE COLOMBIA</t>
  </si>
  <si>
    <t xml:space="preserve">        EDIFICIO SERRAMONTTI- PROPIEDAD HORIZONTAL</t>
  </si>
  <si>
    <t xml:space="preserve">        PROMOTORA HOTELERA Y TURISTICA LA TRIADA S.A.</t>
  </si>
  <si>
    <t xml:space="preserve">        EDIFICIO  VIRREY DEL COUNTRY-PROPIEDAD HORIZONTAL</t>
  </si>
  <si>
    <t xml:space="preserve">        EDIFICIO ROSA DEL PARQUE</t>
  </si>
  <si>
    <t xml:space="preserve">        EDIFICIO ARRECIFES</t>
  </si>
  <si>
    <t xml:space="preserve">        EDIFICIO SALUD TOTAL  PROPIEDAD HORIZONTAL</t>
  </si>
  <si>
    <t xml:space="preserve">        EDIFICIO RIALTO CONDOMINIO-PROPIEDAD HORIZONTAL</t>
  </si>
  <si>
    <t xml:space="preserve">        CONDOMINIO LA BOHEMIA - PROPIEDAD HORIZONTAL</t>
  </si>
  <si>
    <t xml:space="preserve">        DIRECCION EJECUTIVA SECCIONAL DE ADMINISTRACION JUDICIAL BOGOTA</t>
  </si>
  <si>
    <t xml:space="preserve">        EDIFICIO CENTRO EIFFEL PROPIEDAD HORIZONTAL</t>
  </si>
  <si>
    <t xml:space="preserve">        EDIFICIO PROVENZA ARRIBA - PROPIEDAD HORIZONTAL</t>
  </si>
  <si>
    <t xml:space="preserve">        CONJUNTO CERRADO MONTEVERDE</t>
  </si>
  <si>
    <t xml:space="preserve">        CONJUNTO MULTIFAMILIAR VELAS AL  MAR</t>
  </si>
  <si>
    <t xml:space="preserve">        EDIFICIO ALUNA</t>
  </si>
  <si>
    <t xml:space="preserve">        ACOSTA MORENO S.A.S.</t>
  </si>
  <si>
    <t xml:space="preserve">        CONJUNTO RESIDENCIAL ARIA-PROPIEDAD HORIZONTAL</t>
  </si>
  <si>
    <t xml:space="preserve">        EDIFICIO YUMA</t>
  </si>
  <si>
    <t xml:space="preserve">        COLEGIOS COLOMBIANOS S.A.S.</t>
  </si>
  <si>
    <t xml:space="preserve">        EDIFICIO MEDITERRANEAN TOWERS P.H.</t>
  </si>
  <si>
    <t xml:space="preserve">        EDIFICIO TORRE SANTAMARIA</t>
  </si>
  <si>
    <t xml:space="preserve">        "EDIFICIO  HABITAT  APARTAMENTOS  ETAPA  1"</t>
  </si>
  <si>
    <t xml:space="preserve">        CENTRO MEDICO PREVENIMOS S.A.S.</t>
  </si>
  <si>
    <t xml:space="preserve">        EDIFICIO VIRACOCHA- PROPIEDAD HORIZONTAL</t>
  </si>
  <si>
    <t xml:space="preserve">        UNIDAD INMOBILIARIA CERRADA CLINICA RISARALDA- PROPIEDAD HORIZONTAL</t>
  </si>
  <si>
    <t xml:space="preserve">        PROMOTORA SIERRA DE OCCIDENTE S.A.S.</t>
  </si>
  <si>
    <t xml:space="preserve">        EDIFICIO ARCOIRIS PASADENA I- PROPIEDAD HORIZONTAL</t>
  </si>
  <si>
    <t xml:space="preserve">        EDIFICIO TORRE JORDAN - P.H.</t>
  </si>
  <si>
    <t xml:space="preserve">        SIERRALAGUNA CONDOMINIO MARINO</t>
  </si>
  <si>
    <t xml:space="preserve">        COPROPIEDAD EDIFICIO DON PEDRO DE HEREDIA</t>
  </si>
  <si>
    <t xml:space="preserve">        TERRAZAS DE EMAUS PROPIEDAD HORIZONTAL</t>
  </si>
  <si>
    <t xml:space="preserve">        EDIFICIO TORRES DE BULEVAR ETAPA 1 - PROPIEDAD HORIZONTAL</t>
  </si>
  <si>
    <t xml:space="preserve">        ALIMENTOS ORIENTALES KAMARI LTDA</t>
  </si>
  <si>
    <t xml:space="preserve">        CONJUNTO RINCONES DE LLANOGRANDE ETAPA 1 PROPIEDAD HORIZONTAL</t>
  </si>
  <si>
    <t xml:space="preserve">        EDIFICIO CALLE 84 - PROPIEDAD HORIZONTAL</t>
  </si>
  <si>
    <t xml:space="preserve">        CONJUNTO RESIDENCIAL PORTAL DE LA PRADERA P.H.</t>
  </si>
  <si>
    <t xml:space="preserve">        EDIFICIO LA FONTANA PROPIEDAD HORIZONTAL</t>
  </si>
  <si>
    <t xml:space="preserve">        EDIFICIO DELFOS PROPIEDAD HORIZONTAL</t>
  </si>
  <si>
    <t xml:space="preserve">        EDIFICIO PARQUE DEL JAPON PROPIEDAD HORIZONTAL</t>
  </si>
  <si>
    <t xml:space="preserve">        MULTIFAMILIAR EDIFICIO ANDALUCIA GRAN RESERVA</t>
  </si>
  <si>
    <t xml:space="preserve">        EDIFICIO TORCOROMA P.H.</t>
  </si>
  <si>
    <t xml:space="preserve">        EDIFICIO LAURA PROPIEDAD HORIZONTAL</t>
  </si>
  <si>
    <t xml:space="preserve">        EDIFICIO GUAYACANES DE PILARICA PROPIEDAD HORIZONTAL</t>
  </si>
  <si>
    <t xml:space="preserve">        CONJUNTO RESIDENCIAL SANTIAGO DE COMPOSTELA</t>
  </si>
  <si>
    <t xml:space="preserve">        CONJUNTO TERRANOVA CENTRO COMERCIAL Y TORRES DE VIVIENDA -  PROPIEDAD HORIZONTAL</t>
  </si>
  <si>
    <t xml:space="preserve">        EDIFICIO ZÚÑIGA SEÑORIAL P.H.</t>
  </si>
  <si>
    <t xml:space="preserve">        EDIFICIO MULTIFAMILIAR LA CEIBA - PROPIEDAD HORIZONTAL</t>
  </si>
  <si>
    <t xml:space="preserve">        EDIFICIO LAURELES EPIC</t>
  </si>
  <si>
    <t xml:space="preserve">        EDIFICIO TIME SQUARE PROPIEDAD HORIZONTAL</t>
  </si>
  <si>
    <t xml:space="preserve">        EDIFICIO NAVARRA VILLAGE PROPIEDAD HORIZONTAL</t>
  </si>
  <si>
    <t xml:space="preserve">        EDIFICIO MAYORAL DEL VIENTO- PROPIEDAD HORIZONTAL</t>
  </si>
  <si>
    <t xml:space="preserve">        EDIFICIO PIANO 94 - PROPIEDAD HORIZONTAL</t>
  </si>
  <si>
    <t xml:space="preserve">        EDIFICIO MULTIFAMILIAR ARNIKA-PROPIEDAD HORIZONTAL</t>
  </si>
  <si>
    <t xml:space="preserve">        EDIFICIO TORRE EMPRESARIAL 96</t>
  </si>
  <si>
    <t xml:space="preserve">        QUEBRADA VIEJA 71 PROPIEDAD HORIZONTAL</t>
  </si>
  <si>
    <t xml:space="preserve">        COMUNIDAD DE NUESTRA SEÑORA DE LA CARIDAD DEL BUEN PASTOR</t>
  </si>
  <si>
    <t xml:space="preserve">        EDIFICIO TRAMONTI 39</t>
  </si>
  <si>
    <t xml:space="preserve">        EDIFICIO NIZA RESERVADO</t>
  </si>
  <si>
    <t xml:space="preserve">        EDIFICIO BAMBU - PROPIEDAD HORIZONTAL</t>
  </si>
  <si>
    <t xml:space="preserve">        EDIFICIO SENDEROS DE BELLA SUIZA - PROPIEDAD HORIZONTAL</t>
  </si>
  <si>
    <t xml:space="preserve">        EDIFICIO LEVEL VIRREY  - PROPIEDAD HORIZAONTAL</t>
  </si>
  <si>
    <t xml:space="preserve">        EDIFICIO SOHO 84</t>
  </si>
  <si>
    <t xml:space="preserve">        ARBOREA  S A S</t>
  </si>
  <si>
    <t xml:space="preserve">        DAVINCI APARTAMENTOS</t>
  </si>
  <si>
    <t xml:space="preserve">        EDIFICIO MULTIFAMILIAR VIVERDI 85</t>
  </si>
  <si>
    <t xml:space="preserve">        EDIFICIO PINAR DE LA SIERRA - PROPIEDAD HORIZONTAL</t>
  </si>
  <si>
    <t xml:space="preserve">        INVERSIONES CAFIGU S.A.S</t>
  </si>
  <si>
    <t xml:space="preserve">        UNIDAD RESIDENCIAL CRISTO REY - PROPIEDAD HORIZONTAL</t>
  </si>
  <si>
    <t xml:space="preserve">        SOLVO S.A.S</t>
  </si>
  <si>
    <t xml:space="preserve">        EDIFICIO  BRUXXEL  -  PROPIEDAD HORIZONTAL</t>
  </si>
  <si>
    <t xml:space="preserve">        EDIFICIO MULTIFAMILIAR MONTEVEDRA-PROPIEDAD HORIZONTAL</t>
  </si>
  <si>
    <t xml:space="preserve">        ALAMEDA COLOMBIA S A S EN LIQUIDACION</t>
  </si>
  <si>
    <t xml:space="preserve">        EDIFICIO ALTOS DEL CASTILLO PROPIEDAD HORIZONTAL</t>
  </si>
  <si>
    <t xml:space="preserve">        EDIFICIO BLINK</t>
  </si>
  <si>
    <t xml:space="preserve">        CONSTRUCTORA    AGATA     S.A.S.</t>
  </si>
  <si>
    <t xml:space="preserve">        EDIFICIO 104 PARK - PROPIEDAD HORIZONTAL</t>
  </si>
  <si>
    <t xml:space="preserve">        "CONJUNTO  RESIDENCIAL ASAI APARTAMENTOS P.H. ETAPA 1"</t>
  </si>
  <si>
    <t xml:space="preserve">        AGRUPACION DE VIVIENDA CALLEJA DOS MIL PRIMERA ETAPA</t>
  </si>
  <si>
    <t xml:space="preserve">        MULTIFAMILIAR EDIFICIO "N 75" - PROPIEDAD HORIZONTAL</t>
  </si>
  <si>
    <t xml:space="preserve">        EDIFICIO ANTALYA PROPIEDAD HORIZONTAL</t>
  </si>
  <si>
    <t xml:space="preserve">        EDIFICIO BALCONY 86 PROPIEDAD HORIZONTAL</t>
  </si>
  <si>
    <t xml:space="preserve">        ASOCIACION DE COPROPIETARIOS DEL EDIFICIO ALTOS DE ARANJUEZ</t>
  </si>
  <si>
    <t xml:space="preserve">        CENTRO COMERCIAL PANAMA</t>
  </si>
  <si>
    <t xml:space="preserve">        EDIFICIO VISTAPARK - PROPIEDAD HORIZONTAL</t>
  </si>
  <si>
    <t xml:space="preserve">        EDIFICIO LUMINI - PROPIEDAD HORIZONTAL</t>
  </si>
  <si>
    <t xml:space="preserve">        EDIFICIO  ENTREPARQUES</t>
  </si>
  <si>
    <t xml:space="preserve">        AGRUPACION SAHARA  - VIS -  PROPIEDAD HORIZONTAL</t>
  </si>
  <si>
    <t xml:space="preserve">        EDIFICIO MALKA - PROPIEDAD HORIZONTAL</t>
  </si>
  <si>
    <t xml:space="preserve">        EDIFICIO CONSULTORIOS 93-19 - PROPIEDAD HORIZONTAL</t>
  </si>
  <si>
    <t xml:space="preserve">        HABITAT 360 SAS</t>
  </si>
  <si>
    <t xml:space="preserve">        EDIFICIO MIRADOR DE LOS ALPES PROPIEDAD HORIZONTAL</t>
  </si>
  <si>
    <t xml:space="preserve">        SUPER AMOBLADOS BARRANQUILLA S.A.S</t>
  </si>
  <si>
    <t xml:space="preserve">        EDIFICIO ALTOS DEL ROSAL PROPIEDAD HORIZONTAL</t>
  </si>
  <si>
    <t xml:space="preserve">        EDIFICIO TORRE PARQUE TURBAY</t>
  </si>
  <si>
    <t xml:space="preserve">        EDIFICIO BARAGGIA-PROPIEDAD HORIZONTAL</t>
  </si>
  <si>
    <t xml:space="preserve">        CONJUNTO RESIDENCIAL EDIFICIO PRISMA</t>
  </si>
  <si>
    <t xml:space="preserve">        EMPRESA SOCIAL DEL ESTADO HOSPITAL INTEGRADO SAN JUAN DE DIOS DE BARICHARA</t>
  </si>
  <si>
    <t xml:space="preserve">        CONJUNTO CERRADO VERDE NIZA PROPIEDAD HORIZONTAL ETAPAS 1 Y 2</t>
  </si>
  <si>
    <t xml:space="preserve">        EDIFICIO BALCONES DE SAN JOSE</t>
  </si>
  <si>
    <t xml:space="preserve">        CONJUNTO RESIDENCIAL EL CAPIRO P.H.</t>
  </si>
  <si>
    <t xml:space="preserve">        INSTITUCION PRESTADORA DE SERVICIOS DE SALUD DEL CARIBE S.A.S.</t>
  </si>
  <si>
    <t xml:space="preserve">        CORPORACION CLUB SOCIAL Y DEPORTIVO ECOPETROL   BOGOTA</t>
  </si>
  <si>
    <t xml:space="preserve">        MULTIFAMILIAR JEREZ-PROPIEDAD HORIZONTAL</t>
  </si>
  <si>
    <t xml:space="preserve">        EDICIFIO EVA 108 - PROPIEDAD HORIZONTAL</t>
  </si>
  <si>
    <t xml:space="preserve">        EDIFICIO  MULTIFAMILIAR VERONA - PROPIEDAD HORIZONTAL</t>
  </si>
  <si>
    <t xml:space="preserve">        CONJUNTO RESIDENCIAL EL VERDERON 1LOTE B - PROPIEDAD HORIZONTAL</t>
  </si>
  <si>
    <t xml:space="preserve">        EDIFICIO VITERRA</t>
  </si>
  <si>
    <t xml:space="preserve">        EDIFICIO GUAYAVA</t>
  </si>
  <si>
    <t xml:space="preserve">        EDIFICIO OFICINAS PARQUE 87 - PROPIEDAD HORIZONTAL</t>
  </si>
  <si>
    <t xml:space="preserve">        TERMINAL TERRESTRE DE CARGA DE BOGOTA OIKOS-OK</t>
  </si>
  <si>
    <t xml:space="preserve">        EDIFICIO CABRERA VI SEGUNDA ETAPA PROPIEDAD HORIZONTAL</t>
  </si>
  <si>
    <t xml:space="preserve">        CONJUNTO MULTIFAMILIAR  CRISTALES  WEST  PROPIEDAD  HORIZONTAL</t>
  </si>
  <si>
    <t xml:space="preserve">        EDIFICIO CENTRAL - PROPIEDAD HORIZONT - PROPIEDAD HORIZONTAL</t>
  </si>
  <si>
    <t xml:space="preserve">        HOTELES  DE  VILLASANTOS SOCIEDAD POR ACCIONES SIMPLIFICADA S.A.S.</t>
  </si>
  <si>
    <t xml:space="preserve">        ASOCIACION DE INVERSIONISTAS INMOBILIARIOS S.A.S.</t>
  </si>
  <si>
    <t xml:space="preserve">        EDIFICIO VERDETTO</t>
  </si>
  <si>
    <t xml:space="preserve">        EDIFICIO TESSELLO - PROPIEDAD HORIZONTAL</t>
  </si>
  <si>
    <t xml:space="preserve">        ORGANIZACION SANTAMARIA SAS</t>
  </si>
  <si>
    <t xml:space="preserve">        CONJUNTO RESIDENCIAL TRIBECA 169 ETAPA 1-PROPIEDAD HORIZONTAL</t>
  </si>
  <si>
    <t xml:space="preserve">        EDIFICIO TORRE DE BURGOS - PROPIEDAD HORIZONTAL</t>
  </si>
  <si>
    <t xml:space="preserve">        CONJUNTO RESIDENCIAL MIXTO SENDEROS DEL COUNTRY</t>
  </si>
  <si>
    <t xml:space="preserve">        CONJUNTO CERRADO CALLEJAS TORRES</t>
  </si>
  <si>
    <t xml:space="preserve">        EDIFICIO ALAMEDA DE SAN LUIS - PROPIEDAD HORIZONTAL</t>
  </si>
  <si>
    <t xml:space="preserve">        EDIFICIO MILLENIA PROPIEDAD HORIZONTAL</t>
  </si>
  <si>
    <t xml:space="preserve">        EDIFICIO BAHREIN CONDOMINIO</t>
  </si>
  <si>
    <t xml:space="preserve">        EDIFICIO LADERA</t>
  </si>
  <si>
    <t xml:space="preserve">        MERCADEO Y GESTION INMOBILIARIA S.A.S.</t>
  </si>
  <si>
    <t xml:space="preserve">        EDIFICIO NAZAKU - PROPIEDAD HORIZONTAL</t>
  </si>
  <si>
    <t xml:space="preserve">        EDIFICIO CUMBRES DE LOS ROSALES PROPIEDAD HORIZONTAL</t>
  </si>
  <si>
    <t xml:space="preserve">        CONJUNTO RESIDENCIAL MONTEOLIVETTO PH.</t>
  </si>
  <si>
    <t xml:space="preserve">        EDIFICIO EL CORAL - PROPIEDAD HORIZONTAL</t>
  </si>
  <si>
    <t xml:space="preserve">        EDIFICIO BOREAL PROPIEDAD HORIZONTAL</t>
  </si>
  <si>
    <t xml:space="preserve">GAVIRIA  TABARES  JOHN  JAIRO  </t>
  </si>
  <si>
    <t xml:space="preserve">        EDIFICIO HOME &amp; OFFICE - PROPIEDAD HORIZONTAL</t>
  </si>
  <si>
    <t xml:space="preserve">        PARQUE RESIDENCIAL SAN MIGUEL ARCANGEL</t>
  </si>
  <si>
    <t xml:space="preserve">        PROPIEDAD HORIZONTAL EDIFICIO MULTICENTRO ESTRELLA</t>
  </si>
  <si>
    <t xml:space="preserve">        EDIFICIO BONAVENTTO - PROPIEDAD HORIZONTAL</t>
  </si>
  <si>
    <t xml:space="preserve">        CONJUNTO RESIDENCIAL BOREAL PH.</t>
  </si>
  <si>
    <t xml:space="preserve">        EDIFICIO HABITAT PH</t>
  </si>
  <si>
    <t xml:space="preserve">        CONJUNTO   RESIDENCIAL   CARIBE  PLAZA  2 ETAPA 1</t>
  </si>
  <si>
    <t xml:space="preserve">        EDIFICIO CASTILLA DEL PRADO</t>
  </si>
  <si>
    <t xml:space="preserve">        PROPIEDAD HORIZONTAL UNIDAD MEDICA LAS FLORES</t>
  </si>
  <si>
    <t xml:space="preserve">        OPERADORA SKY S.A.S</t>
  </si>
  <si>
    <t xml:space="preserve">        CONJUNTO RESIDENCIAL EL PEDREGAL  IV - PROPIEDAD HORIZONTAL</t>
  </si>
  <si>
    <t xml:space="preserve">        EDIFICIO MIDTOWN 59 - PROPIEDAD HORIZONTAL</t>
  </si>
  <si>
    <t xml:space="preserve">        EL EDIFICIO TULUM FREEDOM HOMES PROPIEDAD HORIZONTAL</t>
  </si>
  <si>
    <t xml:space="preserve">        EDIFICIO CALLE 94 A - PROPIEDAD HORIZONTAL</t>
  </si>
  <si>
    <t xml:space="preserve">        EDIFICIO PROFESIONALES DE BOLSA - PROPIEDAD HORIZONTAL</t>
  </si>
  <si>
    <t xml:space="preserve">        CONJUNTO RESIDENCIAL MONTECIELO ETAPA 1 - PROPIEDAD HORIZONTAL</t>
  </si>
  <si>
    <t xml:space="preserve">        CONSTRUCTORA C N G  S A S</t>
  </si>
  <si>
    <t xml:space="preserve">        CONDOMINIO PALMAZERA P.H.</t>
  </si>
  <si>
    <t xml:space="preserve">        EDIFICIO CORAL APARTAMENTOS - PROPIEDAD HORIZONTAL</t>
  </si>
  <si>
    <t xml:space="preserve">        EDIFICIO MILANO APARTAMENTOS P.H.</t>
  </si>
  <si>
    <t xml:space="preserve">        EDIFICIO GOLF COUNTRY</t>
  </si>
  <si>
    <t xml:space="preserve">        MULTIFAMILIAR EDIFICIO BILBAO</t>
  </si>
  <si>
    <t xml:space="preserve">        CLINICA ALTOS DE SAN VICENTE S.A.S.</t>
  </si>
  <si>
    <t xml:space="preserve">        EDIFICIO  EDIZIONE 2008  PROPIEDAD HORIZONTAL</t>
  </si>
  <si>
    <t xml:space="preserve">        FUNDACION  FAMILIA  NAZARETH  PARA  LA  EVANGELIZACION  ITINERANTE</t>
  </si>
  <si>
    <t xml:space="preserve">        EDIFICIO PRIMAVERA 41.</t>
  </si>
  <si>
    <t xml:space="preserve">        EDIFICIO  TORRE  PLAZA  54 - PROPIEDAD  HORIZONTAL</t>
  </si>
  <si>
    <t xml:space="preserve">        TERRAZAS DEL CAUDAL</t>
  </si>
  <si>
    <t xml:space="preserve">        ASOCIACION DE COPROPIETARIOS DEL EDIFICIO MAKUIRA</t>
  </si>
  <si>
    <t xml:space="preserve">        EDIFICIO GRAN VITA PROPIEDAD HORIZONTAL</t>
  </si>
  <si>
    <t xml:space="preserve">        CORPORACION UNIVERSITARIA REMINGTON</t>
  </si>
  <si>
    <t xml:space="preserve">        EDIFICIO RESERVA DE COCORA</t>
  </si>
  <si>
    <t xml:space="preserve">        EDIFICIO  GALICIA - PROPIEDAD HORIZONTAL</t>
  </si>
  <si>
    <t xml:space="preserve">        EDIFICIO CAMINOS DEL CERRO PROPIEDAD HORIZONTAL</t>
  </si>
  <si>
    <t xml:space="preserve">        COPROPIEDAD  CONDOMINIO SAN SEBASTIAN</t>
  </si>
  <si>
    <t xml:space="preserve">        CONJUNTO RESIDENCIAL CAMPESTRE REAL I - PROPIEDAD HORIZONTAL</t>
  </si>
  <si>
    <t xml:space="preserve">        MULTIFAMILIAR EDIFICIO BENTHO</t>
  </si>
  <si>
    <t xml:space="preserve">        ALMACENES PARAISO S.A - BIC</t>
  </si>
  <si>
    <t xml:space="preserve">        EDIFICIO PRADOS DEL MUSEO PROPIEDAD HORIZONTAL</t>
  </si>
  <si>
    <t xml:space="preserve">CUELLAR  FORNES  PEDRO  JOSE  </t>
  </si>
  <si>
    <t xml:space="preserve">        EDIFICIO PINAR 83 PROPIEDAD HORIZONTAL</t>
  </si>
  <si>
    <t xml:space="preserve">        ADMINISTRACION INDIELAB P.H. S.A.S.</t>
  </si>
  <si>
    <t xml:space="preserve">        EDIFICIO PORTAL ARCANGEL - PROPIEDAD HORIZONTAL</t>
  </si>
  <si>
    <t xml:space="preserve">        URBANIZACION CELESTE - PROPIEDAD HORIZONTAL</t>
  </si>
  <si>
    <t xml:space="preserve">        EDIFICIO NATUA 110 - PROPIEDAD HORIZONTAL</t>
  </si>
  <si>
    <t xml:space="preserve">        UNIDAD RESIDENCIAL NUEVA GRANADA - PROPIEDAD HORIZONTAL</t>
  </si>
  <si>
    <t xml:space="preserve">        INVERSIONES PROXIMA CENTAURI S.A.S</t>
  </si>
  <si>
    <t xml:space="preserve">        UNIVERSIDAD EL BOSQUE</t>
  </si>
  <si>
    <t xml:space="preserve">        URBAMAR SAS</t>
  </si>
  <si>
    <t xml:space="preserve">        CONJUNTO RESIDENCIAL ANTARES TORRE 1 - PROPIEDAD HORIZONTAL</t>
  </si>
  <si>
    <t xml:space="preserve">        UNIDAD RESIDENCIAL MIRADOR DE LAS FLORES P.H.</t>
  </si>
  <si>
    <t xml:space="preserve">        EDIFICIO TERRAZAS DE PANCE</t>
  </si>
  <si>
    <t xml:space="preserve">        EDIFICIO CARVAJAL-PROPIEDAD HORIZONTAL</t>
  </si>
  <si>
    <t xml:space="preserve">        EDIFICIO MEDICADIZ PROPIEDAD HORIZONTAL</t>
  </si>
  <si>
    <t xml:space="preserve">        SECTOR 2 ETAPA V SUBETAPA 1 CONJUNTO RESIDENCIAL PEDREGAL RESERVADO PROPIEDAD HORIZONTAL</t>
  </si>
  <si>
    <t xml:space="preserve">        COPROPIEDAD EDIFICIO BANCO DE COLOMBIA</t>
  </si>
  <si>
    <t xml:space="preserve">URREA  ARISTIZABAL  JOSE  IVAN  </t>
  </si>
  <si>
    <t xml:space="preserve">        EDIFICIO SALAMANCA</t>
  </si>
  <si>
    <t xml:space="preserve">        EDIFICIO BELAGUA P.H.</t>
  </si>
  <si>
    <t xml:space="preserve">        EDIFICIO MARTINIQUE PROPIEDAD HORIZONTAL</t>
  </si>
  <si>
    <t xml:space="preserve">        "EDIFICIO SAN PIETRO - PROPIEDAD HORIZONTAL"</t>
  </si>
  <si>
    <t xml:space="preserve">        EDIFICIO PASEO DEL PRADO- PROPIEDAD HORIZONTAL</t>
  </si>
  <si>
    <t xml:space="preserve">        SATRIANI - PROPIEDAD HORIZONTAL</t>
  </si>
  <si>
    <t xml:space="preserve">        CAMINOS DEL CERRO P.H.</t>
  </si>
  <si>
    <t xml:space="preserve">        EDIFICIO KALAMARY</t>
  </si>
  <si>
    <t xml:space="preserve">        CONJUNTO RESIDENCIAL RESERVA DE LAS AMERICAS ETAPA 1 PROPIEDAD HORIZONTAL</t>
  </si>
  <si>
    <t xml:space="preserve">        EDIFICIO EDMOND ZACCOUR PROPIEDAD HORIZONTAL</t>
  </si>
  <si>
    <t xml:space="preserve">        EDIFICIO VIOLONCELLO - PROPIEDAD HORIZONTAL.</t>
  </si>
  <si>
    <t xml:space="preserve">        CENTRAL COOPERATIVA DE SERVICIOS FUNERARIOS</t>
  </si>
  <si>
    <t xml:space="preserve">        EDIFICIO SAMAN PROPIEDAD HORIZONTAL</t>
  </si>
  <si>
    <t xml:space="preserve">        BLUECARE SALUD S A S</t>
  </si>
  <si>
    <t xml:space="preserve">        EDIFICIO NABUSIMAKE</t>
  </si>
  <si>
    <t xml:space="preserve">        CONJUNTO RESIDENCIAL TERRAZAS DE SAN FRANCISCO - PROPIEDAD HORIZONTAL</t>
  </si>
  <si>
    <t xml:space="preserve">        CONJUNTO RESIDENCIAL NORMANDIA</t>
  </si>
  <si>
    <t xml:space="preserve">        EDIFICIO EMPORIUM</t>
  </si>
  <si>
    <t xml:space="preserve">        EDIFICIO TRIVENTO</t>
  </si>
  <si>
    <t xml:space="preserve">        DACOTA - PROPIEDAD HORIZONTAL</t>
  </si>
  <si>
    <t xml:space="preserve">        EDIFICIO SAINT PIERRE</t>
  </si>
  <si>
    <t xml:space="preserve">        TERNIUM DEL ATLÁNTICO S.A.S.</t>
  </si>
  <si>
    <t xml:space="preserve">        CONJUNTO RESIDENCIAL LA FLORIDA - PROPIEDAD HORIZONTAL</t>
  </si>
  <si>
    <t xml:space="preserve">CASTILLO  PEREZ  LUIS  EDUARDO  </t>
  </si>
  <si>
    <t xml:space="preserve">        CONJUNTO RESIDENCIAL TORRE DE LA CUESTA PROPIEDAD HORIZONTAL</t>
  </si>
  <si>
    <t xml:space="preserve">        CENTRO COMERCIAL PLAZA CAMPESTRE PRIMERA ETAPA P.H</t>
  </si>
  <si>
    <t xml:space="preserve">        EDIFICIO PALMANOVA - PROPIEDAD HORIZONTAL</t>
  </si>
  <si>
    <t xml:space="preserve">        EDIFICIO MULTIFAMILIAR BOCAMONTE</t>
  </si>
  <si>
    <t xml:space="preserve">        "EDIFICIO VIP PALMAS DE SAN JUDAS - PROPIEDAD  HORIZONTAL "</t>
  </si>
  <si>
    <t xml:space="preserve">        EDIFICIO MULTIFAMILIAR EVA NICOLAS DE FEDERMAN - PROPIEDAD HORIZONTAL</t>
  </si>
  <si>
    <t xml:space="preserve">        EDIFICIO MONTECANELO PROPIEDAD HORIZONTAL</t>
  </si>
  <si>
    <t xml:space="preserve">        EDIFICIO TORRE VALLARTA PROPIEDAD HORIZONTAL</t>
  </si>
  <si>
    <t xml:space="preserve">        EDIFICIO FUENGIROLA P. DE H.</t>
  </si>
  <si>
    <t xml:space="preserve">        JALO HASHTAG 98 S.A.S.</t>
  </si>
  <si>
    <t xml:space="preserve">        CONJUNTO RESIDENCIAL CUATRO VIENTOS - ETAPA I TORRE MISTRAL - PROPIEDAD HORIZONTAL</t>
  </si>
  <si>
    <t xml:space="preserve">        RTS  S A S</t>
  </si>
  <si>
    <t xml:space="preserve">        CONJUNTO CERRADO BILBAO - PROPIEDAD HORIZONTAL</t>
  </si>
  <si>
    <t xml:space="preserve">        EDIFICIO FOREVER W &amp; L - PROPIEDAD HORIZONTAL</t>
  </si>
  <si>
    <t xml:space="preserve">        EDIFICIO TERRAZAS DEL CAUDAL 2</t>
  </si>
  <si>
    <t xml:space="preserve">        FUNDACION OFTALMOLOGICA NACIONAL</t>
  </si>
  <si>
    <t xml:space="preserve">        CONJUNTO RESIDENCIAL PALO DE AGUA - PROPIEDAD HORIZONTAL</t>
  </si>
  <si>
    <t xml:space="preserve">        EDIFICIO SANTAFE MARQUIS - PROPIEDAD HORIZONTAL</t>
  </si>
  <si>
    <t xml:space="preserve">        CONJUNTO RESIDENCIAL HACIENDA CAÑAVERAL DEL ORIENTE - PH.</t>
  </si>
  <si>
    <t xml:space="preserve">        UNIDAD RESIDENCIAL " BOSQUES DE LA CIMARRONA ETAPA 1, BLOQUE 1"</t>
  </si>
  <si>
    <t xml:space="preserve">        EDIFICIO EL TRAGALUZ-PROPIEDAD HORIZONTAL</t>
  </si>
  <si>
    <t xml:space="preserve">        "EDIFICIO "TORRE 40" - PROPIEDAD HORIZONTAL"</t>
  </si>
  <si>
    <t xml:space="preserve">        EDIFICIO VIALE - PROPIEDAD HORIZONTAL</t>
  </si>
  <si>
    <t xml:space="preserve">        CONJUNTO RESIDENCIAL HARVI</t>
  </si>
  <si>
    <t xml:space="preserve">        EDIFICIO MIRADOR DEL MODERNO</t>
  </si>
  <si>
    <t xml:space="preserve">        VIVA 1A IPS S.A.</t>
  </si>
  <si>
    <t xml:space="preserve">        EDIFICIO PREMIUM DE LA AVENIDA PROPIEDAD HORIZONTAL</t>
  </si>
  <si>
    <t xml:space="preserve">        CONDOMINIO SAN SILVESTRE II</t>
  </si>
  <si>
    <t xml:space="preserve">        EDIFICIO PORTAL DEL PARQUE - PROPIEDAD HORIZONTAL</t>
  </si>
  <si>
    <t xml:space="preserve">        CONJUNTO RESIDENCIAL BUGANVILLA 126 TORRE 11 - PROPIEDAD HORIZONTAL</t>
  </si>
  <si>
    <t xml:space="preserve">        COLMEDICA MEDICINA PREPAGADA S A PERO TAMBIEN PODRA UTILIZAR LA DENOMINACIO</t>
  </si>
  <si>
    <t xml:space="preserve">        CONJUNTO RESIDENCIAL MULTICENTRO VALLEDUPAR</t>
  </si>
  <si>
    <t xml:space="preserve">        CONJUNTO RESIDENCIAL ALAMEDA DE SAN DIEGO - PROPIEDAD HORIZONTAL</t>
  </si>
  <si>
    <t xml:space="preserve">        EDIFICIO MAWI - PROPIEDAD HORIZONTAL</t>
  </si>
  <si>
    <t xml:space="preserve">        CONJUNTO RESIDENCIAL VERDEMONTE - PROPIEDAD HORIZONTAL</t>
  </si>
  <si>
    <t xml:space="preserve">        EDIFICIO  MIRADOR DE SANTA COLOMA - PROPIEDAD HORIZONTAL</t>
  </si>
  <si>
    <t xml:space="preserve">        MUNICIPIO DE SAN JOSE DE CUCUTA</t>
  </si>
  <si>
    <t xml:space="preserve">        CONJUNTO RESIDENCIAL MIRADOR DE FARALLONES SUB ETAPA I Y II</t>
  </si>
  <si>
    <t xml:space="preserve">        CONJUNTO RESIDENCIAL BRISAS DEL CARIBE.</t>
  </si>
  <si>
    <t xml:space="preserve">        EDIFICIO ALCAZAR DE LA COLINA PROPIEDAD HORIZONTAL</t>
  </si>
  <si>
    <t xml:space="preserve">        DURDAN CENTRO EMPRESARIAL PROPIEDAD HORIZONTAL</t>
  </si>
  <si>
    <t xml:space="preserve">        EDIFICIO LITANNY</t>
  </si>
  <si>
    <t xml:space="preserve">        EDIFICIO AZUL 1.1 PROPIEDAD HORIZONTAL</t>
  </si>
  <si>
    <t xml:space="preserve">        MULTIFAMILIAR CLASS 24 EDIFICIO - PROPIEDAD HORIZONTAL</t>
  </si>
  <si>
    <t xml:space="preserve">        EDIFICIO TORRES DEL PALMAR</t>
  </si>
  <si>
    <t xml:space="preserve">        EDIFICIO AREZZO 60 PROPIEDAD HORIZONTAL</t>
  </si>
  <si>
    <t xml:space="preserve">        EDIFICIO BALUARTE DEL CARIBE PROPIEDAD HORIZONTAL</t>
  </si>
  <si>
    <t xml:space="preserve">        PERFECT BODY MEDICAL CENTER LTDA</t>
  </si>
  <si>
    <t xml:space="preserve">        UNIDAD RESIDENCIAL CABECERA DEL LLANO</t>
  </si>
  <si>
    <t xml:space="preserve">        EDIFICIO MARASHA - PROPIEDAD HORIZONTAL</t>
  </si>
  <si>
    <t xml:space="preserve">        ROSALES S.A.S</t>
  </si>
  <si>
    <t xml:space="preserve">        CONSTRUCTORA SALTO DE BORDONES S.A.S.</t>
  </si>
  <si>
    <t xml:space="preserve">        CONJUNTO RESIDENCIAL "FLORIDA VERDE" (BLOQUES 1 Y 2) -  P.H.-</t>
  </si>
  <si>
    <t xml:space="preserve">        CONJUNTO RESIDENCIAL PRADERA DE GRANADA II - PROPIEDAD HORIZONTAL</t>
  </si>
  <si>
    <t xml:space="preserve">        ATIKA  APARTAMENTOS</t>
  </si>
  <si>
    <t xml:space="preserve">        CONJUNTO RESIDENCIAL NAVARRA REAL - PROPIEDAD HORIZONTAL</t>
  </si>
  <si>
    <t xml:space="preserve">        EDIFICIO BUENAVISTA CLUB HOUSE</t>
  </si>
  <si>
    <t xml:space="preserve">        CONFESION RELIGIOSA  JUDIA "COMUNIDAD HEBREA SEFARADI DE BOGOTA"</t>
  </si>
  <si>
    <t xml:space="preserve">        EDIFICIO TORRE CERVANTES PROPIEDAD HORIZONTAL</t>
  </si>
  <si>
    <t xml:space="preserve">        EDIFICIO NAVIO TOWER</t>
  </si>
  <si>
    <t xml:space="preserve">        CONJUNTO RESIDENCIAL URBANIZACION ORENSE     P  .  H</t>
  </si>
  <si>
    <t xml:space="preserve">        EDIFICIO MOLINOS DE ARAGON PROPIEDAD HORIZONTAL</t>
  </si>
  <si>
    <t xml:space="preserve">        UNIDAD RESIDENCIAL ENTREVILLAS P.H.</t>
  </si>
  <si>
    <t xml:space="preserve">        AUDIOCOM  SAS</t>
  </si>
  <si>
    <t xml:space="preserve">        EDIFICIO CASTELLANA TOWER 100- PROPIEDAD HORIZONTAL</t>
  </si>
  <si>
    <t xml:space="preserve">        EDIFICIO BASIKA W - PROPIEDAD HORIZONTAL</t>
  </si>
  <si>
    <t xml:space="preserve">        INSTITUTO ROOSEVELT</t>
  </si>
  <si>
    <t xml:space="preserve">        CONJUNTO RESIDENCIAL SIERRAS DEL MORAL MANZANA  III</t>
  </si>
  <si>
    <t xml:space="preserve">        EDIFICIO TOSCANA</t>
  </si>
  <si>
    <t xml:space="preserve">        EDIFICIO MORUS - PROPIEDAD HORIZONTAL</t>
  </si>
  <si>
    <t xml:space="preserve">        TORRES XIAGUA CLUB RESIDENCIAL PROPIEDAD HORIZONTAL</t>
  </si>
  <si>
    <t xml:space="preserve">        EDIFICIO LIFE 125 - PROPIEDAD HORIZONTAL</t>
  </si>
  <si>
    <t xml:space="preserve">        CONJUNTO RESIDENCIAL BALCONES DE GRANADA VI - PROPIEDAD HORIZONTAL</t>
  </si>
  <si>
    <t xml:space="preserve">        EDIFICIO VICTORIA PLAZA</t>
  </si>
  <si>
    <t xml:space="preserve">        EDIFICIO PIAMONTE PROPIEDAD HORIZONTAL</t>
  </si>
  <si>
    <t xml:space="preserve">        EDIFICIO CENTRALLE  - PROPIEDAD HORIZONTAL</t>
  </si>
  <si>
    <t xml:space="preserve">        ABELARDOYEPES S.A.S.</t>
  </si>
  <si>
    <t xml:space="preserve">        DIRECCION SECCIONAL DE ADMINISTRACION JUDICIAL DE ARMENIA QUINDIO</t>
  </si>
  <si>
    <t xml:space="preserve">        EDIFICIO TORRES DE BARCELONA - PROPIEDAD HORIZONTAL</t>
  </si>
  <si>
    <t xml:space="preserve">        EDIFICIO MILA PROPIEDAD HORIZONTAL</t>
  </si>
  <si>
    <t xml:space="preserve">        CONJUNTO CERRADO "CONDADO DEL ESTE -PROPIEDAD HORIZONTAL"</t>
  </si>
  <si>
    <t xml:space="preserve">        EDIFICIO IGUAZU PROPIEDAD HORIZONTAL</t>
  </si>
  <si>
    <t xml:space="preserve">        EDIFICIO KINGS COURT</t>
  </si>
  <si>
    <t xml:space="preserve">        EDIFICIO MIRADOR DEL CASTILLO- PROPIEDAD HORIZONTAL</t>
  </si>
  <si>
    <t xml:space="preserve">        CONJUNTO RESIDENCIAL COLINA RUITOQUE PH</t>
  </si>
  <si>
    <t xml:space="preserve">        CONJUNTO RESIDENCIAL BELLOMONTE I ETAPA - PROPIEDAD HORIZONTAL</t>
  </si>
  <si>
    <t xml:space="preserve">        CONJUNTO RESIDENCIAL OASIS DE CRISTALES  - PROPIEDAD HORIZONTAL</t>
  </si>
  <si>
    <t xml:space="preserve">        FOX HOTELES  S.A.S.</t>
  </si>
  <si>
    <t xml:space="preserve">        CONSORCIO CONSERVACION COSTERA</t>
  </si>
  <si>
    <t xml:space="preserve">        CONDOMINIO AGUAMARINA P.H.</t>
  </si>
  <si>
    <t xml:space="preserve">        EDIFICIO AZAHAR - PROPIEDAD HORIZONTAL</t>
  </si>
  <si>
    <t xml:space="preserve">        EDIFICIO CLINICA VASCULAR NAVARRA - PROPIEDAD HORIZONTAL</t>
  </si>
  <si>
    <t xml:space="preserve">        EDIFICIO ALTO DE LA SIERRA PROPIEDAD HORIZONTAL</t>
  </si>
  <si>
    <t xml:space="preserve">        EDIFICIO CENTRO VERSALLES PROPIEDAD HORIZONTAL</t>
  </si>
  <si>
    <t xml:space="preserve">        CONJUNTO RESIDENCIAL RIVOLI 27 O 41</t>
  </si>
  <si>
    <t xml:space="preserve">        CONJUNTO RESIDENCIAL Y COMERCIAL CAÑADULCE- PROPIEDAD HORIZONTAL</t>
  </si>
  <si>
    <t xml:space="preserve">        EDIFICIO VICENZA SAN CAYETANO PARQUE RESIDENCIAL - PROPIEDAD HORIZONTAL</t>
  </si>
  <si>
    <t xml:space="preserve">        EDIFICIO GAETANO - PROPIEDAD HORIZONTAL</t>
  </si>
  <si>
    <t xml:space="preserve">        EDIFICIO CEIBA BLANCA - PROPIEDAD HORIZONTAL</t>
  </si>
  <si>
    <t xml:space="preserve">        REDCOL HOLDING S.A.S.</t>
  </si>
  <si>
    <t xml:space="preserve">        URBANIZACIÓN LEGADO P.H.</t>
  </si>
  <si>
    <t xml:space="preserve">        EDIFICIO VILANOVA SUR P.H.</t>
  </si>
  <si>
    <t xml:space="preserve">        EDIFICIO ALAMEDA DEL RIO P.H</t>
  </si>
  <si>
    <t xml:space="preserve">        CONJUNTO RESIDENCIAL  PROYECTO TINAMU -PROPIEDAD HORIZONTAL-</t>
  </si>
  <si>
    <t xml:space="preserve">        EDIFICIO DC - PROPIEDAD HORIZONTAL</t>
  </si>
  <si>
    <t xml:space="preserve">        CONJUNTO RESIDENCIA ALTOS DE TATIKA "TATIKA"  P.H.</t>
  </si>
  <si>
    <t xml:space="preserve">        EDIFICIO TARENTO - PROPIEDAD HORIZONTAL</t>
  </si>
  <si>
    <t xml:space="preserve">        CONJUNTO RESIDENCIAL PRADERA DE GRANADA I - PROPIEDAD HORIZONTAL</t>
  </si>
  <si>
    <t xml:space="preserve">        CONJUNTO RESIDENCIAL REFUGIO DE LOS SAMANES - PROPIEDAD HORIZONTAL</t>
  </si>
  <si>
    <t xml:space="preserve">        EDIFICIO AZAHARES - PROPIEDAD HORIZONTAL</t>
  </si>
  <si>
    <t xml:space="preserve">        EDIFICIO TORRE EPIC PINARES - PROPIEDAD HORIZONTAL</t>
  </si>
  <si>
    <t xml:space="preserve">        EDIFICIO CASTILLO DEL MAR P H</t>
  </si>
  <si>
    <t xml:space="preserve">        EDIFICIO ANSES I - PROPIEDAD HORIZONTAL</t>
  </si>
  <si>
    <t xml:space="preserve">        EDIFICIO URBINO PROPIEDAD HORIZONTAL</t>
  </si>
  <si>
    <t xml:space="preserve">        EDIFICIO SKY PARK - PROPIEDAD HORIZONTAL</t>
  </si>
  <si>
    <t xml:space="preserve">        EDIFICIO BARCA 82 PLAZA - PROPIEDAD HORIZONTAL</t>
  </si>
  <si>
    <t xml:space="preserve">        CONJUNTO RESIDENCIAL LAGOS DEL SUR P.H.</t>
  </si>
  <si>
    <t xml:space="preserve">        CLINICA DE LA MUJER S.A.S.</t>
  </si>
  <si>
    <t xml:space="preserve">        EDIFICIO LA QUINTA-PROPIEDAD HORIZONTAL</t>
  </si>
  <si>
    <t xml:space="preserve">        CONJUNTO RESIDENCIAL STEEL 22 - PROPIEDAD HORIZONTAL</t>
  </si>
  <si>
    <t xml:space="preserve">        CONJUNTO RESIDENCIAL PRANA P.H</t>
  </si>
  <si>
    <t xml:space="preserve">        "ITAGÜÍ PLAZA CENTRO COMERCIAL P.H"</t>
  </si>
  <si>
    <t xml:space="preserve">        CONJUNTO RESIDENCIAL BOSQUES DE LA SIERRA PROPIEDAD HORIZONTAL</t>
  </si>
  <si>
    <t xml:space="preserve">        EDIFICIO TORRELAVEGA P.H.</t>
  </si>
  <si>
    <t xml:space="preserve">        EDIFICIO TORRE VIVA 26- PROPIEDAD HORIZONTAL</t>
  </si>
  <si>
    <t xml:space="preserve">        EDIFICIO BALCONI 90- PROPIEDAD HORIZONTAL.</t>
  </si>
  <si>
    <t xml:space="preserve">        UNIDAD RESIDENCIAL CRISTALES DE ZUÑIGA P.H.</t>
  </si>
  <si>
    <t xml:space="preserve">        CONJUNTO RESIDENCIAL ALTOS DE TAJAMAR</t>
  </si>
  <si>
    <t xml:space="preserve">        EDIFICIO MULTIFAMILIAR RINCON DE SAN PATRICIO - PROPIEDAD HORIZONTAL</t>
  </si>
  <si>
    <t xml:space="preserve">        CONSORCIO PAN DE AZUCAR</t>
  </si>
  <si>
    <t xml:space="preserve">        EDIFICIO TORRE OLIO</t>
  </si>
  <si>
    <t xml:space="preserve">        EDIFICIO PASEO DEL CHICO PROPIEDAD HORIZONTAL</t>
  </si>
  <si>
    <t xml:space="preserve">        EDIFICIO SAN GIORGIO  1  P.H.</t>
  </si>
  <si>
    <t xml:space="preserve">        EDIFICIO   MOSAIC   TOWER   PROPIEDAD   HORIZONTAL</t>
  </si>
  <si>
    <t xml:space="preserve">        CONJUNTO RESIDENCIAL COLINA DEL VIENTO - PROPIEDAD HORIZONTAL</t>
  </si>
  <si>
    <t xml:space="preserve">        EDIFICIO VIVE 92.CO - PROPIEDAD HORIZONTAL</t>
  </si>
  <si>
    <t xml:space="preserve">        EDIFICIO CASA DUQUE</t>
  </si>
  <si>
    <t xml:space="preserve">        EDIFICIO BARUC 95</t>
  </si>
  <si>
    <t xml:space="preserve">        EDIFICIO SEPTIMO ARTE - PROPIEDAD HORIZONTAL</t>
  </si>
  <si>
    <t xml:space="preserve">        ALIANZA DIAGNOSTICA S.A.</t>
  </si>
  <si>
    <t xml:space="preserve">        EDIFICIO SANTA KTALINA -  PROPIEDAD HORIZONTAL</t>
  </si>
  <si>
    <t xml:space="preserve">        CONJUNTO RESIDENCIAL ARAGÓN - PROPIEDAD HORIZONTAL</t>
  </si>
  <si>
    <t xml:space="preserve">        EDIFICIO  MULTIFAMILIAR  ZAPHIRO</t>
  </si>
  <si>
    <t xml:space="preserve">        EDIFICIO PAYANDE - PROPIEDAD HORIZONTAL</t>
  </si>
  <si>
    <t xml:space="preserve">        EDIFICIO COROZO</t>
  </si>
  <si>
    <t xml:space="preserve">        EDIFICIO PRADELLO PROPIEDAD HORIZONTAL</t>
  </si>
  <si>
    <t xml:space="preserve">        INVERSIONES SALMERO S.A.S.</t>
  </si>
  <si>
    <t xml:space="preserve">        MEINTEGRAL SAS</t>
  </si>
  <si>
    <t xml:space="preserve">        SERRAT MULTIFAMILIAR - PROPIEDAD HORIZONTAL</t>
  </si>
  <si>
    <t xml:space="preserve">        CONJUNTO MULTIFAMILIAR  COLINAS DE MONTEBELLO</t>
  </si>
  <si>
    <t xml:space="preserve">        EDIFICIO FLORIDA PLAZA PH</t>
  </si>
  <si>
    <t xml:space="preserve">        EDIFICIO SAN RAFAEL CONJUNTO RESIDENCIAL - PROPIEDAD HORIZONTAL</t>
  </si>
  <si>
    <t xml:space="preserve">        CONJUNTO RESIDENCIAL FRAYLE</t>
  </si>
  <si>
    <t xml:space="preserve">        EDIFICIO BUSINESS CENTER NOVANTATRE PROPIEDAD HORIZONTAL</t>
  </si>
  <si>
    <t xml:space="preserve">        EDIFICIO JORDAN DE SAJONIA</t>
  </si>
  <si>
    <t xml:space="preserve">        EDIFICIO MACER</t>
  </si>
  <si>
    <t xml:space="preserve">        EDIFICIO LOS CIPRESES</t>
  </si>
  <si>
    <t xml:space="preserve">        EDIFICIO ZENTRAL 51 - PROPIEDAD HORIZONTAL</t>
  </si>
  <si>
    <t xml:space="preserve">        EDIFICIO ALTEA CLUB HOUSE</t>
  </si>
  <si>
    <t xml:space="preserve">        EDIFICIO NUEVA ORQUÍDEA P.H.</t>
  </si>
  <si>
    <t xml:space="preserve">        EDIFICIO TORRE NISA CENTRO</t>
  </si>
  <si>
    <t xml:space="preserve">        EL TEMPLO DE LA MODA  S.A.S.</t>
  </si>
  <si>
    <t xml:space="preserve">        EDIFICIO MULTIFAMILIAR SAN FERNANDO DEL TABOR</t>
  </si>
  <si>
    <t xml:space="preserve">        COPROPIEDAD EDIFICIO BAHIA BOLIVAR</t>
  </si>
  <si>
    <t xml:space="preserve">        PROYECTO C26 APARTAMENTOS P.H</t>
  </si>
  <si>
    <t xml:space="preserve">        EDIFICIO KUBIK 68 - PROPIEDAD HORIZONTAL</t>
  </si>
  <si>
    <t xml:space="preserve">        HOTELES DE LUJO S.A.S</t>
  </si>
  <si>
    <t xml:space="preserve">        "EDIFICIO PARQUE KRABI" - PROPIEDAD HORIZONTAL</t>
  </si>
  <si>
    <t xml:space="preserve">        EDIFICIO VERSALLES</t>
  </si>
  <si>
    <t xml:space="preserve">        EDIFICIO CHICO VILLAGE- PROPIEDAD HORIZONTAL</t>
  </si>
  <si>
    <t xml:space="preserve">        EDIFICIO IOS PROPIEDAD HORIZONTAL</t>
  </si>
  <si>
    <t xml:space="preserve">        EDIFICIO MULTIFAMILIAR PLAZA CORALES PROPIEDAD HORIZONTAL</t>
  </si>
  <si>
    <t xml:space="preserve">        CONJUNTO RESIDENCIAL KLIMT - PROPIEDAD HORIZONTAL</t>
  </si>
  <si>
    <t xml:space="preserve">        EDIFICIO MASOA</t>
  </si>
  <si>
    <t xml:space="preserve">        OZ MEDICAL SAS</t>
  </si>
  <si>
    <t xml:space="preserve">        EDIFICIO ROYAL 94 - PROPIEDAD HORIZONTAL</t>
  </si>
  <si>
    <t xml:space="preserve">        CONJUNTO CERRADO MULTIFAMILIAR MORATTO PROPIEDAD HORIZONTAL</t>
  </si>
  <si>
    <t xml:space="preserve">        BANCO DAVIVIENDA S.A.</t>
  </si>
  <si>
    <t xml:space="preserve">        CONJUNTO RESIDENCIAL GUADALQUIVIR - PROPIEDAD HORIZONTAL</t>
  </si>
  <si>
    <t xml:space="preserve">        "EDIFICIO DE USO MIXTO PORTAL DE SAN IGNACIO  - PROPIEDAD HORIZONTAL "</t>
  </si>
  <si>
    <t xml:space="preserve">        CONJUNTO CERRADO MIRADOR DE SAN CANCIO - PROPIEDAD HORIZONTAL</t>
  </si>
  <si>
    <t xml:space="preserve">        AGRUPACION RESIDENCIAL EDIFICIO ONIX, PROPIEDAD HORIZONTAL</t>
  </si>
  <si>
    <t xml:space="preserve">        EDIFICIO ALBORADA 140 - PROPIEDAD HORIZONTAL</t>
  </si>
  <si>
    <t xml:space="preserve">        CONJUNTO CERRADO GUADUALES DE LA LIBIA</t>
  </si>
  <si>
    <t xml:space="preserve">        EDIFICO 94-44 - PROPIEDAD HORIZONTAL</t>
  </si>
  <si>
    <t xml:space="preserve">        OFICHIA P.H.</t>
  </si>
  <si>
    <t xml:space="preserve">        EDIFICIO  MANHATTAN  CENTER PROPIEDAD HORIZONTAL</t>
  </si>
  <si>
    <t xml:space="preserve">        CONJUNTO RESIDENCIAL ESCARLATA P.H</t>
  </si>
  <si>
    <t xml:space="preserve">        CONJUNTO RESIDENCIAL RESERVA DE GRANADA II - PROPIEDAD HORIZONTAL</t>
  </si>
  <si>
    <t xml:space="preserve">        FUNDACION SANTA FE DE BOGOTA</t>
  </si>
  <si>
    <t xml:space="preserve">        EDIFICIO PALMETO INN</t>
  </si>
  <si>
    <t xml:space="preserve">        CONJUNTO RESIDENCIAL Y COMERCIAL RIVIERA PLAZA</t>
  </si>
  <si>
    <t xml:space="preserve">        SITES GROUP    S.A.S</t>
  </si>
  <si>
    <t xml:space="preserve">        BIENES Y NEGOCIOS ESTRATEGICOS S.A.S.</t>
  </si>
  <si>
    <t xml:space="preserve">        EDIFICIO MONTEFERRATO - PROPIEDAD HORIZONTAL</t>
  </si>
  <si>
    <t xml:space="preserve">        EDIFICIO OASIS DEL MUSEO</t>
  </si>
  <si>
    <t xml:space="preserve">        EDIFICIO ALCAZAR DEL RIO II - PROPIEDAD HORIZONTAL</t>
  </si>
  <si>
    <t xml:space="preserve">        CHN OPERATIVE S.A.S.</t>
  </si>
  <si>
    <t xml:space="preserve">        EDIFICIO TORRE  DE LA CABRERA PROPIEDAD HORIZONTAL</t>
  </si>
  <si>
    <t xml:space="preserve">        EDIFICIO  COMERCIAL SEGUROS ATLAS</t>
  </si>
  <si>
    <t xml:space="preserve">        BELA VISTA CIUDAD NATURAL S.A.S</t>
  </si>
  <si>
    <t xml:space="preserve">        EDIFICIO SAN JOSE DE LA AURORA</t>
  </si>
  <si>
    <t xml:space="preserve">        EDIFICIO VALDEMAR  PORTAL DE SANTA BARBARA - PROPIEDAD HORIZONTAL</t>
  </si>
  <si>
    <t xml:space="preserve">        EDIFICIO BAU 127 - PROPIEDAD HORIZONTAL</t>
  </si>
  <si>
    <t xml:space="preserve">        EDIFICIO BUGANVILLA 123 TORRE 7 - PROPIEDAD HORIZONTAL</t>
  </si>
  <si>
    <t xml:space="preserve">        EDIFICIO PIANO - PROPIEDAD HORIZONTAL</t>
  </si>
  <si>
    <t xml:space="preserve">        EDIFICIO BAHIA COUNTRY</t>
  </si>
  <si>
    <t xml:space="preserve">        CENTRO COMERCIAL Y RESIDENCIAL EL BOSQUE</t>
  </si>
  <si>
    <t xml:space="preserve">        "EDIFICIO MANANTIAL - PROPIEDAD HORIZONTAL"</t>
  </si>
  <si>
    <t xml:space="preserve">        AVENTURA PLAZA S.A.S</t>
  </si>
  <si>
    <t xml:space="preserve">        EDIFICIO TRAMONTANA PROPIEDAD HORIZONTAL</t>
  </si>
  <si>
    <t xml:space="preserve">        CONSTRUCTORA MONSERRATE DE COLOMBIA S.A.S</t>
  </si>
  <si>
    <t xml:space="preserve">        EDIFICIO EL PORTAL DE SANTANA PROPIEDAD HORIZONTAL</t>
  </si>
  <si>
    <t xml:space="preserve">        EDIFICIO KEA - PROPIEDAD HORIZONTAL</t>
  </si>
  <si>
    <t xml:space="preserve">        EDIFICIO PALO ALTO PROPIEDAD HORIZONTAL</t>
  </si>
  <si>
    <t xml:space="preserve">        EDIFICIO BALCONES DEL CEDRO II - PROPIEDAD HORIZONTAL</t>
  </si>
  <si>
    <t xml:space="preserve">        CONTROLES EMPRESARIALES S A S</t>
  </si>
  <si>
    <t xml:space="preserve">        EDIFICIO MULTIFAMILIAR VILLA REAL</t>
  </si>
  <si>
    <t xml:space="preserve">        EDIFICIO BELMONTE IV PROPIEDAD HORIZONTAL</t>
  </si>
  <si>
    <t xml:space="preserve">        CONJUNTO RESIDENCIAL LA CEIBA CONDOMINIO CLUB</t>
  </si>
  <si>
    <t xml:space="preserve">        SOCIEDAD HOTELERA DOSCIENTOS AÑOS SAS</t>
  </si>
  <si>
    <t xml:space="preserve">        CONJUNTO CERRADO TORRES DE SANTA INES</t>
  </si>
  <si>
    <t xml:space="preserve">        EDIFICIO SUNSET VIEW</t>
  </si>
  <si>
    <t xml:space="preserve">        EDIFICIO 88-17</t>
  </si>
  <si>
    <t xml:space="preserve">        EDIFICIO THE POINT</t>
  </si>
  <si>
    <t xml:space="preserve">        EDIFICIO RESERVA DE COLINA - PROPIEDAD HORIZONTAL</t>
  </si>
  <si>
    <t xml:space="preserve">        CONJUNTO RESIDENCIAL RINCON DE LA COLINA - PROPIEDAD HORIZONTAL</t>
  </si>
  <si>
    <t xml:space="preserve">        EDIFICIO MONTECARLO</t>
  </si>
  <si>
    <t xml:space="preserve">        EDIFICIO CALLE 86 PROPIEDAD HORIZONTAL</t>
  </si>
  <si>
    <t xml:space="preserve">        CONJUNTO INMOBILIARIO PORTON  DEL RETIRO P.H.</t>
  </si>
  <si>
    <t xml:space="preserve">        UNIVERSIDAD DE CARTAGENA</t>
  </si>
  <si>
    <t xml:space="preserve">        EDIFICIO OFICENTER 96 PROPIEDAD HORIZONTAL</t>
  </si>
  <si>
    <t xml:space="preserve">        CONJUNTO RESIDENCIAL RESERVA DE AVICHENTE</t>
  </si>
  <si>
    <t xml:space="preserve">        EDIFICIO BALTIMORE</t>
  </si>
  <si>
    <t xml:space="preserve">        EDIFICIO PORTACHUELO - PROPIEDAD HORIZONTAL</t>
  </si>
  <si>
    <t xml:space="preserve">        EDIFICIO  ANCORA</t>
  </si>
  <si>
    <t xml:space="preserve">        EDIFICIO PALMETTO PARK 123 - PROPIEDAD HORIZONTAL</t>
  </si>
  <si>
    <t xml:space="preserve">        "EDIFICIOS DE APARTAESTUDIOS KARMEL" - PROPIEDAD HORIZONTAL</t>
  </si>
  <si>
    <t xml:space="preserve">        EDIFICIO ZAFIRO P.H.</t>
  </si>
  <si>
    <t xml:space="preserve">        CAPITAL STATE SAS</t>
  </si>
  <si>
    <t xml:space="preserve">        VALVENTUS CONDOMINIO CLUB PROPIEDAD HORIZONTAL ETAPA 1 TORRE 1 ETAPA 2 TORRE 2</t>
  </si>
  <si>
    <t xml:space="preserve">        EDIFICIO LIGHT TOWER</t>
  </si>
  <si>
    <t xml:space="preserve">        EDIFICIO APOSENTOS PROPIEDAD HORIZONTAL</t>
  </si>
  <si>
    <t xml:space="preserve">        EDIFICIO ALTOS DE BELMIRA - PROPIEDAD HORIZONTAL</t>
  </si>
  <si>
    <t xml:space="preserve">        EDIFICIO VANGUARDIA 94 - PROPIEDAD HORIZONTAL</t>
  </si>
  <si>
    <t xml:space="preserve">        EDIFICIO KUBIK 54 - PROPIEDAD HORIZONTAL</t>
  </si>
  <si>
    <t xml:space="preserve">        CENTRO COMERCIAL MANHATTAN P H</t>
  </si>
  <si>
    <t xml:space="preserve">        CONJUNTO RESIDENCIAL LA SIERRA - PROPIEDAD HORIZONTAL</t>
  </si>
  <si>
    <t xml:space="preserve">        EDIFICIO GRAN RESERVA HACIENDA SANTA INES</t>
  </si>
  <si>
    <t xml:space="preserve">        CONJUNTO RESIDENCIAL LILI CAMPESTRE I ETAPA Y II ETAPA</t>
  </si>
  <si>
    <t xml:space="preserve">        EDIFICIO PORLAMAR</t>
  </si>
  <si>
    <t xml:space="preserve">        EDIFICIO TORRE DE SAN JOSE - PROPIEDAD HORIZONTAL</t>
  </si>
  <si>
    <t xml:space="preserve">        EDIFICIO "VILLA LUNA" PROPIEDAD HORIZONTAL</t>
  </si>
  <si>
    <t xml:space="preserve">        COOPERATIVA DEL MAGISTERIO</t>
  </si>
  <si>
    <t xml:space="preserve">        " EDIFICO NORDIKA" PROPIEDAD - HORIZONTAL</t>
  </si>
  <si>
    <t xml:space="preserve">        TORRE EMPRESARIAL TERPEL</t>
  </si>
  <si>
    <t xml:space="preserve">        EDIFICIO TWINS VILLAGE PROPIEDAD HORIZONTAL</t>
  </si>
  <si>
    <t xml:space="preserve">        EDIFICIO ANDES CENTER - PROPIEDAD HORIZONTAL</t>
  </si>
  <si>
    <t xml:space="preserve">        EDIFICIO DE USO RESIDENCIAL JARDIN DE SANTANA.</t>
  </si>
  <si>
    <t xml:space="preserve">        KENZO JEANS S.A.S</t>
  </si>
  <si>
    <t xml:space="preserve">        PACTIA S.A.S.</t>
  </si>
  <si>
    <t xml:space="preserve">        CONJUNTO RESIDENCIAL VILLA ROMA</t>
  </si>
  <si>
    <t xml:space="preserve">        CLINICA UROS S.A. S</t>
  </si>
  <si>
    <t xml:space="preserve">        URBANIZACION TERRAVERDE - PROPIEDAD HORIZONTAL</t>
  </si>
  <si>
    <t xml:space="preserve">        URBANIZACION MIRAMONTE P.H.</t>
  </si>
  <si>
    <t xml:space="preserve">        CONJUNTO RESIDENCIAL TORREMOLINOS</t>
  </si>
  <si>
    <t xml:space="preserve">        EDIFICIO BAHIA DE CADIZ</t>
  </si>
  <si>
    <t xml:space="preserve">        MULTIFAMILIAR NAXOS-PROPIEDAD HORIZONTAL</t>
  </si>
  <si>
    <t xml:space="preserve">        EDIFICIO MUZO APARTAMENTOS P.H.</t>
  </si>
  <si>
    <t xml:space="preserve">        EDIFICIO ASIS</t>
  </si>
  <si>
    <t xml:space="preserve">        EDIFICIO ALPHA</t>
  </si>
  <si>
    <t xml:space="preserve">        EDIFICIO MONTICCINO - PROPIEDAD HORIZONTAL</t>
  </si>
  <si>
    <t xml:space="preserve">        CONJUNTO RESIDENCIAL CANDELARIA REAL</t>
  </si>
  <si>
    <t xml:space="preserve">        UNIDAD RESIDENCIAL EDIFICIO SEQUOHIA - PROPIEDAD HORIZONTAL</t>
  </si>
  <si>
    <t xml:space="preserve">        EDIFICIO ROSALES 76 - PROPIEDAD HORIZONTAL</t>
  </si>
  <si>
    <t xml:space="preserve">        COMERCIALIZADORA CENTER S.A.S.</t>
  </si>
  <si>
    <t xml:space="preserve">        "EDIFICIO NUEVO ORIENTE - PROPIEDAD HORIZONTAL"</t>
  </si>
  <si>
    <t xml:space="preserve">        EDIFICIO ARBOLEDA DE LA ESTRELLA P.H.</t>
  </si>
  <si>
    <t xml:space="preserve">        CONJUNTO RESIDENCIAL TERRARIUM - PROPIEDAD HORIZONTAL</t>
  </si>
  <si>
    <t xml:space="preserve">        EDIFICIO BOSQUE DEL COUNTRY PROPIEDAD HORIZONTAL</t>
  </si>
  <si>
    <t xml:space="preserve">        EDIFICIO TULIPANES</t>
  </si>
  <si>
    <t xml:space="preserve">        INVERSIONES Y PROYECTOS L&amp;S S.A.S.</t>
  </si>
  <si>
    <t xml:space="preserve">        HOTEL VIVRE S.A.S</t>
  </si>
  <si>
    <t xml:space="preserve">        EDIFICIO MOSAICO - PROPIEDAD HORIZONTAL</t>
  </si>
  <si>
    <t xml:space="preserve">        CONJUNTO RESIDENCIAL TORRES PORTAL DEL PARQUE PH</t>
  </si>
  <si>
    <t xml:space="preserve">OSORIO  RAMIREZ  ROBERTO  WBEIMAR  </t>
  </si>
  <si>
    <t xml:space="preserve">        EDIFICIO GALLERY</t>
  </si>
  <si>
    <t xml:space="preserve">        EDIFICIO CONDOMINIO ISABELLA-PROPIEDAD HORIZONTAL</t>
  </si>
  <si>
    <t xml:space="preserve">        EDIFICIO PALMAVELA</t>
  </si>
  <si>
    <t xml:space="preserve">        EDIFICIO  PARQUE  CARMEL  105  - PROPIEDAD HORIZONTAL</t>
  </si>
  <si>
    <t xml:space="preserve">        EDIFICIO  BUGANVILLA TORRE  8  -  PROPIEDAD  HORIZONTAL</t>
  </si>
  <si>
    <t xml:space="preserve">        EDIFICIO BELMONTE</t>
  </si>
  <si>
    <t xml:space="preserve">        EDIFICIO BAKARY</t>
  </si>
  <si>
    <t xml:space="preserve">        EDIFICIO E.H.Q. LOS PIMIENTOS PROPIEDAD HORIZONTAL</t>
  </si>
  <si>
    <t xml:space="preserve">        EDIFICIO POTOMAC</t>
  </si>
  <si>
    <t xml:space="preserve">        LOS EUCALIPTOS - PROPIEDAD HORIZONTAL</t>
  </si>
  <si>
    <t xml:space="preserve">        EDIFICIO RESIDENCIAL MIRADOR DE LAS VEGAS P.H.</t>
  </si>
  <si>
    <t xml:space="preserve">        CORPHOTELES LTDA</t>
  </si>
  <si>
    <t xml:space="preserve">        EDIFICIO BUGANVILLA 126 TORRE 13 - PROPIEDAD HORIZONTAL</t>
  </si>
  <si>
    <t xml:space="preserve">        CONJUNTO RESIDENCIAL CAMAGUA APARTAMENTOS P.H</t>
  </si>
  <si>
    <t xml:space="preserve">        EDIFICIO ARBORETTO CONDOMINIO</t>
  </si>
  <si>
    <t xml:space="preserve">        CONJUNTO RESIDENCIAL MID TOWN PROPIEDAD HORIZONTAL</t>
  </si>
  <si>
    <t xml:space="preserve">        DOMUS 94 A - PROPIEDAD HORIZONTAL</t>
  </si>
  <si>
    <t xml:space="preserve">        EDIFICIO VANGUARDIA 101 - PROPIEDAD HORIZONTAL</t>
  </si>
  <si>
    <t xml:space="preserve">        EDIFICIO DAVINCI 101 - PROPIEDAD HORIZONTAL</t>
  </si>
  <si>
    <t xml:space="preserve">        CONJUNTO RESIDENCIAL TORRES DE VERONA</t>
  </si>
  <si>
    <t xml:space="preserve">        CAMARA DE COMERCIO  ABURRA SUR</t>
  </si>
  <si>
    <t xml:space="preserve">        EDIFICIO VERSALLES IMPERIAL</t>
  </si>
  <si>
    <t xml:space="preserve">        CONJUNTO RESIDENCIAL MARDEL SOTOMAYOR</t>
  </si>
  <si>
    <t xml:space="preserve">        EDIFICIO ALTO PALERMO- PROPIEDAD HORIZONTAL</t>
  </si>
  <si>
    <t xml:space="preserve">        EDIFICIO AQUARIUM  PROPIEDAD HORIZONTAL</t>
  </si>
  <si>
    <t xml:space="preserve">        URBANIZACION ROSEDAL LOMA DE LAS BRUJAS-TORRE 1 P.H</t>
  </si>
  <si>
    <t xml:space="preserve">        EDIFICIO TORRE EPIC</t>
  </si>
  <si>
    <t xml:space="preserve">        EDIFICIO INTERNATIONAL TOWER PROPIEDAD HORIZONTAL</t>
  </si>
  <si>
    <t xml:space="preserve">        EDIFICIO AZALEA DEL RIO PROPIEDAD HORIZONTAL</t>
  </si>
  <si>
    <t xml:space="preserve">        EDIFICIO UMBRALES DE BOSTON P-H</t>
  </si>
  <si>
    <t xml:space="preserve">        EDIFICIO FORTALEZA REAL PROPIEDAD HORIZONTAL</t>
  </si>
  <si>
    <t xml:space="preserve">        EDIFICIO MONTEROSA - PROPIEDAD HORIZONTAL</t>
  </si>
  <si>
    <t xml:space="preserve">        EDIFICIO FAVUIS K-27</t>
  </si>
  <si>
    <t xml:space="preserve">        GRUPO HABITACIONAL EDIFICIO BLUE TOWER Y ADMINISTRADOR</t>
  </si>
  <si>
    <t xml:space="preserve">        CONJUNTO RESIDENCIAL CARRARA</t>
  </si>
  <si>
    <t xml:space="preserve">        EDIFICIO MONTE RIO PROPIEDAD HORIZONTAL</t>
  </si>
  <si>
    <t xml:space="preserve">        "CENTRO COMERCIAL LA CENTRAL-PROPIEDAD HORIZONTAL"</t>
  </si>
  <si>
    <t xml:space="preserve">        EDIFICIO CENTRO EJECUTIVO PROPIEDAD HORIZONTAL</t>
  </si>
  <si>
    <t xml:space="preserve">        EDIFICIO  TORRE  PORTAL PROPIEDAD HORIZONTAL</t>
  </si>
  <si>
    <t xml:space="preserve">        "CONJUNTO RESIDENCIAL GUAYACANES DE SAN DIEGO-PROPIEDAD HORIZONTAL"</t>
  </si>
  <si>
    <t xml:space="preserve">        GERENCIANDO ESPACIOS SAS</t>
  </si>
  <si>
    <t xml:space="preserve">        CONJUNTO RESIDENCIAL ATALAIA - PROPIEDAD HORIZONTAL</t>
  </si>
  <si>
    <t xml:space="preserve">        TIERRA GRATA &amp; CO. S.A.S</t>
  </si>
  <si>
    <t xml:space="preserve">        CONJUNTO RESIDENCIAL PIEDEMONTE - PROPIEDAD HORIZONTAL</t>
  </si>
  <si>
    <t xml:space="preserve">        EDIFICIO QUINTA AVENIDA PROPIEDAD HORIZONTAL</t>
  </si>
  <si>
    <t xml:space="preserve">        EDIFICIO MEGATOWER CONJUNTO EMPRESARIAL - PROPIEDAD HORIZONTAL</t>
  </si>
  <si>
    <t xml:space="preserve">        EDIFICIO AVANTIS PROPIEDAD HORIZONTAL</t>
  </si>
  <si>
    <t xml:space="preserve">        EDIFICIO RESERVA DE CADAQUES - PROPIEDAD HORIZONTAL</t>
  </si>
  <si>
    <t xml:space="preserve">        CEDRO  SAS</t>
  </si>
  <si>
    <t xml:space="preserve">        EDIFICIO PREMIUM GOLD - PROPIEDAD HORIZONTAL</t>
  </si>
  <si>
    <t xml:space="preserve">        EDIFICIO TERRAKOTA  PROPIEDAD  HORIZONTAL</t>
  </si>
  <si>
    <t xml:space="preserve">        CONJUNTO  RESIDENCIAL CERROS DE SOTILEZA - PROPIEDAD HORIZONTAL</t>
  </si>
  <si>
    <t xml:space="preserve">        CONJUNTO RESIDENCIAL EL BOSQUE P.H</t>
  </si>
  <si>
    <t xml:space="preserve">        EDIFICIO ALPES RESERVADO - PROPIEDAD HORIZONTAL</t>
  </si>
  <si>
    <t xml:space="preserve">        EDIFICIO ATRIUM - PROPIEDAD HORIZONTAL</t>
  </si>
  <si>
    <t xml:space="preserve">        RESERVA DEL CAMPESTRE LOFT RESORT - PROPIEDAD HORIZONTAL</t>
  </si>
  <si>
    <t xml:space="preserve">        CONDOMINIO EDIFICIO DALI P.H.</t>
  </si>
  <si>
    <t xml:space="preserve">        CONJUNTO RESIDENCIAL SAN SIMÓN ETAPA 1, TORRE 1- PROPIEDAD HORIZONTAL.</t>
  </si>
  <si>
    <t xml:space="preserve">        EDIFICIO PRADO 34</t>
  </si>
  <si>
    <t xml:space="preserve">        CONJUNTO RESIDENCIAL BELLO HORIZONTE - PROPIEDAD HORIZONTAL</t>
  </si>
  <si>
    <t xml:space="preserve">        EDIFICIO EL PORTAL DE LA CABRERA</t>
  </si>
  <si>
    <t xml:space="preserve">        EDIFICIO TORRE RODIN PROPIEDAD HORIZONTAL</t>
  </si>
  <si>
    <t xml:space="preserve">        CONJUNTO RESIDENCIAL LUCANIA - TORRE 1 - PRIMERA ETAPA</t>
  </si>
  <si>
    <t xml:space="preserve">        EDIFICIO SOHO 55 - 2</t>
  </si>
  <si>
    <t xml:space="preserve">        CONJUNTO RESIDENCIAL PUNTA LUNA TRES - PROPIEDAD HORIZONTAL</t>
  </si>
  <si>
    <t xml:space="preserve">        PROYECTO PALMA PROPIEDAD HORIZONTAL</t>
  </si>
  <si>
    <t xml:space="preserve">        CONJUNTO RESIDENCIAL LA GRAN RESERVA PALMA - PROPIEDAD HORIZONTAL</t>
  </si>
  <si>
    <t xml:space="preserve">        EDIFICIO AZALIA</t>
  </si>
  <si>
    <t xml:space="preserve">        EDIFICIO MULTIFAMILIAR SAN SEBASTIAN - PROPIEDAD HORIZONTAL</t>
  </si>
  <si>
    <t xml:space="preserve">        CONJUNTO DE USO MIXTO ALTOS DE MANANTIALES P.H</t>
  </si>
  <si>
    <t xml:space="preserve">        EDIFICIO VILLA MAGNA  PROPIEDAD HORIZONTAL</t>
  </si>
  <si>
    <t xml:space="preserve">        ANTAKYA CONDOMINIO 1 ETAPA</t>
  </si>
  <si>
    <t xml:space="preserve">        EDIFICIO GRAN ESTACION - PROPIEDAD HORIZONTAL</t>
  </si>
  <si>
    <t xml:space="preserve">        CENTRO COMERCIAL Y EMPRESARIAL RICAURTE - PROPIEDAD HORIZONTAL</t>
  </si>
  <si>
    <t xml:space="preserve">        SERESPRHO S.A.S</t>
  </si>
  <si>
    <t xml:space="preserve">        EDIFICIO ORIZON SKY HOME - PROPIEDAD HORIZONTAL</t>
  </si>
  <si>
    <t xml:space="preserve">        "CONJUNTO RESIDENCIAL RIOJA" - PROPIEDAD HORIZONTAL</t>
  </si>
  <si>
    <t xml:space="preserve">        EDIFICIO BELLADONNA</t>
  </si>
  <si>
    <t xml:space="preserve">        CORPORACION COLEGIO MONTESSORI</t>
  </si>
  <si>
    <t xml:space="preserve">        PH RIO VERDE LIVING SUITES</t>
  </si>
  <si>
    <t xml:space="preserve">        EDIFICIO RUE DE PASSY- PROPIEDAD HORIZONTAL</t>
  </si>
  <si>
    <t xml:space="preserve">        EDIFICIO AKORI - PROPIEDAD HORIZONTAL</t>
  </si>
  <si>
    <t xml:space="preserve">        CONJUNTO RESIDENCIAL CARIBE CAMPESTRE</t>
  </si>
  <si>
    <t xml:space="preserve">        CONJUNTO CERRADO SANTA CATALINA</t>
  </si>
  <si>
    <t xml:space="preserve">        UNIDAD RESIDENCIAL EDIFICIO ACQUAVELLA P.H</t>
  </si>
  <si>
    <t xml:space="preserve">        EDIFICIO MULTIFAMILIAR TORREALTA</t>
  </si>
  <si>
    <t xml:space="preserve">        CONJUNTO DE USO MIXTO PORTAL DE LA ESTRELLA</t>
  </si>
  <si>
    <t xml:space="preserve">        EDIFICIO OCEANDRIVE</t>
  </si>
  <si>
    <t xml:space="preserve">        EDIFICIO NOGAL 76 PROPIEDAD HORIZONTAL</t>
  </si>
  <si>
    <t xml:space="preserve">        CONJUNTOS CAMPOS DE PANGOLA B - VIS</t>
  </si>
  <si>
    <t xml:space="preserve">        EDIFICIO CAMINOS DEL CERRO 2 - PROPIEDAD HORIZONTAL</t>
  </si>
  <si>
    <t xml:space="preserve">        EUSALUD  S.A</t>
  </si>
  <si>
    <t xml:space="preserve">        EDIFICIO ALIANZA</t>
  </si>
  <si>
    <t xml:space="preserve">        MAFER REAL ESTATE DE COLOMBIA S.A.S.</t>
  </si>
  <si>
    <t xml:space="preserve">        EDIFICIO RIO APARTAMENTOS  PROPIEDAD HORIZONTAL</t>
  </si>
  <si>
    <t xml:space="preserve">        EDIFICIO QUO BUSINESS CENTER - ASEGURADORA SOLIDARIA DE COLOMBIA - PROPIEDAD HORIZONTAL</t>
  </si>
  <si>
    <t xml:space="preserve">        LLERAS HOLDINGS S.A.S</t>
  </si>
  <si>
    <t xml:space="preserve">        FUNDACION NUEVO MARYMOUNT</t>
  </si>
  <si>
    <t xml:space="preserve">        CONJUNTO CERRADO ICARU - PROPIEDAD HORIZONTAL</t>
  </si>
  <si>
    <t xml:space="preserve">        CONJUNTO RESIDENCIAL ALMENARES</t>
  </si>
  <si>
    <t xml:space="preserve">        CONJUNTO RESIDENCIAL TORRE PICASSO</t>
  </si>
  <si>
    <t xml:space="preserve">        EDIFICIO TORRE MEDICA PRADO  P.H</t>
  </si>
  <si>
    <t xml:space="preserve">        CONJUNTO RESIDENCIAL ALAMEDA TORRE 1 PRIMERA ETAPA - PROPIEDAD HORIZONTAL</t>
  </si>
  <si>
    <t xml:space="preserve">        EDIFICIO RETIRO DE SANTA TERESITA</t>
  </si>
  <si>
    <t xml:space="preserve">        EDIFICIO BONAIRE</t>
  </si>
  <si>
    <t xml:space="preserve">        VENTURA PLAZA CENTRO COMERCIAL Y DE NEGOCIOS - PROPIEDAD HORIZONTAL</t>
  </si>
  <si>
    <t xml:space="preserve">        UNIDAD RESIDENCIAL EL PORTAL DE LA SIERRA</t>
  </si>
  <si>
    <t xml:space="preserve">        EDIFICIO TERRAZINO SUR PROPIEDAD HORIZONTAL</t>
  </si>
  <si>
    <t xml:space="preserve">        EDIFICIO EDEN DE LA SABANA P.H.</t>
  </si>
  <si>
    <t xml:space="preserve">        EDIFICIO PRADOS DEL ESTE</t>
  </si>
  <si>
    <t xml:space="preserve">        COMERCIALIZADORA KAYSSER C.K. S.A.S.</t>
  </si>
  <si>
    <t xml:space="preserve">MELENDEZ  BOADA  OSCAR  RICARDO  </t>
  </si>
  <si>
    <t xml:space="preserve">        EDIFICIO "BERNALEJAS" - P.H.</t>
  </si>
  <si>
    <t xml:space="preserve">        EDIFICIO LUXOR P.H</t>
  </si>
  <si>
    <t xml:space="preserve">        EDIFICIO SKY II</t>
  </si>
  <si>
    <t xml:space="preserve">        "ETAPA1 - TORRE A, DEL CONJUNTO RESIDENCIAL ESCALARES - PROPIEDAD HORIZONTAL"</t>
  </si>
  <si>
    <t xml:space="preserve">        EDIFICIO AHORRAMAS PROPIEDAD HORIZONTAL</t>
  </si>
  <si>
    <t xml:space="preserve">        CELSIA COLOMBIA S.A  E.S.P.</t>
  </si>
  <si>
    <t xml:space="preserve">        EDIFICIO GREEN PARK APARTAMENTOS</t>
  </si>
  <si>
    <t xml:space="preserve">        EDIFICIO AMBAR ROCA - PROPIEDAD HORIZONTAL</t>
  </si>
  <si>
    <t xml:space="preserve">        CONJUNTO RESIDENCIAL TORREON DE SABANETA P.H.</t>
  </si>
  <si>
    <t xml:space="preserve">        CONJUNTO RESIDENCIAL CERROS DE AVELLANEDA PH TORRE UNO ETAPA I</t>
  </si>
  <si>
    <t xml:space="preserve">LOBO  PIEDRAHITA  DIEGO  ARMANDO  </t>
  </si>
  <si>
    <t xml:space="preserve">        EDIFICIO O´CLOCK P.H.</t>
  </si>
  <si>
    <t xml:space="preserve">        URBANIZACIÓN CAPELLA P.H.</t>
  </si>
  <si>
    <t xml:space="preserve">        "CONJUNTO LA PLAZA - PROPIEDAD HORIZONTAL"</t>
  </si>
  <si>
    <t xml:space="preserve">        EDIFICIO "GAUSS" - P.H.-</t>
  </si>
  <si>
    <t xml:space="preserve">        EDIFICIO VITRA BUSINESS &amp; HOME - PROPIEDAD HORIZONTAL</t>
  </si>
  <si>
    <t xml:space="preserve">        "EDIFICIO ARIAL- PROPIEDAD HORIZONTAL"</t>
  </si>
  <si>
    <t xml:space="preserve">        CENTRO COMERCIAL VILLA COUNTRY</t>
  </si>
  <si>
    <t xml:space="preserve">        EDIFICIO VALQUIRIA</t>
  </si>
  <si>
    <t xml:space="preserve">        FLORA CLUB HOUSE - PROPIEDAD HORIZONTAL</t>
  </si>
  <si>
    <t xml:space="preserve">        EDIFICIO SANTA CLARA</t>
  </si>
  <si>
    <t xml:space="preserve">        URBANIZACION PORTAL DEL ANGEL P.H.</t>
  </si>
  <si>
    <t xml:space="preserve">        EDIFICIO RESIDENCIAL SANTIAGO DEL OESTE</t>
  </si>
  <si>
    <t xml:space="preserve">        CONJUNTO CERRADO TORRES DE PORTACHUELO - PROPIEDAD HORIZONTAL</t>
  </si>
  <si>
    <t xml:space="preserve">        EDIFICIO MORIAT</t>
  </si>
  <si>
    <t xml:space="preserve">        EDIFICIO CHELSEA P.H.</t>
  </si>
  <si>
    <t xml:space="preserve">        EDIFICIO CARIARI - PROPIEDAD HORIZONTAL</t>
  </si>
  <si>
    <t xml:space="preserve">        CONJUNTO RESIDENCIAL BUENA VISTA P.H.</t>
  </si>
  <si>
    <t xml:space="preserve">        PARADISE FOREST- ETAPA I P.H</t>
  </si>
  <si>
    <t xml:space="preserve">        CONJUNTO RESIDENCIAL PORTOBELO - PROPIEDAD HORIZONTAL</t>
  </si>
  <si>
    <t xml:space="preserve">        EDIFICIO OIKOS CEDRO GOLF -  PROPIEDAD HORIZONTAL</t>
  </si>
  <si>
    <t xml:space="preserve">        EDIFICIO TERRAZZINO CUMBRES P.H.</t>
  </si>
  <si>
    <t xml:space="preserve">        EDIFICIO PARC 2028 - PROPIEDAD HORIZONTAL</t>
  </si>
  <si>
    <t xml:space="preserve">        EDIFICIO CEI III PROPIEDAD HORIZONTAL</t>
  </si>
  <si>
    <t xml:space="preserve">        AOFLEX S.A.S.</t>
  </si>
  <si>
    <t xml:space="preserve">        EDIFICIO "CAMINOS DE SAN PATRICIO P.H." PROPIEDAD HORIZONTAL</t>
  </si>
  <si>
    <t xml:space="preserve">        EDIFICIO BALCONES DEL COUNTRY</t>
  </si>
  <si>
    <t xml:space="preserve">        EDIFICIO ARAMA</t>
  </si>
  <si>
    <t xml:space="preserve">        UNIDAD RESIDENCIAL EDIFICIO CHARLOTTE P.H.</t>
  </si>
  <si>
    <t xml:space="preserve">        URBANIZACION BRIZZA P.H. ETAPA 1.</t>
  </si>
  <si>
    <t xml:space="preserve">        CONJUNTO DE USO MIXTO BASALTO - PROPIEDAD HORIZONTAL</t>
  </si>
  <si>
    <t xml:space="preserve">        EDIFICIO BANCO DE BOGOTA</t>
  </si>
  <si>
    <t xml:space="preserve">        EDIFICIO ORION 421</t>
  </si>
  <si>
    <t xml:space="preserve">        AGRUPACION DE VIVIENDA SHALOM 1 - PROPIEDAD HORIZONTAL</t>
  </si>
  <si>
    <t xml:space="preserve">        CONJUNTO MIRADOR PROPIEDAD HORIZONTAL-PROPIEDAD HORIZONTAL</t>
  </si>
  <si>
    <t xml:space="preserve">        EDIFICIO TEKTO LOURDES - PROPIEDAD HORIZONTAL</t>
  </si>
  <si>
    <t xml:space="preserve">        INVERSIONES CP MALRO S.A.S.</t>
  </si>
  <si>
    <t xml:space="preserve">        EDIFICIO SAMAN DEL RIO - PROPIEDAD HORIZONTAL</t>
  </si>
  <si>
    <t xml:space="preserve">        EDIFICIO STRADA SUITES TORRE EJECUTIVA</t>
  </si>
  <si>
    <t xml:space="preserve">        CONJUNTO RESIDENCIAL DOWNTOWN PROPIEDAD HORIZONTAL</t>
  </si>
  <si>
    <t xml:space="preserve">        EDIFICIO PORTAL DE LOS FUNDADORES P.H.</t>
  </si>
  <si>
    <t xml:space="preserve">        EDIFICIO BALMORAL P.H</t>
  </si>
  <si>
    <t xml:space="preserve">        UNIVERSIDAD AUTONOMA DE BUCARAMANGA-UNAB</t>
  </si>
  <si>
    <t xml:space="preserve">        EDIFICIO EMPRESARIAL CALLE 93 PROPIEDAD HORIZONTAL</t>
  </si>
  <si>
    <t xml:space="preserve">        EDIFICIO "COLINAS DEL POBLADO" -P.H.-</t>
  </si>
  <si>
    <t xml:space="preserve">        URBANIZACIÓN SLOW. P.H.</t>
  </si>
  <si>
    <t xml:space="preserve">        CONJUNTO RESIDENCIAL FLORIDA DEL COUNTRY</t>
  </si>
  <si>
    <t xml:space="preserve">        CONJUNTO CERRADO BOSQUES DEL CERRO - PROPIEDAD HORIZONTAL</t>
  </si>
  <si>
    <t xml:space="preserve">        EDIFICIO SAN MARINO</t>
  </si>
  <si>
    <t xml:space="preserve">        EDIFICIO INTERLAGOS CONDOMINIO</t>
  </si>
  <si>
    <t xml:space="preserve">        CONJUNTO PORTALES TEJARES DEL LIBERTADOR</t>
  </si>
  <si>
    <t xml:space="preserve">        EDIFICIO PLAYA BLANCA P.H.</t>
  </si>
  <si>
    <t xml:space="preserve">        INVERSIONES VARUNA S.A.S</t>
  </si>
  <si>
    <t xml:space="preserve">LOBO  ROSO  LILYBETH  DEL PILAR  </t>
  </si>
  <si>
    <t xml:space="preserve">        CONJUNTO RESIDENCIAL BOULEVARD  DE SANTA BARBARA</t>
  </si>
  <si>
    <t xml:space="preserve">        INVERCOV &amp; ASOCIADOS S.A.S</t>
  </si>
  <si>
    <t xml:space="preserve">        EDIFICIO TORRE ZENTAI -PROPIEDAD HORIZONTAL</t>
  </si>
  <si>
    <t xml:space="preserve">        EDIFICIO MULTIFAMILIAR EL CEDRO - PROPIEDAD HORIZONTAL</t>
  </si>
  <si>
    <t xml:space="preserve">        SOCIEDAD EDUCATIVA SAN LUIS S.A.S</t>
  </si>
  <si>
    <t xml:space="preserve">        EDIFICIO BOCHETTI CONDOMINIO PROPIEDAD HORIZONTAL</t>
  </si>
  <si>
    <t xml:space="preserve">        EDIFICIO PLAZUELA DE ASIS - PROPIEDAD HORIZONTAL</t>
  </si>
  <si>
    <t xml:space="preserve">        EDIFICIO CERROS 78 - PROPIEDAD HORIZONTAL</t>
  </si>
  <si>
    <t xml:space="preserve">        CONJUNTO RESIDENCIAL ENTREPARQUES-GUAYACAN</t>
  </si>
  <si>
    <t xml:space="preserve">        EDIFICIO KUALI APARTAMENTOS PROPIEDAD HORIZONTAL</t>
  </si>
  <si>
    <t xml:space="preserve">        CAPITAL CENTER - PROPIEDAD HORIZONTAL</t>
  </si>
  <si>
    <t xml:space="preserve">        EDIFICIO PUERTO AZUL P.H.</t>
  </si>
  <si>
    <t xml:space="preserve">        ARQUITECTURA Y CONSTRUCCIONES S.A.S.</t>
  </si>
  <si>
    <t xml:space="preserve">        EDIFICIO GAUDI P.H.</t>
  </si>
  <si>
    <t xml:space="preserve">        EDIFICIO BIANCO P.H.</t>
  </si>
  <si>
    <t xml:space="preserve">        EDIFICIO PINAR 54 - PROPIEDAD HORIZONTAL</t>
  </si>
  <si>
    <t xml:space="preserve">        EDIFICIO VITA 118 - PROPIEDAD HORIZONTAL</t>
  </si>
  <si>
    <t xml:space="preserve">        EDIFICIO RICHMOND</t>
  </si>
  <si>
    <t xml:space="preserve">        CONJUNTO RESIDENCIAL CANTARES DE RIACHUELOS</t>
  </si>
  <si>
    <t xml:space="preserve">        CONJUNTO CONJUNTO BALCONES DE MANZANEDA 2 - PROPIEDAD HORIZONTAL</t>
  </si>
  <si>
    <t xml:space="preserve">        CONJUNTO  CERRADO  HEBRON  APARTAMENTOS - PROPIEDAD  HORIZONTAL</t>
  </si>
  <si>
    <t xml:space="preserve">        EDIFICIO DUO  PROPIEDAD  HORIZONTAL</t>
  </si>
  <si>
    <t xml:space="preserve">        EMPRO - EMPRENDIMIENTO Y PROSPERIDAD S.A.S.</t>
  </si>
  <si>
    <t xml:space="preserve">        EDIFICIO PACANDE - PROPIEDAD HORIZONTAL</t>
  </si>
  <si>
    <t xml:space="preserve">        CONJUNTO SAHARA C - VIS - PROPIEDAD HORIZONTAL</t>
  </si>
  <si>
    <t xml:space="preserve">        CUCUTA SUITES S.A.S.</t>
  </si>
  <si>
    <t xml:space="preserve">        EDIFICIO MONTE ROSALES PROPIEDAD HORIZONTAL</t>
  </si>
  <si>
    <t xml:space="preserve">        GRUPO HOTELERO CSI SAS</t>
  </si>
  <si>
    <t xml:space="preserve">        EDIFICIO MONSERRAT</t>
  </si>
  <si>
    <t xml:space="preserve">        URBANIZACION AMARETTO P.H</t>
  </si>
  <si>
    <t xml:space="preserve">        CONDOMINIO PIE DEL CERRO P-H</t>
  </si>
  <si>
    <t xml:space="preserve">        UNIDAD RESIDENCIAL TORRES DE BARCELONA P.H.</t>
  </si>
  <si>
    <t xml:space="preserve">        EDIFICIO BALCONES DE VIZCAYA</t>
  </si>
  <si>
    <t xml:space="preserve">        EDIFICIO ALCADA PROPIEDAD HORIZONTAL</t>
  </si>
  <si>
    <t xml:space="preserve">        EDIFICIO AVANTI - PROPIEDAD HORIZONTAL</t>
  </si>
  <si>
    <t xml:space="preserve">        CIUDADELA COMERCIAL PRADO PLAZA</t>
  </si>
  <si>
    <t xml:space="preserve">        EDIFICIO ALCARAVAN</t>
  </si>
  <si>
    <t xml:space="preserve">        EDIFICIO RESIDENCIAL MIRO APARTA-LOFT  PROPIEDAD HORIZONTAL</t>
  </si>
  <si>
    <t xml:space="preserve">        EDIFICIO TRAMONTE PROPIEDAD HORIZONTAL</t>
  </si>
  <si>
    <t xml:space="preserve">        CONJUNTO RESIDENCIAL SOL DE PLATA - PROPIEDAD HORIZONTAL</t>
  </si>
  <si>
    <t xml:space="preserve">        EDIFICIO 14X98 PROPIEDAD HORIZONTAL</t>
  </si>
  <si>
    <t xml:space="preserve">        LA IGLESIA DE JESUCRISTO DE LOS SANTOS DE LOS ULTIMOS DIAS EN COLOMBIA</t>
  </si>
  <si>
    <t xml:space="preserve">        CITADELA DI TERRA PROPIEDAD HORIZONTAL ETAPA 1</t>
  </si>
  <si>
    <t xml:space="preserve">        EDIFICIO MANDALAY PROPIEDAD HORIZONTAL</t>
  </si>
  <si>
    <t xml:space="preserve">        EDIFICIO AMARANTO-PROPIEDAD HORIZONTAL</t>
  </si>
  <si>
    <t xml:space="preserve">        EDIFICIO ALCARABAN</t>
  </si>
  <si>
    <t xml:space="preserve">        "EDIFICIO NOVA 179" - PROPIEDAD HORIZONTAL.</t>
  </si>
  <si>
    <t xml:space="preserve">        CONDOMINIO CAMPO VERDE</t>
  </si>
  <si>
    <t xml:space="preserve">        "EDIFICIO MONTECLARO-PROPIEDAD HORIZONTAL"</t>
  </si>
  <si>
    <t xml:space="preserve">        UNIDAD   RESIDENCIAL LISBOA  ANTIGUA</t>
  </si>
  <si>
    <t xml:space="preserve">        EDIFICIO H2M P.H</t>
  </si>
  <si>
    <t xml:space="preserve">        EDIFICIO AVANZZA PARQUE CENTRAL - PROPIEDAD HORIZONTAL</t>
  </si>
  <si>
    <t xml:space="preserve">        EDIFICIO MONFERRATO</t>
  </si>
  <si>
    <t xml:space="preserve">        KOBALTO P.H.</t>
  </si>
  <si>
    <t xml:space="preserve">        EDIFICIO HOTEL OBRA LOMAVERDE - PROPIEDAD HORIZONTAL</t>
  </si>
  <si>
    <t xml:space="preserve">        EDIFICIO PORTAL SANTO DOMINGO</t>
  </si>
  <si>
    <t xml:space="preserve">        EDIFICIO OZONO</t>
  </si>
  <si>
    <t xml:space="preserve">        EDIFICIO TORRELAVEGA PROPIEDAD HORIZONTAL</t>
  </si>
  <si>
    <t xml:space="preserve">        UNIDAD RESIDENCIAL BONAPARTE</t>
  </si>
  <si>
    <t xml:space="preserve">        EDIFICIO SUMMIT</t>
  </si>
  <si>
    <t xml:space="preserve">        CONJUNTO RESIDENCIAL EL PALMAR DE LAS MERCEDES</t>
  </si>
  <si>
    <t xml:space="preserve">        EDIFICIO KORONA DEL SOL</t>
  </si>
  <si>
    <t xml:space="preserve">        MVC ENTRELAGOS SAS</t>
  </si>
  <si>
    <t xml:space="preserve">        EDIFICIO 9019 - PROPIEDAD HORIZONTAL</t>
  </si>
  <si>
    <t xml:space="preserve">        CONJUNTO RESIDENCIAL PARQUE DEL ALCAZAR</t>
  </si>
  <si>
    <t xml:space="preserve">        MINISTERIO DE LAS CULTURAS,LAS ARTES Y LOS SABERES</t>
  </si>
  <si>
    <t xml:space="preserve">        EDIFICIO TORRE BARCELONA - PROPIEDAD HORIZONTAL</t>
  </si>
  <si>
    <t xml:space="preserve">        CONJUNTO RESIDENCIAL KIMBAYA PROPIEDAD HORIZONTAL</t>
  </si>
  <si>
    <t xml:space="preserve">        EDIFICIO CASTELLON SANTA CLARA</t>
  </si>
  <si>
    <t xml:space="preserve">        CONJUNTO SAHARA B - VIS - PROPIEDAD HORIZONTAL</t>
  </si>
  <si>
    <t xml:space="preserve">        CONJUNTO RESIDENCIAL RESERVA DE GRANADA IV - PROPIEDAD HORIZONTAL</t>
  </si>
  <si>
    <t xml:space="preserve">        EDIFICIO ANATELLO - PROPIEDAD HORIZONTAL</t>
  </si>
  <si>
    <t xml:space="preserve">        EDIFICIO PIETRASANTA II - PROPIEDAD HORIZONTAL</t>
  </si>
  <si>
    <t xml:space="preserve">        EDIFICIO VISTA DEL VALLE TORRE 1 ETAPA 1 P. H.</t>
  </si>
  <si>
    <t xml:space="preserve">        EDIFICIO KAOBA - PROPIEDAD HORIZONTAL</t>
  </si>
  <si>
    <t xml:space="preserve">        BONSOL HOTELS GESTION COLOMBIA S.A.S.</t>
  </si>
  <si>
    <t xml:space="preserve">        OPERACIONES BLACKROOM S.A.S.</t>
  </si>
  <si>
    <t xml:space="preserve">        EDIFICIO QATAR APARTAMENTOS-PROPIEDAD HORIZONTAL</t>
  </si>
  <si>
    <t xml:space="preserve">        EDIFICIO ALAIA MANTRA P.H</t>
  </si>
  <si>
    <t xml:space="preserve">        EDIFICIO URAKI OFICINAS 9 AVENIDA-PH</t>
  </si>
  <si>
    <t xml:space="preserve">        CONJUNTO RESIDENCIAL TORRES DE BONAVENTO P.H.</t>
  </si>
  <si>
    <t xml:space="preserve">        LAS PALMAS CARTAGENA</t>
  </si>
  <si>
    <t xml:space="preserve">        CIUDADELA VILLA DEL BOSQUE - PROPIEDAD HORIZONTAL</t>
  </si>
  <si>
    <t xml:space="preserve">        EDIFICIO MAREA 511</t>
  </si>
  <si>
    <t xml:space="preserve">        EDIFICIO SOL DEL ESTE PROPIEDAD HORIZONTAL</t>
  </si>
  <si>
    <t xml:space="preserve">        CONJUNTO DE USO MIXTO LAURET - PROPIEDAD HORIZONTAL</t>
  </si>
  <si>
    <t xml:space="preserve">        UNIDAD RESIDENCIAL ZARDOYA</t>
  </si>
  <si>
    <t xml:space="preserve">        EDIFICIO NOGALES P.H.</t>
  </si>
  <si>
    <t xml:space="preserve">        EDIFICIO SOLAR CHICO - PROPIEDAD HORIZONTAL</t>
  </si>
  <si>
    <t xml:space="preserve">        EDIFICIO ARCOS DE LA FRONTERA</t>
  </si>
  <si>
    <t xml:space="preserve">        EDIFICIO " MACANA - PROPIEDAD HORIZONTAL"</t>
  </si>
  <si>
    <t xml:space="preserve">        EDIFICIO 9017 - PROPIEDAD HORIZONTAL</t>
  </si>
  <si>
    <t xml:space="preserve">        EDIFICIO ISLA DE MANGA</t>
  </si>
  <si>
    <t xml:space="preserve">        CONJUNTO RESIDENCIAL BOSQUES DE TULIPANES PRIMERA ETAPA - PROPIEDAD HORIZONTAL</t>
  </si>
  <si>
    <t xml:space="preserve">        EDIFICIO MULTIFAMILIAR ESPACIO 142 - PROPIEDAD HORIZONTAL</t>
  </si>
  <si>
    <t xml:space="preserve">        EDIFICIO TOWER 3</t>
  </si>
  <si>
    <t xml:space="preserve">        EDIFICIO CAMARA DE COMERCIO DE IBAGUE PROPIEDAD HORIZONTAL</t>
  </si>
  <si>
    <t xml:space="preserve">        "EDIFICIO JARDINES DE LA PLAZA PROPIEDAD HORIZONTAL"</t>
  </si>
  <si>
    <t xml:space="preserve">        EDIFICIO SOHO 55</t>
  </si>
  <si>
    <t xml:space="preserve">        EDIFICIO PLAZA CONQUISTADORES PROPIEDAD HORIZONTAL</t>
  </si>
  <si>
    <t xml:space="preserve">        EDIFICIO CENTURY TOWER II P.H</t>
  </si>
  <si>
    <t xml:space="preserve">        EDIFICIO VILLA MAGNA</t>
  </si>
  <si>
    <t xml:space="preserve">        EDIFICIO "MARE CLUB HOUSE"</t>
  </si>
  <si>
    <t xml:space="preserve">        SOLUCIONES DE INFRAESTRUCTURA Y LOGISTICA S.A.S</t>
  </si>
  <si>
    <t xml:space="preserve">        EDIFICIO MIXTO BULEVAR PLAZA</t>
  </si>
  <si>
    <t xml:space="preserve">        EDIFICIO 3 - 33 CENTRO DE NEGOCIOS  - PROPIEDAD HORIZONTAL</t>
  </si>
  <si>
    <t xml:space="preserve">        CONJUNTO MULTIFAMILIAR OPUS</t>
  </si>
  <si>
    <t xml:space="preserve">        EDIFICIO NAVARRA</t>
  </si>
  <si>
    <t xml:space="preserve">        EDIFICIO BARI P.H</t>
  </si>
  <si>
    <t xml:space="preserve">MORALES    MOISES    </t>
  </si>
  <si>
    <t xml:space="preserve">        UNIDAD RESIDENCIAL AL SUR  P.H.</t>
  </si>
  <si>
    <t xml:space="preserve">        CONDOMINIO TORRES DE CATTANIA</t>
  </si>
  <si>
    <t xml:space="preserve">        EDIFICIO DI BARI</t>
  </si>
  <si>
    <t xml:space="preserve">        MASERATTI CONDOMINIO PROPIEDAD HORIZONTAL</t>
  </si>
  <si>
    <t xml:space="preserve">        EDIFICIO IKARIA - PROPIEDAD HORIZONTAL</t>
  </si>
  <si>
    <t xml:space="preserve">        "EDIFICIO WHITE - PROPIEDAD HORIZONTAL"</t>
  </si>
  <si>
    <t xml:space="preserve">        EDIFICIO PARQUE ROSALES - PROPIEDAD HORIZONTAL</t>
  </si>
  <si>
    <t xml:space="preserve">        CONJUNTO RESIDENCIAL ROMANZA DE LA ABADIA P.H.</t>
  </si>
  <si>
    <t xml:space="preserve">        EDIFICIO AVENIDA 100</t>
  </si>
  <si>
    <t xml:space="preserve">        CONDOMINIO BOSQUES DEL VENADO</t>
  </si>
  <si>
    <t xml:space="preserve">        EDIFICIO MORROS EOS PROPIEDAD HORIZONTAL</t>
  </si>
  <si>
    <t xml:space="preserve">        EDIFICIO TORRE DA VINCI</t>
  </si>
  <si>
    <t xml:space="preserve">        CONJUNTO CERRADO ARBOLEDA DEL PINAR I  -  PROPIEDAD HORIZONTAL</t>
  </si>
  <si>
    <t xml:space="preserve">        EDIFICIO CERRO PIJAO P.H.</t>
  </si>
  <si>
    <t xml:space="preserve">        EDIFICIO  OFICINAS  93  CENTRO EMPRESARIAL  -  PROPIEDAD  HORIZONTAL</t>
  </si>
  <si>
    <t xml:space="preserve">        EDIFICIO AREA  91 - PROPIEDAD HORIZONTAL</t>
  </si>
  <si>
    <t xml:space="preserve">        ¨EDIFICIO CEDROS DE PILARICA P.H.¨</t>
  </si>
  <si>
    <t xml:space="preserve">        "D-KO APARTAMENTOS" - PROPIEDAD HORIZONTAL</t>
  </si>
  <si>
    <t xml:space="preserve">        EDIFICIO TORRE LA VEGA - PROPIEDAD HORIZONTAL</t>
  </si>
  <si>
    <t xml:space="preserve">        "CONJUNTO RESIDENCIAL VIVALTO - PROPIEDAD HORIZONTAL"</t>
  </si>
  <si>
    <t xml:space="preserve">        CLINICA DE MARLY S A</t>
  </si>
  <si>
    <t xml:space="preserve">        NORDVITAL IPS S.A.S.</t>
  </si>
  <si>
    <t xml:space="preserve">        EDIFICIO TERRAZZINO MIRAFLORES PROPIEDAD HORIZONTAL</t>
  </si>
  <si>
    <t xml:space="preserve">        EDIFICIO ANSES II PROPIEDAD HORIZONTAL</t>
  </si>
  <si>
    <t xml:space="preserve">        EDIFICIO CARIBE PLAZA 1</t>
  </si>
  <si>
    <t xml:space="preserve">        CONDOMINIO CAMPESTRE LA RESERVA APARTAMENTOS</t>
  </si>
  <si>
    <t xml:space="preserve">        EDIFICIO R.C.</t>
  </si>
  <si>
    <t xml:space="preserve">        CONJUNTO RESIDENCIAL RESERVA DE GRANADA V - PROPIEDAD HORIZONTAL</t>
  </si>
  <si>
    <t xml:space="preserve">        EDIFICIO ENTRE PINOS PROPIEDAD HORIZONTAL</t>
  </si>
  <si>
    <t xml:space="preserve">        EDIFICIO MULTIFAMILIAR PALLADIUM CONDOMINIO- PROPIEDAD HORIZONTAL</t>
  </si>
  <si>
    <t xml:space="preserve">        EDIFICIO BOSQUE DE BELLAVISTA - PROPIEDAD HORIZONTAL</t>
  </si>
  <si>
    <t xml:space="preserve">        MULTIFAMILIAR EDIFICIO FOREST 59</t>
  </si>
  <si>
    <t xml:space="preserve">        UNIDAD RESIDENCIAL ALLEGRO P.H.</t>
  </si>
  <si>
    <t xml:space="preserve">        EDIFICIO TAMARINDO - PROPIEDAD HORIZONTAL</t>
  </si>
  <si>
    <t xml:space="preserve">        CONJUNTO RESIDENCIAL MONTREAL - PROPIEDAD HORIZONTAL</t>
  </si>
  <si>
    <t xml:space="preserve">        EDIFICIO  KUBIK 69 - PROPIEDAD HORIZONTAL</t>
  </si>
  <si>
    <t xml:space="preserve">        EDIFICIO ARRECIFE 106 - PROPIEDAD HORIZONTAL</t>
  </si>
  <si>
    <t xml:space="preserve">        EDIFICIO VENETTO</t>
  </si>
  <si>
    <t xml:space="preserve">        EDIFICIO MULTIFAMILIAR ARTIKO 66 - PROPIEDAD HORIZONTAL</t>
  </si>
  <si>
    <t xml:space="preserve">        CHICO 97 PROPIEDAD HORIZONTAL</t>
  </si>
  <si>
    <t xml:space="preserve">        EDIFICIO OFICINAS 93A - PROPIEDAD HORIZONTAL-</t>
  </si>
  <si>
    <t xml:space="preserve">        EDIFICIO SANTO DOMINGO DEL PRADO</t>
  </si>
  <si>
    <t xml:space="preserve">        CONJUNTO RESIDENCIAL URBANIZACION VIENTOS DE ARAGON  P. H .</t>
  </si>
  <si>
    <t xml:space="preserve">        CONJUNTO RESIDENCIAL CERROS DE LOS ALPES- PROPIEDAD HORIZONTAL</t>
  </si>
  <si>
    <t xml:space="preserve">        EDIFICIO TERRA CLUB HOUSE PROPIEDAD HORIZONTAL</t>
  </si>
  <si>
    <t xml:space="preserve">        CONJUNTO RESIDENCIAL MONREAL-PROPIEDAD HORIZONTAL</t>
  </si>
  <si>
    <t xml:space="preserve">        EDIFICIO OFFICE CLASS - PROPIEDAD HORIZONTAL</t>
  </si>
  <si>
    <t xml:space="preserve">        CONJUNTO RESIDENCIAL TORRES DEL CAMPESTRE</t>
  </si>
  <si>
    <t xml:space="preserve">        EDIFICIO TORRE 93 PROPIEDAD HORIZONTAL</t>
  </si>
  <si>
    <t xml:space="preserve">        EDIFICIO TORRE SEKI - PROPIEDAD HORIZONTAL</t>
  </si>
  <si>
    <t xml:space="preserve">        SOCIEDAD PORTUARIA TERMINAL DE CONTENEDORES DE BUENAVENTURA S.A.</t>
  </si>
  <si>
    <t xml:space="preserve">        CONJUNTO CERRADO PARQUE JARDIN P.H.</t>
  </si>
  <si>
    <t xml:space="preserve">        MANILA HOLDINGS SAS</t>
  </si>
  <si>
    <t xml:space="preserve">        CONJUNTO RESIDENCIAL CAMINO DE LAS AGUAS P.H.</t>
  </si>
  <si>
    <t xml:space="preserve">        CONJUNTO RESIDENCIAL TERRAZAS DEL CARIBE</t>
  </si>
  <si>
    <t xml:space="preserve">        EDIFICIO REFUGIO 87 - PROPIEDAD HORIZONTAL</t>
  </si>
  <si>
    <t xml:space="preserve">        EDIFICIO DEL CAMINO - PROPIEDAD HORIZONTAL</t>
  </si>
  <si>
    <t xml:space="preserve">        EDIFICIO PORTAROSSA</t>
  </si>
  <si>
    <t xml:space="preserve">        SOCIEDAD ADMINISTRADORA DE RECURSOS INMOBILIARIOS  S A S</t>
  </si>
  <si>
    <t xml:space="preserve">        EDIFICIO OFICINAS 90 16 - PROPIEDAD HORIZONTAL</t>
  </si>
  <si>
    <t xml:space="preserve">        CONJUNTO  RESIDENCIAL  CAMPO  REAL</t>
  </si>
  <si>
    <t xml:space="preserve">        UNIVERSIDAD SERGIO ARBOLEDA</t>
  </si>
  <si>
    <t xml:space="preserve">        BELVENTO CONDOMINIO</t>
  </si>
  <si>
    <t xml:space="preserve">        CONJUNTO RESIDENCIAL ARBORETO</t>
  </si>
  <si>
    <t xml:space="preserve">        EDIFICIO ROSALES 2000 - PROPIEDAD HORIZONTAL</t>
  </si>
  <si>
    <t xml:space="preserve">        EDIFICIO PINAR DE GRATAMIRA - PROPIEDAD HORIZONTAL</t>
  </si>
  <si>
    <t xml:space="preserve">        TRILLOS  FRANCO  S.A.S</t>
  </si>
  <si>
    <t xml:space="preserve">        UNIDAD RESIDENCIAL BORAL - PROPIEDAD HORIZONTAL</t>
  </si>
  <si>
    <t xml:space="preserve">        EDIFICIO BALI CONDOMINIO</t>
  </si>
  <si>
    <t xml:space="preserve">        CONJUNTO MULTIFAMILIAR Y DE COMERCIO SCARLATTA P.H.</t>
  </si>
  <si>
    <t xml:space="preserve">        CONJUNTO RESIDENCIAL SANTA MARIA DE LOS FARALLONES II PROPIEDAD HORIZONTAL</t>
  </si>
  <si>
    <t xml:space="preserve">        EDIFICIO NATURAL P.H.</t>
  </si>
  <si>
    <t xml:space="preserve">        CONJUNTO DE USO MIXTO OASIS DE RIOGRANDE . PROPIEDAD HORIZONTAL</t>
  </si>
  <si>
    <t xml:space="preserve">        EDIFICIO ZERATTO - PROPIEDAD HORIZONTAL</t>
  </si>
  <si>
    <t xml:space="preserve">        EDIFICIO TORRE GAUDI</t>
  </si>
  <si>
    <t xml:space="preserve">        SEAPORT CENTRO EMPRESARIAL</t>
  </si>
  <si>
    <t xml:space="preserve">        EDIFICIO CABRERA REAL - PROPIEDAD HORIZONTAL</t>
  </si>
  <si>
    <t xml:space="preserve">        EDIFICIO OCEANA 91</t>
  </si>
  <si>
    <t xml:space="preserve">        EDIFICIO MIXTO AURA EVA</t>
  </si>
  <si>
    <t xml:space="preserve">        EDIFICIO TORRE AURUM- PROPIEDAD HORIZONTAL</t>
  </si>
  <si>
    <t xml:space="preserve">        CONJUNTO RESIDENCIAL PLATINO ELEMENT ETAPA 1 Y ETAPA 2 - PROPIEDAD HORIZONTAL</t>
  </si>
  <si>
    <t xml:space="preserve">        G.C HOTELES S.A.S</t>
  </si>
  <si>
    <t xml:space="preserve">        EDIFICIO TORRE UNO 93 - PROPIEDAD HORIZONTAL</t>
  </si>
  <si>
    <t xml:space="preserve">        CONDOMINIO NUEVO RODADERO</t>
  </si>
  <si>
    <t xml:space="preserve">        CONDOMINIO RESERVA DE HUNGRIA - PROPIEDAD HORIZONTAL</t>
  </si>
  <si>
    <t xml:space="preserve">        EDIFICIO MENTA-PROPIEDAD HORIZONTAL</t>
  </si>
  <si>
    <t xml:space="preserve">        EDIFICIO CERESOLE &amp;GS2- PROPIEDAD HORIZONTAL</t>
  </si>
  <si>
    <t xml:space="preserve">        CONJUNTO RESIDENCIAL NATURA RESERVA</t>
  </si>
  <si>
    <t xml:space="preserve">        CONJUNTO RESIDENCIAL TORRE GENESIS - PROPIEDAD HORIZONTAL</t>
  </si>
  <si>
    <t xml:space="preserve">        CONJUNTO  RESIDENCIAL LA ALAMEDA TORRE II SEGUNDA ETAPA- PROPIEDAD HORIZONTAL</t>
  </si>
  <si>
    <t xml:space="preserve">        MIXA GROUP S.A.S</t>
  </si>
  <si>
    <t xml:space="preserve">        EDIFICIO EL RINCON DEL REFUGIO PROPIEDAD HORIZONTAL</t>
  </si>
  <si>
    <t xml:space="preserve">        PATRIMONIOS AUTONOMOS FIDUCIARIA BANCOLOMBIA S A SOCIEDAD FIDUCIARIA</t>
  </si>
  <si>
    <t xml:space="preserve">        CONJUNTO RESIDENCIAL LEMMON 1 ETAPA P.H.</t>
  </si>
  <si>
    <t xml:space="preserve">        EDIFICIO PEDICENTRO</t>
  </si>
  <si>
    <t xml:space="preserve">        EDIFICIO PICADILLY CONDOMINIO CLUB</t>
  </si>
  <si>
    <t xml:space="preserve">        EDIFICIO PARQUE 96 PROPIEDAD HORIZONTAL</t>
  </si>
  <si>
    <t xml:space="preserve">        EDIFICIO ANTONELLA</t>
  </si>
  <si>
    <t xml:space="preserve">        PROYECTOS Y DESARROLLOS SANCHEZ GIRALDO &amp; CIA S.A.S. - PRODESAN SAS</t>
  </si>
  <si>
    <t xml:space="preserve">        EDIFICIO TASSO-PH</t>
  </si>
  <si>
    <t xml:space="preserve">        EDIFICIO MORATTO 44 - PROPIEDAD HORIZONTAL</t>
  </si>
  <si>
    <t xml:space="preserve">        CONJUNTO RESIDENCIAL SAN JOAQUIN - PROPIEDAD HORIZONTAL</t>
  </si>
  <si>
    <t xml:space="preserve">        EDIFICIO SOHO 79</t>
  </si>
  <si>
    <t xml:space="preserve">        " URBANIZACIÓN BIZET 1 "  P-H.-</t>
  </si>
  <si>
    <t xml:space="preserve">        EDIFICIO APIROS - PROPIEDAD HORIZONTAL</t>
  </si>
  <si>
    <t xml:space="preserve">        EDIFICIO EL CABRERO 272</t>
  </si>
  <si>
    <t xml:space="preserve">        ASOCIACION DE COPROPIETARIOS COMERCIANTES DEL CENTRO COMERCIAL EL MUNDO DE ORO</t>
  </si>
  <si>
    <t xml:space="preserve">        CONDOMINIO PALMAR 37</t>
  </si>
  <si>
    <t xml:space="preserve">        CN SAN LUCAS S.A.S.</t>
  </si>
  <si>
    <t xml:space="preserve">        CABLES DE ENERGIA Y DE TELECOMUNICACIONES S A S</t>
  </si>
  <si>
    <t xml:space="preserve">        ARCAS INMOBILIARIA S.A.S</t>
  </si>
  <si>
    <t xml:space="preserve">        MIRALAGOS CONJUNTO RESIDENCIAL ETAPA 1 P.H</t>
  </si>
  <si>
    <t xml:space="preserve">        EDIFICIO MIZU APARTAMENTOS - PROPIEDAD HORIZONTAL</t>
  </si>
  <si>
    <t xml:space="preserve">        SUPERCENTRO COMERCIAL ACROPOLIS</t>
  </si>
  <si>
    <t xml:space="preserve">        CLINICA NUEVA DE CALI S.A.S.</t>
  </si>
  <si>
    <t xml:space="preserve">        CONJUNTO RESIDENCIAL LA CUMBRE P.H.</t>
  </si>
  <si>
    <t xml:space="preserve">        CONDOMINIO KANKURUA</t>
  </si>
  <si>
    <t xml:space="preserve">        EDIFICIO OFICINAS CARRERA 11- PROPIEDAD HORIZONTAL</t>
  </si>
  <si>
    <t xml:space="preserve">        "EDIFICIO HOTEL SOUL LIFESTYLE - PROPIEDAD HORIZONTAL"</t>
  </si>
  <si>
    <t xml:space="preserve">        EDIFICIO BAVARIA PARK</t>
  </si>
  <si>
    <t xml:space="preserve">        EDIFICIO ALTAVISTA RESERVA DEL COUNTRY - PROPIEDAD HORIZONTAL</t>
  </si>
  <si>
    <t xml:space="preserve">        " BOULEVAR 49- PROPIEDAD HORIZONTAL"</t>
  </si>
  <si>
    <t xml:space="preserve">        CONJUNTO MULTIFAMILIAR RIVER PLACE PRIMERA ETAPA</t>
  </si>
  <si>
    <t xml:space="preserve">        EDIFICIO RIVERA DEL PRADO</t>
  </si>
  <si>
    <t xml:space="preserve">        OBELIX UNIDAD RESIDENCIAL</t>
  </si>
  <si>
    <t xml:space="preserve">        EDIFICIO INVERCOR</t>
  </si>
  <si>
    <t xml:space="preserve">        CONJUNTO RESIDENCIAL TIMIZA DEL PARQUE PH-  PROPIEDAD HORIZONTAL</t>
  </si>
  <si>
    <t xml:space="preserve">        ANTILIA UNIDAD RESIDENCIAL PROPIEDAD HORIZONTAL</t>
  </si>
  <si>
    <t xml:space="preserve">        EDIFICIO PALMAR DEL VALLE P-H</t>
  </si>
  <si>
    <t xml:space="preserve">        EDIFICIO STUDIO CLASS 46 - PROPIEDAD HORIZONTAL</t>
  </si>
  <si>
    <t xml:space="preserve">        SEGURIDAD CANINA DE COLOMBIA LTDA SECANCOL LTDA</t>
  </si>
  <si>
    <t xml:space="preserve">        EDIFICIO IMAGEN 127 - PROPIEDAD HORIZONTAL</t>
  </si>
  <si>
    <t xml:space="preserve">        CONJUNTO MULTIFAMILIAR LIFE 200- PROPIEDAD HORIZONTAL</t>
  </si>
  <si>
    <t xml:space="preserve">        CONJUNTO RESIDENCIAL SAN ANGELLO-PROPIEDAD HORIZONTAL</t>
  </si>
  <si>
    <t xml:space="preserve">        EDIFICIO OXFORD 21 PROPIEDAD HORIZONTAL</t>
  </si>
  <si>
    <t xml:space="preserve">        EDIFICIO TORRE PLAZA DE LA 70 - PROPIEDAD HORIZONTAL</t>
  </si>
  <si>
    <t xml:space="preserve">        UNIDAD RESIDENCIAL LAS PACHAS - PROPIEDAD HORIZONTAL</t>
  </si>
  <si>
    <t xml:space="preserve">        "EDIFICIO HOTEL URBAN SUITES - PROPIEDAD HORIZONTAL"</t>
  </si>
  <si>
    <t xml:space="preserve">        AGRUPACION DE VIVIENDA ALTOS DE MONTEARROYO II TORRES 67 Y 8</t>
  </si>
  <si>
    <t xml:space="preserve">        CONJUNTO RESIDENCIAL VISTA APARTAMIRADOR P.H. ETAPA 1 -  TORRE 1</t>
  </si>
  <si>
    <t xml:space="preserve">        EDIFICIO OCEANLIFE</t>
  </si>
  <si>
    <t xml:space="preserve">        EDIFICIO BAMBU 320</t>
  </si>
  <si>
    <t xml:space="preserve">        EDIFICIO SANTA MARIA DE MILAN P.H</t>
  </si>
  <si>
    <t xml:space="preserve">        EDIFICIO VARESE - PROPIEDAD HORIZONTAL</t>
  </si>
  <si>
    <t xml:space="preserve">        EDIFICIO MORROS ZOE P.H</t>
  </si>
  <si>
    <t xml:space="preserve">        UNIDAD RESIDENCIAL COOPMAGISTERIO V</t>
  </si>
  <si>
    <t xml:space="preserve">        EDIFICIO MURANO</t>
  </si>
  <si>
    <t xml:space="preserve">        ASOCIACION  DE  COPROPIETARIOS  DEL EDIFICIO  CARTAGENA PRINCESS</t>
  </si>
  <si>
    <t xml:space="preserve">        EDIFICIO FOREVER - PROPIEDAD HORIZONTAL</t>
  </si>
  <si>
    <t xml:space="preserve">        EDIFICIO BIEL</t>
  </si>
  <si>
    <t xml:space="preserve">        EDIFICIO PORTUGAL P.H.</t>
  </si>
  <si>
    <t xml:space="preserve">        CONJUNTO RESIDENCIAL VISTA OESTE -  PROPIEDAD HORIZONTAL</t>
  </si>
  <si>
    <t xml:space="preserve">        PARQUE RESIDENCIAL LAS RAMBLAS</t>
  </si>
  <si>
    <t xml:space="preserve">        EDIFICIO ARANJUEZ 106- PROPIEDAD HORIZONTAL</t>
  </si>
  <si>
    <t xml:space="preserve">        INVERSIONES ALIANZA S.A.</t>
  </si>
  <si>
    <t xml:space="preserve">        CONDOMINIO TERRA ALTA</t>
  </si>
  <si>
    <t xml:space="preserve">        EDIFICIO MULTIFAMILIAR FIRENZE PROPIEDAD HORIZONTAL</t>
  </si>
  <si>
    <t xml:space="preserve">ISAZA  DE PARDO  CONSTANZA  HELENA  </t>
  </si>
  <si>
    <t xml:space="preserve">        EDIFICIO MULTIFAMILIAR MIRADOR DE ESTAMBUL - PROPIEDAD HORIZONTAL</t>
  </si>
  <si>
    <t xml:space="preserve">        EDIFICIO CYAN APARTAMENTOS PH</t>
  </si>
  <si>
    <t xml:space="preserve">        CONJUNTO RESIDENCIAL PARADISE LIVING</t>
  </si>
  <si>
    <t xml:space="preserve">        CONJUNTO COMERCIAL TERRACINA PLAZA P.H.</t>
  </si>
  <si>
    <t xml:space="preserve">        CONDOMINIO PUERTO MADERO PLATINO</t>
  </si>
  <si>
    <t xml:space="preserve">        CONDOMINIO PLENITUD CONJUNTO  B - PROPIEDAD HORIZONTAL</t>
  </si>
  <si>
    <t xml:space="preserve">        MUEBLES JAMAR S.A</t>
  </si>
  <si>
    <t xml:space="preserve">        EDIFICIO BRISA MARINA</t>
  </si>
  <si>
    <t xml:space="preserve">        EDIFICIO ROMERO &amp; LOTO</t>
  </si>
  <si>
    <t xml:space="preserve">        EMPAQUETADURAS Y EMPAQUES S.A.</t>
  </si>
  <si>
    <t xml:space="preserve">        EDIFICIO OCEANA</t>
  </si>
  <si>
    <t xml:space="preserve">        EDIFICIO EL CASTILLO PROPIEDAD HORIZONTAL</t>
  </si>
  <si>
    <t xml:space="preserve">        EDIFICIO TORRE PORTO</t>
  </si>
  <si>
    <t xml:space="preserve">        EDIFICIO FOREST HILLS</t>
  </si>
  <si>
    <t xml:space="preserve">        EDIFICIO SOLARIS CONDOMINIO</t>
  </si>
  <si>
    <t xml:space="preserve">        CONJUNTO RESIDENCIAL MARTINICA P.H.</t>
  </si>
  <si>
    <t xml:space="preserve">        "URBANIZACION GREEN ECOLIVING - PROPIEDAD HORIZONTAL"</t>
  </si>
  <si>
    <t xml:space="preserve">        EDIFICIO LA VITA - PROPIEDAD HORIZONTAL</t>
  </si>
  <si>
    <t xml:space="preserve">        INVERSIONES MRW S.A.S</t>
  </si>
  <si>
    <t xml:space="preserve">        EDIFICO DE BODEGAS BOX P.H.</t>
  </si>
  <si>
    <t xml:space="preserve">        RAMA JUDICIAL DIR. SECC. DE ADMON JUDICIAL RISARALDA</t>
  </si>
  <si>
    <t xml:space="preserve">        URBANIZACION MOSSET P.H.</t>
  </si>
  <si>
    <t xml:space="preserve">        EDIFICIO TERRAZINO ZUÑIGA P.H.</t>
  </si>
  <si>
    <t xml:space="preserve">        EDIFICIO CALLEJA RESORT - PROPIEDAD HORIZONTAL</t>
  </si>
  <si>
    <t xml:space="preserve">        EDIFICIO AQUARELLA</t>
  </si>
  <si>
    <t xml:space="preserve">        EDIFICIO JACARANDA PROPIEDAD HORIZONTAL</t>
  </si>
  <si>
    <t xml:space="preserve">        CONJUNTO RESIDENCIAL "PORTAL DE LOS ABETOS" PROPIEDAD HORIZONTAL</t>
  </si>
  <si>
    <t xml:space="preserve">        CONJUNTO RESIDENCIAL MACERATTA CASTILLA - PROPIEDAD HORIZONTAL</t>
  </si>
  <si>
    <t xml:space="preserve">        PARQUE RESIDENCIAL ALBURQUERQUE - PROPIEDAD HORIZONTAL</t>
  </si>
  <si>
    <t xml:space="preserve">        CONJUNTO CERRADO TORRES DE PICABIA - PROPIEDAD HORIZONTAL</t>
  </si>
  <si>
    <t xml:space="preserve">        EDIFICIO PALOS BLANCOS PH - PROPIEDAD HORIZONTAL</t>
  </si>
  <si>
    <t xml:space="preserve">        CONJUNTO CERRADO ASTURIAS IMPERIAL - PROPIEDAD HORIZONTAL</t>
  </si>
  <si>
    <t xml:space="preserve">        URBANIZACION RECINTO DE GUALANDAY - PROPIEDAD HORIZONTAL</t>
  </si>
  <si>
    <t xml:space="preserve">        EDIFICIO BEST POINT P. H</t>
  </si>
  <si>
    <t xml:space="preserve">        NOU CENTRO EMPRESARIAL, PROPIEDAD HORIZONTAL</t>
  </si>
  <si>
    <t xml:space="preserve">        EDIFICIO CRISTIMAR</t>
  </si>
  <si>
    <t xml:space="preserve">        CONJUNTO CERRADO CAMINO LOS ARRAYANES</t>
  </si>
  <si>
    <t xml:space="preserve">        EDIFICIO OCTAVA APARTAMENTOS - PROPIEDAD HORIZONTAL</t>
  </si>
  <si>
    <t xml:space="preserve">        EDIFICIO ONE HUNDRED PROPIEDAD HORIZONTAL</t>
  </si>
  <si>
    <t xml:space="preserve">        EDIFICIO EL TULIPAN - PROPIEDAD HORIZONTAL</t>
  </si>
  <si>
    <t xml:space="preserve">        CONJUNTO TORRES DE MONSERRAT</t>
  </si>
  <si>
    <t xml:space="preserve">        EDIFICIO GALEON AZUL</t>
  </si>
  <si>
    <t xml:space="preserve">        EDIFICIO COUNTRY PARK CONSULTORIOS - PROPIEDAD HORIZONTAL</t>
  </si>
  <si>
    <t xml:space="preserve">        EDIFICIO TORRE DE LA VITA - PROPIEDAD HORIZONTAL</t>
  </si>
  <si>
    <t xml:space="preserve">        EDIFICIO CAMINO DEL ANGEL - PROPIEDAD HORIZONTAL</t>
  </si>
  <si>
    <t xml:space="preserve">        EDIFICIO NUEVO PORTAL - PROPIEDAD HORIZONTAL</t>
  </si>
  <si>
    <t xml:space="preserve">TRUJILLO  RESTREPO  GUILLERMO  LEON  </t>
  </si>
  <si>
    <t xml:space="preserve">        EDIFICIO RETIRO PARQUE 83- PROPIEDAD HORIZONTAL</t>
  </si>
  <si>
    <t xml:space="preserve">        COPROPIEDAD EDIFICIO MIRADOR DEL LAGUITO</t>
  </si>
  <si>
    <t xml:space="preserve">        CONJUNTO BARCELONA - PROPIEDAD HORIZONTAL</t>
  </si>
  <si>
    <t xml:space="preserve">        URBANIZACION BIZET 2 - P.H</t>
  </si>
  <si>
    <t xml:space="preserve">        CONJUNTO RESIDENCIAL HOREB APARTAMENTOS - PROPIEDAD HORIZONTAL</t>
  </si>
  <si>
    <t xml:space="preserve">        EDIFICIO BALCONES DE SANTIAGO P-H.</t>
  </si>
  <si>
    <t xml:space="preserve">        CONJUNTO RESIDENCIAL BAHIA GRANDE P.H.</t>
  </si>
  <si>
    <t xml:space="preserve">        CONJUNTO PARQUE ALARCON</t>
  </si>
  <si>
    <t xml:space="preserve">        BOGOTA DISTRITO CAPITAL</t>
  </si>
  <si>
    <t xml:space="preserve">        FUNDACION JARDIN BOTANICO "JOAQUIN ANTONIO URIBE" DE MEDELLIN</t>
  </si>
  <si>
    <t xml:space="preserve">        UNIDAD RESIDENCIAL EDIFICIO PORTON DEL SUR P.H.</t>
  </si>
  <si>
    <t xml:space="preserve">        CONJUNTO RESIDENCIAL ZEFIRO PROPIEDAD HORIZONTAL</t>
  </si>
  <si>
    <t xml:space="preserve">        CONJUNTO RESIDENCIAL CHICALA  -  PROPIEDAD HORIZONTAL</t>
  </si>
  <si>
    <t xml:space="preserve">        PORTOBELLO ETAPA II - PROPIEDAD HORIZONTAL</t>
  </si>
  <si>
    <t xml:space="preserve">        CONJUNTO RESIDENCIAL PARQUE IMPERIAL II - PROPIEDAD HORIZONTAL</t>
  </si>
  <si>
    <t xml:space="preserve">        PROPIEDAD HORIZONTAL CONJUNTO MULTIFAMILIAR ALAMEDA ALTO</t>
  </si>
  <si>
    <t xml:space="preserve">        EDIFICIO  AVANTE   93 -PROPIEDAD  HORIZONTAL</t>
  </si>
  <si>
    <t xml:space="preserve">        CONJUNTO RESIDENCIAL BARILOCHE PROPIEDAD HORIZONTAL</t>
  </si>
  <si>
    <t xml:space="preserve">        CONJUNTO RESIDENCIAL ALBORAN - PROPIEDAD HORIZONTAL</t>
  </si>
  <si>
    <t xml:space="preserve">        EDIFICIO MIRAROSALES - PROPIEDAD HORIZONTAL</t>
  </si>
  <si>
    <t xml:space="preserve">        CONJUNTO MULTIFAMILAR AVELLANA - PROPIEDAD HORIZONTAL</t>
  </si>
  <si>
    <t xml:space="preserve">        BODEGAS AMÉRICA DE ANTIOQUIA S.A.S.</t>
  </si>
  <si>
    <t xml:space="preserve">        EDIFICIO ECOTEK CALLE 95 - PROPIEDAD HORIZONTAL</t>
  </si>
  <si>
    <t xml:space="preserve">        EDIFICIO TORRES DE SAN VICENTE PROPIEDAD HORIZONTAL</t>
  </si>
  <si>
    <t xml:space="preserve">        CONJUNTO RESIDENCIAL CEIBAZUL P.H.</t>
  </si>
  <si>
    <t xml:space="preserve">        EDIFICIO EL SEMINARIO PROPIEDAD HORIZONTAL</t>
  </si>
  <si>
    <t xml:space="preserve">        EDIFICIO LIFE APARTAMENTOS - PROPIEDAD HORIZONTAL</t>
  </si>
  <si>
    <t xml:space="preserve">        EDIFICIO GRAN PORTON PROPIEDAD HORIZONTAL</t>
  </si>
  <si>
    <t xml:space="preserve">        CONJUNTO RESIDENCIAL VIS VILLA MERCEDES</t>
  </si>
  <si>
    <t xml:space="preserve">        BANCO DE BOGOTA</t>
  </si>
  <si>
    <t xml:space="preserve">        EDIFICIO CLUB TOWER II</t>
  </si>
  <si>
    <t xml:space="preserve">        EDIFICIO NOVO 90</t>
  </si>
  <si>
    <t xml:space="preserve">        CONJUNTO RESIDENCIAL MAKAY PRIMERA Y SEGUNDA  ETAPA - PROPIEDAD HORIZONTAL</t>
  </si>
  <si>
    <t xml:space="preserve">        EDIFICIO 93.10 VILANOVA MUSEO - PROPIEDAD HORIZONTAL</t>
  </si>
  <si>
    <t xml:space="preserve">        CONDOMINIO TORRES DE  IPACARAI II ETAPA</t>
  </si>
  <si>
    <t xml:space="preserve">        CONJUNTO RESIDENCIAL RONDAS DE OVIEDO P H</t>
  </si>
  <si>
    <t xml:space="preserve">        CONJUNTO RESIDENCIAL BOSQUE DE LAS MERCEDES</t>
  </si>
  <si>
    <t xml:space="preserve">        CONJUNTO RESIDENCIAL SMART JUNIN - PROPIEDAD HORIZONTAL</t>
  </si>
  <si>
    <t xml:space="preserve">        EDIFICIO  SKORPIO</t>
  </si>
  <si>
    <t xml:space="preserve">        EDIFICIO ZAFIRO CONDOMINIO CENTER CLUB</t>
  </si>
  <si>
    <t xml:space="preserve">        EDIFICIO TORRE BICENTENARIO PROPIEDAD HORIZONTAL</t>
  </si>
  <si>
    <t xml:space="preserve">        EDIFICIO SANANDRESITO CENTRO</t>
  </si>
  <si>
    <t xml:space="preserve">        SUBRED INTEGRADA DE SERVICIOS DE SALUD SUR OCCIDENTE E.S.E.</t>
  </si>
  <si>
    <t xml:space="preserve">        UNIDAD RESIDENCIAL URBANIZACION LOS CEREZOS PROPIEDAD HORIZONTAL</t>
  </si>
  <si>
    <t xml:space="preserve">        CONJUNTO RESIDENCIAL URBANO 48 - PROPIEDAD HORIZONTAL</t>
  </si>
  <si>
    <t xml:space="preserve">        CENTRO DE SALUD Y NEGOCIOS RONDA REAL SEGUNDA ETAPA</t>
  </si>
  <si>
    <t xml:space="preserve">        EDIFICIO LAUSS</t>
  </si>
  <si>
    <t xml:space="preserve">        PARQUE 22 CONDOMINIO - PROPIEDAD HORIZONTAL</t>
  </si>
  <si>
    <t xml:space="preserve">        EDIFICIO METROPOLITAN TOWER - PROPIEDAD HORIZONTAL</t>
  </si>
  <si>
    <t xml:space="preserve">        EDIFICIO PARQUE RESIDENCIAL TORRE CRISTAL APARTAMENTOS</t>
  </si>
  <si>
    <t xml:space="preserve">        EDIFICIO BARLOVENTO 106</t>
  </si>
  <si>
    <t xml:space="preserve">        EDIFICIO OCEAN CONDOMINIO CLUB HOUSE SPA PROPIEDAD HORIZONTAL</t>
  </si>
  <si>
    <t xml:space="preserve">        EDIFICIO CAMINOS DE BELLA SUIZA PROPIEDAD HORIZONTAL</t>
  </si>
  <si>
    <t xml:space="preserve">        LAS BOVEDAS S A S</t>
  </si>
  <si>
    <t xml:space="preserve">        SELECT PROPIEDAD HORIZONTAL</t>
  </si>
  <si>
    <t xml:space="preserve">        CONDOMINIO "TURQUESA" P.H.</t>
  </si>
  <si>
    <t xml:space="preserve">        EDIFICIO OFFICE 120 PROPIEDAD HORIZONTAL</t>
  </si>
  <si>
    <t xml:space="preserve">        EDIFICIO AZIZ CONDOMINIO</t>
  </si>
  <si>
    <t xml:space="preserve">        CONJUNTO  TORRE  VERDE  PARQUE  RESIDENCIAL  -  PROPIEDAD  HORIZONTAL</t>
  </si>
  <si>
    <t xml:space="preserve">        EDIFICIO TORRE 83 - PROPIEDAD HORIZONTAL</t>
  </si>
  <si>
    <t xml:space="preserve">        AVES MARIA PARQUE COMERCIAL P.H</t>
  </si>
  <si>
    <t xml:space="preserve">        CENTRO COMERCIAL UNIPLAZA</t>
  </si>
  <si>
    <t xml:space="preserve">        CONJUNTO RESIDENCIAL MULTIFAMILIAR K 109 EBANO ETAPA I - PROPIEDAD HORIZONTAL</t>
  </si>
  <si>
    <t xml:space="preserve">        EDIFICIO "BALI CONDOMINIO - CLUB"</t>
  </si>
  <si>
    <t xml:space="preserve">        EUCALIPTO APARTAMENTOS -  PROPIEDAD HORIZONTAL</t>
  </si>
  <si>
    <t xml:space="preserve">        EDIFICIO MULTIFAMILIAR SAMANES DE LA MARTINA</t>
  </si>
  <si>
    <t xml:space="preserve">        CONJUNTO RESIDENCIAL TORRES DE SANTA MARTA PROPIEDAD HORIZONTAL</t>
  </si>
  <si>
    <t xml:space="preserve">        EDIFICIO CERROS DE MEDINA PROPIEDAD HORIZONTAL</t>
  </si>
  <si>
    <t xml:space="preserve">        CONJUNTO RESIDENCIAL  BRISA DE SAN LORENZO TORRES 1, 2 Y 3 - PROPIEDAD HORIZONTAL</t>
  </si>
  <si>
    <t xml:space="preserve">        SUPERTIENDAS CAÑAVERAL S.A.S</t>
  </si>
  <si>
    <t xml:space="preserve">        INVERSORA LA QUINTA &amp; CIA LTDA</t>
  </si>
  <si>
    <t xml:space="preserve">        EDIFICIO CENTRO DE NEGOCIOS EL NOGAL - PROPIEDAD HORIZONTAL</t>
  </si>
  <si>
    <t xml:space="preserve">        GUAYACAN APARTAMENTOS - PROPIEDAD HORIZONTAL</t>
  </si>
  <si>
    <t xml:space="preserve">        CONJUNTO RESIDENCIAL TERRAZAS DEL CAMPESTRE</t>
  </si>
  <si>
    <t xml:space="preserve">        IGLESIA DE DIOS MINISTERIAL DE JESUCRISTO INTERNACIONAL</t>
  </si>
  <si>
    <t xml:space="preserve">        CONJUNTO RESIDENCIAL MIRADOR DE LOS ANDES</t>
  </si>
  <si>
    <t xml:space="preserve">        CONJUNTO CAMINO DE MORAJI TORRE 5 - PROPIEDAD HORIZONTAL</t>
  </si>
  <si>
    <t xml:space="preserve">        EDIFICADORA CONTINENTAL S.A.S.</t>
  </si>
  <si>
    <t xml:space="preserve">        UNIVERSIDAD DE SAN BUENAVENTURA</t>
  </si>
  <si>
    <t xml:space="preserve">        GUADUAL  APARTAMENTOS- PROPIEDAD HORIZONTAL</t>
  </si>
  <si>
    <t xml:space="preserve">        CONJUNTO PARK 68</t>
  </si>
  <si>
    <t xml:space="preserve">        EDIFICIO LAURA P.H.</t>
  </si>
  <si>
    <t xml:space="preserve">        CONJUNTO RESIDENCIAL ALTOS DE SAN JUAN-PROPIEDAD HORIZONTAL</t>
  </si>
  <si>
    <t xml:space="preserve">        EDIFICIO AQUA TOWER CONDOMINIO - PROPIEDAD HORIZONTAL</t>
  </si>
  <si>
    <t xml:space="preserve">        CONJUNTO  RESIDENCIAL  ENTRECEDROS - PROPIEDAD  HORIZONTAL</t>
  </si>
  <si>
    <t xml:space="preserve">        UNIDAD RESIDENCIAL EL CARMELO PROPIEDAD HORIZONTAL</t>
  </si>
  <si>
    <t xml:space="preserve">        UNIDAD RESIDENCIAL CERRO CLARO P.H., ETAPA 1B, TORRE 1,</t>
  </si>
  <si>
    <t xml:space="preserve">        EDIFICIO TERRAZAS DE MORASURSO PROPIEDAD HORIZONTAL</t>
  </si>
  <si>
    <t xml:space="preserve">        CONJUNTO RESIDENCIAL RIVER PALMS - PROPIEDAD HORIZONTAL</t>
  </si>
  <si>
    <t xml:space="preserve">        CONJUNTO RESIDENCIAL SORRENTO P.H.</t>
  </si>
  <si>
    <t xml:space="preserve">        EDIFICIO CASTILLO DEL CERRO PROPIEDAD HORIZONTAL</t>
  </si>
  <si>
    <t xml:space="preserve">        CONJUNTO CERRADO METROPOLITAN CLUB RESIDENCIAL</t>
  </si>
  <si>
    <t xml:space="preserve">        COPROPIEDAD EDIFICIO PORTOFINO</t>
  </si>
  <si>
    <t xml:space="preserve">        PUNTOS ESTILO SAS</t>
  </si>
  <si>
    <t xml:space="preserve">        BANCO COOMEVA S.A.</t>
  </si>
  <si>
    <t xml:space="preserve">        EDIFICIO CENTRO PROFESIONAL DEL COUNTRY PROPIEDAD HORIZONTAL</t>
  </si>
  <si>
    <t xml:space="preserve">        EDIFICIO PALKO 92 - PROPIEDAD HORIZONTAL</t>
  </si>
  <si>
    <t xml:space="preserve">        CONJUNTO RESIDENCIAL ENSENADA ETAPA I P.H</t>
  </si>
  <si>
    <t xml:space="preserve">        EDIFICIO "BAHIA ALTA" -P.H.-</t>
  </si>
  <si>
    <t xml:space="preserve">        EDIFICIO PALACE CONDOMINIO</t>
  </si>
  <si>
    <t xml:space="preserve">        CONJUNTO BELLO HORIZONTE PLAZA ETAPA I</t>
  </si>
  <si>
    <t xml:space="preserve">        FORPRESALUD I.P.S. SAS</t>
  </si>
  <si>
    <t xml:space="preserve">        EDIFICIO RESIDENCIAL VERDEVISTA - PROPIEDAD HORIZONTAL</t>
  </si>
  <si>
    <t xml:space="preserve">        "URBANIZACIÓN ROMA APARTAMENTOS - PROPIEDAD HORIZONTAL"</t>
  </si>
  <si>
    <t xml:space="preserve">        EDIFICIO LOMBARDIA PROPIEDAD HORIZONTAL</t>
  </si>
  <si>
    <t xml:space="preserve">        CONJUNTO RESIDENCIAL ECOH P.H.</t>
  </si>
  <si>
    <t xml:space="preserve">        EDIFICIO AMATISTA LIFE STYLE P.H.</t>
  </si>
  <si>
    <t xml:space="preserve">        EDIFICIO MARBELLA REAL   P.H.</t>
  </si>
  <si>
    <t xml:space="preserve">        ADMINISTRADORA ROSALES SAS</t>
  </si>
  <si>
    <t xml:space="preserve">        EDIFICIO ALTOS DE KARON - PROPIEDAD HORIZONTAL</t>
  </si>
  <si>
    <t xml:space="preserve">        CONJUNTO RESIDENCIAL MADAIRA - PROPIEDAD HORIZONZAL</t>
  </si>
  <si>
    <t xml:space="preserve">        EDIFICIO SEAPORT III CENTRO EMPRESARIAL</t>
  </si>
  <si>
    <t xml:space="preserve">        PARQUE RESIDENCIAL MEDIEVAL ETAPA 2 - PROPIEDAD HORIZONTAL</t>
  </si>
  <si>
    <t xml:space="preserve">        CONJUNTO CERRADO FORETTI - PROPIEDAD HORIZONTAL</t>
  </si>
  <si>
    <t xml:space="preserve">        EDIFICIO VISTA 96 - PROPIEDAD HORIZONTAL</t>
  </si>
  <si>
    <t xml:space="preserve">        CONJUNTO RESIDENCIAL SENDEROS DEL TEUSACA ETAPA  I Y II  PROPIEDAD HORIZONTAL</t>
  </si>
  <si>
    <t xml:space="preserve">        CONJUNTO ALAMEDA DE UNICENTRO PRIMERA ETAPA</t>
  </si>
  <si>
    <t xml:space="preserve">        CONJUNTO RESIDENCIAL CONDADO DE LA COLINA ETAPA I - PROPIEDAD HORIZONTAL</t>
  </si>
  <si>
    <t xml:space="preserve">        EDIFICIO AMAZON TOWER</t>
  </si>
  <si>
    <t xml:space="preserve">        CONJUNTO ALUNA BEACH CLUB SANTA MARTA</t>
  </si>
  <si>
    <t xml:space="preserve">        CLINICA MEDICO QUIRURGICA S. A. S.</t>
  </si>
  <si>
    <t xml:space="preserve">        ASOCIACION DE COOPROPIETARIOS EDIFICIO CARTAGENA ESCAPE PLAZA</t>
  </si>
  <si>
    <t xml:space="preserve">        GESTION DE ACTIVOS TECNI  S.A.S</t>
  </si>
  <si>
    <t xml:space="preserve">        CENTRO EMPRESARIAL METROPOLITANO P.H.</t>
  </si>
  <si>
    <t xml:space="preserve">        MIRADOR DE LOS OCOBOS CONJUNTO RESIDENCIAL</t>
  </si>
  <si>
    <t xml:space="preserve">        "CONJUNTO RESIDENCIAL RESERVA DEL BOSQUE"</t>
  </si>
  <si>
    <t xml:space="preserve">        CONJUNTO RESIDENCIAL MASERATTI</t>
  </si>
  <si>
    <t xml:space="preserve">        CENTRO DE RECREACION DE OFICIALES CLUB NAVAL SANTA CRUZ DE CASTILLOGRANDE</t>
  </si>
  <si>
    <t xml:space="preserve">        CONJUNTO MULTIFAMILIAR RESERVA DE LA HACIENDA PROPIEDAD HORIZONTAL ETAPA I</t>
  </si>
  <si>
    <t xml:space="preserve">        CONJUNTO RESIDENCIAL GINGER</t>
  </si>
  <si>
    <t xml:space="preserve">        EDIFICIO  VERSALLES PLAZA - PROPIEDAD HORIZONTAL</t>
  </si>
  <si>
    <t xml:space="preserve">        FUNDACION VALLE DEL LILI</t>
  </si>
  <si>
    <t xml:space="preserve">        URBANIZACION LOS LAURELES</t>
  </si>
  <si>
    <t xml:space="preserve">        EDIFICIO APARTAMENTOS MENTA PH - PROPIEDAD HORIZONTAL</t>
  </si>
  <si>
    <t xml:space="preserve">        FEELIVING S.A.S.</t>
  </si>
  <si>
    <t xml:space="preserve">        EDIFICIO IWOKA - PROPIEDAD HORIZONTAL</t>
  </si>
  <si>
    <t xml:space="preserve">        EDIFICIO RINCON DEL PARQUE  TORRE B   PROPIEDAD HORIZONTAL</t>
  </si>
  <si>
    <t xml:space="preserve">        CONJUNTO RESIDENCIAL ORIGEN DEL LAGO - PROPIEDAD HORIZONTAL</t>
  </si>
  <si>
    <t xml:space="preserve">        CONJUNTO RESIDENCIAL EL ARROYO PROPIEDAD HORIZONTAL</t>
  </si>
  <si>
    <t xml:space="preserve">        EDIFICIO ANDES 22 - PROPIEDAD HORIZONTAL</t>
  </si>
  <si>
    <t xml:space="preserve">        CONJUNTO RESIDENCIAL TORRES KOUN P.H</t>
  </si>
  <si>
    <t xml:space="preserve">        EDIFICIO BOREALIX - PROPIEDAD HORIZONTAL</t>
  </si>
  <si>
    <t xml:space="preserve">        CONJUNTO  RESIDENCIAL  COLINA  DE  SAN  FERNANDO  -  PROPIEDAD  HORIZONTAL</t>
  </si>
  <si>
    <t xml:space="preserve">        INVERSIONES SPIWAK S.A.S</t>
  </si>
  <si>
    <t xml:space="preserve">        EDIFICIO DE OFICINAS TERMINAL DE TRANSPORTE PROPIEDAD HORIZONTAL</t>
  </si>
  <si>
    <t xml:space="preserve">        BOUTIQUE CARTAGENA S.A.S.</t>
  </si>
  <si>
    <t xml:space="preserve">        CONDOMINIO LAGO CLUB - PROPIEDAD HORIZONTAL</t>
  </si>
  <si>
    <t xml:space="preserve">        CONJUNTO RESIDENCIAL EL CORTIJO DE CAJICA - PROPIEDAD HORIZONTAL</t>
  </si>
  <si>
    <t xml:space="preserve">        PRIMAVERA - COUNTRY LIFE - PROPIEDAD HORIZONTAL</t>
  </si>
  <si>
    <t xml:space="preserve">        "CONJUNTO RESIDENCIAL URBANIZACION BOSQUES DE LA MACARENA P.H"</t>
  </si>
  <si>
    <t xml:space="preserve">        CONJUNTO RESIDENCIAL AQUA - PROPIEDAD HORIZONTAL</t>
  </si>
  <si>
    <t xml:space="preserve">        CONJUNTO CERRADO MORATTO DE LA FLORESTA</t>
  </si>
  <si>
    <t xml:space="preserve">        INMOBILIARIA JERMARTINEZ FINCA RAIZ LTDA</t>
  </si>
  <si>
    <t xml:space="preserve">        CONJUNTO RESIDENCIAL VALKINA RESIDENCE CLUB</t>
  </si>
  <si>
    <t xml:space="preserve">        VALENZZA CONDOMINIO CLUB PROPIEDAD HORIZONTAL ETAPA 1</t>
  </si>
  <si>
    <t xml:space="preserve">        CONJUNTO RESIDENCIAL PLAZA CARIBE</t>
  </si>
  <si>
    <t xml:space="preserve">        EDIFICIO PALKO 81 - PROPIEDAD HORIZONTAL</t>
  </si>
  <si>
    <t xml:space="preserve">        EDIFICIO MULTIFAMILIAR OPTIMUS</t>
  </si>
  <si>
    <t xml:space="preserve">        CONJUNTO RESIDENCIAL MULTIFAMILIAR MUKAVA DEL VIENTO - PROPIEDAD HORIZONTAL</t>
  </si>
  <si>
    <t xml:space="preserve">        EDIFICIO MANZANA 3 - PROPIEDAD HORIZONTAL</t>
  </si>
  <si>
    <t xml:space="preserve">        CONJUNTO RESIDENCIAL LUNA DEL VIENTO  - PROPIEDAD HORIZONTAL</t>
  </si>
  <si>
    <t xml:space="preserve">        EDIFICIO VILLAGE RESERVADO- PROPIEDAD HORIZONTAL</t>
  </si>
  <si>
    <t xml:space="preserve">        OPERADORES HOTELEROS REGENCY S.A.</t>
  </si>
  <si>
    <t xml:space="preserve">        EDIFICIO "BAMBU CLUB HOUSE"</t>
  </si>
  <si>
    <t xml:space="preserve">        EDIFICIO WORLD TRADE CENTER BOGOTA CIEN INTERNACIONAL- PROPIEDAD HORIZONTAL</t>
  </si>
  <si>
    <t xml:space="preserve">        EDIFICIO TORRES DE MADEIRA</t>
  </si>
  <si>
    <t xml:space="preserve">        CONJUNTO RESIDENCIAL K 108 - CEDRO ETAPA I - PROPIEDAD HORIZONTAL</t>
  </si>
  <si>
    <t xml:space="preserve">        CONJUNTO RESIDENCIAL CALIFORNIA P.H.</t>
  </si>
  <si>
    <t xml:space="preserve">        INVERSIONES SAGIR S.A.S.</t>
  </si>
  <si>
    <t xml:space="preserve">        CONJUNTO RESIDENCIAL TORRES DEL BOSQUE, PRIMERA ETAPA PROPIEDAD HORIZONTAL</t>
  </si>
  <si>
    <t xml:space="preserve">        EDIFICIO ARA CONDOMINIO CLUB - PROPIEDAD HORIZONTAL</t>
  </si>
  <si>
    <t xml:space="preserve">        CONJUNTO RESIDENCIAL ALTOLIVING VIS PROPIEDAD HORIZONTAL</t>
  </si>
  <si>
    <t xml:space="preserve">        CONJUNTO NACAR B - VIS - PROPIEDAD HORIZONTAL</t>
  </si>
  <si>
    <t xml:space="preserve">        CALUCE S.A.S.</t>
  </si>
  <si>
    <t xml:space="preserve">        UNIDAD RESIDENCIAL ENTREVIENTOS - VELETAS, ETAPA 1 PROPIEDAD HORIZONTAL</t>
  </si>
  <si>
    <t xml:space="preserve">        EDIFICIO CONTINENTAL MEDICAL CENTER</t>
  </si>
  <si>
    <t xml:space="preserve">        CONJUNTO CERRADO RESERVA CAMPESTRE PROPIEDAD HORIZONTAL</t>
  </si>
  <si>
    <t xml:space="preserve">        CONJUNTO MULTIFAMILIAR EL ENCANTO ALTOS DE RIOMAR</t>
  </si>
  <si>
    <t xml:space="preserve">        UNIDAD CAMPESTRE SENDERO FRESCO  P.H.</t>
  </si>
  <si>
    <t xml:space="preserve">        CAPRIANI 1 APARTAMENTOS - PROPIEDAD HORIZONTAL</t>
  </si>
  <si>
    <t xml:space="preserve">        EDIFICIO SAN GABRIEL DE LA AURORA</t>
  </si>
  <si>
    <t xml:space="preserve">        "URBANIZACION TORRES DEL SUR P.H"</t>
  </si>
  <si>
    <t xml:space="preserve">        EDIFICIO CAMINOS DE COMPOSTELA - PROPIEDAD HORIZONTAL</t>
  </si>
  <si>
    <t xml:space="preserve">        UNIVERSIDAD DEL CAUCA</t>
  </si>
  <si>
    <t xml:space="preserve">        TIKKAL ETAPA 1 - PROPIEDAD HORIZONTAL</t>
  </si>
  <si>
    <t xml:space="preserve">        EDIFICIO SAXO - PROPIEDAD HORIZONTAL</t>
  </si>
  <si>
    <t xml:space="preserve">        CONJUNTO RESIDENCIAL PORTAL DE LA QUEBRADA PROPIEDAD HORIZONTAL</t>
  </si>
  <si>
    <t xml:space="preserve">        "EDIFICIO DE OFICINA BRP TOWER BUSINESS"</t>
  </si>
  <si>
    <t xml:space="preserve">        CONJUNTO RESIDENCIAL ALTOS DE MONTEVERDE - PROPIEDAD HORIZONTAL</t>
  </si>
  <si>
    <t xml:space="preserve">        CONJUNTO A TORRES DE ASTURIAS - PROPIEDAD HORIZONTAL</t>
  </si>
  <si>
    <t xml:space="preserve">        EDIFICIO COPERNICO - PROPIEDAD HORIZONTAL</t>
  </si>
  <si>
    <t xml:space="preserve">        EDIFICIO ACONKAGUA</t>
  </si>
  <si>
    <t xml:space="preserve">        EDIFICIO "BARI CLUB HOUSE"</t>
  </si>
  <si>
    <t xml:space="preserve">        CONJUNTO RESIDENCIAL PRADOS DE MIRAFLORES - PROPIEDAD HORIZONTAL</t>
  </si>
  <si>
    <t xml:space="preserve">        EDIFICIO AMBAR INFINITY</t>
  </si>
  <si>
    <t xml:space="preserve">        CONJUNTO RESIDENCIAL PARQUE BARCELONA - PROPIEDAD HORIZONTAL</t>
  </si>
  <si>
    <t xml:space="preserve">        URBANIZACION MONTRY P.H.</t>
  </si>
  <si>
    <t xml:space="preserve">        RESERVA 20 DE JULIO - PROPIEDAD HORIZONTAL</t>
  </si>
  <si>
    <t xml:space="preserve">        EDIFICIO PARQUE 86A - PROPIEDAD HORIZONTAL</t>
  </si>
  <si>
    <t xml:space="preserve">        EDIFICIO PLAYA DORMIDA D OS</t>
  </si>
  <si>
    <t xml:space="preserve">        EL CONJUNTO RESIDENCIAL TIERRA GRATA BRUJA ENCANTADORA P.H.</t>
  </si>
  <si>
    <t xml:space="preserve">        CONJUNTO 1 CIUDADELA VERDE - PROPIEDAD HORIZONTAL</t>
  </si>
  <si>
    <t xml:space="preserve">        EDIFICIO CAPRI - PROPIEDAD HORIZONTAL</t>
  </si>
  <si>
    <t xml:space="preserve">        CONJUNTO MIXTO PLAZA DE LA HOJA - PROPIEDAD HORIZONTAL</t>
  </si>
  <si>
    <t xml:space="preserve">        CONJUNTO RESIDENCIAL PARQUES DE SAN NICOLAS</t>
  </si>
  <si>
    <t xml:space="preserve">        EDIFICIO BORACAY</t>
  </si>
  <si>
    <t xml:space="preserve">        EDIFICIO TERRANOVA P.H.</t>
  </si>
  <si>
    <t xml:space="preserve">        CONJUNTO NATURAL AQUAVENTO P.H  ETAPA 1</t>
  </si>
  <si>
    <t xml:space="preserve">        CAJA DE COMPENSACION FAMILIAR CAFAM</t>
  </si>
  <si>
    <t xml:space="preserve">        PROYECTO HIGH PARK S.A.S.</t>
  </si>
  <si>
    <t xml:space="preserve">        MEDIEVAL PARQUE COMERCIAL Y RESIDENCIAL</t>
  </si>
  <si>
    <t xml:space="preserve">        CONJUNTO SANTA  ANITA  RESERVA  PROPIEDAD HORIZONTAL</t>
  </si>
  <si>
    <t xml:space="preserve">        EDIFICIO ANKARA</t>
  </si>
  <si>
    <t xml:space="preserve">        EDIFICIO CUATRO VIENTOS P.H.</t>
  </si>
  <si>
    <t xml:space="preserve">        CONJUNTO RESIDENCIAL TORRES DE CASTILLA - PROPIEDAD HORIZONTAL</t>
  </si>
  <si>
    <t xml:space="preserve">        LA URBANIZACIÓN AGUA DULCE PROPIEDAD HORIZONTAL</t>
  </si>
  <si>
    <t xml:space="preserve">        CONJUNTO RESIDENCIAL Y COMERCIAL PARQUE IMPERIAL - PROPIEDAD HORIZONTAL</t>
  </si>
  <si>
    <t xml:space="preserve">        CONJUNTO RESIDENCIAL CANARIA</t>
  </si>
  <si>
    <t xml:space="preserve">        EDIFICIO TORRE CIBELES APARTAMENTOS  FLEX  PROPIEDAD HORIZONTAL</t>
  </si>
  <si>
    <t xml:space="preserve">        EDIFICIO MIRADOR DE LAS PALMAS - PROPIEDAD HORIZONTAL</t>
  </si>
  <si>
    <t xml:space="preserve">        EDIFICIO PALMA SORIANA</t>
  </si>
  <si>
    <t xml:space="preserve">        EDIFICIO CATANZARO P.H.</t>
  </si>
  <si>
    <t xml:space="preserve">        CONJUNTO DE USO MIXTO JARDINES DEL SUR P.H.</t>
  </si>
  <si>
    <t xml:space="preserve">        EDIFICIO "SIENNA CLUB HOUSE" ETAPA I</t>
  </si>
  <si>
    <t xml:space="preserve">        CONJUNTO RESIDENCIAL NATIVO AGUA P.H.</t>
  </si>
  <si>
    <t xml:space="preserve">        EDIFICIO EL GRAN MOCHUELO - PROPIEDAD HORIZONTAL</t>
  </si>
  <si>
    <t xml:space="preserve">        EDIFICIOS CIELOS DE  CIUDAD PACIFICA VIS</t>
  </si>
  <si>
    <t xml:space="preserve">        CONJUNTO RESIDENCIAL "ALTOS DE SURAMERICA P.H"</t>
  </si>
  <si>
    <t xml:space="preserve">        CASABLANCA CENTRO COMERCIAL - PROPIEDAD HORIZONTAL</t>
  </si>
  <si>
    <t xml:space="preserve">        EL ROBLE - PROPIEDAD HORIZONTAL</t>
  </si>
  <si>
    <t xml:space="preserve">        CONJUNTO RESIDENCIAL LILI DEL VIENTO ETAPA I - PROPIEDAD HORIZONTAL</t>
  </si>
  <si>
    <t xml:space="preserve">        EDIFICIO TORRE DE LA CABRERA</t>
  </si>
  <si>
    <t xml:space="preserve">        CONJUNTO RESIDENCIAL SOLARIUM DE PONTEVEDRA - PROPIEDAD HORIZONTAL</t>
  </si>
  <si>
    <t xml:space="preserve">        COMPAÑIA COMERCIAL UNIVERSAL S.A.S.</t>
  </si>
  <si>
    <t xml:space="preserve">        HORIZONTE VERDE CONJUNTO RESIDENCIAL - PROPIEDAD HORIZONTAL</t>
  </si>
  <si>
    <t xml:space="preserve">        ENERGY LIVING PROPIEDAD HORIZONTAL</t>
  </si>
  <si>
    <t xml:space="preserve">        EDIFICIO MULTIFAMILIAR RIOMAR 94</t>
  </si>
  <si>
    <t xml:space="preserve">        CONJUNTO RESIDENCIAL TORRE GIRONELA</t>
  </si>
  <si>
    <t xml:space="preserve">        EDIFICIO TORRE 19-24</t>
  </si>
  <si>
    <t xml:space="preserve">        EDIFICIO LE PARC PH</t>
  </si>
  <si>
    <t xml:space="preserve">        LA PROVINCIA -  PROPIEDAD HORIZONTAL</t>
  </si>
  <si>
    <t xml:space="preserve">        EDIFICIO "BANCO POPULAR" -P.H.-</t>
  </si>
  <si>
    <t xml:space="preserve">        URBANIZACIÓN RETIRO VERDE P.H..</t>
  </si>
  <si>
    <t xml:space="preserve">        CONJUNTO RESIDENCIAL TORRES DE MONTERREDONDO II- PROPIEDAD HORIZONTAL</t>
  </si>
  <si>
    <t xml:space="preserve">        CONJUNTO RESIDENCIAL CARIOTA</t>
  </si>
  <si>
    <t xml:space="preserve">        CONJUNTO RESIDENCIAL BOREAL - PROPIEDAD HORIZONTAL</t>
  </si>
  <si>
    <t xml:space="preserve">        CONJUNTO RESIDENCIAL LAGOS DEL POLO II</t>
  </si>
  <si>
    <t xml:space="preserve">        CONJUNTO RESIDENCIAL BIVENTTI</t>
  </si>
  <si>
    <t xml:space="preserve">        PARQUE RESIDENCIAL  GUADUALES ETAPA  1  P.H.</t>
  </si>
  <si>
    <t xml:space="preserve">        EDIFICIO BOSQUE LA CABRERA - PROPIEDAD HORIZONTAL</t>
  </si>
  <si>
    <t xml:space="preserve">        ASOCIACION DE COPROPIETARIOS DEL EDIFICIO SERFINANSA</t>
  </si>
  <si>
    <t xml:space="preserve">        ROYAL FILMS S.A.S</t>
  </si>
  <si>
    <t xml:space="preserve">        VENTUS  - PROPIEDAD HORIZONTAL</t>
  </si>
  <si>
    <t xml:space="preserve">        EDIFICIO GIARDINO</t>
  </si>
  <si>
    <t xml:space="preserve">        "VIZCAYA" CENTRO COMERCIAL DE ENTRETENIMIENTO -P.H.-</t>
  </si>
  <si>
    <t xml:space="preserve">        CONJUNTO DE USO MIXTO AL PARQUE P.H</t>
  </si>
  <si>
    <t xml:space="preserve">        EDIFICIO TORRE CARRARA - PROPIEDAD HORIZONTAL</t>
  </si>
  <si>
    <t xml:space="preserve">        EDIFICIO MULTIFAMILIAR PRAIA TOWER HOUSE - PROPIEDAD HORIZONTAL</t>
  </si>
  <si>
    <t xml:space="preserve">        CONJUNTO  MULTIFAMILIAR CERRADO LA ESTACION -PROPIEDAD HORIZONTAL</t>
  </si>
  <si>
    <t xml:space="preserve">        EDIFICIO FUENTES DE LA BOCHA - PROPIEDAD HORIZONTAL</t>
  </si>
  <si>
    <t xml:space="preserve">        CONJUNTO RESIDENCIAL PROVINCIA DE CASTILLA 2 - PROPIEDAD HORIZONTAL</t>
  </si>
  <si>
    <t xml:space="preserve">        EDIFICIO "MORATTO P.H."</t>
  </si>
  <si>
    <t xml:space="preserve">        CONJUNTO MULTIFAMILIAR ALTOBELLO</t>
  </si>
  <si>
    <t xml:space="preserve">        CONJUNTO RESIDENCIAL K 106 RATTAN ETAPA I PROPIEDAD HORIZONTAL</t>
  </si>
  <si>
    <t xml:space="preserve">        AGRUPACION DE VIVIENDA CALLEJA 2000 SEGUNDA ETAPA - PROPIEDAD HORIZONTAL</t>
  </si>
  <si>
    <t xml:space="preserve">        CONJUNTO INMOBILIARIO BIO 26 HOTEL&amp; BUSINESS CENTER - PROPIEDAD HORIZONTAL</t>
  </si>
  <si>
    <t xml:space="preserve">        CONJUNTO RESIDENCIAL PIEDRAGRANDE I Y II ETAPA</t>
  </si>
  <si>
    <t xml:space="preserve">        EDIFICIO BALCONES DE LA HOLANDA P. H.</t>
  </si>
  <si>
    <t xml:space="preserve">        CONJUNTO RESIDENCIAL RINCON DE OVIEDO P.H.</t>
  </si>
  <si>
    <t xml:space="preserve">        EDIFICIO CYGNUS 262</t>
  </si>
  <si>
    <t xml:space="preserve">        FISCALIA GENERAL DE LA NACION</t>
  </si>
  <si>
    <t xml:space="preserve">        CONJUNTO URBANISTICO SPIAGGIA DI CARTAGENA</t>
  </si>
  <si>
    <t xml:space="preserve">        CONJUNTO CERRADO PALMETUM PARK CLUB HOUSE</t>
  </si>
  <si>
    <t xml:space="preserve">        EDIFICIO GO LIVING &amp; SUITES-PROPIEDAD HORIZONTAL</t>
  </si>
  <si>
    <t xml:space="preserve">        CENTRO EMPRESARIAL  AVENIDA 80</t>
  </si>
  <si>
    <t xml:space="preserve">        EDIFICIO CANA</t>
  </si>
  <si>
    <t xml:space="preserve">        CONJUNTO RESIDENCIAL ARBOLEDA DEL MOCHUELO - PROPIEDAD HORIZONTAL</t>
  </si>
  <si>
    <t xml:space="preserve">        UNIVERSIDAD INDUSTRIAL DE SANTANDER</t>
  </si>
  <si>
    <t xml:space="preserve">        CAJA SANTANDEREANA DE SUBSIDIO FAMILIAR CAJASAN</t>
  </si>
  <si>
    <t xml:space="preserve">        CAJA DE COMPENSACION FAMILIAR COMFENALCO SANTANDER</t>
  </si>
  <si>
    <t xml:space="preserve">        CONJUNTO DE USO MIXTO LUNA DEL MAR - PROPIEDAD HORIZONTAL</t>
  </si>
  <si>
    <t xml:space="preserve">        CONJUNTO RESIDENCIAL SAN MIGUEL - PROPIEDAD HORIZONTAL</t>
  </si>
  <si>
    <t xml:space="preserve">        EDIFICIO GRATTA PROPIEDAD HORIZONTAL</t>
  </si>
  <si>
    <t xml:space="preserve">        MULTIFAMILIAR PARQUE DE GALILEA</t>
  </si>
  <si>
    <t xml:space="preserve">        LA TOSCANA - PROPIEDAD HORIZONTAL</t>
  </si>
  <si>
    <t xml:space="preserve">        EDIFICIO BAHIA LINDA</t>
  </si>
  <si>
    <t xml:space="preserve">        CONJUNTO  SAHARA -  A  -  VIS  -  PROPIEDAD  HORIZONTAL</t>
  </si>
  <si>
    <t xml:space="preserve">        CONJUNTO RESIDENCIAL PASEO REAL - PROPIEDAD HORIZONTAL</t>
  </si>
  <si>
    <t xml:space="preserve">        EDIFICIO CHICO ALTO -  PROPIEDAD HORIZONTAL</t>
  </si>
  <si>
    <t xml:space="preserve">        NESTLE DE COLOMBIA SA</t>
  </si>
  <si>
    <t xml:space="preserve">        CONJUNTO RESIDENCIAL PALMA DE MALLORCA</t>
  </si>
  <si>
    <t xml:space="preserve">        CONJUNTO RESIDENCIAL PIAMONTE</t>
  </si>
  <si>
    <t xml:space="preserve">        ADMINISTRADORA HOTELERA DANN S.A.S</t>
  </si>
  <si>
    <t xml:space="preserve">        CONJUNTO CERRADO LA PRIMAVERA PROPIEDAD HORIZONTAL</t>
  </si>
  <si>
    <t xml:space="preserve">        CONJUNTO RESIDENCIAL ALTO VERDE CLUB HOUSE P.H.</t>
  </si>
  <si>
    <t xml:space="preserve">        CONJUNTO RESIDENCIAL RIOGRANDE HABITAT P.H.</t>
  </si>
  <si>
    <t xml:space="preserve">        CONJUNTO DE USO MIXTO ONIX - PROPIEDAD HORIZONTAL</t>
  </si>
  <si>
    <t xml:space="preserve">        CONJUNTO RESIDENCIAL MIRADOR DE SAN LUIS PROPIEDAD HORIZONTAL</t>
  </si>
  <si>
    <t xml:space="preserve">        CONJUNTO RESIDENCIAL LANIKAI ETAPA I</t>
  </si>
  <si>
    <t xml:space="preserve">        CONJUNTO PORTAL DEL RIO ETAPA I</t>
  </si>
  <si>
    <t xml:space="preserve">        CONJUNTO RESIDENCIAL SIERRA VERDE P.H</t>
  </si>
  <si>
    <t xml:space="preserve">        EDIFICIO DUO 33 PH - PROPIEDAD HORIZONTAL</t>
  </si>
  <si>
    <t xml:space="preserve">        CONJUNTO RESIDENCIAL QUEBEC APARTAMENTOS PROPIEDAD HORIZONTAL</t>
  </si>
  <si>
    <t xml:space="preserve">        EDIFICIO NATURA OCEANIC- PROPIEDAD HORIZONTAL</t>
  </si>
  <si>
    <t xml:space="preserve">        CONJUNTO RESIDENCIAL ALTOS DEL PARQUE - PROPIEDAD HORIZONTAL</t>
  </si>
  <si>
    <t xml:space="preserve">        URBANIZACIÓN FAROVERDE - PROPIEDAD HORIZONTAL</t>
  </si>
  <si>
    <t xml:space="preserve">        CONJUNTO RESIDENCIAL RESERVA DE GRANADA III - PROPIEDAD HORIZONTAL</t>
  </si>
  <si>
    <t xml:space="preserve">        CONJUNTO RESIDENCIAL MULTICENTRO ETAPA 1</t>
  </si>
  <si>
    <t xml:space="preserve">        CONJUNTO RESIDENCIAL ROSAL RESERVADO - PROPIEDAD HORIZONTAL</t>
  </si>
  <si>
    <t xml:space="preserve">        EDIFICIO TORRE ALAMEDA - PROPIEDAD HORIZONTAL</t>
  </si>
  <si>
    <t xml:space="preserve">        EDIFICIO EQUILIBRIUM ETAPA I - PROPIEDAD HORIZONTAL</t>
  </si>
  <si>
    <t xml:space="preserve">        "EDIFICIO PORTAL DE COCORA"</t>
  </si>
  <si>
    <t xml:space="preserve">        CONJUNTO RESIDENCIAL LA CAMPINA - PROPIEDAD HORIZONTAL</t>
  </si>
  <si>
    <t xml:space="preserve">        CONJUNTO RESIDENCIAL LA COLINA - PROPIEDAD HORIZONTAL</t>
  </si>
  <si>
    <t xml:space="preserve">        CONJUNTO RESIDENCIAL MONTSERRAT - PROPIEDAD HORIZONTAL</t>
  </si>
  <si>
    <t xml:space="preserve">        EDIFICIO TORRELUNA - PROPIEDAD HORIZONTAL</t>
  </si>
  <si>
    <t xml:space="preserve">        CONJUNTO RESIDENCIAL OCOBO PRIMERA ETAPA PROPIEDAD HORIZONTAL</t>
  </si>
  <si>
    <t xml:space="preserve">        EDIFICIO TORRE UNIVERSAL - EDIFICIO NEOS RODADERO  PROPIEDAD HORIZONTAL</t>
  </si>
  <si>
    <t xml:space="preserve">        "CONDOMINIO NATURAL PLANTE P.H."</t>
  </si>
  <si>
    <t xml:space="preserve">        CONJUNTO RESIDENCIAL TRILOGIA PROPIEDAD HORIZONTAL</t>
  </si>
  <si>
    <t xml:space="preserve">        "STANZIA SANTA MARTA S.A.S."</t>
  </si>
  <si>
    <t xml:space="preserve">        CONJUNTO RESIDENCIAL ALTOS DE BONAVISTA</t>
  </si>
  <si>
    <t xml:space="preserve">        HIGH PARK MEDICAL CENTER</t>
  </si>
  <si>
    <t xml:space="preserve">        EDIFICIO SALITRE 24 PROPIEDAD HORIZONTAL</t>
  </si>
  <si>
    <t xml:space="preserve">        CONJUNTO RESIDENCIAL PARQUE CENTRAL HAYUELOS</t>
  </si>
  <si>
    <t xml:space="preserve">        CONJUNTO RESIDENCIAL GRAN RESERVA DE VALDIVIA - PROPIEDAD HORIZONTAL</t>
  </si>
  <si>
    <t xml:space="preserve">        CONJUNTO CERRADO TERRAZAS DE MOLINOS - PROPIEDAD HORIZONTAL</t>
  </si>
  <si>
    <t xml:space="preserve">        CONJUNTO RESIDENCIAL LAZIO</t>
  </si>
  <si>
    <t xml:space="preserve">        EDIFICIO PARK AVENUE-PROPIEDAD HORIZONTAL</t>
  </si>
  <si>
    <t xml:space="preserve">        KIWI P.H</t>
  </si>
  <si>
    <t xml:space="preserve">        CONJUNTO RESIDENCIAL INDIGO - PROPIEDAD HORIZONTAL</t>
  </si>
  <si>
    <t xml:space="preserve">        CONJUNTO RESIDENCIAL BONUM DE MARDEL - PROPIEDAD HORIZONTAL</t>
  </si>
  <si>
    <t xml:space="preserve">        CONJUNTO RESIDENCIAL PARQUE SANTA PAULA PROPIEDAD HORIZONTAL</t>
  </si>
  <si>
    <t xml:space="preserve">        GRUPO HEROICA S.A.S</t>
  </si>
  <si>
    <t xml:space="preserve">        SANTA SOFIA CLUB RESIDENCIAL V.I.S</t>
  </si>
  <si>
    <t xml:space="preserve">        EDIFICIO "MIRAFLORES SEÑORIAL - PROPIEDAD HORIZONTAL"</t>
  </si>
  <si>
    <t xml:space="preserve">        ZABAN APARTAMENTOS - PROPIEDAD HORIZONTAL</t>
  </si>
  <si>
    <t xml:space="preserve">        CONJUNTO RESIDENCIAL LOS PINOS - PROPIEDAD HORIZONTAL</t>
  </si>
  <si>
    <t xml:space="preserve">        CONJUNTO CERRADO MILANO CONDOMINIO CLUB</t>
  </si>
  <si>
    <t xml:space="preserve">        PROMOTORA Y OPERADORA DE HOTELES PROMOTEL S.A.</t>
  </si>
  <si>
    <t xml:space="preserve">        CONJUNTO RESIDENCIAL CEYLÁN 34 - PROPIEDAD HORIZONTAL</t>
  </si>
  <si>
    <t xml:space="preserve">        CONJUNTO RESIDENCIAL ATABANZA UNIDAD I -PROPIEDAD HORIZONTAL</t>
  </si>
  <si>
    <t xml:space="preserve">        CONJUNTO RESIDENCIAL MANDALA PROPIEDAD HORIZONTAL</t>
  </si>
  <si>
    <t xml:space="preserve">        EDIFICIO ROSALES PLAZA BARODA - PROPIEDAD HORIZONTAL</t>
  </si>
  <si>
    <t xml:space="preserve">        EDIFICIO RECINTOS DE LA ABADIA P.H.</t>
  </si>
  <si>
    <t xml:space="preserve">        EDIFICIO TORREANDINA  PROPIEDAD  HORIZONTAL</t>
  </si>
  <si>
    <t xml:space="preserve">        URBANIZACION MONTANA P.H.</t>
  </si>
  <si>
    <t xml:space="preserve">        AGRUPACION MULTIFAMILIAR ALTOMENGA APARTAMENTOS I Y II ETAPA  -  PROPIEDAD HORIZONTAL</t>
  </si>
  <si>
    <t xml:space="preserve">        CONJUNTO RESIDENCIAL LA RESERVA P.H.</t>
  </si>
  <si>
    <t xml:space="preserve">        EDIFICIO FOUNTAIN BLUE-VILLAGE - PROPIEDAD HORIZONTAL</t>
  </si>
  <si>
    <t xml:space="preserve">        CONDOMINIO MONSERRAT</t>
  </si>
  <si>
    <t xml:space="preserve">        "URBANIZACIÓN CANTAGIRONE CINQUE - PROPIEDAD HORIZONTAL"</t>
  </si>
  <si>
    <t xml:space="preserve">        EDIFICIO PUNTA DEL ESTE - PROPIEDAD HORIZONTAL</t>
  </si>
  <si>
    <t xml:space="preserve">        CONJUNTO DE USO MIXTO MISONI P.H.</t>
  </si>
  <si>
    <t xml:space="preserve">        CONJUNTO RESIDENCIAL ALTOS DE MONTICELLO P.H.</t>
  </si>
  <si>
    <t xml:space="preserve">        CONJUNTO CERRADO LA QUINTA TORRES 1 Y 2 (PRIMERA ETAPA) - PROPIEDAD HORIZONTAL</t>
  </si>
  <si>
    <t xml:space="preserve">        UNIDAD RESIDENCIAL SALONICA APARTAMENTOS CLUB - PH</t>
  </si>
  <si>
    <t xml:space="preserve">        EDIFICIO TAURUS</t>
  </si>
  <si>
    <t xml:space="preserve">        WV HOTELS S.A.S.</t>
  </si>
  <si>
    <t xml:space="preserve">        CONJUNTO RESIDENCIAL PORTON DEL NORTE - ETAPA 1 - TORRE 2 P.H.</t>
  </si>
  <si>
    <t xml:space="preserve">        CONJUNTO RESIDENCIAL TUKANA P.H.</t>
  </si>
  <si>
    <t xml:space="preserve">        CONJUNTO RESIDENCIAL ARRAYANES</t>
  </si>
  <si>
    <t xml:space="preserve">        "CONJUNTO DE USO MIXTO MADRID APARTAMENTOS - PROPIEDAD HORIZONTAL"</t>
  </si>
  <si>
    <t xml:space="preserve">        "URBANIZACION CIUDAD JARDIN P.H"</t>
  </si>
  <si>
    <t xml:space="preserve">        CONJUNTO RESIDENCIAL TORRES DEL ALFEREZ I - PROPIEDAD HORIZONTAL</t>
  </si>
  <si>
    <t xml:space="preserve">        BILBAO APARTAMENTOS P.H</t>
  </si>
  <si>
    <t xml:space="preserve">        CONJUNTO RESIDENCIAL PARQUES DE LA FLORESTA SEGUNDA ETAPA - PROPIEDAD HORIZONTAL</t>
  </si>
  <si>
    <t xml:space="preserve">        CENTRO COMERCIAL PUERTO LOPEZ - PROPIEDAD HORIZONTAL</t>
  </si>
  <si>
    <t xml:space="preserve">        EDIFICIO CENTRO EMPRESARIAL CORPORATIVO - PROPIEDAD HORIZONTAL</t>
  </si>
  <si>
    <t xml:space="preserve">        CONJUNTO RESIDENCIAL TORRE GUAYACAN P.H.</t>
  </si>
  <si>
    <t xml:space="preserve">        CENTRO COMERCIAL SAN SUR PROPIEDAD HORIZONTAL</t>
  </si>
  <si>
    <t xml:space="preserve">        EDIFICIO OASIS DE LA BOCHA-PROPIEDAD HORIZONTAL</t>
  </si>
  <si>
    <t xml:space="preserve">        CONJUNTO RESIDENCIAL DELAMAR PRIMERA ETAPA P.H</t>
  </si>
  <si>
    <t xml:space="preserve">        CONJUNTO RESIDENCIAL MANILA</t>
  </si>
  <si>
    <t xml:space="preserve">        CONJUNTO RESIDENCIAL SALITRE PARK  - PROPIEDAD HORIZONTAL</t>
  </si>
  <si>
    <t xml:space="preserve">        CENTRO COMERCIAL SUPEROUTLET LA 80    PROPIEDAD HORIZONTAL</t>
  </si>
  <si>
    <t xml:space="preserve">        AR KLEIN CONSTRUCTORA LTDA</t>
  </si>
  <si>
    <t xml:space="preserve">        EDIFICIO MULTIFAMILIAR PALO ALTO CLUB RESIDENCIAL</t>
  </si>
  <si>
    <t xml:space="preserve">        CREDICORP CAPITAL COLOMBIA S.A</t>
  </si>
  <si>
    <t xml:space="preserve">        MINISTERIO DE DEFENSA NACIONAL</t>
  </si>
  <si>
    <t xml:space="preserve">        EDIFICIO BALCONES DEL CEDRO- PROPIEDAD HORIZONTAL</t>
  </si>
  <si>
    <t xml:space="preserve">        CONJUNTO RESIDENCIAL ACACIAS - PROPIEDAD HORIZONTAL</t>
  </si>
  <si>
    <t xml:space="preserve">        CONJUNTO MULTIFAMILIAR LLANURA DEL VIENTO V. I. S. PRIMERA ETAPA - PROPIEDAD HORIZONTAL</t>
  </si>
  <si>
    <t xml:space="preserve">        EDIFICIO LOS SAMANES P H</t>
  </si>
  <si>
    <t xml:space="preserve">        "CONJUNTO RESIDENCIAL MIRADOR DE SAN PEDRO"</t>
  </si>
  <si>
    <t xml:space="preserve">        PIETRASANTA CAMPESTRE APARTAMENTOS - PROPIEDAD HORIZONTAL</t>
  </si>
  <si>
    <t xml:space="preserve">        CONJUNTO RESIDENCIAL MIRADORES DE LA FLORIDA</t>
  </si>
  <si>
    <t xml:space="preserve">        COPROPIEDAD PARQUE CENTRAL BAVARIA MANZANA DOS -PROPIEDAD HORIZONTAL</t>
  </si>
  <si>
    <t xml:space="preserve">        "URBANIZACION MIRADOR DE LA HACIENDA"</t>
  </si>
  <si>
    <t xml:space="preserve">        INCOTOP SAS</t>
  </si>
  <si>
    <t xml:space="preserve">        CLUB TOWER I APARTAMENTOS PROPIEDAD HORIZONTAL</t>
  </si>
  <si>
    <t xml:space="preserve">        "URBANIZACION COLINA VERDE PH"</t>
  </si>
  <si>
    <t xml:space="preserve">        CONJUNTO RESIDENCIAL MIRADOR DEL CARIBE</t>
  </si>
  <si>
    <t xml:space="preserve">        CONJUNTO RESIDENCIAL RESERVA DE CRISTALES</t>
  </si>
  <si>
    <t xml:space="preserve">        CONJUNTO RESIDENCIAL ORION P.H.</t>
  </si>
  <si>
    <t xml:space="preserve">        CONJUNTO RESIDENCIAL PUERTO VIENTO</t>
  </si>
  <si>
    <t xml:space="preserve">        EDIFICIO PALLADIO CONDOMINIO</t>
  </si>
  <si>
    <t xml:space="preserve">        CONJUNTO SAN LORENZO RESERVA - PROPIEDAD HORIZONTAL</t>
  </si>
  <si>
    <t xml:space="preserve">        EDIFICIO CITRUS PROPIEDAD HORIZONTAL</t>
  </si>
  <si>
    <t xml:space="preserve">        CONJUNTO RESIDENCIAL CARACOLI</t>
  </si>
  <si>
    <t xml:space="preserve">        EDIFICIO BOSQUES DE SIERRALTA P.H</t>
  </si>
  <si>
    <t xml:space="preserve">        KEEP AND GO SAS</t>
  </si>
  <si>
    <t xml:space="preserve">        EDIFICIO ICON 8 PH</t>
  </si>
  <si>
    <t xml:space="preserve">        URBANIZACION MENTHA COMFENALCO PH</t>
  </si>
  <si>
    <t xml:space="preserve">        CONJUNTO DE USO MIXTO METROPOLITAN-PROPIEDAD HORTIZONTAL</t>
  </si>
  <si>
    <t xml:space="preserve">        CONJUNTO RESIDENCIAL URBANIZACION MONTECARMELO P.H</t>
  </si>
  <si>
    <t xml:space="preserve">        EDIFICIO AREIA</t>
  </si>
  <si>
    <t xml:space="preserve">        CORPORACION  EDUCATIVA  LOS  NOGALES</t>
  </si>
  <si>
    <t xml:space="preserve">        CONJUNTO RESIDENCIAL LOS SAUCES P.H.</t>
  </si>
  <si>
    <t xml:space="preserve">        WALL APARTAMENTOS - PROPIEDAD HORIZONTAL</t>
  </si>
  <si>
    <t xml:space="preserve">        CONJUNTO CERRADO AMBAR DEL ESTE -  PROPIEDAD HORIZONTAL</t>
  </si>
  <si>
    <t xml:space="preserve">        CONJUNTO RESIDENCIAL TIERRA GRATA EL ESMERALDAL P.H.</t>
  </si>
  <si>
    <t xml:space="preserve">        FUNDACION COLEGIO ANGLO COLOMBIANO</t>
  </si>
  <si>
    <t xml:space="preserve">        UNIDAD RESIDENCIAL SOLARE-PROPIEDAD HORIZONTAL.</t>
  </si>
  <si>
    <t xml:space="preserve">        NATIVA PARQUE RESIDENCIAL - PROPIEDAD HORIZONTAL</t>
  </si>
  <si>
    <t xml:space="preserve">        CONJUNTO RESIDENCIAL AVANI PROPIEDAD HORIZONTAL</t>
  </si>
  <si>
    <t xml:space="preserve">        CONJUNTO RESIDENCIAL PICADILLY - PROPIEDAD HORIZONTAL</t>
  </si>
  <si>
    <t xml:space="preserve">        CONJUNTO RESIDENCIAL TORRES ELITE CONDOMINIO</t>
  </si>
  <si>
    <t xml:space="preserve">        CONJUNTO RESIDENCIAL CORINTO - PROPIEDAD HORIZONTAL</t>
  </si>
  <si>
    <t xml:space="preserve">        EDIFICIO SANTA ANITA REAL PROPIEDAD HORIZONTAL</t>
  </si>
  <si>
    <t xml:space="preserve">        CONJUNTO RESIDENCIAL MAZZARO ETAPA 1 P.H</t>
  </si>
  <si>
    <t xml:space="preserve">        CONJUNTO RESIDENCIAL LOS CERROS - PROPIEDAD HORIZONTAL</t>
  </si>
  <si>
    <t xml:space="preserve">        FAM S.A.S</t>
  </si>
  <si>
    <t xml:space="preserve">        "CONJUNTO RESIDENCIAL URBANIZACIÓN TIERRA CLARA P.H."</t>
  </si>
  <si>
    <t xml:space="preserve">        URBANIZACION DEL CONJUNTO RESIDENCIAL AIRES DEL BOSQUE ETAPAS 1 Y 2 P.H.</t>
  </si>
  <si>
    <t xml:space="preserve">        EDIFICIO 90 PROPIEDAD HORIZONTAL</t>
  </si>
  <si>
    <t xml:space="preserve">        CONJUNTO RESIDENCIAL EL OASIS - PROPIEDAD HORIZONTAL</t>
  </si>
  <si>
    <t xml:space="preserve">        EDIFICIO OM CLUB HOUSE</t>
  </si>
  <si>
    <t xml:space="preserve">        ST TROPE CONJUNTO RESIDENCIAL ETAPA I - PROPIEDAD HORIZONTAL</t>
  </si>
  <si>
    <t xml:space="preserve">        EDIFICIO PARQUE EL LAGO - PROPIEDAD HORIZONTAL</t>
  </si>
  <si>
    <t xml:space="preserve">        CONJUNTO RESIDENCIAL BOSQUES DE SANTA ANA</t>
  </si>
  <si>
    <t xml:space="preserve">        CONJUNTO RESIDENCIAL DA VICNCI III - PROPIEDAD HORIZONTAL</t>
  </si>
  <si>
    <t xml:space="preserve">        HOTEL THE CHARLEE - PROPIEDAD HORIZONTAL</t>
  </si>
  <si>
    <t xml:space="preserve">        CONJUNTO RESIDENCIAL CANTOLUNA P.H.</t>
  </si>
  <si>
    <t xml:space="preserve">        CONJUNTO TUCAN APARTAMENTOS PARQUE RESIDENSIAL</t>
  </si>
  <si>
    <t xml:space="preserve">        CONJUNTO MULTIFAMILIAR TAINO   PROPIEDAD HORIZONTAL</t>
  </si>
  <si>
    <t xml:space="preserve">        CONJUNTO NACAR A - VIS - PROPIEDAD HORIZONTAL</t>
  </si>
  <si>
    <t xml:space="preserve">        "PORTAL DE LAS AMERICAS" -P.H.-</t>
  </si>
  <si>
    <t xml:space="preserve">        HOTEL ARTISAN CALLE 72 S.A.S</t>
  </si>
  <si>
    <t xml:space="preserve">        "BOSQUE RESERVADO" PROPIEDAD HORIZONTAL</t>
  </si>
  <si>
    <t xml:space="preserve">        GRUPO HOTELERO Y TURISTICO AMBAR S.A.</t>
  </si>
  <si>
    <t xml:space="preserve">        AGRUPACION RESIDENCIAL RESERVA DE LOS LAGOS - PROPIEDAD HORIZONTAL</t>
  </si>
  <si>
    <t xml:space="preserve">        CONJUNTO RESIDENCIAL CIUDAD HAYUELOS SANTIAGO DE TUNJA</t>
  </si>
  <si>
    <t xml:space="preserve">        EDIFICIO AKASHI</t>
  </si>
  <si>
    <t xml:space="preserve">        CONJUNTO BARLOVENTO APARTAMENTOS</t>
  </si>
  <si>
    <t xml:space="preserve">        CONJUNTO RESIDENCIAL Y COMERCIAL JAZZ- PROPIEDAD HORIZONTAL</t>
  </si>
  <si>
    <t xml:space="preserve">        "CONJUNTO DE USO MIXTO URBANIZACIÓN RIO MÍSTICO - PROPIEDAD HORIZONTAL"</t>
  </si>
  <si>
    <t xml:space="preserve">        FUNDACION GIMNASIO CAMPESTRE</t>
  </si>
  <si>
    <t xml:space="preserve">        CAJA DE COMPENSACION FAMILIAR DE CALDAS</t>
  </si>
  <si>
    <t xml:space="preserve">        CONJUNTO RESIDENCIAL SENDEROS DEL CARMEL - PROPIEDAD HORIZONTAL</t>
  </si>
  <si>
    <t xml:space="preserve">        CONJUNTO CACIQUE CONDOMINIO CLUB - PROPIEDAD HORIZONTAL</t>
  </si>
  <si>
    <t xml:space="preserve">        URBANIZACIÓN CIUDADELA RIOVIVO SUBETAPA 1 MENTA, SUBETAPA 2 TURQUESA Y SUBETAPA 3 CELESTE PROPIEDAD HORIZONTAL</t>
  </si>
  <si>
    <t xml:space="preserve">        EDIFICIO PORTO LETICIA P.H</t>
  </si>
  <si>
    <t xml:space="preserve">        EDIFICIO CLINICA COLSANITAS Y CONSULTORIOS PROPIEDAD HORIZONTAL</t>
  </si>
  <si>
    <t xml:space="preserve">        CONJUNTO RESIDENCIAL CAPRIANI-PROPIEDAD HORIZONTAL</t>
  </si>
  <si>
    <t xml:space="preserve">        CONDOMINIO ROBLES</t>
  </si>
  <si>
    <t xml:space="preserve">        CENTRAL CONTROL S.A.S.</t>
  </si>
  <si>
    <t xml:space="preserve">        CONJUNTO RESIDENCIAL BULEVAR LAS VILLAS - PROPIEDAD HORIZONTAL</t>
  </si>
  <si>
    <t xml:space="preserve">        CONJUNTO TIERRALINDA APARTAMENTOS - PROPIEDAD HORIZONTAL</t>
  </si>
  <si>
    <t xml:space="preserve">        FUNDACION UNIVERSITARIA DEL AREA ANDINA</t>
  </si>
  <si>
    <t xml:space="preserve">        HOTELES DE LA 53 SOCIEDAD POR ACCIONES SIMPLIFICADA</t>
  </si>
  <si>
    <t xml:space="preserve">        CLUB RESIDENCIAL FIDELENA PARK P.H.</t>
  </si>
  <si>
    <t xml:space="preserve">        "CONJUNTO RESIDENCIAL ARABELLA - PORIEDAD HORIZONTAL"</t>
  </si>
  <si>
    <t xml:space="preserve">        EDIFICIO PARQUE MEDITERRANEO TORRE 4 P.H</t>
  </si>
  <si>
    <t xml:space="preserve">        EDIFICIO PALMERAS DE LA BOCHA</t>
  </si>
  <si>
    <t xml:space="preserve">        "LA QUINTA CONJUNTO RESIDENCIAL P.H."</t>
  </si>
  <si>
    <t xml:space="preserve">        CONJUNTO DE RESIDENCIAL LAGOS DE LA BOCHA - PROPIEDAD HORIZONTAL</t>
  </si>
  <si>
    <t xml:space="preserve">        "CONJUNTO RESIDENCIAL RIVERA DE SURAMÉRICA P.H."</t>
  </si>
  <si>
    <t xml:space="preserve">        CONJUNTO CERRADO TORRES DEL CENTENARIO - PROPIEDAD HORINZONTAL</t>
  </si>
  <si>
    <t xml:space="preserve">        PIX INVESTMENT COLOMBIA S A</t>
  </si>
  <si>
    <t xml:space="preserve">        EDIFICIO TORRE PRIMI P.H</t>
  </si>
  <si>
    <t xml:space="preserve">        CONJUNTO RESIDENCIAL TAIRONA  PROPIEDAD HORIZONTAL</t>
  </si>
  <si>
    <t xml:space="preserve">        EDIFICIO ZURICH P.H</t>
  </si>
  <si>
    <t xml:space="preserve">        URBANIZACION SERRANA APARTAMENTOS P.H.</t>
  </si>
  <si>
    <t xml:space="preserve">        EDIFICIO BOLSA DE BOGOTA</t>
  </si>
  <si>
    <t xml:space="preserve">        CONJUNTO RESIDENCIAL TERRAVISTA PROPIEDAD HORIZONTAL</t>
  </si>
  <si>
    <t xml:space="preserve">        SUPERMERCADOS MAS POR MENOS S.A.S.</t>
  </si>
  <si>
    <t xml:space="preserve">        CONJUNTO RESERVA DE CANTABRIA - PROPIEDAD HORIZONTAL</t>
  </si>
  <si>
    <t xml:space="preserve">        CONJUNTO CERRADO PIEMONTE</t>
  </si>
  <si>
    <t xml:space="preserve">        CONJUNTO RESIDENCIAL NIZA</t>
  </si>
  <si>
    <t xml:space="preserve">        EDIFICIO HORIZONTE HEALTH RESOURCES PROPIEDAD HORIZONTAL</t>
  </si>
  <si>
    <t xml:space="preserve">        URBANIZACION PORTOVELHO DE LOS COLORES P.H.</t>
  </si>
  <si>
    <t xml:space="preserve">        CAJA DE COMPENSACION FAMILIAR  CAJACOPI ATLANTICO</t>
  </si>
  <si>
    <t xml:space="preserve">        EDIFICIO PASEO VERSALLES - PROPIEDAD HORIZONTAL</t>
  </si>
  <si>
    <t xml:space="preserve">        CONJUNTO RESIDENCIAL TIRRENO PROPIEDAD HORIZONTAL</t>
  </si>
  <si>
    <t xml:space="preserve">        CONJUNTO RESIDENCIAL "PRIMEIRO APARTAMENTOS" P.H</t>
  </si>
  <si>
    <t xml:space="preserve">        EDIFICIO OIKOS ARISTAS PRIMERA Y SEGUNDA ETAPA PROPIEDAD HORIZONTAL</t>
  </si>
  <si>
    <t xml:space="preserve">        VALPARAISO P.H.</t>
  </si>
  <si>
    <t xml:space="preserve">        CONJUNTO RESIDENCIAL HACIENDA PEÑALISA ALMENDRO</t>
  </si>
  <si>
    <t xml:space="preserve">        ¨"CHELO CONJUNTO RESIDENCIAL ETAPA1" - PROPIEDAD HORIZONTAL</t>
  </si>
  <si>
    <t xml:space="preserve">        ALIANZA FIDUCIARIA S.A. FIDEICOMISOS</t>
  </si>
  <si>
    <t xml:space="preserve">        CONJUNTO MULTIFAMILIAR PALMAR DEL LILI</t>
  </si>
  <si>
    <t xml:space="preserve">        URBANIZACION CAMINOS DE SIRIVANA</t>
  </si>
  <si>
    <t xml:space="preserve">        EDIFICIO SANTA ANA MEDICAL CENTER PROPIEDAD HORIZONTAL</t>
  </si>
  <si>
    <t xml:space="preserve">        CENTRO COMERCIAL AMERICANO</t>
  </si>
  <si>
    <t xml:space="preserve">        CONJUNTO RESIDENCIAL AMATISTA</t>
  </si>
  <si>
    <t xml:space="preserve">        CONJUNTO RESIDENCIAL MONVISO P. H.</t>
  </si>
  <si>
    <t xml:space="preserve">        CONJUNTO RESIDENCIAL TIERRA GRATA BRUJA MÁGICA P.H.</t>
  </si>
  <si>
    <t xml:space="preserve">        CONJUNTO RESIDENCIAL SEVILLA CAMPESTRE PROPIEDAD HORIZONTAL</t>
  </si>
  <si>
    <t xml:space="preserve">        CONJUNTO RESIDENCIAL PALLADIO</t>
  </si>
  <si>
    <t xml:space="preserve">        CONJUNTO DE USO MIXTO NÓRDICA PROPIEDAD HORIZONTAL, ETAPA I</t>
  </si>
  <si>
    <t xml:space="preserve">        CONJUNTO RESIDENCIAL ARBOLEDA DEL LILI ETAPA I</t>
  </si>
  <si>
    <t xml:space="preserve">        CONJUNTO RESIDENCIAL PINARES</t>
  </si>
  <si>
    <t xml:space="preserve">        FONDO COMUN LOS ALCATRACES</t>
  </si>
  <si>
    <t xml:space="preserve">        INGENIO DEL CAUCA S.A.S</t>
  </si>
  <si>
    <t xml:space="preserve">        CONJUNTO CERRADO CARBONERO PARQUE RESIDENCIAL</t>
  </si>
  <si>
    <t xml:space="preserve">        EDIFICIO LOS ALMENDROS P.H</t>
  </si>
  <si>
    <t xml:space="preserve">        CONJUNTO COMERCIAL ALMACENTRO P.H.</t>
  </si>
  <si>
    <t xml:space="preserve">        CONJUNTO RESIDENCIAL ROSARIO</t>
  </si>
  <si>
    <t xml:space="preserve">        CONJUNTO CERRADO AMARELLO - PROPIEDAD HORIZONTAL</t>
  </si>
  <si>
    <t xml:space="preserve">        CONJUNTO RESIDENCIAL PORTAL DE PONTEVEDRA IV - PROPIEDAD HORIZONTAL</t>
  </si>
  <si>
    <t xml:space="preserve">        CONJUNTO  RESIDENCIAL VALLE VERDE P.H"</t>
  </si>
  <si>
    <t xml:space="preserve">        CONJUNTO RESIDENCIAL EL SALITRE MONSERRATE - PROPIEDAD HORIZONTAL</t>
  </si>
  <si>
    <t xml:space="preserve">        ALTOZANO ETAPA 1 PROPIEDAD HORIZONTAL</t>
  </si>
  <si>
    <t xml:space="preserve">        CONJUNTO RESIDENCIAL ILARCO 114 - PROPIEDAD HORIZONTAL</t>
  </si>
  <si>
    <t xml:space="preserve">        CONJUNTO RESIDENCIAL SENDEROS DE GRANADA - PROPIEDAD HORIZONTAL</t>
  </si>
  <si>
    <t xml:space="preserve">        URBANIZACION LAUREL P.H.</t>
  </si>
  <si>
    <t xml:space="preserve">        CREAR  CALLE  81  S.A.S</t>
  </si>
  <si>
    <t xml:space="preserve">        CONJUNTO RESIDENCIAL TORRES DE MILAN - PROPIEDAD HORIZONTAL</t>
  </si>
  <si>
    <t xml:space="preserve">        LA URBANIZACION PINARES CONDOMINIO CLUB</t>
  </si>
  <si>
    <t xml:space="preserve">        "CONDOMINIO BOSQUE CANELO, PROPIEDAD HORIZONTAL"</t>
  </si>
  <si>
    <t xml:space="preserve">        "EDIFICIO TORRES DE BARLOVENTO", PROPIEDAD HORIZONTAL</t>
  </si>
  <si>
    <t xml:space="preserve">        CONJUNTO RESIDENCIAL PRADOS DE BAVIERA - PROPIEDAD HORIZONTAL</t>
  </si>
  <si>
    <t xml:space="preserve">        EDIFICIO ALTAVISTA COUNTRY - PROPIEDAD HORIZONTAL</t>
  </si>
  <si>
    <t xml:space="preserve">        EDIFICIO PRADO DE SAN NICOLAS - PROPIEDAD HORIZONTAL</t>
  </si>
  <si>
    <t xml:space="preserve">        CONJUNTO RESIDENCIAL BRIZZA - PH</t>
  </si>
  <si>
    <t xml:space="preserve">        CONJUNTO RESIDENCIAL PARQUES DE TIMIZA I ETAPA - PROPIEDAD HORIZONTAL</t>
  </si>
  <si>
    <t xml:space="preserve">        CONJUNTO RESIDENCIAL TORRES DE LA COLINA II - PROPIEDAD HORIZONTAL</t>
  </si>
  <si>
    <t xml:space="preserve">        "URBANIZACION VIVENZA PROPIEDAD HORIZONTAL"</t>
  </si>
  <si>
    <t xml:space="preserve">        IKSO SAS</t>
  </si>
  <si>
    <t xml:space="preserve">        EDIFICIO COMERCIAL SANTA MARIA</t>
  </si>
  <si>
    <t xml:space="preserve">        PARQUE RESIDENCIAL PLAZUELA 21</t>
  </si>
  <si>
    <t xml:space="preserve">        CONJUNTO RESIDENCIAL MARSELLA - PROPIEDAD HORIZONTAL</t>
  </si>
  <si>
    <t xml:space="preserve">        MODAS Y DISEÑOS S A</t>
  </si>
  <si>
    <t xml:space="preserve">        CONJUNTO RESIDENCIAL NILO - PROPIEDAD HORIZONTAL</t>
  </si>
  <si>
    <t xml:space="preserve">        SANAUTOS S.A.</t>
  </si>
  <si>
    <t xml:space="preserve">        BANYO CONJUNTO RESIDENCIAL ETAPA I</t>
  </si>
  <si>
    <t xml:space="preserve">        CONJUNTO RESIDENCIAL TORRES DE ANDALUCIA PROPIEDAD HORIZONTAL</t>
  </si>
  <si>
    <t xml:space="preserve">        CONJUNTO RESIDENCIAL SEPTIMA AVENIDA PROPIEDAD HORIZONTAL</t>
  </si>
  <si>
    <t xml:space="preserve">        URBANIZACIÓN ARBOLEDA DE LOS COLORES - PROPIEDAD HORIZONTAL</t>
  </si>
  <si>
    <t xml:space="preserve">        CENTRO COMERCIAL MEGAMALL</t>
  </si>
  <si>
    <t xml:space="preserve">        CONJUNTO BULEVAR DEL ALCAZAR P.H. ETAPA 1</t>
  </si>
  <si>
    <t xml:space="preserve">        CONJUNTO RESIDENCIAL CALAMARI</t>
  </si>
  <si>
    <t xml:space="preserve">        UNIDAD RESIDENCIAL TORRES DE SOTOMAYOR  ETAPAS I Y II</t>
  </si>
  <si>
    <t xml:space="preserve">        CONJUNTO RESIDENCIAL SANTA ELENA RESERVADO - PROPIEDAD HORIZONTAL</t>
  </si>
  <si>
    <t xml:space="preserve">        EDIFICIO TORRE ALHAMBRA</t>
  </si>
  <si>
    <t xml:space="preserve">        OSHPITALITY GROUP S.A.S.</t>
  </si>
  <si>
    <t xml:space="preserve">        INGENIO PROVIDENCIA S.A. ABREVIADO PROVIDENCIA S A O PROVIDENCIA</t>
  </si>
  <si>
    <t xml:space="preserve">        PATRIMONIOS AUTONOMOS CREDICORP CAPITAL FIDUCIARIA S A</t>
  </si>
  <si>
    <t xml:space="preserve">        CONJUNTO RESIDENCIAL RESERVA DE CHIPICHAPE - PROPIEDAD HORIZONTAL</t>
  </si>
  <si>
    <t xml:space="preserve">        CONJUNTO RESIDENCIAL BARLOVENTO  PROPIEDAD HORIZONTAL</t>
  </si>
  <si>
    <t xml:space="preserve">        CONJUNTO RESIDENCIAL VALPARAISO</t>
  </si>
  <si>
    <t xml:space="preserve">        COLEGIO GIMNASIO VERMONT S A</t>
  </si>
  <si>
    <t xml:space="preserve">        UNIDAD RESIDENCIAL MONTESOL-PH</t>
  </si>
  <si>
    <t xml:space="preserve">        CONJUNTO RESIDENCIAL MIRADORES DE PONTEVEDRA ETAPA I - PROPIEDAD HORIZONTAL</t>
  </si>
  <si>
    <t xml:space="preserve">        URBANIZACION "VILLA DEL CAMPO P.H."</t>
  </si>
  <si>
    <t xml:space="preserve">        UNIDADES TECNOLOGICAS DE SANTANDER</t>
  </si>
  <si>
    <t xml:space="preserve">        CONDOMINIO GUAYACAN</t>
  </si>
  <si>
    <t xml:space="preserve">        CONJUNTO RESIDENCIAL URBANIZACIÓN VANCOUVER PROPIEDAD HORIZONTAL</t>
  </si>
  <si>
    <t xml:space="preserve">        EDIFICIO TRIESTE- PROPIEDAD HORIZONTAL</t>
  </si>
  <si>
    <t xml:space="preserve">        PATRIMONIOS AUTONOMOS FIDUCIARIA COOMEVA S.A.</t>
  </si>
  <si>
    <t xml:space="preserve">        MILLENNIUM BUSINESS TOWER - PROPIEDAD HORIZONTAL</t>
  </si>
  <si>
    <t xml:space="preserve">        ALTOS DE VALPARAISO P.H.</t>
  </si>
  <si>
    <t xml:space="preserve">        PLAZA 77 MALL P.H</t>
  </si>
  <si>
    <t xml:space="preserve">        CONJUNTO RESIDENCIAL URBANIA BIO - PROPIEDAD HORIZONTAL</t>
  </si>
  <si>
    <t xml:space="preserve">        CONJUNTO RESIDENCIAL LUNA DEL CAMPO - PROPIEDAD HORIZONTAL -</t>
  </si>
  <si>
    <t xml:space="preserve">        DEPARTAMENTO DE SANTANDER</t>
  </si>
  <si>
    <t xml:space="preserve">        CONJUNTO  CERRADO PORTOBELO</t>
  </si>
  <si>
    <t xml:space="preserve">        PARQUE RESIDENCIAL TORRES DE CASTILLA  - PROPIEDAD HORIZONTAL</t>
  </si>
  <si>
    <t xml:space="preserve">        CONJUNTO RESIDENCIAL LAGOS DE VERDE ALFAGUARA</t>
  </si>
  <si>
    <t xml:space="preserve">        HOTELES AVENIDA 82 SOCIEDAD POR ACCIONES SIMPLIFICADA</t>
  </si>
  <si>
    <t xml:space="preserve">        808 EMPRESARIAL -  PROPIEDAD HORIZONTAL</t>
  </si>
  <si>
    <t xml:space="preserve">        CONJUNTO RESIDENCIAL SURCOS DE PANGOLA</t>
  </si>
  <si>
    <t xml:space="preserve">        FUNDACION ABOOD SHAIO</t>
  </si>
  <si>
    <t xml:space="preserve">        CONJUNTO RESIDENCIAL PORTAL DE PONTEVEDRA V - PROPIEDAD HORIZONTAL</t>
  </si>
  <si>
    <t xml:space="preserve">        CONJUNTO RESIDENCIAL LA ESTACION</t>
  </si>
  <si>
    <t xml:space="preserve">        EDIFICIO OPALO 145- PROPIEDAD HORIZONTAL</t>
  </si>
  <si>
    <t xml:space="preserve">        "EDIFICIO MIXTO LA FLORA 58-6" -  PROPIEDAD HORIZONTAL</t>
  </si>
  <si>
    <t xml:space="preserve">        MARBELLA CONJUNTO RESIDENCIAL  ETAPA I  -  PROPIEDAD HORIZONTAL</t>
  </si>
  <si>
    <t xml:space="preserve">        CONJUNTO RESIDENCIAL TORRES DE ALEJANDRIA</t>
  </si>
  <si>
    <t xml:space="preserve">        ALTANA - PROPIEDAD HORIZONTAL</t>
  </si>
  <si>
    <t xml:space="preserve">        CONJUNTO REMANSO DE LA COLINA</t>
  </si>
  <si>
    <t xml:space="preserve">        CORPORACIÓN SALUD UN</t>
  </si>
  <si>
    <t xml:space="preserve">        CONJUNTO RESIDENCIAL URBANIZACION MIRADOR DE LOS BERNAL PROPIEDAD HORIZONTAL</t>
  </si>
  <si>
    <t xml:space="preserve">        CONJUNTO RESIDENCIAL MADEROS DEL CAMPO 3 P.H.</t>
  </si>
  <si>
    <t xml:space="preserve">        CARIBE PLAZA CENTRO COMERCIAL</t>
  </si>
  <si>
    <t xml:space="preserve">        CONJUNTO RESIDENCIAL BRISAS DEL RIO</t>
  </si>
  <si>
    <t xml:space="preserve">        CONJUNTO RESIDENCIAL PADUA PROPIEDAD HORIZONTAL</t>
  </si>
  <si>
    <t xml:space="preserve">        PARQUE RESIDENCIAL RESERVA DE SUBA - PROPIEDAD HORIZONTAL</t>
  </si>
  <si>
    <t xml:space="preserve">        CONJUNTO RESIDENCIAL URBANIZACION RIOGRANDE - APARTAMENTOS PH</t>
  </si>
  <si>
    <t xml:space="preserve">        CONJUNTO RESIDENCIAL SAN  GABRIEL</t>
  </si>
  <si>
    <t xml:space="preserve">        CONJUNTO RESIDENCIAL SENDERO DEL BOSQUE P.H.</t>
  </si>
  <si>
    <t xml:space="preserve">        CONJUNTO RESIDENCIAL COLORES DE SANTA SOFIA</t>
  </si>
  <si>
    <t xml:space="preserve">        CIA HOTELERA ANDES PLAZA S.A.S</t>
  </si>
  <si>
    <t xml:space="preserve">        CONJUNTO RESIDENCIAL GRAN ALICANTE - PROPIEDAD HORIZONTAL ETAPA 1</t>
  </si>
  <si>
    <t xml:space="preserve">        METRO OPERACION INMOBILIARIA S.A.S</t>
  </si>
  <si>
    <t xml:space="preserve">        CONJUNTO CERRADO CAMINO REAL</t>
  </si>
  <si>
    <t xml:space="preserve">        CONJUNTO RESIDENCIAL TOSCANA 70 Y MALL TOSCANA 70</t>
  </si>
  <si>
    <t xml:space="preserve">        VERDI PROPIEDAD HORIZONTAL ETAPA I</t>
  </si>
  <si>
    <t xml:space="preserve">        EDIFICIO CABRERO MARINA CLUB - PROPIEDAD HORIZONTAL</t>
  </si>
  <si>
    <t xml:space="preserve">        EDIFICIO DELTA PARK TOWERS - PROPIEDAD HORIZONTAL</t>
  </si>
  <si>
    <t xml:space="preserve">        "CONJUNTO COCORA PARQUE RESIDENCIAL"</t>
  </si>
  <si>
    <t xml:space="preserve">        CONJUNTO RESIDENCIAL TORRES DE LA GIRALDA P.H</t>
  </si>
  <si>
    <t xml:space="preserve">        CONJUNTO RESIDENCIAL MULTIFAMILIAR GUALANDAY PLAZA ETAPA I</t>
  </si>
  <si>
    <t xml:space="preserve">        CONJUNTO RESIDENCIAL LA PROVINCIA DE TOSCANA P.H.</t>
  </si>
  <si>
    <t xml:space="preserve">        CONJUNTO RESIDENCIAL PASEO DE SANTA CATALINA - PROPIEDAD HORIZONTAL</t>
  </si>
  <si>
    <t xml:space="preserve">        CONJUNTO RESIDENCIAL PASTEUR PH - PROPIEDAD HORIZONTAL</t>
  </si>
  <si>
    <t xml:space="preserve">        HOTEL FACTORY GREEN SAS</t>
  </si>
  <si>
    <t xml:space="preserve">        CONJUNTO RESIDENCIAL LA MONTAÑA - PROPIEDAD HORIZONTAL</t>
  </si>
  <si>
    <t xml:space="preserve">        URBANIZACION MOSTAZA P.H.</t>
  </si>
  <si>
    <t xml:space="preserve">        AGRUPACION   RESIDENCIAL   LA  FLORA    ALSACIA   RESERVADO  -  PROPIEDAD   HORIZONTAL</t>
  </si>
  <si>
    <t xml:space="preserve">        EDIFICIO ASTORGA 414</t>
  </si>
  <si>
    <t xml:space="preserve">        CENTRO COMERCIAL CAÑAVERAL</t>
  </si>
  <si>
    <t xml:space="preserve">        CONJUNTO RESIDENCIAL ARBOLEDA DEL PARQUE - PROPIEDAD HORIZONTAL</t>
  </si>
  <si>
    <t xml:space="preserve">        EDIFICIO PLAZA SAN PEDRO</t>
  </si>
  <si>
    <t xml:space="preserve">        CONJUNTO RESIDENCIAL CIUDAD ACROPOLIS SECTOR 2 TORRE 1, 2 Y 3</t>
  </si>
  <si>
    <t xml:space="preserve">        CONJUNTO BRISAS DE GRANADA II</t>
  </si>
  <si>
    <t xml:space="preserve">        CONJUNTO RESIDENCIAL ALAMEDA PLAZA - PROPIEDAD HORIZONTAL</t>
  </si>
  <si>
    <t xml:space="preserve">        AGAVAL S.A.</t>
  </si>
  <si>
    <t xml:space="preserve">        H&amp;M HENNES &amp; MAURITZ COLOMBIA S.A.S</t>
  </si>
  <si>
    <t xml:space="preserve">        CONJUNTO RESIDENCIAL CASA DEL VIRREY ESLAVA</t>
  </si>
  <si>
    <t xml:space="preserve">        CONJUNTO RESIDENCIAL MACANA - PROPIEDAD HORIZONTAL</t>
  </si>
  <si>
    <t xml:space="preserve">        COPROPIEDAD PARQUES DE LA FLORESTA CLUB RESIDENCIAL - PROPIEDAD HORIZONTAL</t>
  </si>
  <si>
    <t xml:space="preserve">        CONJUNTO RESIDENCIAL GRAN RESERVA DE OPORTO - PROPIEDAD HORIZONTAL</t>
  </si>
  <si>
    <t xml:space="preserve">        CONJUNTO RESIDENCIAL COPACABANA</t>
  </si>
  <si>
    <t xml:space="preserve">        EDIFICIO KARKASI</t>
  </si>
  <si>
    <t xml:space="preserve">        CONJUNTO RESIDENCIAL ROSALES - PROPIEDAD HORIZONTAL</t>
  </si>
  <si>
    <t xml:space="preserve">        CONJUNTO RESIDENCIAL  NUEVO GIRARDOT PRIMERA ETAPA</t>
  </si>
  <si>
    <t xml:space="preserve">        EDIFICIO CENTRO MEDICO ALMIRANTE COLON PROPIEDAD HORIZONTAL</t>
  </si>
  <si>
    <t xml:space="preserve">        UNIDAD RESIDENCIAL URBANIZACION SABATTO P.H ETAPA 1 TORRE 1</t>
  </si>
  <si>
    <t xml:space="preserve">        LOS NOGALES-PROPIEDAD HORIZONTAL</t>
  </si>
  <si>
    <t xml:space="preserve">        CENTRO COMERCIAL NUESTRO ATLANTICO PROPIEDAD HORIZONTAL</t>
  </si>
  <si>
    <t xml:space="preserve">        CONJUNTO RESIDENCIAL TORRES DE ANDALUCIA-PROPIEDAD HORIZONTAL</t>
  </si>
  <si>
    <t xml:space="preserve">        URBANIZACION BOSQIE LIBANO P.H.</t>
  </si>
  <si>
    <t xml:space="preserve">        CONJUNTO RESIDENCIAL SANTA ANA</t>
  </si>
  <si>
    <t xml:space="preserve">        SOLEVANTE ETAPA 1 - PROPIEDAD HORIZONTAL</t>
  </si>
  <si>
    <t xml:space="preserve">        CAJA DE COMPENSACION FAMILIAR DEL CAUCA</t>
  </si>
  <si>
    <t xml:space="preserve">        CONJUNTO RESIDENCIAL MIXTO FLORIDA NORTEAMERICA PH</t>
  </si>
  <si>
    <t xml:space="preserve">        CONJUNTO RESIDENCIAL BRISAS DE GRANADA I - PROPIEDAD HORIZONTAL</t>
  </si>
  <si>
    <t xml:space="preserve">        "CONJUNTO RESIDENCIAL RESERVA CAMPESTRE"-PROPIEDAD HORIZONTAL</t>
  </si>
  <si>
    <t xml:space="preserve">        CORPORACION UNIVERSITARIA MINUTO DE DIOS -UNIMINUTO-</t>
  </si>
  <si>
    <t xml:space="preserve">        CONDOMINIO TORRES DE SAN JOSE</t>
  </si>
  <si>
    <t xml:space="preserve">        CONJUNTO RESIDENCIAL NATURA P.H.</t>
  </si>
  <si>
    <t xml:space="preserve">        CLINICA VERSALLES S.A.</t>
  </si>
  <si>
    <t xml:space="preserve">        CONJUNTO RESIDENCIAL VALPARAISO CIUDAD BOCHALEMA MANZANA D 1  -   PROPIEDAD HORIZONTAL</t>
  </si>
  <si>
    <t xml:space="preserve">        " CONJUNTO RESIDENCIAL CERATTO EPATA I - PROPIEDAD HORIZONTAL"</t>
  </si>
  <si>
    <t xml:space="preserve">        MOLINOS DE SANTA TERESITA APARTAMENTOS</t>
  </si>
  <si>
    <t xml:space="preserve">        CONJUNTO RESIDENCIAL IKONA 167- PROPIEDAD HORIZONTAL</t>
  </si>
  <si>
    <t xml:space="preserve">        EDIFICIO LORETO PROPIEDAD HORIZONTAL</t>
  </si>
  <si>
    <t xml:space="preserve">        CONJUNTO RESIDENCIAL BORA</t>
  </si>
  <si>
    <t xml:space="preserve">        EDIFICIO BALCONY PROPIEDAD HORIZONTAL</t>
  </si>
  <si>
    <t xml:space="preserve">        RAMITEX DEL VALLE S.A.S.</t>
  </si>
  <si>
    <t xml:space="preserve">        CONJUNTO RESIDENCIAL CAYENA III</t>
  </si>
  <si>
    <t xml:space="preserve">        CONDOMINIO BARCELONETA PRIMERA ETAPA</t>
  </si>
  <si>
    <t xml:space="preserve">        CONJUNTO RESIDENCIAL AQUALINA P.H.</t>
  </si>
  <si>
    <t xml:space="preserve">        CONJUNTO RESIDENCIAL URBANIZACIÓN EL POMAR - PROPIEDAD HORIZONTAL</t>
  </si>
  <si>
    <t xml:space="preserve">        CONJUNTO RESIDENCIAL CITARK TORRES - PROPIEDAD HORIZONTAL</t>
  </si>
  <si>
    <t xml:space="preserve">        CONJUNTO RESIDENCIAL TORRES DE PUERTO BANUS PROPIEDAD HORIZONTAL</t>
  </si>
  <si>
    <t xml:space="preserve">        CONJUNTO RESIDENCIAL EL BOSQUE</t>
  </si>
  <si>
    <t xml:space="preserve">        CONJUNTO RESIDENCIAL ALTOS DE TIERRA SANTA - PROPIEDAD HORIZONTAL</t>
  </si>
  <si>
    <t xml:space="preserve">        ALICO S.A.S. BIC</t>
  </si>
  <si>
    <t xml:space="preserve">        NALSANI S A S</t>
  </si>
  <si>
    <t xml:space="preserve">        CONJUNTO RESIDENCIAL PARQUE DE LOS CEREZOS PRIMERA Y SEGUNDA ETAPA- PROPIEDAD HORIZONTAL</t>
  </si>
  <si>
    <t xml:space="preserve">        CONJUNTO BOSQUE DE LUNA CLUB RESIDENCIAL - PROPIEDAD HORIZONTAL</t>
  </si>
  <si>
    <t xml:space="preserve">        CONJUNTO RESIDENCIAL SALAMANDRA</t>
  </si>
  <si>
    <t xml:space="preserve">        EDIFICIO MULTIFAMILIAR ESPACIO 140 PH - PROPIEDAD HORIZONTAL</t>
  </si>
  <si>
    <t xml:space="preserve">        CONJUNTO RESIDENCIAL TIERRA GRATA ETAPAS 1 Y 2 P.H.</t>
  </si>
  <si>
    <t xml:space="preserve">        PROYECTO FLAMENGO</t>
  </si>
  <si>
    <t xml:space="preserve">        CONJUNTO CERRADO MAJESTIC II</t>
  </si>
  <si>
    <t xml:space="preserve">        UNIVERSIDAD DE INVESTIGACION Y DESARROLLO UDI</t>
  </si>
  <si>
    <t xml:space="preserve">        URBANIZACION SIERRA MORENA P.H</t>
  </si>
  <si>
    <t xml:space="preserve">        CONJUNTO RESIDENCIAL COLINA CLUB RESIDENCIAL - PROPIEDAD HORIZONTAL</t>
  </si>
  <si>
    <t xml:space="preserve">        EDIFICIO MARA</t>
  </si>
  <si>
    <t xml:space="preserve">        CONJUNTO RESIDENCIAL RETIRO DE SANTA MONICA PROPIEDAD HORIZONTAL - PROPIEDAD HORIZONTAL</t>
  </si>
  <si>
    <t xml:space="preserve">        URBANIZADORA DAVID PUYANA S.A - EN REORGANIZACION</t>
  </si>
  <si>
    <t xml:space="preserve">        EDIFICIO ALPES PLAZA PROPIEDAD HORIZONTAL</t>
  </si>
  <si>
    <t xml:space="preserve">        CONJUNTO RESIDENCIAL LA SENDA - PROPIEDAD HORIZONTAL</t>
  </si>
  <si>
    <t xml:space="preserve">        EDIFICIO TORRES DILUGANO-PROPIEDAD  HORIZONTAL</t>
  </si>
  <si>
    <t xml:space="preserve">        CONJUNTO CERRADO BRISAS - PROPIEDAD HORIZONTAL</t>
  </si>
  <si>
    <t xml:space="preserve">        EDIFICIO RIVANA BUSINESS PARK TORRE SUR - PROPIEDAD HORIZONTAL</t>
  </si>
  <si>
    <t xml:space="preserve">        CONJUNTO RESIDENCIAL CAMINO DEL VIENTO SUETAPA 1, TORRE 1 P.H.</t>
  </si>
  <si>
    <t xml:space="preserve">        URBANIZACION CANELA P.H.</t>
  </si>
  <si>
    <t xml:space="preserve">        CONJUNTO CERRADO BONAIRE PROPIEDAD HORIZONTAL</t>
  </si>
  <si>
    <t xml:space="preserve">        CONJUNTO RESIDENCIAL MIRADOR BARCELONA PROPIEDAD HORIZONTAL</t>
  </si>
  <si>
    <t xml:space="preserve">        CEMMA INMOBILIARIA S.A.S.</t>
  </si>
  <si>
    <t xml:space="preserve">        EDIFICIO COLFECAR BUSINESS CENTER DORADO</t>
  </si>
  <si>
    <t xml:space="preserve">        EDIFICIO CAMPESTRE TOWERS  -   PROPIEDAD HORIZONTAL</t>
  </si>
  <si>
    <t xml:space="preserve">        CONJUNTO RESIDENCIAL FLORA</t>
  </si>
  <si>
    <t xml:space="preserve">        CONJUNTO RESIDENCIAL PASEO REAL II</t>
  </si>
  <si>
    <t xml:space="preserve">        CONJUNTO RESIDENCIAL DARWIN - PROPIEDAD HORIZONTAL</t>
  </si>
  <si>
    <t xml:space="preserve">        CONJUNTO CERRADO VENTUS - PROPIEDAD HORIZONTAL</t>
  </si>
  <si>
    <t xml:space="preserve">        CONJUNTO RESIDENCIAL MALBEC 1 ETAPA- PROPIEDAD HORIZONTAL</t>
  </si>
  <si>
    <t xml:space="preserve">        CONJUNTO RESIDENCIAL DIVENTO - PROPIEDAD HORIZONTAL</t>
  </si>
  <si>
    <t xml:space="preserve">        EDIFICIO NEPAL 73 PROPIEDAD HORIZONTAL</t>
  </si>
  <si>
    <t xml:space="preserve">        CONJUNTO RESIDENCIAL  EL LAGO -  PROPIEDAD HORIZONTAL</t>
  </si>
  <si>
    <t xml:space="preserve">        CONJUNTO DE USO MIXTO PIZARRA - PROPIEDAD HORIZONTAL</t>
  </si>
  <si>
    <t xml:space="preserve">        EDIFICIO CARTAGENA BEACH EXCLUSIVE RESORT &amp; RESIDENCES - PROPIEDAD HORIZONTAL</t>
  </si>
  <si>
    <t xml:space="preserve">        CONJUNTO PARQUE RESIDENCIAL OASIS DE CASTILLA - PROPIEDAD HORIZONTAL</t>
  </si>
  <si>
    <t xml:space="preserve">        EDIFICIO BONARDI</t>
  </si>
  <si>
    <t xml:space="preserve">        CONJUNTO RESIDENCIAL TORRES AMBAR APARTAMENTOS P.H.</t>
  </si>
  <si>
    <t xml:space="preserve">        CONJUNTO TORRES DEL BOSQUE</t>
  </si>
  <si>
    <t xml:space="preserve">        THE ICON PROPIEDAD HORIZONTAL</t>
  </si>
  <si>
    <t xml:space="preserve">        EDIFICIO 35 PALMS - PROPIEDAD HORIZONTAL</t>
  </si>
  <si>
    <t xml:space="preserve">        CONJUNTO RESIDENCIAL URBANIZACION LUNA DEL BOSQUE - PROPIEDAD HORIZONTAL</t>
  </si>
  <si>
    <t xml:space="preserve">        GRUPO SLAM SAS</t>
  </si>
  <si>
    <t xml:space="preserve">        CONJUNTO RESIDENCIAL PORTAL DE PONTEVEDRA ETAPAS I Y II</t>
  </si>
  <si>
    <t xml:space="preserve">        GRUPO HOTELERO MAR Y SOL S.A.S.</t>
  </si>
  <si>
    <t xml:space="preserve">        CONSTRUTURISMO S.A.S</t>
  </si>
  <si>
    <t xml:space="preserve">        MONTEVERDE PARQUE RESIDENCIAL II ETAPA - PROPIEDAD HORIZONTAL</t>
  </si>
  <si>
    <t xml:space="preserve">        INMOBILIARIA EPIC S.A.S.</t>
  </si>
  <si>
    <t xml:space="preserve">        K 104 MAPLE CONJUNTO RESIDENCIAL ETAPA I PROPIEDAD HORIZONTAL</t>
  </si>
  <si>
    <t xml:space="preserve">        CONJUNTO RESIDENCIAL  URBANIZACION  LUNA  DEL VALLE -  PROPIEDAD HORIZONTAL</t>
  </si>
  <si>
    <t xml:space="preserve">        EDIFICIO IN ALTEZZA</t>
  </si>
  <si>
    <t xml:space="preserve">        NEW PORT PROPIEDAD HORIZONTAL</t>
  </si>
  <si>
    <t xml:space="preserve">        CONJUNTO RESIDENCIAL GAIA</t>
  </si>
  <si>
    <t xml:space="preserve">        CONJUNTO RESIDENCIAL PORTAL DEL PARQUE</t>
  </si>
  <si>
    <t xml:space="preserve">        CONJUNTO RESIDENCIAL GOLF CLUB - PROPIEDAD HORIZONTAL</t>
  </si>
  <si>
    <t xml:space="preserve">        CONJUNTO PARK LIVING - PROPIEDAD HORIZONTAL</t>
  </si>
  <si>
    <t xml:space="preserve">        CONJUNTO RESIDENCIAL FARO - PROPIEDAD HORIZONTAL</t>
  </si>
  <si>
    <t xml:space="preserve">        CONJUNTO RESIDENCIAL SANTA MARIA DE LOS VIENTOS - PROPIEDAD HORIZONTAL</t>
  </si>
  <si>
    <t xml:space="preserve">        CLINICA COLSANITAS S A</t>
  </si>
  <si>
    <t xml:space="preserve">        VIRREY SOLIS I.P.S. S A</t>
  </si>
  <si>
    <t xml:space="preserve">        CONJUNTO RESIDENCIAL PUNTA DEL ESTE ETAPA I Y II - PROPIEDAD  HORIZONTAL</t>
  </si>
  <si>
    <t xml:space="preserve">        CONJUNTO RESIDENCIAL "PUERTO GUITARRA" PROPIEDAD HORIZONTAL</t>
  </si>
  <si>
    <t xml:space="preserve">        CONJUNTO RESIDENCIAL EL CLUB - ETAPA 1</t>
  </si>
  <si>
    <t xml:space="preserve">        CONJUNTO INMOBILIARIO CANARIAS P.H.</t>
  </si>
  <si>
    <t xml:space="preserve">        CONJUNTO RESIDENCIAL LA HACIENDA - PROPIEDAD HORIZONTAL</t>
  </si>
  <si>
    <t xml:space="preserve">        CONJUNTO RESIDENCIAL BANGKOK P.H.</t>
  </si>
  <si>
    <t xml:space="preserve">        CLINICA SAN JOSE DE CUCUTA S A</t>
  </si>
  <si>
    <t xml:space="preserve">        SOCIEDAD CONSTRUCTORA DEL PACIFICO  SODELPA S.A.S.</t>
  </si>
  <si>
    <t xml:space="preserve">        "CONJUNTO TORRES DE SAN FELIPE"</t>
  </si>
  <si>
    <t xml:space="preserve">        CONJUNTO RESIDENCIAL PIAZZALE 23</t>
  </si>
  <si>
    <t xml:space="preserve">        URBANIZACION PUERTO ALEGRE P.H.</t>
  </si>
  <si>
    <t xml:space="preserve">        CONJUNTO RESIDENCIAL TORRES DE SANTA LUCIA PROPIEDAD HORIZONTAL</t>
  </si>
  <si>
    <t xml:space="preserve">        PARIS PARQUE RESIDENCIAL P.H.</t>
  </si>
  <si>
    <t xml:space="preserve">        EDIFICIO KASAURY APARTAMENTOS-PRIMERA ETAPA-PROPIEDAD HORIZONTAL</t>
  </si>
  <si>
    <t xml:space="preserve">        UNIVERSIDAD SANTO TOMAS</t>
  </si>
  <si>
    <t xml:space="preserve">        AGRUPACION ALTOS DE BELLAVISTA - PROPIEDAD HORIZONTAL</t>
  </si>
  <si>
    <t xml:space="preserve">        CONJUNTO RESIDENCIAL URBANIZACION SENDERO DEL PARQUE PROPIEDAD HORIZONTAL</t>
  </si>
  <si>
    <t xml:space="preserve">        AGRUPACIÓN DE LOTES URBANIZACION ICONIK 68- PROPIEDAD HORIZONTAL</t>
  </si>
  <si>
    <t xml:space="preserve">        CONJUNTO RESIDENCIAL URBANIZACION ARRECIFES DE LA ABADIA P.H</t>
  </si>
  <si>
    <t xml:space="preserve">        CONJUNTO SEPIA - VIS - PROPIEDAD HORIZONTAL</t>
  </si>
  <si>
    <t xml:space="preserve">        CONJUNTO DE USO MIXTO ROMAZINO P.H.</t>
  </si>
  <si>
    <t xml:space="preserve">        CONJUNTO RESIDENCIAL MANATÍ</t>
  </si>
  <si>
    <t xml:space="preserve">        EDIFICIO TORRE 9-79 PROPIEDAD HORIZONTAL</t>
  </si>
  <si>
    <t xml:space="preserve">        URBANIZACION BOSQUES DE SAUCES PRIMERA ETAPA P.H</t>
  </si>
  <si>
    <t xml:space="preserve">        CONJUNTO RESIDENCIAL EL REMANSO P.H. - PROPIEDAD HORIZONTAL</t>
  </si>
  <si>
    <t xml:space="preserve">        CONJUNTO ALAMEDA DE SANTA FE  -  PROPIEDAD HORIZONTAL</t>
  </si>
  <si>
    <t xml:space="preserve">        CONJUNTO RESIDENCIAL MODELIA PRADO - PROPIEDAD HORIZONTAL</t>
  </si>
  <si>
    <t xml:space="preserve">        URBANIZACION FLOR APARTAMENTOS PROPIEDAD HORIZONTAL</t>
  </si>
  <si>
    <t xml:space="preserve">        EDIFICIO PORTO HORIZONTE CONDOHOTEL PRIMERA ETAPA</t>
  </si>
  <si>
    <t xml:space="preserve">        CONJUNTO DE USO MIXTO CYPRUS P. H.</t>
  </si>
  <si>
    <t xml:space="preserve">        CONJUNTO RESIDENCIAL CAMINOS DE PANGOLA - VIS</t>
  </si>
  <si>
    <t xml:space="preserve">        URBANIZACIÓN PALO DE ROSA  P.H</t>
  </si>
  <si>
    <t xml:space="preserve">        CONJUNTO RESIDENCIAL FLAMENCO</t>
  </si>
  <si>
    <t xml:space="preserve">        CONJUNTO DE USO MIXTO URBANIZACION OASIS DE COLORES PROPIEDAD HORIZONTAL</t>
  </si>
  <si>
    <t xml:space="preserve">        EDIFICIO MULTIFAMILIAR VIS TERRITORIO MIO - PROPIEDAD HORIZONTAL</t>
  </si>
  <si>
    <t xml:space="preserve">        EDIFICIO GAIA - PROPIEDAD HORIZONTAL</t>
  </si>
  <si>
    <t xml:space="preserve">        CONJUNTO RESIDENCIAL LLANO ALTO 2 - PROPIEDAD HORIZONTAL</t>
  </si>
  <si>
    <t xml:space="preserve">        EDIFICIO PARQUE CENTENARIO</t>
  </si>
  <si>
    <t xml:space="preserve">        CONJUNTO PUERTA MADERA   P.H.</t>
  </si>
  <si>
    <t xml:space="preserve">        CONJUNTO RESIDENCIAL MADEROS DEL CAMPO ETAPA 2 P.H.</t>
  </si>
  <si>
    <t xml:space="preserve">        EDIFICIO BALCONY 95  - PROPIEDAD HORIZONTAL</t>
  </si>
  <si>
    <t xml:space="preserve">        CONJUNTO RESIDENCIAL MIRADOR DE LA COLINA PROPIEDAD HORIZONTAL</t>
  </si>
  <si>
    <t xml:space="preserve">        CONJUNTO RESIDENCIAL BOREAL</t>
  </si>
  <si>
    <t xml:space="preserve">        CONJUNTO RESIDENCIAL PORTUS ETAPA 1 Y ETAPA 2 - PROPIEDAD HORIZONTAL</t>
  </si>
  <si>
    <t xml:space="preserve">        EDIFICIO BALI - PROPIEDAD HORIZONTAL</t>
  </si>
  <si>
    <t xml:space="preserve">        CONJUNTO RESIDENCIAL FIRENZE</t>
  </si>
  <si>
    <t xml:space="preserve">        CONJUNTO RESIDENCIAL URBANIZACION ROSSET P.H.</t>
  </si>
  <si>
    <t xml:space="preserve">        EDIFICIO SEGOVIA - PROPIEDAD HORIZONTAL</t>
  </si>
  <si>
    <t xml:space="preserve">        TELECENTER PANAMERICANA LTDA</t>
  </si>
  <si>
    <t xml:space="preserve">        CONJUNTO RESIDENCIAL BALUARTE P.H</t>
  </si>
  <si>
    <t xml:space="preserve">        CIEX  S A S</t>
  </si>
  <si>
    <t xml:space="preserve">        CONJUNTO  RESIDENCIAL TORRES  DE   SAN  ISIDRO   PROPIEDAD   HORIZONTAL</t>
  </si>
  <si>
    <t xml:space="preserve">        EDIFICIO PLATINUM</t>
  </si>
  <si>
    <t xml:space="preserve">        VITTA APARTAMENTOS CAMPESTRES ETAPA UNO P.H.</t>
  </si>
  <si>
    <t xml:space="preserve">        ESTELARIUM S.A.S</t>
  </si>
  <si>
    <t xml:space="preserve">        BROWNSTONE CAPITAL S.A.S.</t>
  </si>
  <si>
    <t xml:space="preserve">        CROWE  CO  S.A.S</t>
  </si>
  <si>
    <t xml:space="preserve">        "URBANIZACION ATALAYA DE LA MOTA PROPIEDA HORIZONTAL"</t>
  </si>
  <si>
    <t xml:space="preserve">        AGRUPACION DE VIVIENDA ALTOS DE MONTEARROYO TORRE 1 TORRE 2 TORRE 3 TORRE 4 Y TORRE 5 PROPIEDAD HORIZONTAL</t>
  </si>
  <si>
    <t xml:space="preserve">        EDIFICIO EL BOSQUE PROPIEDAD HORIZONTAL</t>
  </si>
  <si>
    <t xml:space="preserve">        CONJUNTO RESIDENCIAL VIVA 26 - PROPIEDAD HORIZONTAL</t>
  </si>
  <si>
    <t xml:space="preserve">        CONJUNTO RESIDENCIAL URBANIZACION EPIC P.H.</t>
  </si>
  <si>
    <t xml:space="preserve">        CONJUNTO CERRADO MAJESTIC</t>
  </si>
  <si>
    <t xml:space="preserve">        CONJUNTO RESIDENCIAL CARANDAY</t>
  </si>
  <si>
    <t xml:space="preserve">        CONJUNTO RESIDENCIAL TERRAZAS DE CALICANTO</t>
  </si>
  <si>
    <t xml:space="preserve">        CONJUNTO RESIDENCIAL PLAZA CASTILLA - PROPIEDAD HORIZONTAL</t>
  </si>
  <si>
    <t xml:space="preserve">        URBANIZACION PUERTO LUNA P.H.</t>
  </si>
  <si>
    <t xml:space="preserve">        CONSORCIO EDIFICACIONES COVEÑAS</t>
  </si>
  <si>
    <t xml:space="preserve">        INVERSIONES DEL VIRREY S A</t>
  </si>
  <si>
    <t xml:space="preserve">        PASEO COMERCIAL AMSTERDAM PLAZA - PROPIEDAD HORIZONTAL</t>
  </si>
  <si>
    <t xml:space="preserve">        SAFRID INGENIERIA SAS</t>
  </si>
  <si>
    <t xml:space="preserve">        CONJUNTO RESIDENCIAL VILLATERRA - PROPIEDAD HORIZONTAL</t>
  </si>
  <si>
    <t xml:space="preserve">        CONJUNTO RESIDENCIAL  MONTERESERVA I ETAPA-PROPIEDAD HORIZONTAL</t>
  </si>
  <si>
    <t xml:space="preserve">        CONJUNTO RESIDENCIAL RESERVA DE LAS AMERICAS ETAPA 2 PROPIEDAD HORIZONTAL</t>
  </si>
  <si>
    <t xml:space="preserve">        VIVIENDAS Y ESTRATEGIAS S.A.S</t>
  </si>
  <si>
    <t xml:space="preserve">        CONJUNTO DE USO MIXTO URBANIZACION JARDIN DE COLORES P.H.</t>
  </si>
  <si>
    <t xml:space="preserve">        SOCIEDAD HOTELERA CIEN INTERNACIONAL S.A.</t>
  </si>
  <si>
    <t xml:space="preserve">        AGRUPACION RESIDENCIAL PRADOS DE LA CALLEJA - PROPIEDAD HORIZONTAL</t>
  </si>
  <si>
    <t xml:space="preserve">        SPOT CENTRO  S.A.S</t>
  </si>
  <si>
    <t xml:space="preserve">        CONJUNTO ATRIUM - PROPIEDAD HORIZONTAL</t>
  </si>
  <si>
    <t xml:space="preserve">        CONJUNTO RESIDENCIAL PASEO DE SAN FRANCISCO  P. H.</t>
  </si>
  <si>
    <t xml:space="preserve">        URBANIZACION VITENZA P.H.</t>
  </si>
  <si>
    <t xml:space="preserve">        CONJUNTO RESIDENCIAL URBANIZACION TORRES DE MAYORCA P.H.</t>
  </si>
  <si>
    <t xml:space="preserve">        CENTRO COMERCIAL UNICENTRO VALLEDUPAR - PROPIEDAD HORIZONTAL</t>
  </si>
  <si>
    <t xml:space="preserve">        CONJUNTO RESIDENCIAL TIERRA GRATA CUMBRES      P..H .</t>
  </si>
  <si>
    <t xml:space="preserve">        CONJUNTO RESIDENCIAL PROVENZA CLUB, EL CONDOMINIO, PH - PRIMERA Y SEGUNDA ETAPA</t>
  </si>
  <si>
    <t xml:space="preserve">        CAMPANARIO CENTRO  COMERCIAL</t>
  </si>
  <si>
    <t xml:space="preserve">        EDIFICIO TORRES DE COLON III</t>
  </si>
  <si>
    <t xml:space="preserve">        CONJUNTO RESIDENCIAL CAMINO SANTA ANA - PROPIEDAD HORIZONTAL</t>
  </si>
  <si>
    <t xml:space="preserve">        CENTRO CORPORATIVO SERENA DEL MAR - EDIFICIO UNIVERSIDAD DE LOS ANDES</t>
  </si>
  <si>
    <t xml:space="preserve">        CONJUNTO RESIDENCIAL TAJAMARES DE VILLA CAMPESTRE</t>
  </si>
  <si>
    <t xml:space="preserve">        SP INMOBILIARIA S.A.S.</t>
  </si>
  <si>
    <t xml:space="preserve">        "CONJUNTO DE USO MIXTO CAMINO DE COLORES PROPIEDAD HORIZONTAL"</t>
  </si>
  <si>
    <t xml:space="preserve">        CONJUNTO RESIDENCIAL CAMINO DEL PARQUE - PROPIEDAD HORIZONTAL</t>
  </si>
  <si>
    <t xml:space="preserve">        CONJUNTO RESIDENCIAL PASOLLANO 3 - PROPIEDAD HORIZONTAL</t>
  </si>
  <si>
    <t xml:space="preserve">        OINSAMED S.A.S</t>
  </si>
  <si>
    <t xml:space="preserve">        CONJUNTO RESIDENCIAL LAS HUERTAS DE CAJICA RESERVADO II, PROPIEDAD HORIZONTAL</t>
  </si>
  <si>
    <t xml:space="preserve">        CONJUNTO RESIDENCIAL ALMENARA - PROPIEDAD HORIZONTAL</t>
  </si>
  <si>
    <t xml:space="preserve">        CONJUNTO RESIDENCIAL FIRENZE PH</t>
  </si>
  <si>
    <t xml:space="preserve">        GIRALDO GOMEZ CONSTRUCTORES  S.A.S</t>
  </si>
  <si>
    <t xml:space="preserve">        ¨CONJUNTO DE USO MIXTO NUEVO SOL PROPIEDAD HORIZONTAL¨</t>
  </si>
  <si>
    <t xml:space="preserve">        BASE PROPERTY GROUP SAS</t>
  </si>
  <si>
    <t xml:space="preserve">        CONJUNTO RESIDENCIAL IRAWA - PROPIEDAD HORIZONTAL</t>
  </si>
  <si>
    <t xml:space="preserve">        CENTRO INTERNACIONAL DE NEGOCIOS LA TRIADA</t>
  </si>
  <si>
    <t xml:space="preserve">        CONJUNTO RESIDENCIAL CAMINO DE SAN ROQUE - PROPIEDAD HORIZONTAL</t>
  </si>
  <si>
    <t xml:space="preserve">        CONJUNTO RESIDENCIAL URBANIZACION PARQUE DE LOS BERNAL P.H.</t>
  </si>
  <si>
    <t xml:space="preserve">        CONJUNTO RESIDENCIAL KEPLER  -  PROPIEDAD HORIZONTAL</t>
  </si>
  <si>
    <t xml:space="preserve">        CONJUNTO RESIDENCIAL PANORAMA 140 - PROPIEDAD HORIZONTAL</t>
  </si>
  <si>
    <t xml:space="preserve">        CONJUNTO DE USO MIXTO URBANIZACIÓN RIO SECRETO P.H.</t>
  </si>
  <si>
    <t xml:space="preserve">        EDIFICIO MADRIGALES DEL PARQUE</t>
  </si>
  <si>
    <t xml:space="preserve">        CONJUNTO RESIDENCIAL CELESTE</t>
  </si>
  <si>
    <t xml:space="preserve">        EDIFICIO CALLE 89 PROPIEDAD HORIZONTAL</t>
  </si>
  <si>
    <t xml:space="preserve">        CONJUNTO PLAYA DORMIDA PROPIEDAD HORIZONTAL</t>
  </si>
  <si>
    <t xml:space="preserve">        COLINA CLUB RESIDENCIAL- PROPIEDAD HORIZONTAL</t>
  </si>
  <si>
    <t xml:space="preserve">        EDIFICIO INFINITUM CARTAGENA - PROPIEDAD HORIZONTAL</t>
  </si>
  <si>
    <t xml:space="preserve">        CONJUNTO RESIDENCIAL PARQUE DE SAN MARTIN - PROPIEDAD HORIZONTAL</t>
  </si>
  <si>
    <t xml:space="preserve">        UNIVERSIDAD ICESI</t>
  </si>
  <si>
    <t xml:space="preserve">        CONDOMINIO ZAZUE</t>
  </si>
  <si>
    <t xml:space="preserve">CAMPUZANO  CAMPUZANO  BLANCA  RUTH  </t>
  </si>
  <si>
    <t xml:space="preserve">        CENTRO COMERCIAL Y DE NEGOCIOS TORRE CENTRAL PROPIEDAD HORIZONTAL</t>
  </si>
  <si>
    <t xml:space="preserve">        INSTITUTO PARA NIÑOS CIEGOS Y SORDOS DEL VALLE DEL CAUCA</t>
  </si>
  <si>
    <t xml:space="preserve">        COMPAÑIA HOTELERA PLAZA S.A.S</t>
  </si>
  <si>
    <t xml:space="preserve">        CONJUNTO RESIDENCIAL OLIVENZA</t>
  </si>
  <si>
    <t xml:space="preserve">        CONJUNTO RESIDENCIAL "PACIFICA P.H."</t>
  </si>
  <si>
    <t xml:space="preserve">        CONJUNTO RESIDENCIAL COLINA CAMPESTRE - PROPIEDAD HORIZONTAL</t>
  </si>
  <si>
    <t xml:space="preserve">        PATRIMONIOS AUTONOMOS ACCION FIDUCIARIA</t>
  </si>
  <si>
    <t xml:space="preserve">        CONJUNTO RESIDENCIAL EL MOLINO, PROPIEDAD HORIZONTAL</t>
  </si>
  <si>
    <t xml:space="preserve">        CONJUNTO RESIDENCIAL "HACIENDA PEÑALISA TAGUA"</t>
  </si>
  <si>
    <t xml:space="preserve">        CONJUNTO DE USO MIXTO PITRIZA P.H.</t>
  </si>
  <si>
    <t xml:space="preserve">        CONJUNTO RESIDENCIAL OCEANA 52 ETAPA 1 Y 2</t>
  </si>
  <si>
    <t xml:space="preserve">        CONTEIN  S A S</t>
  </si>
  <si>
    <t xml:space="preserve">        CORPORACION ALBERTO ARANGO RESTREPO - CEDER</t>
  </si>
  <si>
    <t xml:space="preserve">        "URBANIZACION REMANSO DEL RODEO - PROPIEDAD HORIZONTAL, ETAPA 1 - TORRE 1"</t>
  </si>
  <si>
    <t xml:space="preserve">        POLITECNICO GRANCOLOMBIANO</t>
  </si>
  <si>
    <t xml:space="preserve">        "CONJUNTO RESIDENCIAL PASEO DEL PARQUE - PROPIEDAD HORIZONTAL"</t>
  </si>
  <si>
    <t xml:space="preserve">        "CONJUNTO DE USO MIXTO TURMALINA - PROPIEDAD HORIZONTAL"</t>
  </si>
  <si>
    <t xml:space="preserve">        AGRUPACION DE VIVIENDA SERRAMONTE- PROPIEDAD HORIZONTAL</t>
  </si>
  <si>
    <t xml:space="preserve">        COJUNTO RESIDENCIAL MEDITERRANEO - PROPIEDAD HORIZONTAL</t>
  </si>
  <si>
    <t xml:space="preserve">        CONJUNTO RESIDENCIAL ARANY APARTAMENTYOS - PROPIEDAD HORIZONTAL</t>
  </si>
  <si>
    <t xml:space="preserve">        UNIVERSIDAD PONTIFICIA BOLIVARIANA</t>
  </si>
  <si>
    <t xml:space="preserve">        CONJUNTO RESIDENCIAL AIRES DEL CAMPO P.H. (TORRE 1)</t>
  </si>
  <si>
    <t xml:space="preserve">        EDIFICIO MEDITERRANE</t>
  </si>
  <si>
    <t xml:space="preserve">        GESTORES  URBANOS  S.A.S.</t>
  </si>
  <si>
    <t xml:space="preserve">        "VILLA DEL PARQUE P.H."</t>
  </si>
  <si>
    <t xml:space="preserve">        URBANIZACION RODEO VERDE - PROPIEDAD HORIZONTAL</t>
  </si>
  <si>
    <t xml:space="preserve">        TRANSPORTES ESPECIALES BRASILIA  S.A.S</t>
  </si>
  <si>
    <t xml:space="preserve">        CONDOMINIO CAMPESTRE SIERRA GRANDE P.H.</t>
  </si>
  <si>
    <t xml:space="preserve">        BLOCK CENTRO EMPRESARIAL- PROPIEDAD HORIZONTAL</t>
  </si>
  <si>
    <t xml:space="preserve">        CONJUNTO RESIDENCIAL CONJUNTO RESIDENCIAL BELLAVISTA IMPERIAL - PROPIEDAD HORIZONTAL</t>
  </si>
  <si>
    <t xml:space="preserve">        CONJUNTO CERRADO MONTERIZZO - PROPIEDAD HORIZONTAL</t>
  </si>
  <si>
    <t xml:space="preserve">        EDIFICIO PARQUE 94-PROPIEDAD HORIZONTAL</t>
  </si>
  <si>
    <t xml:space="preserve">        HOTELES DORADO PLAZA COLOMBIA S.A.S</t>
  </si>
  <si>
    <t xml:space="preserve">        SECTOR 9 SAS</t>
  </si>
  <si>
    <t xml:space="preserve">        CONJUNTO RESIDENCIAL URBANIZACION SOL NACIENTE PROPIEDAD HORIZONTAL</t>
  </si>
  <si>
    <t xml:space="preserve">TORRES  VILLEGAS  LUIS  FERNANDO  </t>
  </si>
  <si>
    <t xml:space="preserve">        COMERCIALIZADORA SPY + TECHNOLOGY SAS</t>
  </si>
  <si>
    <t xml:space="preserve">        PIJAO DESARROLLOS CORPORATIVOS S.A.S.</t>
  </si>
  <si>
    <t xml:space="preserve">        RED CANYON HOLDINGS COLOMBIA SAS</t>
  </si>
  <si>
    <t xml:space="preserve">        CONJUNTO RESIDENCIAL MIRADOR DE AVALON -  PROPIEDAD HORIZONTAL</t>
  </si>
  <si>
    <t xml:space="preserve">        EDIFICIO ING  PROPIEDAD HORIZONTAL</t>
  </si>
  <si>
    <t xml:space="preserve">        CONJUNTO RESIDENCIAL ATIKA - PROPIEDAD HORIZONTAL</t>
  </si>
  <si>
    <t xml:space="preserve">        GRUPO DOMUS S.A.S.</t>
  </si>
  <si>
    <t xml:space="preserve">        EDIFICIO COMERCIAL Y EMPRESARIAL TORRE HHC PH</t>
  </si>
  <si>
    <t xml:space="preserve">ARIAS  GARCIA  MARIA  YOLANDA  </t>
  </si>
  <si>
    <t xml:space="preserve">        CONJUNTO RESIDENCIAL ALCARAVAN - PROPIEDAD HORIZONTAL</t>
  </si>
  <si>
    <t xml:space="preserve">        CONJUNTO RESIDENCIAL PARQUE ARAGON - PROPIEDAD HORIZONTAL</t>
  </si>
  <si>
    <t xml:space="preserve">        CONJUNTO RESIDENCIAL URBANIZACION TIERRA DEL SOL ETAPA 1 Y ETAPA 2 - PROPIEDAD HORIZONTAL</t>
  </si>
  <si>
    <t xml:space="preserve">        URBANIZACION PARQUE RESIDENCIAL FLORES DEL CAMPO - PRIMERA ETAPA P.H.</t>
  </si>
  <si>
    <t xml:space="preserve">LOPEZ  CORDOBA  HARLIN  ALFREDO  </t>
  </si>
  <si>
    <t xml:space="preserve">        URBANIZACION BOSQUE GRANDE P.H"</t>
  </si>
  <si>
    <t xml:space="preserve">        CONJUNTO RESIDENCIAL ARBOLEDA DE SOTILEZA - PROPIEDAD HORIZONTAL</t>
  </si>
  <si>
    <t xml:space="preserve">        CONJUNTO RESIDENCIAL CIPRÉS DE LA ARBOLEDA - PROPIEDAD HORIZONTAL</t>
  </si>
  <si>
    <t xml:space="preserve">        " CONJUNTO DE USO MIXTO CITRINO - PROPIEDAD HORIZONTAL "</t>
  </si>
  <si>
    <t xml:space="preserve">        OCAMPO PROYECTOS E INVERSIONES S.A.S.</t>
  </si>
  <si>
    <t xml:space="preserve">        BC HOTELES S. A.</t>
  </si>
  <si>
    <t xml:space="preserve">        EDIFICIO SAUCES DE LA VEGA P.H</t>
  </si>
  <si>
    <t xml:space="preserve">        HOTEL SANTA CLARA S.A.</t>
  </si>
  <si>
    <t xml:space="preserve">        CENTRO COMERCIAL SAN ANDRESITO DEL SUR</t>
  </si>
  <si>
    <t xml:space="preserve">        PROMOTORA INMOBILIARIA TERRITORIO VERDE S.A.S.</t>
  </si>
  <si>
    <t xml:space="preserve">        CONJUNTO RESIDENCIAL ALAMEDA 170 - PROPIEDAD HORIZONTAL</t>
  </si>
  <si>
    <t xml:space="preserve">        CONJUNTO RESIDENCIAL FRAGATA</t>
  </si>
  <si>
    <t xml:space="preserve">        CONJUNTO RESIDENCIAL TIERRA GRATA PALMAS PROPIEDAD HORIZONTAL</t>
  </si>
  <si>
    <t xml:space="preserve">        CERRO AZUL CONJUNTO RESIDENCIAL P.H</t>
  </si>
  <si>
    <t xml:space="preserve">        FAMILIA DEL PACIFICO   S . A . S</t>
  </si>
  <si>
    <t xml:space="preserve">        URBNIZACION ROTERDAM P.H</t>
  </si>
  <si>
    <t xml:space="preserve">        CONVALLE CONSTRUCTORA S.A.S.</t>
  </si>
  <si>
    <t xml:space="preserve">        CONJUNTO RESIDENCIAL SANTORINI</t>
  </si>
  <si>
    <t xml:space="preserve">        UNION TEMPORAL ALTO RENDIMIENTO UTS</t>
  </si>
  <si>
    <t xml:space="preserve">        CONJUNTO RESIDENCIAL SIERRAS DEL MORAL MANZANA 4 TORRES 1 A LA 5 P.H</t>
  </si>
  <si>
    <t xml:space="preserve">        CONSTRUCTORA GARCIA E HIJOS S.A.S</t>
  </si>
  <si>
    <t xml:space="preserve">        CONJUNTO RESIDENCIAL RESERVA DE LA FLORA ETAPA 1A Y 1B</t>
  </si>
  <si>
    <t xml:space="preserve">        CONJUNTO RESIDENCIAL TENERIFE - PROPIEDAD HORIZONTAL</t>
  </si>
  <si>
    <t xml:space="preserve">        CONJUNTO RESIDENCIAL IMPERIAL RESERVADO  - PROPIEDAD HORIZONTAL</t>
  </si>
  <si>
    <t xml:space="preserve">        CONSORCIO ZOE</t>
  </si>
  <si>
    <t xml:space="preserve">        CONJUNTO RESIDENCIAL ARBOLEDA HACIENDA CASABLANCA</t>
  </si>
  <si>
    <t xml:space="preserve">        FERRODAR Z.M S.A.S</t>
  </si>
  <si>
    <t xml:space="preserve">        CONJUNTO RESIDENCIAL MANZANA ONCE P.H.</t>
  </si>
  <si>
    <t xml:space="preserve">        EDIFICIO MANANTIAL PROPIEDAD HORIZONTAL</t>
  </si>
  <si>
    <t xml:space="preserve">        CODIGO PROYECTOS S A S</t>
  </si>
  <si>
    <t xml:space="preserve">        CONJUNTO SALINAS DEL MAR - PROPIEDAD HORIZONTAL</t>
  </si>
  <si>
    <t xml:space="preserve">        ALTAVISTA NORMANDIA ETAPAS 1 Y 2 - PROPIEDAD HORIZONTAL</t>
  </si>
  <si>
    <t xml:space="preserve">        ARQ PROJECT S.A.S.</t>
  </si>
  <si>
    <t xml:space="preserve">        INVERSIONES INMOBILIARIA DUQUE S.A.S</t>
  </si>
  <si>
    <t xml:space="preserve">        CENTRO COMERCIAL BRISAS PLAZA SHOPPING - PROPIEDAD HORIZONTAL</t>
  </si>
  <si>
    <t xml:space="preserve">        PARTEQUIPOS MAQUINARIA S.A.S</t>
  </si>
  <si>
    <t xml:space="preserve">        CONJUNTO RESIDENCIAL NUEVO SOL- PROPIEDAD HORIZONTAL</t>
  </si>
  <si>
    <t xml:space="preserve">        PRIMITIVA PARQUE NATURAL -PROPIEDAD HORIZONTAL-</t>
  </si>
  <si>
    <t xml:space="preserve">        CONJUNTO RESIDENCIAL MADEROS DEL CAMPO 1 P.H.</t>
  </si>
  <si>
    <t xml:space="preserve">MEJIA  ROJAS  REINEL  OSVALDO  </t>
  </si>
  <si>
    <t xml:space="preserve">        CONSTRUCCIONES TRINITY S.A.S.</t>
  </si>
  <si>
    <t xml:space="preserve">        ESTUDIOS Y SISTEMAS S.A.S.</t>
  </si>
  <si>
    <t xml:space="preserve">        HOTELES DE OCCIDENTE SOCIEDAD POR ACCIONES SIMPLIFICADA</t>
  </si>
  <si>
    <t xml:space="preserve">        CONJUNTO TORRES DE LA CEIBA</t>
  </si>
  <si>
    <t xml:space="preserve">        URBANIZACION CAPRI P.H.</t>
  </si>
  <si>
    <t xml:space="preserve">        URBANIZACION KORE APARTAMENTOS P.H.</t>
  </si>
  <si>
    <t xml:space="preserve">        CONJUNTO PARQUE RESIDENCIAL VIVERO CLUB PROPIEDAD HORIZONTAL</t>
  </si>
  <si>
    <t xml:space="preserve">        PARQUE RESIDENCIAL TIERRACOLINA - PROPIEDAD HORIZONTAL</t>
  </si>
  <si>
    <t xml:space="preserve">        CONJUNTO RESIDENCIAL VALLE DEL REFOUS ETAPAS 1,2 Y 3 - PROPIEDAD HORIZONTAL</t>
  </si>
  <si>
    <t xml:space="preserve">        CONJUNTO RESIDENCIAL ALONDRA</t>
  </si>
  <si>
    <t xml:space="preserve">        CONJUNTO  RESIDENCIAL  TORREHAYUELOS PROPIEDAD HORIZONTAL</t>
  </si>
  <si>
    <t xml:space="preserve">        CONJUNTO RESIDENCIAL PASOLLANO 4 - PROPIEDAD HORIZONTAL</t>
  </si>
  <si>
    <t xml:space="preserve">        CONJUNTO RESIDENCIAL CANTABRIA - PROPIEDAD HORIZONTAL</t>
  </si>
  <si>
    <t xml:space="preserve">        NINAKUPENDA  S A S</t>
  </si>
  <si>
    <t xml:space="preserve">        INVERSIONES RAVCOM  S.A.S</t>
  </si>
  <si>
    <t xml:space="preserve">        CENTROS MEDICOS COLSANITAS SAS</t>
  </si>
  <si>
    <t xml:space="preserve">        CENTRO    MEDICO    FARALLONES</t>
  </si>
  <si>
    <t xml:space="preserve">CARRASCAL  PICON  WILSON    </t>
  </si>
  <si>
    <t xml:space="preserve">        E.S.E. HOSPITAL UNIVERSITARIO DE LA SAMARITANA</t>
  </si>
  <si>
    <t xml:space="preserve">        INVERSIONES GILMASEM S.A.S.</t>
  </si>
  <si>
    <t xml:space="preserve">        CONJUNTO RESIDENCIAL VIA SERRANO P.H.</t>
  </si>
  <si>
    <t xml:space="preserve">        SALAMANCA APARTAMENTOS- PROPIEDAD HORIZONTAL</t>
  </si>
  <si>
    <t xml:space="preserve">        GRUPO EMPRESARIAL 6S SAS</t>
  </si>
  <si>
    <t xml:space="preserve">        CONJUNTO RESIDENCIAL URBAN SALITRE ZURICH -  PROPIEDAD HORIZONTAL</t>
  </si>
  <si>
    <t xml:space="preserve">        CONJUNTO RESIDENCIAL NATIVO MADERA P.H.</t>
  </si>
  <si>
    <t xml:space="preserve">        CONJUNTO RESIDENCIAL MEDITERRANE ROYAL CONDOMINIO &amp; CLUB PH.</t>
  </si>
  <si>
    <t xml:space="preserve">        CONJUNTO RESIDENCIAL URBANIZACIÓN CORALES DE LA ABADIA P. H.</t>
  </si>
  <si>
    <t xml:space="preserve">        ORGANIZACION   CLINICA   BONNADONA -  PREVENIR  S.A.S.</t>
  </si>
  <si>
    <t xml:space="preserve">        CONSTRUWILL SAS</t>
  </si>
  <si>
    <t xml:space="preserve">        IC  CONSTRUCTORA    S A S</t>
  </si>
  <si>
    <t xml:space="preserve">        CENTRO COMERCIAL UNICENTRO  NEIVA</t>
  </si>
  <si>
    <t xml:space="preserve">        ESPECIALMENTE  S.A.S.</t>
  </si>
  <si>
    <t xml:space="preserve">        CONJUNTO RESIDENCIAL PARQUE CENTRAL SALITRE ETAPA IV- PROPIEDAD HORIZONTAL</t>
  </si>
  <si>
    <t xml:space="preserve">        CONJUNTO RESIDENCIAL ZIOON TOWERS</t>
  </si>
  <si>
    <t xml:space="preserve">        CONDOMINIO CABO TORTUGA</t>
  </si>
  <si>
    <t xml:space="preserve">        "CONJUNTO RESIDENCIAL ZAGUAN DE LAS FLORES" - PROPIEDAD HORIZONTAL</t>
  </si>
  <si>
    <t xml:space="preserve">        CONJUNTO RESIDENCIAL TORRES DE SANTA BARBARA PROPIEDAD HORIZONTAL</t>
  </si>
  <si>
    <t xml:space="preserve">        CONJUNTO RESIDENCIAL OVIEDO APARTAMENTOS - PROPIEDAD HORIZONTAL</t>
  </si>
  <si>
    <t xml:space="preserve">        MEGACENTRO PINARES - PROPIEDAD HORIZONTAL</t>
  </si>
  <si>
    <t xml:space="preserve">MALCA  SASBON  LILLY  ESTHER  </t>
  </si>
  <si>
    <t xml:space="preserve">        ELITE MOTORS S.A.S</t>
  </si>
  <si>
    <t xml:space="preserve">        INVERSIONES ARBAL 1A S.A.S.</t>
  </si>
  <si>
    <t xml:space="preserve">        EDIFICIO BELAIR PLAZA - PROPIEDAD HORIZONTAL</t>
  </si>
  <si>
    <t xml:space="preserve">        CONJUNTO RESIDENCIAL SAN FERMIN  II  ETAPA I</t>
  </si>
  <si>
    <t xml:space="preserve">        "CONJUNTO RESIDENCIAL BOSQUE SAN ANGEL" - PROPIEDAD HORIZONTAL</t>
  </si>
  <si>
    <t xml:space="preserve">        MIG INGENIERIA Y ARQUITECTURA S.A.S.</t>
  </si>
  <si>
    <t xml:space="preserve">        ESFÉRICA SOCIEDAD POR ACCIONES SIMPLIFICADA</t>
  </si>
  <si>
    <t xml:space="preserve">LONDOÑO  PEREZ  HAROL    </t>
  </si>
  <si>
    <t xml:space="preserve">        CONJUNTO RESIDENCIAL ALANDRA - PROPIEDAD HORIZONTAL</t>
  </si>
  <si>
    <t xml:space="preserve">        GIRA CONSTRUCTORA S.A.S.</t>
  </si>
  <si>
    <t xml:space="preserve">        INVERSIONES BAYON S.A.S.</t>
  </si>
  <si>
    <t xml:space="preserve">        CENTRO COMERCIAL PALMETTO PLAZA - PROPIEDAD HORIZONTAL</t>
  </si>
  <si>
    <t xml:space="preserve">        EDIFICIO PLAZA DEL CONQUISTADOR P.H.</t>
  </si>
  <si>
    <t xml:space="preserve">        CUSEZAR S A CUSEZAR</t>
  </si>
  <si>
    <t xml:space="preserve">        CONJUNTO DE USO MIXTO TORRES DEL RIO P.H.</t>
  </si>
  <si>
    <t xml:space="preserve">        CONJUNTO RESIDENCIAL PARQUES DE LA  ALAMEDA- PROPIEDAD HORIZONTAL</t>
  </si>
  <si>
    <t xml:space="preserve">        CONJUNTO CERRADO PARQUE CENTRAL FONTIBON 1 - PROPIEDAD HORIZONTAL</t>
  </si>
  <si>
    <t xml:space="preserve">        CONJUNTO RESIDENCIAL REGATA P.H.</t>
  </si>
  <si>
    <t xml:space="preserve">        INTEGRADORES LOGISTICOS DEL CARIBE INLOGCAR S.A.S</t>
  </si>
  <si>
    <t xml:space="preserve">        SINERGOS SAS</t>
  </si>
  <si>
    <t xml:space="preserve">        UNIVERSIDAD COOPERATIVA DE COLOMBIA</t>
  </si>
  <si>
    <t xml:space="preserve">        CONSTRUCTORA HBL SAS</t>
  </si>
  <si>
    <t xml:space="preserve">        CONJUNTO RESIDENCIAL OASIS DE MARDEL</t>
  </si>
  <si>
    <t xml:space="preserve">        ALTA INVERSION INMOBILIARIA S.A.S.</t>
  </si>
  <si>
    <t xml:space="preserve">        UNIDAD ADMINISTRATIVA ESPECIAL DE GESTION PENSIONAL Y CONTRIBUCIONES PARAFISCALES DE LA PROTECCION SOCIAL</t>
  </si>
  <si>
    <t xml:space="preserve">        RVO IPS S.A.S</t>
  </si>
  <si>
    <t xml:space="preserve">        MONKEY BUSINESS GROUP SOCIEDAD POR ACCIONES SIMPLIFICADA</t>
  </si>
  <si>
    <t xml:space="preserve">        TELEMARK SPAIN S.L. SUCURSAL COLOMBIA ZONA FRANCA PERMANENTE ESPECIAL</t>
  </si>
  <si>
    <t xml:space="preserve">        "ETAPA 1 URBANIZACIÓN ORANGE - PROPIEDAD HORIZONTAL"</t>
  </si>
  <si>
    <t xml:space="preserve">        CONJUNTO DE USO MIXTO BOSQUES DEL RIO - PROPIEDAD HORIZONTAL</t>
  </si>
  <si>
    <t xml:space="preserve">        CONJUNTO CERRADO PRIMAVERA 639 I - PROPIEDAD HORIZONTAL</t>
  </si>
  <si>
    <t xml:space="preserve">        EDIFICIO 13-35 - PROPIEDAD HORIZONTAL</t>
  </si>
  <si>
    <t xml:space="preserve">        CONJUNTO RESIDENCIAL TIERRA GRATA BOSQUE SANTO -  PROPIEDAD HORIZONTAL</t>
  </si>
  <si>
    <t xml:space="preserve">        GRUPO MILANO S.A.S.</t>
  </si>
  <si>
    <t xml:space="preserve">        CONSTRUCTORA BLT S.A.S</t>
  </si>
  <si>
    <t xml:space="preserve">        CONJUNTO RESIDENCIAL MIRADOR DE SAN ESTEBAN - PROPIEDAD HORIZONTAL</t>
  </si>
  <si>
    <t xml:space="preserve">        CONJUNTO RESIDENCIAL MARIA MULATA</t>
  </si>
  <si>
    <t xml:space="preserve">        CLINICA ANTIENVEJECIMIENTO S.A.S</t>
  </si>
  <si>
    <t xml:space="preserve">        CENTRO EMPRESARIAL PONTEVEDRA - PROPIEDAD HORIZONTAL</t>
  </si>
  <si>
    <t xml:space="preserve">        VIVA MAYALES S.A.S</t>
  </si>
  <si>
    <t xml:space="preserve">        EDIFICIO COUNTRY OCTAVA PROPIEDAD HORIZONTAL</t>
  </si>
  <si>
    <t xml:space="preserve">        CONSTRUCCIONES E INMOBILIAR DEL EJE S.A.S</t>
  </si>
  <si>
    <t xml:space="preserve">        CONJUNTO RESIDENCIAL TORRES DEL SOL - PROPIEDAD HORIZONTAL</t>
  </si>
  <si>
    <t xml:space="preserve">        CONJUNTO RESIDENCIAL MAZZARO - PROPIEDAD HORIZONTAL</t>
  </si>
  <si>
    <t xml:space="preserve">        EDIFICIO BOCA BAHIA</t>
  </si>
  <si>
    <t xml:space="preserve">        CONJUNTO RESIDENCIAL ALTOS DE LA PRADERA  ETAPAS I, II, III - PROPIEDAD HORIZONTAL</t>
  </si>
  <si>
    <t xml:space="preserve">        ASOCIACION DE COPROPIETARIOS DEL EDIFICIO LA SANTA MARIA   P.H.</t>
  </si>
  <si>
    <t xml:space="preserve">        HERO S.A.S. CONSTRUCCIONES</t>
  </si>
  <si>
    <t xml:space="preserve">        PERMODA LTDA</t>
  </si>
  <si>
    <t xml:space="preserve">        CONJUNTO RESIDENCIAL ENTREHOJAS PH</t>
  </si>
  <si>
    <t xml:space="preserve">        GRUPO INGENIERIL DE INFRAESTRUCTURA Y INTERVENTORIA SAS</t>
  </si>
  <si>
    <t xml:space="preserve">        CONJUNTO DE USO MIXTO PERLATO - PROPIEDAD HORIZONTAL</t>
  </si>
  <si>
    <t xml:space="preserve">        SUPER BOWLING MEDELLIN SAS</t>
  </si>
  <si>
    <t xml:space="preserve">        CARACOL TELEVISION S.A.</t>
  </si>
  <si>
    <t xml:space="preserve">        CONJUNTO CERRADO ACQUA HILLS</t>
  </si>
  <si>
    <t xml:space="preserve">        BOX DISEÑO Y CONSTRUCCION J.C. SAS</t>
  </si>
  <si>
    <t xml:space="preserve">        "CENTRO COMERCIAL TRANVIA PLAZA - PROPIEDAD HORIZONTAL"</t>
  </si>
  <si>
    <t xml:space="preserve">        CONJUNTO RESIDENCIAL FLOR DE CAÑA - PROPIEDAD HORIZONTAL</t>
  </si>
  <si>
    <t xml:space="preserve">        EDIFICIO ALTOS DEL BOSQUE-PROPIEDAD HORIZONTAL</t>
  </si>
  <si>
    <t xml:space="preserve">        CONJUNTO RESIDENCIAL CIUDAD CENTRAL- PROPIEDAD HORIZONTAL</t>
  </si>
  <si>
    <t xml:space="preserve">        CORPORACION UNIDADES TECNICAS DE COLOMBIA U.T.C.</t>
  </si>
  <si>
    <t xml:space="preserve">        ASANINS S.A.S</t>
  </si>
  <si>
    <t xml:space="preserve">        CONJUNTO RESIDENCIAL SALAMANCA - PROPIEDAD HORIZONTAL</t>
  </si>
  <si>
    <t xml:space="preserve">        UNIVERSA OPERACIONES S.A.S.</t>
  </si>
  <si>
    <t xml:space="preserve">        DUMIAN MEDICAL S.A.S.</t>
  </si>
  <si>
    <t xml:space="preserve">        CASTELROMA S.A.S</t>
  </si>
  <si>
    <t xml:space="preserve">        CAJA DE COMPENSACION FAMILIAR DEL VALLE DEL CAUCA - COMFAMILIAR ANDI - COMFANDI</t>
  </si>
  <si>
    <t xml:space="preserve">        AGRUPACION RESERVA DEL MAR PROPIEDAD HORIZONTAL</t>
  </si>
  <si>
    <t xml:space="preserve">        CENTRO COMERCIAL EL PUNTO DE LA ORIENTAL - PROPIEDAD HORIZONTAL</t>
  </si>
  <si>
    <t xml:space="preserve">        EDIFICIO SAN DENISSE</t>
  </si>
  <si>
    <t xml:space="preserve">        BANKA INVERSIONES S.A.S.</t>
  </si>
  <si>
    <t xml:space="preserve">        "CONJUNTO RESIDENCIAL URBANIZACION SOL CRECIENTE PROPIEDAD HORIZONTAL"</t>
  </si>
  <si>
    <t xml:space="preserve">        CONDOMINIO RESERVA DE LA SIERRA</t>
  </si>
  <si>
    <t xml:space="preserve">        UNIDAD CERRADA MONTEFLOR P.H - ETAPA 1 ACACIA Y ETAPA 2 AZALEA</t>
  </si>
  <si>
    <t xml:space="preserve">        CONJUNTO RESIDENCIAL MONTEPIETRA P.H</t>
  </si>
  <si>
    <t xml:space="preserve">        CONJUNTO RESIDENCIAL ARBOLEDA DEL PINAR 2 - PROPIEDAD HORIZONTAL</t>
  </si>
  <si>
    <t xml:space="preserve">        CONJUNTO RESIDENCIAL EL LAGO CONDOMINIO CLUB</t>
  </si>
  <si>
    <t xml:space="preserve">        ACTIVOS CONQUISTADORES S.A.S.</t>
  </si>
  <si>
    <t xml:space="preserve">        CONJUNTO  RESIDENCIAL  TORRES  DE  SAN  RAFAEL  - PROPIEDAD HORIZONTAL</t>
  </si>
  <si>
    <t xml:space="preserve">        UNIVERSIDAD DE SANTANDER</t>
  </si>
  <si>
    <t xml:space="preserve">        CONSORCIO CONSTRUCTORES SAN GIL</t>
  </si>
  <si>
    <t xml:space="preserve">        UNIDAD RESIDENCIAL MAKADAMIA</t>
  </si>
  <si>
    <t xml:space="preserve">        "CONJUNTO DE USO MIXTO CUARZO - PROPIEDAD HORIZONTAL"</t>
  </si>
  <si>
    <t xml:space="preserve">        INVERSIONES  LOSFALK  SAS</t>
  </si>
  <si>
    <t xml:space="preserve">        EDIFICIO PALOS VERDES - PROPIEDAD HORIZONTAL</t>
  </si>
  <si>
    <t xml:space="preserve">        CONDOMINIO CARTAGENA DE INDIAS</t>
  </si>
  <si>
    <t xml:space="preserve">        PROMOTORA PBB S.A.S</t>
  </si>
  <si>
    <t xml:space="preserve">        CONJUNTO RESIDENCIAL PUERTO NUEVO P.H</t>
  </si>
  <si>
    <t xml:space="preserve">        CONJUNTO RESIDENCIAL NATIVO ARENA P.H</t>
  </si>
  <si>
    <t xml:space="preserve">        CONSTRUCTORA SURAMERICA S.A.S.</t>
  </si>
  <si>
    <t xml:space="preserve">        CONJUNTO RESIDENCIAL GRAN RESERVA DE PONTEVEDRA - PROPIEDAD HORIZONTAL</t>
  </si>
  <si>
    <t xml:space="preserve">        CENTRO COMERCIAL SANTA LUCIA PLAZA</t>
  </si>
  <si>
    <t xml:space="preserve">        INVERSIONES GILALF  S.A.S</t>
  </si>
  <si>
    <t xml:space="preserve">        CAJA COLOMBIANA DE SUBSIDIO FAMILIAR COLSUBSIDIO</t>
  </si>
  <si>
    <t xml:space="preserve">        EDIFICIO JUAN PABLO GONZALEZ   P. H.</t>
  </si>
  <si>
    <t xml:space="preserve">CARDENAS  AGUDELO  HERNAN  DARIO  </t>
  </si>
  <si>
    <t xml:space="preserve">        EDIFICIO PORTAL DE LA CHIMENEA - PROPIEDAD HORIZONTAL</t>
  </si>
  <si>
    <t xml:space="preserve">        UNIVERSIDAD LIBRE</t>
  </si>
  <si>
    <t xml:space="preserve">        CONSTRUCCIONES PLANIFICADAS S.A</t>
  </si>
  <si>
    <t xml:space="preserve">        UNIVERSIDAD CENTRAL</t>
  </si>
  <si>
    <t xml:space="preserve">        CONJUNTO CERRADO PORTAL DE MOLINOS 3 ETAPA A - PROPIEDAD HORIZONTAL</t>
  </si>
  <si>
    <t xml:space="preserve">        URBANIZACION INDIGO P.H.</t>
  </si>
  <si>
    <t xml:space="preserve">        MIRAMONT CLUB RESIDENCIAL  PROPIEDAD HORIZONTAL</t>
  </si>
  <si>
    <t xml:space="preserve">ZAPATA  LOAIZA  ORLANDO  LEON  </t>
  </si>
  <si>
    <t xml:space="preserve">        COPROPIEDAD EDIFICIO TORRE DEL PARQUE</t>
  </si>
  <si>
    <t xml:space="preserve">        FUNDACION CARDIO INFANTIL-INSTITUTO DE CARDIOLOGIA</t>
  </si>
  <si>
    <t xml:space="preserve">        PROMOTORA BOTANIKA S.A.S</t>
  </si>
  <si>
    <t xml:space="preserve">        TORRE 26 CENTRO EMPRESARIAL- PROPIEDAD HORIZONTAL</t>
  </si>
  <si>
    <t xml:space="preserve">        OTO ROPA DEPORTIVA SAS</t>
  </si>
  <si>
    <t xml:space="preserve">        EFFILIVING S.A.S.</t>
  </si>
  <si>
    <t xml:space="preserve">        EDIFICIO AMARANTO UNIDAD RESIDENCIAL</t>
  </si>
  <si>
    <t xml:space="preserve">        EDIFICIO CENTRO COMERCIAL FIRENZE</t>
  </si>
  <si>
    <t xml:space="preserve">        SALVADOR DE BAHIA DESARROLLOS INMOBILIARIOS SAS</t>
  </si>
  <si>
    <t xml:space="preserve">        CONJUNTO RESIDENCIAL BURANO</t>
  </si>
  <si>
    <t xml:space="preserve">        CONJUNTO RESIDENCIAL LLANO ALTO - PROPIEDAD HORIZONTAL</t>
  </si>
  <si>
    <t xml:space="preserve">        CONJUNTO DE USO MIXTO URBANIZACION COLINA DE LOS BERNAL P.H.</t>
  </si>
  <si>
    <t xml:space="preserve">        CIUDADELA COMERCIAL METROCENTRO</t>
  </si>
  <si>
    <t xml:space="preserve">        LOMAS 4 SAS</t>
  </si>
  <si>
    <t xml:space="preserve">        CORPORACION CLUB EL NOGAL</t>
  </si>
  <si>
    <t xml:space="preserve">        COHALA CONSTRUCCIONES SAS</t>
  </si>
  <si>
    <t xml:space="preserve">        GRUPO PRIVEE S.A.S.</t>
  </si>
  <si>
    <t xml:space="preserve">        URBANIZACION BIOCITY GRAND P.H.</t>
  </si>
  <si>
    <t xml:space="preserve">        CENTRO COMERCIAL BUENAVISTA</t>
  </si>
  <si>
    <t xml:space="preserve">        PROMOTORA PARQUE DE GALILEA S.A.S.</t>
  </si>
  <si>
    <t xml:space="preserve">        COPROPIEDAD EDIFICIO BELLAMARE</t>
  </si>
  <si>
    <t xml:space="preserve">        PROMOTORA BOULEVARD II S.A.S.</t>
  </si>
  <si>
    <t xml:space="preserve">        ESTILO INGENIERIA CO S.A.</t>
  </si>
  <si>
    <t xml:space="preserve">        CONJUNTO PARQUE RESIDENCIAL SOL NACIENTE ETAPA 1 PROPIEDAD HORIZONTAL</t>
  </si>
  <si>
    <t xml:space="preserve">        CONSORCIO HOUSINN AYACUCHO</t>
  </si>
  <si>
    <t xml:space="preserve">        KARIBANA BEACH &amp; GOLF CONDOMINIUM ETAPA I</t>
  </si>
  <si>
    <t xml:space="preserve">        ESTILO INGENIERIA CORP</t>
  </si>
  <si>
    <t xml:space="preserve">        CONJUNTO RESIDENCIAL LAPLACE - PROPIEDAD HORIZONTAL</t>
  </si>
  <si>
    <t xml:space="preserve">        MALLPLAZA SERVICIOS S A S</t>
  </si>
  <si>
    <t xml:space="preserve">        CONJUNTO RESIDENCIAL TORRES DE LAS CIGARRAS</t>
  </si>
  <si>
    <t xml:space="preserve">        ULIFE OPERADOR DE EXPERIENCIAS SAS</t>
  </si>
  <si>
    <t xml:space="preserve">        DUAL DEMODA S.A.S</t>
  </si>
  <si>
    <t xml:space="preserve">        INVERSIONES PAISAJES DEL CERRO S.A.S.</t>
  </si>
  <si>
    <t xml:space="preserve">        URBANIZACION LA VIDA ES BELLA P.H.</t>
  </si>
  <si>
    <t xml:space="preserve">        URBANIZACION SAN REMO P.H.</t>
  </si>
  <si>
    <t xml:space="preserve">        OUTLET FACTORY CENTRO COMERCIAL - PROPIEDAD HORIZONTAL</t>
  </si>
  <si>
    <t xml:space="preserve">        EDIFICIO EMERALD TRADE CENTER-PROPIEDAD HORIZONTAL</t>
  </si>
  <si>
    <t xml:space="preserve">        FONDO DE INVERSION COLECTIVA INMOBILIARIO DE RENTA DAVIVIENDA CORREDORES</t>
  </si>
  <si>
    <t xml:space="preserve">        URBANIZACION CAJASAN PARQUE CONDOMINIO</t>
  </si>
  <si>
    <t xml:space="preserve">        CONJUNTO RESIDENCIAL AMONTE - P.H.</t>
  </si>
  <si>
    <t xml:space="preserve">        URBANIZACION "TERRAVERDE" P.H.</t>
  </si>
  <si>
    <t xml:space="preserve">        CONJUNTO RESIDENCIAL PONTEVEDRA</t>
  </si>
  <si>
    <t xml:space="preserve">        CONSTRUCTORA A&amp;C S.A.S.</t>
  </si>
  <si>
    <t xml:space="preserve">        COMBUSTIBLES  PALMAR  S.A.S.</t>
  </si>
  <si>
    <t xml:space="preserve">        CONJUNTO RESIDENCIAL BELMONTE- P.H</t>
  </si>
  <si>
    <t xml:space="preserve">        HOTELES ROYAL S.A.</t>
  </si>
  <si>
    <t xml:space="preserve">        CR PROYECTOS SAS</t>
  </si>
  <si>
    <t xml:space="preserve">        CONSTRUCTORA INNOVA S.A.S.</t>
  </si>
  <si>
    <t xml:space="preserve">        PROMOTORES INMOBILIARIOS WACARÍ SAS</t>
  </si>
  <si>
    <t xml:space="preserve">        " URBANIZACION SENDERO DE BOSQUE VERDE - PROPIEDAD HORIZONTAL "</t>
  </si>
  <si>
    <t xml:space="preserve">        PROMOTORA LAGOS  S.A.S.</t>
  </si>
  <si>
    <t xml:space="preserve">        UNIDAD RESIDENCIAL CASTILLEJOS- PROPIEDAD HORIZONTAL</t>
  </si>
  <si>
    <t xml:space="preserve">        ACCORHOTELS COLOMBIA S.A</t>
  </si>
  <si>
    <t xml:space="preserve">        CENTRO EMPRESARIAL BUENAVISTA</t>
  </si>
  <si>
    <t xml:space="preserve">        HOTELES  ESTELAR S.A.</t>
  </si>
  <si>
    <t xml:space="preserve">        COMUNICACION CELULAR S A  COMCEL S A</t>
  </si>
  <si>
    <t xml:space="preserve">        CONJUNTO RESIDENCIAL PARQUE CENTRAL BONAVISTA ETAPA I - PROPIEDAD HORIZONTAL</t>
  </si>
  <si>
    <t xml:space="preserve">        CENTRO COMERCIAL CHIPICHAPE PROPIEDAD HORIZONTAL</t>
  </si>
  <si>
    <t xml:space="preserve">        UNIVERSIDAD EAFIT</t>
  </si>
  <si>
    <t xml:space="preserve">        EDIFICIO VILLA SOL P.H.</t>
  </si>
  <si>
    <t xml:space="preserve">        MAKRO CONSTRUCCIONES SAS</t>
  </si>
  <si>
    <t xml:space="preserve">ZULUAGA  GIRALDO  HECTOR  MAURICIO  </t>
  </si>
  <si>
    <t xml:space="preserve">        EDIFICIO CARRERA SEPTIMA - PROPIEDAD HORIZONTAL</t>
  </si>
  <si>
    <t xml:space="preserve">        OBRAS &amp; TERRENOS S.A.S</t>
  </si>
  <si>
    <t xml:space="preserve">        CONSTRUCTORA INTEGRAR S.A.S.</t>
  </si>
  <si>
    <t xml:space="preserve">        UNIVERSIDAD DE LOS ANDES</t>
  </si>
  <si>
    <t xml:space="preserve">        CONSTRUCTORA INGROSSO S . A . S .</t>
  </si>
  <si>
    <t xml:space="preserve">        JORGE GONZALEZ INGENIERIA S.A.S.</t>
  </si>
  <si>
    <t xml:space="preserve">        STF GROUP S.A.</t>
  </si>
  <si>
    <t xml:space="preserve">        DISEÑO Y CONSTRUCCIÓN BETA S.A.S</t>
  </si>
  <si>
    <t xml:space="preserve">        CONJUNTO DE USO MIXTO PLAZA DEL RIO PROPIEDAD HORIZONTAL</t>
  </si>
  <si>
    <t xml:space="preserve">        FALABELLA DE COLOMBIA S A</t>
  </si>
  <si>
    <t xml:space="preserve">        V2K CONSTRUCTORA S.A.S</t>
  </si>
  <si>
    <t xml:space="preserve">        PARQUES DE LA FLORESTA TERCERA ETAPA - PROPIEDAD HORIZONTAL</t>
  </si>
  <si>
    <t xml:space="preserve">        PROMOTORA PARQUE S.A.S</t>
  </si>
  <si>
    <t xml:space="preserve">        CONSTRUCORP DISEÑO, GERENCIA Y CONSTRUCCIÓN SAS</t>
  </si>
  <si>
    <t xml:space="preserve">        RESERVAS SAN JUAN SAS</t>
  </si>
  <si>
    <t xml:space="preserve">        INVERSIONES CHILA SAS</t>
  </si>
  <si>
    <t xml:space="preserve">        URBANIZACION BOSQUE VERDE - PROPIEDAD HORIZONTAL</t>
  </si>
  <si>
    <t xml:space="preserve">        ORGANIZACION EDYFICA S.A.</t>
  </si>
  <si>
    <t xml:space="preserve">        CONSTRUCTORA URCO S.A.S.</t>
  </si>
  <si>
    <t xml:space="preserve">        PROMOTORA INMOBILIARIA DUBLIN S.A.S.</t>
  </si>
  <si>
    <t xml:space="preserve">        CONJUNTO RESIDENCIAL TORRES DE BELLAVISTA ETAPA I - PROPIEDAD HORIZONTAL</t>
  </si>
  <si>
    <t xml:space="preserve">        CORNELIA STREET SAS</t>
  </si>
  <si>
    <t xml:space="preserve">        PACTAR DESARROLLADOR INMOBILIARIO S.A.S.</t>
  </si>
  <si>
    <t xml:space="preserve">        CONSTRUCTORA  G A P  S A S</t>
  </si>
  <si>
    <t xml:space="preserve">        LEGF CONSTRUCTORA S.A.S.</t>
  </si>
  <si>
    <t xml:space="preserve">        CONJUNTO RESIDENCIAL VERSALLES RESERVADO PH - PROPIEDAD HORIZONTAL</t>
  </si>
  <si>
    <t xml:space="preserve">        INVERCONSTRUCTORA BIENESTAR S.A.S</t>
  </si>
  <si>
    <t xml:space="preserve">        CONSTRUCTORA URBANO S.A.S</t>
  </si>
  <si>
    <t xml:space="preserve">        ARIAS SERNA Y SARAVIA S A S</t>
  </si>
  <si>
    <t xml:space="preserve">        GRUPO NORMANDIA S.A.</t>
  </si>
  <si>
    <t xml:space="preserve">        INGEARCO Y CIA S.A.S</t>
  </si>
  <si>
    <t xml:space="preserve">        PROMOTORA INMOBILIARIA TERRITORIO AURORA S.A.S.</t>
  </si>
  <si>
    <t xml:space="preserve">        FIDEICOMISO G H BOGOTA - FIDUBOGOTA</t>
  </si>
  <si>
    <t xml:space="preserve">        SALITRE PLAZA CENTRO COMERCIAL PROPIEDAD HORIZONTAL</t>
  </si>
  <si>
    <t xml:space="preserve">        CONSTRUCTIVAMENTE S.A.S.</t>
  </si>
  <si>
    <t xml:space="preserve">        UNION TEMPORAL CABLE AEREO LINEA 3</t>
  </si>
  <si>
    <t xml:space="preserve">        LEONEL GONZALEZ  &amp; CIA SAS</t>
  </si>
  <si>
    <t xml:space="preserve">        CONJUNTO RESIDENCIAL PARQUE CENTRAL BONAVISTA 2 - PROPIEDAD HORIZONTAL</t>
  </si>
  <si>
    <t xml:space="preserve">        CIUDADELA COMERCIAL UNICENTRO CALI - PROPIEDAD HORIZONTAL</t>
  </si>
  <si>
    <t xml:space="preserve">        EDIFICIO PARQUES DE SANTANA TORRE A - PROPIEDAD HORIZONTAL</t>
  </si>
  <si>
    <t xml:space="preserve">        NOVASIS S.A.S</t>
  </si>
  <si>
    <t xml:space="preserve">        CONSTRUCTORA PALO DE AGUA S.A.S.</t>
  </si>
  <si>
    <t xml:space="preserve">        CONJUNTO RESIDENCIAL PARQUE CENTRAL PONTEVEDRA ETAPA 1 - PROPIEDAD HORIZONTAL</t>
  </si>
  <si>
    <t xml:space="preserve">        ANDES DESARROLLADORA S.A.S.</t>
  </si>
  <si>
    <t xml:space="preserve">        ADOSAGUAS S.A.S.</t>
  </si>
  <si>
    <t xml:space="preserve">        CONSTRUCCIONES E INFRAESTRUCTURA DEL SUR S.A.S.</t>
  </si>
  <si>
    <t xml:space="preserve">        PROMOTORA EL FEDERAL SAS</t>
  </si>
  <si>
    <t xml:space="preserve">        MORROS KAI S.A.S</t>
  </si>
  <si>
    <t xml:space="preserve">        EDIFICIO MIRADOR DEL PARQUE - PROPIEDAD HORIZONTAL</t>
  </si>
  <si>
    <t xml:space="preserve">        CNV CONSTRUCCIONES S.A.S. EN PROCESO DE NEGOCIACIÓN DE EMERGENCIA</t>
  </si>
  <si>
    <t xml:space="preserve">        CAJA DE COMPENSACION FAMILIAR  DEL VALLE DEL CAUCA - COMFENALCO VALLE DELAGENTE</t>
  </si>
  <si>
    <t xml:space="preserve">        JIMENEZ CONSTRUCTORES S.A.S</t>
  </si>
  <si>
    <t xml:space="preserve">        CLINICA IMBANACO SAS</t>
  </si>
  <si>
    <t xml:space="preserve">        CONSTRUCTORA ALTOS DEL BOSQUE S.A.S</t>
  </si>
  <si>
    <t xml:space="preserve">        CENTRO COMERCIAL BULEVAR NIZA - PROPIEDAD HORIZONTAL</t>
  </si>
  <si>
    <t xml:space="preserve">        CONSTRUGEN S.A.S.</t>
  </si>
  <si>
    <t xml:space="preserve">        CONSTRUCTORA CONTEX S.A.S BIC</t>
  </si>
  <si>
    <t xml:space="preserve">        CENTRO COMERCIAL BUENAVISTA II</t>
  </si>
  <si>
    <t xml:space="preserve">        CENTRO COMERCIAL PLAZA DE LAS AMERICAS - PROPIEDAD HORIZONTAL</t>
  </si>
  <si>
    <t xml:space="preserve">        VALLE CIPRÉS S.A.S.</t>
  </si>
  <si>
    <t xml:space="preserve">        CONSTRUCTORA LAS GALIAS S.A.S</t>
  </si>
  <si>
    <t xml:space="preserve">        EDIFICACIONES Y ESPACIOS S.A.S</t>
  </si>
  <si>
    <t xml:space="preserve">        DIRECCION EJECUTIVA SECCIONAL DE ADMINISTRACION JUDICIAL DE MEDELLIN</t>
  </si>
  <si>
    <t xml:space="preserve">        ARQUITECTURA Y CONCRETO S.A.S</t>
  </si>
  <si>
    <t xml:space="preserve">        INGEURBE  S A S</t>
  </si>
  <si>
    <t xml:space="preserve">        EDIFICIO AVENIDA CHILE - PROPIEDAD HORIZONTAL</t>
  </si>
  <si>
    <t xml:space="preserve">        PROMOTORA DE INVERSIONES S.A.S. PROINSA</t>
  </si>
  <si>
    <t xml:space="preserve">        PROMOTORA BARLOVENTO DEL MAR S.A.S.</t>
  </si>
  <si>
    <t xml:space="preserve">        PROMOTORA DE PROYECTOS GAITA S.A.S.</t>
  </si>
  <si>
    <t xml:space="preserve">        MULTIPLIKA S.A.S.</t>
  </si>
  <si>
    <t xml:space="preserve">        CENTURY SPORTS   S A S</t>
  </si>
  <si>
    <t xml:space="preserve">        PROMOTORA INMOBILIARIA COUNTRY LIFE S.A.S.</t>
  </si>
  <si>
    <t xml:space="preserve">        CONSTRUCTORA ALTOS DE LA ABADIA S.A.S.</t>
  </si>
  <si>
    <t xml:space="preserve">        CENTRO EMPRESARIAL SABANETA SAS</t>
  </si>
  <si>
    <t xml:space="preserve">        CONSTRUCCIONES CFC &amp; ASOCIADOS S.A.S - BIC</t>
  </si>
  <si>
    <t xml:space="preserve">        CONIX S.A.S</t>
  </si>
  <si>
    <t xml:space="preserve">        CONSTRUCTORA ASCENSO S.A.S.</t>
  </si>
  <si>
    <t xml:space="preserve">        INVERSIONES CAMPOAMALIA S.A.S.</t>
  </si>
  <si>
    <t xml:space="preserve">        PROMOTORA MINT S.A.S.</t>
  </si>
  <si>
    <t xml:space="preserve">        THE CUT S.A.S.</t>
  </si>
  <si>
    <t xml:space="preserve">        CONSTRUCTORA CONARTE S.A.S</t>
  </si>
  <si>
    <t xml:space="preserve">        INVERSIONES SAROCA SAS</t>
  </si>
  <si>
    <t xml:space="preserve">        CONSTRUCTORA MELENDEZ S.A.</t>
  </si>
  <si>
    <t xml:space="preserve">        CONSTRUCCIONES ZABDI SAS</t>
  </si>
  <si>
    <t xml:space="preserve">        MIPKO CONSTRUCTORES S. A. S.</t>
  </si>
  <si>
    <t xml:space="preserve">        CONINSA  S.A.S</t>
  </si>
  <si>
    <t xml:space="preserve">        PROMOTORA JIMENEZ S.A.S.</t>
  </si>
  <si>
    <t xml:space="preserve">        TERRAH S.A.S</t>
  </si>
  <si>
    <t xml:space="preserve">        BANCO DE LA REPUBLICA</t>
  </si>
  <si>
    <t xml:space="preserve">        HORMIGON REFORZADO SAS</t>
  </si>
  <si>
    <t xml:space="preserve">        COMPAÑIA DE CONSTRUCTORES ASOCIADOS S.A.</t>
  </si>
  <si>
    <t xml:space="preserve">        CONSTRUCCIONES OBYCON S.A.S.</t>
  </si>
  <si>
    <t xml:space="preserve">        CONVEL S.A.S</t>
  </si>
  <si>
    <t xml:space="preserve">        SOLUCIONES CIVILES S.A.S.</t>
  </si>
  <si>
    <t xml:space="preserve">        CONSTRUCTORA EXPERTA SAS</t>
  </si>
  <si>
    <t xml:space="preserve">        CONSTRUCTORA BOLIVAR CALI S.A.</t>
  </si>
  <si>
    <t xml:space="preserve">        CONSTRUCTORA CAPITAL MEDELLIN S.A.S.</t>
  </si>
  <si>
    <t xml:space="preserve">        EDIFICIO TORRE CUSEZAR PROPIEDAD HORIZONTAL</t>
  </si>
  <si>
    <t xml:space="preserve">        CONSTRUCTORA COLPATRIA S.A.S</t>
  </si>
  <si>
    <t xml:space="preserve">        AMARILO   S A S</t>
  </si>
  <si>
    <t xml:space="preserve">        CONSTRUCTORA BOLIVAR BOGOTA SA PERO PODRA GIRAR TAMBIÉN COMO CONSTRUCTORA BOLIVAR SA</t>
  </si>
  <si>
    <t xml:space="preserve">        INFRAESTRUCTURA DEL VALLE S.A.S.</t>
  </si>
  <si>
    <t xml:space="preserve">        CONSTRUCTORA CAPITAL BOGOTA S A S</t>
  </si>
  <si>
    <t xml:space="preserve">        B &amp; B CONSTRUCTORES S.A.S.</t>
  </si>
  <si>
    <t xml:space="preserve">        MENSULA S.A.S.</t>
  </si>
  <si>
    <t xml:space="preserve">        ESTILO INGENIERIA SA</t>
  </si>
  <si>
    <t xml:space="preserve">        COMPAÑIA DE SEGUROS BOLIVAR S A</t>
  </si>
  <si>
    <t xml:space="preserve">        COMPAÑIA MUNDIAL DE SEGUROS S.A.</t>
  </si>
  <si>
    <t xml:space="preserve">CASTRILLON  RUIZ  ANA  CRISTINA  </t>
  </si>
  <si>
    <t xml:space="preserve">        CUANTIAS MENORES</t>
  </si>
  <si>
    <t>3162336306</t>
  </si>
  <si>
    <t>3135167036</t>
  </si>
  <si>
    <t>3145342156</t>
  </si>
  <si>
    <t>3 0 0 2 6 0 5 0 43</t>
  </si>
  <si>
    <t>3004160190</t>
  </si>
  <si>
    <t>3167095819</t>
  </si>
  <si>
    <t>3164283194</t>
  </si>
  <si>
    <t>3203085992</t>
  </si>
  <si>
    <t>6044138457</t>
  </si>
  <si>
    <t>3221765</t>
  </si>
  <si>
    <t>3 1 3 6 2 0 1 3 2 3</t>
  </si>
  <si>
    <t>3167438108</t>
  </si>
  <si>
    <t>4089692</t>
  </si>
  <si>
    <t>6349090</t>
  </si>
  <si>
    <t>4884458</t>
  </si>
  <si>
    <t>3112621445</t>
  </si>
  <si>
    <t>6431169</t>
  </si>
  <si>
    <t>6 0 7 6 8 2 9 4 2 8</t>
  </si>
  <si>
    <t>6 5 9 2 1 5 2</t>
  </si>
  <si>
    <t>3212073002</t>
  </si>
  <si>
    <t>(604) 325 55 55</t>
  </si>
  <si>
    <t>6294584</t>
  </si>
  <si>
    <t>6233440</t>
  </si>
  <si>
    <t>4085401</t>
  </si>
  <si>
    <t>3103799889</t>
  </si>
  <si>
    <t>3167542840</t>
  </si>
  <si>
    <t>2694590</t>
  </si>
  <si>
    <t>5484293</t>
  </si>
  <si>
    <t>3105401972</t>
  </si>
  <si>
    <t>313 63 43</t>
  </si>
  <si>
    <t>3124740</t>
  </si>
  <si>
    <t>3116538517</t>
  </si>
  <si>
    <t>6898007</t>
  </si>
  <si>
    <t>2610199</t>
  </si>
  <si>
    <t>3002178033</t>
  </si>
  <si>
    <t>3115718393</t>
  </si>
  <si>
    <t>3153493008</t>
  </si>
  <si>
    <t>3113606160</t>
  </si>
  <si>
    <t>3132792693</t>
  </si>
  <si>
    <t>6076852120</t>
  </si>
  <si>
    <t>6662113</t>
  </si>
  <si>
    <t>6019261525</t>
  </si>
  <si>
    <t>4112106 / 3104178675</t>
  </si>
  <si>
    <t>4358573</t>
  </si>
  <si>
    <t>3165265281</t>
  </si>
  <si>
    <t>4082215</t>
  </si>
  <si>
    <t>3138384885</t>
  </si>
  <si>
    <t>6659521</t>
  </si>
  <si>
    <t>3054208946</t>
  </si>
  <si>
    <t>3218005582</t>
  </si>
  <si>
    <t>3531127</t>
  </si>
  <si>
    <t>3122939323</t>
  </si>
  <si>
    <t>3012493436</t>
  </si>
  <si>
    <t>2577755</t>
  </si>
  <si>
    <t>2854457</t>
  </si>
  <si>
    <t>6044483149</t>
  </si>
  <si>
    <t>3 0 0 3 5 5 2 7 5 1</t>
  </si>
  <si>
    <t>604-5298999</t>
  </si>
  <si>
    <t>6076334435</t>
  </si>
  <si>
    <t>5972542</t>
  </si>
  <si>
    <t>2683620</t>
  </si>
  <si>
    <t>3526363</t>
  </si>
  <si>
    <t>4872995</t>
  </si>
  <si>
    <t>3208595653</t>
  </si>
  <si>
    <t>3172764260</t>
  </si>
  <si>
    <t>6466060</t>
  </si>
  <si>
    <t>3185900</t>
  </si>
  <si>
    <t>3107797028</t>
  </si>
  <si>
    <t>2708028</t>
  </si>
  <si>
    <t>3 1 0 4 4 2 1 7 6 2</t>
  </si>
  <si>
    <t>3103123244</t>
  </si>
  <si>
    <t>3205495507</t>
  </si>
  <si>
    <t>6166225</t>
  </si>
  <si>
    <t>3002192</t>
  </si>
  <si>
    <t>2748624</t>
  </si>
  <si>
    <t>3128905408</t>
  </si>
  <si>
    <t>6353406</t>
  </si>
  <si>
    <t>54215937</t>
  </si>
  <si>
    <t>6113969</t>
  </si>
  <si>
    <t>5 6 0 3 3 4 0</t>
  </si>
  <si>
    <t>3137325673</t>
  </si>
  <si>
    <t>4205830</t>
  </si>
  <si>
    <t>3 2 1 8 1 2 5 8 3 5</t>
  </si>
  <si>
    <t>3202117501</t>
  </si>
  <si>
    <t>3106888168</t>
  </si>
  <si>
    <t>3204412911</t>
  </si>
  <si>
    <t>3102782047</t>
  </si>
  <si>
    <t>3108020838</t>
  </si>
  <si>
    <t>3133464656</t>
  </si>
  <si>
    <t>3215253287</t>
  </si>
  <si>
    <t>3112839815</t>
  </si>
  <si>
    <t>3187349585</t>
  </si>
  <si>
    <t>3015563</t>
  </si>
  <si>
    <t>3 1 0 2 7 3 1 3 5 3</t>
  </si>
  <si>
    <t>3118279352</t>
  </si>
  <si>
    <t>6 0 5 6 7 8 8 4 8 6</t>
  </si>
  <si>
    <t>3 2 0 8 5 1 7 6 5 6</t>
  </si>
  <si>
    <t>3133692669</t>
  </si>
  <si>
    <t>3166197191</t>
  </si>
  <si>
    <t>3106330291</t>
  </si>
  <si>
    <t>3176432327</t>
  </si>
  <si>
    <t>3003670974</t>
  </si>
  <si>
    <t>3 1 8 4 8 4 3 4 9 8</t>
  </si>
  <si>
    <t>3133936806</t>
  </si>
  <si>
    <t>7395310</t>
  </si>
  <si>
    <t>3164070834</t>
  </si>
  <si>
    <t>7890210</t>
  </si>
  <si>
    <t>7 3 6 0 4 1 9</t>
  </si>
  <si>
    <t>3144759703</t>
  </si>
  <si>
    <t>321 729 3565</t>
  </si>
  <si>
    <t>3186235727</t>
  </si>
  <si>
    <t>8372315</t>
  </si>
  <si>
    <t>3924010</t>
  </si>
  <si>
    <t>6023331000</t>
  </si>
  <si>
    <t>5558322</t>
  </si>
  <si>
    <t>3128512057</t>
  </si>
  <si>
    <t>6583200</t>
  </si>
  <si>
    <t>3015769735</t>
  </si>
  <si>
    <t>3102439585</t>
  </si>
  <si>
    <t>3183714544</t>
  </si>
  <si>
    <t>3175736859</t>
  </si>
  <si>
    <t>6851717</t>
  </si>
  <si>
    <t>3206447388</t>
  </si>
  <si>
    <t>3 0 0 6 1 3 2 0 4 2</t>
  </si>
  <si>
    <t>6 0 4 3 5 6 1 1 1 1</t>
  </si>
  <si>
    <t>3103210249</t>
  </si>
  <si>
    <t>3188474140</t>
  </si>
  <si>
    <t>3107755303</t>
  </si>
  <si>
    <t>2894502</t>
  </si>
  <si>
    <t>3684088</t>
  </si>
  <si>
    <t>3154856028</t>
  </si>
  <si>
    <t>3186001181</t>
  </si>
  <si>
    <t>3052952099</t>
  </si>
  <si>
    <t>5187000</t>
  </si>
  <si>
    <t>2 3 5 1 4 8 8</t>
  </si>
  <si>
    <t>8904308</t>
  </si>
  <si>
    <t>6345222</t>
  </si>
  <si>
    <t>3115311997</t>
  </si>
  <si>
    <t>3121888</t>
  </si>
  <si>
    <t>3203483087</t>
  </si>
  <si>
    <t>3 1 4 7 7 9 5 4 5 5</t>
  </si>
  <si>
    <t>3122868717</t>
  </si>
  <si>
    <t>3204910526</t>
  </si>
  <si>
    <t>4 4 3 0 7 0 0</t>
  </si>
  <si>
    <t>4887946</t>
  </si>
  <si>
    <t>3 0 9 3 2 7 2</t>
  </si>
  <si>
    <t>6577737</t>
  </si>
  <si>
    <t>3002100412</t>
  </si>
  <si>
    <t>3118034238</t>
  </si>
  <si>
    <t>8719972</t>
  </si>
  <si>
    <t>3148642027</t>
  </si>
  <si>
    <t>2153208</t>
  </si>
  <si>
    <t>3114771709</t>
  </si>
  <si>
    <t>3104138550</t>
  </si>
  <si>
    <t>3002085357</t>
  </si>
  <si>
    <t>3371692</t>
  </si>
  <si>
    <t>3127601093</t>
  </si>
  <si>
    <t>3164394061</t>
  </si>
  <si>
    <t>3105193539</t>
  </si>
  <si>
    <t>4580891</t>
  </si>
  <si>
    <t>3102600</t>
  </si>
  <si>
    <t>3104144591</t>
  </si>
  <si>
    <t>3 1 4 3 8 5 7 4 7 8</t>
  </si>
  <si>
    <t>3003062916</t>
  </si>
  <si>
    <t>3002754744</t>
  </si>
  <si>
    <t>3133030</t>
  </si>
  <si>
    <t>3153655707</t>
  </si>
  <si>
    <t>3044752095</t>
  </si>
  <si>
    <t>6452459</t>
  </si>
  <si>
    <t>3112511467</t>
  </si>
  <si>
    <t>321 297 7696</t>
  </si>
  <si>
    <t>3 2 0 8 7 0 1 1 9 4</t>
  </si>
  <si>
    <t>3042111517</t>
  </si>
  <si>
    <t>3228462205</t>
  </si>
  <si>
    <t>5 4 6 1 8 1 0</t>
  </si>
  <si>
    <t>3124320987</t>
  </si>
  <si>
    <t>3103128284</t>
  </si>
  <si>
    <t>2351111</t>
  </si>
  <si>
    <t>2876566</t>
  </si>
  <si>
    <t>6422661</t>
  </si>
  <si>
    <t>3165783799</t>
  </si>
  <si>
    <t>3 1 3 5 3 9 5 8 6 4</t>
  </si>
  <si>
    <t>3232464413</t>
  </si>
  <si>
    <t>6 0 4 6 0 5 0 7 0 7</t>
  </si>
  <si>
    <t>6123705</t>
  </si>
  <si>
    <t>3225242</t>
  </si>
  <si>
    <t>6439030</t>
  </si>
  <si>
    <t>3174233959</t>
  </si>
  <si>
    <t>3165273789</t>
  </si>
  <si>
    <t>3127609352</t>
  </si>
  <si>
    <t>3137201764</t>
  </si>
  <si>
    <t>7340909</t>
  </si>
  <si>
    <t>3045475837</t>
  </si>
  <si>
    <t>3104094053</t>
  </si>
  <si>
    <t>6423436</t>
  </si>
  <si>
    <t>6781262</t>
  </si>
  <si>
    <t>310564825</t>
  </si>
  <si>
    <t>3183876457</t>
  </si>
  <si>
    <t>8806809</t>
  </si>
  <si>
    <t>3178857792</t>
  </si>
  <si>
    <t>3114807060</t>
  </si>
  <si>
    <t>5791898</t>
  </si>
  <si>
    <t>3506038794</t>
  </si>
  <si>
    <t>3004157990</t>
  </si>
  <si>
    <t>3002810748</t>
  </si>
  <si>
    <t>3222680756</t>
  </si>
  <si>
    <t>6234144</t>
  </si>
  <si>
    <t>8745774</t>
  </si>
  <si>
    <t>4449421</t>
  </si>
  <si>
    <t>3152538074</t>
  </si>
  <si>
    <t>3 1 6 0 1 7 0 1 5 9</t>
  </si>
  <si>
    <t>3570905</t>
  </si>
  <si>
    <t>6441111</t>
  </si>
  <si>
    <t>3133721614</t>
  </si>
  <si>
    <t>3174336551</t>
  </si>
  <si>
    <t>6043297878</t>
  </si>
  <si>
    <t>6958895</t>
  </si>
  <si>
    <t>5129129</t>
  </si>
  <si>
    <t>3022769</t>
  </si>
  <si>
    <t>8932212</t>
  </si>
  <si>
    <t>3104850101</t>
  </si>
  <si>
    <t>3157240892</t>
  </si>
  <si>
    <t>3008854698</t>
  </si>
  <si>
    <t>8850044</t>
  </si>
  <si>
    <t>3153326177</t>
  </si>
  <si>
    <t>3360520</t>
  </si>
  <si>
    <t>2566358</t>
  </si>
  <si>
    <t>2545537</t>
  </si>
  <si>
    <t>2690441</t>
  </si>
  <si>
    <t>3174395706</t>
  </si>
  <si>
    <t>3125863602</t>
  </si>
  <si>
    <t>5161082</t>
  </si>
  <si>
    <t>5730630</t>
  </si>
  <si>
    <t>3104908541</t>
  </si>
  <si>
    <t>7603450</t>
  </si>
  <si>
    <t>5811171</t>
  </si>
  <si>
    <t>3154229241</t>
  </si>
  <si>
    <t>3114623128</t>
  </si>
  <si>
    <t>3136709723</t>
  </si>
  <si>
    <t>6012129029</t>
  </si>
  <si>
    <t>7494722</t>
  </si>
  <si>
    <t>6111983</t>
  </si>
  <si>
    <t>4661826</t>
  </si>
  <si>
    <t>3214932172</t>
  </si>
  <si>
    <t>3206664933</t>
  </si>
  <si>
    <t>3173625308</t>
  </si>
  <si>
    <t>345266</t>
  </si>
  <si>
    <t>6947704</t>
  </si>
  <si>
    <t>3207882076</t>
  </si>
  <si>
    <t>3157724887</t>
  </si>
  <si>
    <t>3103843609</t>
  </si>
  <si>
    <t>4833000</t>
  </si>
  <si>
    <t>3106752535</t>
  </si>
  <si>
    <t>3 1 7 4 3 1 1 1 2 5</t>
  </si>
  <si>
    <t>3006114345</t>
  </si>
  <si>
    <t>3114880539</t>
  </si>
  <si>
    <t>3156754333</t>
  </si>
  <si>
    <t>6027902</t>
  </si>
  <si>
    <t>311 3283701</t>
  </si>
  <si>
    <t>3175015815</t>
  </si>
  <si>
    <t>3112483263</t>
  </si>
  <si>
    <t>3 5 0 8 4 5 5 1 3 2</t>
  </si>
  <si>
    <t>3002085857</t>
  </si>
  <si>
    <t>3167426577</t>
  </si>
  <si>
    <t>6154648</t>
  </si>
  <si>
    <t>3205740059</t>
  </si>
  <si>
    <t>3128396792</t>
  </si>
  <si>
    <t>3130103</t>
  </si>
  <si>
    <t>3003960625</t>
  </si>
  <si>
    <t>3185157316</t>
  </si>
  <si>
    <t>3023131983</t>
  </si>
  <si>
    <t>3218116722</t>
  </si>
  <si>
    <t>3156638322</t>
  </si>
  <si>
    <t>2123511</t>
  </si>
  <si>
    <t>3107649658</t>
  </si>
  <si>
    <t>3165260806</t>
  </si>
  <si>
    <t>3138620287</t>
  </si>
  <si>
    <t>5140088</t>
  </si>
  <si>
    <t>3102109574</t>
  </si>
  <si>
    <t>7428524</t>
  </si>
  <si>
    <t>6122089</t>
  </si>
  <si>
    <t>3103089313</t>
  </si>
  <si>
    <t>3004120684</t>
  </si>
  <si>
    <t>2690824</t>
  </si>
  <si>
    <t>2737622</t>
  </si>
  <si>
    <t>3176459793</t>
  </si>
  <si>
    <t>4855331</t>
  </si>
  <si>
    <t>3503098274</t>
  </si>
  <si>
    <t>3114804759</t>
  </si>
  <si>
    <t>6957315</t>
  </si>
  <si>
    <t>3207325159</t>
  </si>
  <si>
    <t>3134758873</t>
  </si>
  <si>
    <t>3002179293</t>
  </si>
  <si>
    <t>3 1 1 8 3 0 4 7 1 2</t>
  </si>
  <si>
    <t>3192344134</t>
  </si>
  <si>
    <t>3147132679</t>
  </si>
  <si>
    <t>8923110</t>
  </si>
  <si>
    <t>3117697603</t>
  </si>
  <si>
    <t>5277814</t>
  </si>
  <si>
    <t>6833360</t>
  </si>
  <si>
    <t>3334663</t>
  </si>
  <si>
    <t>3669096</t>
  </si>
  <si>
    <t>3107665897</t>
  </si>
  <si>
    <t>3710343</t>
  </si>
  <si>
    <t>3128826798</t>
  </si>
  <si>
    <t>3301939</t>
  </si>
  <si>
    <t>3125280317</t>
  </si>
  <si>
    <t>3118533307</t>
  </si>
  <si>
    <t>3014011853</t>
  </si>
  <si>
    <t>3174301889</t>
  </si>
  <si>
    <t>3172233680</t>
  </si>
  <si>
    <t>3215466225</t>
  </si>
  <si>
    <t>6 0 4 2 6 6 2 1 8 0</t>
  </si>
  <si>
    <t>310 5590705</t>
  </si>
  <si>
    <t>3012792491</t>
  </si>
  <si>
    <t>3013226597</t>
  </si>
  <si>
    <t>3063807</t>
  </si>
  <si>
    <t>3118105442</t>
  </si>
  <si>
    <t>3925023</t>
  </si>
  <si>
    <t>3022046</t>
  </si>
  <si>
    <t>3195438044</t>
  </si>
  <si>
    <t>4302030</t>
  </si>
  <si>
    <t>3011975</t>
  </si>
  <si>
    <t>3000005</t>
  </si>
  <si>
    <t>3 0 4 2 1 2 7 8 7 2</t>
  </si>
  <si>
    <t>7312561</t>
  </si>
  <si>
    <t>3136577820</t>
  </si>
  <si>
    <t>3125548344</t>
  </si>
  <si>
    <t>3662056</t>
  </si>
  <si>
    <t>6105347</t>
  </si>
  <si>
    <t>2663766</t>
  </si>
  <si>
    <t>8239024</t>
  </si>
  <si>
    <t>6017432100</t>
  </si>
  <si>
    <t>3157929026</t>
  </si>
  <si>
    <t>3808890</t>
  </si>
  <si>
    <t>3146410586</t>
  </si>
  <si>
    <t>8840978</t>
  </si>
  <si>
    <t>2853270</t>
  </si>
  <si>
    <t>2684007</t>
  </si>
  <si>
    <t>6237848</t>
  </si>
  <si>
    <t>3127316823</t>
  </si>
  <si>
    <t>3006160086</t>
  </si>
  <si>
    <t>6 0 1 2 3 0 7 5 3 0</t>
  </si>
  <si>
    <t>3006300334</t>
  </si>
  <si>
    <t>3173981094</t>
  </si>
  <si>
    <t>6303077</t>
  </si>
  <si>
    <t>3152441442</t>
  </si>
  <si>
    <t>3127204900</t>
  </si>
  <si>
    <t>3358666</t>
  </si>
  <si>
    <t>3 0 5 2 0 6 9 3 4 0</t>
  </si>
  <si>
    <t>3137235344</t>
  </si>
  <si>
    <t>3113835958</t>
  </si>
  <si>
    <t>3124439208</t>
  </si>
  <si>
    <t>8713060</t>
  </si>
  <si>
    <t>8912370</t>
  </si>
  <si>
    <t>3165237211</t>
  </si>
  <si>
    <t>3128415450</t>
  </si>
  <si>
    <t>3032469</t>
  </si>
  <si>
    <t>3138878132</t>
  </si>
  <si>
    <t>3220044</t>
  </si>
  <si>
    <t>3104287664</t>
  </si>
  <si>
    <t>3148691745</t>
  </si>
  <si>
    <t>6348921</t>
  </si>
  <si>
    <t>3113839900</t>
  </si>
  <si>
    <t>3053357852</t>
  </si>
  <si>
    <t>3003425971</t>
  </si>
  <si>
    <t>6048583</t>
  </si>
  <si>
    <t>3145890872</t>
  </si>
  <si>
    <t>3017666559</t>
  </si>
  <si>
    <t>3157383550</t>
  </si>
  <si>
    <t>3158516450</t>
  </si>
  <si>
    <t>3104526632</t>
  </si>
  <si>
    <t>3004523147</t>
  </si>
  <si>
    <t>3 5 7 5 6 1 7</t>
  </si>
  <si>
    <t>5410173</t>
  </si>
  <si>
    <t>6299258</t>
  </si>
  <si>
    <t>3043319662</t>
  </si>
  <si>
    <t>8334046</t>
  </si>
  <si>
    <t>9370344</t>
  </si>
  <si>
    <t>4341109</t>
  </si>
  <si>
    <t>7445555</t>
  </si>
  <si>
    <t>3122335074</t>
  </si>
  <si>
    <t>7440655</t>
  </si>
  <si>
    <t>3 1 1 2 5 9 4 6 3 0</t>
  </si>
  <si>
    <t>3203095837</t>
  </si>
  <si>
    <t>3152415128</t>
  </si>
  <si>
    <t>3012695221</t>
  </si>
  <si>
    <t>2748521</t>
  </si>
  <si>
    <t>2360131</t>
  </si>
  <si>
    <t>604-3112233</t>
  </si>
  <si>
    <t>3112457262</t>
  </si>
  <si>
    <t>3163379407</t>
  </si>
  <si>
    <t>3132828336</t>
  </si>
  <si>
    <t>4731560</t>
  </si>
  <si>
    <t>3135247411</t>
  </si>
  <si>
    <t>3127218525</t>
  </si>
  <si>
    <t>3115544</t>
  </si>
  <si>
    <t>4969539</t>
  </si>
  <si>
    <t>4174014</t>
  </si>
  <si>
    <t>4312469</t>
  </si>
  <si>
    <t>7033779</t>
  </si>
  <si>
    <t>3114888373</t>
  </si>
  <si>
    <t>3 1 1 8 3 1 5 6 5 6</t>
  </si>
  <si>
    <t>2482322</t>
  </si>
  <si>
    <t>6298956</t>
  </si>
  <si>
    <t>3164324265</t>
  </si>
  <si>
    <t>3218009063</t>
  </si>
  <si>
    <t>3 1 1 2 8 1 7 5 9 2</t>
  </si>
  <si>
    <t>3906231</t>
  </si>
  <si>
    <t>2578701</t>
  </si>
  <si>
    <t>7260394</t>
  </si>
  <si>
    <t>3 1 0 2 3 7 6 3 5 9</t>
  </si>
  <si>
    <t>3015357491</t>
  </si>
  <si>
    <t>6437025</t>
  </si>
  <si>
    <t>3208022358</t>
  </si>
  <si>
    <t>3007735534</t>
  </si>
  <si>
    <t>31132 0 2 1 1 6</t>
  </si>
  <si>
    <t>3202763247</t>
  </si>
  <si>
    <t>4091200</t>
  </si>
  <si>
    <t>3008368086</t>
  </si>
  <si>
    <t>3209844240</t>
  </si>
  <si>
    <t>5807103</t>
  </si>
  <si>
    <t>3337220</t>
  </si>
  <si>
    <t>7603166</t>
  </si>
  <si>
    <t>312 5648995</t>
  </si>
  <si>
    <t>3133674928</t>
  </si>
  <si>
    <t>3166919575</t>
  </si>
  <si>
    <t>3006197445</t>
  </si>
  <si>
    <t>604-5740377</t>
  </si>
  <si>
    <t>3012248901</t>
  </si>
  <si>
    <t>3152490474</t>
  </si>
  <si>
    <t>3117208850</t>
  </si>
  <si>
    <t>444 97 70</t>
  </si>
  <si>
    <t>3185480514</t>
  </si>
  <si>
    <t>8258429</t>
  </si>
  <si>
    <t>8538584</t>
  </si>
  <si>
    <t>7568345</t>
  </si>
  <si>
    <t>3008397972</t>
  </si>
  <si>
    <t>2184056</t>
  </si>
  <si>
    <t>317 5099205</t>
  </si>
  <si>
    <t>3188278658</t>
  </si>
  <si>
    <t>3105442948</t>
  </si>
  <si>
    <t>3 1 0 8 5 9 5 2 3 2</t>
  </si>
  <si>
    <t>2630619</t>
  </si>
  <si>
    <t>3 1 6 5 2 8 8 1 0 5</t>
  </si>
  <si>
    <t>3115878595</t>
  </si>
  <si>
    <t>2762728</t>
  </si>
  <si>
    <t>3163522859</t>
  </si>
  <si>
    <t>2746030</t>
  </si>
  <si>
    <t>3173832845</t>
  </si>
  <si>
    <t>3103240116</t>
  </si>
  <si>
    <t>601-9370344</t>
  </si>
  <si>
    <t>2761320</t>
  </si>
  <si>
    <t>3103620037</t>
  </si>
  <si>
    <t>3122863975</t>
  </si>
  <si>
    <t>6121274</t>
  </si>
  <si>
    <t>2067305</t>
  </si>
  <si>
    <t>6208852</t>
  </si>
  <si>
    <t>3122381242</t>
  </si>
  <si>
    <t>2580014</t>
  </si>
  <si>
    <t>6063347081</t>
  </si>
  <si>
    <t>6432757</t>
  </si>
  <si>
    <t>3 1 2 7 3 4 3 3 9 4</t>
  </si>
  <si>
    <t>3133234</t>
  </si>
  <si>
    <t>3135893206</t>
  </si>
  <si>
    <t>6427389</t>
  </si>
  <si>
    <t>3174302891</t>
  </si>
  <si>
    <t>2430393</t>
  </si>
  <si>
    <t>3167419942</t>
  </si>
  <si>
    <t>5770846</t>
  </si>
  <si>
    <t>3166068372</t>
  </si>
  <si>
    <t>6245379</t>
  </si>
  <si>
    <t>3174042764</t>
  </si>
  <si>
    <t>3106141385</t>
  </si>
  <si>
    <t>3106252936</t>
  </si>
  <si>
    <t>2998455</t>
  </si>
  <si>
    <t>3168717869</t>
  </si>
  <si>
    <t>3133598095</t>
  </si>
  <si>
    <t>3176444665</t>
  </si>
  <si>
    <t>4440047</t>
  </si>
  <si>
    <t>3206951803</t>
  </si>
  <si>
    <t>3218524896</t>
  </si>
  <si>
    <t>3143600916</t>
  </si>
  <si>
    <t>3 2 0 2 6 1 9 5 2 6</t>
  </si>
  <si>
    <t>3136536016</t>
  </si>
  <si>
    <t>5717442</t>
  </si>
  <si>
    <t>3104319024</t>
  </si>
  <si>
    <t>3168725216</t>
  </si>
  <si>
    <t>2168130</t>
  </si>
  <si>
    <t>3134880114</t>
  </si>
  <si>
    <t>3072000</t>
  </si>
  <si>
    <t>6780488</t>
  </si>
  <si>
    <t>4082020</t>
  </si>
  <si>
    <t>3115514668</t>
  </si>
  <si>
    <t>6207822</t>
  </si>
  <si>
    <t>3166987105</t>
  </si>
  <si>
    <t>3064303</t>
  </si>
  <si>
    <t>2143831</t>
  </si>
  <si>
    <t>3124208846</t>
  </si>
  <si>
    <t>2419991</t>
  </si>
  <si>
    <t>3102691863</t>
  </si>
  <si>
    <t>3138879554</t>
  </si>
  <si>
    <t>7462142</t>
  </si>
  <si>
    <t>6206407</t>
  </si>
  <si>
    <t>3002931188</t>
  </si>
  <si>
    <t>4444784</t>
  </si>
  <si>
    <t>3007772749</t>
  </si>
  <si>
    <t>6782844</t>
  </si>
  <si>
    <t>2369466</t>
  </si>
  <si>
    <t>3153977241</t>
  </si>
  <si>
    <t>3853370</t>
  </si>
  <si>
    <t>8038691</t>
  </si>
  <si>
    <t>4442420</t>
  </si>
  <si>
    <t>3128909938</t>
  </si>
  <si>
    <t>3125434545</t>
  </si>
  <si>
    <t>3146186839</t>
  </si>
  <si>
    <t>3146053551</t>
  </si>
  <si>
    <t>3137068187</t>
  </si>
  <si>
    <t>3210762</t>
  </si>
  <si>
    <t>2260254</t>
  </si>
  <si>
    <t>2365156</t>
  </si>
  <si>
    <t>6450694</t>
  </si>
  <si>
    <t>3691471</t>
  </si>
  <si>
    <t>3146068749</t>
  </si>
  <si>
    <t>7226020</t>
  </si>
  <si>
    <t>3215897503</t>
  </si>
  <si>
    <t>4442010</t>
  </si>
  <si>
    <t>3154553428</t>
  </si>
  <si>
    <t>6010404</t>
  </si>
  <si>
    <t>3054509958</t>
  </si>
  <si>
    <t>3152415717</t>
  </si>
  <si>
    <t>626058</t>
  </si>
  <si>
    <t>6048788</t>
  </si>
  <si>
    <t>8924442</t>
  </si>
  <si>
    <t>3158921599</t>
  </si>
  <si>
    <t>3154669900</t>
  </si>
  <si>
    <t>2380725</t>
  </si>
  <si>
    <t>3112350229</t>
  </si>
  <si>
    <t>3188832256</t>
  </si>
  <si>
    <t>31113451860</t>
  </si>
  <si>
    <t>3112162722</t>
  </si>
  <si>
    <t>3183877313</t>
  </si>
  <si>
    <t>5045101</t>
  </si>
  <si>
    <t>3153232332</t>
  </si>
  <si>
    <t>3152363669</t>
  </si>
  <si>
    <t>6475087</t>
  </si>
  <si>
    <t>6058905</t>
  </si>
  <si>
    <t>312 2909687</t>
  </si>
  <si>
    <t>5406350</t>
  </si>
  <si>
    <t>3008031456</t>
  </si>
  <si>
    <t>3002379900</t>
  </si>
  <si>
    <t>3158817136</t>
  </si>
  <si>
    <t>3156066269</t>
  </si>
  <si>
    <t>3134079478</t>
  </si>
  <si>
    <t>6578557</t>
  </si>
  <si>
    <t>3106971072</t>
  </si>
  <si>
    <t>3122404547</t>
  </si>
  <si>
    <t>3154822708</t>
  </si>
  <si>
    <t>3 0 0 4 5 4 7 8 8 0</t>
  </si>
  <si>
    <t>3 1 2 3 7 8 8 1 0 0</t>
  </si>
  <si>
    <t>3176411387</t>
  </si>
  <si>
    <t>8933384</t>
  </si>
  <si>
    <t>8734332</t>
  </si>
  <si>
    <t>3002692114</t>
  </si>
  <si>
    <t>3164713255</t>
  </si>
  <si>
    <t>3125633151</t>
  </si>
  <si>
    <t>7457730</t>
  </si>
  <si>
    <t>3827030</t>
  </si>
  <si>
    <t>3122252332</t>
  </si>
  <si>
    <t>3104136779</t>
  </si>
  <si>
    <t>6479945</t>
  </si>
  <si>
    <t>6726878</t>
  </si>
  <si>
    <t>3187163320</t>
  </si>
  <si>
    <t>310 765 68 29</t>
  </si>
  <si>
    <t>3221332</t>
  </si>
  <si>
    <t>3020606</t>
  </si>
  <si>
    <t>2680231</t>
  </si>
  <si>
    <t>4740126</t>
  </si>
  <si>
    <t>3205474463</t>
  </si>
  <si>
    <t>606- 3408053</t>
  </si>
  <si>
    <t>3213724847</t>
  </si>
  <si>
    <t>3214644749</t>
  </si>
  <si>
    <t>5818181</t>
  </si>
  <si>
    <t>3053476763</t>
  </si>
  <si>
    <t>700234</t>
  </si>
  <si>
    <t>3015029827</t>
  </si>
  <si>
    <t>3410077</t>
  </si>
  <si>
    <t>3003033491</t>
  </si>
  <si>
    <t>3 1 2 7 8 7 0 7 5 5</t>
  </si>
  <si>
    <t>3206668651</t>
  </si>
  <si>
    <t>5699999</t>
  </si>
  <si>
    <t>3214097114</t>
  </si>
  <si>
    <t>3012387950</t>
  </si>
  <si>
    <t>6 0 5 3 0 4 1 8 5 9</t>
  </si>
  <si>
    <t>3 1 0 4 1 1 4 5 0 1</t>
  </si>
  <si>
    <t>2567678</t>
  </si>
  <si>
    <t>2138023</t>
  </si>
  <si>
    <t>6227802</t>
  </si>
  <si>
    <t>3213165706</t>
  </si>
  <si>
    <t>3154347956</t>
  </si>
  <si>
    <t>4448167</t>
  </si>
  <si>
    <t>3 0 1 4 6 0 4 5 0 7</t>
  </si>
  <si>
    <t>6216617</t>
  </si>
  <si>
    <t>3174322498</t>
  </si>
  <si>
    <t>3113612137</t>
  </si>
  <si>
    <t>3208546881</t>
  </si>
  <si>
    <t>3106303639</t>
  </si>
  <si>
    <t>3135184568</t>
  </si>
  <si>
    <t>3155909421</t>
  </si>
  <si>
    <t>3206867607</t>
  </si>
  <si>
    <t>6214111</t>
  </si>
  <si>
    <t>3108696787</t>
  </si>
  <si>
    <t>6654193</t>
  </si>
  <si>
    <t>2685588</t>
  </si>
  <si>
    <t>6471145</t>
  </si>
  <si>
    <t>3143288006</t>
  </si>
  <si>
    <t>3004492873</t>
  </si>
  <si>
    <t>7722450</t>
  </si>
  <si>
    <t>2366548</t>
  </si>
  <si>
    <t>3135247545</t>
  </si>
  <si>
    <t>3127343394</t>
  </si>
  <si>
    <t>8050196</t>
  </si>
  <si>
    <t>2362427</t>
  </si>
  <si>
    <t>3174029136</t>
  </si>
  <si>
    <t>320 576 50 60</t>
  </si>
  <si>
    <t>3103237513</t>
  </si>
  <si>
    <t>3124828923</t>
  </si>
  <si>
    <t>3132099381</t>
  </si>
  <si>
    <t>2575370</t>
  </si>
  <si>
    <t>4441366</t>
  </si>
  <si>
    <t>3183418632</t>
  </si>
  <si>
    <t>3213708547</t>
  </si>
  <si>
    <t>3134103069</t>
  </si>
  <si>
    <t>3158777848</t>
  </si>
  <si>
    <t>3742088</t>
  </si>
  <si>
    <t>3064179</t>
  </si>
  <si>
    <t>6372559</t>
  </si>
  <si>
    <t>3144300030</t>
  </si>
  <si>
    <t>3187128067</t>
  </si>
  <si>
    <t>3023736718</t>
  </si>
  <si>
    <t>6426653</t>
  </si>
  <si>
    <t>3116278240</t>
  </si>
  <si>
    <t>3164756784</t>
  </si>
  <si>
    <t>4220190</t>
  </si>
  <si>
    <t>6428112</t>
  </si>
  <si>
    <t>3 1 7 4 6 2 3 6 9 8</t>
  </si>
  <si>
    <t>6191205</t>
  </si>
  <si>
    <t>3225452513</t>
  </si>
  <si>
    <t>6410005</t>
  </si>
  <si>
    <t>4 1 6 0 0 8 5</t>
  </si>
  <si>
    <t>3 1 7 4 7 0 1 7 8 2</t>
  </si>
  <si>
    <t>3106808975</t>
  </si>
  <si>
    <t>3017166821</t>
  </si>
  <si>
    <t>4229390</t>
  </si>
  <si>
    <t>9373000</t>
  </si>
  <si>
    <t>6575279</t>
  </si>
  <si>
    <t>2362160</t>
  </si>
  <si>
    <t>5127266</t>
  </si>
  <si>
    <t>3119405</t>
  </si>
  <si>
    <t>3122353351</t>
  </si>
  <si>
    <t>3166934483</t>
  </si>
  <si>
    <t>3400875</t>
  </si>
  <si>
    <t>3163343385</t>
  </si>
  <si>
    <t>3128512931</t>
  </si>
  <si>
    <t>6340157</t>
  </si>
  <si>
    <t>3317992</t>
  </si>
  <si>
    <t>3158520755</t>
  </si>
  <si>
    <t>6209181</t>
  </si>
  <si>
    <t>3113953674</t>
  </si>
  <si>
    <t>2577979</t>
  </si>
  <si>
    <t>6435675</t>
  </si>
  <si>
    <t>311 6000706</t>
  </si>
  <si>
    <t>3113745540</t>
  </si>
  <si>
    <t>3125661811</t>
  </si>
  <si>
    <t>6578093</t>
  </si>
  <si>
    <t>6399292</t>
  </si>
  <si>
    <t>2138158</t>
  </si>
  <si>
    <t>6004819</t>
  </si>
  <si>
    <t>4711124</t>
  </si>
  <si>
    <t>3128331566</t>
  </si>
  <si>
    <t>3106643846</t>
  </si>
  <si>
    <t>3113080706</t>
  </si>
  <si>
    <t>6 0 4 4 4 4 2 4 2 0</t>
  </si>
  <si>
    <t>4486744</t>
  </si>
  <si>
    <t>6451258</t>
  </si>
  <si>
    <t>3489827</t>
  </si>
  <si>
    <t>6914105</t>
  </si>
  <si>
    <t>8723428</t>
  </si>
  <si>
    <t>6213569</t>
  </si>
  <si>
    <t>4461798</t>
  </si>
  <si>
    <t>3004402616</t>
  </si>
  <si>
    <t>3162063198</t>
  </si>
  <si>
    <t>3857947</t>
  </si>
  <si>
    <t>6131408</t>
  </si>
  <si>
    <t>3785971</t>
  </si>
  <si>
    <t>3058034903</t>
  </si>
  <si>
    <t>3166740040</t>
  </si>
  <si>
    <t>2154140</t>
  </si>
  <si>
    <t>6232627</t>
  </si>
  <si>
    <t>3005783471</t>
  </si>
  <si>
    <t>6370895</t>
  </si>
  <si>
    <t>8841278</t>
  </si>
  <si>
    <t>3176571922</t>
  </si>
  <si>
    <t>3212324462</t>
  </si>
  <si>
    <t>3689733</t>
  </si>
  <si>
    <t>3153035275</t>
  </si>
  <si>
    <t>3133578617</t>
  </si>
  <si>
    <t>5453847</t>
  </si>
  <si>
    <t>4126085</t>
  </si>
  <si>
    <t>3153365988</t>
  </si>
  <si>
    <t>4206415</t>
  </si>
  <si>
    <t>3115420396</t>
  </si>
  <si>
    <t>316 3302586</t>
  </si>
  <si>
    <t>3025781</t>
  </si>
  <si>
    <t>3113112577</t>
  </si>
  <si>
    <t>6730958</t>
  </si>
  <si>
    <t>8854275</t>
  </si>
  <si>
    <t>3184013697</t>
  </si>
  <si>
    <t>6840046</t>
  </si>
  <si>
    <t>3107725264</t>
  </si>
  <si>
    <t>3127609265</t>
  </si>
  <si>
    <t>3103824984</t>
  </si>
  <si>
    <t>3214327894</t>
  </si>
  <si>
    <t>2168829</t>
  </si>
  <si>
    <t>7611972</t>
  </si>
  <si>
    <t>3104087</t>
  </si>
  <si>
    <t>3473480</t>
  </si>
  <si>
    <t>3124869120</t>
  </si>
  <si>
    <t>3107608316</t>
  </si>
  <si>
    <t>3014640898</t>
  </si>
  <si>
    <t>31643055531</t>
  </si>
  <si>
    <t>3006606189</t>
  </si>
  <si>
    <t>3175134769</t>
  </si>
  <si>
    <t>4661832</t>
  </si>
  <si>
    <t>3127439880</t>
  </si>
  <si>
    <t>3458596</t>
  </si>
  <si>
    <t>4483149</t>
  </si>
  <si>
    <t>4122112</t>
  </si>
  <si>
    <t>3153481183</t>
  </si>
  <si>
    <t>3335590</t>
  </si>
  <si>
    <t>2266764</t>
  </si>
  <si>
    <t>6209243</t>
  </si>
  <si>
    <t>3112765286</t>
  </si>
  <si>
    <t>3116856778</t>
  </si>
  <si>
    <t>3206878070</t>
  </si>
  <si>
    <t>3121462</t>
  </si>
  <si>
    <t>3208397671</t>
  </si>
  <si>
    <t>3006979620</t>
  </si>
  <si>
    <t>2363488</t>
  </si>
  <si>
    <t>3166874345</t>
  </si>
  <si>
    <t>3044480893</t>
  </si>
  <si>
    <t>3013047672</t>
  </si>
  <si>
    <t>6148825</t>
  </si>
  <si>
    <t>7422828</t>
  </si>
  <si>
    <t>3108916385</t>
  </si>
  <si>
    <t>3168345679</t>
  </si>
  <si>
    <t>3113626485</t>
  </si>
  <si>
    <t>5555555</t>
  </si>
  <si>
    <t>8055602</t>
  </si>
  <si>
    <t>3004228611</t>
  </si>
  <si>
    <t>6575609</t>
  </si>
  <si>
    <t>3183850329</t>
  </si>
  <si>
    <t>3112626030</t>
  </si>
  <si>
    <t>3 1 9 6 1 4 0 7 9 5</t>
  </si>
  <si>
    <t>3104655615</t>
  </si>
  <si>
    <t>3114731058</t>
  </si>
  <si>
    <t>3016294943</t>
  </si>
  <si>
    <t>4198632</t>
  </si>
  <si>
    <t>3135615670</t>
  </si>
  <si>
    <t>3146687158</t>
  </si>
  <si>
    <t>3216487153</t>
  </si>
  <si>
    <t>3113265855</t>
  </si>
  <si>
    <t>6045086033 - 3174307</t>
  </si>
  <si>
    <t>4963268</t>
  </si>
  <si>
    <t>5923145</t>
  </si>
  <si>
    <t>3204748217</t>
  </si>
  <si>
    <t>3125819846</t>
  </si>
  <si>
    <t>3104591692</t>
  </si>
  <si>
    <t>3168760678</t>
  </si>
  <si>
    <t>6475078</t>
  </si>
  <si>
    <t>2994066</t>
  </si>
  <si>
    <t>3004109518</t>
  </si>
  <si>
    <t>2304548</t>
  </si>
  <si>
    <t>7452822</t>
  </si>
  <si>
    <t>6856700</t>
  </si>
  <si>
    <t>3005045451</t>
  </si>
  <si>
    <t>7389014</t>
  </si>
  <si>
    <t>3608686</t>
  </si>
  <si>
    <t>3451992</t>
  </si>
  <si>
    <t>3008083478</t>
  </si>
  <si>
    <t>3006831286</t>
  </si>
  <si>
    <t>3112973269</t>
  </si>
  <si>
    <t>6014660998</t>
  </si>
  <si>
    <t>4323483</t>
  </si>
  <si>
    <t>6430943</t>
  </si>
  <si>
    <t>6105053</t>
  </si>
  <si>
    <t>3174407382</t>
  </si>
  <si>
    <t>6310525</t>
  </si>
  <si>
    <t>6479985</t>
  </si>
  <si>
    <t>3108813276</t>
  </si>
  <si>
    <t>3166263864</t>
  </si>
  <si>
    <t>312 610 72 55</t>
  </si>
  <si>
    <t>6291098</t>
  </si>
  <si>
    <t>5 9 3 8 1 1 1</t>
  </si>
  <si>
    <t>3790770</t>
  </si>
  <si>
    <t>3107487855</t>
  </si>
  <si>
    <t>3651855</t>
  </si>
  <si>
    <t>6089272</t>
  </si>
  <si>
    <t>3215906343</t>
  </si>
  <si>
    <t>5575780</t>
  </si>
  <si>
    <t>3105698989</t>
  </si>
  <si>
    <t>3218351154</t>
  </si>
  <si>
    <t>6 0 5 3 6 0 5 2 7 9</t>
  </si>
  <si>
    <t>3108961870</t>
  </si>
  <si>
    <t>6204060</t>
  </si>
  <si>
    <t>3112072301</t>
  </si>
  <si>
    <t>4122626</t>
  </si>
  <si>
    <t>3208362034</t>
  </si>
  <si>
    <t>3108597403</t>
  </si>
  <si>
    <t>6953167</t>
  </si>
  <si>
    <t>6916529</t>
  </si>
  <si>
    <t>3123721137</t>
  </si>
  <si>
    <t>3133500859</t>
  </si>
  <si>
    <t>2594812</t>
  </si>
  <si>
    <t>6343000</t>
  </si>
  <si>
    <t>2361225</t>
  </si>
  <si>
    <t>3107650029</t>
  </si>
  <si>
    <t>3168708270</t>
  </si>
  <si>
    <t>2565713</t>
  </si>
  <si>
    <t>8932140</t>
  </si>
  <si>
    <t>6574259</t>
  </si>
  <si>
    <t>3114740822</t>
  </si>
  <si>
    <t>6323871</t>
  </si>
  <si>
    <t>3154427448</t>
  </si>
  <si>
    <t>2935598</t>
  </si>
  <si>
    <t>6333840</t>
  </si>
  <si>
    <t>3162655421</t>
  </si>
  <si>
    <t>31774318477</t>
  </si>
  <si>
    <t>3154428910</t>
  </si>
  <si>
    <t>3156449308</t>
  </si>
  <si>
    <t>3191731</t>
  </si>
  <si>
    <t>3666979</t>
  </si>
  <si>
    <t>3213137266</t>
  </si>
  <si>
    <t>3126704278</t>
  </si>
  <si>
    <t>6133410</t>
  </si>
  <si>
    <t>3123145795</t>
  </si>
  <si>
    <t>6536868</t>
  </si>
  <si>
    <t>3123176458</t>
  </si>
  <si>
    <t>4195227</t>
  </si>
  <si>
    <t>6325471</t>
  </si>
  <si>
    <t>3168243391</t>
  </si>
  <si>
    <t>7498364</t>
  </si>
  <si>
    <t>2155589</t>
  </si>
  <si>
    <t>6453360</t>
  </si>
  <si>
    <t>6190946</t>
  </si>
  <si>
    <t>2261363</t>
  </si>
  <si>
    <t>6277367</t>
  </si>
  <si>
    <t>6017597898</t>
  </si>
  <si>
    <t>3157464127</t>
  </si>
  <si>
    <t>2157954</t>
  </si>
  <si>
    <t>2352500</t>
  </si>
  <si>
    <t>3168252914</t>
  </si>
  <si>
    <t>8232308</t>
  </si>
  <si>
    <t>2649498</t>
  </si>
  <si>
    <t>3002972606</t>
  </si>
  <si>
    <t>3212229</t>
  </si>
  <si>
    <t>3229428803</t>
  </si>
  <si>
    <t>3002254256</t>
  </si>
  <si>
    <t>5789284</t>
  </si>
  <si>
    <t>5401888</t>
  </si>
  <si>
    <t>3165784396</t>
  </si>
  <si>
    <t>6377725</t>
  </si>
  <si>
    <t>3188278653</t>
  </si>
  <si>
    <t>3122631888</t>
  </si>
  <si>
    <t>3116355615</t>
  </si>
  <si>
    <t>320 839 76 71</t>
  </si>
  <si>
    <t>2189460</t>
  </si>
  <si>
    <t>3023116888</t>
  </si>
  <si>
    <t>3103327727</t>
  </si>
  <si>
    <t>3164735119</t>
  </si>
  <si>
    <t>3881195</t>
  </si>
  <si>
    <t>3184938394</t>
  </si>
  <si>
    <t>3124346</t>
  </si>
  <si>
    <t>2634635</t>
  </si>
  <si>
    <t>3015250320</t>
  </si>
  <si>
    <t>4807550</t>
  </si>
  <si>
    <t>3128060369</t>
  </si>
  <si>
    <t>4758449</t>
  </si>
  <si>
    <t>4801010</t>
  </si>
  <si>
    <t>3204444466</t>
  </si>
  <si>
    <t>3006869249</t>
  </si>
  <si>
    <t>3163672065</t>
  </si>
  <si>
    <t>3188041910</t>
  </si>
  <si>
    <t>3905091</t>
  </si>
  <si>
    <t>3014591618</t>
  </si>
  <si>
    <t>3 0 1 5 6 4 5 2 6 1</t>
  </si>
  <si>
    <t>8059200</t>
  </si>
  <si>
    <t>3147720861</t>
  </si>
  <si>
    <t>3218424234</t>
  </si>
  <si>
    <t>3163727656</t>
  </si>
  <si>
    <t>3191517</t>
  </si>
  <si>
    <t>3153838458</t>
  </si>
  <si>
    <t>3107668029</t>
  </si>
  <si>
    <t>3203460</t>
  </si>
  <si>
    <t>2934644</t>
  </si>
  <si>
    <t>3112937816</t>
  </si>
  <si>
    <t>3214667789</t>
  </si>
  <si>
    <t>6919606</t>
  </si>
  <si>
    <t>3165318673</t>
  </si>
  <si>
    <t>3187078498</t>
  </si>
  <si>
    <t>6914186</t>
  </si>
  <si>
    <t>3851090</t>
  </si>
  <si>
    <t>3154316696</t>
  </si>
  <si>
    <t>3147917023</t>
  </si>
  <si>
    <t>2473421</t>
  </si>
  <si>
    <t>3105561679</t>
  </si>
  <si>
    <t>3002460</t>
  </si>
  <si>
    <t>6575233</t>
  </si>
  <si>
    <t>3015555</t>
  </si>
  <si>
    <t>2104466</t>
  </si>
  <si>
    <t>3145890067</t>
  </si>
  <si>
    <t>4725794</t>
  </si>
  <si>
    <t>3128404110</t>
  </si>
  <si>
    <t>3155887283</t>
  </si>
  <si>
    <t>7423294</t>
  </si>
  <si>
    <t>3117707131</t>
  </si>
  <si>
    <t>3147738633</t>
  </si>
  <si>
    <t>3107942662</t>
  </si>
  <si>
    <t>3325973</t>
  </si>
  <si>
    <t>2157075</t>
  </si>
  <si>
    <t>6336378</t>
  </si>
  <si>
    <t>3006605134</t>
  </si>
  <si>
    <t>3103125660</t>
  </si>
  <si>
    <t>3225565</t>
  </si>
  <si>
    <t>6459605</t>
  </si>
  <si>
    <t>7028364</t>
  </si>
  <si>
    <t>3187756907</t>
  </si>
  <si>
    <t>3103676594</t>
  </si>
  <si>
    <t>3182884936</t>
  </si>
  <si>
    <t>3147876460</t>
  </si>
  <si>
    <t>7270681</t>
  </si>
  <si>
    <t>6322038</t>
  </si>
  <si>
    <t>6653214</t>
  </si>
  <si>
    <t>4363707</t>
  </si>
  <si>
    <t>3108034760</t>
  </si>
  <si>
    <t>5116647</t>
  </si>
  <si>
    <t>6360770</t>
  </si>
  <si>
    <t>3013714224</t>
  </si>
  <si>
    <t>8853737</t>
  </si>
  <si>
    <t>7470466</t>
  </si>
  <si>
    <t>6106282</t>
  </si>
  <si>
    <t>6456052</t>
  </si>
  <si>
    <t>3016442101</t>
  </si>
  <si>
    <t>4730888</t>
  </si>
  <si>
    <t>7041807</t>
  </si>
  <si>
    <t>3164686842</t>
  </si>
  <si>
    <t>6688518</t>
  </si>
  <si>
    <t>3118854632</t>
  </si>
  <si>
    <t>5361111</t>
  </si>
  <si>
    <t>6334412</t>
  </si>
  <si>
    <t>4926781</t>
  </si>
  <si>
    <t>8386000</t>
  </si>
  <si>
    <t>8900063</t>
  </si>
  <si>
    <t>3147999329</t>
  </si>
  <si>
    <t>3358640</t>
  </si>
  <si>
    <t>6718985</t>
  </si>
  <si>
    <t>3013688438</t>
  </si>
  <si>
    <t>3177306311</t>
  </si>
  <si>
    <t>3346664</t>
  </si>
  <si>
    <t>5577189</t>
  </si>
  <si>
    <t>3 1 5 7 6 2 2 7 9 4</t>
  </si>
  <si>
    <t>3706701</t>
  </si>
  <si>
    <t>3002368</t>
  </si>
  <si>
    <t>5832361</t>
  </si>
  <si>
    <t>6575285</t>
  </si>
  <si>
    <t>3156495960</t>
  </si>
  <si>
    <t>3599317</t>
  </si>
  <si>
    <t>3797903</t>
  </si>
  <si>
    <t>6203578</t>
  </si>
  <si>
    <t>3153441359</t>
  </si>
  <si>
    <t>5146018</t>
  </si>
  <si>
    <t>4444008</t>
  </si>
  <si>
    <t>3112059388</t>
  </si>
  <si>
    <t>3019905</t>
  </si>
  <si>
    <t>3461752</t>
  </si>
  <si>
    <t>3 1 2 5 0 7 1 1 0 8</t>
  </si>
  <si>
    <t>3008096749</t>
  </si>
  <si>
    <t>4483468</t>
  </si>
  <si>
    <t>8718219</t>
  </si>
  <si>
    <t>3087066</t>
  </si>
  <si>
    <t>3203029197</t>
  </si>
  <si>
    <t>7518131</t>
  </si>
  <si>
    <t>6246295</t>
  </si>
  <si>
    <t>3012814927</t>
  </si>
  <si>
    <t>6577371</t>
  </si>
  <si>
    <t>6427284</t>
  </si>
  <si>
    <t>6624694</t>
  </si>
  <si>
    <t>6213111</t>
  </si>
  <si>
    <t>6130589</t>
  </si>
  <si>
    <t>2514048</t>
  </si>
  <si>
    <t>6065135</t>
  </si>
  <si>
    <t>3128763569</t>
  </si>
  <si>
    <t>3540559</t>
  </si>
  <si>
    <t>6670493</t>
  </si>
  <si>
    <t>2312122</t>
  </si>
  <si>
    <t>6315740</t>
  </si>
  <si>
    <t>6346002</t>
  </si>
  <si>
    <t>3202218940</t>
  </si>
  <si>
    <t>3136618142</t>
  </si>
  <si>
    <t>2140588</t>
  </si>
  <si>
    <t>3216386363</t>
  </si>
  <si>
    <t>8872005</t>
  </si>
  <si>
    <t>3138910872</t>
  </si>
  <si>
    <t>6323047</t>
  </si>
  <si>
    <t>3133773860</t>
  </si>
  <si>
    <t>3207265892</t>
  </si>
  <si>
    <t>3222519933</t>
  </si>
  <si>
    <t>2137293</t>
  </si>
  <si>
    <t>2539139</t>
  </si>
  <si>
    <t>3134331071</t>
  </si>
  <si>
    <t>2382204</t>
  </si>
  <si>
    <t>6704939</t>
  </si>
  <si>
    <t>4 4 8 3 5 1 0</t>
  </si>
  <si>
    <t>8853613</t>
  </si>
  <si>
    <t>3115421760</t>
  </si>
  <si>
    <t>3122983926</t>
  </si>
  <si>
    <t>3137333826</t>
  </si>
  <si>
    <t>5735837</t>
  </si>
  <si>
    <t>3118237838</t>
  </si>
  <si>
    <t>3228758274</t>
  </si>
  <si>
    <t>6613062</t>
  </si>
  <si>
    <t>8792914</t>
  </si>
  <si>
    <t>3008427052</t>
  </si>
  <si>
    <t>2561880</t>
  </si>
  <si>
    <t>6457176</t>
  </si>
  <si>
    <t>3794619</t>
  </si>
  <si>
    <t>8756595</t>
  </si>
  <si>
    <t>3157074265</t>
  </si>
  <si>
    <t>3002904366</t>
  </si>
  <si>
    <t>3565344</t>
  </si>
  <si>
    <t>7422600</t>
  </si>
  <si>
    <t>3157831184</t>
  </si>
  <si>
    <t>4705024</t>
  </si>
  <si>
    <t>3183767312</t>
  </si>
  <si>
    <t>3156729438</t>
  </si>
  <si>
    <t>3016359969</t>
  </si>
  <si>
    <t>6334285</t>
  </si>
  <si>
    <t>3102761016</t>
  </si>
  <si>
    <t>2662694</t>
  </si>
  <si>
    <t>3187825371</t>
  </si>
  <si>
    <t>2877668</t>
  </si>
  <si>
    <t>4378970</t>
  </si>
  <si>
    <t>3138330215</t>
  </si>
  <si>
    <t>3250703</t>
  </si>
  <si>
    <t>6372954</t>
  </si>
  <si>
    <t>3205640490</t>
  </si>
  <si>
    <t>6356021</t>
  </si>
  <si>
    <t>3209798752</t>
  </si>
  <si>
    <t>3128984652</t>
  </si>
  <si>
    <t>3288552</t>
  </si>
  <si>
    <t>4326973</t>
  </si>
  <si>
    <t>6408565</t>
  </si>
  <si>
    <t>2497396</t>
  </si>
  <si>
    <t>3164702101</t>
  </si>
  <si>
    <t>3200840</t>
  </si>
  <si>
    <t>4444624</t>
  </si>
  <si>
    <t>3106592562</t>
  </si>
  <si>
    <t>5200859</t>
  </si>
  <si>
    <t>3188580434</t>
  </si>
  <si>
    <t>4898869</t>
  </si>
  <si>
    <t>3120302</t>
  </si>
  <si>
    <t>5146677</t>
  </si>
  <si>
    <t>6161475</t>
  </si>
  <si>
    <t>2317534</t>
  </si>
  <si>
    <t>5700195</t>
  </si>
  <si>
    <t>6457117</t>
  </si>
  <si>
    <t>3045811203</t>
  </si>
  <si>
    <t>7328287</t>
  </si>
  <si>
    <t>3013099769</t>
  </si>
  <si>
    <t>3134275689</t>
  </si>
  <si>
    <t>3647666</t>
  </si>
  <si>
    <t>4263719</t>
  </si>
  <si>
    <t>3004340633</t>
  </si>
  <si>
    <t>3005895</t>
  </si>
  <si>
    <t>6950527</t>
  </si>
  <si>
    <t>3134340943</t>
  </si>
  <si>
    <t>5253056</t>
  </si>
  <si>
    <t>6200156</t>
  </si>
  <si>
    <t>2138053</t>
  </si>
  <si>
    <t>6473502</t>
  </si>
  <si>
    <t>3477885</t>
  </si>
  <si>
    <t>6831000</t>
  </si>
  <si>
    <t>3715810</t>
  </si>
  <si>
    <t>2550514</t>
  </si>
  <si>
    <t>3195577552</t>
  </si>
  <si>
    <t>7025712</t>
  </si>
  <si>
    <t>3104672</t>
  </si>
  <si>
    <t>4440019</t>
  </si>
  <si>
    <t>3 0 2 4 1 5 9 7 2 9</t>
  </si>
  <si>
    <t>3 1 0 2 1 3 0 0 2 2</t>
  </si>
  <si>
    <t>6200694</t>
  </si>
  <si>
    <t>3012296931</t>
  </si>
  <si>
    <t>6822743</t>
  </si>
  <si>
    <t>6956340</t>
  </si>
  <si>
    <t>3138814</t>
  </si>
  <si>
    <t>6292932</t>
  </si>
  <si>
    <t>6167004</t>
  </si>
  <si>
    <t>6269032</t>
  </si>
  <si>
    <t>6327613</t>
  </si>
  <si>
    <t>3124498023</t>
  </si>
  <si>
    <t>2326801</t>
  </si>
  <si>
    <t>3176405009</t>
  </si>
  <si>
    <t>2166545</t>
  </si>
  <si>
    <t>7 0 3 2 6 3 4</t>
  </si>
  <si>
    <t>3116275014</t>
  </si>
  <si>
    <t>4717970</t>
  </si>
  <si>
    <t>31110038252</t>
  </si>
  <si>
    <t>3105442056</t>
  </si>
  <si>
    <t>3015881992</t>
  </si>
  <si>
    <t>3147460275</t>
  </si>
  <si>
    <t>3381776</t>
  </si>
  <si>
    <t>6225951</t>
  </si>
  <si>
    <t>3107941973</t>
  </si>
  <si>
    <t>3155851446</t>
  </si>
  <si>
    <t>7418250</t>
  </si>
  <si>
    <t>746 80 00</t>
  </si>
  <si>
    <t>5751089</t>
  </si>
  <si>
    <t>3102953890</t>
  </si>
  <si>
    <t>3162231008</t>
  </si>
  <si>
    <t>6123235</t>
  </si>
  <si>
    <t>3164280755</t>
  </si>
  <si>
    <t>3182091599</t>
  </si>
  <si>
    <t>6323133</t>
  </si>
  <si>
    <t>3103250268</t>
  </si>
  <si>
    <t>3002989515</t>
  </si>
  <si>
    <t>6016445</t>
  </si>
  <si>
    <t>4241155</t>
  </si>
  <si>
    <t>3222106</t>
  </si>
  <si>
    <t>2715407</t>
  </si>
  <si>
    <t>3162349573</t>
  </si>
  <si>
    <t>3112500375</t>
  </si>
  <si>
    <t>7002147 - 6994961</t>
  </si>
  <si>
    <t>6571956</t>
  </si>
  <si>
    <t>6371610</t>
  </si>
  <si>
    <t>3122988673</t>
  </si>
  <si>
    <t>3105778549</t>
  </si>
  <si>
    <t>3144118240</t>
  </si>
  <si>
    <t>3205602429</t>
  </si>
  <si>
    <t>3173730656</t>
  </si>
  <si>
    <t>6661141</t>
  </si>
  <si>
    <t>3176904654</t>
  </si>
  <si>
    <t>3104513940</t>
  </si>
  <si>
    <t>3204052</t>
  </si>
  <si>
    <t>3176113</t>
  </si>
  <si>
    <t>6334571</t>
  </si>
  <si>
    <t>6 0 1 9 1 9 2 0 0 4</t>
  </si>
  <si>
    <t>3251774</t>
  </si>
  <si>
    <t>6211040</t>
  </si>
  <si>
    <t>6577182</t>
  </si>
  <si>
    <t>3115000623</t>
  </si>
  <si>
    <t>6209267</t>
  </si>
  <si>
    <t>3222163262</t>
  </si>
  <si>
    <t>7043370</t>
  </si>
  <si>
    <t>6573249</t>
  </si>
  <si>
    <t>4358148</t>
  </si>
  <si>
    <t>6640022</t>
  </si>
  <si>
    <t>8113625</t>
  </si>
  <si>
    <t>6167240</t>
  </si>
  <si>
    <t>6106465</t>
  </si>
  <si>
    <t>4443219</t>
  </si>
  <si>
    <t>6520719</t>
  </si>
  <si>
    <t>4148224</t>
  </si>
  <si>
    <t>3135477039</t>
  </si>
  <si>
    <t>5158138</t>
  </si>
  <si>
    <t>3166519305</t>
  </si>
  <si>
    <t>6393694</t>
  </si>
  <si>
    <t>2579144</t>
  </si>
  <si>
    <t>3881364</t>
  </si>
  <si>
    <t>3173763622</t>
  </si>
  <si>
    <t>3156897539</t>
  </si>
  <si>
    <t>3012384723</t>
  </si>
  <si>
    <t>2558621</t>
  </si>
  <si>
    <t>3214347394</t>
  </si>
  <si>
    <t>5415276</t>
  </si>
  <si>
    <t>3103892669</t>
  </si>
  <si>
    <t>3861665</t>
  </si>
  <si>
    <t>6794479</t>
  </si>
  <si>
    <t>2687494</t>
  </si>
  <si>
    <t>3589344</t>
  </si>
  <si>
    <t>3693200</t>
  </si>
  <si>
    <t>3162888</t>
  </si>
  <si>
    <t>3108359365</t>
  </si>
  <si>
    <t>6494955</t>
  </si>
  <si>
    <t>2882405</t>
  </si>
  <si>
    <t>3148781186</t>
  </si>
  <si>
    <t>6351120</t>
  </si>
  <si>
    <t>3206734685</t>
  </si>
  <si>
    <t>3346001</t>
  </si>
  <si>
    <t>3127858177</t>
  </si>
  <si>
    <t>3102877299</t>
  </si>
  <si>
    <t>7409284</t>
  </si>
  <si>
    <t>6752287</t>
  </si>
  <si>
    <t>3113127514</t>
  </si>
  <si>
    <t>3186935510</t>
  </si>
  <si>
    <t>4661198</t>
  </si>
  <si>
    <t>3295475</t>
  </si>
  <si>
    <t>3 1 5 2 5 4 9 2 9 9</t>
  </si>
  <si>
    <t>6293977</t>
  </si>
  <si>
    <t>6120296</t>
  </si>
  <si>
    <t>6371235</t>
  </si>
  <si>
    <t>3118304712</t>
  </si>
  <si>
    <t>6105149</t>
  </si>
  <si>
    <t>3135820908</t>
  </si>
  <si>
    <t>6470890</t>
  </si>
  <si>
    <t>6653263</t>
  </si>
  <si>
    <t>3005742498</t>
  </si>
  <si>
    <t>3157581189</t>
  </si>
  <si>
    <t>7437430</t>
  </si>
  <si>
    <t>6377614</t>
  </si>
  <si>
    <t>3002045108</t>
  </si>
  <si>
    <t>3 2 0 2 8 6 7 6 6 4</t>
  </si>
  <si>
    <t>3132635588</t>
  </si>
  <si>
    <t>6551260</t>
  </si>
  <si>
    <t>3006328254</t>
  </si>
  <si>
    <t>3002042383</t>
  </si>
  <si>
    <t>7495929</t>
  </si>
  <si>
    <t>4966588</t>
  </si>
  <si>
    <t>3212061123</t>
  </si>
  <si>
    <t>5188777</t>
  </si>
  <si>
    <t>3008185075</t>
  </si>
  <si>
    <t>3006705886</t>
  </si>
  <si>
    <t>3146697590</t>
  </si>
  <si>
    <t>5141572</t>
  </si>
  <si>
    <t>3158697073</t>
  </si>
  <si>
    <t>3128143228</t>
  </si>
  <si>
    <t>3053202145</t>
  </si>
  <si>
    <t>6763864</t>
  </si>
  <si>
    <t>3138523044</t>
  </si>
  <si>
    <t>2151048</t>
  </si>
  <si>
    <t>3125574802</t>
  </si>
  <si>
    <t>4358117</t>
  </si>
  <si>
    <t>3152768715</t>
  </si>
  <si>
    <t>7563300</t>
  </si>
  <si>
    <t>2585512</t>
  </si>
  <si>
    <t>5068588</t>
  </si>
  <si>
    <t>3007749475</t>
  </si>
  <si>
    <t>3004045</t>
  </si>
  <si>
    <t>3212201</t>
  </si>
  <si>
    <t>3043455399</t>
  </si>
  <si>
    <t>2536425</t>
  </si>
  <si>
    <t>3134324</t>
  </si>
  <si>
    <t>3127766277</t>
  </si>
  <si>
    <t>3118742340</t>
  </si>
  <si>
    <t>6 0 5 3 4 2 0 9 0 9</t>
  </si>
  <si>
    <t>6311431</t>
  </si>
  <si>
    <t>3004765686</t>
  </si>
  <si>
    <t>8663243</t>
  </si>
  <si>
    <t>3107633036</t>
  </si>
  <si>
    <t>3471154</t>
  </si>
  <si>
    <t>2911991</t>
  </si>
  <si>
    <t>3102558356</t>
  </si>
  <si>
    <t>4495555</t>
  </si>
  <si>
    <t>3137332538</t>
  </si>
  <si>
    <t>4480228</t>
  </si>
  <si>
    <t>4221692</t>
  </si>
  <si>
    <t>3227040</t>
  </si>
  <si>
    <t>3158757979</t>
  </si>
  <si>
    <t>8312000</t>
  </si>
  <si>
    <t>3319898</t>
  </si>
  <si>
    <t>3683653</t>
  </si>
  <si>
    <t>6952256</t>
  </si>
  <si>
    <t>3005699221</t>
  </si>
  <si>
    <t>3006049472</t>
  </si>
  <si>
    <t>315 5533625</t>
  </si>
  <si>
    <t>4813373</t>
  </si>
  <si>
    <t>4673198</t>
  </si>
  <si>
    <t>3102650277</t>
  </si>
  <si>
    <t>3114637374</t>
  </si>
  <si>
    <t>3115158366</t>
  </si>
  <si>
    <t>3174332697</t>
  </si>
  <si>
    <t>3586582</t>
  </si>
  <si>
    <t>3218171020</t>
  </si>
  <si>
    <t>6603000</t>
  </si>
  <si>
    <t>3314050</t>
  </si>
  <si>
    <t>8810416</t>
  </si>
  <si>
    <t>6917974</t>
  </si>
  <si>
    <t>4217900</t>
  </si>
  <si>
    <t>6221125</t>
  </si>
  <si>
    <t>3103676670</t>
  </si>
  <si>
    <t>6606111</t>
  </si>
  <si>
    <t>3175341593</t>
  </si>
  <si>
    <t>3106303268</t>
  </si>
  <si>
    <t>3164910636</t>
  </si>
  <si>
    <t>4327465</t>
  </si>
  <si>
    <t>3138898593</t>
  </si>
  <si>
    <t>3122963735</t>
  </si>
  <si>
    <t>5891000</t>
  </si>
  <si>
    <t>3023574</t>
  </si>
  <si>
    <t>7 0 3 1 6 3 6</t>
  </si>
  <si>
    <t>3175709917</t>
  </si>
  <si>
    <t>3208459901</t>
  </si>
  <si>
    <t>3128433646</t>
  </si>
  <si>
    <t>5786099</t>
  </si>
  <si>
    <t>3114577781</t>
  </si>
  <si>
    <t>3014317679</t>
  </si>
  <si>
    <t>2157945</t>
  </si>
  <si>
    <t>5185000</t>
  </si>
  <si>
    <t>6314740</t>
  </si>
  <si>
    <t>7431771</t>
  </si>
  <si>
    <t>6630248</t>
  </si>
  <si>
    <t>3 0 4 6 0 6 1 6 1 8</t>
  </si>
  <si>
    <t>2103392</t>
  </si>
  <si>
    <t>6063476</t>
  </si>
  <si>
    <t>32028116204</t>
  </si>
  <si>
    <t>6349064</t>
  </si>
  <si>
    <t>3107657977</t>
  </si>
  <si>
    <t>3105659117</t>
  </si>
  <si>
    <t>3017151400</t>
  </si>
  <si>
    <t>6575254</t>
  </si>
  <si>
    <t>3183778053</t>
  </si>
  <si>
    <t>3007875678</t>
  </si>
  <si>
    <t>6422410</t>
  </si>
  <si>
    <t>3164553378</t>
  </si>
  <si>
    <t>3692914</t>
  </si>
  <si>
    <t>4320606</t>
  </si>
  <si>
    <t>6296660</t>
  </si>
  <si>
    <t>3156540536</t>
  </si>
  <si>
    <t>3113725800</t>
  </si>
  <si>
    <t>3532666</t>
  </si>
  <si>
    <t>6356383</t>
  </si>
  <si>
    <t>3182744742</t>
  </si>
  <si>
    <t>3002119797</t>
  </si>
  <si>
    <t>3552180</t>
  </si>
  <si>
    <t>3182531030</t>
  </si>
  <si>
    <t>3165275377</t>
  </si>
  <si>
    <t>3252956</t>
  </si>
  <si>
    <t>2659448</t>
  </si>
  <si>
    <t>3351292</t>
  </si>
  <si>
    <t>3103295614</t>
  </si>
  <si>
    <t>4912484</t>
  </si>
  <si>
    <t>3 1 0 3 6 6 0 6 9 2</t>
  </si>
  <si>
    <t>6794071</t>
  </si>
  <si>
    <t>2124178</t>
  </si>
  <si>
    <t>6865095</t>
  </si>
  <si>
    <t>6126128</t>
  </si>
  <si>
    <t>3137975364</t>
  </si>
  <si>
    <t>6210537</t>
  </si>
  <si>
    <t>3521512</t>
  </si>
  <si>
    <t>6481846</t>
  </si>
  <si>
    <t>3002703878</t>
  </si>
  <si>
    <t>3324661</t>
  </si>
  <si>
    <t>3174428757</t>
  </si>
  <si>
    <t>2578782</t>
  </si>
  <si>
    <t>7700389</t>
  </si>
  <si>
    <t>8858088</t>
  </si>
  <si>
    <t>3015703597</t>
  </si>
  <si>
    <t>3152559505</t>
  </si>
  <si>
    <t>3155911097</t>
  </si>
  <si>
    <t>3125031949</t>
  </si>
  <si>
    <t>8922396</t>
  </si>
  <si>
    <t>2492812</t>
  </si>
  <si>
    <t>3 1 4 8 9 2 0 2 7 3</t>
  </si>
  <si>
    <t>3460043</t>
  </si>
  <si>
    <t>2115805</t>
  </si>
  <si>
    <t>6473307</t>
  </si>
  <si>
    <t>5710328</t>
  </si>
  <si>
    <t>8910910</t>
  </si>
  <si>
    <t>4661451</t>
  </si>
  <si>
    <t>3166940074</t>
  </si>
  <si>
    <t>3215211944</t>
  </si>
  <si>
    <t>6641583</t>
  </si>
  <si>
    <t>6377466</t>
  </si>
  <si>
    <t>3555885</t>
  </si>
  <si>
    <t>7740547</t>
  </si>
  <si>
    <t>3186007687</t>
  </si>
  <si>
    <t>3 1 2 7 8 5 8 4 1 7</t>
  </si>
  <si>
    <t>3 0 0 7 5 0 3 2 1 6</t>
  </si>
  <si>
    <t>8873226</t>
  </si>
  <si>
    <t>3219576193</t>
  </si>
  <si>
    <t>6105362</t>
  </si>
  <si>
    <t>3912763</t>
  </si>
  <si>
    <t>4486800</t>
  </si>
  <si>
    <t>2169460</t>
  </si>
  <si>
    <t>3373347</t>
  </si>
  <si>
    <t>6561128</t>
  </si>
  <si>
    <t>6304985</t>
  </si>
  <si>
    <t>4672462</t>
  </si>
  <si>
    <t>3138876732</t>
  </si>
  <si>
    <t>7445493</t>
  </si>
  <si>
    <t>3202596629</t>
  </si>
  <si>
    <t>3016428183</t>
  </si>
  <si>
    <t>2572518</t>
  </si>
  <si>
    <t>3128704088</t>
  </si>
  <si>
    <t>3252361</t>
  </si>
  <si>
    <t>3014326249</t>
  </si>
  <si>
    <t>7594018</t>
  </si>
  <si>
    <t>6473885</t>
  </si>
  <si>
    <t>3502028175</t>
  </si>
  <si>
    <t>3004647078</t>
  </si>
  <si>
    <t>4076912</t>
  </si>
  <si>
    <t>6932177</t>
  </si>
  <si>
    <t>6237788</t>
  </si>
  <si>
    <t>2351080</t>
  </si>
  <si>
    <t>3223240392</t>
  </si>
  <si>
    <t>3165784601</t>
  </si>
  <si>
    <t>3012522501</t>
  </si>
  <si>
    <t>8966156</t>
  </si>
  <si>
    <t>5497465</t>
  </si>
  <si>
    <t>5589894</t>
  </si>
  <si>
    <t>3138870429</t>
  </si>
  <si>
    <t>3856060</t>
  </si>
  <si>
    <t>6223111</t>
  </si>
  <si>
    <t>6342367</t>
  </si>
  <si>
    <t>3134848606</t>
  </si>
  <si>
    <t>3099077</t>
  </si>
  <si>
    <t>3115800448</t>
  </si>
  <si>
    <t>3014349892</t>
  </si>
  <si>
    <t>3 0 0 5 5 2 4 2 4 5</t>
  </si>
  <si>
    <t>2490059</t>
  </si>
  <si>
    <t>6451526</t>
  </si>
  <si>
    <t>3046537</t>
  </si>
  <si>
    <t>2180606</t>
  </si>
  <si>
    <t>3112301916</t>
  </si>
  <si>
    <t>3112142254</t>
  </si>
  <si>
    <t>3117530947</t>
  </si>
  <si>
    <t>3176697195</t>
  </si>
  <si>
    <t>7495713</t>
  </si>
  <si>
    <t>3105768851</t>
  </si>
  <si>
    <t>8863956</t>
  </si>
  <si>
    <t>8777764</t>
  </si>
  <si>
    <t>3022501606</t>
  </si>
  <si>
    <t>4162746</t>
  </si>
  <si>
    <t>3146953905</t>
  </si>
  <si>
    <t>3006015873</t>
  </si>
  <si>
    <t>3103862339</t>
  </si>
  <si>
    <t>4344636</t>
  </si>
  <si>
    <t>3114403768</t>
  </si>
  <si>
    <t>7412158</t>
  </si>
  <si>
    <t>3 1 6 2 2 0 2 4 1 2</t>
  </si>
  <si>
    <t>7431227</t>
  </si>
  <si>
    <t>4323939</t>
  </si>
  <si>
    <t>3228169839</t>
  </si>
  <si>
    <t>3138908501</t>
  </si>
  <si>
    <t>3017429616</t>
  </si>
  <si>
    <t>3674400</t>
  </si>
  <si>
    <t>3124346855</t>
  </si>
  <si>
    <t>3003265930</t>
  </si>
  <si>
    <t>3854782</t>
  </si>
  <si>
    <t>6963923</t>
  </si>
  <si>
    <t>6640248</t>
  </si>
  <si>
    <t>6550845</t>
  </si>
  <si>
    <t>3135122466</t>
  </si>
  <si>
    <t>6 0 4 3 2 2 1 0 0 0</t>
  </si>
  <si>
    <t>7108979</t>
  </si>
  <si>
    <t>3919991</t>
  </si>
  <si>
    <t>3126193083</t>
  </si>
  <si>
    <t>3075863</t>
  </si>
  <si>
    <t>3107808658</t>
  </si>
  <si>
    <t>7602319</t>
  </si>
  <si>
    <t>6251192</t>
  </si>
  <si>
    <t>6106546</t>
  </si>
  <si>
    <t>3052270289</t>
  </si>
  <si>
    <t>3108614396</t>
  </si>
  <si>
    <t>3006037536</t>
  </si>
  <si>
    <t>2100622</t>
  </si>
  <si>
    <t>3106077</t>
  </si>
  <si>
    <t>6489074</t>
  </si>
  <si>
    <t>5795009</t>
  </si>
  <si>
    <t>3161769</t>
  </si>
  <si>
    <t>3003828526</t>
  </si>
  <si>
    <t>3152932746</t>
  </si>
  <si>
    <t>7044292</t>
  </si>
  <si>
    <t>6645483</t>
  </si>
  <si>
    <t>4449487</t>
  </si>
  <si>
    <t>3186966018</t>
  </si>
  <si>
    <t>3244376260</t>
  </si>
  <si>
    <t>3104473866</t>
  </si>
  <si>
    <t>3214912928</t>
  </si>
  <si>
    <t>7021430</t>
  </si>
  <si>
    <t>3153499578</t>
  </si>
  <si>
    <t>3581446</t>
  </si>
  <si>
    <t>3176808797</t>
  </si>
  <si>
    <t>3006624516</t>
  </si>
  <si>
    <t>2138340</t>
  </si>
  <si>
    <t>3043628014</t>
  </si>
  <si>
    <t>7427888</t>
  </si>
  <si>
    <t>3106422921</t>
  </si>
  <si>
    <t>3158385474</t>
  </si>
  <si>
    <t>6437193</t>
  </si>
  <si>
    <t>6327568</t>
  </si>
  <si>
    <t>6435732</t>
  </si>
  <si>
    <t>4447799</t>
  </si>
  <si>
    <t>2712050</t>
  </si>
  <si>
    <t>3711111</t>
  </si>
  <si>
    <t>6399984</t>
  </si>
  <si>
    <t>3116478947</t>
  </si>
  <si>
    <t>3163042429</t>
  </si>
  <si>
    <t>6076436872</t>
  </si>
  <si>
    <t>3116059017</t>
  </si>
  <si>
    <t>7029167</t>
  </si>
  <si>
    <t>3313476</t>
  </si>
  <si>
    <t>3013633783</t>
  </si>
  <si>
    <t>3103213272</t>
  </si>
  <si>
    <t>3798286</t>
  </si>
  <si>
    <t>4447471</t>
  </si>
  <si>
    <t>3165392345</t>
  </si>
  <si>
    <t>4 4 8 3 1 4 9</t>
  </si>
  <si>
    <t>314-2052631</t>
  </si>
  <si>
    <t>3108465836</t>
  </si>
  <si>
    <t>5202970</t>
  </si>
  <si>
    <t>3102531824</t>
  </si>
  <si>
    <t>3146780679</t>
  </si>
  <si>
    <t>3122739072</t>
  </si>
  <si>
    <t>6011414</t>
  </si>
  <si>
    <t>3679600</t>
  </si>
  <si>
    <t>3185863328</t>
  </si>
  <si>
    <t>3214351915</t>
  </si>
  <si>
    <t>3187856327</t>
  </si>
  <si>
    <t>6970969</t>
  </si>
  <si>
    <t>3003944531</t>
  </si>
  <si>
    <t>2006895</t>
  </si>
  <si>
    <t>301 7575817</t>
  </si>
  <si>
    <t>3 1 2 3 1 8 8 3 5 3</t>
  </si>
  <si>
    <t>6267976</t>
  </si>
  <si>
    <t>3203052033</t>
  </si>
  <si>
    <t>3117619991</t>
  </si>
  <si>
    <t>3508688189</t>
  </si>
  <si>
    <t>3154379472</t>
  </si>
  <si>
    <t>3202753845</t>
  </si>
  <si>
    <t>3152688228</t>
  </si>
  <si>
    <t>3458464</t>
  </si>
  <si>
    <t>3 1 0 8 2 6 6 4 3 5</t>
  </si>
  <si>
    <t>4217901</t>
  </si>
  <si>
    <t>36344865</t>
  </si>
  <si>
    <t>3002701</t>
  </si>
  <si>
    <t>3114188658</t>
  </si>
  <si>
    <t>3041213336</t>
  </si>
  <si>
    <t>3213136733</t>
  </si>
  <si>
    <t>7380895</t>
  </si>
  <si>
    <t>3177258689</t>
  </si>
  <si>
    <t>3016862343</t>
  </si>
  <si>
    <t>2562629</t>
  </si>
  <si>
    <t>3003585</t>
  </si>
  <si>
    <t>3118397405</t>
  </si>
  <si>
    <t>3311396</t>
  </si>
  <si>
    <t>3103096425</t>
  </si>
  <si>
    <t>3182825381</t>
  </si>
  <si>
    <t>3534000</t>
  </si>
  <si>
    <t>6157141</t>
  </si>
  <si>
    <t>6433177</t>
  </si>
  <si>
    <t>3006412365</t>
  </si>
  <si>
    <t>3175109352</t>
  </si>
  <si>
    <t>3168344585</t>
  </si>
  <si>
    <t>3116652739</t>
  </si>
  <si>
    <t>9370856</t>
  </si>
  <si>
    <t>3 1 0 3 9 8 3 5 5 4</t>
  </si>
  <si>
    <t>7440597</t>
  </si>
  <si>
    <t>3 1 8 5 6 2 4 2 8 9</t>
  </si>
  <si>
    <t>3125594181</t>
  </si>
  <si>
    <t>3166960481</t>
  </si>
  <si>
    <t>3455990</t>
  </si>
  <si>
    <t>6798077</t>
  </si>
  <si>
    <t>3217582582</t>
  </si>
  <si>
    <t>3174286518</t>
  </si>
  <si>
    <t>3 0 1 4 4 1 1 8 6 7</t>
  </si>
  <si>
    <t>3147012332</t>
  </si>
  <si>
    <t>3042568881</t>
  </si>
  <si>
    <t>6059999</t>
  </si>
  <si>
    <t>3104234429</t>
  </si>
  <si>
    <t>6536901</t>
  </si>
  <si>
    <t>6325264</t>
  </si>
  <si>
    <t>311398634</t>
  </si>
  <si>
    <t>6148971</t>
  </si>
  <si>
    <t>3185479462</t>
  </si>
  <si>
    <t>3164537954</t>
  </si>
  <si>
    <t>6185035</t>
  </si>
  <si>
    <t>3013939702</t>
  </si>
  <si>
    <t>3005287420</t>
  </si>
  <si>
    <t>3188311796</t>
  </si>
  <si>
    <t>3132097134</t>
  </si>
  <si>
    <t>5364546</t>
  </si>
  <si>
    <t>3988407</t>
  </si>
  <si>
    <t>3183728858</t>
  </si>
  <si>
    <t>6653315</t>
  </si>
  <si>
    <t>6129929</t>
  </si>
  <si>
    <t>6161799</t>
  </si>
  <si>
    <t>3023631771</t>
  </si>
  <si>
    <t>3206864456</t>
  </si>
  <si>
    <t>3127750172</t>
  </si>
  <si>
    <t>3146571591</t>
  </si>
  <si>
    <t>6396000</t>
  </si>
  <si>
    <t>3164544812</t>
  </si>
  <si>
    <t>3342520</t>
  </si>
  <si>
    <t>6317613</t>
  </si>
  <si>
    <t>6207212</t>
  </si>
  <si>
    <t>6044446331</t>
  </si>
  <si>
    <t>5224509</t>
  </si>
  <si>
    <t>5805170</t>
  </si>
  <si>
    <t>3157914729</t>
  </si>
  <si>
    <t>3187727441</t>
  </si>
  <si>
    <t>3204936240</t>
  </si>
  <si>
    <t>6793641</t>
  </si>
  <si>
    <t>3012770809</t>
  </si>
  <si>
    <t>2744337</t>
  </si>
  <si>
    <t>6 4 7 4 7 8 8</t>
  </si>
  <si>
    <t>3 1 6 3 3 7 9 4 0 7</t>
  </si>
  <si>
    <t>3 2 1 2 4 0 3 5 8 7</t>
  </si>
  <si>
    <t>3643054</t>
  </si>
  <si>
    <t>7742402</t>
  </si>
  <si>
    <t>3103040204</t>
  </si>
  <si>
    <t>6720118</t>
  </si>
  <si>
    <t>4634625</t>
  </si>
  <si>
    <t>6571909</t>
  </si>
  <si>
    <t>3158363057</t>
  </si>
  <si>
    <t>3183499338</t>
  </si>
  <si>
    <t>4327555</t>
  </si>
  <si>
    <t>6352539</t>
  </si>
  <si>
    <t>3489664</t>
  </si>
  <si>
    <t>3108927700</t>
  </si>
  <si>
    <t>5115988</t>
  </si>
  <si>
    <t>3128376859</t>
  </si>
  <si>
    <t>5246690</t>
  </si>
  <si>
    <t>3195620</t>
  </si>
  <si>
    <t>6652110</t>
  </si>
  <si>
    <t>3 1 6 2 2 9 7 3 1 2</t>
  </si>
  <si>
    <t>3138456595</t>
  </si>
  <si>
    <t>4482396</t>
  </si>
  <si>
    <t>7025540</t>
  </si>
  <si>
    <t>3178370957</t>
  </si>
  <si>
    <t>5261628</t>
  </si>
  <si>
    <t>3144242393</t>
  </si>
  <si>
    <t>3150319</t>
  </si>
  <si>
    <t>6452328</t>
  </si>
  <si>
    <t>3 1 1 6 4 2 1 3 0 9</t>
  </si>
  <si>
    <t>6 0 5 3 0 4 9 1 5 6</t>
  </si>
  <si>
    <t>3012531121</t>
  </si>
  <si>
    <t>6014740116</t>
  </si>
  <si>
    <t>4440375</t>
  </si>
  <si>
    <t>3 1 2 7 0 9 4 1 5 3</t>
  </si>
  <si>
    <t>3176752510</t>
  </si>
  <si>
    <t>3159286121</t>
  </si>
  <si>
    <t>3137172061</t>
  </si>
  <si>
    <t>2741222</t>
  </si>
  <si>
    <t>8708537</t>
  </si>
  <si>
    <t>5879307</t>
  </si>
  <si>
    <t>3102118857</t>
  </si>
  <si>
    <t>6030303</t>
  </si>
  <si>
    <t>3166051120</t>
  </si>
  <si>
    <t>6327513</t>
  </si>
  <si>
    <t>3075000</t>
  </si>
  <si>
    <t>3741155</t>
  </si>
  <si>
    <t>3113810</t>
  </si>
  <si>
    <t>4762894</t>
  </si>
  <si>
    <t>3208094745</t>
  </si>
  <si>
    <t>3023891224</t>
  </si>
  <si>
    <t>2368648</t>
  </si>
  <si>
    <t>3246426</t>
  </si>
  <si>
    <t>6 0 1 6 2 0 4 3 8 2</t>
  </si>
  <si>
    <t>3212402487</t>
  </si>
  <si>
    <t>6191054</t>
  </si>
  <si>
    <t>7497985</t>
  </si>
  <si>
    <t>4140019</t>
  </si>
  <si>
    <t>3323982</t>
  </si>
  <si>
    <t>2502663</t>
  </si>
  <si>
    <t>2658724</t>
  </si>
  <si>
    <t>6163960</t>
  </si>
  <si>
    <t>3004494880</t>
  </si>
  <si>
    <t>5462727</t>
  </si>
  <si>
    <t>3176807419</t>
  </si>
  <si>
    <t>3104778</t>
  </si>
  <si>
    <t>6442333</t>
  </si>
  <si>
    <t>3187143122</t>
  </si>
  <si>
    <t>3593172</t>
  </si>
  <si>
    <t>4672414</t>
  </si>
  <si>
    <t>3135727929</t>
  </si>
  <si>
    <t>3125185753</t>
  </si>
  <si>
    <t>3004612</t>
  </si>
  <si>
    <t>8766173</t>
  </si>
  <si>
    <t>3187172848</t>
  </si>
  <si>
    <t>3004751548</t>
  </si>
  <si>
    <t>6369110</t>
  </si>
  <si>
    <t>8676014</t>
  </si>
  <si>
    <t>3013557998</t>
  </si>
  <si>
    <t>6601305</t>
  </si>
  <si>
    <t>3102162844</t>
  </si>
  <si>
    <t>6357561</t>
  </si>
  <si>
    <t>3125560618</t>
  </si>
  <si>
    <t>2184128</t>
  </si>
  <si>
    <t>7495266</t>
  </si>
  <si>
    <t>3125411149</t>
  </si>
  <si>
    <t>3123761570</t>
  </si>
  <si>
    <t>3562366</t>
  </si>
  <si>
    <t>3237505</t>
  </si>
  <si>
    <t>3002402315</t>
  </si>
  <si>
    <t>3012302346</t>
  </si>
  <si>
    <t>6917007</t>
  </si>
  <si>
    <t>3135190789</t>
  </si>
  <si>
    <t>7431095</t>
  </si>
  <si>
    <t>3116751263</t>
  </si>
  <si>
    <t>2855721</t>
  </si>
  <si>
    <t>3142190109</t>
  </si>
  <si>
    <t>320 341 64 50</t>
  </si>
  <si>
    <t>3214348261</t>
  </si>
  <si>
    <t>3007853786</t>
  </si>
  <si>
    <t>3670983</t>
  </si>
  <si>
    <t>3014674107</t>
  </si>
  <si>
    <t>3136828606</t>
  </si>
  <si>
    <t>318 693 55 10</t>
  </si>
  <si>
    <t>3174336777</t>
  </si>
  <si>
    <t>3142193350</t>
  </si>
  <si>
    <t>6904161</t>
  </si>
  <si>
    <t>3132080284</t>
  </si>
  <si>
    <t>6740764</t>
  </si>
  <si>
    <t>2984439</t>
  </si>
  <si>
    <t>3054263421</t>
  </si>
  <si>
    <t>3208358845</t>
  </si>
  <si>
    <t>3177192842</t>
  </si>
  <si>
    <t>5 1 1 8 5 5 6</t>
  </si>
  <si>
    <t>4114242</t>
  </si>
  <si>
    <t>6486383</t>
  </si>
  <si>
    <t>3737787</t>
  </si>
  <si>
    <t>3187020028</t>
  </si>
  <si>
    <t>3450690</t>
  </si>
  <si>
    <t>6208061</t>
  </si>
  <si>
    <t>3003330116</t>
  </si>
  <si>
    <t>6459903</t>
  </si>
  <si>
    <t>3143575485</t>
  </si>
  <si>
    <t>6964087</t>
  </si>
  <si>
    <t>2577853</t>
  </si>
  <si>
    <t>6291100</t>
  </si>
  <si>
    <t>6954678</t>
  </si>
  <si>
    <t>3143684554</t>
  </si>
  <si>
    <t>2877586</t>
  </si>
  <si>
    <t>6215884</t>
  </si>
  <si>
    <t>3166219411</t>
  </si>
  <si>
    <t>4442344</t>
  </si>
  <si>
    <t>6346946</t>
  </si>
  <si>
    <t>6432671</t>
  </si>
  <si>
    <t>3481313</t>
  </si>
  <si>
    <t>3174044429</t>
  </si>
  <si>
    <t>3165318271</t>
  </si>
  <si>
    <t>3336389</t>
  </si>
  <si>
    <t>7312311</t>
  </si>
  <si>
    <t>6235379</t>
  </si>
  <si>
    <t>3116378745</t>
  </si>
  <si>
    <t>5575921</t>
  </si>
  <si>
    <t>3060251</t>
  </si>
  <si>
    <t>3164353779</t>
  </si>
  <si>
    <t>3102445809</t>
  </si>
  <si>
    <t>321 8172367</t>
  </si>
  <si>
    <t>3227117</t>
  </si>
  <si>
    <t>3852878</t>
  </si>
  <si>
    <t>3335627</t>
  </si>
  <si>
    <t>3167000762</t>
  </si>
  <si>
    <t>3153281460</t>
  </si>
  <si>
    <t>3906951</t>
  </si>
  <si>
    <t>3164740</t>
  </si>
  <si>
    <t>6160940</t>
  </si>
  <si>
    <t>3104255670</t>
  </si>
  <si>
    <t>6997417</t>
  </si>
  <si>
    <t>4588794</t>
  </si>
  <si>
    <t>8029945</t>
  </si>
  <si>
    <t>3448198</t>
  </si>
  <si>
    <t>6961275</t>
  </si>
  <si>
    <t>3132550</t>
  </si>
  <si>
    <t>3 0 0 4 4 5 9 2 8 0</t>
  </si>
  <si>
    <t>3 0 0 8 2 3 1 1 2 5</t>
  </si>
  <si>
    <t>3221256</t>
  </si>
  <si>
    <t>3 1 5 3 4 3 8 1 00</t>
  </si>
  <si>
    <t>3043759739</t>
  </si>
  <si>
    <t>3137886546</t>
  </si>
  <si>
    <t>3 2 2 5 3 8 3 2 6 4</t>
  </si>
  <si>
    <t>3178527809</t>
  </si>
  <si>
    <t>3108972370</t>
  </si>
  <si>
    <t>3137170337</t>
  </si>
  <si>
    <t>3004721285</t>
  </si>
  <si>
    <t>3113733218</t>
  </si>
  <si>
    <t>4081011</t>
  </si>
  <si>
    <t>3174298533</t>
  </si>
  <si>
    <t>311 748 12 12</t>
  </si>
  <si>
    <t>6459949</t>
  </si>
  <si>
    <t>3171400</t>
  </si>
  <si>
    <t>5607760</t>
  </si>
  <si>
    <t>3046022409</t>
  </si>
  <si>
    <t>3012730338</t>
  </si>
  <si>
    <t>3204263798</t>
  </si>
  <si>
    <t>3127838254</t>
  </si>
  <si>
    <t>6450073</t>
  </si>
  <si>
    <t>3116650670</t>
  </si>
  <si>
    <t>4320872</t>
  </si>
  <si>
    <t>3226181831</t>
  </si>
  <si>
    <t>6348533</t>
  </si>
  <si>
    <t>3003047355</t>
  </si>
  <si>
    <t>3165299301</t>
  </si>
  <si>
    <t>3217801147</t>
  </si>
  <si>
    <t>6699077</t>
  </si>
  <si>
    <t>3122860436-300164208</t>
  </si>
  <si>
    <t>3205095384</t>
  </si>
  <si>
    <t>3186239449</t>
  </si>
  <si>
    <t>3176370665</t>
  </si>
  <si>
    <t>2161803</t>
  </si>
  <si>
    <t>8935593</t>
  </si>
  <si>
    <t>3162287370</t>
  </si>
  <si>
    <t>5756194</t>
  </si>
  <si>
    <t>6435636</t>
  </si>
  <si>
    <t>4172768</t>
  </si>
  <si>
    <t>6325989</t>
  </si>
  <si>
    <t>2861844</t>
  </si>
  <si>
    <t>3166220316</t>
  </si>
  <si>
    <t>3023395648</t>
  </si>
  <si>
    <t>3052350757</t>
  </si>
  <si>
    <t>6552800</t>
  </si>
  <si>
    <t>5128348</t>
  </si>
  <si>
    <t>3153388499</t>
  </si>
  <si>
    <t>3210000</t>
  </si>
  <si>
    <t>3852057</t>
  </si>
  <si>
    <t>3138704986</t>
  </si>
  <si>
    <t>2886892</t>
  </si>
  <si>
    <t>300 603 36 38</t>
  </si>
  <si>
    <t>4480341</t>
  </si>
  <si>
    <t>4480786</t>
  </si>
  <si>
    <t>5061118</t>
  </si>
  <si>
    <t>3104494691</t>
  </si>
  <si>
    <t>3162278328</t>
  </si>
  <si>
    <t>3104486752</t>
  </si>
  <si>
    <t>3580821</t>
  </si>
  <si>
    <t>6437530</t>
  </si>
  <si>
    <t>6450881</t>
  </si>
  <si>
    <t>3162878105</t>
  </si>
  <si>
    <t>8923367</t>
  </si>
  <si>
    <t>3004459280</t>
  </si>
  <si>
    <t>6313211</t>
  </si>
  <si>
    <t>3214781090</t>
  </si>
  <si>
    <t>3218172367</t>
  </si>
  <si>
    <t>3134848748</t>
  </si>
  <si>
    <t>3218594998</t>
  </si>
  <si>
    <t>5241006</t>
  </si>
  <si>
    <t>6436215</t>
  </si>
  <si>
    <t>3143542603</t>
  </si>
  <si>
    <t>3023341023</t>
  </si>
  <si>
    <t>3187748619</t>
  </si>
  <si>
    <t>3003071819</t>
  </si>
  <si>
    <t>6327102</t>
  </si>
  <si>
    <t>3122956900</t>
  </si>
  <si>
    <t>3156718469</t>
  </si>
  <si>
    <t>2977984</t>
  </si>
  <si>
    <t>3168775603</t>
  </si>
  <si>
    <t>3157172965</t>
  </si>
  <si>
    <t>7557447</t>
  </si>
  <si>
    <t>3202346609</t>
  </si>
  <si>
    <t>9054825</t>
  </si>
  <si>
    <t>316 823 62 37</t>
  </si>
  <si>
    <t>6852202</t>
  </si>
  <si>
    <t>3345946</t>
  </si>
  <si>
    <t>6551304</t>
  </si>
  <si>
    <t>6436111</t>
  </si>
  <si>
    <t>6420854</t>
  </si>
  <si>
    <t>266 9587</t>
  </si>
  <si>
    <t>6399991</t>
  </si>
  <si>
    <t>3122860436</t>
  </si>
  <si>
    <t>3205719978</t>
  </si>
  <si>
    <t>6433311</t>
  </si>
  <si>
    <t>3013315776</t>
  </si>
  <si>
    <t>6560455</t>
  </si>
  <si>
    <t>8811122</t>
  </si>
  <si>
    <t>3123860787</t>
  </si>
  <si>
    <t>3 1 9 5 5 2 5</t>
  </si>
  <si>
    <t>3108930928</t>
  </si>
  <si>
    <t>300 6795458</t>
  </si>
  <si>
    <t>6760203</t>
  </si>
  <si>
    <t>3 1 5 8 3 6 3 0 5 7</t>
  </si>
  <si>
    <t>3116748073</t>
  </si>
  <si>
    <t>3153305454</t>
  </si>
  <si>
    <t>3176484949</t>
  </si>
  <si>
    <t>7559237/36</t>
  </si>
  <si>
    <t>6656876</t>
  </si>
  <si>
    <t>4444614</t>
  </si>
  <si>
    <t>5898536</t>
  </si>
  <si>
    <t>3 1 0 4 1 5 1 5 4 2</t>
  </si>
  <si>
    <t>2484870</t>
  </si>
  <si>
    <t>3176598691</t>
  </si>
  <si>
    <t>3736247</t>
  </si>
  <si>
    <t>4758671</t>
  </si>
  <si>
    <t>2588507</t>
  </si>
  <si>
    <t>3579562</t>
  </si>
  <si>
    <t>5888007</t>
  </si>
  <si>
    <t>7441010</t>
  </si>
  <si>
    <t>3005656991</t>
  </si>
  <si>
    <t>4444812</t>
  </si>
  <si>
    <t>2356044</t>
  </si>
  <si>
    <t>3689678</t>
  </si>
  <si>
    <t>6334519</t>
  </si>
  <si>
    <t>6366199</t>
  </si>
  <si>
    <t>4315247</t>
  </si>
  <si>
    <t>6459135</t>
  </si>
  <si>
    <t>3799859</t>
  </si>
  <si>
    <t>4717167</t>
  </si>
  <si>
    <t>3102718238</t>
  </si>
  <si>
    <t>3266500</t>
  </si>
  <si>
    <t>3194093939</t>
  </si>
  <si>
    <t>3126693948</t>
  </si>
  <si>
    <t>8200795</t>
  </si>
  <si>
    <t>4118689</t>
  </si>
  <si>
    <t>3173746107</t>
  </si>
  <si>
    <t>3127450097</t>
  </si>
  <si>
    <t>3123115658</t>
  </si>
  <si>
    <t>3206458564</t>
  </si>
  <si>
    <t>3006307717</t>
  </si>
  <si>
    <t>3188267321</t>
  </si>
  <si>
    <t>3359063</t>
  </si>
  <si>
    <t>6486532</t>
  </si>
  <si>
    <t>3205992484</t>
  </si>
  <si>
    <t>2860915</t>
  </si>
  <si>
    <t>6475030</t>
  </si>
  <si>
    <t>3107428085</t>
  </si>
  <si>
    <t>7495178</t>
  </si>
  <si>
    <t>3793006</t>
  </si>
  <si>
    <t>3424100</t>
  </si>
  <si>
    <t>5136935</t>
  </si>
  <si>
    <t>3125840076</t>
  </si>
  <si>
    <t>3125247147</t>
  </si>
  <si>
    <t>3345055</t>
  </si>
  <si>
    <t>5533960</t>
  </si>
  <si>
    <t>3104254900</t>
  </si>
  <si>
    <t>3116485448</t>
  </si>
  <si>
    <t>6205121</t>
  </si>
  <si>
    <t>3019546</t>
  </si>
  <si>
    <t>3162467044</t>
  </si>
  <si>
    <t>3128314328</t>
  </si>
  <si>
    <t>3 1 4 5 3 5 5 9 2 9</t>
  </si>
  <si>
    <t>3240770</t>
  </si>
  <si>
    <t>4797541</t>
  </si>
  <si>
    <t>6430053</t>
  </si>
  <si>
    <t>3107082877</t>
  </si>
  <si>
    <t>5701747</t>
  </si>
  <si>
    <t>6910925</t>
  </si>
  <si>
    <t>6430077</t>
  </si>
  <si>
    <t>3118318852</t>
  </si>
  <si>
    <t>7474844</t>
  </si>
  <si>
    <t>3 1 1 7 3 9 7 5 0 6</t>
  </si>
  <si>
    <t>2620620</t>
  </si>
  <si>
    <t>3116657739</t>
  </si>
  <si>
    <t>3207273690</t>
  </si>
  <si>
    <t>3 1 5 4 7 6 4 6 6 1</t>
  </si>
  <si>
    <t>3582136</t>
  </si>
  <si>
    <t>6456830</t>
  </si>
  <si>
    <t>3455064</t>
  </si>
  <si>
    <t>3004773407</t>
  </si>
  <si>
    <t>6574965</t>
  </si>
  <si>
    <t>8353291</t>
  </si>
  <si>
    <t>4575154</t>
  </si>
  <si>
    <t>2619404</t>
  </si>
  <si>
    <t>5794538</t>
  </si>
  <si>
    <t>8372605</t>
  </si>
  <si>
    <t>6497457</t>
  </si>
  <si>
    <t>315 8363057</t>
  </si>
  <si>
    <t>3148204043</t>
  </si>
  <si>
    <t>3116425711</t>
  </si>
  <si>
    <t>3322918</t>
  </si>
  <si>
    <t>3112353998</t>
  </si>
  <si>
    <t>3003232640</t>
  </si>
  <si>
    <t>3176875</t>
  </si>
  <si>
    <t>3174387135</t>
  </si>
  <si>
    <t>8050020</t>
  </si>
  <si>
    <t>5791499</t>
  </si>
  <si>
    <t>316 526 08 06</t>
  </si>
  <si>
    <t>3112608099</t>
  </si>
  <si>
    <t>5861133</t>
  </si>
  <si>
    <t>3436600</t>
  </si>
  <si>
    <t>5892750</t>
  </si>
  <si>
    <t>5861708</t>
  </si>
  <si>
    <t>6168098</t>
  </si>
  <si>
    <t>3017545230</t>
  </si>
  <si>
    <t>3117628088</t>
  </si>
  <si>
    <t>3003143036</t>
  </si>
  <si>
    <t>6 0 5 3 4 2 2 1 2 1</t>
  </si>
  <si>
    <t>3 1 1 3 7 2 5 8 0 0</t>
  </si>
  <si>
    <t>3164305531</t>
  </si>
  <si>
    <t>3563103</t>
  </si>
  <si>
    <t>6577659</t>
  </si>
  <si>
    <t>3173644641</t>
  </si>
  <si>
    <t>5202161</t>
  </si>
  <si>
    <t>6455073</t>
  </si>
  <si>
    <t>2712227</t>
  </si>
  <si>
    <t>8001104</t>
  </si>
  <si>
    <t>3057401</t>
  </si>
  <si>
    <t>5305583</t>
  </si>
  <si>
    <t>9218007163</t>
  </si>
  <si>
    <t>7048330</t>
  </si>
  <si>
    <t>2410240</t>
  </si>
  <si>
    <t>3217592874</t>
  </si>
  <si>
    <t xml:space="preserve"> 314 890 26 50</t>
  </si>
  <si>
    <t>3221851</t>
  </si>
  <si>
    <t>6056568847</t>
  </si>
  <si>
    <t>3107835</t>
  </si>
  <si>
    <t>3177654</t>
  </si>
  <si>
    <t>3112032617</t>
  </si>
  <si>
    <t>6016362329</t>
  </si>
  <si>
    <t>3257500</t>
  </si>
  <si>
    <t>6326979</t>
  </si>
  <si>
    <t>6434955</t>
  </si>
  <si>
    <t>3108062714</t>
  </si>
  <si>
    <t>3178271118</t>
  </si>
  <si>
    <t>4225978</t>
  </si>
  <si>
    <t xml:space="preserve">3 1 1 3 7 2 5 8 0 0 </t>
  </si>
  <si>
    <t>6573853</t>
  </si>
  <si>
    <t>4447560</t>
  </si>
  <si>
    <t>6673333</t>
  </si>
  <si>
    <t>3146452823</t>
  </si>
  <si>
    <t>3103937013</t>
  </si>
  <si>
    <t>3 1 5 5 9 2 2 6 8 8</t>
  </si>
  <si>
    <t>6344200</t>
  </si>
  <si>
    <t>3212650792</t>
  </si>
  <si>
    <t>3132858638</t>
  </si>
  <si>
    <t>5094745</t>
  </si>
  <si>
    <t>3182732950</t>
  </si>
  <si>
    <t>3208987925</t>
  </si>
  <si>
    <t>3175103269</t>
  </si>
  <si>
    <t>3138621852</t>
  </si>
  <si>
    <t>4363633</t>
  </si>
  <si>
    <t>312-2860436 - 312-73</t>
  </si>
  <si>
    <t>3016454913</t>
  </si>
  <si>
    <t>6958194</t>
  </si>
  <si>
    <t>3162714989</t>
  </si>
  <si>
    <t>3104255767</t>
  </si>
  <si>
    <t>6482000</t>
  </si>
  <si>
    <t>3536668</t>
  </si>
  <si>
    <t>3146158546</t>
  </si>
  <si>
    <t>3585184</t>
  </si>
  <si>
    <t>6701524</t>
  </si>
  <si>
    <t>6224649</t>
  </si>
  <si>
    <t>6903020</t>
  </si>
  <si>
    <t>6655888</t>
  </si>
  <si>
    <t>3142417</t>
  </si>
  <si>
    <t>3058142824</t>
  </si>
  <si>
    <t>3730578</t>
  </si>
  <si>
    <t>3413575</t>
  </si>
  <si>
    <t>6010996</t>
  </si>
  <si>
    <t>6431126</t>
  </si>
  <si>
    <t>5622800</t>
  </si>
  <si>
    <t>6453092</t>
  </si>
  <si>
    <t>3005000719</t>
  </si>
  <si>
    <t>3183377800</t>
  </si>
  <si>
    <t>4336636</t>
  </si>
  <si>
    <t>5781372</t>
  </si>
  <si>
    <t>6418097</t>
  </si>
  <si>
    <t>3690820</t>
  </si>
  <si>
    <t>3166940530</t>
  </si>
  <si>
    <t>3214537769</t>
  </si>
  <si>
    <t>4358058</t>
  </si>
  <si>
    <t>3 1 0 3 1 4 3 5 3 8</t>
  </si>
  <si>
    <t>3006192376</t>
  </si>
  <si>
    <t>3158662736</t>
  </si>
  <si>
    <t>6349367</t>
  </si>
  <si>
    <t>3 0 4 6 0 6 6 9 4 5</t>
  </si>
  <si>
    <t>3164188063</t>
  </si>
  <si>
    <t>3156775803</t>
  </si>
  <si>
    <t>4121590</t>
  </si>
  <si>
    <t>3202939833</t>
  </si>
  <si>
    <t>3123065463</t>
  </si>
  <si>
    <t>3165308268</t>
  </si>
  <si>
    <t>6861017</t>
  </si>
  <si>
    <t>3176718765</t>
  </si>
  <si>
    <t>3212281920</t>
  </si>
  <si>
    <t>3164729390</t>
  </si>
  <si>
    <t>4799950</t>
  </si>
  <si>
    <t>2883142</t>
  </si>
  <si>
    <t>3145500818</t>
  </si>
  <si>
    <t>3003027340</t>
  </si>
  <si>
    <t>3217603350</t>
  </si>
  <si>
    <t>3125214080</t>
  </si>
  <si>
    <t>3160283087</t>
  </si>
  <si>
    <t>6652027</t>
  </si>
  <si>
    <t>3216973403</t>
  </si>
  <si>
    <t>3043508127</t>
  </si>
  <si>
    <t>3215469</t>
  </si>
  <si>
    <t>3113390697</t>
  </si>
  <si>
    <t>3166176770</t>
  </si>
  <si>
    <t>2414623</t>
  </si>
  <si>
    <t>6429441</t>
  </si>
  <si>
    <t>6125166</t>
  </si>
  <si>
    <t>3165283285</t>
  </si>
  <si>
    <t>7559109</t>
  </si>
  <si>
    <t>3005537278</t>
  </si>
  <si>
    <t>3360155</t>
  </si>
  <si>
    <t>5497816</t>
  </si>
  <si>
    <t>3791995</t>
  </si>
  <si>
    <t>4356777</t>
  </si>
  <si>
    <t>3505000</t>
  </si>
  <si>
    <t>3205211993</t>
  </si>
  <si>
    <t>6455092</t>
  </si>
  <si>
    <t>3128085565</t>
  </si>
  <si>
    <t>2996612</t>
  </si>
  <si>
    <t>3017857548</t>
  </si>
  <si>
    <t>3620096</t>
  </si>
  <si>
    <t>3137343088</t>
  </si>
  <si>
    <t>6 0 1 6 1 5 4 4 0 1</t>
  </si>
  <si>
    <t>3003146172</t>
  </si>
  <si>
    <t>3115856315</t>
  </si>
  <si>
    <t>3018454913</t>
  </si>
  <si>
    <t>8100995</t>
  </si>
  <si>
    <t>3212498</t>
  </si>
  <si>
    <t>3183934529</t>
  </si>
  <si>
    <t>7508481</t>
  </si>
  <si>
    <t>3012897163</t>
  </si>
  <si>
    <t>3013382470</t>
  </si>
  <si>
    <t>2180207</t>
  </si>
  <si>
    <t>3185069294</t>
  </si>
  <si>
    <t>4 2 2 8 3 4 9</t>
  </si>
  <si>
    <t>3107506983</t>
  </si>
  <si>
    <t>6910383</t>
  </si>
  <si>
    <t>3102096548</t>
  </si>
  <si>
    <t>6795411</t>
  </si>
  <si>
    <t>3182885148</t>
  </si>
  <si>
    <t>5705703</t>
  </si>
  <si>
    <t>4 7 8 2 9 2 9</t>
  </si>
  <si>
    <t>6651692</t>
  </si>
  <si>
    <t>3514132</t>
  </si>
  <si>
    <t>5368164</t>
  </si>
  <si>
    <t>3820450</t>
  </si>
  <si>
    <t>4445500</t>
  </si>
  <si>
    <t>4178237</t>
  </si>
  <si>
    <t>4751918</t>
  </si>
  <si>
    <t>5334673</t>
  </si>
  <si>
    <t>6312949</t>
  </si>
  <si>
    <t>3182823249</t>
  </si>
  <si>
    <t>4592758</t>
  </si>
  <si>
    <t>4772069</t>
  </si>
  <si>
    <t>3208901680</t>
  </si>
  <si>
    <t>3174242424</t>
  </si>
  <si>
    <t>2572160</t>
  </si>
  <si>
    <t>311373321</t>
  </si>
  <si>
    <t>3147023968</t>
  </si>
  <si>
    <t>3117917111</t>
  </si>
  <si>
    <t>3335100</t>
  </si>
  <si>
    <t>3800559</t>
  </si>
  <si>
    <t>3015335828</t>
  </si>
  <si>
    <t>7022821</t>
  </si>
  <si>
    <t>3 1 5 3 2 8 1 4 6 0</t>
  </si>
  <si>
    <t>8 6 6 2 9 7 3</t>
  </si>
  <si>
    <t>2859640</t>
  </si>
  <si>
    <t>3168682961</t>
  </si>
  <si>
    <t>3106830898</t>
  </si>
  <si>
    <t>6343452</t>
  </si>
  <si>
    <t>7552539</t>
  </si>
  <si>
    <t>6705447</t>
  </si>
  <si>
    <t>4546800</t>
  </si>
  <si>
    <t>3217516361</t>
  </si>
  <si>
    <t>3132928184</t>
  </si>
  <si>
    <t>3205688794</t>
  </si>
  <si>
    <t>3186153078</t>
  </si>
  <si>
    <t>7316948</t>
  </si>
  <si>
    <t>6794815</t>
  </si>
  <si>
    <t>3158191340</t>
  </si>
  <si>
    <t>6504465</t>
  </si>
  <si>
    <t>2667435</t>
  </si>
  <si>
    <t>4449624</t>
  </si>
  <si>
    <t>3227701759</t>
  </si>
  <si>
    <t>4035370</t>
  </si>
  <si>
    <t>6601606</t>
  </si>
  <si>
    <t>3213667066</t>
  </si>
  <si>
    <t>3397547</t>
  </si>
  <si>
    <t>3183308434</t>
  </si>
  <si>
    <t>2741058</t>
  </si>
  <si>
    <t>4036915</t>
  </si>
  <si>
    <t>6222474</t>
  </si>
  <si>
    <t>316 802 6256</t>
  </si>
  <si>
    <t>8331160</t>
  </si>
  <si>
    <t>4918870</t>
  </si>
  <si>
    <t>3102147913</t>
  </si>
  <si>
    <t>6570904</t>
  </si>
  <si>
    <t>5145600</t>
  </si>
  <si>
    <t>3137464362</t>
  </si>
  <si>
    <t>3007049392</t>
  </si>
  <si>
    <t>6657495</t>
  </si>
  <si>
    <t>3208628932</t>
  </si>
  <si>
    <t>6577326</t>
  </si>
  <si>
    <t>5262520</t>
  </si>
  <si>
    <t>5680256</t>
  </si>
  <si>
    <t>3154705223</t>
  </si>
  <si>
    <t>3003439660</t>
  </si>
  <si>
    <t>6 0 5 3 1 4 8 4 0 3</t>
  </si>
  <si>
    <t>3454815</t>
  </si>
  <si>
    <t>3148957823</t>
  </si>
  <si>
    <t>6657651</t>
  </si>
  <si>
    <t>6164597</t>
  </si>
  <si>
    <t>8844348</t>
  </si>
  <si>
    <t>3146195571</t>
  </si>
  <si>
    <t>3126992</t>
  </si>
  <si>
    <t>6456905</t>
  </si>
  <si>
    <t>3136179685</t>
  </si>
  <si>
    <t>3 0 1 4 3 1 7 6 7 9</t>
  </si>
  <si>
    <t>4174277</t>
  </si>
  <si>
    <t>7561979</t>
  </si>
  <si>
    <t>3099270</t>
  </si>
  <si>
    <t>5150397</t>
  </si>
  <si>
    <t>3 1 2 6 7 0 4 2 7 8</t>
  </si>
  <si>
    <t>8756657</t>
  </si>
  <si>
    <t>3212184961</t>
  </si>
  <si>
    <t>4720647</t>
  </si>
  <si>
    <t>3172205392</t>
  </si>
  <si>
    <t>3 1 5 3 9 5 3 3 9 9</t>
  </si>
  <si>
    <t>5756400</t>
  </si>
  <si>
    <t>6651807</t>
  </si>
  <si>
    <t>2568708</t>
  </si>
  <si>
    <t>8219201</t>
  </si>
  <si>
    <t>3148728860</t>
  </si>
  <si>
    <t>3566228</t>
  </si>
  <si>
    <t>3164529115</t>
  </si>
  <si>
    <t>3103757536</t>
  </si>
  <si>
    <t>3017480532</t>
  </si>
  <si>
    <t>3319090</t>
  </si>
  <si>
    <t>8237404</t>
  </si>
  <si>
    <t>3115388139</t>
  </si>
  <si>
    <t>3111112</t>
  </si>
  <si>
    <t>3004303</t>
  </si>
  <si>
    <t>6659756</t>
  </si>
  <si>
    <t>3118421614</t>
  </si>
  <si>
    <t>3202603629</t>
  </si>
  <si>
    <t>3138780735</t>
  </si>
  <si>
    <t>3166975519</t>
  </si>
  <si>
    <t>4747280</t>
  </si>
  <si>
    <t>2840100</t>
  </si>
  <si>
    <t>7455315</t>
  </si>
  <si>
    <t>6916050</t>
  </si>
  <si>
    <t>3991337</t>
  </si>
  <si>
    <t>3134995552</t>
  </si>
  <si>
    <t>3 1 6 0 1 9 0 0 5 6</t>
  </si>
  <si>
    <t>3134853402</t>
  </si>
  <si>
    <t>3212426486</t>
  </si>
  <si>
    <t>3134249070</t>
  </si>
  <si>
    <t>3154801648</t>
  </si>
  <si>
    <t>3124481741</t>
  </si>
  <si>
    <t>3157147680</t>
  </si>
  <si>
    <t>3002712637</t>
  </si>
  <si>
    <t>3147057449</t>
  </si>
  <si>
    <t>5921777</t>
  </si>
  <si>
    <t>3114258550</t>
  </si>
  <si>
    <t>7421824</t>
  </si>
  <si>
    <t>3014092145</t>
  </si>
  <si>
    <t>3216443174</t>
  </si>
  <si>
    <t>3176566315</t>
  </si>
  <si>
    <t>3227005035</t>
  </si>
  <si>
    <t>3153733095</t>
  </si>
  <si>
    <t>8844458</t>
  </si>
  <si>
    <t>3023768834</t>
  </si>
  <si>
    <t>3113038252</t>
  </si>
  <si>
    <t>3781329</t>
  </si>
  <si>
    <t>3662204</t>
  </si>
  <si>
    <t>7029234</t>
  </si>
  <si>
    <t>6349906</t>
  </si>
  <si>
    <t>3193616352</t>
  </si>
  <si>
    <t>7589417</t>
  </si>
  <si>
    <t>8209800</t>
  </si>
  <si>
    <t>8931628</t>
  </si>
  <si>
    <t>3008161104</t>
  </si>
  <si>
    <t>3182152790</t>
  </si>
  <si>
    <t>3505473113</t>
  </si>
  <si>
    <t>3165708881</t>
  </si>
  <si>
    <t>3164630206</t>
  </si>
  <si>
    <t>3 1 6 3 4 1 8 1 8 2</t>
  </si>
  <si>
    <t>3012158323</t>
  </si>
  <si>
    <t>4282819</t>
  </si>
  <si>
    <t>310372487</t>
  </si>
  <si>
    <t>3134245346</t>
  </si>
  <si>
    <t>3004089975</t>
  </si>
  <si>
    <t>3143508891</t>
  </si>
  <si>
    <t>3103020368</t>
  </si>
  <si>
    <t>3150810</t>
  </si>
  <si>
    <t>3004598541</t>
  </si>
  <si>
    <t>5585304</t>
  </si>
  <si>
    <t>6016468000</t>
  </si>
  <si>
    <t>3852996385</t>
  </si>
  <si>
    <t>3185268493</t>
  </si>
  <si>
    <t>6344114</t>
  </si>
  <si>
    <t>3008085491</t>
  </si>
  <si>
    <t>3184162930</t>
  </si>
  <si>
    <t>6010428</t>
  </si>
  <si>
    <t>7819474</t>
  </si>
  <si>
    <t>6005759</t>
  </si>
  <si>
    <t>3103713800</t>
  </si>
  <si>
    <t>3052948895</t>
  </si>
  <si>
    <t>315 6718469</t>
  </si>
  <si>
    <t>3 1 0 7 0 7 9 5 8 3</t>
  </si>
  <si>
    <t>6190265</t>
  </si>
  <si>
    <t>6117961</t>
  </si>
  <si>
    <t>3144022383</t>
  </si>
  <si>
    <t>3 42092517</t>
  </si>
  <si>
    <t>4057099</t>
  </si>
  <si>
    <t>6223675</t>
  </si>
  <si>
    <t>4587657</t>
  </si>
  <si>
    <t>4444489</t>
  </si>
  <si>
    <t>3004956735</t>
  </si>
  <si>
    <t>3736446</t>
  </si>
  <si>
    <t>3152539033</t>
  </si>
  <si>
    <t>3006138860</t>
  </si>
  <si>
    <t>3140843</t>
  </si>
  <si>
    <t>3116300922</t>
  </si>
  <si>
    <t>6898562</t>
  </si>
  <si>
    <t>3 2 2 3 6 1 2 4 9 8</t>
  </si>
  <si>
    <t>3176608870</t>
  </si>
  <si>
    <t>3115431317</t>
  </si>
  <si>
    <t>4233015</t>
  </si>
  <si>
    <t>3790070</t>
  </si>
  <si>
    <t>3018547856</t>
  </si>
  <si>
    <t>3148789949</t>
  </si>
  <si>
    <t>6166754</t>
  </si>
  <si>
    <t>3006621540</t>
  </si>
  <si>
    <t>3995714</t>
  </si>
  <si>
    <t>7023106</t>
  </si>
  <si>
    <t>3746724</t>
  </si>
  <si>
    <t>3709280</t>
  </si>
  <si>
    <t>6151528</t>
  </si>
  <si>
    <t>3155818079</t>
  </si>
  <si>
    <t>3013387449</t>
  </si>
  <si>
    <t>5702000</t>
  </si>
  <si>
    <t>3145355929</t>
  </si>
  <si>
    <t>3118695845</t>
  </si>
  <si>
    <t>5335277</t>
  </si>
  <si>
    <t>7045349</t>
  </si>
  <si>
    <t>6344000</t>
  </si>
  <si>
    <t>6434444</t>
  </si>
  <si>
    <t>6575829</t>
  </si>
  <si>
    <t>4442015</t>
  </si>
  <si>
    <t>4845158</t>
  </si>
  <si>
    <t>3048919</t>
  </si>
  <si>
    <t>4172979</t>
  </si>
  <si>
    <t>4312923</t>
  </si>
  <si>
    <t>6661401</t>
  </si>
  <si>
    <t>7388725</t>
  </si>
  <si>
    <t>2236060</t>
  </si>
  <si>
    <t>3003968676</t>
  </si>
  <si>
    <t>3188132404</t>
  </si>
  <si>
    <t>6350010</t>
  </si>
  <si>
    <t>3213121874</t>
  </si>
  <si>
    <t>3168327602</t>
  </si>
  <si>
    <t>7534668</t>
  </si>
  <si>
    <t>3655116</t>
  </si>
  <si>
    <t>3107783448</t>
  </si>
  <si>
    <t>3007663530</t>
  </si>
  <si>
    <t>4464623</t>
  </si>
  <si>
    <t>3136506781</t>
  </si>
  <si>
    <t>7141642</t>
  </si>
  <si>
    <t>4674216</t>
  </si>
  <si>
    <t>3103524925</t>
  </si>
  <si>
    <t>7379580</t>
  </si>
  <si>
    <t>321 437 56 28</t>
  </si>
  <si>
    <t>300 3760908</t>
  </si>
  <si>
    <t>3144642068</t>
  </si>
  <si>
    <t>3209476643</t>
  </si>
  <si>
    <t>4220906</t>
  </si>
  <si>
    <t>3216345</t>
  </si>
  <si>
    <t>3022591829</t>
  </si>
  <si>
    <t>3104308148</t>
  </si>
  <si>
    <t>3 0 5 2 3 0 9 3 7 9</t>
  </si>
  <si>
    <t>3002379955</t>
  </si>
  <si>
    <t>3008142509</t>
  </si>
  <si>
    <t>3108541908</t>
  </si>
  <si>
    <t>3009695690</t>
  </si>
  <si>
    <t>3147558631</t>
  </si>
  <si>
    <t>3074100</t>
  </si>
  <si>
    <t>5073420</t>
  </si>
  <si>
    <t>3184110080</t>
  </si>
  <si>
    <t>6201680</t>
  </si>
  <si>
    <t>3108272737</t>
  </si>
  <si>
    <t>3202198120</t>
  </si>
  <si>
    <t>3011368107</t>
  </si>
  <si>
    <t>3125832507</t>
  </si>
  <si>
    <t>6220704</t>
  </si>
  <si>
    <t>6016135511</t>
  </si>
  <si>
    <t xml:space="preserve"> 321 3074867</t>
  </si>
  <si>
    <t>2489529</t>
  </si>
  <si>
    <t>6 0 4 4 4 4 3 2 1 9</t>
  </si>
  <si>
    <t>6351864</t>
  </si>
  <si>
    <t>5592425</t>
  </si>
  <si>
    <t>4881259</t>
  </si>
  <si>
    <t>4482064</t>
  </si>
  <si>
    <t>3127933899</t>
  </si>
  <si>
    <t>2999344</t>
  </si>
  <si>
    <t>3042501496</t>
  </si>
  <si>
    <t>3 1 2 2 9 3 9 3 2 3</t>
  </si>
  <si>
    <t>6450049</t>
  </si>
  <si>
    <t>8600988</t>
  </si>
  <si>
    <t>4368270</t>
  </si>
  <si>
    <t>3146158031</t>
  </si>
  <si>
    <t>3171461</t>
  </si>
  <si>
    <t>3128865834</t>
  </si>
  <si>
    <t>5558316</t>
  </si>
  <si>
    <t>6750081</t>
  </si>
  <si>
    <t>3513686</t>
  </si>
  <si>
    <t>6359698</t>
  </si>
  <si>
    <t>3173809075</t>
  </si>
  <si>
    <t>3 0 5 8 3 6 7 7 9 6</t>
  </si>
  <si>
    <t>3155798</t>
  </si>
  <si>
    <t>8711001</t>
  </si>
  <si>
    <t>3106215831</t>
  </si>
  <si>
    <t>3394848</t>
  </si>
  <si>
    <t>2660175</t>
  </si>
  <si>
    <t>3213987884</t>
  </si>
  <si>
    <t>3218465382</t>
  </si>
  <si>
    <t>3137330696</t>
  </si>
  <si>
    <t>3128503005</t>
  </si>
  <si>
    <t>3132583575</t>
  </si>
  <si>
    <t>6486457</t>
  </si>
  <si>
    <t>3368787</t>
  </si>
  <si>
    <t>5770759</t>
  </si>
  <si>
    <t>6 6 2 7 8 3 8</t>
  </si>
  <si>
    <t>3017544959</t>
  </si>
  <si>
    <t>3195604</t>
  </si>
  <si>
    <t>3451533</t>
  </si>
  <si>
    <t>3012229036</t>
  </si>
  <si>
    <t>5877766</t>
  </si>
  <si>
    <t>5-6482817</t>
  </si>
  <si>
    <t>315 6029212</t>
  </si>
  <si>
    <t>5593766</t>
  </si>
  <si>
    <t>3218411384</t>
  </si>
  <si>
    <t>6761128</t>
  </si>
  <si>
    <t>8876557</t>
  </si>
  <si>
    <t>3212520252</t>
  </si>
  <si>
    <t>3104143780</t>
  </si>
  <si>
    <t>2595700</t>
  </si>
  <si>
    <t>6682468</t>
  </si>
  <si>
    <t>3157349078</t>
  </si>
  <si>
    <t>3102455235</t>
  </si>
  <si>
    <t>3174325117</t>
  </si>
  <si>
    <t>3006162174</t>
  </si>
  <si>
    <t>3125092072</t>
  </si>
  <si>
    <t>5780270</t>
  </si>
  <si>
    <t>3054228995</t>
  </si>
  <si>
    <t>6103190</t>
  </si>
  <si>
    <t>3134013034</t>
  </si>
  <si>
    <t>3880089</t>
  </si>
  <si>
    <t>7968136</t>
  </si>
  <si>
    <t>3175047922</t>
  </si>
  <si>
    <t>4121193</t>
  </si>
  <si>
    <t>3174904015</t>
  </si>
  <si>
    <t>3004296639</t>
  </si>
  <si>
    <t>3005524245</t>
  </si>
  <si>
    <t>3904396</t>
  </si>
  <si>
    <t>5866630</t>
  </si>
  <si>
    <t>4824202</t>
  </si>
  <si>
    <t>3134139383</t>
  </si>
  <si>
    <t>4443338</t>
  </si>
  <si>
    <t>3017789561</t>
  </si>
  <si>
    <t>6552656</t>
  </si>
  <si>
    <t>3213941344</t>
  </si>
  <si>
    <t>3208323315</t>
  </si>
  <si>
    <t>8748680</t>
  </si>
  <si>
    <t>8032873</t>
  </si>
  <si>
    <t>3007803970</t>
  </si>
  <si>
    <t>6670133</t>
  </si>
  <si>
    <t>3 1 6 6 9 6 0 4 8 1</t>
  </si>
  <si>
    <t>4861912</t>
  </si>
  <si>
    <t>6241519</t>
  </si>
  <si>
    <t>3204508517</t>
  </si>
  <si>
    <t>7421964</t>
  </si>
  <si>
    <t>3679777</t>
  </si>
  <si>
    <t>3014750520</t>
  </si>
  <si>
    <t>2067780</t>
  </si>
  <si>
    <t>3998772</t>
  </si>
  <si>
    <t>3225579</t>
  </si>
  <si>
    <t>5725521</t>
  </si>
  <si>
    <t>3215418703</t>
  </si>
  <si>
    <t>5702506</t>
  </si>
  <si>
    <t>3660088</t>
  </si>
  <si>
    <t>3428614</t>
  </si>
  <si>
    <t>3552460</t>
  </si>
  <si>
    <t>6370099</t>
  </si>
  <si>
    <t>4211894</t>
  </si>
  <si>
    <t>2595501</t>
  </si>
  <si>
    <t>4362126</t>
  </si>
  <si>
    <t>3714503</t>
  </si>
  <si>
    <t>3015893327</t>
  </si>
  <si>
    <t>6491466</t>
  </si>
  <si>
    <t>3022872224</t>
  </si>
  <si>
    <t>3002379166</t>
  </si>
  <si>
    <t>3016067230</t>
  </si>
  <si>
    <t>5555248</t>
  </si>
  <si>
    <t>3118962101</t>
  </si>
  <si>
    <t>3214791427</t>
  </si>
  <si>
    <t>3022022913</t>
  </si>
  <si>
    <t>3 2 1 3 1 3 6 7 3 3</t>
  </si>
  <si>
    <t>3116909</t>
  </si>
  <si>
    <t>4380251</t>
  </si>
  <si>
    <t>4183000</t>
  </si>
  <si>
    <t>3343810</t>
  </si>
  <si>
    <t>3540543</t>
  </si>
  <si>
    <t>3116106285</t>
  </si>
  <si>
    <t>3152880</t>
  </si>
  <si>
    <t>3208362905</t>
  </si>
  <si>
    <t>3136961702</t>
  </si>
  <si>
    <t>6781596</t>
  </si>
  <si>
    <t>3134533872</t>
  </si>
  <si>
    <t>3112814163</t>
  </si>
  <si>
    <t>3144535144</t>
  </si>
  <si>
    <t>6330744</t>
  </si>
  <si>
    <t>2971518</t>
  </si>
  <si>
    <t>3132469970</t>
  </si>
  <si>
    <t>4660775</t>
  </si>
  <si>
    <t>6017420404</t>
  </si>
  <si>
    <t>6510076</t>
  </si>
  <si>
    <t>3854905</t>
  </si>
  <si>
    <t>3002206837</t>
  </si>
  <si>
    <t>5557077</t>
  </si>
  <si>
    <t>3154184350</t>
  </si>
  <si>
    <t>3164920158</t>
  </si>
  <si>
    <t>3660237</t>
  </si>
  <si>
    <t>3194954847</t>
  </si>
  <si>
    <t>6434405</t>
  </si>
  <si>
    <t>3196677005</t>
  </si>
  <si>
    <t>3104517194</t>
  </si>
  <si>
    <t>3148902328</t>
  </si>
  <si>
    <t>4183500</t>
  </si>
  <si>
    <t>3798743</t>
  </si>
  <si>
    <t>3215036003</t>
  </si>
  <si>
    <t>6748070</t>
  </si>
  <si>
    <t>3176584687</t>
  </si>
  <si>
    <t>8052249</t>
  </si>
  <si>
    <t>6917700</t>
  </si>
  <si>
    <t>3146204043</t>
  </si>
  <si>
    <t>3 1 1 5 3 8 8 1 3 9</t>
  </si>
  <si>
    <t>6339666</t>
  </si>
  <si>
    <t>3004197</t>
  </si>
  <si>
    <t>3186961538</t>
  </si>
  <si>
    <t>7442800</t>
  </si>
  <si>
    <t>5938210</t>
  </si>
  <si>
    <t>3052936</t>
  </si>
  <si>
    <t>8232416</t>
  </si>
  <si>
    <t>8105029</t>
  </si>
  <si>
    <t>3014606640</t>
  </si>
  <si>
    <t>8762033</t>
  </si>
  <si>
    <t>3102349993</t>
  </si>
  <si>
    <t>3166949844</t>
  </si>
  <si>
    <t>3904888</t>
  </si>
  <si>
    <t>5062499</t>
  </si>
  <si>
    <t>3004913631</t>
  </si>
  <si>
    <t>3185229966</t>
  </si>
  <si>
    <t>6260767</t>
  </si>
  <si>
    <t>3105636828</t>
  </si>
  <si>
    <t>3664764</t>
  </si>
  <si>
    <t>3472884</t>
  </si>
  <si>
    <t>3007822988</t>
  </si>
  <si>
    <t>3126220</t>
  </si>
  <si>
    <t>3148180</t>
  </si>
  <si>
    <t>6918525</t>
  </si>
  <si>
    <t>6194509</t>
  </si>
  <si>
    <t>5988312</t>
  </si>
  <si>
    <t>3213124874</t>
  </si>
  <si>
    <t>7313151</t>
  </si>
  <si>
    <t>3328506</t>
  </si>
  <si>
    <t>3196558</t>
  </si>
  <si>
    <t>5204607</t>
  </si>
  <si>
    <t>4660101</t>
  </si>
  <si>
    <t>7342449</t>
  </si>
  <si>
    <t>9000602</t>
  </si>
  <si>
    <t>3128246567</t>
  </si>
  <si>
    <t>3 0 1 5 1 7 7 6 7 2</t>
  </si>
  <si>
    <t>3146886826</t>
  </si>
  <si>
    <t>607678195 - 60763867</t>
  </si>
  <si>
    <t>4673648</t>
  </si>
  <si>
    <t>6417634</t>
  </si>
  <si>
    <t>3128971879</t>
  </si>
  <si>
    <t>7724042</t>
  </si>
  <si>
    <t>4444999</t>
  </si>
  <si>
    <t>7447076</t>
  </si>
  <si>
    <t>6791374</t>
  </si>
  <si>
    <t>4657067</t>
  </si>
  <si>
    <t>7188337</t>
  </si>
  <si>
    <t>3099501</t>
  </si>
  <si>
    <t>3014437283</t>
  </si>
  <si>
    <t>8842799</t>
  </si>
  <si>
    <t>3 1 1 7 4 8 1 2 1 2</t>
  </si>
  <si>
    <t>6426240</t>
  </si>
  <si>
    <t>6216512</t>
  </si>
  <si>
    <t>3003255856</t>
  </si>
  <si>
    <t>3204492767</t>
  </si>
  <si>
    <t>3560132</t>
  </si>
  <si>
    <t>3320080</t>
  </si>
  <si>
    <t>8231868</t>
  </si>
  <si>
    <t>2916520</t>
  </si>
  <si>
    <t>3041301743</t>
  </si>
  <si>
    <t>2682381</t>
  </si>
  <si>
    <t>4056256</t>
  </si>
  <si>
    <t>3015466459</t>
  </si>
  <si>
    <t>4837538</t>
  </si>
  <si>
    <t>7291947</t>
  </si>
  <si>
    <t>2180660</t>
  </si>
  <si>
    <t>4631222</t>
  </si>
  <si>
    <t>8850138</t>
  </si>
  <si>
    <t>6437314</t>
  </si>
  <si>
    <t>3163890163</t>
  </si>
  <si>
    <t>4447661</t>
  </si>
  <si>
    <t>4378823</t>
  </si>
  <si>
    <t>4053840</t>
  </si>
  <si>
    <t>4972907</t>
  </si>
  <si>
    <t>3444660</t>
  </si>
  <si>
    <t>5369670</t>
  </si>
  <si>
    <t>5700319</t>
  </si>
  <si>
    <t>3022311673</t>
  </si>
  <si>
    <t>3116484411</t>
  </si>
  <si>
    <t>6352525</t>
  </si>
  <si>
    <t>5165564</t>
  </si>
  <si>
    <t>4227751</t>
  </si>
  <si>
    <t>3002021926</t>
  </si>
  <si>
    <t>6389400</t>
  </si>
  <si>
    <t>3172183456</t>
  </si>
  <si>
    <t>3 1 8 6 9 3 5 5 1 0</t>
  </si>
  <si>
    <t>5072712</t>
  </si>
  <si>
    <t>3104160362</t>
  </si>
  <si>
    <t>3183838939</t>
  </si>
  <si>
    <t>5031598</t>
  </si>
  <si>
    <t>6424505</t>
  </si>
  <si>
    <t>6756776</t>
  </si>
  <si>
    <t>3127593</t>
  </si>
  <si>
    <t>3012574497</t>
  </si>
  <si>
    <t>6640724</t>
  </si>
  <si>
    <t>6552851</t>
  </si>
  <si>
    <t>3105670973</t>
  </si>
  <si>
    <t>3004855</t>
  </si>
  <si>
    <t>3172828</t>
  </si>
  <si>
    <t>3208007527</t>
  </si>
  <si>
    <t>3162501877</t>
  </si>
  <si>
    <t>3008168948</t>
  </si>
  <si>
    <t>7045799</t>
  </si>
  <si>
    <t>6578402</t>
  </si>
  <si>
    <t>3168641</t>
  </si>
  <si>
    <t>3104062935</t>
  </si>
  <si>
    <t>3186097140</t>
  </si>
  <si>
    <t>5578166</t>
  </si>
  <si>
    <t>7551941</t>
  </si>
  <si>
    <t>3400323</t>
  </si>
  <si>
    <t>3162224953</t>
  </si>
  <si>
    <t>3601053</t>
  </si>
  <si>
    <t>3163061596</t>
  </si>
  <si>
    <t>3133448202</t>
  </si>
  <si>
    <t>3016134702</t>
  </si>
  <si>
    <t>3015035626</t>
  </si>
  <si>
    <t>3429855</t>
  </si>
  <si>
    <t>3156163860</t>
  </si>
  <si>
    <t>3 0 2 7 4 5 2 2 4 1</t>
  </si>
  <si>
    <t>3214903462</t>
  </si>
  <si>
    <t>6658385</t>
  </si>
  <si>
    <t>5895455</t>
  </si>
  <si>
    <t>4473535</t>
  </si>
  <si>
    <t>6940217</t>
  </si>
  <si>
    <t>3 0 1 2 5 7 4 4 9 7</t>
  </si>
  <si>
    <t>3042035041</t>
  </si>
  <si>
    <t>7024219</t>
  </si>
  <si>
    <t>5821111</t>
  </si>
  <si>
    <t>3202023125</t>
  </si>
  <si>
    <t>6576364</t>
  </si>
  <si>
    <t>3178188635</t>
  </si>
  <si>
    <t>3122914823</t>
  </si>
  <si>
    <t>6713625</t>
  </si>
  <si>
    <t>5878922</t>
  </si>
  <si>
    <t>3002621</t>
  </si>
  <si>
    <t>4446145</t>
  </si>
  <si>
    <t>6023709280</t>
  </si>
  <si>
    <t>3105143005</t>
  </si>
  <si>
    <t>3113757493</t>
  </si>
  <si>
    <t>3121439</t>
  </si>
  <si>
    <t>3503109077</t>
  </si>
  <si>
    <t>3015177672</t>
  </si>
  <si>
    <t>7023984</t>
  </si>
  <si>
    <t>2943460</t>
  </si>
  <si>
    <t>5804034</t>
  </si>
  <si>
    <t>3013800842</t>
  </si>
  <si>
    <t>3348374</t>
  </si>
  <si>
    <t>3245678054</t>
  </si>
  <si>
    <t>3245316780</t>
  </si>
  <si>
    <t>321 313 67 33</t>
  </si>
  <si>
    <t>6703955</t>
  </si>
  <si>
    <t>3664121</t>
  </si>
  <si>
    <t>7379123</t>
  </si>
  <si>
    <t>5200012</t>
  </si>
  <si>
    <t>3207537</t>
  </si>
  <si>
    <t>6381134</t>
  </si>
  <si>
    <t>3325208</t>
  </si>
  <si>
    <t>4897777</t>
  </si>
  <si>
    <t>3175168144</t>
  </si>
  <si>
    <t>4139101</t>
  </si>
  <si>
    <t>3173713493</t>
  </si>
  <si>
    <t>6 0 4 0 4 3 3</t>
  </si>
  <si>
    <t>6067500</t>
  </si>
  <si>
    <t>3007745857</t>
  </si>
  <si>
    <t>3003383106</t>
  </si>
  <si>
    <t>6271611</t>
  </si>
  <si>
    <t>8054087</t>
  </si>
  <si>
    <t>5783985</t>
  </si>
  <si>
    <t>3182324927</t>
  </si>
  <si>
    <t>3134999569</t>
  </si>
  <si>
    <t>6421958</t>
  </si>
  <si>
    <t>3112545883</t>
  </si>
  <si>
    <t>4189280</t>
  </si>
  <si>
    <t>6467777</t>
  </si>
  <si>
    <t>311 3846402</t>
  </si>
  <si>
    <t>7576146</t>
  </si>
  <si>
    <t>3128041910</t>
  </si>
  <si>
    <t>7025258</t>
  </si>
  <si>
    <t>3160102018</t>
  </si>
  <si>
    <t>5898367</t>
  </si>
  <si>
    <t>6004100</t>
  </si>
  <si>
    <t>6150357</t>
  </si>
  <si>
    <t>3 2 2 9 4 2 1</t>
  </si>
  <si>
    <t>3163021</t>
  </si>
  <si>
    <t>3012088341</t>
  </si>
  <si>
    <t>3164716876</t>
  </si>
  <si>
    <t>3103412930</t>
  </si>
  <si>
    <t>8353505</t>
  </si>
  <si>
    <t>4394245</t>
  </si>
  <si>
    <t>6570576</t>
  </si>
  <si>
    <t>6517252</t>
  </si>
  <si>
    <t>3135264930</t>
  </si>
  <si>
    <t>3013773</t>
  </si>
  <si>
    <t>3103180952</t>
  </si>
  <si>
    <t>3920708</t>
  </si>
  <si>
    <t>321 4022003</t>
  </si>
  <si>
    <t>3819619116</t>
  </si>
  <si>
    <t>6421235</t>
  </si>
  <si>
    <t>3123524485</t>
  </si>
  <si>
    <t>3584887</t>
  </si>
  <si>
    <t>7911849</t>
  </si>
  <si>
    <t>3148819844</t>
  </si>
  <si>
    <t>2362715</t>
  </si>
  <si>
    <t>3175023849</t>
  </si>
  <si>
    <t>8015423</t>
  </si>
  <si>
    <t>3134625822</t>
  </si>
  <si>
    <t>3114972900</t>
  </si>
  <si>
    <t>3212009</t>
  </si>
  <si>
    <t>3105090343</t>
  </si>
  <si>
    <t>4273052</t>
  </si>
  <si>
    <t>5574038</t>
  </si>
  <si>
    <t>3610300</t>
  </si>
  <si>
    <t>5 5 8 6 7 0 9</t>
  </si>
  <si>
    <t>6564235</t>
  </si>
  <si>
    <t>3127998397</t>
  </si>
  <si>
    <t>3157966171</t>
  </si>
  <si>
    <t>5702553</t>
  </si>
  <si>
    <t>3006207497</t>
  </si>
  <si>
    <t>6125732</t>
  </si>
  <si>
    <t>9261195</t>
  </si>
  <si>
    <t>4757219</t>
  </si>
  <si>
    <t>6797220</t>
  </si>
  <si>
    <t>3108455200</t>
  </si>
  <si>
    <t>3155517505</t>
  </si>
  <si>
    <t>3117138766</t>
  </si>
  <si>
    <t>3174393384</t>
  </si>
  <si>
    <t>6591156</t>
  </si>
  <si>
    <t>3143475287</t>
  </si>
  <si>
    <t>3145966945</t>
  </si>
  <si>
    <t>5701074</t>
  </si>
  <si>
    <t>3214567610</t>
  </si>
  <si>
    <t>5544065</t>
  </si>
  <si>
    <t>7579925</t>
  </si>
  <si>
    <t>4673394</t>
  </si>
  <si>
    <t>3503138827</t>
  </si>
  <si>
    <t>5103702</t>
  </si>
  <si>
    <t>3103403729</t>
  </si>
  <si>
    <t>3113901864</t>
  </si>
  <si>
    <t>444812</t>
  </si>
  <si>
    <t>3000151</t>
  </si>
  <si>
    <t>7440506</t>
  </si>
  <si>
    <t>6504735/38</t>
  </si>
  <si>
    <t>3128740</t>
  </si>
  <si>
    <t>3013259023</t>
  </si>
  <si>
    <t>3667253</t>
  </si>
  <si>
    <t>3113125800</t>
  </si>
  <si>
    <t>3120707</t>
  </si>
  <si>
    <t>6384085</t>
  </si>
  <si>
    <t>5265055</t>
  </si>
  <si>
    <t>6 0 8 6 7 1 3 0 4 8</t>
  </si>
  <si>
    <t>3781559</t>
  </si>
  <si>
    <t>3114934866</t>
  </si>
  <si>
    <t>3099121</t>
  </si>
  <si>
    <t>3205148987</t>
  </si>
  <si>
    <t>2496597</t>
  </si>
  <si>
    <t>3087580</t>
  </si>
  <si>
    <t>3 1 8 2 0 1 2 9 0 4</t>
  </si>
  <si>
    <t>922400831</t>
  </si>
  <si>
    <t>3595369</t>
  </si>
  <si>
    <t>6859999</t>
  </si>
  <si>
    <t>3188270191</t>
  </si>
  <si>
    <t>3217696001</t>
  </si>
  <si>
    <t>3006913852</t>
  </si>
  <si>
    <t>3133591585</t>
  </si>
  <si>
    <t>3560426</t>
  </si>
  <si>
    <t>6808030</t>
  </si>
  <si>
    <t>3003648823</t>
  </si>
  <si>
    <t>4642315</t>
  </si>
  <si>
    <t>4878040</t>
  </si>
  <si>
    <t>4 4 4 2 0 1 5</t>
  </si>
  <si>
    <t>8640340</t>
  </si>
  <si>
    <t>6600243</t>
  </si>
  <si>
    <t>3 3 2 9 5 4 9</t>
  </si>
  <si>
    <t>3103660692</t>
  </si>
  <si>
    <t>6659454</t>
  </si>
  <si>
    <t>9054915</t>
  </si>
  <si>
    <t>4123490</t>
  </si>
  <si>
    <t>3213222</t>
  </si>
  <si>
    <t>3 1 3 7 3 7 3 0 0 0</t>
  </si>
  <si>
    <t>3002713293</t>
  </si>
  <si>
    <t>2747872</t>
  </si>
  <si>
    <t>6374525</t>
  </si>
  <si>
    <t>3148626821</t>
  </si>
  <si>
    <t>6516066</t>
  </si>
  <si>
    <t>3187398922</t>
  </si>
  <si>
    <t>7498147</t>
  </si>
  <si>
    <t>3182850898</t>
  </si>
  <si>
    <t>4484173</t>
  </si>
  <si>
    <t>3155533625</t>
  </si>
  <si>
    <t>5691716</t>
  </si>
  <si>
    <t>3112781877</t>
  </si>
  <si>
    <t>6412342</t>
  </si>
  <si>
    <t>7430404</t>
  </si>
  <si>
    <t>5017188</t>
  </si>
  <si>
    <t>3217376690</t>
  </si>
  <si>
    <t>3382989</t>
  </si>
  <si>
    <t>3182800786</t>
  </si>
  <si>
    <t>601-866499</t>
  </si>
  <si>
    <t>3016235896</t>
  </si>
  <si>
    <t>5743600</t>
  </si>
  <si>
    <t>3564516</t>
  </si>
  <si>
    <t>2104926</t>
  </si>
  <si>
    <t>7027830</t>
  </si>
  <si>
    <t>3114848074</t>
  </si>
  <si>
    <t>4998363</t>
  </si>
  <si>
    <t>3167420601</t>
  </si>
  <si>
    <t>3158933672</t>
  </si>
  <si>
    <t>3122893130</t>
  </si>
  <si>
    <t>3767618</t>
  </si>
  <si>
    <t>6333654</t>
  </si>
  <si>
    <t>2668655</t>
  </si>
  <si>
    <t>5141810</t>
  </si>
  <si>
    <t>8982121</t>
  </si>
  <si>
    <t>3225942840</t>
  </si>
  <si>
    <t>3226200455</t>
  </si>
  <si>
    <t>8661727</t>
  </si>
  <si>
    <t>3182545160</t>
  </si>
  <si>
    <t>3163546279</t>
  </si>
  <si>
    <t>6386553</t>
  </si>
  <si>
    <t>6 5 1 6 5 0 0</t>
  </si>
  <si>
    <t>6798660</t>
  </si>
  <si>
    <t>6793728</t>
  </si>
  <si>
    <t>3118500</t>
  </si>
  <si>
    <t>3176466701</t>
  </si>
  <si>
    <t>3007829888</t>
  </si>
  <si>
    <t>5161760</t>
  </si>
  <si>
    <t>2474351</t>
  </si>
  <si>
    <t>7420100</t>
  </si>
  <si>
    <t>6932344</t>
  </si>
  <si>
    <t>2 8 6 0 2 2 6</t>
  </si>
  <si>
    <t>5165483</t>
  </si>
  <si>
    <t>6653163</t>
  </si>
  <si>
    <t>6672727</t>
  </si>
  <si>
    <t>4271051</t>
  </si>
  <si>
    <t>3003715472</t>
  </si>
  <si>
    <t>3122491354</t>
  </si>
  <si>
    <t>3800222</t>
  </si>
  <si>
    <t>3001717772</t>
  </si>
  <si>
    <t>3267700</t>
  </si>
  <si>
    <t>3015954643</t>
  </si>
  <si>
    <t>6 6 0 5 6 5 2</t>
  </si>
  <si>
    <t>3226325358</t>
  </si>
  <si>
    <t>6435857</t>
  </si>
  <si>
    <t>6458329</t>
  </si>
  <si>
    <t>7458787</t>
  </si>
  <si>
    <t>6419482</t>
  </si>
  <si>
    <t>7459058</t>
  </si>
  <si>
    <t>3 3 7 9 1 3 4</t>
  </si>
  <si>
    <t>8853790</t>
  </si>
  <si>
    <t>3007768335</t>
  </si>
  <si>
    <t>5780001</t>
  </si>
  <si>
    <t>7953900</t>
  </si>
  <si>
    <t>3123300</t>
  </si>
  <si>
    <t>6452277</t>
  </si>
  <si>
    <t>3308584</t>
  </si>
  <si>
    <t>6053587050</t>
  </si>
  <si>
    <t>2 5 1 1 3 0 1</t>
  </si>
  <si>
    <t>6578757</t>
  </si>
  <si>
    <t>3163861673</t>
  </si>
  <si>
    <t>3123880219</t>
  </si>
  <si>
    <t>6604280</t>
  </si>
  <si>
    <t>6363633</t>
  </si>
  <si>
    <t>3205715900</t>
  </si>
  <si>
    <t>3173633899</t>
  </si>
  <si>
    <t>7430174</t>
  </si>
  <si>
    <t>3843972</t>
  </si>
  <si>
    <t>6592199</t>
  </si>
  <si>
    <t>2619500</t>
  </si>
  <si>
    <t>3669079</t>
  </si>
  <si>
    <t>8052005</t>
  </si>
  <si>
    <t>3394949</t>
  </si>
  <si>
    <t>3013395892</t>
  </si>
  <si>
    <t>3104246997</t>
  </si>
  <si>
    <t>6850000</t>
  </si>
  <si>
    <t>3660608</t>
  </si>
  <si>
    <t>3133988786</t>
  </si>
  <si>
    <t>3142230499</t>
  </si>
  <si>
    <t>601-6183655</t>
  </si>
  <si>
    <t>3148312009</t>
  </si>
  <si>
    <t>3144245277</t>
  </si>
  <si>
    <t>4 4 8 1 5 8 0</t>
  </si>
  <si>
    <t>3265200</t>
  </si>
  <si>
    <t>3 1 3 4 9 6 0 7 6 9</t>
  </si>
  <si>
    <t>4605576</t>
  </si>
  <si>
    <t>8862040</t>
  </si>
  <si>
    <t>3136464</t>
  </si>
  <si>
    <t>6013485400</t>
  </si>
  <si>
    <t>4231010</t>
  </si>
  <si>
    <t>3212268823</t>
  </si>
  <si>
    <t>3396626</t>
  </si>
  <si>
    <t>6295760</t>
  </si>
  <si>
    <t>6455320</t>
  </si>
  <si>
    <t>5363085</t>
  </si>
  <si>
    <t>3113652989</t>
  </si>
  <si>
    <t>3045893716</t>
  </si>
  <si>
    <t>6653068</t>
  </si>
  <si>
    <t>8862727</t>
  </si>
  <si>
    <t>3106056340</t>
  </si>
  <si>
    <t>5186000</t>
  </si>
  <si>
    <t>2267211</t>
  </si>
  <si>
    <t>3 0 9 1 8 1 5</t>
  </si>
  <si>
    <t>4467575</t>
  </si>
  <si>
    <t>3125232514</t>
  </si>
  <si>
    <t>2667010</t>
  </si>
  <si>
    <t>2328525</t>
  </si>
  <si>
    <t>3123618</t>
  </si>
  <si>
    <t>3257171 -3043997239</t>
  </si>
  <si>
    <t>3175485</t>
  </si>
  <si>
    <t>5740202</t>
  </si>
  <si>
    <t>3104782842</t>
  </si>
  <si>
    <t>3175244736</t>
  </si>
  <si>
    <t>3006321851</t>
  </si>
  <si>
    <t>3550600</t>
  </si>
  <si>
    <t>2728054</t>
  </si>
  <si>
    <t>3180505</t>
  </si>
  <si>
    <t>3152669255</t>
  </si>
  <si>
    <t>3006986463</t>
  </si>
  <si>
    <t>6847772</t>
  </si>
  <si>
    <t>3222192607</t>
  </si>
  <si>
    <t>6228020</t>
  </si>
  <si>
    <t>3127250788</t>
  </si>
  <si>
    <t>6378877</t>
  </si>
  <si>
    <t>8231214</t>
  </si>
  <si>
    <t>3012524565</t>
  </si>
  <si>
    <t>6258330</t>
  </si>
  <si>
    <t>6417033</t>
  </si>
  <si>
    <t>3104757410</t>
  </si>
  <si>
    <t>3613536</t>
  </si>
  <si>
    <t>IMPUESTOS@ESTILOINGENIERIA.COM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</si>
</sst>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2024/Exogenas/Regional%20Centro/PAIPA/PFE4.xlsx" TargetMode="External"/><Relationship Id="rId2" Type="http://schemas.openxmlformats.org/officeDocument/2006/relationships/externalLinkPath" Target="file:///\\192.168.1.71\Impuestos\1.%20Especialista%20de%20Impuestos\Declaraciones%20Tributarias\ICA\HOJAS%20DE%20TRABAJO\2024\Exogenas\Regional%20Centro\PAIPA\PFE4.xlsx" TargetMode="External"/><Relationship Id="rId1" Type="http://schemas.openxmlformats.org/officeDocument/2006/relationships/externalLinkPath" Target="/1.%20Especialista%20de%20Impuestos/Declaraciones%20Tributarias/ICA/HOJAS%20DE%20TRABAJO/2024/Exogenas/Regional%20Centro/PAIPA/PFE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FE4"/>
      <sheetName val="Actividades"/>
      <sheetName val="Municipios"/>
    </sheetNames>
    <sheetDataSet>
      <sheetData sheetId="0">
        <row r="7">
          <cell r="A7">
            <v>222222222</v>
          </cell>
          <cell r="B7" t="str">
            <v/>
          </cell>
          <cell r="C7" t="str">
            <v>CUANTIAS MENORES</v>
          </cell>
          <cell r="D7">
            <v>3228184763</v>
          </cell>
          <cell r="E7" t="str">
            <v>impuestos@estiloingeniera.com</v>
          </cell>
          <cell r="F7" t="str">
            <v xml:space="preserve">CL 127A 53A 45 TO2 P11 OF1101 </v>
          </cell>
          <cell r="G7" t="str">
            <v>05001</v>
          </cell>
        </row>
        <row r="8">
          <cell r="A8" t="str">
            <v>1017211526</v>
          </cell>
          <cell r="B8" t="str">
            <v>0</v>
          </cell>
          <cell r="C8" t="str">
            <v>DIEGO ARMANDO LOBO PIEDRAHITA</v>
          </cell>
          <cell r="D8" t="str">
            <v>4480341</v>
          </cell>
          <cell r="E8" t="str">
            <v>Soluciona@dixhotel.co</v>
          </cell>
          <cell r="F8" t="str">
            <v>CALLE 10  41  21</v>
          </cell>
          <cell r="G8" t="str">
            <v>05001</v>
          </cell>
        </row>
        <row r="9">
          <cell r="A9" t="str">
            <v>1128264538</v>
          </cell>
          <cell r="B9" t="str">
            <v>9</v>
          </cell>
          <cell r="C9" t="str">
            <v>CATALINA CONTRERAS RESTREPO</v>
          </cell>
          <cell r="D9" t="str">
            <v>4887946</v>
          </cell>
          <cell r="E9" t="str">
            <v>facturasedificiosgiaorion@gmail.com</v>
          </cell>
          <cell r="F9" t="str">
            <v>CL 28 79 138 AP 402 BRR BELEN LA PALMA ED PRADOS DE LA PALMA</v>
          </cell>
          <cell r="G9" t="str">
            <v>05001</v>
          </cell>
        </row>
        <row r="10">
          <cell r="A10" t="str">
            <v>13744250</v>
          </cell>
          <cell r="B10" t="str">
            <v>5</v>
          </cell>
          <cell r="C10" t="str">
            <v>HESSING ADRIANO AMADO NEIRA</v>
          </cell>
          <cell r="D10" t="str">
            <v>4872995</v>
          </cell>
          <cell r="E10" t="str">
            <v>hessinga@hotmail.com</v>
          </cell>
          <cell r="F10" t="str">
            <v>CL 94 72 A 91</v>
          </cell>
          <cell r="G10" t="str">
            <v>05001</v>
          </cell>
        </row>
        <row r="11">
          <cell r="A11" t="str">
            <v>15502833</v>
          </cell>
          <cell r="B11" t="str">
            <v>8</v>
          </cell>
          <cell r="C11" t="str">
            <v>CARLOS MARIO ZAPATA CORREA</v>
          </cell>
          <cell r="D11">
            <v>3219664011</v>
          </cell>
          <cell r="E11" t="str">
            <v>remateskamario@hotmail.com</v>
          </cell>
          <cell r="F11" t="str">
            <v>CALLE 57  54  93</v>
          </cell>
          <cell r="G11" t="str">
            <v>05001</v>
          </cell>
        </row>
        <row r="12">
          <cell r="A12" t="str">
            <v>21273086</v>
          </cell>
          <cell r="B12" t="str">
            <v>0</v>
          </cell>
          <cell r="C12" t="str">
            <v>MARIA JOSEFINA GUTIERREZ ZULUAGA</v>
          </cell>
          <cell r="D12" t="str">
            <v>3127218525</v>
          </cell>
          <cell r="E12" t="str">
            <v>symbernal@gmail.com</v>
          </cell>
          <cell r="F12" t="str">
            <v>CALLE 9 B SUR  25  178</v>
          </cell>
          <cell r="G12" t="str">
            <v>05001</v>
          </cell>
        </row>
        <row r="13">
          <cell r="A13" t="str">
            <v>26259816</v>
          </cell>
          <cell r="B13" t="str">
            <v>0</v>
          </cell>
          <cell r="C13" t="str">
            <v>LUZ MARINA COPETE MURILLO</v>
          </cell>
          <cell r="D13" t="str">
            <v>3145342156</v>
          </cell>
          <cell r="E13" t="str">
            <v>facturacion@estiloingenieria.com</v>
          </cell>
          <cell r="F13" t="str">
            <v>dg 75 d 1 - 221 ca 146</v>
          </cell>
          <cell r="G13" t="str">
            <v>05001</v>
          </cell>
        </row>
        <row r="14">
          <cell r="A14" t="str">
            <v>32405745</v>
          </cell>
          <cell r="B14" t="str">
            <v>4</v>
          </cell>
          <cell r="C14" t="str">
            <v>OLGA DEL ROSARIO GONZALEZ SALAZAR</v>
          </cell>
          <cell r="D14" t="str">
            <v>2690441</v>
          </cell>
          <cell r="E14" t="str">
            <v>rosa_2758@yahoo.es</v>
          </cell>
          <cell r="F14" t="str">
            <v>CARRERA 22 A  46  59</v>
          </cell>
          <cell r="G14" t="str">
            <v>05001</v>
          </cell>
        </row>
        <row r="15">
          <cell r="A15" t="str">
            <v>3420057</v>
          </cell>
          <cell r="B15" t="str">
            <v>2</v>
          </cell>
          <cell r="C15" t="str">
            <v>JUAN GUILLERMO CAMPO HIGUITA</v>
          </cell>
          <cell r="D15" t="str">
            <v>5045101</v>
          </cell>
          <cell r="E15" t="str">
            <v>mafelondono20@gmail.com</v>
          </cell>
          <cell r="F15" t="str">
            <v>CL 33 A A 83 A 29 AP 501</v>
          </cell>
          <cell r="G15" t="str">
            <v>05001</v>
          </cell>
        </row>
        <row r="16">
          <cell r="A16" t="str">
            <v>37312992</v>
          </cell>
          <cell r="B16" t="str">
            <v>5</v>
          </cell>
          <cell r="C16" t="str">
            <v>MARINA ESTER ROZO DE MEJIA</v>
          </cell>
          <cell r="D16" t="str">
            <v>2304548</v>
          </cell>
          <cell r="E16" t="str">
            <v>migutierrezb@hotmail.com</v>
          </cell>
          <cell r="F16" t="str">
            <v>CALLE 50  67  114</v>
          </cell>
          <cell r="G16" t="str">
            <v>05001</v>
          </cell>
        </row>
        <row r="17">
          <cell r="A17" t="str">
            <v>37329058</v>
          </cell>
          <cell r="B17" t="str">
            <v>5</v>
          </cell>
          <cell r="C17" t="str">
            <v>LILYBETH DEL PILAR LOBO ROSO</v>
          </cell>
          <cell r="D17" t="str">
            <v>3123860787</v>
          </cell>
          <cell r="E17" t="str">
            <v>migutierrezb@hotmail.com</v>
          </cell>
          <cell r="F17" t="str">
            <v>CALLE 33  64  94</v>
          </cell>
          <cell r="G17" t="str">
            <v>05001</v>
          </cell>
        </row>
        <row r="18">
          <cell r="A18" t="str">
            <v>42688571</v>
          </cell>
          <cell r="B18" t="str">
            <v>1</v>
          </cell>
          <cell r="C18" t="str">
            <v>DORA PATRICIA ARIAS VANEGAS</v>
          </cell>
          <cell r="D18" t="str">
            <v>3 0 0 6 1 3 2 0 4 2</v>
          </cell>
          <cell r="E18" t="str">
            <v>patriciaarias789@gmail.com</v>
          </cell>
          <cell r="F18" t="str">
            <v>CL 37 80 A 29 AP 101</v>
          </cell>
          <cell r="G18" t="str">
            <v>05001</v>
          </cell>
        </row>
        <row r="19">
          <cell r="A19" t="str">
            <v>42876684</v>
          </cell>
          <cell r="B19" t="str">
            <v>1</v>
          </cell>
          <cell r="C19" t="str">
            <v>LUZ STELLA DELGADO FOSSO</v>
          </cell>
          <cell r="D19" t="str">
            <v>5127266</v>
          </cell>
          <cell r="E19" t="str">
            <v>jogan@une.net.co</v>
          </cell>
          <cell r="F19" t="str">
            <v>CALLE 55  45  58</v>
          </cell>
          <cell r="G19" t="str">
            <v>05001</v>
          </cell>
        </row>
        <row r="20">
          <cell r="A20" t="str">
            <v>43264403</v>
          </cell>
          <cell r="B20" t="str">
            <v>4</v>
          </cell>
          <cell r="C20" t="str">
            <v>ISABEL CRISTINA CANO ARBOLEDA</v>
          </cell>
          <cell r="D20" t="str">
            <v>3 1 2 7 3 4 3 3 9 4</v>
          </cell>
          <cell r="E20" t="str">
            <v>isabelcristina.cano@gmail.com</v>
          </cell>
          <cell r="F20" t="str">
            <v>CL 27 A 75 41 IN 201</v>
          </cell>
          <cell r="G20" t="str">
            <v>05001</v>
          </cell>
        </row>
        <row r="21">
          <cell r="A21" t="str">
            <v>43506866</v>
          </cell>
          <cell r="B21" t="str">
            <v>0</v>
          </cell>
          <cell r="C21" t="str">
            <v>OMAIRA DEL SOCORRO VELASQUEZ GALLEGO</v>
          </cell>
          <cell r="D21" t="str">
            <v>2894502</v>
          </cell>
          <cell r="E21" t="str">
            <v>fliavega1@hotmail.com</v>
          </cell>
          <cell r="F21" t="str">
            <v>CALLE 32 E E  80 B  27  APARTAMENTO 204</v>
          </cell>
          <cell r="G21" t="str">
            <v>05001</v>
          </cell>
        </row>
        <row r="22">
          <cell r="A22" t="str">
            <v>43581631</v>
          </cell>
          <cell r="B22" t="str">
            <v>6</v>
          </cell>
          <cell r="C22" t="str">
            <v>EUSTELLY DE LAS MISERICORDIAS ARANGO HENAO</v>
          </cell>
          <cell r="D22" t="str">
            <v>2935598</v>
          </cell>
          <cell r="E22" t="str">
            <v>imperiodelacamiseta@hotmail.com</v>
          </cell>
          <cell r="F22" t="str">
            <v>CALLE 48  51  24</v>
          </cell>
          <cell r="G22" t="str">
            <v>05001</v>
          </cell>
        </row>
        <row r="23">
          <cell r="A23" t="str">
            <v>43676928</v>
          </cell>
          <cell r="B23" t="str">
            <v>7</v>
          </cell>
          <cell r="C23" t="str">
            <v>MARIELA ESTELLA TORRES GALLEGO</v>
          </cell>
          <cell r="D23" t="str">
            <v>3127204900</v>
          </cell>
          <cell r="E23" t="str">
            <v>edificio.arizona01@gmail.com</v>
          </cell>
          <cell r="F23" t="str">
            <v>CARRERA 65 F No. 32 B - 74</v>
          </cell>
          <cell r="G23" t="str">
            <v>05001</v>
          </cell>
        </row>
        <row r="24">
          <cell r="A24" t="str">
            <v>43758156</v>
          </cell>
          <cell r="B24" t="str">
            <v>0</v>
          </cell>
          <cell r="C24" t="str">
            <v>MARGARITA MARIA CARDONA GOMEZ</v>
          </cell>
          <cell r="D24" t="str">
            <v>2 3 5 1 4 8 8</v>
          </cell>
          <cell r="E24" t="str">
            <v>marisabela27@hotmail.com</v>
          </cell>
          <cell r="F24" t="str">
            <v>CALLE 32 C CR 66 4 IN 201</v>
          </cell>
          <cell r="G24" t="str">
            <v>05001</v>
          </cell>
        </row>
        <row r="25">
          <cell r="A25" t="str">
            <v>700117713</v>
          </cell>
          <cell r="B25" t="str">
            <v>6</v>
          </cell>
          <cell r="C25" t="str">
            <v>ILSE MARIA PAULA GHISLENA GEYSKENS</v>
          </cell>
          <cell r="D25" t="str">
            <v>3119405</v>
          </cell>
          <cell r="E25" t="str">
            <v>htrujilloarboleda@gmail.com</v>
          </cell>
          <cell r="F25" t="str">
            <v>CARRERA 37  8 A  46</v>
          </cell>
          <cell r="G25" t="str">
            <v>05001</v>
          </cell>
        </row>
        <row r="26">
          <cell r="A26" t="str">
            <v>700128120</v>
          </cell>
          <cell r="B26" t="str">
            <v>6</v>
          </cell>
          <cell r="C26" t="str">
            <v>GENNADY LEVIT</v>
          </cell>
          <cell r="D26" t="str">
            <v>2663766</v>
          </cell>
          <cell r="E26" t="str">
            <v>facturaciongennady@gmail.com</v>
          </cell>
          <cell r="F26" t="str">
            <v>CR 26 A CL 10 93 IN 111</v>
          </cell>
          <cell r="G26" t="str">
            <v>05001</v>
          </cell>
        </row>
        <row r="27">
          <cell r="A27" t="str">
            <v>71227830</v>
          </cell>
          <cell r="B27" t="str">
            <v>0</v>
          </cell>
          <cell r="C27" t="str">
            <v>CARLOS ANDRES HOYOS ECHEVERRY</v>
          </cell>
          <cell r="D27" t="str">
            <v>6043297878</v>
          </cell>
          <cell r="E27" t="str">
            <v>carlosberlin100@gmail.com</v>
          </cell>
          <cell r="F27" t="str">
            <v>Cra 81 # 30A- 127</v>
          </cell>
          <cell r="G27" t="str">
            <v>05001</v>
          </cell>
        </row>
        <row r="28">
          <cell r="A28" t="str">
            <v>71336904</v>
          </cell>
          <cell r="B28" t="str">
            <v>4</v>
          </cell>
          <cell r="C28" t="str">
            <v>JORGE HUMBERTO ORTIZ PEREZ</v>
          </cell>
          <cell r="D28" t="str">
            <v>2 2 8 2 7 8 8</v>
          </cell>
          <cell r="E28" t="str">
            <v>contabilidad@vitalsas.co</v>
          </cell>
          <cell r="F28" t="str">
            <v>CL 50 33 27 AP 301</v>
          </cell>
          <cell r="G28" t="str">
            <v>05001</v>
          </cell>
        </row>
        <row r="29">
          <cell r="A29" t="str">
            <v>71605728</v>
          </cell>
          <cell r="B29" t="str">
            <v>9</v>
          </cell>
          <cell r="C29" t="str">
            <v>GIOVANY DE JESUS ROZO JAIME</v>
          </cell>
          <cell r="D29" t="str">
            <v>5116647</v>
          </cell>
          <cell r="E29" t="str">
            <v>hotelesfmg@hotmail.com</v>
          </cell>
          <cell r="F29" t="str">
            <v>CALLE 56  52  37</v>
          </cell>
          <cell r="G29" t="str">
            <v>05001</v>
          </cell>
        </row>
        <row r="30">
          <cell r="A30" t="str">
            <v>71638952</v>
          </cell>
          <cell r="B30" t="str">
            <v>4</v>
          </cell>
          <cell r="C30" t="str">
            <v>FERNANDO DE JESUS FERNANDEZ MUÑOZ</v>
          </cell>
          <cell r="D30" t="str">
            <v>4969539</v>
          </cell>
          <cell r="E30" t="str">
            <v>mariatimana4@gmail.com</v>
          </cell>
          <cell r="F30" t="str">
            <v>CARRERA 91 B  35 A  86  PISO 2</v>
          </cell>
          <cell r="G30" t="str">
            <v>05001</v>
          </cell>
        </row>
        <row r="31">
          <cell r="A31" t="str">
            <v>71658938</v>
          </cell>
          <cell r="B31" t="str">
            <v>6</v>
          </cell>
          <cell r="C31" t="str">
            <v>JUAN DIEGO MONTOYA RAMIREZ</v>
          </cell>
          <cell r="D31" t="str">
            <v>4441906</v>
          </cell>
          <cell r="E31" t="str">
            <v>juandiegomontoya@panaderianovapan.com</v>
          </cell>
          <cell r="F31" t="str">
            <v>CL 75 A 56 A 33</v>
          </cell>
          <cell r="G31" t="str">
            <v>05001</v>
          </cell>
        </row>
        <row r="32">
          <cell r="A32" t="str">
            <v>71685662</v>
          </cell>
          <cell r="B32" t="str">
            <v>3</v>
          </cell>
          <cell r="C32" t="str">
            <v>LUIS ALBERTO ACEVEDO ESCOBAR</v>
          </cell>
          <cell r="D32">
            <v>3219664011</v>
          </cell>
          <cell r="E32" t="str">
            <v>presupuestoslaa2@gmail.com</v>
          </cell>
          <cell r="F32" t="str">
            <v>CALLE 14  30  190</v>
          </cell>
          <cell r="G32" t="str">
            <v>05001</v>
          </cell>
        </row>
        <row r="33">
          <cell r="A33" t="str">
            <v>71741228</v>
          </cell>
          <cell r="B33" t="str">
            <v>1</v>
          </cell>
          <cell r="C33" t="str">
            <v>JAYSON JIMENEZ ESPINOSA</v>
          </cell>
          <cell r="D33" t="str">
            <v>3115544</v>
          </cell>
          <cell r="E33" t="str">
            <v>gerenciaabogados@gmail.com</v>
          </cell>
          <cell r="F33" t="str">
            <v>CARRERA 48  10  45  OFICINA 1017</v>
          </cell>
          <cell r="G33" t="str">
            <v>05001</v>
          </cell>
        </row>
        <row r="34">
          <cell r="A34" t="str">
            <v>71741730</v>
          </cell>
          <cell r="B34" t="str">
            <v>6</v>
          </cell>
          <cell r="C34" t="str">
            <v>DIEGO ALEXANDER MARTINEZ GIRALDO</v>
          </cell>
          <cell r="D34" t="str">
            <v>4448167</v>
          </cell>
          <cell r="E34" t="str">
            <v>diegomartinezgiraldo@gmail.com</v>
          </cell>
          <cell r="F34" t="str">
            <v>CL 48 46 115 LC 248</v>
          </cell>
          <cell r="G34" t="str">
            <v>05001</v>
          </cell>
        </row>
        <row r="35">
          <cell r="A35" t="str">
            <v>800027617</v>
          </cell>
          <cell r="B35" t="str">
            <v>3</v>
          </cell>
          <cell r="C35" t="str">
            <v>MENSULA S.A.S.</v>
          </cell>
          <cell r="D35" t="str">
            <v>3613536</v>
          </cell>
          <cell r="E35" t="str">
            <v>facturacion@mensulaingenieros.com</v>
          </cell>
          <cell r="F35" t="str">
            <v>CALLE 10 SUR  50 F F  28  OFICINA 407</v>
          </cell>
          <cell r="G35" t="str">
            <v>05001</v>
          </cell>
        </row>
        <row r="36">
          <cell r="A36" t="str">
            <v>800036229</v>
          </cell>
          <cell r="B36" t="str">
            <v>7</v>
          </cell>
          <cell r="C36" t="str">
            <v>CLINICA OFTALMOLOGICA LAURELES S.A</v>
          </cell>
          <cell r="D36" t="str">
            <v>4441366</v>
          </cell>
          <cell r="E36" t="str">
            <v>800036229@recepciondefacturas.co</v>
          </cell>
          <cell r="F36" t="str">
            <v>TRANSVERSAL 74 C  1  23</v>
          </cell>
          <cell r="G36" t="str">
            <v>05001</v>
          </cell>
        </row>
        <row r="37">
          <cell r="A37" t="str">
            <v>800060949</v>
          </cell>
          <cell r="B37" t="str">
            <v>2</v>
          </cell>
          <cell r="C37" t="str">
            <v>CONJUNTO RESIDENCIAL RINCON DE OVIEDO P.H.</v>
          </cell>
          <cell r="D37">
            <v>3219664011</v>
          </cell>
          <cell r="E37" t="str">
            <v>rincondeviedo@gmail.com</v>
          </cell>
          <cell r="F37" t="str">
            <v>CARRERA 43C 4 SUR-199</v>
          </cell>
          <cell r="G37" t="str">
            <v>05001</v>
          </cell>
        </row>
        <row r="38">
          <cell r="A38" t="str">
            <v>800084487</v>
          </cell>
          <cell r="B38" t="str">
            <v>5</v>
          </cell>
          <cell r="C38" t="str">
            <v>CONJUNTO RESIDENCIAL “FLORIDA VERDE” (BLOQUES 1 Y 2) – P.H</v>
          </cell>
          <cell r="D38" t="str">
            <v>3041213336</v>
          </cell>
          <cell r="E38" t="str">
            <v>facturacion@grupoclever.co</v>
          </cell>
          <cell r="F38" t="str">
            <v>CL 7 No. 39-43</v>
          </cell>
          <cell r="G38" t="str">
            <v>05001</v>
          </cell>
        </row>
        <row r="39">
          <cell r="A39" t="str">
            <v>800097984</v>
          </cell>
          <cell r="B39" t="str">
            <v>0</v>
          </cell>
          <cell r="C39" t="str">
            <v>M.G.L. INGENIEROS S.A.S.</v>
          </cell>
          <cell r="D39">
            <v>3219664011</v>
          </cell>
          <cell r="E39" t="str">
            <v>contabilidad@mglingenieros.com</v>
          </cell>
          <cell r="F39" t="str">
            <v>CARRERA 48 B  10 SUR  56</v>
          </cell>
          <cell r="G39" t="str">
            <v>05001</v>
          </cell>
        </row>
        <row r="40">
          <cell r="A40" t="str">
            <v>800101666</v>
          </cell>
          <cell r="B40" t="str">
            <v>0</v>
          </cell>
          <cell r="C40" t="str">
            <v>CONJUNTO RESIDENCIAL EL CAPIRO P.H.</v>
          </cell>
          <cell r="D40" t="str">
            <v>4076912</v>
          </cell>
          <cell r="E40" t="str">
            <v>asistente.curbe@gmail.com</v>
          </cell>
          <cell r="F40" t="str">
            <v>CL 20 B SUR 27 207</v>
          </cell>
          <cell r="G40" t="str">
            <v>05001</v>
          </cell>
        </row>
        <row r="41">
          <cell r="A41" t="str">
            <v>800130708</v>
          </cell>
          <cell r="B41" t="str">
            <v>5</v>
          </cell>
          <cell r="C41" t="str">
            <v>BATALLON DE APOYO DE SERVICIOS PARA EL COMBATE N° 4 YARIGUIEZ</v>
          </cell>
          <cell r="D41" t="str">
            <v>3115140780</v>
          </cell>
          <cell r="E41" t="str">
            <v>cenacmedellin@buzonejercito.mil.co</v>
          </cell>
          <cell r="F41" t="str">
            <v>CALLE 50  76  25</v>
          </cell>
          <cell r="G41" t="str">
            <v>05001</v>
          </cell>
        </row>
        <row r="42">
          <cell r="A42" t="str">
            <v>800153993</v>
          </cell>
          <cell r="B42" t="str">
            <v>7</v>
          </cell>
          <cell r="C42" t="str">
            <v>COMUNICACION CELULAR SA COMCEL SA</v>
          </cell>
          <cell r="D42" t="str">
            <v>7430174</v>
          </cell>
          <cell r="E42" t="str">
            <v>facturacion.plazaclaro@multiplika.com.co</v>
          </cell>
          <cell r="F42" t="str">
            <v>CALLE 90  14  37</v>
          </cell>
          <cell r="G42" t="str">
            <v>05001</v>
          </cell>
        </row>
        <row r="43">
          <cell r="A43" t="str">
            <v>800155541</v>
          </cell>
          <cell r="B43" t="str">
            <v>0</v>
          </cell>
          <cell r="C43" t="str">
            <v>CONJUNTO RESIDENCIAL SHANGRILA P.H.</v>
          </cell>
          <cell r="D43" t="str">
            <v>4461798</v>
          </cell>
          <cell r="E43" t="str">
            <v>facturacion@estiloingenieria.com</v>
          </cell>
          <cell r="F43" t="str">
            <v>CALLE 77 A C  80  40</v>
          </cell>
          <cell r="G43" t="str">
            <v>05001</v>
          </cell>
        </row>
        <row r="44">
          <cell r="A44" t="str">
            <v>800165798</v>
          </cell>
          <cell r="B44" t="str">
            <v>9</v>
          </cell>
          <cell r="C44" t="str">
            <v>DIRECCION EJECUTIVA SECCIONAL DE ADMINISTRACION JUDICIAL DE MEDELLIN</v>
          </cell>
          <cell r="D44" t="str">
            <v>2328525</v>
          </cell>
          <cell r="E44" t="str">
            <v>seradmed@cendoj.ramajudicial.gov.co</v>
          </cell>
          <cell r="F44" t="str">
            <v>CARRERA 52  42  73  PISO 26</v>
          </cell>
          <cell r="G44" t="str">
            <v>05001</v>
          </cell>
        </row>
        <row r="45">
          <cell r="A45" t="str">
            <v>800184385</v>
          </cell>
          <cell r="B45" t="str">
            <v>1</v>
          </cell>
          <cell r="C45" t="str">
            <v>FOTOMONTAJES S.A.S.</v>
          </cell>
          <cell r="D45" t="str">
            <v>2911991</v>
          </cell>
          <cell r="E45" t="str">
            <v>facturacionelectronica@fotomontajes.com.co</v>
          </cell>
          <cell r="F45" t="str">
            <v>CALLE 58  45 D  36</v>
          </cell>
          <cell r="G45" t="str">
            <v>05001</v>
          </cell>
        </row>
        <row r="46">
          <cell r="A46" t="str">
            <v>800212128</v>
          </cell>
          <cell r="B46" t="str">
            <v>6</v>
          </cell>
          <cell r="C46" t="str">
            <v>CONJUNTO RESIDENCIAL RONDAS DE OVIEDO PH</v>
          </cell>
          <cell r="D46">
            <v>3219664011</v>
          </cell>
          <cell r="E46" t="str">
            <v>mifactura9@outlook.com</v>
          </cell>
          <cell r="F46" t="str">
            <v>CR 43 C 2 SUR 33</v>
          </cell>
          <cell r="G46" t="str">
            <v>05001</v>
          </cell>
        </row>
        <row r="47">
          <cell r="A47" t="str">
            <v>806000591</v>
          </cell>
          <cell r="B47" t="str">
            <v>5</v>
          </cell>
          <cell r="C47" t="str">
            <v>ACCORHOTELS COLOMBIA S A</v>
          </cell>
          <cell r="D47" t="str">
            <v>6363633</v>
          </cell>
          <cell r="E47" t="str">
            <v>facturacion@estiloingenieria.com</v>
          </cell>
          <cell r="F47" t="str">
            <v>CR 12A 83 75 OF 502</v>
          </cell>
          <cell r="G47" t="str">
            <v>05001</v>
          </cell>
        </row>
        <row r="48">
          <cell r="A48" t="str">
            <v>811004236</v>
          </cell>
          <cell r="B48" t="str">
            <v>1</v>
          </cell>
          <cell r="C48" t="str">
            <v>EDIFICIO LA FONTANA PROPIEDAD HORIZONTAL</v>
          </cell>
          <cell r="D48" t="str">
            <v>3521512</v>
          </cell>
          <cell r="E48" t="str">
            <v>admonlafontanaph@gmail.com</v>
          </cell>
          <cell r="F48" t="str">
            <v>CARRERA 30  7 A  167</v>
          </cell>
          <cell r="G48" t="str">
            <v>05001</v>
          </cell>
        </row>
        <row r="49">
          <cell r="A49" t="str">
            <v>811007144</v>
          </cell>
          <cell r="B49" t="str">
            <v>6</v>
          </cell>
          <cell r="C49" t="str">
            <v>CEDIMED S.A.S.</v>
          </cell>
          <cell r="D49" t="str">
            <v>4440019</v>
          </cell>
          <cell r="E49" t="str">
            <v>facturacionelectronica@cedimed.com</v>
          </cell>
          <cell r="F49" t="str">
            <v>CARRERA 25 A  1 A SUR  45</v>
          </cell>
          <cell r="G49" t="str">
            <v>05001</v>
          </cell>
        </row>
        <row r="50">
          <cell r="A50" t="str">
            <v>811008019</v>
          </cell>
          <cell r="B50" t="str">
            <v>8</v>
          </cell>
          <cell r="C50" t="str">
            <v>EDIFICIO TORRE MEDICA PRADO P.H.</v>
          </cell>
          <cell r="D50" t="str">
            <v>3176370665</v>
          </cell>
          <cell r="E50" t="str">
            <v>facturas@aceis.com.co</v>
          </cell>
          <cell r="F50" t="str">
            <v>TV 5A  N° 45 69</v>
          </cell>
          <cell r="G50" t="str">
            <v>05001</v>
          </cell>
        </row>
        <row r="51">
          <cell r="A51" t="str">
            <v>811011331</v>
          </cell>
          <cell r="B51" t="str">
            <v>2</v>
          </cell>
          <cell r="C51" t="str">
            <v>CONJUNTO RESIDENCIAL ESTADIO 70 P.H.</v>
          </cell>
          <cell r="D51" t="str">
            <v>3222106</v>
          </cell>
          <cell r="E51" t="str">
            <v>Estadio70ph@hotmail.com</v>
          </cell>
          <cell r="F51" t="str">
            <v>TRANSVERSAL 51  69  81</v>
          </cell>
          <cell r="G51" t="str">
            <v>05001</v>
          </cell>
        </row>
        <row r="52">
          <cell r="A52" t="str">
            <v>811017653</v>
          </cell>
          <cell r="B52" t="str">
            <v>6</v>
          </cell>
          <cell r="C52" t="str">
            <v>EDIFICIO BOSQUES DE SIERRALTA P.H</v>
          </cell>
          <cell r="D52" t="str">
            <v>3126992</v>
          </cell>
          <cell r="E52" t="str">
            <v>compras@abelardoyepes.com</v>
          </cell>
          <cell r="F52" t="str">
            <v>CALLE 7 SUR  23  41</v>
          </cell>
          <cell r="G52" t="str">
            <v>05001</v>
          </cell>
        </row>
        <row r="53">
          <cell r="A53" t="str">
            <v>811029368</v>
          </cell>
          <cell r="B53" t="str">
            <v>3</v>
          </cell>
          <cell r="C53" t="str">
            <v>"VIZCAYA" CENTRO COMERCIAL DE ENTRETENIMIENTO -P.H.-</v>
          </cell>
          <cell r="D53">
            <v>3219664011</v>
          </cell>
          <cell r="E53" t="str">
            <v>recepcionfacturas@universa.com.co</v>
          </cell>
          <cell r="F53" t="str">
            <v>CL 10 32 115</v>
          </cell>
          <cell r="G53" t="str">
            <v>05001</v>
          </cell>
        </row>
        <row r="54">
          <cell r="A54" t="str">
            <v>811033259</v>
          </cell>
          <cell r="B54" t="str">
            <v>4</v>
          </cell>
          <cell r="C54" t="str">
            <v>SOLUCIONES CIVILES S.A.S</v>
          </cell>
          <cell r="D54" t="str">
            <v>3127250788</v>
          </cell>
          <cell r="E54" t="str">
            <v>e-factura.co@seresnet.com</v>
          </cell>
          <cell r="F54" t="str">
            <v>CR 43 B 16 41 OF 1703 ED CENTRO DE OFICINAS STAFF</v>
          </cell>
          <cell r="G54" t="str">
            <v>05001</v>
          </cell>
        </row>
        <row r="55">
          <cell r="A55" t="str">
            <v>811040443</v>
          </cell>
          <cell r="B55" t="str">
            <v>2</v>
          </cell>
          <cell r="C55" t="str">
            <v>B &amp; B CONSTRUCTORES S.A.S.</v>
          </cell>
          <cell r="D55" t="str">
            <v>3104757410</v>
          </cell>
          <cell r="E55" t="str">
            <v>facturacion@bienesybienes.com</v>
          </cell>
          <cell r="F55" t="str">
            <v>CALLE 8  43 A  48</v>
          </cell>
          <cell r="G55" t="str">
            <v>05001</v>
          </cell>
        </row>
        <row r="56">
          <cell r="A56" t="str">
            <v>830514243</v>
          </cell>
          <cell r="B56" t="str">
            <v>0</v>
          </cell>
          <cell r="C56" t="str">
            <v>ABORDO VIAJES Y TURISMO S.A.S</v>
          </cell>
          <cell r="D56" t="str">
            <v>4440151</v>
          </cell>
          <cell r="E56" t="str">
            <v>facturacion@abhoteles.co</v>
          </cell>
          <cell r="F56" t="str">
            <v>CARRERA 80  32 E E  6</v>
          </cell>
          <cell r="G56" t="str">
            <v>05001</v>
          </cell>
        </row>
        <row r="57">
          <cell r="A57" t="str">
            <v>832000235</v>
          </cell>
          <cell r="B57" t="str">
            <v>2</v>
          </cell>
          <cell r="C57" t="str">
            <v>CALUCE S.A.S.</v>
          </cell>
          <cell r="D57" t="str">
            <v>8844458</v>
          </cell>
          <cell r="E57" t="str">
            <v>contabilidad@caluce.com.co</v>
          </cell>
          <cell r="F57" t="str">
            <v>AVENIDA PRADILLA DG 13 3 ESTE 98</v>
          </cell>
          <cell r="G57" t="str">
            <v>05001</v>
          </cell>
        </row>
        <row r="58">
          <cell r="A58" t="str">
            <v>8434247</v>
          </cell>
          <cell r="B58" t="str">
            <v>4</v>
          </cell>
          <cell r="C58" t="str">
            <v>ALEJANDRO ANTONIO RAMIREZ BOTELLO</v>
          </cell>
          <cell r="D58" t="str">
            <v>5730630</v>
          </cell>
          <cell r="E58" t="str">
            <v>alejoremirez43@gmail.com</v>
          </cell>
          <cell r="F58" t="str">
            <v>AV 5 10 52 ED BANCO DE BOGOTA</v>
          </cell>
          <cell r="G58" t="str">
            <v>05001</v>
          </cell>
        </row>
        <row r="59">
          <cell r="A59" t="str">
            <v>860029924</v>
          </cell>
          <cell r="B59" t="str">
            <v>7</v>
          </cell>
          <cell r="C59" t="str">
            <v>UNIVERSIDAD COOPERATIVA DE COLOMBIA</v>
          </cell>
          <cell r="D59" t="str">
            <v>3112781877</v>
          </cell>
          <cell r="E59" t="str">
            <v>facturacion@estiloingenieria.com</v>
          </cell>
          <cell r="F59" t="str">
            <v>Avenida Caracas No. 37 63</v>
          </cell>
          <cell r="G59" t="str">
            <v>05001</v>
          </cell>
        </row>
        <row r="60">
          <cell r="A60" t="str">
            <v>860078643</v>
          </cell>
          <cell r="B60" t="str">
            <v>1</v>
          </cell>
          <cell r="C60" t="str">
            <v>POLITECNICO GRANCOLOMBIANO</v>
          </cell>
          <cell r="D60">
            <v>3219664011</v>
          </cell>
          <cell r="E60" t="str">
            <v>aarango@poligran.edu.co</v>
          </cell>
          <cell r="F60" t="str">
            <v>CALLE 57  3  00 ESTE</v>
          </cell>
          <cell r="G60" t="str">
            <v>05001</v>
          </cell>
        </row>
        <row r="61">
          <cell r="A61" t="str">
            <v>88142097</v>
          </cell>
          <cell r="B61" t="str">
            <v>3</v>
          </cell>
          <cell r="C61" t="str">
            <v>JOSE DAVID LOBO ROSO</v>
          </cell>
          <cell r="D61">
            <v>3219664011</v>
          </cell>
          <cell r="E61" t="str">
            <v>sugerenciasdlusso@gmail.com</v>
          </cell>
          <cell r="F61" t="str">
            <v>CARRERA 54  50  58</v>
          </cell>
          <cell r="G61" t="str">
            <v>05001</v>
          </cell>
        </row>
        <row r="62">
          <cell r="A62" t="str">
            <v>890307400</v>
          </cell>
          <cell r="B62" t="str">
            <v>1</v>
          </cell>
          <cell r="C62" t="str">
            <v>UNIVERSIDAD DE SAN BUENAVENTURA</v>
          </cell>
          <cell r="D62" t="str">
            <v>5145600</v>
          </cell>
          <cell r="E62" t="str">
            <v>asistente.compras@usbmed.edu.co</v>
          </cell>
          <cell r="F62" t="str">
            <v>CARRERA 56 C  51  90</v>
          </cell>
          <cell r="G62" t="str">
            <v>05001</v>
          </cell>
        </row>
        <row r="63">
          <cell r="A63" t="str">
            <v>890901128</v>
          </cell>
          <cell r="B63" t="str">
            <v>1</v>
          </cell>
          <cell r="C63" t="str">
            <v>HERMANAS TERCIARIAS CAPUCHINAS PROVINCIA NUESTRA SEÑORA DE LA DIVINA PROVIDENCIA</v>
          </cell>
          <cell r="D63" t="str">
            <v>2545537</v>
          </cell>
          <cell r="E63" t="str">
            <v>htcdpeconomia@gmail.com</v>
          </cell>
          <cell r="F63" t="str">
            <v>CL 62 49 67 BRR PRADO CENTRO</v>
          </cell>
          <cell r="G63" t="str">
            <v>05001</v>
          </cell>
        </row>
        <row r="64">
          <cell r="A64" t="str">
            <v>890901389</v>
          </cell>
          <cell r="B64" t="str">
            <v>5</v>
          </cell>
          <cell r="C64" t="str">
            <v>UNIVERSIDAD EAFIT</v>
          </cell>
          <cell r="D64" t="str">
            <v>2619500</v>
          </cell>
          <cell r="E64" t="str">
            <v>recepcionfacturas@eafit.edu.co</v>
          </cell>
          <cell r="F64" t="str">
            <v>CARRERA 49  7 SUR  50</v>
          </cell>
          <cell r="G64" t="str">
            <v>05001</v>
          </cell>
        </row>
        <row r="65">
          <cell r="A65" t="str">
            <v>890902920</v>
          </cell>
          <cell r="B65" t="str">
            <v>1</v>
          </cell>
          <cell r="C65" t="str">
            <v>UNIVERSIDAD DE MEDELLIN</v>
          </cell>
          <cell r="D65">
            <v>3219664011</v>
          </cell>
          <cell r="E65" t="str">
            <v>890902920@factureinbox.co</v>
          </cell>
          <cell r="F65" t="str">
            <v>CARRERA 87  30  65</v>
          </cell>
          <cell r="G65" t="str">
            <v>05001</v>
          </cell>
        </row>
        <row r="66">
          <cell r="A66" t="str">
            <v>890903995</v>
          </cell>
          <cell r="B66" t="str">
            <v>8</v>
          </cell>
          <cell r="C66" t="str">
            <v>AGAVAL S.A.</v>
          </cell>
          <cell r="D66" t="str">
            <v>4444999</v>
          </cell>
          <cell r="E66" t="str">
            <v>facturacion@agaval.com.co</v>
          </cell>
          <cell r="F66" t="str">
            <v>CARRERA 46  47  40</v>
          </cell>
          <cell r="G66" t="str">
            <v>05001</v>
          </cell>
        </row>
        <row r="67">
          <cell r="A67" t="str">
            <v>890905022</v>
          </cell>
          <cell r="B67" t="str">
            <v>6</v>
          </cell>
          <cell r="C67" t="str">
            <v>CONVEL S.A.S.</v>
          </cell>
          <cell r="D67">
            <v>3219664011</v>
          </cell>
          <cell r="E67" t="str">
            <v>facturacion@convel.co</v>
          </cell>
          <cell r="F67" t="str">
            <v>CARRERA 63 B  32 E  26</v>
          </cell>
          <cell r="G67" t="str">
            <v>05001</v>
          </cell>
        </row>
        <row r="68">
          <cell r="A68" t="str">
            <v>890909034</v>
          </cell>
          <cell r="B68" t="str">
            <v>2</v>
          </cell>
          <cell r="C68" t="str">
            <v>TIERRA GRATA &amp; CO. S.A.S</v>
          </cell>
          <cell r="D68" t="str">
            <v>3164740</v>
          </cell>
          <cell r="E68" t="str">
            <v>auxresidentetgbm@tierragrata.co</v>
          </cell>
          <cell r="F68" t="str">
            <v>CALLE 6  43 C  08  OFICINA 306</v>
          </cell>
          <cell r="G68" t="str">
            <v>05001</v>
          </cell>
        </row>
        <row r="69">
          <cell r="A69" t="str">
            <v>890911431</v>
          </cell>
          <cell r="B69" t="str">
            <v>1</v>
          </cell>
          <cell r="C69" t="str">
            <v>CONINSA S.A.S</v>
          </cell>
          <cell r="D69" t="str">
            <v>3006986463</v>
          </cell>
          <cell r="E69" t="str">
            <v>facturacion@coninsa.co</v>
          </cell>
          <cell r="F69" t="str">
            <v>CL 55 45 55</v>
          </cell>
          <cell r="G69" t="str">
            <v>05001</v>
          </cell>
        </row>
        <row r="70">
          <cell r="A70" t="str">
            <v>890913902</v>
          </cell>
          <cell r="B70" t="str">
            <v>6</v>
          </cell>
          <cell r="C70" t="str">
            <v>ANTIOQUEÑA DE AUTOMOTORES Y REPUESTOS S.A.</v>
          </cell>
          <cell r="D70" t="str">
            <v>3165237211</v>
          </cell>
          <cell r="E70" t="str">
            <v>Facturas.proveedores@andar.com.co</v>
          </cell>
          <cell r="F70" t="str">
            <v>CALLE 26  44  136</v>
          </cell>
          <cell r="G70" t="str">
            <v>05001</v>
          </cell>
        </row>
        <row r="71">
          <cell r="A71" t="str">
            <v>890915475</v>
          </cell>
          <cell r="B71" t="str">
            <v>1</v>
          </cell>
          <cell r="C71" t="str">
            <v>EMPAQUETADURAS Y EMPAQUES S.A.</v>
          </cell>
          <cell r="D71" t="str">
            <v>3505000</v>
          </cell>
          <cell r="E71" t="str">
            <v>femedellin@eyesa.com.co</v>
          </cell>
          <cell r="F71" t="str">
            <v>CARRERA 52  23  54</v>
          </cell>
          <cell r="G71" t="str">
            <v>05001</v>
          </cell>
        </row>
        <row r="72">
          <cell r="A72" t="str">
            <v>890915822</v>
          </cell>
          <cell r="B72" t="str">
            <v>4</v>
          </cell>
          <cell r="C72" t="str">
            <v>EDIFICIO CENTRO COMERCIAL CAFETERO P.H.</v>
          </cell>
          <cell r="D72" t="str">
            <v>604-5740377</v>
          </cell>
          <cell r="E72" t="str">
            <v>asistente@dobleaadministraciones.com</v>
          </cell>
          <cell r="F72" t="str">
            <v>CARRERA 50 CALLE 48-53 MEDELLÍN</v>
          </cell>
          <cell r="G72" t="str">
            <v>05001</v>
          </cell>
        </row>
        <row r="73">
          <cell r="A73" t="str">
            <v>890916768</v>
          </cell>
          <cell r="B73" t="str">
            <v>9</v>
          </cell>
          <cell r="C73" t="str">
            <v>CORPORACION COLEGIO MONTESSORI</v>
          </cell>
          <cell r="D73" t="str">
            <v>3171400</v>
          </cell>
          <cell r="E73" t="str">
            <v>facturaproveedores@montessori.edu.co</v>
          </cell>
          <cell r="F73" t="str">
            <v>CARRERA 20  20 A SUR  55</v>
          </cell>
          <cell r="G73" t="str">
            <v>05001</v>
          </cell>
        </row>
        <row r="74">
          <cell r="A74" t="str">
            <v>890928257</v>
          </cell>
          <cell r="B74" t="str">
            <v>9</v>
          </cell>
          <cell r="C74" t="str">
            <v>ALICO S.A.S.</v>
          </cell>
          <cell r="D74">
            <v>3219664011</v>
          </cell>
          <cell r="E74" t="str">
            <v>auditoria@alico-sa.com</v>
          </cell>
          <cell r="F74" t="str">
            <v>CALLE 10 SUR  50  FF  127</v>
          </cell>
          <cell r="G74" t="str">
            <v>05001</v>
          </cell>
        </row>
        <row r="75">
          <cell r="A75" t="str">
            <v>890931549</v>
          </cell>
          <cell r="B75" t="str">
            <v>5</v>
          </cell>
          <cell r="C75" t="str">
            <v>CONJUNTO COMERCIAL ALMACENTRO PH</v>
          </cell>
          <cell r="D75">
            <v>3219664011</v>
          </cell>
          <cell r="E75" t="str">
            <v>recepcion@hgidocs.co</v>
          </cell>
          <cell r="F75" t="str">
            <v>CARRERA 43 A  34  95 LOCAL 283</v>
          </cell>
          <cell r="G75" t="str">
            <v>05001</v>
          </cell>
        </row>
        <row r="76">
          <cell r="A76" t="str">
            <v>890933882</v>
          </cell>
          <cell r="B76" t="str">
            <v>2</v>
          </cell>
          <cell r="C76" t="str">
            <v>EDIFICIO "COLINAS DEL POBLADO" P.H.</v>
          </cell>
          <cell r="D76" t="str">
            <v>266 9587</v>
          </cell>
          <cell r="E76" t="str">
            <v>facturacion@habitathorizontal.com</v>
          </cell>
          <cell r="F76" t="str">
            <v>CARRERA 43 No. 14-27</v>
          </cell>
          <cell r="G76" t="str">
            <v>05001</v>
          </cell>
        </row>
        <row r="77">
          <cell r="A77" t="str">
            <v>890933898</v>
          </cell>
          <cell r="B77" t="str">
            <v>1</v>
          </cell>
          <cell r="C77" t="str">
            <v>MERCAELECTRO LIMITADA</v>
          </cell>
          <cell r="D77" t="str">
            <v>5129129</v>
          </cell>
          <cell r="E77" t="str">
            <v>saramercaelectro@une.net.co</v>
          </cell>
          <cell r="F77" t="str">
            <v>CALLE 52 A  55 A  61</v>
          </cell>
          <cell r="G77" t="str">
            <v>05001</v>
          </cell>
        </row>
        <row r="78">
          <cell r="A78" t="str">
            <v>890937250</v>
          </cell>
          <cell r="B78" t="str">
            <v>6</v>
          </cell>
          <cell r="C78" t="str">
            <v>UNION ELECTRICA S.A</v>
          </cell>
          <cell r="D78" t="str">
            <v>(604) 325 55 55</v>
          </cell>
          <cell r="E78" t="str">
            <v>uqrycajal@hotmail.com</v>
          </cell>
          <cell r="F78" t="str">
            <v>CL 15 SUR 48 39</v>
          </cell>
          <cell r="G78" t="str">
            <v>05001</v>
          </cell>
        </row>
        <row r="79">
          <cell r="A79" t="str">
            <v>890937515</v>
          </cell>
          <cell r="B79" t="str">
            <v>2</v>
          </cell>
          <cell r="C79" t="str">
            <v>ESTRUCTURAR S . A . S . INGENIEROS CONSTRUCTORES</v>
          </cell>
          <cell r="D79">
            <v>3219664011</v>
          </cell>
          <cell r="E79" t="str">
            <v>facturacion@estructurar.co</v>
          </cell>
          <cell r="F79" t="str">
            <v>CALLE 11 C  31  105</v>
          </cell>
          <cell r="G79" t="str">
            <v>05001</v>
          </cell>
        </row>
        <row r="80">
          <cell r="A80" t="str">
            <v>890938876</v>
          </cell>
          <cell r="B80" t="str">
            <v>0</v>
          </cell>
          <cell r="C80" t="str">
            <v>EDIFICIO EL RECTANGULO PROPIEDAD HORIZONTAL</v>
          </cell>
          <cell r="D80" t="str">
            <v>317 5099205</v>
          </cell>
          <cell r="E80" t="str">
            <v>asistente.curbe@gmail.com</v>
          </cell>
          <cell r="F80" t="str">
            <v>CALLE 49 B # 64 B 112</v>
          </cell>
          <cell r="G80" t="str">
            <v>05001</v>
          </cell>
        </row>
        <row r="81">
          <cell r="A81" t="str">
            <v>890939068</v>
          </cell>
          <cell r="B81" t="str">
            <v>0</v>
          </cell>
          <cell r="C81" t="str">
            <v>EDIFICIO BANCO POPULAR -P.H.</v>
          </cell>
          <cell r="D81" t="str">
            <v>3140843</v>
          </cell>
          <cell r="E81" t="str">
            <v>facturacionelectronica@habitathorizontal.com</v>
          </cell>
          <cell r="F81" t="str">
            <v>CR 50 50 14 02</v>
          </cell>
          <cell r="G81" t="str">
            <v>05001</v>
          </cell>
        </row>
        <row r="82">
          <cell r="A82" t="str">
            <v>890942766</v>
          </cell>
          <cell r="B82" t="str">
            <v>4</v>
          </cell>
          <cell r="C82" t="str">
            <v>CONSTRUCTORA MONSERRATE DE COLOMBIA S.A.S</v>
          </cell>
          <cell r="D82" t="str">
            <v>2502663</v>
          </cell>
          <cell r="E82" t="str">
            <v>facturacion@cmonserrate.com</v>
          </cell>
          <cell r="F82" t="str">
            <v>CARRERA 73 A  39  78  OFICINA 401</v>
          </cell>
          <cell r="G82" t="str">
            <v>05001</v>
          </cell>
        </row>
        <row r="83">
          <cell r="A83" t="str">
            <v>890980756</v>
          </cell>
          <cell r="B83" t="str">
            <v>2</v>
          </cell>
          <cell r="C83" t="str">
            <v>FUNDACION JARDIN BOTANICO "JOAQUIN ANTONIO URIBE" DE MEDELLIN</v>
          </cell>
          <cell r="D83" t="str">
            <v>4445500</v>
          </cell>
          <cell r="E83" t="str">
            <v>facturaelectronica@jbotanico.org</v>
          </cell>
          <cell r="F83" t="str">
            <v>CARRERA 52  73  298</v>
          </cell>
          <cell r="G83" t="str">
            <v>05001</v>
          </cell>
        </row>
        <row r="84">
          <cell r="A84" t="str">
            <v>900007056</v>
          </cell>
          <cell r="B84" t="str">
            <v>9</v>
          </cell>
          <cell r="C84" t="str">
            <v>CONJUNTO RESIDENCIAL BELMONTE- P.H</v>
          </cell>
          <cell r="D84" t="str">
            <v>2 5 1 1 3 0 1</v>
          </cell>
          <cell r="E84" t="str">
            <v>administracion@belmonteph.com</v>
          </cell>
          <cell r="F84" t="str">
            <v>CARRERA 43 29 21</v>
          </cell>
          <cell r="G84" t="str">
            <v>05001</v>
          </cell>
        </row>
        <row r="85">
          <cell r="A85" t="str">
            <v>900008187</v>
          </cell>
          <cell r="B85" t="str">
            <v>1</v>
          </cell>
          <cell r="C85" t="str">
            <v>URBANIZACION TERRAVERDE P.H.</v>
          </cell>
          <cell r="D85" t="str">
            <v>5791499</v>
          </cell>
          <cell r="E85" t="str">
            <v>urbanizacionterraverde@gmail.com</v>
          </cell>
          <cell r="F85" t="str">
            <v>CARRERA 43 A  17  240</v>
          </cell>
          <cell r="G85" t="str">
            <v>05001</v>
          </cell>
        </row>
        <row r="86">
          <cell r="A86" t="str">
            <v>900014258</v>
          </cell>
          <cell r="B86" t="str">
            <v>9</v>
          </cell>
          <cell r="C86" t="str">
            <v>CONJUNTO RESIDENCIAL CERRONORTE P.H.</v>
          </cell>
          <cell r="D86" t="str">
            <v>3113725800</v>
          </cell>
          <cell r="E86" t="str">
            <v>cerronorteadmon@gmail.com</v>
          </cell>
          <cell r="F86" t="str">
            <v>CARRERA 76  53  200</v>
          </cell>
          <cell r="G86" t="str">
            <v>05001</v>
          </cell>
        </row>
        <row r="87">
          <cell r="A87" t="str">
            <v>900056003</v>
          </cell>
          <cell r="B87" t="str">
            <v>8</v>
          </cell>
          <cell r="C87" t="str">
            <v>EDIFICIO BAHIA ALTA P.H.</v>
          </cell>
          <cell r="D87" t="str">
            <v>3126992</v>
          </cell>
          <cell r="E87" t="str">
            <v>berthacardona@admonph.com</v>
          </cell>
          <cell r="F87" t="str">
            <v>CARRERA 13  4 B SUR  75</v>
          </cell>
          <cell r="G87" t="str">
            <v>05001</v>
          </cell>
        </row>
        <row r="88">
          <cell r="A88" t="str">
            <v>900074364</v>
          </cell>
          <cell r="B88" t="str">
            <v>8</v>
          </cell>
          <cell r="C88" t="str">
            <v>COMPAÑIA COMERCIAL UNIVERSAL S.A.S.</v>
          </cell>
          <cell r="D88" t="str">
            <v>4444489</v>
          </cell>
          <cell r="E88" t="str">
            <v>facturacionelectronica@surtitodo.com.co</v>
          </cell>
          <cell r="F88" t="str">
            <v>CR 56 B 49 A 29 OF 1007</v>
          </cell>
          <cell r="G88" t="str">
            <v>05001</v>
          </cell>
        </row>
        <row r="89">
          <cell r="A89" t="str">
            <v>900108877</v>
          </cell>
          <cell r="B89" t="str">
            <v>2</v>
          </cell>
          <cell r="C89" t="str">
            <v>PORTAL DE LAS AMERICAS -P.H.-</v>
          </cell>
          <cell r="D89" t="str">
            <v>5866630</v>
          </cell>
          <cell r="E89" t="str">
            <v>anggela_e@hotmail.com</v>
          </cell>
          <cell r="F89" t="str">
            <v>CARRERA 81  44 B  37</v>
          </cell>
          <cell r="G89" t="str">
            <v>05001</v>
          </cell>
        </row>
        <row r="90">
          <cell r="A90" t="str">
            <v>900111829</v>
          </cell>
          <cell r="B90" t="str">
            <v>1</v>
          </cell>
          <cell r="C90" t="str">
            <v>HOTEL LINCOLN S.A</v>
          </cell>
          <cell r="D90" t="str">
            <v>4091200</v>
          </cell>
          <cell r="E90" t="str">
            <v>directoracontable@hotellincoln.com.co</v>
          </cell>
          <cell r="F90" t="str">
            <v>AVENIDA CIRCUNVALAR  3  70</v>
          </cell>
          <cell r="G90" t="str">
            <v>05001</v>
          </cell>
        </row>
        <row r="91">
          <cell r="A91" t="str">
            <v>900115975</v>
          </cell>
          <cell r="B91" t="str">
            <v>5</v>
          </cell>
          <cell r="C91" t="str">
            <v>EDIFICIO PALMAR DEL VALLE PH</v>
          </cell>
          <cell r="D91" t="str">
            <v>4121590</v>
          </cell>
          <cell r="E91" t="str">
            <v>Palmardelvalleph@gmail.com</v>
          </cell>
          <cell r="F91" t="str">
            <v>DG 75 B 32 A 196</v>
          </cell>
          <cell r="G91" t="str">
            <v>05001</v>
          </cell>
        </row>
        <row r="92">
          <cell r="A92" t="str">
            <v>900129644</v>
          </cell>
          <cell r="B92" t="str">
            <v>3</v>
          </cell>
          <cell r="C92" t="str">
            <v>EDIFICIO HABITAT PH</v>
          </cell>
          <cell r="D92" t="str">
            <v>4162746</v>
          </cell>
          <cell r="E92" t="str">
            <v>yohannacorrea@hotmail.com</v>
          </cell>
          <cell r="F92" t="str">
            <v>CARRERA 47 D  86 D  25</v>
          </cell>
          <cell r="G92" t="str">
            <v>05001</v>
          </cell>
        </row>
        <row r="93">
          <cell r="A93" t="str">
            <v>900136268</v>
          </cell>
          <cell r="B93" t="str">
            <v>6</v>
          </cell>
          <cell r="C93" t="str">
            <v>EDIFICIO TASSO-PH</v>
          </cell>
          <cell r="D93" t="str">
            <v>3142417</v>
          </cell>
          <cell r="E93" t="str">
            <v>edificiotasso@hotmail.com</v>
          </cell>
          <cell r="F93" t="str">
            <v>CARRERA 39  13 A SUR  55</v>
          </cell>
          <cell r="G93" t="str">
            <v>05001</v>
          </cell>
        </row>
        <row r="94">
          <cell r="A94" t="str">
            <v>900147167</v>
          </cell>
          <cell r="B94" t="str">
            <v>8</v>
          </cell>
          <cell r="C94" t="str">
            <v>EDIFICIO UMBRALES DE BOSTON P-H</v>
          </cell>
          <cell r="D94" t="str">
            <v>5575921</v>
          </cell>
          <cell r="E94" t="str">
            <v>umbralesph@gmail.com</v>
          </cell>
          <cell r="F94" t="str">
            <v>CARRERA 43  57  66</v>
          </cell>
          <cell r="G94" t="str">
            <v>05001</v>
          </cell>
        </row>
        <row r="95">
          <cell r="A95" t="str">
            <v>900155524</v>
          </cell>
          <cell r="B95" t="str">
            <v>8</v>
          </cell>
          <cell r="C95" t="str">
            <v>URBANIZACIÓN BIZET 1 P-H-</v>
          </cell>
          <cell r="D95" t="str">
            <v>3413575</v>
          </cell>
          <cell r="E95" t="str">
            <v>bizet1ph@gmail.com</v>
          </cell>
          <cell r="F95" t="str">
            <v>CALLE 9  72  50</v>
          </cell>
          <cell r="G95" t="str">
            <v>05001</v>
          </cell>
        </row>
        <row r="96">
          <cell r="A96" t="str">
            <v>900159105</v>
          </cell>
          <cell r="B96" t="str">
            <v>3</v>
          </cell>
          <cell r="C96" t="str">
            <v>EDIFICIO LA VITA P.H.</v>
          </cell>
          <cell r="D96" t="str">
            <v>3017857548</v>
          </cell>
          <cell r="E96" t="str">
            <v>edificiolavitaph@outlook.com</v>
          </cell>
          <cell r="F96" t="str">
            <v>CALLE 32 E E  83  20</v>
          </cell>
          <cell r="G96" t="str">
            <v>05001</v>
          </cell>
        </row>
        <row r="97">
          <cell r="A97" t="str">
            <v>900168255</v>
          </cell>
          <cell r="B97" t="str">
            <v>8</v>
          </cell>
          <cell r="C97" t="str">
            <v>EDIFICIO SAN LUIS P.H.</v>
          </cell>
          <cell r="D97" t="str">
            <v>3045811203</v>
          </cell>
          <cell r="E97" t="str">
            <v>esanluisph@gmail.com</v>
          </cell>
          <cell r="F97" t="str">
            <v>CALLE 59  42  26</v>
          </cell>
          <cell r="G97" t="str">
            <v>05001</v>
          </cell>
        </row>
        <row r="98">
          <cell r="A98" t="str">
            <v>900173376</v>
          </cell>
          <cell r="B98" t="str">
            <v>0</v>
          </cell>
          <cell r="C98" t="str">
            <v>EDIFICIO GAUSS P.H.</v>
          </cell>
          <cell r="D98" t="str">
            <v>4483149</v>
          </cell>
          <cell r="E98" t="str">
            <v>compras@abelardoyepes.com</v>
          </cell>
          <cell r="F98" t="str">
            <v>CARRERA 38  11  56</v>
          </cell>
          <cell r="G98" t="str">
            <v>05001</v>
          </cell>
        </row>
        <row r="99">
          <cell r="A99" t="str">
            <v>900176201</v>
          </cell>
          <cell r="B99" t="str">
            <v>4</v>
          </cell>
          <cell r="C99" t="str">
            <v>EDIFICIO BALCONES DE SANTIAGO P-H.</v>
          </cell>
          <cell r="D99" t="str">
            <v>3514132</v>
          </cell>
          <cell r="E99" t="str">
            <v>edificiobalconesdesantiago@gmail.com</v>
          </cell>
          <cell r="F99" t="str">
            <v>CARRERA 66  35  04</v>
          </cell>
          <cell r="G99" t="str">
            <v>05001</v>
          </cell>
        </row>
        <row r="100">
          <cell r="A100" t="str">
            <v>900182071</v>
          </cell>
          <cell r="B100" t="str">
            <v>8</v>
          </cell>
          <cell r="C100" t="str">
            <v>EDIFICIO CRACOVIA P H</v>
          </cell>
          <cell r="D100" t="str">
            <v>4122112</v>
          </cell>
          <cell r="E100" t="str">
            <v>Eyspatricia@gmail.com</v>
          </cell>
          <cell r="F100" t="str">
            <v>CALLE 38 B  79  18</v>
          </cell>
          <cell r="G100" t="str">
            <v>05001</v>
          </cell>
        </row>
        <row r="101">
          <cell r="A101" t="str">
            <v>900190554</v>
          </cell>
          <cell r="B101" t="str">
            <v>7</v>
          </cell>
          <cell r="C101" t="str">
            <v>GRUPO HOTELERO Y TURISTICO AMBAR S.A.</v>
          </cell>
          <cell r="D101" t="str">
            <v>4443338</v>
          </cell>
          <cell r="E101" t="str">
            <v>administracion@trypmedellin.com</v>
          </cell>
          <cell r="F101" t="str">
            <v>CALLE 50  70  108</v>
          </cell>
          <cell r="G101" t="str">
            <v>05001</v>
          </cell>
        </row>
        <row r="102">
          <cell r="A102" t="str">
            <v>900192251</v>
          </cell>
          <cell r="B102" t="str">
            <v>1</v>
          </cell>
          <cell r="C102" t="str">
            <v>EDIFICIO TORRE SANTANA P-H</v>
          </cell>
          <cell r="D102" t="str">
            <v>3006160086</v>
          </cell>
          <cell r="E102" t="str">
            <v>gvelez13@gmail.com</v>
          </cell>
          <cell r="F102" t="str">
            <v>CIRCULAR 4  66 B  34</v>
          </cell>
          <cell r="G102" t="str">
            <v>05001</v>
          </cell>
        </row>
        <row r="103">
          <cell r="A103" t="str">
            <v>900194825</v>
          </cell>
          <cell r="B103" t="str">
            <v>6</v>
          </cell>
          <cell r="C103" t="str">
            <v>EDIFICIO CYAN P.H.</v>
          </cell>
          <cell r="D103" t="str">
            <v>4480228</v>
          </cell>
          <cell r="E103" t="str">
            <v>cyanphmedellin@hotmail.com</v>
          </cell>
          <cell r="F103" t="str">
            <v>CARRERA 29 C  10 C  100</v>
          </cell>
          <cell r="G103" t="str">
            <v>05001</v>
          </cell>
        </row>
        <row r="104">
          <cell r="A104" t="str">
            <v>900199314</v>
          </cell>
          <cell r="B104" t="str">
            <v>7</v>
          </cell>
          <cell r="C104" t="str">
            <v>EDIFICIO SAN PEDRO Y SAN PABLO P.H</v>
          </cell>
          <cell r="D104" t="str">
            <v>4444784</v>
          </cell>
          <cell r="E104" t="str">
            <v>admonfranco@hotmail.com</v>
          </cell>
          <cell r="F104" t="str">
            <v>CARRERA 77 C  49  39</v>
          </cell>
          <cell r="G104" t="str">
            <v>05001</v>
          </cell>
        </row>
        <row r="105">
          <cell r="A105" t="str">
            <v>900202026</v>
          </cell>
          <cell r="B105" t="str">
            <v>3</v>
          </cell>
          <cell r="C105" t="str">
            <v>EDIFICIO OFICENTRO ASTORGA P.H</v>
          </cell>
          <cell r="D105" t="str">
            <v>4443219</v>
          </cell>
          <cell r="E105" t="str">
            <v>oficentroastorgaph@gmail.com</v>
          </cell>
          <cell r="F105" t="str">
            <v>CALLE 6  43 C  12</v>
          </cell>
          <cell r="G105" t="str">
            <v>05001</v>
          </cell>
        </row>
        <row r="106">
          <cell r="A106" t="str">
            <v>900210705</v>
          </cell>
          <cell r="B106" t="str">
            <v>1</v>
          </cell>
          <cell r="C106" t="str">
            <v>EDIFICIO TORRE CONQUISTADORES P.H.</v>
          </cell>
          <cell r="D106" t="str">
            <v>3157464127</v>
          </cell>
          <cell r="E106" t="str">
            <v>edtorreconquistadores.ph@gmail.com</v>
          </cell>
          <cell r="F106" t="str">
            <v>CALLE 35 A  66 A  76</v>
          </cell>
          <cell r="G106" t="str">
            <v>05001</v>
          </cell>
        </row>
        <row r="107">
          <cell r="A107" t="str">
            <v>900212048</v>
          </cell>
          <cell r="B107" t="str">
            <v>8</v>
          </cell>
          <cell r="C107" t="str">
            <v>EDIFICIO H2M P.H</v>
          </cell>
          <cell r="D107" t="str">
            <v>3127450097</v>
          </cell>
          <cell r="E107" t="str">
            <v>edificioh2m@gmail.com</v>
          </cell>
          <cell r="F107" t="str">
            <v>TRANSVERSAL 32 D  74 C  26</v>
          </cell>
          <cell r="G107" t="str">
            <v>05001</v>
          </cell>
        </row>
        <row r="108">
          <cell r="A108" t="str">
            <v>900217859</v>
          </cell>
          <cell r="B108" t="str">
            <v>7</v>
          </cell>
          <cell r="C108" t="str">
            <v>CONDOMINIO PIE DEL CERRO PH.</v>
          </cell>
          <cell r="D108" t="str">
            <v>2356044</v>
          </cell>
          <cell r="E108" t="str">
            <v>admonpiedelcerro@gmail.com</v>
          </cell>
          <cell r="F108" t="str">
            <v>CARRERA 63  32 E  39</v>
          </cell>
          <cell r="G108" t="str">
            <v>05001</v>
          </cell>
        </row>
        <row r="109">
          <cell r="A109" t="str">
            <v>900223322</v>
          </cell>
          <cell r="B109" t="str">
            <v>9</v>
          </cell>
          <cell r="C109" t="str">
            <v>EDIFICIO SAN JOAQUINES P.H.</v>
          </cell>
          <cell r="D109" t="str">
            <v>4341109</v>
          </cell>
          <cell r="E109" t="str">
            <v>edisanjoaquin2021@gmail.com</v>
          </cell>
          <cell r="F109" t="str">
            <v>CARRERA 3  68  27</v>
          </cell>
          <cell r="G109" t="str">
            <v>05001</v>
          </cell>
        </row>
        <row r="110">
          <cell r="A110" t="str">
            <v>900223605</v>
          </cell>
          <cell r="B110" t="str">
            <v>8</v>
          </cell>
          <cell r="C110" t="str">
            <v>EDIFICIO BARILOCHE PH.</v>
          </cell>
          <cell r="D110" t="str">
            <v>2630619</v>
          </cell>
          <cell r="E110" t="str">
            <v>victorvega7@hotmail.com</v>
          </cell>
          <cell r="F110" t="str">
            <v>CARRERA 87  44  38</v>
          </cell>
          <cell r="G110" t="str">
            <v>05001</v>
          </cell>
        </row>
        <row r="111">
          <cell r="A111" t="str">
            <v>900224237</v>
          </cell>
          <cell r="B111" t="str">
            <v>5</v>
          </cell>
          <cell r="C111" t="str">
            <v>EDIFICIO LOS ALMENDROS P.H</v>
          </cell>
          <cell r="D111" t="str">
            <v>3343810</v>
          </cell>
          <cell r="E111" t="str">
            <v>albalaver@gmail.com</v>
          </cell>
          <cell r="F111" t="str">
            <v>CALLE 32 B SUR  47  51</v>
          </cell>
          <cell r="G111" t="str">
            <v>05001</v>
          </cell>
        </row>
        <row r="112">
          <cell r="A112" t="str">
            <v>900226186</v>
          </cell>
          <cell r="B112" t="str">
            <v>7</v>
          </cell>
          <cell r="C112" t="str">
            <v>URBANIZACION BIZET 2 - P.H</v>
          </cell>
          <cell r="D112" t="str">
            <v>3413575</v>
          </cell>
          <cell r="E112" t="str">
            <v>urbanizacionbizet2@hotmail.com</v>
          </cell>
          <cell r="F112" t="str">
            <v>CALLE 73  9  50</v>
          </cell>
          <cell r="G112" t="str">
            <v>05001</v>
          </cell>
        </row>
        <row r="113">
          <cell r="A113" t="str">
            <v>900231624</v>
          </cell>
          <cell r="B113" t="str">
            <v>1</v>
          </cell>
          <cell r="C113" t="str">
            <v>EDIFICIO BERNALEJAS PH.</v>
          </cell>
          <cell r="D113" t="str">
            <v>3023395648</v>
          </cell>
          <cell r="E113" t="str">
            <v>garciapraezadmon@hotmail.com</v>
          </cell>
          <cell r="F113" t="str">
            <v>CALLE 15  80  161</v>
          </cell>
          <cell r="G113" t="str">
            <v>05001</v>
          </cell>
        </row>
        <row r="114">
          <cell r="A114" t="str">
            <v>900232327</v>
          </cell>
          <cell r="B114" t="str">
            <v>3</v>
          </cell>
          <cell r="C114" t="str">
            <v>HANNOVER TORRE DE APARTAMENTOS PH.</v>
          </cell>
          <cell r="D114" t="str">
            <v>3108916385</v>
          </cell>
          <cell r="E114" t="str">
            <v>bjgerenciaph@hotmail.com</v>
          </cell>
          <cell r="F114" t="str">
            <v>CARRERA 4  73  31</v>
          </cell>
          <cell r="G114" t="str">
            <v>05001</v>
          </cell>
        </row>
        <row r="115">
          <cell r="A115" t="str">
            <v>900238900</v>
          </cell>
          <cell r="B115" t="str">
            <v>1</v>
          </cell>
          <cell r="C115" t="str">
            <v>EDIFICIO PORTUGAL P.H.</v>
          </cell>
          <cell r="D115" t="str">
            <v>3215469</v>
          </cell>
          <cell r="E115" t="str">
            <v>edificioportugalph@gmail.com</v>
          </cell>
          <cell r="F115" t="str">
            <v>CARRERA 48  17 A SUR  47</v>
          </cell>
          <cell r="G115" t="str">
            <v>05001</v>
          </cell>
        </row>
        <row r="116">
          <cell r="A116" t="str">
            <v>900239840</v>
          </cell>
          <cell r="B116" t="str">
            <v>2</v>
          </cell>
          <cell r="C116" t="str">
            <v>EDIFICIO BALCONES DE VENECIA II - P.H</v>
          </cell>
          <cell r="D116" t="str">
            <v>3127609265</v>
          </cell>
          <cell r="E116" t="str">
            <v>nidiadegomez@hotmail.com</v>
          </cell>
          <cell r="F116" t="str">
            <v>CALLE 38  77  19</v>
          </cell>
          <cell r="G116" t="str">
            <v>05001</v>
          </cell>
        </row>
        <row r="117">
          <cell r="A117" t="str">
            <v>900240225</v>
          </cell>
          <cell r="B117" t="str">
            <v>4</v>
          </cell>
          <cell r="C117" t="str">
            <v>EDIFICIO "TAO" P.H.</v>
          </cell>
          <cell r="D117" t="str">
            <v>3128512931</v>
          </cell>
          <cell r="E117" t="str">
            <v>admonedificiotao@gmail.com</v>
          </cell>
          <cell r="F117" t="str">
            <v>TRANSVERSAL 39  79  51</v>
          </cell>
          <cell r="G117" t="str">
            <v>05001</v>
          </cell>
        </row>
        <row r="118">
          <cell r="A118" t="str">
            <v>900254749</v>
          </cell>
          <cell r="B118" t="str">
            <v>2</v>
          </cell>
          <cell r="C118" t="str">
            <v>CEFIRO S.A.S.</v>
          </cell>
          <cell r="D118" t="str">
            <v>3146186839</v>
          </cell>
          <cell r="E118" t="str">
            <v>900254749@recepciondefacturas.co</v>
          </cell>
          <cell r="F118" t="str">
            <v>CARRERA 48  25 A SUR  70 OFICINA 504</v>
          </cell>
          <cell r="G118" t="str">
            <v>05001</v>
          </cell>
        </row>
        <row r="119">
          <cell r="A119" t="str">
            <v>900257823</v>
          </cell>
          <cell r="B119" t="str">
            <v>3</v>
          </cell>
          <cell r="C119" t="str">
            <v>URBANIZACION VITENZA P.H.</v>
          </cell>
          <cell r="D119" t="str">
            <v>3012088341</v>
          </cell>
          <cell r="E119" t="str">
            <v>admonvitenza@gmail.com</v>
          </cell>
          <cell r="F119" t="str">
            <v>CALLE 5 SUR  76  150</v>
          </cell>
          <cell r="G119" t="str">
            <v>05001</v>
          </cell>
        </row>
        <row r="120">
          <cell r="A120" t="str">
            <v>900258936</v>
          </cell>
          <cell r="B120" t="str">
            <v>1</v>
          </cell>
          <cell r="C120" t="str">
            <v>EDIFICIO TORRE LAURELES P.H.</v>
          </cell>
          <cell r="D120" t="str">
            <v>2630619</v>
          </cell>
          <cell r="E120" t="str">
            <v>victorvega7@hotmail.com</v>
          </cell>
          <cell r="F120" t="str">
            <v>CALLE 83  41 A  14</v>
          </cell>
          <cell r="G120" t="str">
            <v>05001</v>
          </cell>
        </row>
        <row r="121">
          <cell r="A121" t="str">
            <v>900259520</v>
          </cell>
          <cell r="B121" t="str">
            <v>6</v>
          </cell>
          <cell r="C121" t="str">
            <v>EDIFICIO ZAFIRO P.H.</v>
          </cell>
          <cell r="D121">
            <v>3219664011</v>
          </cell>
          <cell r="E121" t="str">
            <v>edzafiroph@gmail.com</v>
          </cell>
          <cell r="F121" t="str">
            <v>CALLE 39  66 A  70</v>
          </cell>
          <cell r="G121" t="str">
            <v>05001</v>
          </cell>
        </row>
        <row r="122">
          <cell r="A122" t="str">
            <v>900262189</v>
          </cell>
          <cell r="B122" t="str">
            <v>1</v>
          </cell>
          <cell r="C122" t="str">
            <v>CASTELLAR S.A</v>
          </cell>
          <cell r="D122" t="str">
            <v>4302030</v>
          </cell>
          <cell r="E122" t="str">
            <v>900262189@factureinbox.co</v>
          </cell>
          <cell r="F122" t="str">
            <v>CALLE 44 A  70  22</v>
          </cell>
          <cell r="G122" t="str">
            <v>05001</v>
          </cell>
        </row>
        <row r="123">
          <cell r="A123" t="str">
            <v>900263320</v>
          </cell>
          <cell r="B123" t="str">
            <v>5</v>
          </cell>
          <cell r="C123" t="str">
            <v>EDIFICIO TORRE TISCALI PH</v>
          </cell>
          <cell r="D123" t="str">
            <v>3007772749</v>
          </cell>
          <cell r="E123" t="str">
            <v>alejovm86@hotmail.com</v>
          </cell>
          <cell r="F123" t="str">
            <v>CARRERA 74  41  46</v>
          </cell>
          <cell r="G123" t="str">
            <v>05001</v>
          </cell>
        </row>
        <row r="124">
          <cell r="A124" t="str">
            <v>900267487</v>
          </cell>
          <cell r="B124" t="str">
            <v>4</v>
          </cell>
          <cell r="C124" t="str">
            <v>EDIFICIO COMPOSTELA P.H.</v>
          </cell>
          <cell r="D124">
            <v>3219664011</v>
          </cell>
          <cell r="E124" t="str">
            <v>facturacion@estiloingenieria.com</v>
          </cell>
          <cell r="F124" t="str">
            <v>CARRERA 77  38  64</v>
          </cell>
          <cell r="G124" t="str">
            <v>05001</v>
          </cell>
        </row>
        <row r="125">
          <cell r="A125" t="str">
            <v>900269834</v>
          </cell>
          <cell r="B125" t="str">
            <v>6</v>
          </cell>
          <cell r="C125" t="str">
            <v>EDIFICIO TORRE JORDAN - P.H.</v>
          </cell>
          <cell r="D125" t="str">
            <v>4912484</v>
          </cell>
          <cell r="E125" t="str">
            <v>directora@itacaadministraciones.com</v>
          </cell>
          <cell r="F125" t="str">
            <v>CALLE 65  80 A  28</v>
          </cell>
          <cell r="G125" t="str">
            <v>05001</v>
          </cell>
        </row>
        <row r="126">
          <cell r="A126" t="str">
            <v>900270800</v>
          </cell>
          <cell r="B126" t="str">
            <v>8</v>
          </cell>
          <cell r="C126" t="str">
            <v>SANTELMO DE LA AMERICA - P.H</v>
          </cell>
          <cell r="D126" t="str">
            <v>4926781</v>
          </cell>
          <cell r="E126" t="str">
            <v>santelmodelaamerica@gmail.com</v>
          </cell>
          <cell r="F126" t="str">
            <v>CALLE 40  88  65</v>
          </cell>
          <cell r="G126" t="str">
            <v>05001</v>
          </cell>
        </row>
        <row r="127">
          <cell r="A127" t="str">
            <v>900275599</v>
          </cell>
          <cell r="B127" t="str">
            <v>4</v>
          </cell>
          <cell r="C127" t="str">
            <v>EDIFICIO BARLOVENTO PH</v>
          </cell>
          <cell r="D127" t="str">
            <v>4442420</v>
          </cell>
          <cell r="E127" t="str">
            <v>facturacion@estiloingenieria.com</v>
          </cell>
          <cell r="F127" t="str">
            <v>CARRERA 2  66 B  125</v>
          </cell>
          <cell r="G127" t="str">
            <v>05001</v>
          </cell>
        </row>
        <row r="128">
          <cell r="A128" t="str">
            <v>900276706</v>
          </cell>
          <cell r="B128" t="str">
            <v>0</v>
          </cell>
          <cell r="C128" t="str">
            <v>EDIFICIO H2O APARTAMENTOS - P.H.</v>
          </cell>
          <cell r="D128" t="str">
            <v>3127343394</v>
          </cell>
          <cell r="E128" t="str">
            <v>isabelcanoph@gmail.com</v>
          </cell>
          <cell r="F128" t="str">
            <v>CALLE 33 A  71  59</v>
          </cell>
          <cell r="G128" t="str">
            <v>05001</v>
          </cell>
        </row>
        <row r="129">
          <cell r="A129" t="str">
            <v>900281982</v>
          </cell>
          <cell r="B129" t="str">
            <v>7</v>
          </cell>
          <cell r="C129" t="str">
            <v>PORTOVELHO DE LOS COLORES P.H.</v>
          </cell>
          <cell r="D129" t="str">
            <v>4362126</v>
          </cell>
          <cell r="E129" t="str">
            <v>portovelhodeloscolores@gmail.com</v>
          </cell>
          <cell r="F129" t="str">
            <v>CALLE 52  71  60</v>
          </cell>
          <cell r="G129" t="str">
            <v>05001</v>
          </cell>
        </row>
        <row r="130">
          <cell r="A130" t="str">
            <v>900282855</v>
          </cell>
          <cell r="B130" t="str">
            <v>4</v>
          </cell>
          <cell r="C130" t="str">
            <v>EDIFICIO MADISON P.H.</v>
          </cell>
          <cell r="D130" t="str">
            <v>4363707</v>
          </cell>
          <cell r="E130" t="str">
            <v>asistente.curbe@gmail.com</v>
          </cell>
          <cell r="F130" t="str">
            <v>CARRERA 77  39  60</v>
          </cell>
          <cell r="G130" t="str">
            <v>05001</v>
          </cell>
        </row>
        <row r="131">
          <cell r="A131" t="str">
            <v>900284020</v>
          </cell>
          <cell r="B131" t="str">
            <v>0</v>
          </cell>
          <cell r="C131" t="str">
            <v>SEBASTIAN DE LOS PARQUES P.H</v>
          </cell>
          <cell r="D131" t="str">
            <v>2514048</v>
          </cell>
          <cell r="E131" t="str">
            <v>contabilidad@consultoriasempresariales.co</v>
          </cell>
          <cell r="F131" t="str">
            <v>CALLE 35  66 A  27</v>
          </cell>
          <cell r="G131" t="str">
            <v>05001</v>
          </cell>
        </row>
        <row r="132">
          <cell r="A132" t="str">
            <v>900284674</v>
          </cell>
          <cell r="B132" t="str">
            <v>7</v>
          </cell>
          <cell r="C132" t="str">
            <v>EDIFICIO BALI PH</v>
          </cell>
          <cell r="D132" t="str">
            <v>3008096749</v>
          </cell>
          <cell r="E132" t="str">
            <v>edificiobaliph@gmail.com</v>
          </cell>
          <cell r="F132" t="str">
            <v>CALLE 55  77 C  100</v>
          </cell>
          <cell r="G132" t="str">
            <v>05001</v>
          </cell>
        </row>
        <row r="133">
          <cell r="A133" t="str">
            <v>900296454</v>
          </cell>
          <cell r="B133" t="str">
            <v>5</v>
          </cell>
          <cell r="C133" t="str">
            <v>LA URBANIZACION AGUA DULCE P.H</v>
          </cell>
          <cell r="D133" t="str">
            <v>6010428</v>
          </cell>
          <cell r="E133" t="str">
            <v>admonaguadulce1@gmail.com</v>
          </cell>
          <cell r="F133" t="str">
            <v>CALLE 46 D SUR  42 D  80</v>
          </cell>
          <cell r="G133" t="str">
            <v>05001</v>
          </cell>
        </row>
        <row r="134">
          <cell r="A134" t="str">
            <v>900298579</v>
          </cell>
          <cell r="B134" t="str">
            <v>6</v>
          </cell>
          <cell r="C134" t="str">
            <v>EDIFICIO MIRADOR DEL VALLE P.H.</v>
          </cell>
          <cell r="D134" t="str">
            <v>2567678</v>
          </cell>
          <cell r="E134" t="str">
            <v>admonmiradordelvalle@hotmail.com</v>
          </cell>
          <cell r="F134" t="str">
            <v>CARRERA 78  32  71</v>
          </cell>
          <cell r="G134" t="str">
            <v>05001</v>
          </cell>
        </row>
        <row r="135">
          <cell r="A135" t="str">
            <v>900301471</v>
          </cell>
          <cell r="B135" t="str">
            <v>2</v>
          </cell>
          <cell r="C135" t="str">
            <v>EDIFICIO LINAR DE LAURELES - P.H.</v>
          </cell>
          <cell r="D135" t="str">
            <v>3006869249</v>
          </cell>
          <cell r="E135" t="str">
            <v>edificiolinardelaurelesph@hotmail.com</v>
          </cell>
          <cell r="F135" t="str">
            <v>TANSVERSAL 34  72  146</v>
          </cell>
          <cell r="G135" t="str">
            <v>05001</v>
          </cell>
        </row>
        <row r="136">
          <cell r="A136" t="str">
            <v>900303331</v>
          </cell>
          <cell r="B136" t="str">
            <v>9</v>
          </cell>
          <cell r="C136" t="str">
            <v>CONJUNTO RESIDENCIAL TORRES DE LA GIRALDA P.H</v>
          </cell>
          <cell r="D136" t="str">
            <v>3328506</v>
          </cell>
          <cell r="E136" t="str">
            <v>torresdelagiralda1@gmail.com</v>
          </cell>
          <cell r="F136" t="str">
            <v>CALLE 48  39  57</v>
          </cell>
          <cell r="G136" t="str">
            <v>05001</v>
          </cell>
        </row>
        <row r="137">
          <cell r="A137" t="str">
            <v>900303560</v>
          </cell>
          <cell r="B137" t="str">
            <v>9</v>
          </cell>
          <cell r="C137" t="str">
            <v>EDIFICIO TORRE SANTA TERESITA -P.H.-</v>
          </cell>
          <cell r="D137" t="str">
            <v>3108359365</v>
          </cell>
          <cell r="E137" t="str">
            <v>ruedaseguro@gmail.com</v>
          </cell>
          <cell r="F137" t="str">
            <v>CARRERA 78  34 A  80</v>
          </cell>
          <cell r="G137" t="str">
            <v>05001</v>
          </cell>
        </row>
        <row r="138">
          <cell r="A138" t="str">
            <v>900307389</v>
          </cell>
          <cell r="B138" t="str">
            <v>3</v>
          </cell>
          <cell r="C138" t="str">
            <v>CONJUNTO RESIDENCIAL URBANIZACION PARQUE DE LOS BERNAL P.H</v>
          </cell>
          <cell r="D138" t="str">
            <v>3123524485</v>
          </cell>
          <cell r="E138" t="str">
            <v>info@parquedelosbernal.com</v>
          </cell>
          <cell r="F138" t="str">
            <v>CARRERA 84 B  7  95</v>
          </cell>
          <cell r="G138" t="str">
            <v>05001</v>
          </cell>
        </row>
        <row r="139">
          <cell r="A139" t="str">
            <v>900312558</v>
          </cell>
          <cell r="B139" t="str">
            <v>1</v>
          </cell>
          <cell r="C139" t="str">
            <v>EDIFICIO DE BODEGAS BOX PH</v>
          </cell>
          <cell r="D139" t="str">
            <v>3620096</v>
          </cell>
          <cell r="E139" t="str">
            <v>admonph.rm@gmail.com</v>
          </cell>
          <cell r="F139" t="str">
            <v>CARRERA 52  6 SUR  182</v>
          </cell>
          <cell r="G139" t="str">
            <v>05001</v>
          </cell>
        </row>
        <row r="140">
          <cell r="A140" t="str">
            <v>900324972</v>
          </cell>
          <cell r="B140" t="str">
            <v>1</v>
          </cell>
          <cell r="C140" t="str">
            <v>EDIFICIO TORRE BLANCA PROPIEDAD HORIZONTAL</v>
          </cell>
          <cell r="D140" t="str">
            <v>5735837</v>
          </cell>
          <cell r="E140" t="str">
            <v>edtorreblanca@gmail.com</v>
          </cell>
          <cell r="F140" t="str">
            <v>CARRERA 81  49 A  30</v>
          </cell>
          <cell r="G140" t="str">
            <v>05001</v>
          </cell>
        </row>
        <row r="141">
          <cell r="A141" t="str">
            <v>900327261</v>
          </cell>
          <cell r="B141" t="str">
            <v>5</v>
          </cell>
          <cell r="C141" t="str">
            <v>CONJUNTO DE USO MIXTO TORRES DEL RIO P.H</v>
          </cell>
          <cell r="D141" t="str">
            <v>3187398922</v>
          </cell>
          <cell r="E141" t="str">
            <v>ctorresdelrio@gmail.com</v>
          </cell>
          <cell r="F141" t="str">
            <v>CALLE 19  43 G  155</v>
          </cell>
          <cell r="G141" t="str">
            <v>05001</v>
          </cell>
        </row>
        <row r="142">
          <cell r="A142" t="str">
            <v>900327305</v>
          </cell>
          <cell r="B142" t="str">
            <v>0</v>
          </cell>
          <cell r="C142" t="str">
            <v>EDIFICIO CASCADA DE LAURELES PROPIEDAD HORIZONTAL</v>
          </cell>
          <cell r="D142" t="str">
            <v>3044480893</v>
          </cell>
          <cell r="E142" t="str">
            <v>gloriacpe@hotmail.com</v>
          </cell>
          <cell r="F142" t="str">
            <v>CARRERA 80 A  33  35</v>
          </cell>
          <cell r="G142" t="str">
            <v>05001</v>
          </cell>
        </row>
        <row r="143">
          <cell r="A143" t="str">
            <v>900329574</v>
          </cell>
          <cell r="B143" t="str">
            <v>4</v>
          </cell>
          <cell r="C143" t="str">
            <v>CENTRO COMERCIAL EL PUNTO DE LA ORIENTAL - PROPIEDAD HORIZONTAL</v>
          </cell>
          <cell r="D143" t="str">
            <v>3226200455</v>
          </cell>
          <cell r="E143" t="str">
            <v>gerencia@elpuntodelaoriental.com.co</v>
          </cell>
          <cell r="F143" t="str">
            <v>CARRERA 46  47  66</v>
          </cell>
          <cell r="G143" t="str">
            <v>05001</v>
          </cell>
        </row>
        <row r="144">
          <cell r="A144" t="str">
            <v>900330970</v>
          </cell>
          <cell r="B144" t="str">
            <v>1</v>
          </cell>
          <cell r="C144" t="str">
            <v>URBANIZACIÓN RODEO VERDE- PROPIEDAD HORIZONTAL</v>
          </cell>
          <cell r="D144">
            <v>3219664011</v>
          </cell>
          <cell r="E144" t="str">
            <v>rodeoverde@gmail.com</v>
          </cell>
          <cell r="F144" t="str">
            <v>CALLE 9 B SUR  79 A  101</v>
          </cell>
          <cell r="G144" t="str">
            <v>05001</v>
          </cell>
        </row>
        <row r="145">
          <cell r="A145" t="str">
            <v>900340751</v>
          </cell>
          <cell r="B145" t="str">
            <v>6</v>
          </cell>
          <cell r="C145" t="str">
            <v>EDIFICIO PLAZA CONQUISTADORES PROPIEDAD HORIZONTAL</v>
          </cell>
          <cell r="D145" t="str">
            <v>3207273690</v>
          </cell>
          <cell r="E145" t="str">
            <v>berthacardona@admonph.com</v>
          </cell>
          <cell r="F145" t="str">
            <v>CALLE 42  63  35</v>
          </cell>
          <cell r="G145" t="str">
            <v>05001</v>
          </cell>
        </row>
        <row r="146">
          <cell r="A146" t="str">
            <v>900348706</v>
          </cell>
          <cell r="B146" t="str">
            <v>0</v>
          </cell>
          <cell r="C146" t="str">
            <v>CONJUNTO RESIDENCIAL VIVALTO - PROPIEDAD HORIZONTAL</v>
          </cell>
          <cell r="D146" t="str">
            <v>5861133</v>
          </cell>
          <cell r="E146" t="str">
            <v>admonyserviciosph5@gmail.com</v>
          </cell>
          <cell r="F146" t="str">
            <v>CALLE 5  76 A  201</v>
          </cell>
          <cell r="G146" t="str">
            <v>05001</v>
          </cell>
        </row>
        <row r="147">
          <cell r="A147" t="str">
            <v>900349051</v>
          </cell>
          <cell r="B147" t="str">
            <v>1</v>
          </cell>
          <cell r="C147" t="str">
            <v>EDIFICIO LIFE PROPIEDAD HORIZONTAL</v>
          </cell>
          <cell r="D147" t="str">
            <v>312 610 72 55</v>
          </cell>
          <cell r="E147" t="str">
            <v>carlosqueve@hotmail.com</v>
          </cell>
          <cell r="F147" t="str">
            <v>CALLE 6 No. 25-95</v>
          </cell>
          <cell r="G147" t="str">
            <v>05001</v>
          </cell>
        </row>
        <row r="148">
          <cell r="A148" t="str">
            <v>900349596</v>
          </cell>
          <cell r="B148" t="str">
            <v>1</v>
          </cell>
          <cell r="C148" t="str">
            <v>CONJUNTO DE USO MIXTO URBANIZACION JARDIN DE COLORES PH</v>
          </cell>
          <cell r="D148" t="str">
            <v>5898367</v>
          </cell>
          <cell r="E148" t="str">
            <v>jardindecoloresph@gmail.com</v>
          </cell>
          <cell r="F148" t="str">
            <v>CARRERA 76  53  35</v>
          </cell>
          <cell r="G148" t="str">
            <v>05001</v>
          </cell>
        </row>
        <row r="149">
          <cell r="A149" t="str">
            <v>900354029</v>
          </cell>
          <cell r="B149" t="str">
            <v>7</v>
          </cell>
          <cell r="C149" t="str">
            <v>EDIFICIO GRAN PORTON PROPIEDAD HORIZONTAL</v>
          </cell>
          <cell r="D149" t="str">
            <v>3335100</v>
          </cell>
          <cell r="E149" t="str">
            <v>e.t.i.c.a@hotmail.com</v>
          </cell>
          <cell r="F149" t="str">
            <v>CALLE 18 B SUR  36  120</v>
          </cell>
          <cell r="G149" t="str">
            <v>05001</v>
          </cell>
        </row>
        <row r="150">
          <cell r="A150" t="str">
            <v>900356018</v>
          </cell>
          <cell r="B150" t="str">
            <v>5</v>
          </cell>
          <cell r="C150" t="str">
            <v>EDIFICIO MONTREAL P.H</v>
          </cell>
          <cell r="D150" t="str">
            <v>5577189</v>
          </cell>
          <cell r="E150" t="str">
            <v>edificiomontreal.z@hotmail.com</v>
          </cell>
          <cell r="F150" t="str">
            <v>CARRERA 47  20 SUR  84</v>
          </cell>
          <cell r="G150" t="str">
            <v>05001</v>
          </cell>
        </row>
        <row r="151">
          <cell r="A151" t="str">
            <v>900361412</v>
          </cell>
          <cell r="B151" t="str">
            <v>4</v>
          </cell>
          <cell r="C151" t="str">
            <v>CONDOMINIO TURQUESA P.H.</v>
          </cell>
          <cell r="D151" t="str">
            <v>4449624</v>
          </cell>
          <cell r="E151" t="str">
            <v>facturacion@giraldociro.co</v>
          </cell>
          <cell r="F151" t="str">
            <v>CARRERA 73 B  75  190</v>
          </cell>
          <cell r="G151" t="str">
            <v>05001</v>
          </cell>
        </row>
        <row r="152">
          <cell r="A152" t="str">
            <v>900372276</v>
          </cell>
          <cell r="B152" t="str">
            <v>6</v>
          </cell>
          <cell r="C152" t="str">
            <v>GENESIS IMPORTADORA Y COMERCIALIZADORA SAS</v>
          </cell>
          <cell r="D152" t="str">
            <v>3200840</v>
          </cell>
          <cell r="E152" t="str">
            <v>contabilidad@genesisbelleza.com</v>
          </cell>
          <cell r="F152" t="str">
            <v>CR 56 CL 46 49 IN 1303</v>
          </cell>
          <cell r="G152" t="str">
            <v>05001</v>
          </cell>
        </row>
        <row r="153">
          <cell r="A153" t="str">
            <v>900378359</v>
          </cell>
          <cell r="B153" t="str">
            <v>6</v>
          </cell>
          <cell r="C153" t="str">
            <v>EDIFICIO CURITIVA APARTAMENTOS - PROPIEDAD HORIZONTAL</v>
          </cell>
          <cell r="D153" t="str">
            <v>3147738633</v>
          </cell>
          <cell r="E153" t="str">
            <v>edificiocuritiva@gmail.com</v>
          </cell>
          <cell r="F153" t="str">
            <v>CARRERA 66 A  36  15</v>
          </cell>
          <cell r="G153" t="str">
            <v>05001</v>
          </cell>
        </row>
        <row r="154">
          <cell r="A154" t="str">
            <v>900381547</v>
          </cell>
          <cell r="B154" t="str">
            <v>5</v>
          </cell>
          <cell r="C154" t="str">
            <v>BODEGAS AMÉRICA DE ANTIOQUIA S.A.S.</v>
          </cell>
          <cell r="D154" t="str">
            <v>3174242424</v>
          </cell>
          <cell r="E154" t="str">
            <v>medellin@bodegasamerica.com</v>
          </cell>
          <cell r="F154" t="str">
            <v>CALLE 10 N  58  24</v>
          </cell>
          <cell r="G154" t="str">
            <v>05001</v>
          </cell>
        </row>
        <row r="155">
          <cell r="A155" t="str">
            <v>900385483</v>
          </cell>
          <cell r="B155" t="str">
            <v>0</v>
          </cell>
          <cell r="C155" t="str">
            <v>EDIFICIO ZEN APARTAMENTOS PROPIEDAD HORIZONTAL</v>
          </cell>
          <cell r="D155" t="str">
            <v>3212201</v>
          </cell>
          <cell r="E155" t="str">
            <v>proveedores@next-one.com.co</v>
          </cell>
          <cell r="F155" t="str">
            <v>CALLE 17 C SUR  44  38</v>
          </cell>
          <cell r="G155" t="str">
            <v>05001</v>
          </cell>
        </row>
        <row r="156">
          <cell r="A156" t="str">
            <v>900388029</v>
          </cell>
          <cell r="B156" t="str">
            <v>3</v>
          </cell>
          <cell r="C156" t="str">
            <v>BLOCK CENTRO EMPRESARIAL- PROPIEDAD HORIZONTAL</v>
          </cell>
          <cell r="D156" t="str">
            <v>3174393384</v>
          </cell>
          <cell r="E156" t="str">
            <v>administracion@blockcentroempresarial.com</v>
          </cell>
          <cell r="F156" t="str">
            <v>CARRERA 43 A  19  17</v>
          </cell>
          <cell r="G156" t="str">
            <v>05001</v>
          </cell>
        </row>
        <row r="157">
          <cell r="A157" t="str">
            <v>900392211</v>
          </cell>
          <cell r="B157" t="str">
            <v>3</v>
          </cell>
          <cell r="C157" t="str">
            <v>CAFE DE SANTA BARBARA S.A.S.</v>
          </cell>
          <cell r="D157">
            <v>3219664011</v>
          </cell>
          <cell r="E157" t="str">
            <v>facturas@pergamino.co</v>
          </cell>
          <cell r="F157" t="str">
            <v>CL 17 43 F 235</v>
          </cell>
          <cell r="G157" t="str">
            <v>05001</v>
          </cell>
        </row>
        <row r="158">
          <cell r="A158" t="str">
            <v>900401190</v>
          </cell>
          <cell r="B158" t="str">
            <v>7</v>
          </cell>
          <cell r="C158" t="str">
            <v>EDIFICIO ALPES PLAZA PROPIEDAD HORIZONTAL</v>
          </cell>
          <cell r="D158" t="str">
            <v>3172183456</v>
          </cell>
          <cell r="E158" t="str">
            <v>alpesplaza.ph@gmail.com</v>
          </cell>
          <cell r="F158" t="str">
            <v>CL 30 A 83 25</v>
          </cell>
          <cell r="G158" t="str">
            <v>05001</v>
          </cell>
        </row>
        <row r="159">
          <cell r="A159" t="str">
            <v>900402510</v>
          </cell>
          <cell r="B159" t="str">
            <v>5</v>
          </cell>
          <cell r="C159" t="str">
            <v>EDIFICIO CONQUISTADORES DEL RIO P.H.</v>
          </cell>
          <cell r="D159" t="str">
            <v>3127316823</v>
          </cell>
          <cell r="E159" t="str">
            <v>aarangoa7431@gmail.com</v>
          </cell>
          <cell r="F159" t="str">
            <v>CARRERA 63 C  42 B  27</v>
          </cell>
          <cell r="G159" t="str">
            <v>05001</v>
          </cell>
        </row>
        <row r="160">
          <cell r="A160" t="str">
            <v>900404987</v>
          </cell>
          <cell r="B160" t="str">
            <v>3</v>
          </cell>
          <cell r="C160" t="str">
            <v>ABELARDOYEPES S.A.S.</v>
          </cell>
          <cell r="D160" t="str">
            <v>3 1 0 3 9 8 3 5 5 4</v>
          </cell>
          <cell r="E160" t="str">
            <v>compras@abelardoyepes.com</v>
          </cell>
          <cell r="F160" t="str">
            <v>CL 33 A 81 81</v>
          </cell>
          <cell r="G160" t="str">
            <v>05001</v>
          </cell>
        </row>
        <row r="161">
          <cell r="A161" t="str">
            <v>900409145</v>
          </cell>
          <cell r="B161" t="str">
            <v>1</v>
          </cell>
          <cell r="C161" t="str">
            <v>EDIFICIO H23 P.H.</v>
          </cell>
          <cell r="D161" t="str">
            <v>3127343394</v>
          </cell>
          <cell r="E161" t="str">
            <v>isabelcanoph@gmail.com</v>
          </cell>
          <cell r="F161" t="str">
            <v>CALLE 72  38  14</v>
          </cell>
          <cell r="G161" t="str">
            <v>05001</v>
          </cell>
        </row>
        <row r="162">
          <cell r="A162" t="str">
            <v>900410839</v>
          </cell>
          <cell r="B162" t="str">
            <v>6</v>
          </cell>
          <cell r="C162" t="str">
            <v>INVERSIONES Y PROYECTOS L&amp;S S.A.S.</v>
          </cell>
          <cell r="D162" t="str">
            <v>5 1 1 8 5 5 6</v>
          </cell>
          <cell r="E162" t="str">
            <v>cristian.giron@grupoadministrativo.com</v>
          </cell>
          <cell r="F162" t="str">
            <v>CL 52 A 50 46 P 11</v>
          </cell>
          <cell r="G162" t="str">
            <v>05001</v>
          </cell>
        </row>
        <row r="163">
          <cell r="A163" t="str">
            <v>900419119</v>
          </cell>
          <cell r="B163" t="str">
            <v>2</v>
          </cell>
          <cell r="C163" t="str">
            <v>EDIFICIO NAZARY PROPIEDAD HORIZONTAL</v>
          </cell>
          <cell r="D163" t="str">
            <v>2630619</v>
          </cell>
          <cell r="E163" t="str">
            <v>nazaryaptos@gmail.com</v>
          </cell>
          <cell r="F163" t="str">
            <v>CARRERA 79  39  45</v>
          </cell>
          <cell r="G163" t="str">
            <v>05001</v>
          </cell>
        </row>
        <row r="164">
          <cell r="A164" t="str">
            <v>900419948</v>
          </cell>
          <cell r="B164" t="str">
            <v>1</v>
          </cell>
          <cell r="C164" t="str">
            <v>CONJUNTO RESIDENCIAL URBANIZACION SOL NACIENTE PROPIEDAD HORIZONTAL</v>
          </cell>
          <cell r="D164" t="str">
            <v>5701074</v>
          </cell>
          <cell r="E164" t="str">
            <v>urbanizacionsolnaciente@hotmail.com</v>
          </cell>
          <cell r="F164" t="str">
            <v>CALLE 49 E  83 A  196</v>
          </cell>
          <cell r="G164" t="str">
            <v>05001</v>
          </cell>
        </row>
        <row r="165">
          <cell r="A165" t="str">
            <v>900421762</v>
          </cell>
          <cell r="B165" t="str">
            <v>5</v>
          </cell>
          <cell r="C165" t="str">
            <v>EDIFICIO BALCONES DE CASTROPOL PROPIEDAD HORIZONTAL</v>
          </cell>
          <cell r="D165" t="str">
            <v>3540559</v>
          </cell>
          <cell r="E165" t="str">
            <v>edificiobalconesdecastropol@gmail.com</v>
          </cell>
          <cell r="F165" t="str">
            <v>CARRERA 32  16  70</v>
          </cell>
          <cell r="G165" t="str">
            <v>05001</v>
          </cell>
        </row>
        <row r="166">
          <cell r="A166" t="str">
            <v>900428158</v>
          </cell>
          <cell r="B166" t="str">
            <v>8</v>
          </cell>
          <cell r="C166" t="str">
            <v>EDIFICIO JARDINES DE LA PLAZA PROPIEDAD HORIZONTAL</v>
          </cell>
          <cell r="D166" t="str">
            <v>3122983926</v>
          </cell>
          <cell r="E166" t="str">
            <v>Jardinesdelaplaza1@gmail.com</v>
          </cell>
          <cell r="F166" t="str">
            <v>CARRERA 41  49  52</v>
          </cell>
          <cell r="G166" t="str">
            <v>05001</v>
          </cell>
        </row>
        <row r="167">
          <cell r="A167" t="str">
            <v>900432637</v>
          </cell>
          <cell r="B167" t="str">
            <v>1</v>
          </cell>
          <cell r="C167" t="str">
            <v>EDIFICIO MONTREAL PROPIEDAD HORIZONTAL</v>
          </cell>
          <cell r="D167" t="str">
            <v>5807103</v>
          </cell>
          <cell r="E167" t="str">
            <v>ed.montreal32d@gmail.com</v>
          </cell>
          <cell r="F167" t="str">
            <v>TRANSVERSAL 32 D  74 D  6</v>
          </cell>
          <cell r="G167" t="str">
            <v>05001</v>
          </cell>
        </row>
        <row r="168">
          <cell r="A168" t="str">
            <v>900437301</v>
          </cell>
          <cell r="B168" t="str">
            <v>3</v>
          </cell>
          <cell r="C168" t="str">
            <v>EDIFICIO PARQUE DE LA PILARICA PROPIEDAD HORIZONTAL</v>
          </cell>
          <cell r="D168" t="str">
            <v>5068588</v>
          </cell>
          <cell r="E168" t="str">
            <v>parquedepilarica@gmail.com</v>
          </cell>
          <cell r="F168" t="str">
            <v>CALLE 74 A  73  30</v>
          </cell>
          <cell r="G168" t="str">
            <v>05001</v>
          </cell>
        </row>
        <row r="169">
          <cell r="A169" t="str">
            <v>900441148</v>
          </cell>
          <cell r="B169" t="str">
            <v>8</v>
          </cell>
          <cell r="C169" t="str">
            <v>EDIFICIO TORRE CIBELES APARTAMENTOS FLEX PROPIEDAD HORIZONTAL</v>
          </cell>
          <cell r="D169" t="str">
            <v>6005759</v>
          </cell>
          <cell r="E169" t="str">
            <v>elkints@yahoo.es</v>
          </cell>
          <cell r="F169" t="str">
            <v>CARRERA 89  39  54</v>
          </cell>
          <cell r="G169" t="str">
            <v>05001</v>
          </cell>
        </row>
        <row r="170">
          <cell r="A170" t="str">
            <v>900445016</v>
          </cell>
          <cell r="B170" t="str">
            <v>2</v>
          </cell>
          <cell r="C170" t="str">
            <v>EDIFICIO COLORS PROPIEDAD HORIZONTAL</v>
          </cell>
          <cell r="D170" t="str">
            <v>3122983926</v>
          </cell>
          <cell r="E170" t="str">
            <v>proveedoresa8g@gmail.com</v>
          </cell>
          <cell r="F170" t="str">
            <v>CARRERA 71  52  23</v>
          </cell>
          <cell r="G170" t="str">
            <v>05001</v>
          </cell>
        </row>
        <row r="171">
          <cell r="A171" t="str">
            <v>900446438</v>
          </cell>
          <cell r="B171" t="str">
            <v>1</v>
          </cell>
          <cell r="C171" t="str">
            <v>EDIFICIO VINTAGE PROPIEDAD HORIZONTAL</v>
          </cell>
          <cell r="D171" t="str">
            <v>2662694</v>
          </cell>
          <cell r="E171" t="str">
            <v>auxgerenciaalemol@gmail.com</v>
          </cell>
          <cell r="F171" t="str">
            <v>CARRERA 38  10 A  35</v>
          </cell>
          <cell r="G171" t="str">
            <v>05001</v>
          </cell>
        </row>
        <row r="172">
          <cell r="A172" t="str">
            <v>900446443</v>
          </cell>
          <cell r="B172" t="str">
            <v>9</v>
          </cell>
          <cell r="C172" t="str">
            <v>EDIFICACIONES Y ESPACIOS S.A.S</v>
          </cell>
          <cell r="D172" t="str">
            <v>2667010</v>
          </cell>
          <cell r="E172" t="str">
            <v>contabilidadcolcivil11@gmail.com</v>
          </cell>
          <cell r="F172" t="str">
            <v>CR 43 B 16 95 OF 207</v>
          </cell>
          <cell r="G172" t="str">
            <v>05001</v>
          </cell>
        </row>
        <row r="173">
          <cell r="A173" t="str">
            <v>900446972</v>
          </cell>
          <cell r="B173" t="str">
            <v>3</v>
          </cell>
          <cell r="C173" t="str">
            <v>EDIFICIO MIRADOR DEL RIO PROPIEDAD HORIZONTAL</v>
          </cell>
          <cell r="D173" t="str">
            <v>3127316823</v>
          </cell>
          <cell r="E173" t="str">
            <v>aarangoa7431@gmail.com</v>
          </cell>
          <cell r="F173" t="str">
            <v>CALLE 42 C  63 C  25</v>
          </cell>
          <cell r="G173" t="str">
            <v>05001</v>
          </cell>
        </row>
        <row r="174">
          <cell r="A174" t="str">
            <v>900447134</v>
          </cell>
          <cell r="B174" t="str">
            <v>2</v>
          </cell>
          <cell r="C174" t="str">
            <v>EDIFICIO ALTOS DEL ROSARIO P.H.</v>
          </cell>
          <cell r="D174" t="str">
            <v>2630619</v>
          </cell>
          <cell r="E174" t="str">
            <v>victorvega7@hotmail.com</v>
          </cell>
          <cell r="F174" t="str">
            <v>CARRERA 84  34 B  100</v>
          </cell>
          <cell r="G174" t="str">
            <v>05001</v>
          </cell>
        </row>
        <row r="175">
          <cell r="A175" t="str">
            <v>900450264</v>
          </cell>
          <cell r="B175" t="str">
            <v>2</v>
          </cell>
          <cell r="C175" t="str">
            <v>CONDOMINIO AGUAMARINA P.H</v>
          </cell>
          <cell r="D175" t="str">
            <v>3147012332</v>
          </cell>
          <cell r="E175" t="str">
            <v>info@gerenciar1.com</v>
          </cell>
          <cell r="F175" t="str">
            <v>CALLE 74  72 A  44</v>
          </cell>
          <cell r="G175" t="str">
            <v>05001</v>
          </cell>
        </row>
        <row r="176">
          <cell r="A176" t="str">
            <v>900459473</v>
          </cell>
          <cell r="B176" t="str">
            <v>6</v>
          </cell>
          <cell r="C176" t="str">
            <v>CONJUNTO DE USO MIXTO URBANIZACION COLINA DE LOS BERNAL P.H.</v>
          </cell>
          <cell r="D176" t="str">
            <v>3122491354</v>
          </cell>
          <cell r="E176" t="str">
            <v>colinadelosbernal@gmail.com</v>
          </cell>
          <cell r="F176" t="str">
            <v>CARRERA 84 B  4 A  75</v>
          </cell>
          <cell r="G176" t="str">
            <v>05001</v>
          </cell>
        </row>
        <row r="177">
          <cell r="A177" t="str">
            <v>900463541</v>
          </cell>
          <cell r="B177" t="str">
            <v>4</v>
          </cell>
          <cell r="C177" t="str">
            <v>EDIFICIO UNIVERSITE PLUS PROPIEDAD HORIZONTAL</v>
          </cell>
          <cell r="D177" t="str">
            <v>5770846</v>
          </cell>
          <cell r="E177" t="str">
            <v>annyaristiz@gmail.com</v>
          </cell>
          <cell r="F177" t="str">
            <v>CARRERA 25  47  98</v>
          </cell>
          <cell r="G177" t="str">
            <v>05001</v>
          </cell>
        </row>
        <row r="178">
          <cell r="A178" t="str">
            <v>900464466</v>
          </cell>
          <cell r="B178" t="str">
            <v>4</v>
          </cell>
          <cell r="C178" t="str">
            <v>EDIFICIO PIAMONTE - PROPIEDAD HORIZONTAL</v>
          </cell>
          <cell r="D178" t="str">
            <v>5094745</v>
          </cell>
          <cell r="E178" t="str">
            <v>piamonteph@gmail.com</v>
          </cell>
          <cell r="F178" t="str">
            <v>CARRERA 8  6 A  51</v>
          </cell>
          <cell r="G178" t="str">
            <v>05001</v>
          </cell>
        </row>
        <row r="179">
          <cell r="A179" t="str">
            <v>900466346</v>
          </cell>
          <cell r="B179" t="str">
            <v>8</v>
          </cell>
          <cell r="C179" t="str">
            <v>CONJUNTO RESIDENCIAL MIRADOR BARCELONA PROPIEDAD HORIZONTAL</v>
          </cell>
          <cell r="D179" t="str">
            <v>5031598</v>
          </cell>
          <cell r="E179" t="str">
            <v>miradorbarcelona@hotmail.com</v>
          </cell>
          <cell r="F179" t="str">
            <v>CARRERA 90  65 C  10</v>
          </cell>
          <cell r="G179" t="str">
            <v>05001</v>
          </cell>
        </row>
        <row r="180">
          <cell r="A180" t="str">
            <v>900468620</v>
          </cell>
          <cell r="B180" t="str">
            <v>0</v>
          </cell>
          <cell r="C180" t="str">
            <v>EDIFICIO TRAMONTE PROPIEDAD HORIZONTAL</v>
          </cell>
          <cell r="D180" t="str">
            <v>4442420</v>
          </cell>
          <cell r="E180" t="str">
            <v>facturacion@estiloingenieria.com</v>
          </cell>
          <cell r="F180" t="str">
            <v>TRANSVERSAL 7 A  30  271</v>
          </cell>
          <cell r="G180" t="str">
            <v>05001</v>
          </cell>
        </row>
        <row r="181">
          <cell r="A181" t="str">
            <v>900470629</v>
          </cell>
          <cell r="B181" t="str">
            <v>2</v>
          </cell>
          <cell r="C181" t="str">
            <v>RESTREPO ROJAS PINEDA ARQUITECTOS S.A.S</v>
          </cell>
          <cell r="D181" t="str">
            <v>4082215</v>
          </cell>
          <cell r="E181" t="str">
            <v>cartera@rrp.com.co</v>
          </cell>
          <cell r="F181" t="str">
            <v>CL 38 A SUR 43 A 34</v>
          </cell>
          <cell r="G181" t="str">
            <v>05001</v>
          </cell>
        </row>
        <row r="182">
          <cell r="A182" t="str">
            <v>900471415</v>
          </cell>
          <cell r="B182" t="str">
            <v>8</v>
          </cell>
          <cell r="C182" t="str">
            <v>EDIFICIO MAYOHA - PROPIEDAD HORIZONTAL</v>
          </cell>
          <cell r="D182" t="str">
            <v>2630619</v>
          </cell>
          <cell r="E182" t="str">
            <v>edificiomayohaph@gmail.com</v>
          </cell>
          <cell r="F182" t="str">
            <v>CARRERA 80  34 B  86  APARTAMENTO 702</v>
          </cell>
          <cell r="G182" t="str">
            <v>05001</v>
          </cell>
        </row>
        <row r="183">
          <cell r="A183" t="str">
            <v>900477940</v>
          </cell>
          <cell r="B183" t="str">
            <v>0</v>
          </cell>
          <cell r="C183" t="str">
            <v>EDIFICIO GIRALDO PROPIEDAD HORIZONTAL</v>
          </cell>
          <cell r="D183" t="str">
            <v>3148691745</v>
          </cell>
          <cell r="E183" t="str">
            <v>gelodea@gmail.com</v>
          </cell>
          <cell r="F183" t="str">
            <v>CARRERA 82  33 A A  31</v>
          </cell>
          <cell r="G183" t="str">
            <v>05001</v>
          </cell>
        </row>
        <row r="184">
          <cell r="A184" t="str">
            <v>900484996</v>
          </cell>
          <cell r="B184" t="str">
            <v>1</v>
          </cell>
          <cell r="C184" t="str">
            <v>INVERSIONES CYNSA SAS</v>
          </cell>
          <cell r="D184" t="str">
            <v>4730888</v>
          </cell>
          <cell r="E184" t="str">
            <v>administracion@topahouse.com</v>
          </cell>
          <cell r="F184" t="str">
            <v>CR 81 6A 51 IN 701</v>
          </cell>
          <cell r="G184" t="str">
            <v>05001</v>
          </cell>
        </row>
        <row r="185">
          <cell r="A185" t="str">
            <v>900487136</v>
          </cell>
          <cell r="B185" t="str">
            <v>8</v>
          </cell>
          <cell r="C185" t="str">
            <v>EDIFICIO TERRAZZINO MIRAFLORES PROPIEDAD HORIZONTAL</v>
          </cell>
          <cell r="D185" t="str">
            <v>5861708</v>
          </cell>
          <cell r="E185" t="str">
            <v>terrazzinomiraflorez@gmail.com</v>
          </cell>
          <cell r="F185" t="str">
            <v>CARRERA 25  47  98</v>
          </cell>
          <cell r="G185" t="str">
            <v>05001</v>
          </cell>
        </row>
        <row r="186">
          <cell r="A186" t="str">
            <v>900489491</v>
          </cell>
          <cell r="B186" t="str">
            <v>7</v>
          </cell>
          <cell r="C186" t="str">
            <v>URBANIZACION ATALAYA DE LA MOTA PROPIEDAD HORIZONTAL</v>
          </cell>
          <cell r="D186" t="str">
            <v>3007745857</v>
          </cell>
          <cell r="E186" t="str">
            <v>atalayadelamota@gmail.com</v>
          </cell>
          <cell r="F186" t="str">
            <v>CARRERA 81 A  3 SUR  08</v>
          </cell>
          <cell r="G186" t="str">
            <v>05001</v>
          </cell>
        </row>
        <row r="187">
          <cell r="A187" t="str">
            <v>900497026</v>
          </cell>
          <cell r="B187" t="str">
            <v>9</v>
          </cell>
          <cell r="C187" t="str">
            <v>CONJUNTO RESIDENCIAL GUAYACANES DE SAN DIEGO - PROPIEDAD HORIZONTAL</v>
          </cell>
          <cell r="D187" t="str">
            <v>3167000762</v>
          </cell>
          <cell r="E187" t="str">
            <v>guayacanesdesandiego@gmail.com</v>
          </cell>
          <cell r="F187" t="str">
            <v>CALLE 29 No. 29 - 31</v>
          </cell>
          <cell r="G187" t="str">
            <v>05001</v>
          </cell>
        </row>
        <row r="188">
          <cell r="A188" t="str">
            <v>900500937</v>
          </cell>
          <cell r="B188" t="str">
            <v>6</v>
          </cell>
          <cell r="C188" t="str">
            <v>CONJUNTO RESIDENCIAL URBANIZACON MIRADOR DE LOS BERNAL P.H.</v>
          </cell>
          <cell r="D188" t="str">
            <v>5062499</v>
          </cell>
          <cell r="E188" t="str">
            <v>miradordelosbernalph@gmail.com</v>
          </cell>
          <cell r="F188" t="str">
            <v>CALLE 34 C  88 B  66</v>
          </cell>
          <cell r="G188" t="str">
            <v>05001</v>
          </cell>
        </row>
        <row r="189">
          <cell r="A189" t="str">
            <v>900507451</v>
          </cell>
          <cell r="B189" t="str">
            <v>0</v>
          </cell>
          <cell r="C189" t="str">
            <v>CONJUNTO DE USO MIXTO PLAZA DEL RIO PROPIEDAD HORIZONTAL</v>
          </cell>
          <cell r="D189" t="str">
            <v>3660608</v>
          </cell>
          <cell r="E189" t="str">
            <v>encontactoplazadelrio@gmail.com</v>
          </cell>
          <cell r="F189" t="str">
            <v>CALLE 19  43 G  80</v>
          </cell>
          <cell r="G189" t="str">
            <v>05001</v>
          </cell>
        </row>
        <row r="190">
          <cell r="A190" t="str">
            <v>900509192</v>
          </cell>
          <cell r="B190" t="str">
            <v>7</v>
          </cell>
          <cell r="C190" t="str">
            <v>INVERSIONES GPBA S.A.S.</v>
          </cell>
          <cell r="D190" t="str">
            <v>3167419942</v>
          </cell>
          <cell r="E190" t="str">
            <v>mercadeo@qualityhealth.co</v>
          </cell>
          <cell r="F190" t="str">
            <v>CALLE 7 SUR  72  40  CASA 311</v>
          </cell>
          <cell r="G190" t="str">
            <v>05001</v>
          </cell>
        </row>
        <row r="191">
          <cell r="A191" t="str">
            <v>900511787</v>
          </cell>
          <cell r="B191" t="str">
            <v>5</v>
          </cell>
          <cell r="C191" t="str">
            <v>URBANIZACION CAPRI P.H.</v>
          </cell>
          <cell r="D191" t="str">
            <v>3217696001</v>
          </cell>
          <cell r="E191" t="str">
            <v>urbanizacioncapriph@hotmail.com</v>
          </cell>
          <cell r="F191" t="str">
            <v>CALLE 60  56 A  15</v>
          </cell>
          <cell r="G191" t="str">
            <v>05001</v>
          </cell>
        </row>
        <row r="192">
          <cell r="A192" t="str">
            <v>900512033</v>
          </cell>
          <cell r="B192" t="str">
            <v>5</v>
          </cell>
          <cell r="C192" t="str">
            <v>EDIFICIO PORTAL DE CALASANZ PROPIEDAD HORIZONTAL</v>
          </cell>
          <cell r="D192" t="str">
            <v>5791898</v>
          </cell>
          <cell r="E192" t="str">
            <v>facturacion@estiloingenieria.com</v>
          </cell>
          <cell r="F192" t="str">
            <v>CALLE 49 D  83 A  68</v>
          </cell>
          <cell r="G192" t="str">
            <v>05001</v>
          </cell>
        </row>
        <row r="193">
          <cell r="A193" t="str">
            <v>900517570</v>
          </cell>
          <cell r="B193" t="str">
            <v>1</v>
          </cell>
          <cell r="C193" t="str">
            <v>EDIFICIO CASTROPOL SEÑORIAL I PROPIEDAD HORIZONTAL</v>
          </cell>
          <cell r="D193" t="str">
            <v>4442420</v>
          </cell>
          <cell r="E193" t="str">
            <v>facturacion@estiloingenieria.com</v>
          </cell>
          <cell r="F193" t="str">
            <v>CALLE 14  40 A  95</v>
          </cell>
          <cell r="G193" t="str">
            <v>05001</v>
          </cell>
        </row>
        <row r="194">
          <cell r="A194" t="str">
            <v>900526787</v>
          </cell>
          <cell r="B194" t="str">
            <v>0</v>
          </cell>
          <cell r="C194" t="str">
            <v>EDIFICIO GUAYACANES DE PILARICA PROPIEDAD HORIZONTAL</v>
          </cell>
          <cell r="D194" t="str">
            <v>4195227</v>
          </cell>
          <cell r="E194" t="str">
            <v>guayacanesdepilarica@hotmail.com</v>
          </cell>
          <cell r="F194" t="str">
            <v>CARRERA 73 C  74  50</v>
          </cell>
          <cell r="G194" t="str">
            <v>05001</v>
          </cell>
        </row>
        <row r="195">
          <cell r="A195" t="str">
            <v>900533110</v>
          </cell>
          <cell r="B195" t="str">
            <v>4</v>
          </cell>
          <cell r="C195" t="str">
            <v>BLUE ROCK INVESTMENTS SAS</v>
          </cell>
          <cell r="D195" t="str">
            <v>3117208850</v>
          </cell>
          <cell r="E195" t="str">
            <v>dhernandez@generaciones.co</v>
          </cell>
          <cell r="F195" t="str">
            <v>CL 15 35 1 OF 404</v>
          </cell>
          <cell r="G195" t="str">
            <v>05001</v>
          </cell>
        </row>
        <row r="196">
          <cell r="A196" t="str">
            <v>900534663</v>
          </cell>
          <cell r="B196" t="str">
            <v>1</v>
          </cell>
          <cell r="C196" t="str">
            <v>CONJUNTO RESIDENCIAL URBANIZACION TIERRA CLARA P.H.</v>
          </cell>
          <cell r="D196" t="str">
            <v>5780270</v>
          </cell>
          <cell r="E196" t="str">
            <v>compras@abelardoyepes.com</v>
          </cell>
          <cell r="F196" t="str">
            <v>CARRERA 29 A  5 SUR  125</v>
          </cell>
          <cell r="G196" t="str">
            <v>05001</v>
          </cell>
        </row>
        <row r="197">
          <cell r="A197" t="str">
            <v>900562387</v>
          </cell>
          <cell r="B197" t="str">
            <v>0</v>
          </cell>
          <cell r="C197" t="str">
            <v>EDIFICIO NOGALES P.H.</v>
          </cell>
          <cell r="D197" t="str">
            <v>4442420</v>
          </cell>
          <cell r="E197" t="str">
            <v>facturacion@estiloingenieria.com</v>
          </cell>
          <cell r="F197" t="str">
            <v>CALLE 54  81  58</v>
          </cell>
          <cell r="G197" t="str">
            <v>05001</v>
          </cell>
        </row>
        <row r="198">
          <cell r="A198" t="str">
            <v>900564941</v>
          </cell>
          <cell r="B198" t="str">
            <v>0</v>
          </cell>
          <cell r="C198" t="str">
            <v>INVERSIONES PROMATEX SOCIEDAD POR ACCIONES SIMPLIFICADA</v>
          </cell>
          <cell r="D198" t="str">
            <v>3162888</v>
          </cell>
          <cell r="E198" t="str">
            <v>recepcion@promatex.co</v>
          </cell>
          <cell r="F198" t="str">
            <v>CARRERA 55  29  31  LOCAL 302</v>
          </cell>
          <cell r="G198" t="str">
            <v>05001</v>
          </cell>
        </row>
        <row r="199">
          <cell r="A199" t="str">
            <v>900568542</v>
          </cell>
          <cell r="B199" t="str">
            <v>3</v>
          </cell>
          <cell r="C199" t="str">
            <v>EDIFICIO GIRARDOT SEÑORIAL PROPIEDAD HORIZONTAL</v>
          </cell>
          <cell r="D199" t="str">
            <v>2994066</v>
          </cell>
          <cell r="E199" t="str">
            <v>girardotsenorial@outlook.es</v>
          </cell>
          <cell r="F199" t="str">
            <v>CARRERA 43  53  60</v>
          </cell>
          <cell r="G199" t="str">
            <v>05001</v>
          </cell>
        </row>
        <row r="200">
          <cell r="A200" t="str">
            <v>900571671</v>
          </cell>
          <cell r="B200" t="str">
            <v>6</v>
          </cell>
          <cell r="C200" t="str">
            <v>CONJUNTO RESIDENCIAL URBANIZACION SOL CRECIENTE PROPIEDAD HORIZONTAL</v>
          </cell>
          <cell r="D200" t="str">
            <v>5701074</v>
          </cell>
          <cell r="E200" t="str">
            <v>urbanizacionsolcreciente@gmail.com</v>
          </cell>
          <cell r="F200" t="str">
            <v>CALLE 49 E  83 A  200</v>
          </cell>
          <cell r="G200" t="str">
            <v>05001</v>
          </cell>
        </row>
        <row r="201">
          <cell r="A201" t="str">
            <v>900572139</v>
          </cell>
          <cell r="B201" t="str">
            <v>3</v>
          </cell>
          <cell r="C201" t="str">
            <v>CONJUNTO DE USO MIXTO URBANIZACION OASIS DE COLORES PROPIEDAD HORIZONTAL</v>
          </cell>
          <cell r="D201">
            <v>3219664011</v>
          </cell>
          <cell r="E201" t="str">
            <v>coasisdecolores@gmail.com</v>
          </cell>
          <cell r="F201" t="str">
            <v>CARRERA 74  52  55</v>
          </cell>
          <cell r="G201" t="str">
            <v>05001</v>
          </cell>
        </row>
        <row r="202">
          <cell r="A202" t="str">
            <v>900572146</v>
          </cell>
          <cell r="B202" t="str">
            <v>5</v>
          </cell>
          <cell r="C202" t="str">
            <v>CONJUNTO DE USO MIXTO CAMINO DE COLORES PROPIEDAD HORIZONTAL</v>
          </cell>
          <cell r="D202" t="str">
            <v>3135264930</v>
          </cell>
          <cell r="E202" t="str">
            <v>facturacion@estiloingenieria.com</v>
          </cell>
          <cell r="F202" t="str">
            <v>CARRERA 73  52  65</v>
          </cell>
          <cell r="G202" t="str">
            <v>05001</v>
          </cell>
        </row>
        <row r="203">
          <cell r="A203" t="str">
            <v>900575522</v>
          </cell>
          <cell r="B203" t="str">
            <v>5</v>
          </cell>
          <cell r="C203" t="str">
            <v>EDIFICIO BIANCO PROPIEDAD HORIZONTAL</v>
          </cell>
          <cell r="D203" t="str">
            <v>3122988673</v>
          </cell>
          <cell r="E203" t="str">
            <v>berthacardona@admonph.com</v>
          </cell>
          <cell r="F203" t="str">
            <v>CARRERA 33  7  41</v>
          </cell>
          <cell r="G203" t="str">
            <v>05001</v>
          </cell>
        </row>
        <row r="204">
          <cell r="A204" t="str">
            <v>900577378</v>
          </cell>
          <cell r="B204" t="str">
            <v>1</v>
          </cell>
          <cell r="C204" t="str">
            <v>EDIFICIO ZEUS PROPIEDAD HORIZONTAL</v>
          </cell>
          <cell r="D204" t="str">
            <v>3128331566</v>
          </cell>
          <cell r="E204" t="str">
            <v>ventolerazeus@hotmail.com</v>
          </cell>
          <cell r="F204" t="str">
            <v>CARRERA 72 B  27  52</v>
          </cell>
          <cell r="G204" t="str">
            <v>05001</v>
          </cell>
        </row>
        <row r="205">
          <cell r="A205" t="str">
            <v>900579238</v>
          </cell>
          <cell r="B205" t="str">
            <v>6</v>
          </cell>
          <cell r="C205" t="str">
            <v>EDIFICIO MIZU APARTAMENTOS - PROPIEDAD HORIZONTAL</v>
          </cell>
          <cell r="D205" t="str">
            <v>5781372</v>
          </cell>
          <cell r="E205" t="str">
            <v>auxiliarcontable@conpropiedad.com</v>
          </cell>
          <cell r="F205" t="str">
            <v>CALLE 17 C SUR  44  177</v>
          </cell>
          <cell r="G205" t="str">
            <v>05001</v>
          </cell>
        </row>
        <row r="206">
          <cell r="A206" t="str">
            <v>900579294</v>
          </cell>
          <cell r="B206" t="str">
            <v>9</v>
          </cell>
          <cell r="C206" t="str">
            <v>CONJUNTO RESIDENCIAL URBANIZACION BOSQUES DE LA MACARENA P.H</v>
          </cell>
          <cell r="D206">
            <v>3219664011</v>
          </cell>
          <cell r="E206" t="str">
            <v>facturacion@estiloingenieria.com</v>
          </cell>
          <cell r="F206" t="str">
            <v>CARRERA 115 A  64 C  4</v>
          </cell>
          <cell r="G206" t="str">
            <v>05001</v>
          </cell>
        </row>
        <row r="207">
          <cell r="A207" t="str">
            <v>900583061</v>
          </cell>
          <cell r="B207" t="str">
            <v>5</v>
          </cell>
          <cell r="C207" t="str">
            <v>CONJUNTO RESIDENCIAL VILLA BARCELONA PROPIEDAD HORIZONTAL</v>
          </cell>
          <cell r="D207" t="str">
            <v>3161117</v>
          </cell>
          <cell r="E207" t="str">
            <v>villabarcelonaph@gmail.com</v>
          </cell>
          <cell r="F207" t="str">
            <v>CARRERA 37  63  67 INTERIOR 5</v>
          </cell>
          <cell r="G207" t="str">
            <v>05001</v>
          </cell>
        </row>
        <row r="208">
          <cell r="A208" t="str">
            <v>900586501</v>
          </cell>
          <cell r="B208" t="str">
            <v>8</v>
          </cell>
          <cell r="C208" t="str">
            <v>URBANIZACIÓN ARBOLEDA DE LOS COLORES - PROPIEDAD HORIZONTAL</v>
          </cell>
          <cell r="D208" t="str">
            <v>3660237</v>
          </cell>
          <cell r="E208" t="str">
            <v>arboledadecolores@live.com</v>
          </cell>
          <cell r="F208" t="str">
            <v>CARRERA 73  53  56</v>
          </cell>
          <cell r="G208" t="str">
            <v>05001</v>
          </cell>
        </row>
        <row r="209">
          <cell r="A209" t="str">
            <v>900586557</v>
          </cell>
          <cell r="B209" t="str">
            <v>1</v>
          </cell>
          <cell r="C209" t="str">
            <v>EDIFICIO EL TREBOL - PROPIEDAD HORIZONTAL</v>
          </cell>
          <cell r="D209">
            <v>3219664011</v>
          </cell>
          <cell r="E209" t="str">
            <v>pheltrebol@gmail.com</v>
          </cell>
          <cell r="F209" t="str">
            <v>CARRERA 73 C  74 A  56</v>
          </cell>
          <cell r="G209" t="str">
            <v>05001</v>
          </cell>
        </row>
        <row r="210">
          <cell r="A210" t="str">
            <v>900597937</v>
          </cell>
          <cell r="B210" t="str">
            <v>2</v>
          </cell>
          <cell r="C210" t="str">
            <v>EDIFICIO CEDROS DE PILARICA P.H</v>
          </cell>
          <cell r="D210" t="str">
            <v>5791499</v>
          </cell>
          <cell r="E210" t="str">
            <v>facturacion@estiloingenieria.com</v>
          </cell>
          <cell r="F210" t="str">
            <v>CARRERA 74 D  75  114</v>
          </cell>
          <cell r="G210" t="str">
            <v>05001</v>
          </cell>
        </row>
        <row r="211">
          <cell r="A211" t="str">
            <v>900600783</v>
          </cell>
          <cell r="B211" t="str">
            <v>8</v>
          </cell>
          <cell r="C211" t="str">
            <v>URBANIZACIÓN CANTAGIRONE CINQUE - PROPIEDAD HORIZONTAL</v>
          </cell>
          <cell r="D211" t="str">
            <v>4442420</v>
          </cell>
          <cell r="E211" t="str">
            <v>contabilidad@administracionam.co</v>
          </cell>
          <cell r="F211" t="str">
            <v>CARRERA 18  12 SUR  50</v>
          </cell>
          <cell r="G211" t="str">
            <v>05001</v>
          </cell>
        </row>
        <row r="212">
          <cell r="A212" t="str">
            <v>900601106</v>
          </cell>
          <cell r="B212" t="str">
            <v>6</v>
          </cell>
          <cell r="C212" t="str">
            <v>EDIFICIO PIETRASANTA PROPIEDAD HORIZONTAL</v>
          </cell>
          <cell r="D212" t="str">
            <v>3325973</v>
          </cell>
          <cell r="E212" t="str">
            <v>edificiopietrasanta2023@gmail.com</v>
          </cell>
          <cell r="F212" t="str">
            <v>CALLE 74  72 A  100</v>
          </cell>
          <cell r="G212" t="str">
            <v>05001</v>
          </cell>
        </row>
        <row r="213">
          <cell r="A213" t="str">
            <v>900601695</v>
          </cell>
          <cell r="B213" t="str">
            <v>2</v>
          </cell>
          <cell r="C213" t="str">
            <v>EDIFICIO CAMINOS DE SAN PATRICIO P.H</v>
          </cell>
          <cell r="D213" t="str">
            <v>3187748619</v>
          </cell>
          <cell r="E213" t="str">
            <v>sanpatricio111@hotmail.com</v>
          </cell>
          <cell r="F213" t="str">
            <v>CARRERA 33  43  63</v>
          </cell>
          <cell r="G213" t="str">
            <v>05001</v>
          </cell>
        </row>
        <row r="214">
          <cell r="A214" t="str">
            <v>900603142</v>
          </cell>
          <cell r="B214" t="str">
            <v>0</v>
          </cell>
          <cell r="C214" t="str">
            <v>EDIFICIO ZUÑIGA SEÑORIAL P.H.</v>
          </cell>
          <cell r="D214" t="str">
            <v>3015703597</v>
          </cell>
          <cell r="E214" t="str">
            <v>facturacion@estiloingenieria.com</v>
          </cell>
          <cell r="F214" t="str">
            <v>CALLE 19 SUR  45  57</v>
          </cell>
          <cell r="G214" t="str">
            <v>05001</v>
          </cell>
        </row>
        <row r="215">
          <cell r="A215" t="str">
            <v>900605856</v>
          </cell>
          <cell r="B215" t="str">
            <v>1</v>
          </cell>
          <cell r="C215" t="str">
            <v>EDIFICIO PORTALES PROPIEDAD HORIZONTAL</v>
          </cell>
          <cell r="D215" t="str">
            <v>4486744</v>
          </cell>
          <cell r="E215" t="str">
            <v>edportalesph@gmail.com</v>
          </cell>
          <cell r="F215" t="str">
            <v>CALLE 32 E  80 A  42</v>
          </cell>
          <cell r="G215" t="str">
            <v>05001</v>
          </cell>
        </row>
        <row r="216">
          <cell r="A216" t="str">
            <v>900610680</v>
          </cell>
          <cell r="B216" t="str">
            <v>0</v>
          </cell>
          <cell r="C216" t="str">
            <v>EDIFICIO FARO DE VELÓDROMO - PROPIEDAD HORIZONTAL</v>
          </cell>
          <cell r="D216" t="str">
            <v>4363707</v>
          </cell>
          <cell r="E216" t="str">
            <v>asistente.curbe@gmail.com</v>
          </cell>
          <cell r="F216" t="str">
            <v>CARRERA 78  45 F F  12</v>
          </cell>
          <cell r="G216" t="str">
            <v>05001</v>
          </cell>
        </row>
        <row r="217">
          <cell r="A217" t="str">
            <v>900616100</v>
          </cell>
          <cell r="B217" t="str">
            <v>8</v>
          </cell>
          <cell r="C217" t="str">
            <v>EDIFICIO LIFE APARTAMENTOS - PROPIEDAD HORIZONTAL</v>
          </cell>
          <cell r="D217" t="str">
            <v>4442420</v>
          </cell>
          <cell r="E217" t="str">
            <v>facturacion@estiloingenieria.com</v>
          </cell>
          <cell r="F217" t="str">
            <v>CALLE 11 B  31 A  205</v>
          </cell>
          <cell r="G217" t="str">
            <v>05001</v>
          </cell>
        </row>
        <row r="218">
          <cell r="A218" t="str">
            <v>900621142</v>
          </cell>
          <cell r="B218" t="str">
            <v>7</v>
          </cell>
          <cell r="C218" t="str">
            <v>HOTEL THE CHARLEE - PROPIEDAD HORIZONTAL</v>
          </cell>
          <cell r="D218" t="str">
            <v>3174904015</v>
          </cell>
          <cell r="E218" t="str">
            <v>thecharlee.ph@gmail.com</v>
          </cell>
          <cell r="F218" t="str">
            <v>CALLE 9 A  37  16</v>
          </cell>
          <cell r="G218" t="str">
            <v>05001</v>
          </cell>
        </row>
        <row r="219">
          <cell r="A219" t="str">
            <v>900625081</v>
          </cell>
          <cell r="B219" t="str">
            <v>4</v>
          </cell>
          <cell r="C219" t="str">
            <v>EDIFICIO MIRADOR DE LA PILARICA IV - PROPIEDAD HORIZONTAL-</v>
          </cell>
          <cell r="D219" t="str">
            <v>5841616</v>
          </cell>
          <cell r="E219" t="str">
            <v>edificiomiradordepilarica4@gmail.com</v>
          </cell>
          <cell r="F219" t="str">
            <v>CARRERA 73 C  74  35</v>
          </cell>
          <cell r="G219" t="str">
            <v>05001</v>
          </cell>
        </row>
        <row r="220">
          <cell r="A220" t="str">
            <v>900630471</v>
          </cell>
          <cell r="B220" t="str">
            <v>3</v>
          </cell>
          <cell r="C220" t="str">
            <v>MONKEY BUSINESS GROUP SOCIEDAD POR ACCIONES SIMPLIFICADA</v>
          </cell>
          <cell r="D220" t="str">
            <v>7430404</v>
          </cell>
          <cell r="E220" t="str">
            <v>facturacionbogota@clickclackhotel.com</v>
          </cell>
          <cell r="F220" t="str">
            <v>CARRERA 11  93  77</v>
          </cell>
          <cell r="G220" t="str">
            <v>05001</v>
          </cell>
        </row>
        <row r="221">
          <cell r="A221" t="str">
            <v>900632520</v>
          </cell>
          <cell r="B221" t="str">
            <v>5</v>
          </cell>
          <cell r="C221" t="str">
            <v>EDIFICIO MIRAFLORES SEÑORIAL - PROPIEDAD HORIZONTAL</v>
          </cell>
          <cell r="D221" t="str">
            <v>3202198120</v>
          </cell>
          <cell r="E221" t="str">
            <v>miraflorespropiedadhorizontal@gmail.com</v>
          </cell>
          <cell r="F221" t="str">
            <v>CARRERA 22  47  97</v>
          </cell>
          <cell r="G221" t="str">
            <v>05001</v>
          </cell>
        </row>
        <row r="222">
          <cell r="A222" t="str">
            <v>900640094</v>
          </cell>
          <cell r="B222" t="str">
            <v>2</v>
          </cell>
          <cell r="C222" t="str">
            <v>PROMOTORA ZR S.A.S.</v>
          </cell>
          <cell r="D222" t="str">
            <v>2687494</v>
          </cell>
          <cell r="E222" t="str">
            <v>acontablealemol@gmail.com</v>
          </cell>
          <cell r="F222" t="str">
            <v>CARRERA 40  10  35</v>
          </cell>
          <cell r="G222" t="str">
            <v>05001</v>
          </cell>
        </row>
        <row r="223">
          <cell r="A223" t="str">
            <v>900641786</v>
          </cell>
          <cell r="B223" t="str">
            <v>5</v>
          </cell>
          <cell r="C223" t="str">
            <v>CONJUNTO DE USO MIXTO NUEVO SOL PROPIEDAD HORIZONTAL</v>
          </cell>
          <cell r="D223" t="str">
            <v>3042111517</v>
          </cell>
          <cell r="E223" t="str">
            <v>admonuevosol@gmail.com</v>
          </cell>
          <cell r="F223" t="str">
            <v>CARRERA 86  49 E  85</v>
          </cell>
          <cell r="G223" t="str">
            <v>05001</v>
          </cell>
        </row>
        <row r="224">
          <cell r="A224" t="str">
            <v>900642720</v>
          </cell>
          <cell r="B224" t="str">
            <v>4</v>
          </cell>
          <cell r="C224" t="str">
            <v>EDIFICIO HÁBITAT 34 P.H</v>
          </cell>
          <cell r="D224" t="str">
            <v>3127343394</v>
          </cell>
          <cell r="E224" t="str">
            <v>isabelcanoph@gmail.com</v>
          </cell>
          <cell r="F224" t="str">
            <v>CARRERA 34  78  16</v>
          </cell>
          <cell r="G224" t="str">
            <v>05001</v>
          </cell>
        </row>
        <row r="225">
          <cell r="A225" t="str">
            <v>900656718</v>
          </cell>
          <cell r="B225" t="str">
            <v>1</v>
          </cell>
          <cell r="C225" t="str">
            <v>CONJUNTO RESIDENCIAL URBANIZACIÓN VANCOUVER PROPIEDAD HORIZONTAL</v>
          </cell>
          <cell r="D225">
            <v>3219664011</v>
          </cell>
          <cell r="E225" t="str">
            <v>conjuntovancouver@hotmail.com</v>
          </cell>
          <cell r="F225" t="str">
            <v>CALLE 24  39  03</v>
          </cell>
          <cell r="G225" t="str">
            <v>05001</v>
          </cell>
        </row>
        <row r="226">
          <cell r="A226" t="str">
            <v>900657070</v>
          </cell>
          <cell r="B226" t="str">
            <v>0</v>
          </cell>
          <cell r="C226" t="str">
            <v>EDIFICIO SAN CRISTOBAL REAL - PROPIEDAD HORIZONTAL</v>
          </cell>
          <cell r="D226" t="str">
            <v>4963268</v>
          </cell>
          <cell r="E226" t="str">
            <v>edificiocristobalreal@hotmail.com</v>
          </cell>
          <cell r="F226" t="str">
            <v>CALLE 40  86 A  34</v>
          </cell>
          <cell r="G226" t="str">
            <v>05001</v>
          </cell>
        </row>
        <row r="227">
          <cell r="A227" t="str">
            <v>900660012</v>
          </cell>
          <cell r="B227" t="str">
            <v>4</v>
          </cell>
          <cell r="C227" t="str">
            <v>CONJUNTO RESIDENCIAL URBANIZACION SENDERO DEL PARQUE PROPIEDAD HORIZONTAL</v>
          </cell>
          <cell r="D227" t="str">
            <v>5062499</v>
          </cell>
          <cell r="E227" t="str">
            <v>admonsenderodelparque@gmail.com</v>
          </cell>
          <cell r="F227" t="str">
            <v>CARRERA 81  4 G  35</v>
          </cell>
          <cell r="G227" t="str">
            <v>05001</v>
          </cell>
        </row>
        <row r="228">
          <cell r="A228" t="str">
            <v>900663078</v>
          </cell>
          <cell r="B228" t="str">
            <v>3</v>
          </cell>
          <cell r="C228" t="str">
            <v>EDIFICIO D'ANGELO PROPIEDAD HORIZONTAL</v>
          </cell>
          <cell r="D228" t="str">
            <v>3221332</v>
          </cell>
          <cell r="E228" t="str">
            <v>edificiodangelo@gmail.com</v>
          </cell>
          <cell r="F228" t="str">
            <v>CALLE 32 C  76  92</v>
          </cell>
          <cell r="G228" t="str">
            <v>05001</v>
          </cell>
        </row>
        <row r="229">
          <cell r="A229" t="str">
            <v>900664886</v>
          </cell>
          <cell r="B229" t="str">
            <v>2</v>
          </cell>
          <cell r="C229" t="str">
            <v>CONJUNTO RESIDENCIAL TIERRA GRATA PALMAS PROPIEDAD HORIZONTAL</v>
          </cell>
          <cell r="D229" t="str">
            <v>3667253</v>
          </cell>
          <cell r="E229" t="str">
            <v>contabilidad@tmgservicios.com</v>
          </cell>
          <cell r="F229" t="str">
            <v>CARRERA 35  19  62</v>
          </cell>
          <cell r="G229" t="str">
            <v>05001</v>
          </cell>
        </row>
        <row r="230">
          <cell r="A230" t="str">
            <v>900672550</v>
          </cell>
          <cell r="B230" t="str">
            <v>7</v>
          </cell>
          <cell r="C230" t="str">
            <v>PROPIEDAD HORIZONTAL URBANIZACION MIXTA REMANSO DEL RODEO ETAPA 1 TORRE 1</v>
          </cell>
          <cell r="D230" t="str">
            <v>5702553</v>
          </cell>
          <cell r="E230" t="str">
            <v>urbanizacionremanso@gmail.com</v>
          </cell>
          <cell r="F230" t="str">
            <v>CALLE 6 SUR  79  150</v>
          </cell>
          <cell r="G230" t="str">
            <v>05001</v>
          </cell>
        </row>
        <row r="231">
          <cell r="A231" t="str">
            <v>900692196</v>
          </cell>
          <cell r="B231" t="str">
            <v>8</v>
          </cell>
          <cell r="C231" t="str">
            <v>EDIFICIO RESIDENCIAL MIRADOR DE LAS VEGAS PH</v>
          </cell>
          <cell r="D231">
            <v>3219664011</v>
          </cell>
          <cell r="E231" t="str">
            <v>miradordelasvegasph@gmail.com</v>
          </cell>
          <cell r="F231" t="str">
            <v>CALLE 74 SUR  46 E  78</v>
          </cell>
          <cell r="G231" t="str">
            <v>05001</v>
          </cell>
        </row>
        <row r="232">
          <cell r="A232" t="str">
            <v>900704200</v>
          </cell>
          <cell r="B232" t="str">
            <v>3</v>
          </cell>
          <cell r="C232" t="str">
            <v>EDIFICIO JARDINES DE ALEJANDRIA - PROPIEDAD HORIZONTAL</v>
          </cell>
          <cell r="D232" t="str">
            <v>3006605134</v>
          </cell>
          <cell r="E232" t="str">
            <v>gracielazuleta19@gmail.com</v>
          </cell>
          <cell r="F232" t="str">
            <v>CARRERA 38  2 SUR  71</v>
          </cell>
          <cell r="G232" t="str">
            <v>05001</v>
          </cell>
        </row>
        <row r="233">
          <cell r="A233" t="str">
            <v>900704930</v>
          </cell>
          <cell r="B233" t="str">
            <v>1</v>
          </cell>
          <cell r="C233" t="str">
            <v>CONJUNTO RESIDENCIAL TORRE GENESIS PROPIEDAD HORIZONTAL</v>
          </cell>
          <cell r="D233" t="str">
            <v>3104255767</v>
          </cell>
          <cell r="E233" t="str">
            <v>compras@abelardoyepes.com</v>
          </cell>
          <cell r="F233" t="str">
            <v>CARRERA 29 A  5 SUR  95</v>
          </cell>
          <cell r="G233" t="str">
            <v>05001</v>
          </cell>
        </row>
        <row r="234">
          <cell r="A234" t="str">
            <v>900722301</v>
          </cell>
          <cell r="B234" t="str">
            <v>5</v>
          </cell>
          <cell r="C234" t="str">
            <v>CONJUNTO RESIDENCIAL CERATTO EPATA I - PROPIEDAD HORIZONTAL</v>
          </cell>
          <cell r="D234" t="str">
            <v>3015466459</v>
          </cell>
          <cell r="E234" t="str">
            <v>facturacion@ceratto.com.co</v>
          </cell>
          <cell r="F234" t="str">
            <v>CARRERA 37 A  29  56</v>
          </cell>
          <cell r="G234" t="str">
            <v>05001</v>
          </cell>
        </row>
        <row r="235">
          <cell r="A235" t="str">
            <v>900731875</v>
          </cell>
          <cell r="B235" t="str">
            <v>9</v>
          </cell>
          <cell r="C235" t="str">
            <v>EDIFICIO MACANA PROPIEDAD HORIZONTAL</v>
          </cell>
          <cell r="D235" t="str">
            <v>5701747</v>
          </cell>
          <cell r="E235" t="str">
            <v>edificiomacana@gmail.com</v>
          </cell>
          <cell r="F235" t="str">
            <v>CARRERA 37  2 SUR  15</v>
          </cell>
          <cell r="G235" t="str">
            <v>05001</v>
          </cell>
        </row>
        <row r="236">
          <cell r="A236" t="str">
            <v>900733526</v>
          </cell>
          <cell r="B236" t="str">
            <v>2</v>
          </cell>
          <cell r="C236" t="str">
            <v>EDIFICIO NUEVO PORTAL PROPIEDAD HORIZONTAL</v>
          </cell>
          <cell r="D236" t="str">
            <v>5705703</v>
          </cell>
          <cell r="E236" t="str">
            <v>edilma.carmona@outlook.com</v>
          </cell>
          <cell r="F236" t="str">
            <v>CALLE 49 D  86  35</v>
          </cell>
          <cell r="G236" t="str">
            <v>05001</v>
          </cell>
        </row>
        <row r="237">
          <cell r="A237" t="str">
            <v>900733612</v>
          </cell>
          <cell r="B237" t="str">
            <v>8</v>
          </cell>
          <cell r="C237" t="str">
            <v>EDIFICIO MONTECLARO PROPIEDAD HORIZONTAL</v>
          </cell>
          <cell r="D237" t="str">
            <v>4118689</v>
          </cell>
          <cell r="E237" t="str">
            <v>edificiomonteclaroph@gmail.com</v>
          </cell>
          <cell r="F237" t="str">
            <v>CARRERA 73 C  74  247</v>
          </cell>
          <cell r="G237" t="str">
            <v>05001</v>
          </cell>
        </row>
        <row r="238">
          <cell r="A238" t="str">
            <v>900739470</v>
          </cell>
          <cell r="B238" t="str">
            <v>6</v>
          </cell>
          <cell r="C238" t="str">
            <v>G KOI S.A.S.</v>
          </cell>
          <cell r="D238" t="str">
            <v>3 1 0 2 7 3 1 3 5 3</v>
          </cell>
          <cell r="E238" t="str">
            <v>fe@grupokoi.co</v>
          </cell>
          <cell r="F238" t="str">
            <v>CL 49 27 A 65 P 7 ED KBC</v>
          </cell>
          <cell r="G238" t="str">
            <v>05001</v>
          </cell>
        </row>
        <row r="239">
          <cell r="A239" t="str">
            <v>900743080</v>
          </cell>
          <cell r="B239" t="str">
            <v>2</v>
          </cell>
          <cell r="C239" t="str">
            <v>SMART TRAVELS S.A.S.</v>
          </cell>
          <cell r="D239" t="str">
            <v>316 3302586</v>
          </cell>
          <cell r="E239" t="str">
            <v>comercialgreenview@gmail.com</v>
          </cell>
          <cell r="F239" t="str">
            <v>CALLE 14 # 30 - 144</v>
          </cell>
          <cell r="G239" t="str">
            <v>05001</v>
          </cell>
        </row>
        <row r="240">
          <cell r="A240" t="str">
            <v>900744369</v>
          </cell>
          <cell r="B240" t="str">
            <v>1</v>
          </cell>
          <cell r="C240" t="str">
            <v>EDIFICIO CASTROPOL SEÑORIAL II PROPIEDAD HORIZONTAL</v>
          </cell>
          <cell r="D240" t="str">
            <v>3105442056</v>
          </cell>
          <cell r="E240" t="str">
            <v>edificiocastropolsenorial1@gmail.com</v>
          </cell>
          <cell r="F240" t="str">
            <v>CARRERA 42  18 B  31</v>
          </cell>
          <cell r="G240" t="str">
            <v>05001</v>
          </cell>
        </row>
        <row r="241">
          <cell r="A241" t="str">
            <v>900747073</v>
          </cell>
          <cell r="B241" t="str">
            <v>9</v>
          </cell>
          <cell r="C241" t="str">
            <v>COMERCIALIZADORA CENTER S.A.S.</v>
          </cell>
          <cell r="D241" t="str">
            <v>6740764</v>
          </cell>
          <cell r="E241" t="str">
            <v>facteleccentersas@gmail.com</v>
          </cell>
          <cell r="F241" t="str">
            <v>CALLE 32  18  25 PISO 2</v>
          </cell>
          <cell r="G241" t="str">
            <v>05001</v>
          </cell>
        </row>
        <row r="242">
          <cell r="A242" t="str">
            <v>900749528</v>
          </cell>
          <cell r="B242" t="str">
            <v>7</v>
          </cell>
          <cell r="C242" t="str">
            <v>EDIFICIO FOREVER - PROPIEDAD HORIZONTAL</v>
          </cell>
          <cell r="D242" t="str">
            <v>3216973403</v>
          </cell>
          <cell r="E242" t="str">
            <v>anamcifuentes@boteroyepes.com</v>
          </cell>
          <cell r="F242" t="str">
            <v>CARRERA 32  10  224</v>
          </cell>
          <cell r="G242" t="str">
            <v>05001</v>
          </cell>
        </row>
        <row r="243">
          <cell r="A243" t="str">
            <v>900754643</v>
          </cell>
          <cell r="B243" t="str">
            <v>6</v>
          </cell>
          <cell r="C243" t="str">
            <v>CONJUNTO RESIDENCIAL ANTARES TORRE 1 - PROPIEDAD HORIZONTAL</v>
          </cell>
          <cell r="D243" t="str">
            <v>3044752095</v>
          </cell>
          <cell r="E243" t="str">
            <v>conjuntoresidencialantares@gmail.com</v>
          </cell>
          <cell r="F243" t="str">
            <v>CALLE 32 C  29  61</v>
          </cell>
          <cell r="G243" t="str">
            <v>05001</v>
          </cell>
        </row>
        <row r="244">
          <cell r="A244" t="str">
            <v>900756946</v>
          </cell>
          <cell r="B244" t="str">
            <v>1</v>
          </cell>
          <cell r="C244" t="str">
            <v>EDIFICIO DE USO MIXTO PORTAL DE SAN IGNACIO PROPIEDAD HORIZONTAL</v>
          </cell>
          <cell r="D244" t="str">
            <v>4440375</v>
          </cell>
          <cell r="E244" t="str">
            <v>facturacion@estiloingenieria.com</v>
          </cell>
          <cell r="F244" t="str">
            <v>CALLE 49  40  44</v>
          </cell>
          <cell r="G244" t="str">
            <v>05001</v>
          </cell>
        </row>
        <row r="245">
          <cell r="A245" t="str">
            <v>900767329</v>
          </cell>
          <cell r="B245" t="str">
            <v>4</v>
          </cell>
          <cell r="C245" t="str">
            <v>EDIFICIO AZURE - PROPIEDAD HORIZONTAL</v>
          </cell>
          <cell r="D245" t="str">
            <v>3174407382</v>
          </cell>
          <cell r="E245" t="str">
            <v>edazureph@gmail.com</v>
          </cell>
          <cell r="F245" t="str">
            <v>CALLE 35  65 B  31</v>
          </cell>
          <cell r="G245" t="str">
            <v>05001</v>
          </cell>
        </row>
        <row r="246">
          <cell r="A246" t="str">
            <v>900769797</v>
          </cell>
          <cell r="B246" t="str">
            <v>7</v>
          </cell>
          <cell r="C246" t="str">
            <v>TRAZOS URBANOS S.A.S.</v>
          </cell>
          <cell r="D246" t="str">
            <v>3228907</v>
          </cell>
          <cell r="E246" t="str">
            <v>facturacionobralomar@trazosurbanos.com.co</v>
          </cell>
          <cell r="F246" t="str">
            <v>CR 42 14 11 OF 605 ED CASTROPOL PLAZA</v>
          </cell>
          <cell r="G246" t="str">
            <v>05001</v>
          </cell>
        </row>
        <row r="247">
          <cell r="A247" t="str">
            <v>900773333</v>
          </cell>
          <cell r="B247" t="str">
            <v>9</v>
          </cell>
          <cell r="C247" t="str">
            <v>EDIFICIO FRONTERA DE LA PILARICA PROPIEDAD HORIZONTAL</v>
          </cell>
          <cell r="D247" t="str">
            <v>3222106</v>
          </cell>
          <cell r="E247" t="str">
            <v>fronteradelapilarica@gmail.com</v>
          </cell>
          <cell r="F247" t="str">
            <v>DIAGONAL 81 B  76  119</v>
          </cell>
          <cell r="G247" t="str">
            <v>05001</v>
          </cell>
        </row>
        <row r="248">
          <cell r="A248" t="str">
            <v>900773551</v>
          </cell>
          <cell r="B248" t="str">
            <v>8</v>
          </cell>
          <cell r="C248" t="str">
            <v>URBANIZACION CELESTE - PROPIEDAD HORIZONTAL</v>
          </cell>
          <cell r="D248" t="str">
            <v>3006037536</v>
          </cell>
          <cell r="E248" t="str">
            <v>urbceleste@gmail.com</v>
          </cell>
          <cell r="F248" t="str">
            <v>CR 65 52 B SUR 58 CORR DE SAN ANTONIO DE PRADO</v>
          </cell>
          <cell r="G248" t="str">
            <v>05001</v>
          </cell>
        </row>
        <row r="249">
          <cell r="A249" t="str">
            <v>900780145</v>
          </cell>
          <cell r="B249" t="str">
            <v>1</v>
          </cell>
          <cell r="C249" t="str">
            <v>ETAPA1 - TORRE A, DEL CONJUNTO RESIDENCIAL ESCALARES - PROPIEDAD HORIZONTAL</v>
          </cell>
          <cell r="D249" t="str">
            <v>5128348</v>
          </cell>
          <cell r="E249" t="str">
            <v>admonescalares@gmail.com</v>
          </cell>
          <cell r="F249" t="str">
            <v>CL 75 73 116</v>
          </cell>
          <cell r="G249" t="str">
            <v>05001</v>
          </cell>
        </row>
        <row r="250">
          <cell r="A250" t="str">
            <v>900791651</v>
          </cell>
          <cell r="B250" t="str">
            <v>2</v>
          </cell>
          <cell r="C250" t="str">
            <v>EDIFICIO CAMINO DEL ANGEL - PROPIEDAD HORIZONTAL</v>
          </cell>
          <cell r="D250" t="str">
            <v>3137333826</v>
          </cell>
          <cell r="E250" t="str">
            <v>caminodelangelph@gmail.com</v>
          </cell>
          <cell r="F250" t="str">
            <v>CARRERA 45  15 SUR  102</v>
          </cell>
          <cell r="G250" t="str">
            <v>05001</v>
          </cell>
        </row>
        <row r="251">
          <cell r="A251" t="str">
            <v>900792136</v>
          </cell>
          <cell r="B251" t="str">
            <v>5</v>
          </cell>
          <cell r="C251" t="str">
            <v>URBANIZACION GREEN ECOLIVING - PROPIEDAD HORIZONTAL</v>
          </cell>
          <cell r="D251" t="str">
            <v>2996612</v>
          </cell>
          <cell r="E251" t="str">
            <v>caja@unidadesurbanas.com</v>
          </cell>
          <cell r="F251" t="str">
            <v>CARRERA 30  16 A SUR  116</v>
          </cell>
          <cell r="G251" t="str">
            <v>05001</v>
          </cell>
        </row>
        <row r="252">
          <cell r="A252" t="str">
            <v>900793123</v>
          </cell>
          <cell r="B252" t="str">
            <v>4</v>
          </cell>
          <cell r="C252" t="str">
            <v>LA TOSCANA - PROPIEDAD HORIZONTAL</v>
          </cell>
          <cell r="D252" t="str">
            <v>4172979</v>
          </cell>
          <cell r="E252" t="str">
            <v>urbtoscana@gmail.com</v>
          </cell>
          <cell r="F252" t="str">
            <v>CARRERA 72  80 A  43</v>
          </cell>
          <cell r="G252" t="str">
            <v>05001</v>
          </cell>
        </row>
        <row r="253">
          <cell r="A253" t="str">
            <v>900798363</v>
          </cell>
          <cell r="B253" t="str">
            <v>8</v>
          </cell>
          <cell r="C253" t="str">
            <v>EDIFICIO OBRACATORCE - PROPIEDAD HORIZONTAL</v>
          </cell>
          <cell r="D253" t="str">
            <v>5786099</v>
          </cell>
          <cell r="E253" t="str">
            <v>compras@abelardoyepes.com</v>
          </cell>
          <cell r="F253" t="str">
            <v>CALLE 11  30 A  170</v>
          </cell>
          <cell r="G253" t="str">
            <v>05001</v>
          </cell>
        </row>
        <row r="254">
          <cell r="A254" t="str">
            <v>900803655</v>
          </cell>
          <cell r="B254" t="str">
            <v>5</v>
          </cell>
          <cell r="C254" t="str">
            <v>L &amp; L INGENIEROS CONSULTORES S.A.S</v>
          </cell>
          <cell r="D254" t="str">
            <v>3003724364- 2509736</v>
          </cell>
          <cell r="E254" t="str">
            <v>alaverde@lylconsultores.co</v>
          </cell>
          <cell r="F254" t="str">
            <v>CALLE 32E N° 80A 90</v>
          </cell>
          <cell r="G254" t="str">
            <v>05001</v>
          </cell>
        </row>
        <row r="255">
          <cell r="A255" t="str">
            <v>900808261</v>
          </cell>
          <cell r="B255" t="str">
            <v>1</v>
          </cell>
          <cell r="C255" t="str">
            <v>EDIFICIO PIETRASANTA II - PROPIEDAD HORIZONTAL</v>
          </cell>
          <cell r="D255" t="str">
            <v>3325973</v>
          </cell>
          <cell r="E255" t="str">
            <v>info@gerenciar1.com</v>
          </cell>
          <cell r="F255" t="str">
            <v>CALLE 74  72 A  126</v>
          </cell>
          <cell r="G255" t="str">
            <v>05001</v>
          </cell>
        </row>
        <row r="256">
          <cell r="A256" t="str">
            <v>900814875</v>
          </cell>
          <cell r="B256" t="str">
            <v>6</v>
          </cell>
          <cell r="C256" t="str">
            <v>BONSOL HOTELS GESTION COLOMBIA S.A.S.</v>
          </cell>
          <cell r="D256">
            <v>3219664011</v>
          </cell>
          <cell r="E256" t="str">
            <v>900814875@factureinbox.co</v>
          </cell>
          <cell r="F256" t="str">
            <v>CARRERA 38  10  36 OFICINA TORRE MILENIO</v>
          </cell>
          <cell r="G256" t="str">
            <v>05001</v>
          </cell>
        </row>
        <row r="257">
          <cell r="A257" t="str">
            <v>900821877</v>
          </cell>
          <cell r="B257" t="str">
            <v>1</v>
          </cell>
          <cell r="C257" t="str">
            <v>CONJUNTO RESIDENCIAL ANTARES TORRE 2 - PROPIEDAD HORIZONTAL</v>
          </cell>
          <cell r="D257" t="str">
            <v>3044752095</v>
          </cell>
          <cell r="E257" t="str">
            <v>pagos.aph@gmail.com</v>
          </cell>
          <cell r="F257" t="str">
            <v>CALLE 32 C  28 C  63</v>
          </cell>
          <cell r="G257" t="str">
            <v>05001</v>
          </cell>
        </row>
        <row r="258">
          <cell r="A258" t="str">
            <v>900832984</v>
          </cell>
          <cell r="B258" t="str">
            <v>7</v>
          </cell>
          <cell r="C258" t="str">
            <v>EDIFICIO DE USO MIXTO "TORRE MADEIRA - PROPIEDAD HORIZONTAL"</v>
          </cell>
          <cell r="D258" t="str">
            <v>3003425971</v>
          </cell>
          <cell r="E258" t="str">
            <v>admonisaza@hotmail.com</v>
          </cell>
          <cell r="F258" t="str">
            <v>CALLE 42 Nro. 103-
39/41</v>
          </cell>
          <cell r="G258" t="str">
            <v>05001</v>
          </cell>
        </row>
        <row r="259">
          <cell r="A259" t="str">
            <v>900839941</v>
          </cell>
          <cell r="B259" t="str">
            <v>2</v>
          </cell>
          <cell r="C259" t="str">
            <v>CONJUNTO DE USO MIXTO BASALTO - PROPIEDAD HORIZONTAL</v>
          </cell>
          <cell r="D259" t="str">
            <v>2977984</v>
          </cell>
          <cell r="E259" t="str">
            <v>basaltoph@gmail.com</v>
          </cell>
          <cell r="F259" t="str">
            <v>CALLE 61  75  153</v>
          </cell>
          <cell r="G259" t="str">
            <v>05001</v>
          </cell>
        </row>
        <row r="260">
          <cell r="A260" t="str">
            <v>900845628</v>
          </cell>
          <cell r="B260" t="str">
            <v>6</v>
          </cell>
          <cell r="C260" t="str">
            <v>EDIFICIO BICENTENARIO DE LA PLAYA - PROPIEDAD HORIZONTAL</v>
          </cell>
          <cell r="D260" t="str">
            <v>3104655615</v>
          </cell>
          <cell r="E260" t="str">
            <v>bicentenario@ambientehorizontal.com</v>
          </cell>
          <cell r="F260" t="str">
            <v>CALLE 51  38  45</v>
          </cell>
          <cell r="G260" t="str">
            <v>05001</v>
          </cell>
        </row>
        <row r="261">
          <cell r="A261" t="str">
            <v>900860036</v>
          </cell>
          <cell r="B261" t="str">
            <v>9</v>
          </cell>
          <cell r="C261" t="str">
            <v>HOTEL VIVRE S.A.S</v>
          </cell>
          <cell r="D261" t="str">
            <v>4114242</v>
          </cell>
          <cell r="E261" t="str">
            <v>contabilidad@hotelvivre.com</v>
          </cell>
          <cell r="F261" t="str">
            <v>CARRERA 70 A  42  39</v>
          </cell>
          <cell r="G261" t="str">
            <v>05001</v>
          </cell>
        </row>
        <row r="262">
          <cell r="A262" t="str">
            <v>900864734</v>
          </cell>
          <cell r="B262" t="str">
            <v>1</v>
          </cell>
          <cell r="C262" t="str">
            <v>EDIFICIO MANANTIAL - PROPIEDAD HORIZONTAL</v>
          </cell>
          <cell r="D262" t="str">
            <v>4140019</v>
          </cell>
          <cell r="E262" t="str">
            <v>casablancainmobiliariamedellin@gmail.com</v>
          </cell>
          <cell r="F262" t="str">
            <v>CALLE 49  39  65</v>
          </cell>
          <cell r="G262" t="str">
            <v>05001</v>
          </cell>
        </row>
        <row r="263">
          <cell r="A263" t="str">
            <v>900865345</v>
          </cell>
          <cell r="B263" t="str">
            <v>2</v>
          </cell>
          <cell r="C263" t="str">
            <v>URBANIZACIÓN ROMA APARTAMENTOS - PROPIEDAD HORIZONTAL</v>
          </cell>
          <cell r="D263" t="str">
            <v>4449624</v>
          </cell>
          <cell r="E263" t="str">
            <v>facturacion@estiloingenieria.com</v>
          </cell>
          <cell r="F263" t="str">
            <v>CALLE 15 A  35 A  100</v>
          </cell>
          <cell r="G263" t="str">
            <v>05001</v>
          </cell>
        </row>
        <row r="264">
          <cell r="A264" t="str">
            <v>900869628</v>
          </cell>
          <cell r="B264" t="str">
            <v>1</v>
          </cell>
          <cell r="C264" t="str">
            <v>EDIFICIO PRADO DE SAN NICOLAS - PROPIEDAD HORIZONTAL</v>
          </cell>
          <cell r="D264" t="str">
            <v>2971518</v>
          </cell>
          <cell r="E264" t="str">
            <v>pradosannicolas@gmail.com</v>
          </cell>
          <cell r="F264" t="str">
            <v>CARRERA 46  63 A  12</v>
          </cell>
          <cell r="G264" t="str">
            <v>05001</v>
          </cell>
        </row>
        <row r="265">
          <cell r="A265" t="str">
            <v>900870994</v>
          </cell>
          <cell r="B265" t="str">
            <v>2</v>
          </cell>
          <cell r="C265" t="str">
            <v>CONJUNTO LA PLAZA - PROPIEDAD HORIZONTAL</v>
          </cell>
          <cell r="D265" t="str">
            <v>3104494691</v>
          </cell>
          <cell r="E265" t="str">
            <v>conjuntolaplazaph@gmail.com</v>
          </cell>
          <cell r="F265" t="str">
            <v>CARRERA 81 A  4 G  40</v>
          </cell>
          <cell r="G265" t="str">
            <v>05001</v>
          </cell>
        </row>
        <row r="266">
          <cell r="A266" t="str">
            <v>900877247</v>
          </cell>
          <cell r="B266" t="str">
            <v>0</v>
          </cell>
          <cell r="C266" t="str">
            <v>EDIFICIO SAN PIETRO - PROPIEDAD HORIZONTAL</v>
          </cell>
          <cell r="D266" t="str">
            <v>3104473866</v>
          </cell>
          <cell r="E266" t="str">
            <v>ybetancur1@hotmail.com</v>
          </cell>
          <cell r="F266" t="str">
            <v>CALLE 33 A  76  38</v>
          </cell>
          <cell r="G266" t="str">
            <v>05001</v>
          </cell>
        </row>
        <row r="267">
          <cell r="A267" t="str">
            <v>900881744</v>
          </cell>
          <cell r="B267" t="str">
            <v>5</v>
          </cell>
          <cell r="C267" t="str">
            <v>EDIFICIO ESTADIO SEÑORIAL - PROPIEDAD HORIZONTAL</v>
          </cell>
          <cell r="D267" t="str">
            <v>3153035275</v>
          </cell>
          <cell r="E267" t="str">
            <v>zonascomunes@yahoo.com.co</v>
          </cell>
          <cell r="F267" t="str">
            <v>CALLE 49 A  76 A  27</v>
          </cell>
          <cell r="G267" t="str">
            <v>05001</v>
          </cell>
        </row>
        <row r="268">
          <cell r="A268" t="str">
            <v>900884042</v>
          </cell>
          <cell r="B268" t="str">
            <v>7</v>
          </cell>
          <cell r="C268" t="str">
            <v>INVERSIONES BUR S.A.S.</v>
          </cell>
          <cell r="D268" t="str">
            <v>5811171</v>
          </cell>
          <cell r="E268" t="str">
            <v>pipeuribe10@hotmail.com</v>
          </cell>
          <cell r="F268" t="str">
            <v>CALLE 52  71 A  76</v>
          </cell>
          <cell r="G268" t="str">
            <v>05001</v>
          </cell>
        </row>
        <row r="269">
          <cell r="A269" t="str">
            <v>900891014</v>
          </cell>
          <cell r="B269" t="str">
            <v>1</v>
          </cell>
          <cell r="C269" t="str">
            <v>EDIFICIO FIORENZE - PROPIEDAD HORIZONTAL</v>
          </cell>
          <cell r="D269" t="str">
            <v>3146068749</v>
          </cell>
          <cell r="E269" t="str">
            <v>ed.fiorenze@gmail.com</v>
          </cell>
          <cell r="F269" t="str">
            <v>CALLE 37  78  57</v>
          </cell>
          <cell r="G269" t="str">
            <v>05001</v>
          </cell>
        </row>
        <row r="270">
          <cell r="A270" t="str">
            <v>900900203</v>
          </cell>
          <cell r="B270" t="str">
            <v>5</v>
          </cell>
          <cell r="C270" t="str">
            <v>EDIFICIO LEMONT - PROPIEDAD HORIZONTAL</v>
          </cell>
          <cell r="D270" t="str">
            <v>3206668651</v>
          </cell>
          <cell r="E270" t="str">
            <v>admonedificiolemont@gmail.com</v>
          </cell>
          <cell r="F270" t="str">
            <v>CARRERA 78  35  33</v>
          </cell>
          <cell r="G270" t="str">
            <v>05001</v>
          </cell>
        </row>
        <row r="271">
          <cell r="A271" t="str">
            <v>900903072</v>
          </cell>
          <cell r="B271" t="str">
            <v>0</v>
          </cell>
          <cell r="C271" t="str">
            <v>CONJUNTO RESIDENCIAL URBANIZACIÓN EL POMAR - PROPIEDAD HORIZONTAL</v>
          </cell>
          <cell r="D271" t="str">
            <v>4447661</v>
          </cell>
          <cell r="E271" t="str">
            <v>facturaspomarph@gmail.com</v>
          </cell>
          <cell r="F271" t="str">
            <v>CARRERA 98  64 B  35</v>
          </cell>
          <cell r="G271" t="str">
            <v>05001</v>
          </cell>
        </row>
        <row r="272">
          <cell r="A272" t="str">
            <v>900911827</v>
          </cell>
          <cell r="B272" t="str">
            <v>8</v>
          </cell>
          <cell r="C272" t="str">
            <v>ENERGY LIVING PROPIEDAD HORIZONTAL</v>
          </cell>
          <cell r="D272" t="str">
            <v>3521512</v>
          </cell>
          <cell r="E272" t="str">
            <v>trueandsecuritmed@gmail.com</v>
          </cell>
          <cell r="F272" t="str">
            <v>CARRERA 30  10  225</v>
          </cell>
          <cell r="G272" t="str">
            <v>05001</v>
          </cell>
        </row>
        <row r="273">
          <cell r="A273" t="str">
            <v>900918152</v>
          </cell>
          <cell r="B273" t="str">
            <v>7</v>
          </cell>
          <cell r="C273" t="str">
            <v>CONJUNTO DE USO MIXTO PIZARRA - PROPIEDAD HORIZONTAL</v>
          </cell>
          <cell r="D273" t="str">
            <v>3162501877</v>
          </cell>
          <cell r="E273" t="str">
            <v>admonpizarra@gmail.com</v>
          </cell>
          <cell r="F273" t="str">
            <v>CALLE 61  75  116</v>
          </cell>
          <cell r="G273" t="str">
            <v>05001</v>
          </cell>
        </row>
        <row r="274">
          <cell r="A274" t="str">
            <v>900923220</v>
          </cell>
          <cell r="B274" t="str">
            <v>1</v>
          </cell>
          <cell r="C274" t="str">
            <v>"VILLAMAYOR - PROPIEDAD HORIZONTAL"</v>
          </cell>
          <cell r="D274" t="str">
            <v>2653801</v>
          </cell>
          <cell r="E274" t="str">
            <v>edivillamayorph@hotmail.com</v>
          </cell>
          <cell r="F274" t="str">
            <v>CL 81 A 33 89</v>
          </cell>
          <cell r="G274" t="str">
            <v>05001</v>
          </cell>
        </row>
        <row r="275">
          <cell r="A275" t="str">
            <v>900923608</v>
          </cell>
          <cell r="B275" t="str">
            <v>3</v>
          </cell>
          <cell r="C275" t="str">
            <v>LINEA RECTA S.A.S</v>
          </cell>
          <cell r="D275" t="str">
            <v>4089692</v>
          </cell>
          <cell r="E275" t="str">
            <v>facturacion.linearecta@gmail.com</v>
          </cell>
          <cell r="F275" t="str">
            <v>CALLE 61 No.52-31</v>
          </cell>
          <cell r="G275" t="str">
            <v>05001</v>
          </cell>
        </row>
        <row r="276">
          <cell r="A276" t="str">
            <v>900923712</v>
          </cell>
          <cell r="B276" t="str">
            <v>1</v>
          </cell>
          <cell r="C276" t="str">
            <v>EDIFICIO ANCON - PROPIEDAD HORIZONTAL</v>
          </cell>
          <cell r="D276" t="str">
            <v>3122335074</v>
          </cell>
          <cell r="E276" t="str">
            <v>edificioancon75c@gmail.com</v>
          </cell>
          <cell r="F276" t="str">
            <v>DIAGONAL 75 C  32 E  47</v>
          </cell>
          <cell r="G276" t="str">
            <v>05001</v>
          </cell>
        </row>
        <row r="277">
          <cell r="A277" t="str">
            <v>900931547</v>
          </cell>
          <cell r="B277" t="str">
            <v>6</v>
          </cell>
          <cell r="C277" t="str">
            <v>EDIFICIO NUEVO ORIENTE - PROPIEDAD HORIZONTAL</v>
          </cell>
          <cell r="D277" t="str">
            <v>2984439</v>
          </cell>
          <cell r="E277" t="str">
            <v>ednuevooriente@gmail.com</v>
          </cell>
          <cell r="F277" t="str">
            <v>CALLE 49  39  16</v>
          </cell>
          <cell r="G277" t="str">
            <v>05001</v>
          </cell>
        </row>
        <row r="278">
          <cell r="A278" t="str">
            <v>900943183</v>
          </cell>
          <cell r="B278" t="str">
            <v>0</v>
          </cell>
          <cell r="C278" t="str">
            <v>EDIFICIO HABITAT 77-PROPIEDAD HORIZONTAL</v>
          </cell>
          <cell r="D278">
            <v>3219664011</v>
          </cell>
          <cell r="E278" t="str">
            <v>isabelcanoph@gmail.com</v>
          </cell>
          <cell r="F278" t="str">
            <v>CARRERA 77  38  92</v>
          </cell>
          <cell r="G278" t="str">
            <v>05001</v>
          </cell>
        </row>
        <row r="279">
          <cell r="A279" t="str">
            <v>900954540</v>
          </cell>
          <cell r="B279" t="str">
            <v>4</v>
          </cell>
          <cell r="C279" t="str">
            <v>EDIFICIO PALMA SORIANO PROPIEDAD HORIZONTAL</v>
          </cell>
          <cell r="D279" t="str">
            <v>4486744</v>
          </cell>
          <cell r="E279" t="str">
            <v>admoncimainmobiliaria@gmail.com</v>
          </cell>
          <cell r="F279" t="str">
            <v>CARRERA 81 A  48 B  49</v>
          </cell>
          <cell r="G279" t="str">
            <v>05001</v>
          </cell>
        </row>
        <row r="280">
          <cell r="A280" t="str">
            <v>900965897</v>
          </cell>
          <cell r="B280" t="str">
            <v>5</v>
          </cell>
          <cell r="C280" t="str">
            <v>EDIFICIO FARO DEL VELODROMO PROPIEDAD HORIZONTAL</v>
          </cell>
          <cell r="D280" t="str">
            <v>3135615670</v>
          </cell>
          <cell r="E280" t="str">
            <v>farodelvelodromo2@hotmail.com</v>
          </cell>
          <cell r="F280" t="str">
            <v>CALLE 45 F F  77 A  134</v>
          </cell>
          <cell r="G280" t="str">
            <v>05001</v>
          </cell>
        </row>
        <row r="281">
          <cell r="A281" t="str">
            <v>900966876</v>
          </cell>
          <cell r="B281" t="str">
            <v>5</v>
          </cell>
          <cell r="C281" t="str">
            <v>EDIFICIO TORRELUNA - PROPIEDAD HORIZONTAL</v>
          </cell>
          <cell r="D281" t="str">
            <v>3144642068</v>
          </cell>
          <cell r="E281" t="str">
            <v>edificiotorreluna8915@gmail.com</v>
          </cell>
          <cell r="F281" t="str">
            <v>CARRERA 52  89  15</v>
          </cell>
          <cell r="G281" t="str">
            <v>05001</v>
          </cell>
        </row>
        <row r="282">
          <cell r="A282" t="str">
            <v>900968167</v>
          </cell>
          <cell r="B282" t="str">
            <v>0</v>
          </cell>
          <cell r="C282" t="str">
            <v>CONJUNTO DE USO MIXTO OBRASQUINCE - PROPIEDAD HORIZONTAL</v>
          </cell>
          <cell r="D282" t="str">
            <v>3137333826</v>
          </cell>
          <cell r="E282" t="str">
            <v>obraquince@gmail.com</v>
          </cell>
          <cell r="F282" t="str">
            <v>CARRERA 36  1 SUR  15</v>
          </cell>
          <cell r="G282" t="str">
            <v>05001</v>
          </cell>
        </row>
        <row r="283">
          <cell r="A283" t="str">
            <v>900983633</v>
          </cell>
          <cell r="B283" t="str">
            <v>4</v>
          </cell>
          <cell r="C283" t="str">
            <v>CÍNGULAR SORELLANZA S.A.S.</v>
          </cell>
          <cell r="D283" t="str">
            <v>3188278653</v>
          </cell>
          <cell r="E283" t="str">
            <v>manuela.pelaez@casacol.co</v>
          </cell>
          <cell r="F283" t="str">
            <v>CARRERA 37 A  8 A  38</v>
          </cell>
          <cell r="G283" t="str">
            <v>05001</v>
          </cell>
        </row>
        <row r="284">
          <cell r="A284" t="str">
            <v>900986931</v>
          </cell>
          <cell r="B284" t="str">
            <v>8</v>
          </cell>
          <cell r="C284" t="str">
            <v>EDIFICIO DE USO MIXTO MUGICA- PROPIEDAD HORIZONTAL</v>
          </cell>
          <cell r="D284" t="str">
            <v>3113745540</v>
          </cell>
          <cell r="E284" t="str">
            <v>edificiomugica@gmail.com</v>
          </cell>
          <cell r="F284" t="str">
            <v>DIAGONAL 75 B  32 B B  85</v>
          </cell>
          <cell r="G284" t="str">
            <v>05001</v>
          </cell>
        </row>
        <row r="285">
          <cell r="A285" t="str">
            <v>901014692</v>
          </cell>
          <cell r="B285" t="str">
            <v>6</v>
          </cell>
          <cell r="C285" t="str">
            <v>MAN &amp; OBRA S.A.S.</v>
          </cell>
          <cell r="D285" t="str">
            <v>3176432327</v>
          </cell>
          <cell r="E285" t="str">
            <v>maniobra@maniobra.com.co</v>
          </cell>
          <cell r="F285" t="str">
            <v>CL 64 A 94 B 47 IN 301</v>
          </cell>
          <cell r="G285" t="str">
            <v>05001</v>
          </cell>
        </row>
        <row r="286">
          <cell r="A286" t="str">
            <v>901017111</v>
          </cell>
          <cell r="B286" t="str">
            <v>2</v>
          </cell>
          <cell r="C286" t="str">
            <v>CONJUNTO DE USO MIXTO PERLATO P.H.</v>
          </cell>
          <cell r="D286" t="str">
            <v>3019546</v>
          </cell>
          <cell r="E286" t="str">
            <v>pagos.perlato@gmail.com</v>
          </cell>
          <cell r="F286" t="str">
            <v>CALLE 63  76  55</v>
          </cell>
          <cell r="G286" t="str">
            <v>05001</v>
          </cell>
        </row>
        <row r="287">
          <cell r="A287" t="str">
            <v>901017979</v>
          </cell>
          <cell r="B287" t="str">
            <v>8</v>
          </cell>
          <cell r="C287" t="str">
            <v>SELECT PROPIEDAD HORIZONTAL</v>
          </cell>
          <cell r="D287" t="str">
            <v>2667435</v>
          </cell>
          <cell r="E287" t="str">
            <v>proveedores@edificioselect.com</v>
          </cell>
          <cell r="F287" t="str">
            <v>CARRERA 30  10 C  134</v>
          </cell>
          <cell r="G287" t="str">
            <v>05001</v>
          </cell>
        </row>
        <row r="288">
          <cell r="A288" t="str">
            <v>901018344</v>
          </cell>
          <cell r="B288" t="str">
            <v>6</v>
          </cell>
          <cell r="C288" t="str">
            <v>EDIFICIO ITACA - PROPIEDAD HORIZONTAL</v>
          </cell>
          <cell r="D288" t="str">
            <v>4195227</v>
          </cell>
          <cell r="E288" t="str">
            <v>edificio.itaca@hotmail.com</v>
          </cell>
          <cell r="F288" t="str">
            <v>CALLE 74 A  73  40</v>
          </cell>
          <cell r="G288" t="str">
            <v>05001</v>
          </cell>
        </row>
        <row r="289">
          <cell r="A289" t="str">
            <v>901020093</v>
          </cell>
          <cell r="B289" t="str">
            <v>9</v>
          </cell>
          <cell r="C289" t="str">
            <v>URBANIZACION BOSQUE VERDE  P.H.</v>
          </cell>
          <cell r="D289">
            <v>3219664011</v>
          </cell>
          <cell r="E289" t="str">
            <v>bosqueverdeph@gmail.com</v>
          </cell>
          <cell r="F289" t="str">
            <v>CARRERA 6 A  47 A  40</v>
          </cell>
          <cell r="G289" t="str">
            <v>05001</v>
          </cell>
        </row>
        <row r="290">
          <cell r="A290" t="str">
            <v>901020337</v>
          </cell>
          <cell r="B290" t="str">
            <v>0</v>
          </cell>
          <cell r="C290" t="str">
            <v>CONJUNTO DE USO MIXTO CITRINO - PROPIEDAD HORIZONTAL</v>
          </cell>
          <cell r="D290" t="str">
            <v>3022872224</v>
          </cell>
          <cell r="E290" t="str">
            <v>admon.citrino@gmail.com</v>
          </cell>
          <cell r="F290" t="str">
            <v>CARRERA 77  60  70</v>
          </cell>
          <cell r="G290" t="str">
            <v>05001</v>
          </cell>
        </row>
        <row r="291">
          <cell r="A291" t="str">
            <v>901028022</v>
          </cell>
          <cell r="B291" t="str">
            <v>2</v>
          </cell>
          <cell r="C291" t="str">
            <v>EDIFICIO TERRAZAS DEL ENCANTO - PROPIEDAD HORIZONTAL</v>
          </cell>
          <cell r="D291" t="str">
            <v>2326801</v>
          </cell>
          <cell r="E291" t="str">
            <v>terrazasdelencanto@gmail.com</v>
          </cell>
          <cell r="F291" t="str">
            <v>CALLE 24  39 A  408</v>
          </cell>
          <cell r="G291" t="str">
            <v>05001</v>
          </cell>
        </row>
        <row r="292">
          <cell r="A292" t="str">
            <v>901028679</v>
          </cell>
          <cell r="B292" t="str">
            <v>0</v>
          </cell>
          <cell r="C292" t="str">
            <v>"CONJUNTO DE USO MIXTO MADRID APARTAMENTOS - PROPIEDAD HORIZONTAL"</v>
          </cell>
          <cell r="D292" t="str">
            <v>5555555</v>
          </cell>
          <cell r="E292" t="str">
            <v>madridapartamentosph@hotmail.com</v>
          </cell>
          <cell r="F292" t="str">
            <v>TRANSVERSAL 53 A  65  70</v>
          </cell>
          <cell r="G292" t="str">
            <v>05001</v>
          </cell>
        </row>
        <row r="293">
          <cell r="A293" t="str">
            <v>901039644</v>
          </cell>
          <cell r="B293" t="str">
            <v>0</v>
          </cell>
          <cell r="C293" t="str">
            <v>PARADISE VALLEY SAS</v>
          </cell>
          <cell r="D293">
            <v>3219664011</v>
          </cell>
          <cell r="E293" t="str">
            <v>jmartinez@gutierrezgroup.com.co</v>
          </cell>
          <cell r="F293" t="str">
            <v>CALLE 7 SUR 42 70 ED FORUM OFC. 209</v>
          </cell>
          <cell r="G293" t="str">
            <v>05001</v>
          </cell>
        </row>
        <row r="294">
          <cell r="A294" t="str">
            <v>901039903</v>
          </cell>
          <cell r="B294" t="str">
            <v>3</v>
          </cell>
          <cell r="C294" t="str">
            <v>ADOSAGUAS S.A.S.</v>
          </cell>
          <cell r="D294" t="str">
            <v>3113652989</v>
          </cell>
          <cell r="E294" t="str">
            <v>adosaguasjcm@gmail.com</v>
          </cell>
          <cell r="F294" t="str">
            <v>CR 43 61 50</v>
          </cell>
          <cell r="G294" t="str">
            <v>05001</v>
          </cell>
        </row>
        <row r="295">
          <cell r="A295" t="str">
            <v>901044339</v>
          </cell>
          <cell r="B295" t="str">
            <v>9</v>
          </cell>
          <cell r="C295" t="str">
            <v>808 EMPRESARIAL  PROPIEDAD HORIZONTAL</v>
          </cell>
          <cell r="D295" t="str">
            <v>3006192376</v>
          </cell>
          <cell r="E295" t="str">
            <v>808empresarialph@gmail.com</v>
          </cell>
          <cell r="F295" t="str">
            <v>CARRERA 50 FF  8 SUR  27</v>
          </cell>
          <cell r="G295" t="str">
            <v>05001</v>
          </cell>
        </row>
        <row r="296">
          <cell r="A296" t="str">
            <v>901046794</v>
          </cell>
          <cell r="B296" t="str">
            <v>6</v>
          </cell>
          <cell r="C296" t="str">
            <v>EDIFICIO MATORRAL - PROPIEDAD HORIZONTAL</v>
          </cell>
          <cell r="D296" t="str">
            <v>3004402616</v>
          </cell>
          <cell r="E296" t="str">
            <v>auxgerenciaalemol@gmail.com</v>
          </cell>
          <cell r="F296" t="str">
            <v>CARRERA 40  10 A  46</v>
          </cell>
          <cell r="G296" t="str">
            <v>05001</v>
          </cell>
        </row>
        <row r="297">
          <cell r="A297" t="str">
            <v>901048144</v>
          </cell>
          <cell r="B297" t="str">
            <v>8</v>
          </cell>
          <cell r="C297" t="str">
            <v>EDIFICIO ARIAL PROPIEDAD HORIZONTAL</v>
          </cell>
          <cell r="D297" t="str">
            <v>3104486752</v>
          </cell>
          <cell r="E297" t="str">
            <v>EDIFICIOARIALPILARICA@GMAIL.COM</v>
          </cell>
          <cell r="F297" t="str">
            <v>CALLE 75  72 B  201</v>
          </cell>
          <cell r="G297" t="str">
            <v>05001</v>
          </cell>
        </row>
        <row r="298">
          <cell r="A298" t="str">
            <v>901051864</v>
          </cell>
          <cell r="B298" t="str">
            <v>3</v>
          </cell>
          <cell r="C298" t="str">
            <v>EDIFICIO WHITE - PROPIEDAD HORIZONTAL</v>
          </cell>
          <cell r="D298" t="str">
            <v>3148204043</v>
          </cell>
          <cell r="E298" t="str">
            <v>administrador1@admonyasesorias.com</v>
          </cell>
          <cell r="F298" t="str">
            <v>CARRERA 39  13 SUR  28</v>
          </cell>
          <cell r="G298" t="str">
            <v>05001</v>
          </cell>
        </row>
        <row r="299">
          <cell r="A299" t="str">
            <v>901066162</v>
          </cell>
          <cell r="B299" t="str">
            <v>7</v>
          </cell>
          <cell r="C299" t="str">
            <v>CONJUNTO RESIDENCIAL ANTARES ETAPA 3 TORRE 3 PROPIEDAD HORIZONTAL</v>
          </cell>
          <cell r="D299" t="str">
            <v>4484728</v>
          </cell>
          <cell r="E299" t="str">
            <v>pagos.aph@gmail.com</v>
          </cell>
          <cell r="F299" t="str">
            <v>CALLE 32 C  28 C  51</v>
          </cell>
          <cell r="G299" t="str">
            <v>05001</v>
          </cell>
        </row>
        <row r="300">
          <cell r="A300" t="str">
            <v>901070335</v>
          </cell>
          <cell r="B300" t="str">
            <v>1</v>
          </cell>
          <cell r="C300" t="str">
            <v>EDIFICIO EL SOL PROPIEDAD HORIZONTAL</v>
          </cell>
          <cell r="D300" t="str">
            <v>3007735534</v>
          </cell>
          <cell r="E300" t="str">
            <v>dhzuluaga@gmail.com</v>
          </cell>
          <cell r="F300" t="str">
            <v>CALLE 41  73  23</v>
          </cell>
          <cell r="G300" t="str">
            <v>05001</v>
          </cell>
        </row>
        <row r="301">
          <cell r="A301" t="str">
            <v>901083017</v>
          </cell>
          <cell r="B301" t="str">
            <v>9</v>
          </cell>
          <cell r="C301" t="str">
            <v>CONJUNTO INMOBILIARIO BIO 26 HOTEL &amp; BUSINESS CENTER PH</v>
          </cell>
          <cell r="D301" t="str">
            <v>4483468</v>
          </cell>
          <cell r="E301" t="str">
            <v>administracion.bio26@aceis.com.co</v>
          </cell>
          <cell r="F301" t="str">
            <v>CARRERA 38 26-13 17</v>
          </cell>
          <cell r="G301" t="str">
            <v>05001</v>
          </cell>
        </row>
        <row r="302">
          <cell r="A302" t="str">
            <v>901087225</v>
          </cell>
          <cell r="B302" t="str">
            <v>2</v>
          </cell>
          <cell r="C302" t="str">
            <v>EDIFICIO VIP PALMAS DE SAN JUDAS - PROPIEDAD HORIZONTAL</v>
          </cell>
          <cell r="D302" t="str">
            <v>3116059017</v>
          </cell>
          <cell r="E302" t="str">
            <v>admonpalmasdesanjudas@gmail.com</v>
          </cell>
          <cell r="F302" t="str">
            <v>CARRERA 69  97  129</v>
          </cell>
          <cell r="G302" t="str">
            <v>05001</v>
          </cell>
        </row>
        <row r="303">
          <cell r="A303" t="str">
            <v>901098085</v>
          </cell>
          <cell r="B303" t="str">
            <v>5</v>
          </cell>
          <cell r="C303" t="str">
            <v>L.H. OBO S.A.S</v>
          </cell>
          <cell r="D303" t="str">
            <v>4807550</v>
          </cell>
          <cell r="E303" t="str">
            <v>901098085@recepciondefacturas.co</v>
          </cell>
          <cell r="F303" t="str">
            <v>CALLE 44 A  70  103</v>
          </cell>
          <cell r="G303" t="str">
            <v>05001</v>
          </cell>
        </row>
        <row r="304">
          <cell r="A304" t="str">
            <v>901100664</v>
          </cell>
          <cell r="B304" t="str">
            <v>8</v>
          </cell>
          <cell r="C304" t="str">
            <v>SOMOS SOCIAL HOUSE S.A.S.</v>
          </cell>
          <cell r="D304" t="str">
            <v>3107487855</v>
          </cell>
          <cell r="E304" t="str">
            <v>facturacionelectronica@thesomos.com</v>
          </cell>
          <cell r="F304" t="str">
            <v>CALLE 10A 40-19</v>
          </cell>
          <cell r="G304" t="str">
            <v>05001</v>
          </cell>
        </row>
        <row r="305">
          <cell r="A305" t="str">
            <v>901102656</v>
          </cell>
          <cell r="B305" t="str">
            <v>8</v>
          </cell>
          <cell r="C305" t="str">
            <v>CONJUNTO DE USO MIXTO ALTOS DE MANANTIALES P.H</v>
          </cell>
          <cell r="D305" t="str">
            <v>3108972370</v>
          </cell>
          <cell r="E305" t="str">
            <v>edificioaltosdemanantiales@gmail.com</v>
          </cell>
          <cell r="F305" t="str">
            <v>CL 75 SUR 53 70</v>
          </cell>
          <cell r="G305" t="str">
            <v>05001</v>
          </cell>
        </row>
        <row r="306">
          <cell r="A306" t="str">
            <v>901103926</v>
          </cell>
          <cell r="B306" t="str">
            <v>6</v>
          </cell>
          <cell r="C306" t="str">
            <v>EDIFICIO HOUSING - PROPIEDAD HORIZONTAL</v>
          </cell>
          <cell r="D306" t="str">
            <v>3127343394</v>
          </cell>
          <cell r="E306" t="str">
            <v>Edificiohousing@gmail.com</v>
          </cell>
          <cell r="F306" t="str">
            <v>CALLE 37  66 A  47</v>
          </cell>
          <cell r="G306" t="str">
            <v>05001</v>
          </cell>
        </row>
        <row r="307">
          <cell r="A307" t="str">
            <v>901112433</v>
          </cell>
          <cell r="B307" t="str">
            <v>5</v>
          </cell>
          <cell r="C307" t="str">
            <v>CONJUNTO RESIDENCIAL CITARK TORRES - PROPIEDAD HORIZONTAL</v>
          </cell>
          <cell r="D307" t="str">
            <v>3128085565</v>
          </cell>
          <cell r="E307" t="str">
            <v>compras@abelardoyepes.com</v>
          </cell>
          <cell r="F307" t="str">
            <v>CALLE 9 A SUR  25  05</v>
          </cell>
          <cell r="G307" t="str">
            <v>05001</v>
          </cell>
        </row>
        <row r="308">
          <cell r="A308" t="str">
            <v>901112440</v>
          </cell>
          <cell r="B308" t="str">
            <v>7</v>
          </cell>
          <cell r="C308" t="str">
            <v>CONJUNTO RESIDENCIAL URBANIZACION LUNA DEL BOSQUE - PROPIEDAD HORIZONTAL</v>
          </cell>
          <cell r="D308">
            <v>3219664011</v>
          </cell>
          <cell r="E308" t="str">
            <v>admlunadelbosque@gmail.com</v>
          </cell>
          <cell r="F308" t="str">
            <v>CALLE 65  97 A E  20</v>
          </cell>
          <cell r="G308" t="str">
            <v>05001</v>
          </cell>
        </row>
        <row r="309">
          <cell r="A309" t="str">
            <v>901112477</v>
          </cell>
          <cell r="B309" t="str">
            <v>9</v>
          </cell>
          <cell r="C309" t="str">
            <v>CONJUNTO RESIDENCIAL URBANIZACION LUNA DEL VALLE - PROPIEDAD HORIZONTAL</v>
          </cell>
          <cell r="D309" t="str">
            <v>3128085565</v>
          </cell>
          <cell r="E309" t="str">
            <v>crlunadelvalle@gmail.com</v>
          </cell>
          <cell r="F309" t="str">
            <v>CARRERA 99  65  300</v>
          </cell>
          <cell r="G309" t="str">
            <v>05001</v>
          </cell>
        </row>
        <row r="310">
          <cell r="A310" t="str">
            <v>901120796</v>
          </cell>
          <cell r="B310" t="str">
            <v>7</v>
          </cell>
          <cell r="C310" t="str">
            <v>INVERSIONES SALMON S.A.S</v>
          </cell>
          <cell r="D310" t="str">
            <v>2380725</v>
          </cell>
          <cell r="E310" t="str">
            <v>gjmontoya1104@hotmail.com</v>
          </cell>
          <cell r="F310" t="str">
            <v>CR 80 19 82</v>
          </cell>
          <cell r="G310" t="str">
            <v>05001</v>
          </cell>
        </row>
        <row r="311">
          <cell r="A311" t="str">
            <v>901125145</v>
          </cell>
          <cell r="B311" t="str">
            <v>5</v>
          </cell>
          <cell r="C311" t="str">
            <v>EDIFICIO RESIDENCIAL VERDEVISTA - PROPIEDAD HORIZONTAL</v>
          </cell>
          <cell r="D311" t="str">
            <v>3136179685</v>
          </cell>
          <cell r="E311" t="str">
            <v>edificioverdevista@gmail.com</v>
          </cell>
          <cell r="F311" t="str">
            <v>CALLE 17 A SUR  44  246</v>
          </cell>
          <cell r="G311" t="str">
            <v>05001</v>
          </cell>
        </row>
        <row r="312">
          <cell r="A312" t="str">
            <v>901138084</v>
          </cell>
          <cell r="B312" t="str">
            <v>0</v>
          </cell>
          <cell r="C312" t="str">
            <v>CONJUNTO RESIDENCIAL AVANI PROPIEDAD HORIZONTAL</v>
          </cell>
          <cell r="D312" t="str">
            <v>4442015</v>
          </cell>
          <cell r="E312" t="str">
            <v>compras@abelardoyepes.com</v>
          </cell>
          <cell r="F312" t="str">
            <v>CALLE 27  41  86</v>
          </cell>
          <cell r="G312" t="str">
            <v>05001</v>
          </cell>
        </row>
        <row r="313">
          <cell r="A313" t="str">
            <v>901139819</v>
          </cell>
          <cell r="B313" t="str">
            <v>1</v>
          </cell>
          <cell r="C313" t="str">
            <v>CONJUNTO DE USO MIXTO CUARZO - PROPIEDAD HORIZONTAL</v>
          </cell>
          <cell r="D313" t="str">
            <v>3128085565</v>
          </cell>
          <cell r="E313" t="str">
            <v>con-propiedad1@hotmail.com</v>
          </cell>
          <cell r="F313" t="str">
            <v>CARRERA 77  60  45</v>
          </cell>
          <cell r="G313" t="str">
            <v>05001</v>
          </cell>
        </row>
        <row r="314">
          <cell r="A314" t="str">
            <v>901143770</v>
          </cell>
          <cell r="B314" t="str">
            <v>5</v>
          </cell>
          <cell r="C314" t="str">
            <v>ORGANIZACION SJ STUDIO SAS</v>
          </cell>
          <cell r="D314" t="str">
            <v>2934644</v>
          </cell>
          <cell r="E314" t="str">
            <v>asistentecontable@studiojeans.com.co</v>
          </cell>
          <cell r="F314" t="str">
            <v>CARRERA 53  45  62</v>
          </cell>
          <cell r="G314" t="str">
            <v>05001</v>
          </cell>
        </row>
        <row r="315">
          <cell r="A315" t="str">
            <v>901147602</v>
          </cell>
          <cell r="B315" t="str">
            <v>4</v>
          </cell>
          <cell r="C315" t="str">
            <v>UNIDAD RESIDENCIAL EDIFICIO ACQUAVELLA P.H</v>
          </cell>
          <cell r="D315" t="str">
            <v>3127838254</v>
          </cell>
          <cell r="E315" t="str">
            <v>acquavella.ph@gmail.com</v>
          </cell>
          <cell r="F315" t="str">
            <v>CARRERA 24  36 A  90</v>
          </cell>
          <cell r="G315" t="str">
            <v>05001</v>
          </cell>
        </row>
        <row r="316">
          <cell r="A316" t="str">
            <v>901149728</v>
          </cell>
          <cell r="B316" t="str">
            <v>2</v>
          </cell>
          <cell r="C316" t="str">
            <v>CENTRO COMERCIAL TRANVIA PLAZA - PROPIEDAD HORIZONTAL</v>
          </cell>
          <cell r="D316" t="str">
            <v>3122893130</v>
          </cell>
          <cell r="E316" t="str">
            <v>admontranviaplaza@hotmail.com</v>
          </cell>
          <cell r="F316" t="str">
            <v>CALLE 49  40  11</v>
          </cell>
          <cell r="G316" t="str">
            <v>05001</v>
          </cell>
        </row>
        <row r="317">
          <cell r="A317" t="str">
            <v>901151254</v>
          </cell>
          <cell r="B317" t="str">
            <v>1</v>
          </cell>
          <cell r="C317" t="str">
            <v>LLERAS HOLDINGS S.A.S</v>
          </cell>
          <cell r="D317" t="str">
            <v>3217801147</v>
          </cell>
          <cell r="E317" t="str">
            <v>laura@marqueemedellin.com</v>
          </cell>
          <cell r="F317" t="str">
            <v>CRA 38 # 9A - 13</v>
          </cell>
          <cell r="G317" t="str">
            <v>05001</v>
          </cell>
        </row>
        <row r="318">
          <cell r="A318" t="str">
            <v>901151425</v>
          </cell>
          <cell r="B318" t="str">
            <v>2</v>
          </cell>
          <cell r="C318" t="str">
            <v>EDIFICIO SABBILA APARTAMENTOS PROPIEDAD HORIZONTAL</v>
          </cell>
          <cell r="D318" t="str">
            <v>3117697603</v>
          </cell>
          <cell r="E318" t="str">
            <v>sabbilaapartamentos@gmail.com</v>
          </cell>
          <cell r="F318" t="str">
            <v>CARRERA 80 A  29  04  20</v>
          </cell>
          <cell r="G318" t="str">
            <v>05001</v>
          </cell>
        </row>
        <row r="319">
          <cell r="A319" t="str">
            <v>901157466</v>
          </cell>
          <cell r="B319" t="str">
            <v>1</v>
          </cell>
          <cell r="C319" t="str">
            <v>GESTORES INMOBILIARIOS COMERCIALES AGESINCO S.A.S.</v>
          </cell>
          <cell r="D319" t="str">
            <v>4483468</v>
          </cell>
          <cell r="E319" t="str">
            <v>facturas@aceis.com.co</v>
          </cell>
          <cell r="F319" t="str">
            <v>TRANSVERSAL 5A 45-69</v>
          </cell>
          <cell r="G319" t="str">
            <v>05001</v>
          </cell>
        </row>
        <row r="320">
          <cell r="A320" t="str">
            <v>901166475</v>
          </cell>
          <cell r="B320" t="str">
            <v>6</v>
          </cell>
          <cell r="C320" t="str">
            <v>CONJUNTO DE USO MIXTO TURMALINA - PROPIEDAD HORIZONTAL</v>
          </cell>
          <cell r="D320" t="str">
            <v>5783985</v>
          </cell>
          <cell r="E320" t="str">
            <v>turmalinaph20@gmail.com</v>
          </cell>
          <cell r="F320" t="str">
            <v>CALLE 63  77  41</v>
          </cell>
          <cell r="G320" t="str">
            <v>05001</v>
          </cell>
        </row>
        <row r="321">
          <cell r="A321" t="str">
            <v>901172228</v>
          </cell>
          <cell r="B321" t="str">
            <v>8</v>
          </cell>
          <cell r="C321" t="str">
            <v>EDIFICIO QUANTUM - PROPIEDAD HORIZONTAL</v>
          </cell>
          <cell r="D321" t="str">
            <v>3104144591</v>
          </cell>
          <cell r="E321" t="str">
            <v>ventasarteplas@gmail.com</v>
          </cell>
          <cell r="F321" t="str">
            <v>CR 81 49 A 37 39 41</v>
          </cell>
          <cell r="G321" t="str">
            <v>05001</v>
          </cell>
        </row>
        <row r="322">
          <cell r="A322" t="str">
            <v>901177791</v>
          </cell>
          <cell r="B322" t="str">
            <v>6</v>
          </cell>
          <cell r="C322" t="str">
            <v>INVERSORA JK S.A.S</v>
          </cell>
          <cell r="D322" t="str">
            <v>3207683172</v>
          </cell>
          <cell r="E322" t="str">
            <v>JBARRERO40@HOTMAIL.COM</v>
          </cell>
          <cell r="F322" t="str">
            <v>CR 78 # 44A 17 AO 201</v>
          </cell>
          <cell r="G322" t="str">
            <v>05001</v>
          </cell>
        </row>
        <row r="323">
          <cell r="A323" t="str">
            <v>901179823</v>
          </cell>
          <cell r="B323" t="str">
            <v>2</v>
          </cell>
          <cell r="C323" t="str">
            <v>ETAPA 1 URBANIZACIÓN ORANGE - PROPIEDAD HORIZONTAL</v>
          </cell>
          <cell r="D323" t="str">
            <v>5017188</v>
          </cell>
          <cell r="E323" t="str">
            <v>urbanizacionorange@gmail.com</v>
          </cell>
          <cell r="F323" t="str">
            <v>CR 75 61 85</v>
          </cell>
          <cell r="G323" t="str">
            <v>05001</v>
          </cell>
        </row>
        <row r="324">
          <cell r="A324" t="str">
            <v>901190887</v>
          </cell>
          <cell r="B324" t="str">
            <v>8</v>
          </cell>
          <cell r="C324" t="str">
            <v>MANILA HOTEL BOUTIQUE S A S</v>
          </cell>
          <cell r="D324" t="str">
            <v>3127858177</v>
          </cell>
          <cell r="E324" t="str">
            <v>manilahostal@gmail.com</v>
          </cell>
          <cell r="F324" t="str">
            <v>CR 43 D 11 A 10</v>
          </cell>
          <cell r="G324" t="str">
            <v>05001</v>
          </cell>
        </row>
        <row r="325">
          <cell r="A325" t="str">
            <v>901193980</v>
          </cell>
          <cell r="B325" t="str">
            <v>9</v>
          </cell>
          <cell r="C325" t="str">
            <v>CENTRO COMERCIAL LA CENTRAL-PROPIEDAD HORIZONTAL</v>
          </cell>
          <cell r="D325" t="str">
            <v>3227117</v>
          </cell>
          <cell r="E325" t="str">
            <v>diroperaciones@lacentral.com.co</v>
          </cell>
          <cell r="F325" t="str">
            <v>CL 49   20 B   60</v>
          </cell>
          <cell r="G325" t="str">
            <v>05001</v>
          </cell>
        </row>
        <row r="326">
          <cell r="A326" t="str">
            <v>901198552</v>
          </cell>
          <cell r="B326" t="str">
            <v>2</v>
          </cell>
          <cell r="C326" t="str">
            <v>CN SAN LUCAS S.A.S</v>
          </cell>
          <cell r="D326" t="str">
            <v>3005000719</v>
          </cell>
          <cell r="E326" t="str">
            <v>efactura@casanua.co</v>
          </cell>
          <cell r="F326" t="str">
            <v>CALLE 20A SUR 22-394</v>
          </cell>
          <cell r="G326" t="str">
            <v>05001</v>
          </cell>
        </row>
        <row r="327">
          <cell r="A327" t="str">
            <v>901198630</v>
          </cell>
          <cell r="B327" t="str">
            <v>9</v>
          </cell>
          <cell r="C327" t="str">
            <v>EDIFICIO CASTELL - PROPIEDAD HORIZONTAL</v>
          </cell>
          <cell r="D327" t="str">
            <v>3195438044</v>
          </cell>
          <cell r="E327" t="str">
            <v>edificiocastell.medellin@gmail.com</v>
          </cell>
          <cell r="F327" t="str">
            <v>CARRERA 82A N 32B-24</v>
          </cell>
          <cell r="G327" t="str">
            <v>05001</v>
          </cell>
        </row>
        <row r="328">
          <cell r="A328" t="str">
            <v>901204809</v>
          </cell>
          <cell r="B328" t="str">
            <v>6</v>
          </cell>
          <cell r="C328" t="str">
            <v>EDIFICIO VILANOVA PLUS - PH</v>
          </cell>
          <cell r="D328" t="str">
            <v>3113265855</v>
          </cell>
          <cell r="E328" t="str">
            <v>monicamariahenao@hotmail.com</v>
          </cell>
          <cell r="F328" t="str">
            <v>CL 38 64 A 16</v>
          </cell>
          <cell r="G328" t="str">
            <v>05001</v>
          </cell>
        </row>
        <row r="329">
          <cell r="A329" t="str">
            <v>901211672</v>
          </cell>
          <cell r="B329" t="str">
            <v>3</v>
          </cell>
          <cell r="C329" t="str">
            <v>EDIFICIO HOTEL SOUL LIFESTYLE - PROPIEDAD HORIZONTAL</v>
          </cell>
          <cell r="D329" t="str">
            <v>3521512</v>
          </cell>
          <cell r="E329" t="str">
            <v>edificiosoul1@gmail.com</v>
          </cell>
          <cell r="F329" t="str">
            <v>CL 35 2 SUR 116 120 140</v>
          </cell>
          <cell r="G329" t="str">
            <v>05001</v>
          </cell>
        </row>
        <row r="330">
          <cell r="A330" t="str">
            <v>901218433</v>
          </cell>
          <cell r="B330" t="str">
            <v>1</v>
          </cell>
          <cell r="C330" t="str">
            <v>"CONJUNTO RESIDENCIAL PASEO DEL PARQUE - PROPIEDAD HORIZONTAL"</v>
          </cell>
          <cell r="D330" t="str">
            <v>3006207497</v>
          </cell>
          <cell r="E330" t="str">
            <v>paseodelparqueph@hotmail.com</v>
          </cell>
          <cell r="F330" t="str">
            <v>CL 2 B 81 A 460</v>
          </cell>
          <cell r="G330" t="str">
            <v>05001</v>
          </cell>
        </row>
        <row r="331">
          <cell r="A331" t="str">
            <v>901233457</v>
          </cell>
          <cell r="B331" t="str">
            <v>0</v>
          </cell>
          <cell r="C331" t="str">
            <v>INVERSIONES DICO S A S</v>
          </cell>
          <cell r="D331" t="str">
            <v>4801010</v>
          </cell>
          <cell r="E331" t="str">
            <v>asistente5@sampedroasesoressas.com</v>
          </cell>
          <cell r="F331" t="str">
            <v>CL 11 B 31 A 172</v>
          </cell>
          <cell r="G331" t="str">
            <v>05001</v>
          </cell>
        </row>
        <row r="332">
          <cell r="A332" t="str">
            <v>901236007</v>
          </cell>
          <cell r="B332" t="str">
            <v>3</v>
          </cell>
          <cell r="C332" t="str">
            <v>EDIFICIO HOTEL URBAN SUITES - PH</v>
          </cell>
          <cell r="D332" t="str">
            <v>4799950</v>
          </cell>
          <cell r="E332" t="str">
            <v>contabilidadmed@travelers.com.co</v>
          </cell>
          <cell r="F332" t="str">
            <v>CR 25 7 A 224 228</v>
          </cell>
          <cell r="G332" t="str">
            <v>05001</v>
          </cell>
        </row>
        <row r="333">
          <cell r="A333" t="str">
            <v>901238921</v>
          </cell>
          <cell r="B333" t="str">
            <v>1</v>
          </cell>
          <cell r="C333" t="str">
            <v>" URBANIZACION SENDERO DE BOSQUE VERDE - PROPIEDAD HORIZONTAL "</v>
          </cell>
          <cell r="D333">
            <v>3219664011</v>
          </cell>
          <cell r="E333" t="str">
            <v>admonsenderobosqueverde@gmail.com</v>
          </cell>
          <cell r="F333" t="str">
            <v>CL 47 A 6 A B 30</v>
          </cell>
          <cell r="G333" t="str">
            <v>05001</v>
          </cell>
        </row>
        <row r="334">
          <cell r="A334" t="str">
            <v>901258812</v>
          </cell>
          <cell r="B334" t="str">
            <v>0</v>
          </cell>
          <cell r="C334" t="str">
            <v>FAMEL REAL SAS</v>
          </cell>
          <cell r="D334">
            <v>3219664011</v>
          </cell>
          <cell r="E334" t="str">
            <v>molinosplaza@gmail.com</v>
          </cell>
          <cell r="F334" t="str">
            <v>CL 6 17 250 IN 1602</v>
          </cell>
          <cell r="G334" t="str">
            <v>05001</v>
          </cell>
        </row>
        <row r="335">
          <cell r="A335" t="str">
            <v>901262594</v>
          </cell>
          <cell r="B335" t="str">
            <v>5</v>
          </cell>
          <cell r="C335" t="str">
            <v>TESORO LIVING CONSTRUCTORES S.A.S.</v>
          </cell>
          <cell r="D335" t="str">
            <v>6044138457</v>
          </cell>
          <cell r="E335" t="str">
            <v>aguilargomezaux@gmail.com</v>
          </cell>
          <cell r="F335" t="str">
            <v xml:space="preserve"> Calle 3 Cra 29A 30</v>
          </cell>
          <cell r="G335" t="str">
            <v>05001</v>
          </cell>
        </row>
        <row r="336">
          <cell r="A336" t="str">
            <v>901263939</v>
          </cell>
          <cell r="B336" t="str">
            <v>7</v>
          </cell>
          <cell r="C336" t="str">
            <v>EDIFICIO PILARICA FLATS - PROPIEDAD HORIZONTAL</v>
          </cell>
          <cell r="D336" t="str">
            <v>31774318477</v>
          </cell>
          <cell r="E336" t="str">
            <v>edificiopilaricaflats@hotmail.com</v>
          </cell>
          <cell r="F336" t="str">
            <v>CR 73 C 74 83</v>
          </cell>
          <cell r="G336" t="str">
            <v>05001</v>
          </cell>
        </row>
        <row r="337">
          <cell r="A337" t="str">
            <v>901271357</v>
          </cell>
          <cell r="B337" t="str">
            <v>4</v>
          </cell>
          <cell r="C337" t="str">
            <v>BOULEVAR 49- PROPIEDAD HORIZONTAL</v>
          </cell>
          <cell r="D337" t="str">
            <v>3006192376</v>
          </cell>
          <cell r="E337" t="str">
            <v>boulevard49ph@gmail.com</v>
          </cell>
          <cell r="F337" t="str">
            <v>CL 49 38 43</v>
          </cell>
          <cell r="G337" t="str">
            <v>05001</v>
          </cell>
        </row>
        <row r="338">
          <cell r="A338" t="str">
            <v>901272655</v>
          </cell>
          <cell r="B338" t="str">
            <v>9</v>
          </cell>
          <cell r="C338" t="str">
            <v>SUHAUS S.A.S</v>
          </cell>
          <cell r="D338" t="str">
            <v>3112621445</v>
          </cell>
          <cell r="E338" t="str">
            <v>proyectosuhaus@gmail.com</v>
          </cell>
          <cell r="F338" t="str">
            <v>CR 25 B 16 B SUR 51 CA 104</v>
          </cell>
          <cell r="G338" t="str">
            <v>05001</v>
          </cell>
        </row>
        <row r="339">
          <cell r="A339" t="str">
            <v>901276916</v>
          </cell>
          <cell r="B339" t="str">
            <v>4</v>
          </cell>
          <cell r="C339" t="str">
            <v>MANILA HOLDINGS SAS</v>
          </cell>
          <cell r="D339" t="str">
            <v xml:space="preserve"> 314 890 26 50</v>
          </cell>
          <cell r="E339" t="str">
            <v>valentina.elejalde@casacol.co</v>
          </cell>
          <cell r="F339" t="str">
            <v>CARRERA 43 A 6 SUR 26 OF 212</v>
          </cell>
          <cell r="G339" t="str">
            <v>05001</v>
          </cell>
        </row>
        <row r="340">
          <cell r="A340" t="str">
            <v>901296635</v>
          </cell>
          <cell r="B340" t="str">
            <v>5</v>
          </cell>
          <cell r="C340" t="str">
            <v>INVERSIONES GOYCA S.A.S</v>
          </cell>
          <cell r="D340">
            <v>3219664011</v>
          </cell>
          <cell r="E340" t="str">
            <v>administracion@hotelgoldmedellin.com</v>
          </cell>
          <cell r="F340" t="str">
            <v>CARRERA 42 68A-52</v>
          </cell>
          <cell r="G340" t="str">
            <v>05001</v>
          </cell>
        </row>
        <row r="341">
          <cell r="A341" t="str">
            <v>901307240</v>
          </cell>
          <cell r="B341" t="str">
            <v>9</v>
          </cell>
          <cell r="C341" t="str">
            <v>ROYAL LIVING SAS</v>
          </cell>
          <cell r="D341" t="str">
            <v>3004228611</v>
          </cell>
          <cell r="E341" t="str">
            <v>living.royalliving@gmail.com</v>
          </cell>
          <cell r="F341" t="str">
            <v>CR 41 18D 65 AP 303</v>
          </cell>
          <cell r="G341" t="str">
            <v>05001</v>
          </cell>
        </row>
        <row r="342">
          <cell r="A342" t="str">
            <v>901314383</v>
          </cell>
          <cell r="B342" t="str">
            <v>2</v>
          </cell>
          <cell r="C342" t="str">
            <v>EDIFICIO TORRE SAN RAFAEL - PROPIEDAD HORIZONTAL</v>
          </cell>
          <cell r="D342" t="str">
            <v>3013688438</v>
          </cell>
          <cell r="E342" t="str">
            <v>ricardomonto@gmail.com</v>
          </cell>
          <cell r="F342" t="str">
            <v>CR 82 33 81  85  89</v>
          </cell>
          <cell r="G342" t="str">
            <v>05001</v>
          </cell>
        </row>
        <row r="343">
          <cell r="A343" t="str">
            <v>901314538</v>
          </cell>
          <cell r="B343" t="str">
            <v>7</v>
          </cell>
          <cell r="C343" t="str">
            <v>EDIFICIO PARQUE CONQUISTADORES - PROPIEDAD HORIZONTAL</v>
          </cell>
          <cell r="D343" t="str">
            <v>3135247411</v>
          </cell>
          <cell r="E343" t="str">
            <v>asistecopro@hotmail.com</v>
          </cell>
          <cell r="F343" t="str">
            <v>CALLE 42A 63C - 110</v>
          </cell>
          <cell r="G343" t="str">
            <v>05001</v>
          </cell>
        </row>
        <row r="344">
          <cell r="A344" t="str">
            <v>901318048</v>
          </cell>
          <cell r="B344" t="str">
            <v>8</v>
          </cell>
          <cell r="C344" t="str">
            <v>EDIFICIO SKY PARK - PROPIEDAD HORIZONTAL</v>
          </cell>
          <cell r="D344" t="str">
            <v>4442420</v>
          </cell>
          <cell r="E344" t="str">
            <v>contabilidad@administracionam.co</v>
          </cell>
          <cell r="F344" t="str">
            <v>CL 30 A 69 53 79</v>
          </cell>
          <cell r="G344" t="str">
            <v>05001</v>
          </cell>
        </row>
        <row r="345">
          <cell r="A345" t="str">
            <v>901325043</v>
          </cell>
          <cell r="B345" t="str">
            <v>0</v>
          </cell>
          <cell r="C345" t="str">
            <v>GRUPO EL ZARZO SAS</v>
          </cell>
          <cell r="D345" t="str">
            <v>5832361</v>
          </cell>
          <cell r="E345" t="str">
            <v>proyectos@oblicuo.co</v>
          </cell>
          <cell r="F345" t="str">
            <v xml:space="preserve">CL 11 C 31 79 OF 301 ED LA MANIGUA
</v>
          </cell>
          <cell r="G345" t="str">
            <v>05001</v>
          </cell>
        </row>
        <row r="346">
          <cell r="A346" t="str">
            <v>901326260</v>
          </cell>
          <cell r="B346" t="str">
            <v>7</v>
          </cell>
          <cell r="C346" t="str">
            <v>KOBLENZ-PROPIEDAD HORIZONTAL</v>
          </cell>
          <cell r="D346" t="str">
            <v>3206447388</v>
          </cell>
          <cell r="E346" t="str">
            <v>edificiokoblenz@gmail.com</v>
          </cell>
          <cell r="F346" t="str">
            <v>TRANSVERSAL 39A 70A-31</v>
          </cell>
          <cell r="G346" t="str">
            <v>05001</v>
          </cell>
        </row>
        <row r="347">
          <cell r="A347" t="str">
            <v>901328844</v>
          </cell>
          <cell r="B347" t="str">
            <v>7</v>
          </cell>
          <cell r="C347" t="str">
            <v>EDIFICIO NUEVA FLORIDA PROPIEDAD HORIZONTAL</v>
          </cell>
          <cell r="D347" t="str">
            <v>3006979620</v>
          </cell>
          <cell r="E347" t="str">
            <v>edificionuevaflorida@gmail.com</v>
          </cell>
          <cell r="F347" t="str">
            <v>CL 45 C 76 10-12 -14</v>
          </cell>
          <cell r="G347" t="str">
            <v>05001</v>
          </cell>
        </row>
        <row r="348">
          <cell r="A348" t="str">
            <v>901331255</v>
          </cell>
          <cell r="B348" t="str">
            <v>1</v>
          </cell>
          <cell r="C348" t="str">
            <v>EDIFICIO LIBU PROPIEDAD HORIZONTAL</v>
          </cell>
          <cell r="D348" t="str">
            <v>3053357852</v>
          </cell>
          <cell r="E348" t="str">
            <v>edificiolibu@gmail.com</v>
          </cell>
          <cell r="F348" t="str">
            <v>CALLE 32E 66C-34</v>
          </cell>
          <cell r="G348" t="str">
            <v>05001</v>
          </cell>
        </row>
        <row r="349">
          <cell r="A349" t="str">
            <v>901331343</v>
          </cell>
          <cell r="B349" t="str">
            <v>1</v>
          </cell>
          <cell r="C349" t="str">
            <v>RIMART SAS</v>
          </cell>
          <cell r="D349" t="str">
            <v>4440047</v>
          </cell>
          <cell r="E349" t="str">
            <v>rimartsas@gmail.com</v>
          </cell>
          <cell r="F349" t="str">
            <v>CR 43 A 1 SUR 188 OF 903</v>
          </cell>
          <cell r="G349" t="str">
            <v>05001</v>
          </cell>
        </row>
        <row r="350">
          <cell r="A350" t="str">
            <v>901333013</v>
          </cell>
          <cell r="B350" t="str">
            <v>3</v>
          </cell>
          <cell r="C350" t="str">
            <v>COHOUSING S.A.S.</v>
          </cell>
          <cell r="D350" t="str">
            <v>3 0 0 4 0 2 8 4 8 8</v>
          </cell>
          <cell r="E350" t="str">
            <v>cohousing.col@gmail.com</v>
          </cell>
          <cell r="F350" t="str">
            <v>CR 38 19 SUR 38</v>
          </cell>
          <cell r="G350" t="str">
            <v>05001</v>
          </cell>
        </row>
        <row r="351">
          <cell r="A351" t="str">
            <v>901340759</v>
          </cell>
          <cell r="B351" t="str">
            <v>8</v>
          </cell>
          <cell r="C351" t="str">
            <v>FEELIVING S.A.S.</v>
          </cell>
          <cell r="D351" t="str">
            <v>3111112</v>
          </cell>
          <cell r="E351" t="str">
            <v>factura.feeliving@gmail.com</v>
          </cell>
          <cell r="F351" t="str">
            <v>CR 30 11 C 09</v>
          </cell>
          <cell r="G351" t="str">
            <v>05001</v>
          </cell>
        </row>
        <row r="352">
          <cell r="A352" t="str">
            <v>901343624</v>
          </cell>
          <cell r="B352" t="str">
            <v>6</v>
          </cell>
          <cell r="C352" t="str">
            <v>EDIFICIO LA MANIGUA-PROPIEDAD HORIZONTAL</v>
          </cell>
          <cell r="D352" t="str">
            <v>5832361</v>
          </cell>
          <cell r="E352" t="str">
            <v>compras@abelardoyepes.com</v>
          </cell>
          <cell r="F352" t="str">
            <v>CALLE 11C 31-79</v>
          </cell>
          <cell r="G352" t="str">
            <v>05001</v>
          </cell>
        </row>
        <row r="353">
          <cell r="A353" t="str">
            <v>901350436</v>
          </cell>
          <cell r="B353" t="str">
            <v>7</v>
          </cell>
          <cell r="C353" t="str">
            <v>CONJUNTO DE USO MIXTO LAURET - PROPIEDAD HORIZONTAL</v>
          </cell>
          <cell r="D353" t="str">
            <v>4797541</v>
          </cell>
          <cell r="E353" t="str">
            <v>admon.lauret@gmail.com</v>
          </cell>
          <cell r="F353" t="str">
            <v>CR 72 No. 39 A - 12</v>
          </cell>
          <cell r="G353" t="str">
            <v>05001</v>
          </cell>
        </row>
        <row r="354">
          <cell r="A354" t="str">
            <v>901360603</v>
          </cell>
          <cell r="B354" t="str">
            <v>3</v>
          </cell>
          <cell r="C354" t="str">
            <v>PROMOTORA PROYECTO VIZCAYA S.A.S.</v>
          </cell>
          <cell r="D354" t="str">
            <v>6 0 4 4 4 4 5 3 3 0</v>
          </cell>
          <cell r="E354" t="str">
            <v>miguel.zapataa@gmail.com</v>
          </cell>
          <cell r="F354" t="str">
            <v>CL 8 B 30 52</v>
          </cell>
          <cell r="G354" t="str">
            <v>05001</v>
          </cell>
        </row>
        <row r="355">
          <cell r="A355" t="str">
            <v>901363051</v>
          </cell>
          <cell r="B355" t="str">
            <v>1</v>
          </cell>
          <cell r="C355" t="str">
            <v>CONJUNTO RESIDENCIAL NUEVO GUAYACANES - PROPIEDAD HORIZONTAL</v>
          </cell>
          <cell r="D355" t="str">
            <v>3042111517</v>
          </cell>
          <cell r="E355" t="str">
            <v>crnuevoguayacanes@gmail.com</v>
          </cell>
          <cell r="F355" t="str">
            <v>CALLE 75 72B 50</v>
          </cell>
          <cell r="G355" t="str">
            <v>05001</v>
          </cell>
        </row>
        <row r="356">
          <cell r="A356" t="str">
            <v>901365620</v>
          </cell>
          <cell r="B356" t="str">
            <v>1</v>
          </cell>
          <cell r="C356" t="str">
            <v>CONJUNTO RESIDENCIAL ARABELLA- PROPIEDAD HORIZONTAL</v>
          </cell>
          <cell r="D356" t="str">
            <v>3014750520</v>
          </cell>
          <cell r="E356" t="str">
            <v>conjuntoresidencialarabella@gmail.com</v>
          </cell>
          <cell r="F356" t="str">
            <v>CARRERA 84F N° 3D-255</v>
          </cell>
          <cell r="G356" t="str">
            <v>05001</v>
          </cell>
        </row>
        <row r="357">
          <cell r="A357" t="str">
            <v>901368258</v>
          </cell>
          <cell r="B357" t="str">
            <v>1</v>
          </cell>
          <cell r="C357" t="str">
            <v>EDIFICIO 35 PALMS-PROPIEDAD HORIZONTAL</v>
          </cell>
          <cell r="D357" t="str">
            <v>5578166</v>
          </cell>
          <cell r="E357" t="str">
            <v>financiera.35palms@dualgi.co</v>
          </cell>
          <cell r="F357" t="str">
            <v>Carrera 35 # 15B - 143</v>
          </cell>
          <cell r="G357" t="str">
            <v>05001</v>
          </cell>
        </row>
        <row r="358">
          <cell r="A358" t="str">
            <v>901371770</v>
          </cell>
          <cell r="B358" t="str">
            <v>2</v>
          </cell>
          <cell r="C358" t="str">
            <v>EDIFICIO BOSCHETTO - PROPIEDAD HORIZONTAL</v>
          </cell>
          <cell r="D358" t="str">
            <v>3014317679</v>
          </cell>
          <cell r="E358" t="str">
            <v>solicitudes@quantumadministraciones.com</v>
          </cell>
          <cell r="F358" t="str">
            <v>CL 9 30 48</v>
          </cell>
          <cell r="G358" t="str">
            <v>05001</v>
          </cell>
        </row>
        <row r="359">
          <cell r="A359" t="str">
            <v>901372347</v>
          </cell>
          <cell r="B359" t="str">
            <v>4</v>
          </cell>
          <cell r="C359" t="str">
            <v>EDIFICIO EL GULUNGO PROPIEDAD HORIZONTAL</v>
          </cell>
          <cell r="D359">
            <v>3219664011</v>
          </cell>
          <cell r="E359" t="str">
            <v>compras@abelardoyepes.com</v>
          </cell>
          <cell r="F359" t="str">
            <v>CR 41 16 B SUR 141</v>
          </cell>
          <cell r="G359" t="str">
            <v>05001</v>
          </cell>
        </row>
        <row r="360">
          <cell r="A360" t="str">
            <v>901404336</v>
          </cell>
          <cell r="B360" t="str">
            <v>2</v>
          </cell>
          <cell r="C360" t="str">
            <v>CONJUNTO RESIDENCIAL CAMINO DEL PARQUE - PROPIEDAD HORIZONTAL</v>
          </cell>
          <cell r="D360" t="str">
            <v>5804034</v>
          </cell>
          <cell r="E360" t="str">
            <v>conjuntocaminodelparque@hotmail.com</v>
          </cell>
          <cell r="F360" t="str">
            <v>CL 2 B 81 A 513</v>
          </cell>
          <cell r="G360" t="str">
            <v>05001</v>
          </cell>
        </row>
        <row r="361">
          <cell r="A361" t="str">
            <v>901407332</v>
          </cell>
          <cell r="B361" t="str">
            <v>7</v>
          </cell>
          <cell r="C361" t="str">
            <v>CONJUNTO DE USO MIXTO ONIX - PROPIEDAD HORIZONTAL</v>
          </cell>
          <cell r="D361" t="str">
            <v>4442015</v>
          </cell>
          <cell r="E361" t="str">
            <v>onixapartamentosph1@gmail.com</v>
          </cell>
          <cell r="F361" t="str">
            <v>CL 64 CR 76 A 29</v>
          </cell>
          <cell r="G361" t="str">
            <v>05001</v>
          </cell>
        </row>
        <row r="362">
          <cell r="A362" t="str">
            <v>901416622</v>
          </cell>
          <cell r="B362" t="str">
            <v>6</v>
          </cell>
          <cell r="C362" t="str">
            <v>CONJUNTO RESIDENCIAL LUNA DEL CAMPO - PROPIEDAD HORIZONTAL</v>
          </cell>
          <cell r="D362" t="str">
            <v>4442015</v>
          </cell>
          <cell r="E362" t="str">
            <v>lunadelcampoph1@gmail.com</v>
          </cell>
          <cell r="F362" t="str">
            <v>CR 99 65 265</v>
          </cell>
          <cell r="G362" t="str">
            <v>05001</v>
          </cell>
        </row>
        <row r="363">
          <cell r="A363" t="str">
            <v>901417342</v>
          </cell>
          <cell r="B363" t="str">
            <v>3</v>
          </cell>
          <cell r="C363" t="str">
            <v>HOTELES DE LUJO S.A.S</v>
          </cell>
          <cell r="D363" t="str">
            <v>4482396</v>
          </cell>
          <cell r="E363" t="str">
            <v>901417342@factureinbox.co</v>
          </cell>
          <cell r="F363" t="str">
            <v>CALLE 7 D 43 C 36</v>
          </cell>
          <cell r="G363" t="str">
            <v>05001</v>
          </cell>
        </row>
        <row r="364">
          <cell r="A364" t="str">
            <v>901428858</v>
          </cell>
          <cell r="B364" t="str">
            <v>9</v>
          </cell>
          <cell r="C364" t="str">
            <v>SALAMANCA APARTAMENTOS-PROPIEDAD HORIZONTAL</v>
          </cell>
          <cell r="D364" t="str">
            <v>4480786</v>
          </cell>
          <cell r="E364" t="str">
            <v>compras@abelardoyepes.com</v>
          </cell>
          <cell r="F364" t="str">
            <v>CR 29A 5 SUR 275</v>
          </cell>
          <cell r="G364" t="str">
            <v>05001</v>
          </cell>
        </row>
        <row r="365">
          <cell r="A365" t="str">
            <v>901439605</v>
          </cell>
          <cell r="B365" t="str">
            <v>1</v>
          </cell>
          <cell r="C365" t="str">
            <v>CONJUNTO RESIDENCIAL Y COMERCIAL JAZZ PROPIEDAD</v>
          </cell>
          <cell r="D365" t="str">
            <v>3208323315</v>
          </cell>
          <cell r="E365" t="str">
            <v>jazzph18@gmail.com</v>
          </cell>
          <cell r="F365" t="str">
            <v>CR 71 A 53 A 49</v>
          </cell>
          <cell r="G365" t="str">
            <v>05001</v>
          </cell>
        </row>
        <row r="366">
          <cell r="A366" t="str">
            <v>901439895</v>
          </cell>
          <cell r="B366" t="str">
            <v>9</v>
          </cell>
          <cell r="C366" t="str">
            <v>CONJUNTO RESIDENCIAL CEYLAN 34 PROPIEDAD HORIZONTAL</v>
          </cell>
          <cell r="D366" t="str">
            <v>4442015</v>
          </cell>
          <cell r="E366" t="str">
            <v>compras@abelardoyepes.com</v>
          </cell>
          <cell r="F366" t="str">
            <v>CR 37 A 7 SUR 68</v>
          </cell>
          <cell r="G366" t="str">
            <v>05001</v>
          </cell>
        </row>
        <row r="367">
          <cell r="A367" t="str">
            <v>901443945</v>
          </cell>
          <cell r="B367" t="str">
            <v>4</v>
          </cell>
          <cell r="C367" t="str">
            <v>EDIFICIO PROVENZA ARRIBA PROPIEDAD HORIZONTAL</v>
          </cell>
          <cell r="D367" t="str">
            <v>4483149</v>
          </cell>
          <cell r="E367" t="str">
            <v>compras@abelardoyepes.com</v>
          </cell>
          <cell r="F367" t="str">
            <v>CL 5 F 30 116 120 126</v>
          </cell>
          <cell r="G367" t="str">
            <v>05001</v>
          </cell>
        </row>
        <row r="368">
          <cell r="A368" t="str">
            <v>901445033</v>
          </cell>
          <cell r="B368" t="str">
            <v>1</v>
          </cell>
          <cell r="C368" t="str">
            <v>GOTHAM PRIMAVERA S.A.S</v>
          </cell>
          <cell r="D368" t="str">
            <v>2684007</v>
          </cell>
          <cell r="E368" t="str">
            <v>facturacion@casacol.co</v>
          </cell>
          <cell r="F368" t="str">
            <v>CR 37 8 A 46 OF 201</v>
          </cell>
          <cell r="G368" t="str">
            <v>05001</v>
          </cell>
        </row>
        <row r="369">
          <cell r="A369" t="str">
            <v>901450173</v>
          </cell>
          <cell r="B369" t="str">
            <v>4</v>
          </cell>
          <cell r="C369" t="str">
            <v>EDIFICIO EL TRAGALUZ-PROPIEDAD HORIZONTAL</v>
          </cell>
          <cell r="D369" t="str">
            <v>4483149</v>
          </cell>
          <cell r="E369" t="str">
            <v>compras@abelardoyepes.com</v>
          </cell>
          <cell r="F369" t="str">
            <v>CR 41 16 B SUR 19 45 63</v>
          </cell>
          <cell r="G369" t="str">
            <v>05001</v>
          </cell>
        </row>
        <row r="370">
          <cell r="A370" t="str">
            <v>901450660</v>
          </cell>
          <cell r="B370" t="str">
            <v>1</v>
          </cell>
          <cell r="C370" t="str">
            <v>EDIFICIO ARIZÁ DE CASTROPOL - PROPIEDAD HORIZONTAL</v>
          </cell>
          <cell r="D370" t="str">
            <v>3 0 1 5 6 4 5 2 6 1</v>
          </cell>
          <cell r="E370" t="str">
            <v>admonarizadecastropol@gmail.com</v>
          </cell>
          <cell r="F370" t="str">
            <v>CR 42 18 B 100 106</v>
          </cell>
          <cell r="G370" t="str">
            <v>05001</v>
          </cell>
        </row>
        <row r="371">
          <cell r="A371" t="str">
            <v>901451850</v>
          </cell>
          <cell r="B371" t="str">
            <v>7</v>
          </cell>
          <cell r="C371" t="str">
            <v>COMPAÑIA INMOBILIARIA MEDELLIN SAS</v>
          </cell>
          <cell r="D371" t="str">
            <v>3 0 4 2 1 2 7 8 7 2</v>
          </cell>
          <cell r="E371" t="str">
            <v>medellininmobiliaria27@gmail.com</v>
          </cell>
          <cell r="F371" t="str">
            <v>CR 73 24 17</v>
          </cell>
          <cell r="G371" t="str">
            <v>05001</v>
          </cell>
        </row>
        <row r="372">
          <cell r="A372" t="str">
            <v>901452986</v>
          </cell>
          <cell r="B372" t="str">
            <v>4</v>
          </cell>
          <cell r="C372" t="str">
            <v>EDIFICIO TORRE HAMBURGO - PROPIEDAD HORIZONTAL</v>
          </cell>
          <cell r="D372" t="str">
            <v>3173768848</v>
          </cell>
          <cell r="E372" t="str">
            <v>torrehamburgoph@gmail.com</v>
          </cell>
          <cell r="F372" t="str">
            <v>DG 75 B 32 B B 35 37 39 41</v>
          </cell>
          <cell r="G372" t="str">
            <v>05001</v>
          </cell>
        </row>
        <row r="373">
          <cell r="A373" t="str">
            <v>901454048</v>
          </cell>
          <cell r="B373" t="str">
            <v>1</v>
          </cell>
          <cell r="C373" t="str">
            <v>EDIFICIO 3 - 33 CENTRO DE NEGOCIOS - PROPIEDAD HORIZONTAL</v>
          </cell>
          <cell r="D373" t="str">
            <v>4483149</v>
          </cell>
          <cell r="E373" t="str">
            <v>compras@abelardoyepes.com</v>
          </cell>
          <cell r="F373" t="str">
            <v>CL 33 75 C 79 Y CL 32 F 75 C 78</v>
          </cell>
          <cell r="G373" t="str">
            <v>05001</v>
          </cell>
        </row>
        <row r="374">
          <cell r="A374" t="str">
            <v>901460370</v>
          </cell>
          <cell r="B374" t="str">
            <v>1</v>
          </cell>
          <cell r="C374" t="str">
            <v>CONJUNTO RESIDENCIAL MARSELLA - PROPIEDAD HORIZONTAL</v>
          </cell>
          <cell r="D374" t="str">
            <v>3113725800</v>
          </cell>
          <cell r="E374" t="str">
            <v>marsellaapartamentos@gmail.com</v>
          </cell>
          <cell r="F374" t="str">
            <v>CL 54 86C 66</v>
          </cell>
          <cell r="G374" t="str">
            <v>05001</v>
          </cell>
        </row>
        <row r="375">
          <cell r="A375" t="str">
            <v>901461053</v>
          </cell>
          <cell r="B375" t="str">
            <v>6</v>
          </cell>
          <cell r="C375" t="str">
            <v>INVERSIONES LUGAL SAS</v>
          </cell>
          <cell r="D375" t="str">
            <v>4444008</v>
          </cell>
          <cell r="E375" t="str">
            <v>director@hotelportonsj.com.co</v>
          </cell>
          <cell r="F375" t="str">
            <v>CL 42 68 A 32</v>
          </cell>
          <cell r="G375" t="str">
            <v>05001</v>
          </cell>
        </row>
        <row r="376">
          <cell r="A376" t="str">
            <v>901464540</v>
          </cell>
          <cell r="B376" t="str">
            <v>5</v>
          </cell>
          <cell r="C376" t="str">
            <v>LOMAS 4 SAS</v>
          </cell>
          <cell r="D376" t="str">
            <v>3001717772</v>
          </cell>
          <cell r="E376" t="str">
            <v>proyectos@oblicuo.co</v>
          </cell>
          <cell r="F376" t="str">
            <v>CL 11 C 31 79 OF 301 ED LA MANIGUA</v>
          </cell>
          <cell r="G376" t="str">
            <v>05001</v>
          </cell>
        </row>
        <row r="377">
          <cell r="A377" t="str">
            <v>901469538</v>
          </cell>
          <cell r="B377" t="str">
            <v>2</v>
          </cell>
          <cell r="C377" t="str">
            <v>PASEO COMERCIAL AMSTERDAM PLAZA - PROPIEDAD HORIZONTAL</v>
          </cell>
          <cell r="D377" t="str">
            <v>311 3846402</v>
          </cell>
          <cell r="E377" t="str">
            <v>asistenteamsterdam@mts.com.co</v>
          </cell>
          <cell r="F377" t="str">
            <v>CARRERA 25 4-165</v>
          </cell>
          <cell r="G377" t="str">
            <v>05001</v>
          </cell>
        </row>
        <row r="378">
          <cell r="A378" t="str">
            <v>901488959</v>
          </cell>
          <cell r="B378" t="str">
            <v>0</v>
          </cell>
          <cell r="C378" t="str">
            <v>CIUDADELA VILLA DEL BOSQUE - PROPIEDAD HORIZONTAL</v>
          </cell>
          <cell r="D378" t="str">
            <v>3128314328</v>
          </cell>
          <cell r="E378" t="str">
            <v>ciudadelavilladelbosque@gmail.com</v>
          </cell>
          <cell r="F378" t="str">
            <v>CL 47 S 64 D 92</v>
          </cell>
          <cell r="G378" t="str">
            <v>05001</v>
          </cell>
        </row>
        <row r="379">
          <cell r="A379" t="str">
            <v>901502991</v>
          </cell>
          <cell r="B379" t="str">
            <v>7</v>
          </cell>
          <cell r="C379" t="str">
            <v>DUAL DEMODA S.A.S</v>
          </cell>
          <cell r="D379" t="str">
            <v>3 3 7 9 1 3 4</v>
          </cell>
          <cell r="E379" t="str">
            <v>facturacion.demoda@dualgi.co</v>
          </cell>
          <cell r="F379" t="str">
            <v>CL 16 55 129 CC DEMODA OUTLET NIVEL 4</v>
          </cell>
          <cell r="G379" t="str">
            <v>05001</v>
          </cell>
        </row>
        <row r="380">
          <cell r="A380" t="str">
            <v>901506082</v>
          </cell>
          <cell r="B380" t="str">
            <v>5</v>
          </cell>
          <cell r="C380" t="str">
            <v>CONJUNTO RESIDENCIAL PUNTA LUNA TRES - PROPIEDAD HORIZONTAL</v>
          </cell>
          <cell r="D380" t="str">
            <v>3137886546</v>
          </cell>
          <cell r="E380" t="str">
            <v>crpuntaluna3@gmail.com</v>
          </cell>
          <cell r="F380" t="str">
            <v>CR 86 C 53 C 112</v>
          </cell>
          <cell r="G380" t="str">
            <v>05001</v>
          </cell>
        </row>
        <row r="381">
          <cell r="A381" t="str">
            <v>901506444</v>
          </cell>
          <cell r="B381" t="str">
            <v>8</v>
          </cell>
          <cell r="C381" t="str">
            <v>EDIFICIO HOJARASCA - PROPIEDAD HORIZONTAL</v>
          </cell>
          <cell r="D381" t="str">
            <v>4442420</v>
          </cell>
          <cell r="E381" t="str">
            <v>secretariacoad@gmail.com</v>
          </cell>
          <cell r="F381" t="str">
            <v>CL 39 C 73 49 53 55</v>
          </cell>
          <cell r="G381" t="str">
            <v>05001</v>
          </cell>
        </row>
        <row r="382">
          <cell r="A382" t="str">
            <v>901509222</v>
          </cell>
          <cell r="B382" t="str">
            <v>3</v>
          </cell>
          <cell r="C382" t="str">
            <v>PROMOTORA EL LAUREL S.A.S</v>
          </cell>
          <cell r="D382" t="str">
            <v>3124740</v>
          </cell>
          <cell r="E382" t="str">
            <v>omh.almacen@gmail.com</v>
          </cell>
          <cell r="F382" t="str">
            <v>CL 7 39 215  OF 501</v>
          </cell>
          <cell r="G382" t="str">
            <v>05001</v>
          </cell>
        </row>
        <row r="383">
          <cell r="A383" t="str">
            <v>901527905</v>
          </cell>
          <cell r="B383" t="str">
            <v>1</v>
          </cell>
          <cell r="C383" t="str">
            <v>CONJUNTO DE USO MIXTO LUNA DEL MAR - PROPIEDAD HORIZONTAL</v>
          </cell>
          <cell r="D383" t="str">
            <v>4442015</v>
          </cell>
          <cell r="E383" t="str">
            <v>admonlunadelmarph@gmail.com</v>
          </cell>
          <cell r="F383" t="str">
            <v>CALLE 67 99-183</v>
          </cell>
          <cell r="G383" t="str">
            <v>05001</v>
          </cell>
        </row>
        <row r="384">
          <cell r="A384" t="str">
            <v>901531392</v>
          </cell>
          <cell r="B384" t="str">
            <v>9</v>
          </cell>
          <cell r="C384" t="str">
            <v>COMERCIALIZADORA DISLON S.A.S.</v>
          </cell>
          <cell r="D384" t="str">
            <v>3 1 3 6 2 0 1 3 2 3</v>
          </cell>
          <cell r="E384" t="str">
            <v>dislon@dislon.com.co</v>
          </cell>
          <cell r="F384" t="str">
            <v>CR 55 27 A 98</v>
          </cell>
          <cell r="G384" t="str">
            <v>05001</v>
          </cell>
        </row>
        <row r="385">
          <cell r="A385" t="str">
            <v>901537569</v>
          </cell>
          <cell r="B385" t="str">
            <v>2</v>
          </cell>
          <cell r="C385" t="str">
            <v>CONJUNTO RESIDENCIAL TIERRA GRATA BOSQUE SANTO - PROPIEDAD HORIZONTAL</v>
          </cell>
          <cell r="D385" t="str">
            <v>3182800786</v>
          </cell>
          <cell r="E385" t="str">
            <v>contabilidad@tmgservicios.com</v>
          </cell>
          <cell r="F385" t="str">
            <v>CR 31 19 445</v>
          </cell>
          <cell r="G385" t="str">
            <v>05001</v>
          </cell>
        </row>
        <row r="386">
          <cell r="A386" t="str">
            <v>901539578</v>
          </cell>
          <cell r="B386" t="str">
            <v>8</v>
          </cell>
          <cell r="C386" t="str">
            <v>EDIFICIO GO LIVING &amp; SUITES-PROPIEDAD HORIZONTAL</v>
          </cell>
          <cell r="D386" t="str">
            <v>4480786</v>
          </cell>
          <cell r="E386" t="str">
            <v>facturas@aceis.com.co</v>
          </cell>
          <cell r="F386" t="str">
            <v>CL 10 SUR 45 45 240 260 270</v>
          </cell>
          <cell r="G386" t="str">
            <v>05001</v>
          </cell>
        </row>
        <row r="387">
          <cell r="A387" t="str">
            <v>901539784</v>
          </cell>
          <cell r="B387" t="str">
            <v>9</v>
          </cell>
          <cell r="C387" t="str">
            <v>EDIFICIO FOREVER W &amp; L - PROPIEDAD HORIZONTAL</v>
          </cell>
          <cell r="D387" t="str">
            <v>4 4 8 3 1 4 9</v>
          </cell>
          <cell r="E387" t="str">
            <v>compras@abelardoyepes.com</v>
          </cell>
          <cell r="F387" t="str">
            <v>CR 30 4 A 31 33 37 45</v>
          </cell>
          <cell r="G387" t="str">
            <v>05001</v>
          </cell>
        </row>
        <row r="388">
          <cell r="A388" t="str">
            <v>901539809</v>
          </cell>
          <cell r="B388" t="str">
            <v>4</v>
          </cell>
          <cell r="C388" t="str">
            <v>EDIFICIO QUEBRADA ARRIBA - PROPIEDAD HORIZONTAL</v>
          </cell>
          <cell r="D388" t="str">
            <v>4483149</v>
          </cell>
          <cell r="E388" t="str">
            <v>compras@abelardoyepes.com</v>
          </cell>
          <cell r="F388" t="str">
            <v>CL 10 D 30 A 135</v>
          </cell>
          <cell r="G388" t="str">
            <v>05001</v>
          </cell>
        </row>
        <row r="389">
          <cell r="A389" t="str">
            <v>901549759</v>
          </cell>
          <cell r="B389" t="str">
            <v>7</v>
          </cell>
          <cell r="C389" t="str">
            <v>EDIFICIO HERBIVORO - PROPIEDAD HORIZONTAL</v>
          </cell>
          <cell r="D389" t="str">
            <v>3104319024</v>
          </cell>
          <cell r="E389" t="str">
            <v>bvggestionempresarial@gmail.com</v>
          </cell>
          <cell r="F389" t="str">
            <v>CL 34 82 A 150</v>
          </cell>
          <cell r="G389" t="str">
            <v>05001</v>
          </cell>
        </row>
        <row r="390">
          <cell r="A390" t="str">
            <v>901550354</v>
          </cell>
          <cell r="B390" t="str">
            <v>1</v>
          </cell>
          <cell r="C390" t="str">
            <v>CONJUNTO DE USO MIXTO BOSQUES DEL RIO - PROPIEDAD HORIZONTAL</v>
          </cell>
          <cell r="D390" t="str">
            <v>3217376690</v>
          </cell>
          <cell r="E390" t="str">
            <v>admbosquesdelrio@gmail.com</v>
          </cell>
          <cell r="F390" t="str">
            <v>CALLE 18 43 G 56</v>
          </cell>
          <cell r="G390" t="str">
            <v>05001</v>
          </cell>
        </row>
        <row r="391">
          <cell r="A391" t="str">
            <v>901552688</v>
          </cell>
          <cell r="B391" t="str">
            <v>3</v>
          </cell>
          <cell r="C391" t="str">
            <v>EDIFICIO EL UNIVERSAL PROPIEDAD HORIZONTAL</v>
          </cell>
          <cell r="D391" t="str">
            <v>3007749475</v>
          </cell>
          <cell r="E391" t="str">
            <v>edificioeluniversal@gmail.com</v>
          </cell>
          <cell r="F391" t="str">
            <v>DG 30A 15C SUR 148</v>
          </cell>
          <cell r="G391" t="str">
            <v>05001</v>
          </cell>
        </row>
        <row r="392">
          <cell r="A392" t="str">
            <v>901553472</v>
          </cell>
          <cell r="B392" t="str">
            <v>4</v>
          </cell>
          <cell r="C392" t="str">
            <v>EDIFICIO AZALEA DEL RIO PROPIEDAD HORIZONTAL</v>
          </cell>
          <cell r="D392" t="str">
            <v>3116378745</v>
          </cell>
          <cell r="E392" t="str">
            <v>cuotasadmon-5@hotmail.com</v>
          </cell>
          <cell r="F392" t="str">
            <v xml:space="preserve">CR 63 33 63 65 67 69
</v>
          </cell>
          <cell r="G392" t="str">
            <v>05001</v>
          </cell>
        </row>
        <row r="393">
          <cell r="A393" t="str">
            <v>901563805</v>
          </cell>
          <cell r="B393" t="str">
            <v>6</v>
          </cell>
          <cell r="C393" t="str">
            <v>URBANIZACIÓN FAROVERDE - PROPIEDAD HORIZONTAL</v>
          </cell>
          <cell r="D393" t="str">
            <v>3136506781</v>
          </cell>
          <cell r="E393" t="str">
            <v>faroverdeph@gmail.com</v>
          </cell>
          <cell r="F393" t="str">
            <v>CALLE 54 N 86 C 220</v>
          </cell>
          <cell r="G393" t="str">
            <v>05001</v>
          </cell>
        </row>
        <row r="394">
          <cell r="A394" t="str">
            <v>901567289</v>
          </cell>
          <cell r="B394" t="str">
            <v>3</v>
          </cell>
          <cell r="C394" t="str">
            <v>BUENOS PROYECTOS SAS</v>
          </cell>
          <cell r="D394" t="str">
            <v>3218351154</v>
          </cell>
          <cell r="E394" t="str">
            <v>lorenadirector@oblicuo.co</v>
          </cell>
          <cell r="F394" t="str">
            <v>CALLE 11A #31A - 118</v>
          </cell>
          <cell r="G394" t="str">
            <v>05001</v>
          </cell>
        </row>
        <row r="395">
          <cell r="A395" t="str">
            <v>901572847</v>
          </cell>
          <cell r="B395" t="str">
            <v>3</v>
          </cell>
          <cell r="C395" t="str">
            <v>PROMOTORA EL SOLAR S.A.S.</v>
          </cell>
          <cell r="D395" t="str">
            <v>3 2 1 8 1 2 5 8 3 5</v>
          </cell>
          <cell r="E395" t="str">
            <v>facturacion@conexoinmobiliario.com</v>
          </cell>
          <cell r="F395" t="str">
            <v>CL 7 39 215 OF 501</v>
          </cell>
          <cell r="G395" t="str">
            <v>05001</v>
          </cell>
        </row>
        <row r="396">
          <cell r="A396" t="str">
            <v>901575084</v>
          </cell>
          <cell r="B396" t="str">
            <v>4</v>
          </cell>
          <cell r="C396" t="str">
            <v>WALL APARTAMENTOS - PROPIEDAD HORIZONTAL</v>
          </cell>
          <cell r="D396" t="str">
            <v>3212520252</v>
          </cell>
          <cell r="E396" t="str">
            <v>administrador5@admonyasesorias.com</v>
          </cell>
          <cell r="F396" t="str">
            <v>CRA 29 A 55 SUR - 332</v>
          </cell>
          <cell r="G396" t="str">
            <v>05001</v>
          </cell>
        </row>
        <row r="397">
          <cell r="A397" t="str">
            <v>901576645</v>
          </cell>
          <cell r="B397" t="str">
            <v>0</v>
          </cell>
          <cell r="C397" t="str">
            <v>CONJUNTO RESIDENCIAL VILLATERRA - PROPIEDAD HORIZONTAL</v>
          </cell>
          <cell r="D397" t="str">
            <v>3128041910</v>
          </cell>
          <cell r="E397" t="str">
            <v>lucy.garcia@estiloingenieria.com</v>
          </cell>
          <cell r="F397" t="str">
            <v>CL 12 A SUR 55 D 30</v>
          </cell>
          <cell r="G397" t="str">
            <v>05001</v>
          </cell>
        </row>
        <row r="398">
          <cell r="A398" t="str">
            <v>901576709</v>
          </cell>
          <cell r="B398" t="str">
            <v>3</v>
          </cell>
          <cell r="C398" t="str">
            <v>NEGOCIOS E INVERSIONES INMOBILIARIAS J&amp;G S.A.S.</v>
          </cell>
          <cell r="D398" t="str">
            <v>6 0 4 3 5 6 1 1 1 1</v>
          </cell>
          <cell r="E398" t="str">
            <v>obrajatisa2023@gmail.com</v>
          </cell>
          <cell r="F398" t="str">
            <v>CL 23 43 A 100</v>
          </cell>
          <cell r="G398" t="str">
            <v>05001</v>
          </cell>
        </row>
        <row r="399">
          <cell r="A399" t="str">
            <v>901587935</v>
          </cell>
          <cell r="B399" t="str">
            <v>9</v>
          </cell>
          <cell r="C399" t="str">
            <v>JALO HASHTAG 98 S.A.S</v>
          </cell>
          <cell r="D399" t="str">
            <v>3103213272</v>
          </cell>
          <cell r="E399" t="str">
            <v>contabilidad@hashtag.com.co</v>
          </cell>
          <cell r="F399" t="str">
            <v>Cra 41 No. 10-37</v>
          </cell>
          <cell r="G399" t="str">
            <v>05001</v>
          </cell>
        </row>
        <row r="400">
          <cell r="A400" t="str">
            <v>901616972</v>
          </cell>
          <cell r="B400" t="str">
            <v>7</v>
          </cell>
          <cell r="C400" t="str">
            <v>CONJUNTO DE USO MIXTO METROPOLITAN-PROPIEDAD HORTIZONTAL</v>
          </cell>
          <cell r="D400" t="str">
            <v>4442015</v>
          </cell>
          <cell r="E400" t="str">
            <v>metropolitanph1@gmail.com</v>
          </cell>
          <cell r="F400" t="str">
            <v>CL 33 43 17 45</v>
          </cell>
          <cell r="G400" t="str">
            <v>05001</v>
          </cell>
        </row>
        <row r="401">
          <cell r="A401" t="str">
            <v>901623666</v>
          </cell>
          <cell r="B401" t="str">
            <v>7</v>
          </cell>
          <cell r="C401" t="str">
            <v>EZ LIVING S.A.S</v>
          </cell>
          <cell r="D401" t="str">
            <v>3104254900</v>
          </cell>
          <cell r="E401" t="str">
            <v>contabilidad@easyliving.com.co</v>
          </cell>
          <cell r="F401" t="str">
            <v>Carrera 43 b No. 16 - 95 oF 1613</v>
          </cell>
          <cell r="G401" t="str">
            <v>05001</v>
          </cell>
        </row>
        <row r="402">
          <cell r="A402" t="str">
            <v>901628333</v>
          </cell>
          <cell r="B402" t="str">
            <v>2</v>
          </cell>
          <cell r="C402" t="str">
            <v>CONJUNTO RESIDENCIAL LUNA DEL VIENTO - PROPIEDAD HORIZONTAL</v>
          </cell>
          <cell r="D402" t="str">
            <v>3147057449</v>
          </cell>
          <cell r="E402" t="str">
            <v>crlunadelviento@gmail.com</v>
          </cell>
          <cell r="F402" t="str">
            <v>CR 99 66 E 43</v>
          </cell>
          <cell r="G402" t="str">
            <v>05001</v>
          </cell>
        </row>
        <row r="403">
          <cell r="A403" t="str">
            <v>901632143</v>
          </cell>
          <cell r="B403" t="str">
            <v>5</v>
          </cell>
          <cell r="C403" t="str">
            <v>EDIFICIO SAN MIGUEL</v>
          </cell>
          <cell r="D403" t="str">
            <v>3137068187</v>
          </cell>
          <cell r="E403" t="str">
            <v>dipatri21@hotmail.com</v>
          </cell>
          <cell r="F403" t="str">
            <v>carrea 81 a n 33 b 26</v>
          </cell>
          <cell r="G403" t="str">
            <v>05001</v>
          </cell>
        </row>
        <row r="404">
          <cell r="A404" t="str">
            <v>901653829</v>
          </cell>
          <cell r="B404" t="str">
            <v>9</v>
          </cell>
          <cell r="C404" t="str">
            <v>CHN OPERATIVE S.A.S.</v>
          </cell>
          <cell r="D404" t="str">
            <v>3023891224</v>
          </cell>
          <cell r="E404" t="str">
            <v>chnoperative.sas@gmail.com</v>
          </cell>
          <cell r="F404" t="str">
            <v>CL 52 A 50 46 P 11</v>
          </cell>
          <cell r="G404" t="str">
            <v>05001</v>
          </cell>
        </row>
        <row r="405">
          <cell r="A405" t="str">
            <v>901658191</v>
          </cell>
          <cell r="B405" t="str">
            <v>1</v>
          </cell>
          <cell r="C405" t="str">
            <v>EDIFICIO MONTAÑA ARRIBA - PROPIEDAD HORIZONTAL</v>
          </cell>
          <cell r="D405" t="str">
            <v>4483149</v>
          </cell>
          <cell r="E405" t="str">
            <v>compras@abelardoyepes.com</v>
          </cell>
          <cell r="F405" t="str">
            <v>CR 24 B 16 08 12</v>
          </cell>
          <cell r="G405" t="str">
            <v>05001</v>
          </cell>
        </row>
        <row r="406">
          <cell r="A406" t="str">
            <v>901664829</v>
          </cell>
          <cell r="B406" t="str">
            <v>6</v>
          </cell>
          <cell r="C406" t="str">
            <v>EDIFICIO LIVING - PROPIEDAD HORIZONTAL</v>
          </cell>
          <cell r="D406" t="str">
            <v>3147720861</v>
          </cell>
          <cell r="E406" t="str">
            <v>edificiolivingph@gmail.com</v>
          </cell>
          <cell r="F406" t="str">
            <v>cr 66 a 36 b 23-25</v>
          </cell>
          <cell r="G406" t="str">
            <v>05001</v>
          </cell>
        </row>
        <row r="407">
          <cell r="A407" t="str">
            <v>901665583</v>
          </cell>
          <cell r="B407" t="str">
            <v>4</v>
          </cell>
          <cell r="C407" t="str">
            <v>ABHOTELES Y TURISMO SAS</v>
          </cell>
          <cell r="D407" t="str">
            <v>4 4 8 3 5 1 0</v>
          </cell>
          <cell r="E407" t="str">
            <v>facturacion@abhoteles.co</v>
          </cell>
          <cell r="F407" t="str">
            <v>CIR 5 N 66 B 24</v>
          </cell>
          <cell r="G407" t="str">
            <v>05001</v>
          </cell>
        </row>
        <row r="408">
          <cell r="A408" t="str">
            <v>901687251</v>
          </cell>
          <cell r="B408" t="str">
            <v>9</v>
          </cell>
          <cell r="C408" t="str">
            <v>STANDOUT MGMT S.A.S.</v>
          </cell>
          <cell r="D408" t="str">
            <v>3 1 0 4 4 2 1 7 6 2</v>
          </cell>
          <cell r="E408" t="str">
            <v>ADMIN@STANDOUT.COM.CO</v>
          </cell>
          <cell r="F408" t="str">
            <v>CL 11 C 31 79 OF 302</v>
          </cell>
          <cell r="G408" t="str">
            <v>05001</v>
          </cell>
        </row>
        <row r="409">
          <cell r="A409" t="str">
            <v>901706229</v>
          </cell>
          <cell r="B409" t="str">
            <v>9</v>
          </cell>
          <cell r="C409" t="str">
            <v>PROYECTO INMOBILIARIO MEGAOBRA SAS</v>
          </cell>
          <cell r="D409" t="str">
            <v>3172233680</v>
          </cell>
          <cell r="E409" t="str">
            <v>fernandoserna11@une.net.co</v>
          </cell>
          <cell r="F409" t="str">
            <v>CL 92 103</v>
          </cell>
          <cell r="G409" t="str">
            <v>05001</v>
          </cell>
        </row>
        <row r="410">
          <cell r="A410" t="str">
            <v>901721988</v>
          </cell>
          <cell r="B410" t="str">
            <v>3</v>
          </cell>
          <cell r="C410" t="str">
            <v>EDIFICIO HOTEL OBRA LOMAVERDE - PROPIEDAD HORIZONTAL</v>
          </cell>
          <cell r="D410" t="str">
            <v>3206458564</v>
          </cell>
          <cell r="E410" t="str">
            <v>lomaverdeph@gmail.com</v>
          </cell>
          <cell r="F410" t="str">
            <v>CALLE 11 30 A - 117</v>
          </cell>
          <cell r="G410" t="str">
            <v>05001</v>
          </cell>
        </row>
        <row r="411">
          <cell r="A411" t="str">
            <v>901727538</v>
          </cell>
          <cell r="B411" t="str">
            <v>1</v>
          </cell>
          <cell r="C411" t="str">
            <v>CONSTRUCTORA C &amp; J S.A.S</v>
          </cell>
          <cell r="D411" t="str">
            <v>3206664933</v>
          </cell>
          <cell r="E411" t="str">
            <v>ADMONCONSTRUCTORAMJ@GMAIL.COM</v>
          </cell>
          <cell r="F411" t="str">
            <v>CALLE  34 82 B 27</v>
          </cell>
          <cell r="G411" t="str">
            <v>05001</v>
          </cell>
        </row>
        <row r="412">
          <cell r="A412" t="str">
            <v>901732824</v>
          </cell>
          <cell r="B412" t="str">
            <v>1</v>
          </cell>
          <cell r="C412" t="str">
            <v>INVERSIONES SOLAR 1010 S.A.S.</v>
          </cell>
          <cell r="D412" t="str">
            <v>3 0 0 3 5 5 2 7 5 1</v>
          </cell>
          <cell r="E412" t="str">
            <v>NICOLAS@NUCLEOJURIDICO.COM.CO</v>
          </cell>
          <cell r="F412" t="str">
            <v>CALLE 5 No. 76 - 45 AP 205</v>
          </cell>
          <cell r="G412" t="str">
            <v>05001</v>
          </cell>
        </row>
        <row r="413">
          <cell r="A413" t="str">
            <v>901743012</v>
          </cell>
          <cell r="B413" t="str">
            <v>5</v>
          </cell>
          <cell r="C413" t="str">
            <v>EDIFICIO ALEPH - PROPIEDAD HORIZONTAL</v>
          </cell>
          <cell r="D413" t="str">
            <v>3105442948</v>
          </cell>
          <cell r="E413" t="str">
            <v>facturas1.aie@gmail.com</v>
          </cell>
          <cell r="F413" t="str">
            <v>CRA 36 10B 75</v>
          </cell>
          <cell r="G413" t="str">
            <v>05001</v>
          </cell>
        </row>
        <row r="414">
          <cell r="A414" t="str">
            <v>901773348</v>
          </cell>
          <cell r="B414" t="str">
            <v>2</v>
          </cell>
          <cell r="C414" t="str">
            <v>EDIFICIO SAINT JOSEPH - PROPIEDAD HORIZONTAL</v>
          </cell>
          <cell r="D414" t="str">
            <v>3 1 2 7 3 4 3 3 9 4</v>
          </cell>
          <cell r="E414" t="str">
            <v>isabelcanoph@gmail.com</v>
          </cell>
          <cell r="F414" t="str">
            <v>G 75 C 33 A 23 25 27 Y CL 33 A 75 C 22 36</v>
          </cell>
          <cell r="G414" t="str">
            <v>05001</v>
          </cell>
        </row>
        <row r="415">
          <cell r="A415" t="str">
            <v>901860036</v>
          </cell>
          <cell r="B415" t="str">
            <v>2</v>
          </cell>
          <cell r="C415" t="str">
            <v>OCTAVA B - PROPIEDAD HORIZONTAL</v>
          </cell>
          <cell r="D415" t="str">
            <v>6 0 4 4 4 4 2 4 2 0</v>
          </cell>
          <cell r="E415" t="str">
            <v>contabilidad@administracionam.co</v>
          </cell>
          <cell r="F415" t="str">
            <v>CL 8 B 30 52 60</v>
          </cell>
          <cell r="G415" t="str">
            <v>05001</v>
          </cell>
        </row>
        <row r="416">
          <cell r="A416" t="str">
            <v>901878093</v>
          </cell>
          <cell r="B416" t="str">
            <v>1</v>
          </cell>
          <cell r="C416" t="str">
            <v>EDIFICIO MULTIFAMILIAR SIENNA - PROPIEDAD HORIZONTAL</v>
          </cell>
          <cell r="D416" t="str">
            <v>3136536016</v>
          </cell>
          <cell r="E416" t="str">
            <v>contabilidad@vitalsas.co</v>
          </cell>
          <cell r="F416" t="str">
            <v>CL 32 E 80 69</v>
          </cell>
          <cell r="G416" t="str">
            <v>05001</v>
          </cell>
        </row>
        <row r="417">
          <cell r="A417" t="str">
            <v>70142552</v>
          </cell>
          <cell r="B417" t="str">
            <v>8</v>
          </cell>
          <cell r="C417" t="str">
            <v>JOHNY ANDERSON OLARTE ZAPATA</v>
          </cell>
          <cell r="D417" t="str">
            <v>3192344134</v>
          </cell>
          <cell r="E417" t="str">
            <v>carlos-betancur7@hotmail.com</v>
          </cell>
          <cell r="F417" t="str">
            <v>CARRERA 19N 17-036</v>
          </cell>
          <cell r="G417" t="str">
            <v>05079</v>
          </cell>
        </row>
        <row r="418">
          <cell r="A418" t="str">
            <v>800027617</v>
          </cell>
          <cell r="B418" t="str">
            <v>3</v>
          </cell>
          <cell r="C418" t="str">
            <v>MENSULA S.A.S.</v>
          </cell>
          <cell r="D418" t="str">
            <v>3613536</v>
          </cell>
          <cell r="E418" t="str">
            <v>facturacion@mensulaingenieros.com</v>
          </cell>
          <cell r="F418" t="str">
            <v>CALLE 10 SUR  50 F F  28  OFICINA 407</v>
          </cell>
          <cell r="G418" t="str">
            <v>05088</v>
          </cell>
        </row>
        <row r="419">
          <cell r="A419" t="str">
            <v>800150443</v>
          </cell>
          <cell r="B419" t="str">
            <v>4</v>
          </cell>
          <cell r="C419" t="str">
            <v>COMPAÑIA DE CONSTRUCTORES ASOCIADOS S.A.</v>
          </cell>
          <cell r="D419">
            <v>3219664011</v>
          </cell>
          <cell r="E419" t="str">
            <v>feproveedores@casa.com.co</v>
          </cell>
          <cell r="F419" t="str">
            <v>CARRERA 5  71  45 OFICINA 202</v>
          </cell>
          <cell r="G419" t="str">
            <v>05088</v>
          </cell>
        </row>
        <row r="420">
          <cell r="A420" t="str">
            <v>811028750</v>
          </cell>
          <cell r="B420" t="str">
            <v>1</v>
          </cell>
          <cell r="C420" t="str">
            <v>INVERSIONES EDITEC S.A.S.</v>
          </cell>
          <cell r="D420" t="str">
            <v>3221047</v>
          </cell>
          <cell r="E420" t="str">
            <v>facturacionelectronica@editec.com.co</v>
          </cell>
          <cell r="F420" t="str">
            <v>CRA 48 A 61 SUR 75 OFI 503</v>
          </cell>
          <cell r="G420" t="str">
            <v>05088</v>
          </cell>
        </row>
        <row r="421">
          <cell r="A421" t="str">
            <v>811033203</v>
          </cell>
          <cell r="B421" t="str">
            <v>2</v>
          </cell>
          <cell r="C421" t="str">
            <v>INSTITUCION EDUCATIVA BARRIO PARIS</v>
          </cell>
          <cell r="D421" t="str">
            <v>2737622</v>
          </cell>
          <cell r="E421" t="str">
            <v>williamz_1@hotmail.com</v>
          </cell>
          <cell r="F421" t="str">
            <v>CARRERA 78  20 A  85</v>
          </cell>
          <cell r="G421" t="str">
            <v>05088</v>
          </cell>
        </row>
        <row r="422">
          <cell r="A422" t="str">
            <v>811033259</v>
          </cell>
          <cell r="B422" t="str">
            <v>4</v>
          </cell>
          <cell r="C422" t="str">
            <v>SOLUCIONES CIVILES S.A.S</v>
          </cell>
          <cell r="D422" t="str">
            <v>3127250788</v>
          </cell>
          <cell r="E422" t="str">
            <v>e-factura.co@seresnet.com</v>
          </cell>
          <cell r="F422" t="str">
            <v>CR 43 B 16 41 OF 1703 ED CENTRO DE OFICINAS STAFF</v>
          </cell>
          <cell r="G422" t="str">
            <v>05088</v>
          </cell>
        </row>
        <row r="423">
          <cell r="A423" t="str">
            <v>811038194</v>
          </cell>
          <cell r="B423" t="str">
            <v>7</v>
          </cell>
          <cell r="C423" t="str">
            <v>INSTITUCION EDUCATIVA JORGE ELIECER GAITAN AYALA</v>
          </cell>
          <cell r="D423">
            <v>3219664011</v>
          </cell>
          <cell r="E423" t="str">
            <v>iejega2021@gmail.com</v>
          </cell>
          <cell r="F423" t="str">
            <v>CARRERA 50  53  04</v>
          </cell>
          <cell r="G423" t="str">
            <v>05088</v>
          </cell>
        </row>
        <row r="424">
          <cell r="A424" t="str">
            <v>900437657</v>
          </cell>
          <cell r="B424" t="str">
            <v>1</v>
          </cell>
          <cell r="C424" t="str">
            <v>CONJUNTO PUERTA MADERA P.H.</v>
          </cell>
          <cell r="D424">
            <v>3219664011</v>
          </cell>
          <cell r="E424" t="str">
            <v>factu.puertamadera@gmail.com</v>
          </cell>
          <cell r="F424" t="str">
            <v>CARRERA 45  26  162</v>
          </cell>
          <cell r="G424" t="str">
            <v>05088</v>
          </cell>
        </row>
        <row r="425">
          <cell r="A425" t="str">
            <v>900622212</v>
          </cell>
          <cell r="B425" t="str">
            <v>9</v>
          </cell>
          <cell r="C425" t="str">
            <v>CONJUNTO RESIDENCIAL MIXTO FLORIDA NORTEAMERICA PRIMERA ETAPA TORRE 8 PH</v>
          </cell>
          <cell r="D425">
            <v>3219664011</v>
          </cell>
          <cell r="E425" t="str">
            <v>secretaria@floridanorteamerica.co</v>
          </cell>
          <cell r="F425" t="str">
            <v>AV 26  52 200 AUT NORTE SEC GUASIMALITO</v>
          </cell>
          <cell r="G425" t="str">
            <v>05088</v>
          </cell>
        </row>
        <row r="426">
          <cell r="A426" t="str">
            <v>900652291</v>
          </cell>
          <cell r="B426" t="str">
            <v>9</v>
          </cell>
          <cell r="C426" t="str">
            <v>REPRESENTACIONES MULTIBUILD S A S</v>
          </cell>
          <cell r="D426" t="str">
            <v>3601267</v>
          </cell>
          <cell r="E426" t="str">
            <v>facturacion@multibuild.com.co</v>
          </cell>
          <cell r="F426" t="str">
            <v>CL 10 20  35 AP  2045</v>
          </cell>
          <cell r="G426" t="str">
            <v>05088</v>
          </cell>
        </row>
        <row r="427">
          <cell r="A427" t="str">
            <v>900757979</v>
          </cell>
          <cell r="B427" t="str">
            <v>9</v>
          </cell>
          <cell r="C427" t="str">
            <v>UNIDAD RESIDENCIAL CURAZAO TORRE 1 ETAPA 1 P.H.</v>
          </cell>
          <cell r="D427" t="str">
            <v>3177018653</v>
          </cell>
          <cell r="E427" t="str">
            <v>unidadresidencialcurazaoph@gmail.com</v>
          </cell>
          <cell r="F427" t="str">
            <v>DIAGONAL 43  34 E  20</v>
          </cell>
          <cell r="G427" t="str">
            <v>05088</v>
          </cell>
        </row>
        <row r="428">
          <cell r="A428" t="str">
            <v>900770444</v>
          </cell>
          <cell r="B428" t="str">
            <v>4</v>
          </cell>
          <cell r="C428" t="str">
            <v>CERRO AZUL CONJUNTO RESIDENCIAL P.H</v>
          </cell>
          <cell r="D428" t="str">
            <v>3154705223</v>
          </cell>
          <cell r="E428" t="str">
            <v>urb.cerroazul@gmail.com</v>
          </cell>
          <cell r="F428" t="str">
            <v>AVENIDA 31  66  29 TORRE 3</v>
          </cell>
          <cell r="G428" t="str">
            <v>05088</v>
          </cell>
        </row>
        <row r="429">
          <cell r="A429" t="str">
            <v>900786746</v>
          </cell>
          <cell r="B429" t="str">
            <v>3</v>
          </cell>
          <cell r="C429" t="str">
            <v>CONJUNTO DE USO MIXTO AVELLANEDA COMUNIDAD RESIDENCIAL P.H</v>
          </cell>
          <cell r="D429" t="str">
            <v>4516795</v>
          </cell>
          <cell r="E429" t="str">
            <v>avellanedaresidencial@gmail.com</v>
          </cell>
          <cell r="F429" t="str">
            <v>CARRERA 63 A  77  20</v>
          </cell>
          <cell r="G429" t="str">
            <v>05088</v>
          </cell>
        </row>
        <row r="430">
          <cell r="A430" t="str">
            <v>900927995</v>
          </cell>
          <cell r="B430" t="str">
            <v>7</v>
          </cell>
          <cell r="C430" t="str">
            <v>EDIFICIO MONTSERRAT - VIVIENDA MULTIFAMILIAR Y VIVIENDA DE INTERES SOCIAL</v>
          </cell>
          <cell r="D430">
            <v>3219664011</v>
          </cell>
          <cell r="E430" t="str">
            <v>edmontserratph@gmail.com</v>
          </cell>
          <cell r="F430" t="str">
            <v>CALLE 58  59  108</v>
          </cell>
          <cell r="G430" t="str">
            <v>05088</v>
          </cell>
        </row>
        <row r="431">
          <cell r="A431" t="str">
            <v>900938701</v>
          </cell>
          <cell r="B431" t="str">
            <v>6</v>
          </cell>
          <cell r="C431" t="str">
            <v>PACTAR DESARROLLADOR INMOBILIARIO S.A.S.</v>
          </cell>
          <cell r="D431" t="str">
            <v>4 4 8 1 5 8 0</v>
          </cell>
          <cell r="E431" t="str">
            <v>facturacion@pactar.co</v>
          </cell>
          <cell r="F431" t="str">
            <v>CL 3 SUR 43 A 52 OF 705 ED ULTRABURSATILES</v>
          </cell>
          <cell r="G431" t="str">
            <v>05088</v>
          </cell>
        </row>
        <row r="432">
          <cell r="A432" t="str">
            <v>900949996</v>
          </cell>
          <cell r="B432" t="str">
            <v>9</v>
          </cell>
          <cell r="C432" t="str">
            <v>PREMIUM GROUP INVERSIONES &amp; CONTRUCCIÓN S.A.S</v>
          </cell>
          <cell r="D432">
            <v>3219664011</v>
          </cell>
          <cell r="E432" t="str">
            <v>facturacion@premiumgroup.com.co</v>
          </cell>
          <cell r="F432" t="str">
            <v>DIAGONAL 75 B A  10  01  INTERIOR 105</v>
          </cell>
          <cell r="G432" t="str">
            <v>05088</v>
          </cell>
        </row>
        <row r="433">
          <cell r="A433" t="str">
            <v>900959856</v>
          </cell>
          <cell r="B433" t="str">
            <v>9</v>
          </cell>
          <cell r="C433" t="str">
            <v>CONJUNTO RESIDENCIAL PUERTO NUEVO PH</v>
          </cell>
          <cell r="D433" t="str">
            <v>3176466701</v>
          </cell>
          <cell r="E433" t="str">
            <v>crpuertonuevo@gmail.com</v>
          </cell>
          <cell r="F433" t="str">
            <v>CARRERA 57  38  290</v>
          </cell>
          <cell r="G433" t="str">
            <v>05088</v>
          </cell>
        </row>
        <row r="434">
          <cell r="A434" t="str">
            <v>901011143</v>
          </cell>
          <cell r="B434" t="str">
            <v>0</v>
          </cell>
          <cell r="C434" t="str">
            <v>URBANIZACION LA VIDA ES BELLA P.H</v>
          </cell>
          <cell r="D434" t="str">
            <v>3007768335</v>
          </cell>
          <cell r="E434" t="str">
            <v>lavidaesbellaedificio@gmail.com</v>
          </cell>
          <cell r="F434" t="str">
            <v>CALLE 37  45  200</v>
          </cell>
          <cell r="G434" t="str">
            <v>05088</v>
          </cell>
        </row>
        <row r="435">
          <cell r="A435" t="str">
            <v>901047518</v>
          </cell>
          <cell r="B435" t="str">
            <v>4</v>
          </cell>
          <cell r="C435" t="str">
            <v>EDIFICIO PORTO LETICIA P.H</v>
          </cell>
          <cell r="D435" t="str">
            <v>3007803970</v>
          </cell>
          <cell r="E435" t="str">
            <v>urbanizacionportoleticia@gmail.com</v>
          </cell>
          <cell r="F435" t="str">
            <v>CARRERA 59  27 B  357</v>
          </cell>
          <cell r="G435" t="str">
            <v>05088</v>
          </cell>
        </row>
        <row r="436">
          <cell r="A436" t="str">
            <v>901105650</v>
          </cell>
          <cell r="B436" t="str">
            <v>8</v>
          </cell>
          <cell r="C436" t="str">
            <v>LA QUINTA CONJUNTO RESIDENCIAL TORRE1 ETAPA 1</v>
          </cell>
          <cell r="D436" t="str">
            <v>3225579</v>
          </cell>
          <cell r="E436" t="str">
            <v>laquintaph1@gmail.com</v>
          </cell>
          <cell r="F436" t="str">
            <v>CALLE 29 A  50  85</v>
          </cell>
          <cell r="G436" t="str">
            <v>05088</v>
          </cell>
        </row>
        <row r="437">
          <cell r="A437" t="str">
            <v>901128927</v>
          </cell>
          <cell r="B437" t="str">
            <v>1</v>
          </cell>
          <cell r="C437" t="str">
            <v>URBANIZACION PUERTO ALEGRE P.H.</v>
          </cell>
          <cell r="D437" t="str">
            <v>3128085565</v>
          </cell>
          <cell r="E437" t="str">
            <v>puertoalegreph@hotmail.com</v>
          </cell>
          <cell r="F437" t="str">
            <v>DIAGONAL 57 A  59  231</v>
          </cell>
          <cell r="G437" t="str">
            <v>05088</v>
          </cell>
        </row>
        <row r="438">
          <cell r="A438" t="str">
            <v>901165729</v>
          </cell>
          <cell r="B438" t="str">
            <v>7</v>
          </cell>
          <cell r="C438" t="str">
            <v>CONJUNTO RESIDENCIAL CAMINO DEL VIENTO SUETAPA 1, TORRE 1 P.H.</v>
          </cell>
          <cell r="D438" t="str">
            <v>5072712</v>
          </cell>
          <cell r="E438" t="str">
            <v>administracion@caminodelviento.com</v>
          </cell>
          <cell r="F438" t="str">
            <v>CR 59 27B 510</v>
          </cell>
          <cell r="G438" t="str">
            <v>05088</v>
          </cell>
        </row>
        <row r="439">
          <cell r="A439" t="str">
            <v>901241273</v>
          </cell>
          <cell r="B439" t="str">
            <v>6</v>
          </cell>
          <cell r="C439" t="str">
            <v>GRUPO CORPAD S A S</v>
          </cell>
          <cell r="D439" t="str">
            <v>3221765</v>
          </cell>
          <cell r="E439" t="str">
            <v>grupocorpadsas@gmail.com</v>
          </cell>
          <cell r="F439" t="str">
            <v>CR 50 32 13</v>
          </cell>
          <cell r="G439" t="str">
            <v>05088</v>
          </cell>
        </row>
        <row r="440">
          <cell r="A440" t="str">
            <v>901281235</v>
          </cell>
          <cell r="B440" t="str">
            <v>7</v>
          </cell>
          <cell r="C440" t="str">
            <v>CONJUNTO DE USO MIXTO NÓRDICA PROPIEDAD HORIZONTAL, ETAPA I</v>
          </cell>
          <cell r="D440" t="str">
            <v>3116909</v>
          </cell>
          <cell r="E440" t="str">
            <v>conjuntonordica@gmail.com</v>
          </cell>
          <cell r="F440" t="str">
            <v>AV 33 51 501</v>
          </cell>
          <cell r="G440" t="str">
            <v>05088</v>
          </cell>
        </row>
        <row r="441">
          <cell r="A441" t="str">
            <v>901282920</v>
          </cell>
          <cell r="B441" t="str">
            <v>9</v>
          </cell>
          <cell r="C441" t="str">
            <v>URBNIZACION ROTERDAM P.H</v>
          </cell>
          <cell r="D441" t="str">
            <v>3113125800</v>
          </cell>
          <cell r="E441" t="str">
            <v>roterdamph@gmail.com</v>
          </cell>
          <cell r="F441" t="str">
            <v>AV 26 52-140 SECTOR NAVARRA</v>
          </cell>
          <cell r="G441" t="str">
            <v>05088</v>
          </cell>
        </row>
        <row r="442">
          <cell r="A442" t="str">
            <v>901314517</v>
          </cell>
          <cell r="B442" t="str">
            <v>2</v>
          </cell>
          <cell r="C442" t="str">
            <v>CONJUNTO RESIDENCIAL ENSENADA ETAPA I P.H</v>
          </cell>
          <cell r="D442" t="str">
            <v>3146195571</v>
          </cell>
          <cell r="E442" t="str">
            <v>ensenadaph@gmail.com</v>
          </cell>
          <cell r="F442" t="str">
            <v>CR 59 27 B 540</v>
          </cell>
          <cell r="G442" t="str">
            <v>05088</v>
          </cell>
        </row>
        <row r="443">
          <cell r="A443" t="str">
            <v>901337284</v>
          </cell>
          <cell r="B443" t="str">
            <v>0</v>
          </cell>
          <cell r="C443" t="str">
            <v>EDIFICIO MANCHESTER P.H.</v>
          </cell>
          <cell r="D443" t="str">
            <v>3016714838</v>
          </cell>
          <cell r="E443" t="str">
            <v>elkints@yahoo.es</v>
          </cell>
          <cell r="F443" t="str">
            <v>CARRERA 47 45-18</v>
          </cell>
          <cell r="G443" t="str">
            <v>05088</v>
          </cell>
        </row>
        <row r="444">
          <cell r="A444" t="str">
            <v>901402221</v>
          </cell>
          <cell r="B444" t="str">
            <v>5</v>
          </cell>
          <cell r="C444" t="str">
            <v>EDIFICIO BARI P.H.</v>
          </cell>
          <cell r="D444" t="str">
            <v>4575154</v>
          </cell>
          <cell r="E444" t="str">
            <v>adm.bari2022@gmail.com</v>
          </cell>
          <cell r="F444" t="str">
            <v>CL 53 45 46</v>
          </cell>
          <cell r="G444" t="str">
            <v>05088</v>
          </cell>
        </row>
        <row r="445">
          <cell r="A445" t="str">
            <v>901415660</v>
          </cell>
          <cell r="B445" t="str">
            <v>1</v>
          </cell>
          <cell r="C445" t="str">
            <v>ALAMOS DE BELVERDE P.H.</v>
          </cell>
          <cell r="D445" t="str">
            <v>3113901864</v>
          </cell>
          <cell r="E445" t="str">
            <v>alamosdebelverde@gmail.com</v>
          </cell>
          <cell r="F445" t="str">
            <v>CALLE 72 65B 60</v>
          </cell>
          <cell r="G445" t="str">
            <v>05088</v>
          </cell>
        </row>
        <row r="446">
          <cell r="A446" t="str">
            <v>901436095</v>
          </cell>
          <cell r="B446" t="str">
            <v>1</v>
          </cell>
          <cell r="C446" t="str">
            <v>URBANIZACION FLOR APARTAMENTOS PROPIEDAD HORIZONTAL</v>
          </cell>
          <cell r="D446" t="str">
            <v>5804034</v>
          </cell>
          <cell r="E446" t="str">
            <v>florapartamentos@hotmail.com</v>
          </cell>
          <cell r="F446" t="str">
            <v>CR 53 A 45 84 BRR SANTA ANA</v>
          </cell>
          <cell r="G446" t="str">
            <v>05088</v>
          </cell>
        </row>
        <row r="447">
          <cell r="A447" t="str">
            <v>901482738</v>
          </cell>
          <cell r="B447" t="str">
            <v>2</v>
          </cell>
          <cell r="C447" t="str">
            <v>UNIDAD RESIDENCIAL CERRO CLARO P.H., ETAPA 1B, TORRE 1,</v>
          </cell>
          <cell r="D447" t="str">
            <v>3154705223</v>
          </cell>
          <cell r="E447" t="str">
            <v>Cerroclaroph@gmail.com</v>
          </cell>
          <cell r="F447" t="str">
            <v>DG 67 31 150 BRR TERRANOVA</v>
          </cell>
          <cell r="G447" t="str">
            <v>05088</v>
          </cell>
        </row>
        <row r="448">
          <cell r="A448" t="str">
            <v>901486721</v>
          </cell>
          <cell r="B448" t="str">
            <v>6</v>
          </cell>
          <cell r="C448" t="str">
            <v>UNIDAD RESIDENCIAL ENTREVIENTOS - VELETAS, ETAPA 1 PROPIEDAD HORIZONTAL</v>
          </cell>
          <cell r="D448" t="str">
            <v>3023768834</v>
          </cell>
          <cell r="E448" t="str">
            <v>entrevientosveletasph@gmail.com</v>
          </cell>
          <cell r="F448" t="str">
            <v>AV. 38 67-17 NIQUIA QUITASOL</v>
          </cell>
          <cell r="G448" t="str">
            <v>05088</v>
          </cell>
        </row>
        <row r="449">
          <cell r="A449" t="str">
            <v>901508923</v>
          </cell>
          <cell r="B449" t="str">
            <v>3</v>
          </cell>
          <cell r="C449" t="str">
            <v>CONJUNTO RESIDENCIAL CERROS DE AVELLANEDA PH TORRE UNO ETAPA I</v>
          </cell>
          <cell r="D449" t="str">
            <v>300 603 36 38</v>
          </cell>
          <cell r="E449" t="str">
            <v>cerrosdeavellaneda@gmail.com</v>
          </cell>
          <cell r="F449" t="str">
            <v>CRRA 63 A NO. 77-140</v>
          </cell>
          <cell r="G449" t="str">
            <v>05088</v>
          </cell>
        </row>
        <row r="450">
          <cell r="A450" t="str">
            <v>901519011</v>
          </cell>
          <cell r="B450" t="str">
            <v>9</v>
          </cell>
          <cell r="C450" t="str">
            <v>EDIFICIO TORRE CENTRAL P.H.</v>
          </cell>
          <cell r="D450" t="str">
            <v>3227040</v>
          </cell>
          <cell r="E450" t="str">
            <v>torrecentralbelloph@gmail.com</v>
          </cell>
          <cell r="F450" t="str">
            <v>CR 50 52 54</v>
          </cell>
          <cell r="G450" t="str">
            <v>05088</v>
          </cell>
        </row>
        <row r="451">
          <cell r="A451" t="str">
            <v>901534606</v>
          </cell>
          <cell r="B451" t="str">
            <v>3</v>
          </cell>
          <cell r="C451" t="str">
            <v>CONJUNTO RESIDENCIAL CANTARES DE RIACHUELOS</v>
          </cell>
          <cell r="D451" t="str">
            <v>3113725800</v>
          </cell>
          <cell r="E451" t="str">
            <v>Cantaresderiachuelosph@gmail.com</v>
          </cell>
          <cell r="F451" t="str">
            <v>CL 52 B 64 25</v>
          </cell>
          <cell r="G451" t="str">
            <v>05088</v>
          </cell>
        </row>
        <row r="452">
          <cell r="A452" t="str">
            <v>901786003</v>
          </cell>
          <cell r="B452" t="str">
            <v>3</v>
          </cell>
          <cell r="C452" t="str">
            <v>CONJUNTO RESIDENCIAL VALLE VERDE P.H.</v>
          </cell>
          <cell r="D452" t="str">
            <v>3116106285</v>
          </cell>
          <cell r="E452" t="str">
            <v>valleverdeph@hotmail.com</v>
          </cell>
          <cell r="F452" t="str">
            <v>Avenida 26 # 52 81</v>
          </cell>
          <cell r="G452" t="str">
            <v>05088</v>
          </cell>
        </row>
        <row r="453">
          <cell r="A453" t="str">
            <v>901839259</v>
          </cell>
          <cell r="B453" t="str">
            <v>0</v>
          </cell>
          <cell r="C453" t="str">
            <v>PROYECTO C26 APARTAMENTOS P.H</v>
          </cell>
          <cell r="D453" t="str">
            <v>3 1 6 2 2 9 7 3 1 2</v>
          </cell>
          <cell r="E453" t="str">
            <v>contabilidad@coestrategias.com</v>
          </cell>
          <cell r="F453" t="str">
            <v>CL 26 B 51 21</v>
          </cell>
          <cell r="G453" t="str">
            <v>05088</v>
          </cell>
        </row>
        <row r="454">
          <cell r="A454">
            <v>222222222</v>
          </cell>
          <cell r="B454" t="str">
            <v/>
          </cell>
          <cell r="C454" t="str">
            <v>CUANTIAS MENORES</v>
          </cell>
          <cell r="D454">
            <v>3228184763</v>
          </cell>
          <cell r="E454" t="str">
            <v>impuestos@estiloingeniera.com</v>
          </cell>
          <cell r="F454" t="str">
            <v xml:space="preserve">CL 127A 53A 45 TO2 P11 OF1101 </v>
          </cell>
          <cell r="G454" t="str">
            <v>05129</v>
          </cell>
        </row>
        <row r="455">
          <cell r="A455" t="str">
            <v>900484492</v>
          </cell>
          <cell r="B455" t="str">
            <v>1</v>
          </cell>
          <cell r="C455" t="str">
            <v>CONJUNTO CERRADO CAMINO REAL</v>
          </cell>
          <cell r="D455" t="str">
            <v>5988312</v>
          </cell>
          <cell r="E455" t="str">
            <v>mivebe1978@hotmail.com</v>
          </cell>
          <cell r="F455" t="str">
            <v>CALLE 50  137 A SUR  55</v>
          </cell>
          <cell r="G455" t="str">
            <v>05129</v>
          </cell>
        </row>
        <row r="456">
          <cell r="A456" t="str">
            <v>900874988</v>
          </cell>
          <cell r="B456" t="str">
            <v>6</v>
          </cell>
          <cell r="C456" t="str">
            <v>EDIFICIO ELITE P.H</v>
          </cell>
          <cell r="D456" t="str">
            <v>3064179</v>
          </cell>
          <cell r="E456" t="str">
            <v>edificiotorreelite@hotmail.com</v>
          </cell>
          <cell r="F456" t="str">
            <v>CARRERA 51  127 SUR  24</v>
          </cell>
          <cell r="G456" t="str">
            <v>05129</v>
          </cell>
        </row>
        <row r="457">
          <cell r="A457" t="str">
            <v>901112404</v>
          </cell>
          <cell r="B457" t="str">
            <v>1</v>
          </cell>
          <cell r="C457" t="str">
            <v>UNIDAD RESIDENCIAL TORRES DEL SUR P.H.</v>
          </cell>
          <cell r="D457" t="str">
            <v>3193616352</v>
          </cell>
          <cell r="E457" t="str">
            <v>torresdelsurcaldas@gmail.com</v>
          </cell>
          <cell r="F457" t="str">
            <v>CARRERA 50  145 SUR  81</v>
          </cell>
          <cell r="G457" t="str">
            <v>05129</v>
          </cell>
        </row>
        <row r="458">
          <cell r="A458" t="str">
            <v>901471706</v>
          </cell>
          <cell r="B458" t="str">
            <v>1</v>
          </cell>
          <cell r="C458" t="str">
            <v>VALLE CIPRÉS S.A.S.</v>
          </cell>
          <cell r="D458" t="str">
            <v>4085401</v>
          </cell>
          <cell r="E458" t="str">
            <v>vallecipressas@gmail.com</v>
          </cell>
          <cell r="F458" t="str">
            <v>CR 79 39 D 37</v>
          </cell>
          <cell r="G458" t="str">
            <v>05148</v>
          </cell>
        </row>
        <row r="459">
          <cell r="A459" t="str">
            <v>901525243</v>
          </cell>
          <cell r="B459" t="str">
            <v>5</v>
          </cell>
          <cell r="C459" t="str">
            <v>UNIDAD RESIDENCIAL " BOSQUES DE LA CIMARRONA ETAPA 1, BLOQUE 1"</v>
          </cell>
          <cell r="D459" t="str">
            <v>3146780679</v>
          </cell>
          <cell r="E459" t="str">
            <v>proveedores@consolidarhabitat.com</v>
          </cell>
          <cell r="F459" t="str">
            <v>CARRERA 26 CALLE 23 14</v>
          </cell>
          <cell r="G459" t="str">
            <v>05148</v>
          </cell>
        </row>
        <row r="460">
          <cell r="A460" t="str">
            <v>901120828</v>
          </cell>
          <cell r="B460" t="str">
            <v>4</v>
          </cell>
          <cell r="C460" t="str">
            <v>CONJUNTO RESIDENCIAL PORTON DEL NORTE - ETAPA 1 - TORRE 2</v>
          </cell>
          <cell r="D460" t="str">
            <v>3146158031</v>
          </cell>
          <cell r="E460" t="str">
            <v>facturacion@estiloingenieria.com</v>
          </cell>
          <cell r="F460" t="str">
            <v>CARRERA 84  39  43</v>
          </cell>
          <cell r="G460" t="str">
            <v>05212</v>
          </cell>
        </row>
        <row r="461">
          <cell r="A461" t="str">
            <v>901204596</v>
          </cell>
          <cell r="B461" t="str">
            <v>2</v>
          </cell>
          <cell r="C461" t="str">
            <v>EDIFICIO TERRALUNA P.H</v>
          </cell>
          <cell r="D461" t="str">
            <v>3122381242</v>
          </cell>
          <cell r="E461" t="str">
            <v>terraluna.copa@gmail.com</v>
          </cell>
          <cell r="F461" t="str">
            <v>CR 49 A 47 A 48 BRR MIRAFLORES</v>
          </cell>
          <cell r="G461" t="str">
            <v>05212</v>
          </cell>
        </row>
        <row r="462">
          <cell r="A462" t="str">
            <v>901421898</v>
          </cell>
          <cell r="B462" t="str">
            <v>1</v>
          </cell>
          <cell r="C462" t="str">
            <v>URBANIZACION VIVENZA PROPIEDAD HORIZONTAL</v>
          </cell>
          <cell r="D462">
            <v>3219664011</v>
          </cell>
          <cell r="E462" t="str">
            <v>facturacion@grupoclever.co</v>
          </cell>
          <cell r="F462" t="str">
            <v>CARRERA 87 CALLE 39 No. 127</v>
          </cell>
          <cell r="G462" t="str">
            <v>05212</v>
          </cell>
        </row>
        <row r="463">
          <cell r="A463" t="str">
            <v>901789278</v>
          </cell>
          <cell r="B463" t="str">
            <v>5</v>
          </cell>
          <cell r="C463" t="str">
            <v>UNIDAD RESIDENCIAL ALLEGRO P.H.</v>
          </cell>
          <cell r="D463" t="str">
            <v>3 1 1 3 7 2 5 8 0 0</v>
          </cell>
          <cell r="E463" t="str">
            <v>allegropropiedadhorizontal@gmail.com</v>
          </cell>
          <cell r="F463" t="str">
            <v>CR 87 39 03 BRR MACHADO ZONA URBANA DEL MUNICIPIO DE COPACABANA</v>
          </cell>
          <cell r="G463" t="str">
            <v>05212</v>
          </cell>
        </row>
        <row r="464">
          <cell r="A464" t="str">
            <v>1020418494</v>
          </cell>
          <cell r="B464" t="str">
            <v>4</v>
          </cell>
          <cell r="C464" t="str">
            <v>CARLOS MARIO ORTIZ LOPEZ</v>
          </cell>
          <cell r="D464" t="str">
            <v>3103843609</v>
          </cell>
          <cell r="E464" t="str">
            <v>paumune23@hotmail.com</v>
          </cell>
          <cell r="F464" t="str">
            <v>Avenida 26 # 52-200 Apto 339 Torre 6</v>
          </cell>
          <cell r="G464" t="str">
            <v>05237</v>
          </cell>
        </row>
        <row r="465">
          <cell r="A465" t="str">
            <v>1037548877</v>
          </cell>
          <cell r="B465" t="str">
            <v>0</v>
          </cell>
          <cell r="C465" t="str">
            <v>ESBREIDDY SEPULVEDA SEPULVEDA</v>
          </cell>
          <cell r="D465" t="str">
            <v>3 1 9 6 1 4 0 7 9 5</v>
          </cell>
          <cell r="E465" t="str">
            <v>Kellygomezvasquez697@gmail.com</v>
          </cell>
          <cell r="F465" t="str">
            <v>CARRERA 30 CL 27 29</v>
          </cell>
          <cell r="G465" t="str">
            <v>05237</v>
          </cell>
        </row>
        <row r="466">
          <cell r="A466" t="str">
            <v>1128264305</v>
          </cell>
          <cell r="B466" t="str">
            <v>1</v>
          </cell>
          <cell r="C466" t="str">
            <v>OLGA JANETH AVENDAÑO BUILES</v>
          </cell>
          <cell r="D466" t="str">
            <v>3206867607</v>
          </cell>
          <cell r="E466" t="str">
            <v>arquitectaolga@gmail.com</v>
          </cell>
          <cell r="F466" t="str">
            <v>CALLEE 29 30 27 APTO 404</v>
          </cell>
          <cell r="G466" t="str">
            <v>05237</v>
          </cell>
        </row>
        <row r="467">
          <cell r="A467" t="str">
            <v>3598386</v>
          </cell>
          <cell r="B467" t="str">
            <v>5</v>
          </cell>
          <cell r="C467" t="str">
            <v>ANGEL DE DIOS LONDOÑO GOMEZ</v>
          </cell>
          <cell r="D467" t="str">
            <v>3113080706</v>
          </cell>
          <cell r="E467" t="str">
            <v>mylondono@yahoo.es</v>
          </cell>
          <cell r="F467" t="str">
            <v>CR 28 29 39</v>
          </cell>
          <cell r="G467" t="str">
            <v>05237</v>
          </cell>
        </row>
        <row r="468">
          <cell r="A468" t="str">
            <v>70976316</v>
          </cell>
          <cell r="B468">
            <v>0</v>
          </cell>
          <cell r="C468" t="str">
            <v>OSCAR DE JESUS BEDOYA MEJIA</v>
          </cell>
          <cell r="D468" t="str">
            <v>3135893206</v>
          </cell>
          <cell r="E468" t="str">
            <v>oscarbedoya.m@hotmail.com</v>
          </cell>
          <cell r="F468" t="str">
            <v>VDA ROMAZON FCA EL RETIRO</v>
          </cell>
          <cell r="G468" t="str">
            <v>05237</v>
          </cell>
        </row>
        <row r="469">
          <cell r="A469" t="str">
            <v>70976947</v>
          </cell>
          <cell r="B469" t="str">
            <v>2</v>
          </cell>
          <cell r="C469" t="str">
            <v>OSORIO RAMIREZ ROBERTO WBEIMAR</v>
          </cell>
          <cell r="D469">
            <v>3219664011</v>
          </cell>
          <cell r="E469" t="str">
            <v>wosorioramirez@outlook.com</v>
          </cell>
          <cell r="F469" t="str">
            <v>CR 27 31 17 AP 503</v>
          </cell>
          <cell r="G469" t="str">
            <v>05237</v>
          </cell>
        </row>
        <row r="470">
          <cell r="A470" t="str">
            <v>890984043</v>
          </cell>
          <cell r="B470" t="str">
            <v>8</v>
          </cell>
          <cell r="C470" t="str">
            <v>MUNICIPIO DE DONMATÍAS</v>
          </cell>
          <cell r="D470" t="str">
            <v>8663243</v>
          </cell>
          <cell r="E470" t="str">
            <v>hacienda@donmatias-antioquia.gov.co</v>
          </cell>
          <cell r="F470" t="str">
            <v>CARRERA 30  29  59</v>
          </cell>
          <cell r="G470" t="str">
            <v>05237</v>
          </cell>
        </row>
        <row r="471">
          <cell r="A471">
            <v>222222222</v>
          </cell>
          <cell r="B471" t="str">
            <v/>
          </cell>
          <cell r="C471" t="str">
            <v>CUANTIAS MENORES</v>
          </cell>
          <cell r="D471">
            <v>3228184763</v>
          </cell>
          <cell r="E471" t="str">
            <v>impuestos@estiloingeniera.com</v>
          </cell>
          <cell r="F471" t="str">
            <v xml:space="preserve">CL 127A 53A 45 TO2 P11 OF1101 </v>
          </cell>
          <cell r="G471" t="str">
            <v>05266</v>
          </cell>
        </row>
        <row r="472">
          <cell r="A472" t="str">
            <v>15254125</v>
          </cell>
          <cell r="B472" t="str">
            <v>7</v>
          </cell>
          <cell r="C472" t="str">
            <v>JOSE MAURO CORREA VELEZ</v>
          </cell>
          <cell r="D472" t="str">
            <v>3015357491</v>
          </cell>
          <cell r="E472" t="str">
            <v>jmcorreavelez@hotmail.com</v>
          </cell>
          <cell r="F472" t="str">
            <v>CALLE 32 B SUR  44 A  53</v>
          </cell>
          <cell r="G472" t="str">
            <v>05266</v>
          </cell>
        </row>
        <row r="473">
          <cell r="A473" t="str">
            <v>19304311</v>
          </cell>
          <cell r="B473" t="str">
            <v>0</v>
          </cell>
          <cell r="C473" t="str">
            <v>OCTAVIO QUEVEDO VELEZ</v>
          </cell>
          <cell r="D473" t="str">
            <v>2762728</v>
          </cell>
          <cell r="E473" t="str">
            <v>miarango1934@gmail.com</v>
          </cell>
          <cell r="F473" t="str">
            <v>DIAGONAL 33 No. 32 SUR 34</v>
          </cell>
          <cell r="G473" t="str">
            <v>05266</v>
          </cell>
        </row>
        <row r="474">
          <cell r="A474" t="str">
            <v>3575717</v>
          </cell>
          <cell r="B474" t="str">
            <v>0</v>
          </cell>
          <cell r="C474" t="str">
            <v>JORGE ALADINO GARCIA LOPEZ</v>
          </cell>
          <cell r="D474" t="str">
            <v>3317992</v>
          </cell>
          <cell r="E474" t="str">
            <v>luz20elena60v@gmail.com</v>
          </cell>
          <cell r="F474" t="str">
            <v>CALLE 32 B SUR  45 B  34. (Buzón)</v>
          </cell>
          <cell r="G474" t="str">
            <v>05266</v>
          </cell>
        </row>
        <row r="475">
          <cell r="A475" t="str">
            <v>43595562</v>
          </cell>
          <cell r="B475" t="str">
            <v>7</v>
          </cell>
          <cell r="C475" t="str">
            <v>LUZ ELENA CIFUENTES BOTERO</v>
          </cell>
          <cell r="D475" t="str">
            <v>3022046</v>
          </cell>
          <cell r="E475" t="str">
            <v>lecb40@gmail.com</v>
          </cell>
          <cell r="F475" t="str">
            <v>CARRERA 38 CALLE 38 A SUR 40</v>
          </cell>
          <cell r="G475" t="str">
            <v>05266</v>
          </cell>
        </row>
        <row r="476">
          <cell r="A476" t="str">
            <v>43616846</v>
          </cell>
          <cell r="B476" t="str">
            <v>5</v>
          </cell>
          <cell r="C476" t="str">
            <v>DIANA MARIA FLOREZ ARANGO</v>
          </cell>
          <cell r="D476" t="str">
            <v>3137325673</v>
          </cell>
          <cell r="E476" t="str">
            <v>sinthomainmobilliaria@gmail.com</v>
          </cell>
          <cell r="F476" t="str">
            <v>CR 49 52 61 PH ED TEQUENDAMA OF 1304</v>
          </cell>
          <cell r="G476" t="str">
            <v>05266</v>
          </cell>
        </row>
        <row r="477">
          <cell r="A477" t="str">
            <v>52105894</v>
          </cell>
          <cell r="B477" t="str">
            <v>9</v>
          </cell>
          <cell r="C477" t="str">
            <v>LINA MARCELA ACOSTA GONZALEZ</v>
          </cell>
          <cell r="D477" t="str">
            <v>3054208946</v>
          </cell>
          <cell r="E477" t="str">
            <v>linamacosta05@gmail.com</v>
          </cell>
          <cell r="F477" t="str">
            <v>DIAGONAL 29 34F SUR-21 APT 203</v>
          </cell>
          <cell r="G477" t="str">
            <v>05266</v>
          </cell>
        </row>
        <row r="478">
          <cell r="A478" t="str">
            <v>70511222</v>
          </cell>
          <cell r="B478" t="str">
            <v>6</v>
          </cell>
          <cell r="C478" t="str">
            <v>IVAN RESTREPO GARCES</v>
          </cell>
          <cell r="D478" t="str">
            <v>3113612137</v>
          </cell>
          <cell r="E478" t="str">
            <v>anasu2720@hotmail.com</v>
          </cell>
          <cell r="F478" t="str">
            <v>CALLE 32 C SUR  45 B  63</v>
          </cell>
          <cell r="G478" t="str">
            <v>05266</v>
          </cell>
        </row>
        <row r="479">
          <cell r="A479" t="str">
            <v>800185685</v>
          </cell>
          <cell r="B479" t="str">
            <v>0</v>
          </cell>
          <cell r="C479" t="str">
            <v>CONSTRUCTORA URCO S.A.S.</v>
          </cell>
          <cell r="D479">
            <v>3219664011</v>
          </cell>
          <cell r="E479" t="str">
            <v>facturacion.slow@urco.com.co</v>
          </cell>
          <cell r="F479" t="str">
            <v>CARRERA 43  19 A  87  OFICINA 201</v>
          </cell>
          <cell r="G479" t="str">
            <v>05266</v>
          </cell>
        </row>
        <row r="480">
          <cell r="A480" t="str">
            <v>800242292</v>
          </cell>
          <cell r="B480" t="str">
            <v>4</v>
          </cell>
          <cell r="C480" t="str">
            <v>FUNDACION FAMILIA NAZARETH PARA LA EVANGELIZACION ITINERANTE</v>
          </cell>
          <cell r="D480" t="str">
            <v>3003265930</v>
          </cell>
          <cell r="E480" t="str">
            <v>c.duque.cmd@gmail.com</v>
          </cell>
          <cell r="F480" t="str">
            <v>CALLE 23 SUR  42 B  86</v>
          </cell>
          <cell r="G480" t="str">
            <v>05266</v>
          </cell>
        </row>
        <row r="481">
          <cell r="A481" t="str">
            <v>811004390</v>
          </cell>
          <cell r="B481" t="str">
            <v>8</v>
          </cell>
          <cell r="C481" t="str">
            <v>UNIDAD RESIDENCIAL SAN LUCAR DE BARRAMEDA P.H.</v>
          </cell>
          <cell r="D481" t="str">
            <v>5406350</v>
          </cell>
          <cell r="E481" t="str">
            <v>josepimienta29@hotmail.com</v>
          </cell>
          <cell r="F481" t="str">
            <v>CALLE 45 SUR  41 B  04</v>
          </cell>
          <cell r="G481" t="str">
            <v>05266</v>
          </cell>
        </row>
        <row r="482">
          <cell r="A482" t="str">
            <v>811018428</v>
          </cell>
          <cell r="B482" t="str">
            <v>1</v>
          </cell>
          <cell r="C482" t="str">
            <v>EDIFICIO SAN GIORGIO 1 P.H.</v>
          </cell>
          <cell r="D482" t="str">
            <v>5805170</v>
          </cell>
          <cell r="E482" t="str">
            <v>epa11@hotmail.com</v>
          </cell>
          <cell r="F482" t="str">
            <v>CALLE 18 SUR  37  54</v>
          </cell>
          <cell r="G482" t="str">
            <v>05266</v>
          </cell>
        </row>
        <row r="483">
          <cell r="A483" t="str">
            <v>811033259</v>
          </cell>
          <cell r="B483" t="str">
            <v>4</v>
          </cell>
          <cell r="C483" t="str">
            <v>SOLUCIONES CIVILES S.A.S</v>
          </cell>
          <cell r="D483" t="str">
            <v>3127250788</v>
          </cell>
          <cell r="E483" t="str">
            <v>e-factura.co@seresnet.com</v>
          </cell>
          <cell r="F483" t="str">
            <v>CR 43 B 16 41 OF 1703 ED CENTRO DE OFICINAS STAFF</v>
          </cell>
          <cell r="G483" t="str">
            <v>05266</v>
          </cell>
        </row>
        <row r="484">
          <cell r="A484" t="str">
            <v>8304758</v>
          </cell>
          <cell r="B484" t="str">
            <v>9</v>
          </cell>
          <cell r="C484" t="str">
            <v>JAVIER DE JESUS DE JESUS ARROYAVE AGUIRRE</v>
          </cell>
          <cell r="D484" t="str">
            <v>3 3 2 9 0 9 6</v>
          </cell>
          <cell r="E484" t="str">
            <v>arroyave2530@gmail.com</v>
          </cell>
          <cell r="F484" t="str">
            <v>DG 32 B 32 A SUR 46</v>
          </cell>
          <cell r="G484" t="str">
            <v>05266</v>
          </cell>
        </row>
        <row r="485">
          <cell r="A485" t="str">
            <v>890908387</v>
          </cell>
          <cell r="B485" t="str">
            <v>2</v>
          </cell>
          <cell r="C485" t="str">
            <v>SOCIEDAD DE MEJORAS PUBLICAS DE ENVIGADO</v>
          </cell>
          <cell r="D485" t="str">
            <v>2761320</v>
          </cell>
          <cell r="E485" t="str">
            <v>bibliotecaenvigado@yahoo.es</v>
          </cell>
          <cell r="F485" t="str">
            <v>CARRERA 42  35 SUR  62</v>
          </cell>
          <cell r="G485" t="str">
            <v>05266</v>
          </cell>
        </row>
        <row r="486">
          <cell r="A486" t="str">
            <v>900057284</v>
          </cell>
          <cell r="B486" t="str">
            <v>5</v>
          </cell>
          <cell r="C486" t="str">
            <v>EDIFICIO VEGAS DE VILLAGRANDE P.H.</v>
          </cell>
          <cell r="D486" t="str">
            <v>3128826798</v>
          </cell>
          <cell r="E486" t="str">
            <v>facturacion@estiloingenieria.com</v>
          </cell>
          <cell r="F486" t="str">
            <v>CALLE 25 B SUR  45  35</v>
          </cell>
          <cell r="G486" t="str">
            <v>05266</v>
          </cell>
        </row>
        <row r="487">
          <cell r="A487" t="str">
            <v>900094402</v>
          </cell>
          <cell r="B487" t="str">
            <v>5</v>
          </cell>
          <cell r="C487" t="str">
            <v>EDIFICIO LISET DE ZUÑIGA P. H.</v>
          </cell>
          <cell r="D487" t="str">
            <v>3113626485</v>
          </cell>
          <cell r="E487" t="str">
            <v>lisetph@hotmail.com</v>
          </cell>
          <cell r="F487" t="str">
            <v>CARRERA 46  20 SUR  135</v>
          </cell>
          <cell r="G487" t="str">
            <v>05266</v>
          </cell>
        </row>
        <row r="488">
          <cell r="A488" t="str">
            <v>900096024</v>
          </cell>
          <cell r="B488" t="str">
            <v>3</v>
          </cell>
          <cell r="C488" t="str">
            <v>ALCAZAR P.H.</v>
          </cell>
          <cell r="D488" t="str">
            <v>3335590</v>
          </cell>
          <cell r="E488" t="str">
            <v>aymacosas@gmail.com</v>
          </cell>
          <cell r="F488" t="str">
            <v>CARRERA 42 B  26 SUR  31</v>
          </cell>
          <cell r="G488" t="str">
            <v>05266</v>
          </cell>
        </row>
        <row r="489">
          <cell r="A489" t="str">
            <v>900098143</v>
          </cell>
          <cell r="B489" t="str">
            <v>0</v>
          </cell>
          <cell r="C489" t="str">
            <v>ORGANIZACIÓN EDYFICA SA</v>
          </cell>
          <cell r="D489" t="str">
            <v>3148312009</v>
          </cell>
          <cell r="E489" t="str">
            <v>administrativa@constructoragisaico.com</v>
          </cell>
          <cell r="F489" t="str">
            <v>CARRERA 42 D  45 B SUR  176</v>
          </cell>
          <cell r="G489" t="str">
            <v>05266</v>
          </cell>
        </row>
        <row r="490">
          <cell r="A490" t="str">
            <v>900109928</v>
          </cell>
          <cell r="B490" t="str">
            <v>4</v>
          </cell>
          <cell r="C490" t="str">
            <v>UNIDAD RESIDENCIAL MIRADOR DE LAS FLORES P.H.</v>
          </cell>
          <cell r="D490" t="str">
            <v>5795009</v>
          </cell>
          <cell r="E490" t="str">
            <v>unidadmiradordelasflores@gmail.com</v>
          </cell>
          <cell r="F490" t="str">
            <v>CALLE 43 C SUR  40 B  80</v>
          </cell>
          <cell r="G490" t="str">
            <v>05266</v>
          </cell>
        </row>
        <row r="491">
          <cell r="A491" t="str">
            <v>900138304</v>
          </cell>
          <cell r="B491" t="str">
            <v>2</v>
          </cell>
          <cell r="C491" t="str">
            <v>EDIFICIO SANTAMARIA DE ZUÑIGA P.H</v>
          </cell>
          <cell r="D491" t="str">
            <v>3002254256</v>
          </cell>
          <cell r="E491" t="str">
            <v>edificiosantamaria2024@hotmail.com</v>
          </cell>
          <cell r="F491" t="str">
            <v>CARRERA 44  22 SUR  61</v>
          </cell>
          <cell r="G491" t="str">
            <v>05266</v>
          </cell>
        </row>
        <row r="492">
          <cell r="A492" t="str">
            <v>900165824</v>
          </cell>
          <cell r="B492" t="str">
            <v>5</v>
          </cell>
          <cell r="C492" t="str">
            <v>EDIFICIO ALICANTE P.H.</v>
          </cell>
          <cell r="D492" t="str">
            <v>3666979</v>
          </cell>
          <cell r="E492" t="str">
            <v>edificio-alicante@hotmail.com</v>
          </cell>
          <cell r="F492" t="str">
            <v>CARRERA 42 B  26 A SUR  45</v>
          </cell>
          <cell r="G492" t="str">
            <v>05266</v>
          </cell>
        </row>
        <row r="493">
          <cell r="A493" t="str">
            <v>900166095</v>
          </cell>
          <cell r="B493" t="str">
            <v>7</v>
          </cell>
          <cell r="C493" t="str">
            <v>EDIFICIO RECINTOS DE LA ABADIA P.H.</v>
          </cell>
          <cell r="D493" t="str">
            <v>6 0 4 4 4 4 3 2 1 9</v>
          </cell>
          <cell r="E493" t="str">
            <v>recintosabadiaph@gmail.com</v>
          </cell>
          <cell r="F493" t="str">
            <v>CL 27 SUR 28 121</v>
          </cell>
          <cell r="G493" t="str">
            <v>05266</v>
          </cell>
        </row>
        <row r="494">
          <cell r="A494" t="str">
            <v>900166096</v>
          </cell>
          <cell r="B494" t="str">
            <v>4</v>
          </cell>
          <cell r="C494" t="str">
            <v>EDIFICIO RECINTOS DE LA ABADIA PROPIEDAD HORIZONTAL</v>
          </cell>
          <cell r="D494" t="str">
            <v>4443219</v>
          </cell>
          <cell r="E494" t="str">
            <v>facturae.shalem@hotmail.com</v>
          </cell>
          <cell r="F494" t="str">
            <v>CALLE 27 SUR  28  127</v>
          </cell>
          <cell r="G494" t="str">
            <v>05266</v>
          </cell>
        </row>
        <row r="495">
          <cell r="A495" t="str">
            <v>900170870</v>
          </cell>
          <cell r="B495" t="str">
            <v>4</v>
          </cell>
          <cell r="C495" t="str">
            <v>CONJUNTO RESIDENCIAL TIERRA GRATA ETAPAS 1 Y 2 P.H.</v>
          </cell>
          <cell r="D495" t="str">
            <v>5700319</v>
          </cell>
          <cell r="E495" t="str">
            <v>tierragrataadm@gmail.com</v>
          </cell>
          <cell r="F495" t="str">
            <v>CALLE 27 D SUR  27 C  150</v>
          </cell>
          <cell r="G495" t="str">
            <v>05266</v>
          </cell>
        </row>
        <row r="496">
          <cell r="A496" t="str">
            <v>900180530</v>
          </cell>
          <cell r="B496" t="str">
            <v>8</v>
          </cell>
          <cell r="C496" t="str">
            <v>EDIFICIO JARDINES DE LA ABADIA P.H.</v>
          </cell>
          <cell r="D496" t="str">
            <v>3346001</v>
          </cell>
          <cell r="E496" t="str">
            <v>jardinesabadia@gmail.com</v>
          </cell>
          <cell r="F496" t="str">
            <v>CARRERA 28  27 SUR  39</v>
          </cell>
          <cell r="G496" t="str">
            <v>05266</v>
          </cell>
        </row>
        <row r="497">
          <cell r="A497" t="str">
            <v>900180533</v>
          </cell>
          <cell r="B497" t="str">
            <v>1</v>
          </cell>
          <cell r="C497" t="str">
            <v>URBANIZACION ROSEDAL LOMA DE LAS BRUJAS-TORRE 1 P.H</v>
          </cell>
          <cell r="D497" t="str">
            <v>3336389</v>
          </cell>
          <cell r="E497" t="str">
            <v>rosedallomadelasbrujas@yahoo.com</v>
          </cell>
          <cell r="F497" t="str">
            <v>CALLE 37 B SUR  27 D  44</v>
          </cell>
          <cell r="G497" t="str">
            <v>05266</v>
          </cell>
        </row>
        <row r="498">
          <cell r="A498" t="str">
            <v>900189960</v>
          </cell>
          <cell r="B498" t="str">
            <v>2</v>
          </cell>
          <cell r="C498" t="str">
            <v>EDIFICIO PORLAMAR P-H</v>
          </cell>
          <cell r="D498">
            <v>3219664011</v>
          </cell>
          <cell r="E498" t="str">
            <v>monicamariahenao@hotmail.com</v>
          </cell>
          <cell r="F498" t="str">
            <v>CARRERA 43  22 A SUR  20</v>
          </cell>
          <cell r="G498" t="str">
            <v>05266</v>
          </cell>
        </row>
        <row r="499">
          <cell r="A499" t="str">
            <v>900200998</v>
          </cell>
          <cell r="B499" t="str">
            <v>8</v>
          </cell>
          <cell r="C499" t="str">
            <v>CONJUNTO RESIDENCIAL ESCARLATA P.H.</v>
          </cell>
          <cell r="D499" t="str">
            <v>5879307</v>
          </cell>
          <cell r="E499" t="str">
            <v>escarlata.ph@gmail.com</v>
          </cell>
          <cell r="F499" t="str">
            <v>CARRERA 27  38 B SUR  10</v>
          </cell>
          <cell r="G499" t="str">
            <v>05266</v>
          </cell>
        </row>
        <row r="500">
          <cell r="A500" t="str">
            <v>900225318</v>
          </cell>
          <cell r="B500" t="str">
            <v>8</v>
          </cell>
          <cell r="C500" t="str">
            <v>URBANIZACIÓN PALO DE ROSA P.H</v>
          </cell>
          <cell r="D500" t="str">
            <v>3348374</v>
          </cell>
          <cell r="E500" t="str">
            <v>paloderosajardines@gmail.com</v>
          </cell>
          <cell r="F500" t="str">
            <v>CARRERA 46 A  29 SUR  20</v>
          </cell>
          <cell r="G500" t="str">
            <v>05266</v>
          </cell>
        </row>
        <row r="501">
          <cell r="A501" t="str">
            <v>900229422</v>
          </cell>
          <cell r="B501" t="str">
            <v>4</v>
          </cell>
          <cell r="C501" t="str">
            <v>EDIFICIO MULTIFAMILIAR CAMELOT P.H.</v>
          </cell>
          <cell r="D501" t="str">
            <v>4126085</v>
          </cell>
          <cell r="E501" t="str">
            <v>admoncamelotph@gmail.com</v>
          </cell>
          <cell r="F501" t="str">
            <v>CARRERA 47  20 SUR  108</v>
          </cell>
          <cell r="G501" t="str">
            <v>05266</v>
          </cell>
        </row>
        <row r="502">
          <cell r="A502" t="str">
            <v>900248800</v>
          </cell>
          <cell r="B502" t="str">
            <v>6</v>
          </cell>
          <cell r="C502" t="str">
            <v>INDIANA MALL P. H.</v>
          </cell>
          <cell r="D502" t="str">
            <v>3861665</v>
          </cell>
          <cell r="E502" t="str">
            <v>indianamall@hotmail.com</v>
          </cell>
          <cell r="F502" t="str">
            <v>KILOMETRO 17 ALTO DE LAS PALMAS GLORIETA SANCHO PANZA</v>
          </cell>
          <cell r="G502" t="str">
            <v>05266</v>
          </cell>
        </row>
        <row r="503">
          <cell r="A503" t="str">
            <v>900259953</v>
          </cell>
          <cell r="B503" t="str">
            <v>1</v>
          </cell>
          <cell r="C503" t="str">
            <v>CONJUNTO RESIDENCIAL URBANIZACION ORENSE P . H</v>
          </cell>
          <cell r="D503" t="str">
            <v>3335590</v>
          </cell>
          <cell r="E503" t="str">
            <v>urbanizacionorense@gmail.com</v>
          </cell>
          <cell r="F503" t="str">
            <v>CALLE 29 SUR  46 A  02</v>
          </cell>
          <cell r="G503" t="str">
            <v>05266</v>
          </cell>
        </row>
        <row r="504">
          <cell r="A504" t="str">
            <v>900292706</v>
          </cell>
          <cell r="B504" t="str">
            <v>8</v>
          </cell>
          <cell r="C504" t="str">
            <v>EDIFICIO JARDINES DE PONTEVEDRA P.H</v>
          </cell>
          <cell r="D504" t="str">
            <v>3103799889</v>
          </cell>
          <cell r="E504" t="str">
            <v>jardinesdepontevedra@hotmail.com</v>
          </cell>
          <cell r="F504" t="str">
            <v>DIAGONAL 31 E  27 A SUR  60</v>
          </cell>
          <cell r="G504" t="str">
            <v>05266</v>
          </cell>
        </row>
        <row r="505">
          <cell r="A505" t="str">
            <v>900303011</v>
          </cell>
          <cell r="B505" t="str">
            <v>7</v>
          </cell>
          <cell r="C505" t="str">
            <v>INGENIERIA EN CONSTRUCCIONES CIVILES S.A.S</v>
          </cell>
          <cell r="D505" t="str">
            <v>2683620</v>
          </cell>
          <cell r="E505" t="str">
            <v>facturacion@inge.com.co</v>
          </cell>
          <cell r="F505" t="str">
            <v>CALLE 7 D #43A 99</v>
          </cell>
          <cell r="G505" t="str">
            <v>05266</v>
          </cell>
        </row>
        <row r="506">
          <cell r="A506" t="str">
            <v>900308942</v>
          </cell>
          <cell r="B506" t="str">
            <v>1</v>
          </cell>
          <cell r="C506" t="str">
            <v>PROMOTORA INMOBILIARIA LA CUENCA S.A.S.</v>
          </cell>
          <cell r="D506" t="str">
            <v>313 63 43</v>
          </cell>
          <cell r="E506" t="str">
            <v>cvascos@acierto.com.co</v>
          </cell>
          <cell r="F506" t="str">
            <v>Carrera 39 E Calle 48F sur</v>
          </cell>
          <cell r="G506" t="str">
            <v>05266</v>
          </cell>
        </row>
        <row r="507">
          <cell r="A507" t="str">
            <v>900313373</v>
          </cell>
          <cell r="B507" t="str">
            <v>0</v>
          </cell>
          <cell r="C507" t="str">
            <v>EDIFICIO PARQUE MEDITERRANEO TORRE 4 P.H</v>
          </cell>
          <cell r="D507" t="str">
            <v>2067780</v>
          </cell>
          <cell r="E507" t="str">
            <v>parque_mediterraneo@hotmail.com</v>
          </cell>
          <cell r="F507" t="str">
            <v>CALLE 44 SUR  38  125</v>
          </cell>
          <cell r="G507" t="str">
            <v>05266</v>
          </cell>
        </row>
        <row r="508">
          <cell r="A508" t="str">
            <v>900315003</v>
          </cell>
          <cell r="B508" t="str">
            <v>1</v>
          </cell>
          <cell r="C508" t="str">
            <v>EDIFICIO PALMAR DE ZUÑIGA P.H</v>
          </cell>
          <cell r="D508" t="str">
            <v>3147999329</v>
          </cell>
          <cell r="E508" t="str">
            <v>palmardez2013@hotmail.com</v>
          </cell>
          <cell r="F508" t="str">
            <v>CALLE 23 SUR  44  56</v>
          </cell>
          <cell r="G508" t="str">
            <v>05266</v>
          </cell>
        </row>
        <row r="509">
          <cell r="A509" t="str">
            <v>900315532</v>
          </cell>
          <cell r="B509" t="str">
            <v>4</v>
          </cell>
          <cell r="C509" t="str">
            <v>EDIFICIO TORRELAVEGA P.H.</v>
          </cell>
          <cell r="D509" t="str">
            <v>3146571591</v>
          </cell>
          <cell r="E509" t="str">
            <v>aymacosas@gmail.com</v>
          </cell>
          <cell r="F509" t="str">
            <v>CALLE 25 SUR  45  37</v>
          </cell>
          <cell r="G509" t="str">
            <v>05266</v>
          </cell>
        </row>
        <row r="510">
          <cell r="A510" t="str">
            <v>900337303</v>
          </cell>
          <cell r="B510" t="str">
            <v>9</v>
          </cell>
          <cell r="C510" t="str">
            <v>CENTRO EJECUTIVO TORRELAVEGA P.H.</v>
          </cell>
          <cell r="D510" t="str">
            <v>3104136779</v>
          </cell>
          <cell r="E510" t="str">
            <v>admontorrelavega@gmail.com</v>
          </cell>
          <cell r="F510" t="str">
            <v>CALLE 25 C SUR  45  57</v>
          </cell>
          <cell r="G510" t="str">
            <v>05266</v>
          </cell>
        </row>
        <row r="511">
          <cell r="A511" t="str">
            <v>900370941</v>
          </cell>
          <cell r="B511" t="str">
            <v>7</v>
          </cell>
          <cell r="C511" t="str">
            <v>EDIFICIO BELAGUA PH.</v>
          </cell>
          <cell r="D511" t="str">
            <v>3147738633</v>
          </cell>
          <cell r="E511" t="str">
            <v>facturacion@estiloingenieria.com</v>
          </cell>
          <cell r="F511" t="str">
            <v>CARRERA 42  23 SUR  126</v>
          </cell>
          <cell r="G511" t="str">
            <v>05266</v>
          </cell>
        </row>
        <row r="512">
          <cell r="A512" t="str">
            <v>900383721</v>
          </cell>
          <cell r="B512" t="str">
            <v>1</v>
          </cell>
          <cell r="C512" t="str">
            <v>EDIFICIO PORTAL DE LOS FUNDADORES II P.H.</v>
          </cell>
          <cell r="D512" t="str">
            <v>3022769</v>
          </cell>
          <cell r="E512" t="str">
            <v>portalfundadores2@gmail.com</v>
          </cell>
          <cell r="F512" t="str">
            <v>CALLE 33 B SUR  45  36</v>
          </cell>
          <cell r="G512" t="str">
            <v>05266</v>
          </cell>
        </row>
        <row r="513">
          <cell r="A513" t="str">
            <v>900388012</v>
          </cell>
          <cell r="B513" t="str">
            <v>9</v>
          </cell>
          <cell r="C513" t="str">
            <v>EDIFICIO PORTAL DE LOS FUNDADORES P.H.</v>
          </cell>
          <cell r="D513" t="str">
            <v>3345946</v>
          </cell>
          <cell r="E513" t="str">
            <v>edificioportaldelosfundadores@gmail.com</v>
          </cell>
          <cell r="F513" t="str">
            <v>CALLE 33 B SUR  47  36</v>
          </cell>
          <cell r="G513" t="str">
            <v>05266</v>
          </cell>
        </row>
        <row r="514">
          <cell r="A514" t="str">
            <v>900430960</v>
          </cell>
          <cell r="B514" t="str">
            <v>5</v>
          </cell>
          <cell r="C514" t="str">
            <v>CONSTRUCTORA AGATA S A S</v>
          </cell>
          <cell r="D514" t="str">
            <v>4486800</v>
          </cell>
          <cell r="E514" t="str">
            <v>recepcionfacturas@altosdelaabadia.com</v>
          </cell>
          <cell r="F514" t="str">
            <v>CL 17 A SUR 44 214</v>
          </cell>
          <cell r="G514" t="str">
            <v>05266</v>
          </cell>
        </row>
        <row r="515">
          <cell r="A515" t="str">
            <v>900451691</v>
          </cell>
          <cell r="B515" t="str">
            <v>9</v>
          </cell>
          <cell r="C515" t="str">
            <v>EDIFICIO MOKA P.H.</v>
          </cell>
          <cell r="D515" t="str">
            <v>3146687158</v>
          </cell>
          <cell r="E515" t="str">
            <v>directora@itacaadministraciones.com</v>
          </cell>
          <cell r="F515" t="str">
            <v>CARRERA 42  23 SUR  60</v>
          </cell>
          <cell r="G515" t="str">
            <v>05266</v>
          </cell>
        </row>
        <row r="516">
          <cell r="A516" t="str">
            <v>900458819</v>
          </cell>
          <cell r="B516" t="str">
            <v>6</v>
          </cell>
          <cell r="C516" t="str">
            <v>CONJUNTO RESIDENCIAL TIERRA GRATA CUMBRES PH.</v>
          </cell>
          <cell r="D516" t="str">
            <v>5786099</v>
          </cell>
          <cell r="E516" t="str">
            <v>tesoreria@caaph.co</v>
          </cell>
          <cell r="F516" t="str">
            <v>CALLE 27 D SUR  27 C  51</v>
          </cell>
          <cell r="G516" t="str">
            <v>05266</v>
          </cell>
        </row>
        <row r="517">
          <cell r="A517" t="str">
            <v>900480181</v>
          </cell>
          <cell r="B517" t="str">
            <v>8</v>
          </cell>
          <cell r="C517" t="str">
            <v>UNIDAD RESIDENCIAL CRISTALES DE ZUÑIGA P.H.</v>
          </cell>
          <cell r="D517" t="str">
            <v>3342520</v>
          </cell>
          <cell r="E517" t="str">
            <v>facturas1.aie@gmail.com</v>
          </cell>
          <cell r="F517" t="str">
            <v>CARRERA 46  22 A SUR  37</v>
          </cell>
          <cell r="G517" t="str">
            <v>05266</v>
          </cell>
        </row>
        <row r="518">
          <cell r="A518" t="str">
            <v>900480554</v>
          </cell>
          <cell r="B518" t="str">
            <v>1</v>
          </cell>
          <cell r="C518" t="str">
            <v>CONJUNTO RESIDENCIAL CAMINO DE LAS AGUAS P.H.</v>
          </cell>
          <cell r="D518" t="str">
            <v>3221851</v>
          </cell>
          <cell r="E518" t="str">
            <v>proveedorcdelasaguas@gmail.com</v>
          </cell>
          <cell r="F518" t="str">
            <v>CALLE 39 D SUR  24 D  12</v>
          </cell>
          <cell r="G518" t="str">
            <v>05266</v>
          </cell>
        </row>
        <row r="519">
          <cell r="A519" t="str">
            <v>900497001</v>
          </cell>
          <cell r="B519" t="str">
            <v>5</v>
          </cell>
          <cell r="C519" t="str">
            <v>CONJUNTO RESIDENCIAL URBANIZACION VIENTOS DE ARAGON PH.</v>
          </cell>
          <cell r="D519" t="str">
            <v>2712227</v>
          </cell>
          <cell r="E519" t="str">
            <v>admonvientosdearagon@gmail.com</v>
          </cell>
          <cell r="F519" t="str">
            <v>CALLE 27 D  36  52 SUR</v>
          </cell>
          <cell r="G519" t="str">
            <v>05266</v>
          </cell>
        </row>
        <row r="520">
          <cell r="A520" t="str">
            <v>900540823</v>
          </cell>
          <cell r="B520" t="str">
            <v>6</v>
          </cell>
          <cell r="C520" t="str">
            <v>EDIFICIO OASIS DE ZUÑIGA P.H.</v>
          </cell>
          <cell r="D520" t="str">
            <v>3138814</v>
          </cell>
          <cell r="E520" t="str">
            <v>solicitudes@quantumadministraciones.com</v>
          </cell>
          <cell r="F520" t="str">
            <v>CARRERA 46  23 SUR  26</v>
          </cell>
          <cell r="G520" t="str">
            <v>05266</v>
          </cell>
        </row>
        <row r="521">
          <cell r="A521" t="str">
            <v>900562990</v>
          </cell>
          <cell r="B521" t="str">
            <v>2</v>
          </cell>
          <cell r="C521" t="str">
            <v>CONJUNTO RESIDENCIAL URBANIZACIÓN ARRECIFES DE LA ABADIA PH.</v>
          </cell>
          <cell r="D521" t="str">
            <v>4446145</v>
          </cell>
          <cell r="E521" t="str">
            <v>caja@unidadesurbanas.com</v>
          </cell>
          <cell r="F521" t="str">
            <v>CALLE 27 D SUR  28  50</v>
          </cell>
          <cell r="G521" t="str">
            <v>05266</v>
          </cell>
        </row>
        <row r="522">
          <cell r="A522" t="str">
            <v>900592410</v>
          </cell>
          <cell r="B522" t="str">
            <v>0</v>
          </cell>
          <cell r="C522" t="str">
            <v>EDIFICIO TERRAZINO ZUÑIGA P.H.</v>
          </cell>
          <cell r="D522" t="str">
            <v>4442420</v>
          </cell>
          <cell r="E522" t="str">
            <v>facturacion@estiloingenieria.com</v>
          </cell>
          <cell r="F522" t="str">
            <v>CARRERA 44  23 SUR  15</v>
          </cell>
          <cell r="G522" t="str">
            <v>05266</v>
          </cell>
        </row>
        <row r="523">
          <cell r="A523" t="str">
            <v>900602224</v>
          </cell>
          <cell r="B523" t="str">
            <v>1</v>
          </cell>
          <cell r="C523" t="str">
            <v>CONJUNTO RESIDENCIAL VIA SERRANO P.H.</v>
          </cell>
          <cell r="D523" t="str">
            <v>4 4 4 2 0 1 5</v>
          </cell>
          <cell r="E523" t="str">
            <v>aymacosas@gmail.com</v>
          </cell>
          <cell r="F523" t="str">
            <v>CR 46 A 29 SUR 15</v>
          </cell>
          <cell r="G523" t="str">
            <v>05266</v>
          </cell>
        </row>
        <row r="524">
          <cell r="A524" t="str">
            <v>900619008</v>
          </cell>
          <cell r="B524" t="str">
            <v>1</v>
          </cell>
          <cell r="C524" t="str">
            <v>EDIFICIO LOS ALMENDROS DE ZUÑIGA P.H</v>
          </cell>
          <cell r="D524" t="str">
            <v>4198632</v>
          </cell>
          <cell r="E524" t="str">
            <v>almendrosdezunigaph@gmail.com</v>
          </cell>
          <cell r="F524" t="str">
            <v>CALLE 20 SUR  45  107</v>
          </cell>
          <cell r="G524" t="str">
            <v>05266</v>
          </cell>
        </row>
        <row r="525">
          <cell r="A525" t="str">
            <v>900649548</v>
          </cell>
          <cell r="B525" t="str">
            <v>5</v>
          </cell>
          <cell r="C525" t="str">
            <v>CONJUNTO RESIDENCIAL LA RESERVA P.H.</v>
          </cell>
          <cell r="D525" t="str">
            <v>4482064</v>
          </cell>
          <cell r="E525" t="str">
            <v>aymacosas@gmail.com</v>
          </cell>
          <cell r="F525" t="str">
            <v>CALLE 37 B  27 B  125 INTERIOR 5</v>
          </cell>
          <cell r="G525" t="str">
            <v>05266</v>
          </cell>
        </row>
        <row r="526">
          <cell r="A526" t="str">
            <v>900671845</v>
          </cell>
          <cell r="B526" t="str">
            <v>1</v>
          </cell>
          <cell r="C526" t="str">
            <v>EDIFICIO ZUÑIGA REAL P.H.</v>
          </cell>
          <cell r="D526" t="str">
            <v>3790770</v>
          </cell>
          <cell r="E526" t="str">
            <v>albalaver@gmail.com</v>
          </cell>
          <cell r="F526" t="str">
            <v>CARRERA 47  19 SUR  136</v>
          </cell>
          <cell r="G526" t="str">
            <v>05266</v>
          </cell>
        </row>
        <row r="527">
          <cell r="A527" t="str">
            <v>900673869</v>
          </cell>
          <cell r="B527" t="str">
            <v>5</v>
          </cell>
          <cell r="C527" t="str">
            <v>EDIFICIO EL VERGEL - P.H.</v>
          </cell>
          <cell r="D527" t="str">
            <v>3025781</v>
          </cell>
          <cell r="E527" t="str">
            <v>marcet_@hotmail.com</v>
          </cell>
          <cell r="F527" t="str">
            <v>CL 32 C SUR 47 20</v>
          </cell>
          <cell r="G527" t="str">
            <v>05266</v>
          </cell>
        </row>
        <row r="528">
          <cell r="A528" t="str">
            <v>900740170</v>
          </cell>
          <cell r="B528" t="str">
            <v>3</v>
          </cell>
          <cell r="C528" t="str">
            <v>CONJUNTO COMERCIAL TERRACINA PLAZA P.H.</v>
          </cell>
          <cell r="D528" t="str">
            <v>3360155</v>
          </cell>
          <cell r="E528" t="str">
            <v>administracion.terracina@aceis.com.co</v>
          </cell>
          <cell r="F528" t="str">
            <v>CARRERA 27  35 SUR  162</v>
          </cell>
          <cell r="G528" t="str">
            <v>05266</v>
          </cell>
        </row>
        <row r="529">
          <cell r="A529" t="str">
            <v>900742074</v>
          </cell>
          <cell r="B529" t="str">
            <v>3</v>
          </cell>
          <cell r="C529" t="str">
            <v>MEXIRUMBA SAS</v>
          </cell>
          <cell r="D529" t="str">
            <v>6048788</v>
          </cell>
          <cell r="E529" t="str">
            <v>asalazar@salazarasesores.com.co</v>
          </cell>
          <cell r="F529" t="str">
            <v>CALLE 10B 36-32 OF.601</v>
          </cell>
          <cell r="G529" t="str">
            <v>05266</v>
          </cell>
        </row>
        <row r="530">
          <cell r="A530" t="str">
            <v>900752661</v>
          </cell>
          <cell r="B530" t="str">
            <v>1</v>
          </cell>
          <cell r="C530" t="str">
            <v>EDIFICIO PORTAL DE LA IGLESIA P.H</v>
          </cell>
          <cell r="D530" t="str">
            <v>3136577820</v>
          </cell>
          <cell r="E530" t="str">
            <v>limahs0570@gmail.com</v>
          </cell>
          <cell r="F530" t="str">
            <v>CALLE 33 B SUR  47  06</v>
          </cell>
          <cell r="G530" t="str">
            <v>05266</v>
          </cell>
        </row>
        <row r="531">
          <cell r="A531" t="str">
            <v>900761943</v>
          </cell>
          <cell r="B531" t="str">
            <v>1</v>
          </cell>
          <cell r="C531" t="str">
            <v>EDIFICIO AMBAR P.H.</v>
          </cell>
          <cell r="D531" t="str">
            <v>8924442</v>
          </cell>
          <cell r="E531" t="str">
            <v>ambaredificioph@gmail.com</v>
          </cell>
          <cell r="F531" t="str">
            <v>CALLE 32 A SUR  28  21</v>
          </cell>
          <cell r="G531" t="str">
            <v>05266</v>
          </cell>
        </row>
        <row r="532">
          <cell r="A532" t="str">
            <v>900777293</v>
          </cell>
          <cell r="B532" t="str">
            <v>0</v>
          </cell>
          <cell r="C532" t="str">
            <v>URBANIZACION PUERTO LUNA P.H.</v>
          </cell>
          <cell r="D532" t="str">
            <v>4189280</v>
          </cell>
          <cell r="E532" t="str">
            <v>urbanizacionpuertoluna@gmail.com</v>
          </cell>
          <cell r="F532" t="str">
            <v>CALLE 48 F SUR  40  55</v>
          </cell>
          <cell r="G532" t="str">
            <v>05266</v>
          </cell>
        </row>
        <row r="533">
          <cell r="A533" t="str">
            <v>900787482</v>
          </cell>
          <cell r="B533" t="str">
            <v>9</v>
          </cell>
          <cell r="C533" t="str">
            <v>CONJUNTO RESIDENCIAL ROMANZA DE LA ABADIA P.H.</v>
          </cell>
          <cell r="D533" t="str">
            <v>3116425711</v>
          </cell>
          <cell r="E533" t="str">
            <v>romanza.ph@gmail.com</v>
          </cell>
          <cell r="F533" t="str">
            <v>CALLE 27 SUR  28  56</v>
          </cell>
          <cell r="G533" t="str">
            <v>05266</v>
          </cell>
        </row>
        <row r="534">
          <cell r="A534" t="str">
            <v>900788456</v>
          </cell>
          <cell r="B534" t="str">
            <v>1</v>
          </cell>
          <cell r="C534" t="str">
            <v>APARTAMENTOS PESCARA P.H.</v>
          </cell>
          <cell r="D534" t="str">
            <v>5789284</v>
          </cell>
          <cell r="E534" t="str">
            <v>melvaestrada2011@hotmail.com</v>
          </cell>
          <cell r="F534" t="str">
            <v>CARRERA 45  23 SUR  15</v>
          </cell>
          <cell r="G534" t="str">
            <v>05266</v>
          </cell>
        </row>
        <row r="535">
          <cell r="A535" t="str">
            <v>900792093</v>
          </cell>
          <cell r="B535" t="str">
            <v>7</v>
          </cell>
          <cell r="C535" t="str">
            <v>CONJUNTO RESIDENCIAL NATIVO FLORA P.H.</v>
          </cell>
          <cell r="D535" t="str">
            <v>4449421</v>
          </cell>
          <cell r="E535" t="str">
            <v>tesoreria@caaph.co</v>
          </cell>
          <cell r="F535" t="str">
            <v>CARRERA 27 AA  36 SUR  151</v>
          </cell>
          <cell r="G535" t="str">
            <v>05266</v>
          </cell>
        </row>
        <row r="536">
          <cell r="A536" t="str">
            <v>900810594</v>
          </cell>
          <cell r="B536" t="str">
            <v>3</v>
          </cell>
          <cell r="C536" t="str">
            <v>CONJUNTO RESIDENCIAL TORRE GUAYACAN P.H.</v>
          </cell>
          <cell r="D536">
            <v>3219664011</v>
          </cell>
          <cell r="E536" t="str">
            <v>recepcion@abelardoyepes.com</v>
          </cell>
          <cell r="F536" t="str">
            <v>CARRERA 43 A  23 SUR  79</v>
          </cell>
          <cell r="G536" t="str">
            <v>05266</v>
          </cell>
        </row>
        <row r="537">
          <cell r="A537" t="str">
            <v>900810620</v>
          </cell>
          <cell r="B537" t="str">
            <v>7</v>
          </cell>
          <cell r="C537" t="str">
            <v>EDIFICIO TERRAZZINO ROYAL P.H.</v>
          </cell>
          <cell r="D537" t="str">
            <v>4442420</v>
          </cell>
          <cell r="E537" t="str">
            <v>facturacion@estiloingenieria.com</v>
          </cell>
          <cell r="F537" t="str">
            <v>CALLE 22 A SUR  46  34</v>
          </cell>
          <cell r="G537" t="str">
            <v>05266</v>
          </cell>
        </row>
        <row r="538">
          <cell r="A538" t="str">
            <v>900821119</v>
          </cell>
          <cell r="B538" t="str">
            <v>5</v>
          </cell>
          <cell r="C538" t="str">
            <v>URBANIZACION IRIS P.H.</v>
          </cell>
          <cell r="D538" t="str">
            <v>4174014</v>
          </cell>
          <cell r="E538" t="str">
            <v>irisaptos@gmail.com</v>
          </cell>
          <cell r="F538" t="str">
            <v>CALLE 45 A SUR  39 B  22</v>
          </cell>
          <cell r="G538" t="str">
            <v>05266</v>
          </cell>
        </row>
        <row r="539">
          <cell r="A539" t="str">
            <v>900846543</v>
          </cell>
          <cell r="B539" t="str">
            <v>3</v>
          </cell>
          <cell r="C539" t="str">
            <v>VITTA APARTAMENTOS CAMPESTRES ETAPA UNO P.H.</v>
          </cell>
          <cell r="D539" t="str">
            <v>3173713493</v>
          </cell>
          <cell r="E539" t="str">
            <v>facturastuadmon@gmail.com</v>
          </cell>
          <cell r="F539" t="str">
            <v>CARRERA 25  39 SUR  15</v>
          </cell>
          <cell r="G539" t="str">
            <v>05266</v>
          </cell>
        </row>
        <row r="540">
          <cell r="A540" t="str">
            <v>900859669</v>
          </cell>
          <cell r="B540" t="str">
            <v>9</v>
          </cell>
          <cell r="C540" t="str">
            <v>CONJUNTO RESIDENCIAL LA PROVINCIA DE TOSCANA P.H.</v>
          </cell>
          <cell r="D540" t="str">
            <v>5204607</v>
          </cell>
          <cell r="E540" t="str">
            <v>provinciadetoscana@gmail.com</v>
          </cell>
          <cell r="F540" t="str">
            <v>CALLE 46 F SUR  37  171</v>
          </cell>
          <cell r="G540" t="str">
            <v>05266</v>
          </cell>
        </row>
        <row r="541">
          <cell r="A541" t="str">
            <v>900860244</v>
          </cell>
          <cell r="B541" t="str">
            <v>4</v>
          </cell>
          <cell r="C541" t="str">
            <v>CONJUNTO RESIDENCIAL MONTEPIETRA P.H</v>
          </cell>
          <cell r="D541" t="str">
            <v>4483149</v>
          </cell>
          <cell r="E541" t="str">
            <v>compras@abelardoyepes.com</v>
          </cell>
          <cell r="F541" t="str">
            <v>CALLE 38 B SUR  26  02</v>
          </cell>
          <cell r="G541" t="str">
            <v>05266</v>
          </cell>
        </row>
        <row r="542">
          <cell r="A542" t="str">
            <v>900876875</v>
          </cell>
          <cell r="B542" t="str">
            <v>1</v>
          </cell>
          <cell r="C542" t="str">
            <v>TAMAYO INGENIEROS S.A.S.</v>
          </cell>
          <cell r="D542" t="str">
            <v>3127609352</v>
          </cell>
          <cell r="E542" t="str">
            <v>secretariatamayos@gmail.com</v>
          </cell>
          <cell r="F542" t="str">
            <v>CALLE 37 B SUR CARRERA 27 B 81</v>
          </cell>
          <cell r="G542" t="str">
            <v>05266</v>
          </cell>
        </row>
        <row r="543">
          <cell r="A543" t="str">
            <v>900888250</v>
          </cell>
          <cell r="B543" t="str">
            <v>0</v>
          </cell>
          <cell r="C543" t="str">
            <v>KOBALTO P.H.</v>
          </cell>
          <cell r="D543" t="str">
            <v>3042111517</v>
          </cell>
          <cell r="E543" t="str">
            <v>kobaltoph@gmail.com</v>
          </cell>
          <cell r="F543" t="str">
            <v>CALLE 45 A SUR  39 B  226</v>
          </cell>
          <cell r="G543" t="str">
            <v>05266</v>
          </cell>
        </row>
        <row r="544">
          <cell r="A544" t="str">
            <v>900902620</v>
          </cell>
          <cell r="B544" t="str">
            <v>2</v>
          </cell>
          <cell r="C544" t="str">
            <v>EDIFICIO MUZO APARTAMENTOS P.H.</v>
          </cell>
          <cell r="D544" t="str">
            <v>3136828606</v>
          </cell>
          <cell r="E544" t="str">
            <v>compras@abelardoyepes.com</v>
          </cell>
          <cell r="F544" t="str">
            <v>CARRERA 27 A SUR  2  10</v>
          </cell>
          <cell r="G544" t="str">
            <v>05266</v>
          </cell>
        </row>
        <row r="545">
          <cell r="A545" t="str">
            <v>900939093</v>
          </cell>
          <cell r="B545" t="str">
            <v>0</v>
          </cell>
          <cell r="C545" t="str">
            <v>EDIFICIO NUEVA ORQUÍDEA P.H.</v>
          </cell>
          <cell r="D545" t="str">
            <v>5115988</v>
          </cell>
          <cell r="E545" t="str">
            <v>nuevaorquideaph@gmail.com</v>
          </cell>
          <cell r="F545" t="str">
            <v>CARRERA 42 B  25 SUR  102</v>
          </cell>
          <cell r="G545" t="str">
            <v>05266</v>
          </cell>
        </row>
        <row r="546">
          <cell r="A546" t="str">
            <v>900947614</v>
          </cell>
          <cell r="B546" t="str">
            <v>1</v>
          </cell>
          <cell r="C546" t="str">
            <v>EDIFICIO MIRADORES DE ZUÑIGA P.H.</v>
          </cell>
          <cell r="D546" t="str">
            <v>2382204</v>
          </cell>
          <cell r="E546" t="str">
            <v>zunigamiradores574@gmail.com</v>
          </cell>
          <cell r="F546" t="str">
            <v>CARRERA 47  19 SUR  64</v>
          </cell>
          <cell r="G546" t="str">
            <v>05266</v>
          </cell>
        </row>
        <row r="547">
          <cell r="A547" t="str">
            <v>900967050</v>
          </cell>
          <cell r="B547" t="str">
            <v>3</v>
          </cell>
          <cell r="C547" t="str">
            <v>CONJUNTO RESIDENCIAL URBANIZACIÓN CORALES DE LA ABADIA P. H.</v>
          </cell>
          <cell r="D547" t="str">
            <v>3122956900</v>
          </cell>
          <cell r="E547" t="str">
            <v>contabilidad@vitalsas.co</v>
          </cell>
          <cell r="F547" t="str">
            <v>CALLE 27 D SUR  28  80</v>
          </cell>
          <cell r="G547" t="str">
            <v>05266</v>
          </cell>
        </row>
        <row r="548">
          <cell r="A548" t="str">
            <v>901002064</v>
          </cell>
          <cell r="B548" t="str">
            <v>9</v>
          </cell>
          <cell r="C548" t="str">
            <v>PROMOTORA INMOBILIARIA BRUJAS S.A.S.</v>
          </cell>
          <cell r="D548" t="str">
            <v>3113442664</v>
          </cell>
          <cell r="E548" t="str">
            <v>facturacion@tierragrata.co</v>
          </cell>
          <cell r="F548" t="str">
            <v>CALLE 6  43 C  08 OFICINA 306</v>
          </cell>
          <cell r="G548" t="str">
            <v>05266</v>
          </cell>
        </row>
        <row r="549">
          <cell r="A549" t="str">
            <v>901003050</v>
          </cell>
          <cell r="B549" t="str">
            <v>0</v>
          </cell>
          <cell r="C549" t="str">
            <v>CONJUNTO RESIDENCIAL TIERRA GRATA EL ESMERALDAL P.H.</v>
          </cell>
          <cell r="D549" t="str">
            <v>3104143780</v>
          </cell>
          <cell r="E549" t="str">
            <v>contabilidad@tmgservicios.com</v>
          </cell>
          <cell r="F549" t="str">
            <v>CALLE 27 SUR  27  92</v>
          </cell>
          <cell r="G549" t="str">
            <v>05266</v>
          </cell>
        </row>
        <row r="550">
          <cell r="A550" t="str">
            <v>901022548</v>
          </cell>
          <cell r="B550" t="str">
            <v>7</v>
          </cell>
          <cell r="C550" t="str">
            <v>CONJUNTO RESIDENCIAL NATIVO MADERA P.H.</v>
          </cell>
          <cell r="D550" t="str">
            <v>3325208</v>
          </cell>
          <cell r="E550" t="str">
            <v>tesoreria@caaph.co</v>
          </cell>
          <cell r="F550" t="str">
            <v>CARRERA 27 AA  36 SUR  170</v>
          </cell>
          <cell r="G550" t="str">
            <v>05266</v>
          </cell>
        </row>
        <row r="551">
          <cell r="A551" t="str">
            <v>901029318</v>
          </cell>
          <cell r="B551" t="str">
            <v>1</v>
          </cell>
          <cell r="C551" t="str">
            <v>EDIFICIO BRISAS DEL TRIANON P.H.</v>
          </cell>
          <cell r="D551" t="str">
            <v>3127439880</v>
          </cell>
          <cell r="E551" t="str">
            <v>brisasdeltrianonph@gmail.com</v>
          </cell>
          <cell r="F551" t="str">
            <v>CALLE 48 C SUR  39 A  110</v>
          </cell>
          <cell r="G551" t="str">
            <v>05266</v>
          </cell>
        </row>
        <row r="552">
          <cell r="A552" t="str">
            <v>901053024</v>
          </cell>
          <cell r="B552" t="str">
            <v>2</v>
          </cell>
          <cell r="C552" t="str">
            <v>CONJUNTO RESIDENCIAL CALIFORNIA P.H.</v>
          </cell>
          <cell r="D552" t="str">
            <v>3176566315</v>
          </cell>
          <cell r="E552" t="str">
            <v>tesoreria@caaph.co</v>
          </cell>
          <cell r="F552" t="str">
            <v>CARRERA 25 A  38 D SUR  30</v>
          </cell>
          <cell r="G552" t="str">
            <v>05266</v>
          </cell>
        </row>
        <row r="553">
          <cell r="A553" t="str">
            <v>901064646</v>
          </cell>
          <cell r="B553" t="str">
            <v>0</v>
          </cell>
          <cell r="C553" t="str">
            <v>UNIDAD RESIDENCIAL EDIFICIO CHARLOTTE P.H.</v>
          </cell>
          <cell r="D553" t="str">
            <v>3122956900</v>
          </cell>
          <cell r="E553" t="str">
            <v>asistenteadmonuno@gmail.com</v>
          </cell>
          <cell r="F553" t="str">
            <v>CARRERA 45  23 SUR  57</v>
          </cell>
          <cell r="G553" t="str">
            <v>05266</v>
          </cell>
        </row>
        <row r="554">
          <cell r="A554" t="str">
            <v>901094096</v>
          </cell>
          <cell r="B554" t="str">
            <v>8</v>
          </cell>
          <cell r="C554" t="str">
            <v>EDIFICIO TERRAZZINO ZUÑIGA TORRE 2 P.H.</v>
          </cell>
          <cell r="D554" t="str">
            <v>3148781186</v>
          </cell>
          <cell r="E554" t="str">
            <v>terrazzinozuniga2@gmail.com</v>
          </cell>
          <cell r="F554" t="str">
            <v>CARRERA 44  23 SUR  31</v>
          </cell>
          <cell r="G554" t="str">
            <v>05266</v>
          </cell>
        </row>
        <row r="555">
          <cell r="A555" t="str">
            <v>901102469</v>
          </cell>
          <cell r="B555" t="str">
            <v>7</v>
          </cell>
          <cell r="C555" t="str">
            <v>CONJUNTO RESIDENCIAL REGATA P.H.</v>
          </cell>
          <cell r="D555" t="str">
            <v>4484173</v>
          </cell>
          <cell r="E555" t="str">
            <v>cr.regattaph@gmail.com</v>
          </cell>
          <cell r="F555" t="str">
            <v>CARRERA 27 AA  36 SUR  170</v>
          </cell>
          <cell r="G555" t="str">
            <v>05266</v>
          </cell>
        </row>
        <row r="556">
          <cell r="A556" t="str">
            <v>901105121</v>
          </cell>
          <cell r="B556" t="str">
            <v>3</v>
          </cell>
          <cell r="C556" t="str">
            <v>TERRAZINO S.A.S.</v>
          </cell>
          <cell r="D556" t="str">
            <v>3224752</v>
          </cell>
          <cell r="E556" t="str">
            <v>administracion@tesas.co</v>
          </cell>
          <cell r="F556" t="str">
            <v>CRA 44 No 23 sur -31 of 301</v>
          </cell>
          <cell r="G556" t="str">
            <v>05266</v>
          </cell>
        </row>
        <row r="557">
          <cell r="A557" t="str">
            <v>901109939</v>
          </cell>
          <cell r="B557" t="str">
            <v>9</v>
          </cell>
          <cell r="C557" t="str">
            <v>EDIFICIO LUXOR P.H</v>
          </cell>
          <cell r="D557" t="str">
            <v>3052350757</v>
          </cell>
          <cell r="E557" t="str">
            <v>luxor.admon@gmail.com</v>
          </cell>
          <cell r="F557" t="str">
            <v>CALLE 43 E SUR  42 B  05</v>
          </cell>
          <cell r="G557" t="str">
            <v>05266</v>
          </cell>
        </row>
        <row r="558">
          <cell r="A558" t="str">
            <v>901110323</v>
          </cell>
          <cell r="B558" t="str">
            <v>4</v>
          </cell>
          <cell r="C558" t="str">
            <v>EDIFICIO TORRE DE MARFIL P.H.</v>
          </cell>
          <cell r="D558" t="str">
            <v>3136577820</v>
          </cell>
          <cell r="E558" t="str">
            <v>albalaver@gmail.com</v>
          </cell>
          <cell r="F558" t="str">
            <v>CARRERA 32 B  45 B  74</v>
          </cell>
          <cell r="G558" t="str">
            <v>05266</v>
          </cell>
        </row>
        <row r="559">
          <cell r="A559" t="str">
            <v>901117665</v>
          </cell>
          <cell r="B559" t="str">
            <v>1</v>
          </cell>
          <cell r="C559" t="str">
            <v>EDIFICIO TERRANOVA P.H.</v>
          </cell>
          <cell r="D559" t="str">
            <v>4442420</v>
          </cell>
          <cell r="E559" t="str">
            <v>pagos.aph@gmail.com</v>
          </cell>
          <cell r="F559" t="str">
            <v>TV 35 SUR 30 02</v>
          </cell>
          <cell r="G559" t="str">
            <v>05266</v>
          </cell>
        </row>
        <row r="560">
          <cell r="A560" t="str">
            <v>901164760</v>
          </cell>
          <cell r="B560" t="str">
            <v>1</v>
          </cell>
          <cell r="C560" t="str">
            <v>EDIFICIO CATANZARO P.H.</v>
          </cell>
          <cell r="D560" t="str">
            <v>3052948895</v>
          </cell>
          <cell r="E560" t="str">
            <v>urbcatanzaro@gmail.com</v>
          </cell>
          <cell r="F560" t="str">
            <v>CALLE 45 B SUR  35  91</v>
          </cell>
          <cell r="G560" t="str">
            <v>05266</v>
          </cell>
        </row>
        <row r="561">
          <cell r="A561" t="str">
            <v>901166447</v>
          </cell>
          <cell r="B561" t="str">
            <v>1</v>
          </cell>
          <cell r="C561" t="str">
            <v>URBANIZACION BIOCITY GRAND P.H.</v>
          </cell>
          <cell r="D561" t="str">
            <v>3128085565</v>
          </cell>
          <cell r="E561" t="str">
            <v>admonbiocitygrand@gmail.com</v>
          </cell>
          <cell r="F561" t="str">
            <v>CALLE 37 SUR  27  90</v>
          </cell>
          <cell r="G561" t="str">
            <v>05266</v>
          </cell>
        </row>
        <row r="562">
          <cell r="A562" t="str">
            <v>901174832</v>
          </cell>
          <cell r="B562" t="str">
            <v>6</v>
          </cell>
          <cell r="C562" t="str">
            <v>EDIFICIO MIXTO SANTAMARIA DEL PORTAL PH</v>
          </cell>
          <cell r="D562" t="str">
            <v>3113612137</v>
          </cell>
          <cell r="E562" t="str">
            <v>facturacion@giraldociro.co</v>
          </cell>
          <cell r="F562" t="str">
            <v>CL 32 SUR  45 B  63</v>
          </cell>
          <cell r="G562" t="str">
            <v>05266</v>
          </cell>
        </row>
        <row r="563">
          <cell r="A563" t="str">
            <v>901190064</v>
          </cell>
          <cell r="B563" t="str">
            <v>3</v>
          </cell>
          <cell r="C563" t="str">
            <v>EDIFICIO DINASTIA P.H.</v>
          </cell>
          <cell r="D563" t="str">
            <v>3113606160</v>
          </cell>
          <cell r="E563" t="str">
            <v>me.cari@hotmail.com</v>
          </cell>
          <cell r="F563" t="str">
            <v>CR 38 38A SUR 31</v>
          </cell>
          <cell r="G563" t="str">
            <v>05266</v>
          </cell>
        </row>
        <row r="564">
          <cell r="A564" t="str">
            <v>901190138</v>
          </cell>
          <cell r="B564" t="str">
            <v>1</v>
          </cell>
          <cell r="C564" t="str">
            <v>CONJUNTO RESIDENCIAL NATIVO ARENA - PH</v>
          </cell>
          <cell r="D564" t="str">
            <v>3007829888</v>
          </cell>
          <cell r="E564" t="str">
            <v>compras@abelardoyepes.com</v>
          </cell>
          <cell r="F564" t="str">
            <v>CR 27 A A 36 SUR 160</v>
          </cell>
          <cell r="G564" t="str">
            <v>05266</v>
          </cell>
        </row>
        <row r="565">
          <cell r="A565" t="str">
            <v>901200489</v>
          </cell>
          <cell r="B565" t="str">
            <v>4</v>
          </cell>
          <cell r="C565" t="str">
            <v>EDIFICIO O´CLOCK P.H.</v>
          </cell>
          <cell r="D565" t="str">
            <v>4480786</v>
          </cell>
          <cell r="E565" t="str">
            <v>compras@abelardoyepes.com</v>
          </cell>
          <cell r="F565" t="str">
            <v>CL 23 SUR 42B 60</v>
          </cell>
          <cell r="G565" t="str">
            <v>05266</v>
          </cell>
        </row>
        <row r="566">
          <cell r="A566" t="str">
            <v>901226711</v>
          </cell>
          <cell r="B566" t="str">
            <v>8</v>
          </cell>
          <cell r="C566" t="str">
            <v>CONJUNTO RESIDENCIAL URBANIZACION EPIC P.H.</v>
          </cell>
          <cell r="D566" t="str">
            <v>5783985</v>
          </cell>
          <cell r="E566" t="str">
            <v>epic.ph@hotmail.com</v>
          </cell>
          <cell r="F566" t="str">
            <v>CR 27 37 SUR 45</v>
          </cell>
          <cell r="G566" t="str">
            <v>05266</v>
          </cell>
        </row>
        <row r="567">
          <cell r="A567" t="str">
            <v>901248938</v>
          </cell>
          <cell r="B567" t="str">
            <v>7</v>
          </cell>
          <cell r="C567" t="str">
            <v>CONJUNTO RESIDENCIAL ROSSET</v>
          </cell>
          <cell r="D567" t="str">
            <v>3325208</v>
          </cell>
          <cell r="E567" t="str">
            <v>tesoreria@caaph.co</v>
          </cell>
          <cell r="F567" t="str">
            <v>CALLE 27 SUR 28-49</v>
          </cell>
          <cell r="G567" t="str">
            <v>05266</v>
          </cell>
        </row>
        <row r="568">
          <cell r="A568" t="str">
            <v>901261192</v>
          </cell>
          <cell r="B568" t="str">
            <v>3</v>
          </cell>
          <cell r="C568" t="str">
            <v>URBANIZACION AMARETTO P.H</v>
          </cell>
          <cell r="D568" t="str">
            <v>4444812</v>
          </cell>
          <cell r="E568" t="str">
            <v>auxiliardosescalar@gmail.com</v>
          </cell>
          <cell r="F568" t="str">
            <v>CL 48 F SUR 39B 220</v>
          </cell>
          <cell r="G568" t="str">
            <v>05266</v>
          </cell>
        </row>
        <row r="569">
          <cell r="A569" t="str">
            <v>901270034</v>
          </cell>
          <cell r="B569" t="str">
            <v>6</v>
          </cell>
          <cell r="C569" t="str">
            <v>EL CONJUNTO RESIDENCIAL TIERRA GRATA BRUJA ENCANTADORA P.H.</v>
          </cell>
          <cell r="D569" t="str">
            <v>3004089975</v>
          </cell>
          <cell r="E569" t="str">
            <v>tierragratabrujaencantadora@gmail.com</v>
          </cell>
          <cell r="F569" t="str">
            <v>CR 27 37 B SUR 39</v>
          </cell>
          <cell r="G569" t="str">
            <v>05266</v>
          </cell>
        </row>
        <row r="570">
          <cell r="A570" t="str">
            <v>901301265</v>
          </cell>
          <cell r="B570" t="str">
            <v>5</v>
          </cell>
          <cell r="C570" t="str">
            <v>EDIFICIO ZURICH P.H</v>
          </cell>
          <cell r="D570" t="str">
            <v>5702506</v>
          </cell>
          <cell r="E570" t="str">
            <v>edificiozurichph@gmail.com</v>
          </cell>
          <cell r="F570" t="str">
            <v>cl 48 F F SUR 42 C 113</v>
          </cell>
          <cell r="G570" t="str">
            <v>05266</v>
          </cell>
        </row>
        <row r="571">
          <cell r="A571" t="str">
            <v>901323857</v>
          </cell>
          <cell r="B571" t="str">
            <v>1</v>
          </cell>
          <cell r="C571" t="str">
            <v>CLINICA ESPECIALIDADES VETERINARIAS MEVET ENVIGADO S.A.S</v>
          </cell>
          <cell r="D571" t="str">
            <v>6027902</v>
          </cell>
          <cell r="E571" t="str">
            <v>contabilidad@mevet.pet</v>
          </cell>
          <cell r="F571" t="str">
            <v>CR 31 39 SUR 56</v>
          </cell>
          <cell r="G571" t="str">
            <v>05266</v>
          </cell>
        </row>
        <row r="572">
          <cell r="A572" t="str">
            <v>901331844</v>
          </cell>
          <cell r="B572" t="str">
            <v>8</v>
          </cell>
          <cell r="C572" t="str">
            <v>IKSO SAS</v>
          </cell>
          <cell r="D572" t="str">
            <v>6017420404</v>
          </cell>
          <cell r="E572" t="str">
            <v>dte_9013318448@dte.paperless.com.co</v>
          </cell>
          <cell r="F572" t="str">
            <v>Calle 99 No. 11A-32</v>
          </cell>
          <cell r="G572" t="str">
            <v>05266</v>
          </cell>
        </row>
        <row r="573">
          <cell r="A573" t="str">
            <v>901333394</v>
          </cell>
          <cell r="B573" t="str">
            <v>4</v>
          </cell>
          <cell r="C573" t="str">
            <v>EDIFICIO NUBENZZA P.H.</v>
          </cell>
          <cell r="D573" t="str">
            <v>2685588</v>
          </cell>
          <cell r="E573" t="str">
            <v>admonedificionubenzza@gmail.com</v>
          </cell>
          <cell r="F573" t="str">
            <v>CALLE 45C SUR 42C-110</v>
          </cell>
          <cell r="G573" t="str">
            <v>05266</v>
          </cell>
        </row>
        <row r="574">
          <cell r="A574" t="str">
            <v>901355600</v>
          </cell>
          <cell r="B574" t="str">
            <v>1</v>
          </cell>
          <cell r="C574" t="str">
            <v>CONJUNTO RESIDENCIAL NATIVO AGUA PH</v>
          </cell>
          <cell r="D574" t="str">
            <v>4483149</v>
          </cell>
          <cell r="E574" t="str">
            <v>compras@abelardoyepes.com</v>
          </cell>
          <cell r="F574" t="str">
            <v>CR 27 AA 36 SUR 200</v>
          </cell>
          <cell r="G574" t="str">
            <v>05266</v>
          </cell>
        </row>
        <row r="575">
          <cell r="A575" t="str">
            <v>901358146</v>
          </cell>
          <cell r="B575" t="str">
            <v>2</v>
          </cell>
          <cell r="C575" t="str">
            <v>EDIFICIO ALUNA P.H</v>
          </cell>
          <cell r="D575" t="str">
            <v>4484173</v>
          </cell>
          <cell r="E575" t="str">
            <v>admonedificioaluna@gmail.com</v>
          </cell>
          <cell r="F575" t="str">
            <v>CR 25 41 B SUR 37</v>
          </cell>
          <cell r="G575" t="str">
            <v>05266</v>
          </cell>
        </row>
        <row r="576">
          <cell r="A576" t="str">
            <v>901359102</v>
          </cell>
          <cell r="B576" t="str">
            <v>3</v>
          </cell>
          <cell r="C576" t="str">
            <v>EDIFICIO NATURAL P.H</v>
          </cell>
          <cell r="D576" t="str">
            <v>3146452823</v>
          </cell>
          <cell r="E576" t="str">
            <v>facturacion@administracionmgm.com</v>
          </cell>
          <cell r="F576" t="str">
            <v>CALLE 39 D SUR 25 - 121</v>
          </cell>
          <cell r="G576" t="str">
            <v>05266</v>
          </cell>
        </row>
        <row r="577">
          <cell r="A577" t="str">
            <v>901421059</v>
          </cell>
          <cell r="B577" t="str">
            <v>9</v>
          </cell>
          <cell r="C577" t="str">
            <v>EDIFICIO TERRAZZINO CUMBRES P.H.</v>
          </cell>
          <cell r="D577" t="str">
            <v>3014317679</v>
          </cell>
          <cell r="E577" t="str">
            <v>terrazzinocumbresph@gmail.com</v>
          </cell>
          <cell r="F577" t="str">
            <v>CARRERA 27 D A 34 D D SUR 145</v>
          </cell>
          <cell r="G577" t="str">
            <v>05266</v>
          </cell>
        </row>
        <row r="578">
          <cell r="A578" t="str">
            <v>901426421</v>
          </cell>
          <cell r="B578" t="str">
            <v>5</v>
          </cell>
          <cell r="C578" t="str">
            <v>EDIFICIO SANTORINI P.H.</v>
          </cell>
          <cell r="D578" t="str">
            <v>3103799889</v>
          </cell>
          <cell r="E578" t="str">
            <v>edsantoriniph@hotmail.com</v>
          </cell>
          <cell r="F578" t="str">
            <v>DIAGONAL 31E N. 27A SUR 49</v>
          </cell>
          <cell r="G578" t="str">
            <v>05266</v>
          </cell>
        </row>
        <row r="579">
          <cell r="A579" t="str">
            <v>901439210</v>
          </cell>
          <cell r="B579" t="str">
            <v>4</v>
          </cell>
          <cell r="C579" t="str">
            <v>CONJUNTO RESIDENCIAL TIERRA GRATA BRUJA MÁGICA P.H.</v>
          </cell>
          <cell r="D579" t="str">
            <v>3662204</v>
          </cell>
          <cell r="E579" t="str">
            <v>tierragratabrujamagica@gmail.com</v>
          </cell>
          <cell r="F579" t="str">
            <v>CL 38 SUR 27 200</v>
          </cell>
          <cell r="G579" t="str">
            <v>05266</v>
          </cell>
        </row>
        <row r="580">
          <cell r="A580" t="str">
            <v>901529239</v>
          </cell>
          <cell r="B580" t="str">
            <v>3</v>
          </cell>
          <cell r="C580" t="str">
            <v>EDIFICIO MARTINIQUE PROPIEDAD HORIZONTAL</v>
          </cell>
          <cell r="D580" t="str">
            <v>3244376260</v>
          </cell>
          <cell r="E580" t="str">
            <v>asistentedos@escalarsas.com</v>
          </cell>
          <cell r="F580" t="str">
            <v>CR 36 D CL 43 SUR 180</v>
          </cell>
          <cell r="G580" t="str">
            <v>05266</v>
          </cell>
        </row>
        <row r="581">
          <cell r="A581" t="str">
            <v>901560646</v>
          </cell>
          <cell r="B581" t="str">
            <v>8</v>
          </cell>
          <cell r="C581" t="str">
            <v>CONJUNTO RESIDENCIAL MANDALA PROPIEDAD HORIZONTAL</v>
          </cell>
          <cell r="D581" t="str">
            <v xml:space="preserve"> 321 3074867</v>
          </cell>
          <cell r="E581" t="str">
            <v>conjuntoresidencialmandalaph@gmail.com</v>
          </cell>
          <cell r="F581" t="str">
            <v>Cl. 39d Sur #24D-12</v>
          </cell>
          <cell r="G581" t="str">
            <v>05266</v>
          </cell>
        </row>
        <row r="582">
          <cell r="A582" t="str">
            <v>901560949</v>
          </cell>
          <cell r="B582" t="str">
            <v>4</v>
          </cell>
          <cell r="C582" t="str">
            <v>CONJUNTO RESIDENCIAL QUEBEC APARTAMENTOS PROPIEDAD HORIZONTAL</v>
          </cell>
          <cell r="D582" t="str">
            <v>3105442056</v>
          </cell>
          <cell r="E582" t="str">
            <v>admonquebecph@gmail.com</v>
          </cell>
          <cell r="F582" t="str">
            <v>CR 27 D 34 D D SUR 69</v>
          </cell>
          <cell r="G582" t="str">
            <v>05266</v>
          </cell>
        </row>
        <row r="583">
          <cell r="A583" t="str">
            <v>901596522</v>
          </cell>
          <cell r="B583" t="str">
            <v>9</v>
          </cell>
          <cell r="C583" t="str">
            <v>UNIDAD CAMPESTRE SENDERO FRESCO P.H.</v>
          </cell>
          <cell r="D583" t="str">
            <v>3662204</v>
          </cell>
          <cell r="E583" t="str">
            <v>senderofrescoadmon@gmail.com</v>
          </cell>
          <cell r="F583" t="str">
            <v>CL 39 SUR 25 A A 12</v>
          </cell>
          <cell r="G583" t="str">
            <v>05266</v>
          </cell>
        </row>
        <row r="584">
          <cell r="A584" t="str">
            <v>901667765</v>
          </cell>
          <cell r="B584" t="str">
            <v>7</v>
          </cell>
          <cell r="C584" t="str">
            <v>ADMINISTRACION INDIELAB P.H. S.A.S.</v>
          </cell>
          <cell r="D584" t="str">
            <v>3052270289</v>
          </cell>
          <cell r="E584" t="str">
            <v>facturacion@dualgi.co</v>
          </cell>
          <cell r="F584" t="str">
            <v>CR 35 10 B 85</v>
          </cell>
          <cell r="G584" t="str">
            <v>05266</v>
          </cell>
        </row>
        <row r="585">
          <cell r="A585" t="str">
            <v>901694072</v>
          </cell>
          <cell r="B585" t="str">
            <v>6</v>
          </cell>
          <cell r="C585" t="str">
            <v>EDIFICIO BONANZA - PROPIEDAD HORIZONTAL</v>
          </cell>
          <cell r="D585" t="str">
            <v>6045086033 - 3174307</v>
          </cell>
          <cell r="E585" t="str">
            <v>phbonanza10@gmail.com</v>
          </cell>
          <cell r="F585" t="str">
            <v>CARRERA 42D # 46D SUR 20</v>
          </cell>
          <cell r="G585" t="str">
            <v>05266</v>
          </cell>
        </row>
        <row r="586">
          <cell r="A586" t="str">
            <v>901730144</v>
          </cell>
          <cell r="B586" t="str">
            <v>2</v>
          </cell>
          <cell r="C586" t="str">
            <v>URBANIZACION BOSQUE LIBANO PROPIEDAD HORIZONTAL</v>
          </cell>
          <cell r="D586" t="str">
            <v>3218172367</v>
          </cell>
          <cell r="E586" t="str">
            <v>proveedores@naturaadmon.com</v>
          </cell>
          <cell r="F586" t="str">
            <v>CR 24 B 40 A SUR 96</v>
          </cell>
          <cell r="G586" t="str">
            <v>05266</v>
          </cell>
        </row>
        <row r="587">
          <cell r="A587" t="str">
            <v>901781222</v>
          </cell>
          <cell r="B587" t="str">
            <v>7</v>
          </cell>
          <cell r="C587" t="str">
            <v>EDIFICIO CHELSEA P.H.</v>
          </cell>
          <cell r="D587" t="str">
            <v>6 0 4 4 4 4 2 4 2 0</v>
          </cell>
          <cell r="E587" t="str">
            <v>contabilidad@administracionam.co</v>
          </cell>
          <cell r="F587" t="str">
            <v>CR 48 19 SUR 100</v>
          </cell>
          <cell r="G587" t="str">
            <v>05266</v>
          </cell>
        </row>
        <row r="588">
          <cell r="A588" t="str">
            <v>901796670</v>
          </cell>
          <cell r="B588" t="str">
            <v>9</v>
          </cell>
          <cell r="C588" t="str">
            <v>EDIFICIO MIXTO CASTILLO DEL DORADO PROPIEDAD HORIZONTAL</v>
          </cell>
          <cell r="D588" t="str">
            <v>3138878132</v>
          </cell>
          <cell r="E588" t="str">
            <v>castillodeldorado@gmail.com</v>
          </cell>
          <cell r="F588" t="str">
            <v>CL 44 SUR 40 A 27 BRRO EL PRADO</v>
          </cell>
          <cell r="G588" t="str">
            <v>05266</v>
          </cell>
        </row>
        <row r="589">
          <cell r="A589" t="str">
            <v>901859138</v>
          </cell>
          <cell r="B589" t="str">
            <v>3</v>
          </cell>
          <cell r="C589" t="str">
            <v>EDIFICIO PORTAL DE SAN MARTIN N.1 P.H.</v>
          </cell>
          <cell r="D589" t="str">
            <v>3 5 0 8 4 5 5 1 3 2</v>
          </cell>
          <cell r="E589" t="str">
            <v>Edifportalsanmartin@gmail.com</v>
          </cell>
          <cell r="F589" t="str">
            <v>CL 33 B SUR 45 B 49</v>
          </cell>
          <cell r="G589" t="str">
            <v>05266</v>
          </cell>
        </row>
        <row r="590">
          <cell r="A590" t="str">
            <v>70325465</v>
          </cell>
          <cell r="B590" t="str">
            <v>1</v>
          </cell>
          <cell r="C590" t="str">
            <v>EDWIN RUDERICO ELEJALDE ZAPATA</v>
          </cell>
          <cell r="D590" t="str">
            <v>3107755303</v>
          </cell>
          <cell r="E590" t="str">
            <v>edwinrue72@gmail.com</v>
          </cell>
          <cell r="F590" t="str">
            <v>CR 19 CL 5 107 AP 201 BRR LA FLORIDA</v>
          </cell>
          <cell r="G590" t="str">
            <v>05308</v>
          </cell>
        </row>
        <row r="591">
          <cell r="A591" t="str">
            <v>70826092</v>
          </cell>
          <cell r="B591" t="str">
            <v>8</v>
          </cell>
          <cell r="C591" t="str">
            <v>JOSE IVAN URREA ARISTIZABAL</v>
          </cell>
          <cell r="D591" t="str">
            <v>4449487</v>
          </cell>
          <cell r="E591" t="str">
            <v>sst.elcastillo@gmail.com</v>
          </cell>
          <cell r="F591" t="str">
            <v>CALLE 85 48-01 BL.6 LC 17</v>
          </cell>
          <cell r="G591" t="str">
            <v>05308</v>
          </cell>
        </row>
        <row r="592">
          <cell r="A592" t="str">
            <v>900399920</v>
          </cell>
          <cell r="B592" t="str">
            <v>9</v>
          </cell>
          <cell r="C592" t="str">
            <v>PARQUE LOGISTICO INTEGRAL LA MOLIENDA S.A.S.</v>
          </cell>
          <cell r="D592" t="str">
            <v>3218171020</v>
          </cell>
          <cell r="E592" t="str">
            <v>lamoliendapli2@gmail.com</v>
          </cell>
          <cell r="F592" t="str">
            <v>CL 35 58 10 CA 28</v>
          </cell>
          <cell r="G592" t="str">
            <v>05308</v>
          </cell>
        </row>
        <row r="593">
          <cell r="A593" t="str">
            <v>901477467</v>
          </cell>
          <cell r="B593" t="str">
            <v>1</v>
          </cell>
          <cell r="C593" t="str">
            <v>URBANIZACIÓN MENTHA COMFENALCO PH</v>
          </cell>
          <cell r="D593" t="str">
            <v>315 6029212</v>
          </cell>
          <cell r="E593" t="str">
            <v>menthaapartamentosph@gmail.com</v>
          </cell>
          <cell r="F593" t="str">
            <v>CR 50 35 120 BRR SAN ANTONIO</v>
          </cell>
          <cell r="G593" t="str">
            <v>05318</v>
          </cell>
        </row>
        <row r="594">
          <cell r="A594" t="str">
            <v>901643308</v>
          </cell>
          <cell r="B594" t="str">
            <v>0</v>
          </cell>
          <cell r="C594" t="str">
            <v>ETAPA VIS 1A BLOQUE 1A-1 MIRADOR DE LA FONTANA P.H</v>
          </cell>
          <cell r="D594" t="str">
            <v>320 5712040</v>
          </cell>
          <cell r="E594" t="str">
            <v>miradordelafontanaph@gmail.com</v>
          </cell>
          <cell r="F594" t="str">
            <v>CRA 58 50 A 41</v>
          </cell>
          <cell r="G594" t="str">
            <v>05318</v>
          </cell>
        </row>
        <row r="595">
          <cell r="A595" t="str">
            <v>901709804</v>
          </cell>
          <cell r="B595" t="str">
            <v>8</v>
          </cell>
          <cell r="C595" t="str">
            <v>EDIFICIO ALCORES DEL RIO PH</v>
          </cell>
          <cell r="D595" t="str">
            <v>312 2909687</v>
          </cell>
          <cell r="E595" t="str">
            <v>proveedores@consolidarhabitat.com</v>
          </cell>
          <cell r="F595" t="str">
            <v>CARRERA 51 #57-55</v>
          </cell>
          <cell r="G595" t="str">
            <v>05318</v>
          </cell>
        </row>
        <row r="596">
          <cell r="A596">
            <v>222222222</v>
          </cell>
          <cell r="B596" t="str">
            <v/>
          </cell>
          <cell r="C596" t="str">
            <v>CUANTIAS MENORES</v>
          </cell>
          <cell r="D596">
            <v>3228184763</v>
          </cell>
          <cell r="E596" t="str">
            <v>impuestos@estiloingeniera.com</v>
          </cell>
          <cell r="F596" t="str">
            <v xml:space="preserve">CL 127A 53A 45 TO2 P11 OF1101 </v>
          </cell>
          <cell r="G596" t="str">
            <v>05321</v>
          </cell>
        </row>
        <row r="597">
          <cell r="A597" t="str">
            <v>901244393</v>
          </cell>
          <cell r="B597" t="str">
            <v>5</v>
          </cell>
          <cell r="C597" t="str">
            <v>EDIFICIO MULTIFAMILIAR SAN JOSE PH</v>
          </cell>
          <cell r="D597" t="str">
            <v>3017666559</v>
          </cell>
          <cell r="E597" t="str">
            <v>maurozuluaga@hotmail.com</v>
          </cell>
          <cell r="F597" t="str">
            <v>CR 30 31 28</v>
          </cell>
          <cell r="G597" t="str">
            <v>05321</v>
          </cell>
        </row>
        <row r="598">
          <cell r="A598" t="str">
            <v>901269699</v>
          </cell>
          <cell r="B598" t="str">
            <v>1</v>
          </cell>
          <cell r="C598" t="str">
            <v>BROWNSTONE CAPITAL S.A.S.</v>
          </cell>
          <cell r="D598" t="str">
            <v>6 0 4 0 4 3 3</v>
          </cell>
          <cell r="E598" t="str">
            <v>almacen@thebrown.com.co</v>
          </cell>
          <cell r="F598" t="str">
            <v>CR 43 A 5 A 113 TO SUR P 14</v>
          </cell>
          <cell r="G598" t="str">
            <v>05321</v>
          </cell>
        </row>
        <row r="599">
          <cell r="A599" t="str">
            <v>901590893</v>
          </cell>
          <cell r="B599" t="str">
            <v>9</v>
          </cell>
          <cell r="C599" t="str">
            <v>EDIFICIO MIXTO AVENIDA SAN JOSÉ P.H</v>
          </cell>
          <cell r="D599" t="str">
            <v>3122863975</v>
          </cell>
          <cell r="E599" t="str">
            <v>maurozuluaga@hotmail.com</v>
          </cell>
          <cell r="F599" t="str">
            <v>CL 32 25 35</v>
          </cell>
          <cell r="G599" t="str">
            <v>05321</v>
          </cell>
        </row>
        <row r="600">
          <cell r="A600" t="str">
            <v>901668301</v>
          </cell>
          <cell r="B600" t="str">
            <v>8</v>
          </cell>
          <cell r="C600" t="str">
            <v>EL SOL DE MEXICO S.A.S.</v>
          </cell>
          <cell r="D600" t="str">
            <v>3137235344</v>
          </cell>
          <cell r="E600" t="str">
            <v>elsoldemexicosas@gmail.com</v>
          </cell>
          <cell r="F600" t="str">
            <v>VRD UVITAL 76 20</v>
          </cell>
          <cell r="G600" t="str">
            <v>05321</v>
          </cell>
        </row>
        <row r="601">
          <cell r="A601" t="str">
            <v>901814156</v>
          </cell>
          <cell r="B601" t="str">
            <v>2</v>
          </cell>
          <cell r="C601" t="str">
            <v>"SAN TELMO CONDOMINIO NÁUTICO PROPIEDAD HORIZONTAL"</v>
          </cell>
          <cell r="D601" t="str">
            <v>3 1 2 7 8 7 0 7 5 5</v>
          </cell>
          <cell r="E601" t="str">
            <v>santelmocondominionauticoph@gmail.com</v>
          </cell>
          <cell r="F601" t="str">
            <v>CL 28 23 B 6</v>
          </cell>
          <cell r="G601" t="str">
            <v>05321</v>
          </cell>
        </row>
        <row r="602">
          <cell r="A602">
            <v>222222222</v>
          </cell>
          <cell r="B602" t="str">
            <v/>
          </cell>
          <cell r="C602" t="str">
            <v>CUANTIAS MENORES</v>
          </cell>
          <cell r="D602">
            <v>3228184763</v>
          </cell>
          <cell r="E602" t="str">
            <v>impuestos@estiloingeniera.com</v>
          </cell>
          <cell r="F602" t="str">
            <v xml:space="preserve">CL 127A 53A 45 TO2 P11 OF1101 </v>
          </cell>
          <cell r="G602" t="str">
            <v>05360</v>
          </cell>
        </row>
        <row r="603">
          <cell r="A603" t="str">
            <v>70826092</v>
          </cell>
          <cell r="B603" t="str">
            <v>8</v>
          </cell>
          <cell r="C603" t="str">
            <v>JOSE IVAN URREA ARISTIZABAL</v>
          </cell>
          <cell r="D603" t="str">
            <v>4449487</v>
          </cell>
          <cell r="E603" t="str">
            <v>sst.elcastillo@gmail.com</v>
          </cell>
          <cell r="F603" t="str">
            <v>CALLE 85 48-01 BL.6 LC 17</v>
          </cell>
          <cell r="G603" t="str">
            <v>05360</v>
          </cell>
        </row>
        <row r="604">
          <cell r="A604" t="str">
            <v>800110302</v>
          </cell>
          <cell r="B604" t="str">
            <v>3</v>
          </cell>
          <cell r="C604" t="str">
            <v>SOHINCO CONSTRUCTORA S.A.S.</v>
          </cell>
          <cell r="D604">
            <v>3219664011</v>
          </cell>
          <cell r="E604" t="str">
            <v>felectronica@sohinco.com</v>
          </cell>
          <cell r="F604" t="str">
            <v>CARRERA 43  14  130</v>
          </cell>
          <cell r="G604" t="str">
            <v>05360</v>
          </cell>
        </row>
        <row r="605">
          <cell r="A605" t="str">
            <v>800157427</v>
          </cell>
          <cell r="B605" t="str">
            <v>8</v>
          </cell>
          <cell r="C605" t="str">
            <v>CAMARA DE COMERCIO DE ABURRA SUR</v>
          </cell>
          <cell r="D605" t="str">
            <v>4442344</v>
          </cell>
          <cell r="E605" t="str">
            <v>facturacionelectronica@ccas.org.co</v>
          </cell>
          <cell r="F605" t="str">
            <v>CL 48 50 16</v>
          </cell>
          <cell r="G605" t="str">
            <v>05360</v>
          </cell>
        </row>
        <row r="606">
          <cell r="A606" t="str">
            <v>811020804</v>
          </cell>
          <cell r="B606" t="str">
            <v>2</v>
          </cell>
          <cell r="C606" t="str">
            <v>CONALTURA CONSTRUCCION Y VIVIENDA S.A.S.</v>
          </cell>
          <cell r="D606">
            <v>3219664011</v>
          </cell>
          <cell r="E606" t="str">
            <v>facturacion@conaltura.com</v>
          </cell>
          <cell r="F606" t="str">
            <v>CALLE 5A 39-194</v>
          </cell>
          <cell r="G606" t="str">
            <v>05360</v>
          </cell>
        </row>
        <row r="607">
          <cell r="A607" t="str">
            <v>811027326</v>
          </cell>
          <cell r="B607" t="str">
            <v>5</v>
          </cell>
          <cell r="C607" t="str">
            <v>BELL CHEM INTERNACIONAL S.A.S.</v>
          </cell>
          <cell r="D607" t="str">
            <v>444 97 70</v>
          </cell>
          <cell r="E607" t="str">
            <v>contabilidad@bellchem.com.co</v>
          </cell>
          <cell r="F607" t="str">
            <v>300 M GLORIETA AEROPUERTO JMC KARGA FASE 2 BD 120</v>
          </cell>
          <cell r="G607" t="str">
            <v>05360</v>
          </cell>
        </row>
        <row r="608">
          <cell r="A608" t="str">
            <v>811033259</v>
          </cell>
          <cell r="B608" t="str">
            <v>4</v>
          </cell>
          <cell r="C608" t="str">
            <v>SOLUCIONES CIVILES S.A.S</v>
          </cell>
          <cell r="D608" t="str">
            <v>3127250788</v>
          </cell>
          <cell r="E608" t="str">
            <v>e-factura.co@seresnet.com</v>
          </cell>
          <cell r="F608" t="str">
            <v>CR 43 B 16 41 OF 1703 ED CENTRO DE OFICINAS STAFF</v>
          </cell>
          <cell r="G608" t="str">
            <v>05360</v>
          </cell>
        </row>
        <row r="609">
          <cell r="A609" t="str">
            <v>900300432</v>
          </cell>
          <cell r="B609" t="str">
            <v>0</v>
          </cell>
          <cell r="C609" t="str">
            <v>UNIDAD RESIDENCIAL TORRES DE BARCELONA</v>
          </cell>
          <cell r="D609" t="str">
            <v>3689678</v>
          </cell>
          <cell r="E609" t="str">
            <v>torresdebarcelona@yahoo.es</v>
          </cell>
          <cell r="F609" t="str">
            <v>CARRERA 63  33  60</v>
          </cell>
          <cell r="G609" t="str">
            <v>05360</v>
          </cell>
        </row>
        <row r="610">
          <cell r="A610" t="str">
            <v>900430960</v>
          </cell>
          <cell r="B610" t="str">
            <v>5</v>
          </cell>
          <cell r="C610" t="str">
            <v>CONSTRUCTORA AGATA S A S</v>
          </cell>
          <cell r="D610" t="str">
            <v>4486800</v>
          </cell>
          <cell r="E610" t="str">
            <v>recepcionfacturas@altosdelaabadia.com</v>
          </cell>
          <cell r="F610" t="str">
            <v>CL 17 A SUR 44 214</v>
          </cell>
          <cell r="G610" t="str">
            <v>05360</v>
          </cell>
        </row>
        <row r="611">
          <cell r="A611" t="str">
            <v>900445517</v>
          </cell>
          <cell r="B611" t="str">
            <v>0</v>
          </cell>
          <cell r="C611" t="str">
            <v>CONJUNTO RESIDENCIAL ALTOS DE SURAMERICA P.H</v>
          </cell>
          <cell r="D611" t="str">
            <v>6117961</v>
          </cell>
          <cell r="E611" t="str">
            <v>admonaltosdesuramericaph@gmail.com</v>
          </cell>
          <cell r="F611" t="str">
            <v>CALLE 75 A SUR  52 E  340</v>
          </cell>
          <cell r="G611" t="str">
            <v>05360</v>
          </cell>
        </row>
        <row r="612">
          <cell r="A612" t="str">
            <v>900511883</v>
          </cell>
          <cell r="B612" t="str">
            <v>4</v>
          </cell>
          <cell r="C612" t="str">
            <v>EDIFICIO VILLA LUNA PROPIEDAD HORIZONTAL</v>
          </cell>
          <cell r="D612" t="str">
            <v>3147999329</v>
          </cell>
          <cell r="E612" t="str">
            <v>villalunaph@gmail.com</v>
          </cell>
          <cell r="F612" t="str">
            <v>CARRERA 58  14 SUR  40</v>
          </cell>
          <cell r="G612" t="str">
            <v>05360</v>
          </cell>
        </row>
        <row r="613">
          <cell r="A613" t="str">
            <v>900551702</v>
          </cell>
          <cell r="B613" t="str">
            <v>0</v>
          </cell>
          <cell r="C613" t="str">
            <v>EDIFICIO VILLA SOL P.H.</v>
          </cell>
          <cell r="D613" t="str">
            <v>3669079</v>
          </cell>
          <cell r="E613" t="str">
            <v>facturaspropiedadh@gmail.com</v>
          </cell>
          <cell r="F613" t="str">
            <v>CALLE 84  58  50</v>
          </cell>
          <cell r="G613" t="str">
            <v>05360</v>
          </cell>
        </row>
        <row r="614">
          <cell r="A614" t="str">
            <v>900661615</v>
          </cell>
          <cell r="B614" t="str">
            <v>1</v>
          </cell>
          <cell r="C614" t="str">
            <v>URBANIZACION MIRADOR DE LA HACIENDA</v>
          </cell>
          <cell r="D614" t="str">
            <v>5770759</v>
          </cell>
          <cell r="E614" t="str">
            <v>miradordelahacienda089@gmail.com</v>
          </cell>
          <cell r="F614" t="str">
            <v>CARRERA 2 ESTE  4  70</v>
          </cell>
          <cell r="G614" t="str">
            <v>05360</v>
          </cell>
        </row>
        <row r="615">
          <cell r="A615" t="str">
            <v>900662433</v>
          </cell>
          <cell r="B615" t="str">
            <v>0</v>
          </cell>
          <cell r="C615" t="str">
            <v>CONJUNTO RESIDENCIAL BOSQUES DE LA SIERRA PROPIEDAD HORIZONTAL</v>
          </cell>
          <cell r="D615" t="str">
            <v>3127750172</v>
          </cell>
          <cell r="E615" t="str">
            <v>facturacion@estiloingenieria.com</v>
          </cell>
          <cell r="F615" t="str">
            <v>CARRERA 63  70  25</v>
          </cell>
          <cell r="G615" t="str">
            <v>05360</v>
          </cell>
        </row>
        <row r="616">
          <cell r="A616" t="str">
            <v>900857186</v>
          </cell>
          <cell r="B616" t="str">
            <v>4</v>
          </cell>
          <cell r="C616" t="str">
            <v>ANGIOSUR SAS</v>
          </cell>
          <cell r="D616" t="str">
            <v>6048583</v>
          </cell>
          <cell r="E616" t="str">
            <v>biomedica@angiosur.com</v>
          </cell>
          <cell r="F616" t="str">
            <v>CL 7 46 29</v>
          </cell>
          <cell r="G616" t="str">
            <v>05360</v>
          </cell>
        </row>
        <row r="617">
          <cell r="A617" t="str">
            <v>900865565</v>
          </cell>
          <cell r="B617" t="str">
            <v>6</v>
          </cell>
          <cell r="C617" t="str">
            <v>FIVE PACK ALLIANCE S.A.S.</v>
          </cell>
          <cell r="D617" t="str">
            <v>6063476</v>
          </cell>
          <cell r="E617" t="str">
            <v>5pa@5pa.co</v>
          </cell>
          <cell r="F617" t="str">
            <v>CL 3 B SUR 29 C 146 AP 403</v>
          </cell>
          <cell r="G617" t="str">
            <v>05360</v>
          </cell>
        </row>
        <row r="618">
          <cell r="A618" t="str">
            <v>900887751</v>
          </cell>
          <cell r="B618" t="str">
            <v>4</v>
          </cell>
          <cell r="C618" t="str">
            <v>URBANIZACION COLINA VERDE PH</v>
          </cell>
          <cell r="D618" t="str">
            <v>3116485448</v>
          </cell>
          <cell r="E618" t="str">
            <v>colinaverdeph@gmail.com</v>
          </cell>
          <cell r="F618" t="str">
            <v>CARRERA 59 A  69 C  09</v>
          </cell>
          <cell r="G618" t="str">
            <v>05360</v>
          </cell>
        </row>
        <row r="619">
          <cell r="A619" t="str">
            <v>900959956</v>
          </cell>
          <cell r="B619" t="str">
            <v>7</v>
          </cell>
          <cell r="C619" t="str">
            <v>KIWI P.H</v>
          </cell>
          <cell r="D619" t="str">
            <v>5073420</v>
          </cell>
          <cell r="E619" t="str">
            <v>edificiokiwi@gmail.com</v>
          </cell>
          <cell r="F619" t="str">
            <v>CARRERA 58 A  13 SUR  30</v>
          </cell>
          <cell r="G619" t="str">
            <v>05360</v>
          </cell>
        </row>
        <row r="620">
          <cell r="A620" t="str">
            <v>901014961</v>
          </cell>
          <cell r="B620" t="str">
            <v>2</v>
          </cell>
          <cell r="C620" t="str">
            <v>CONJUNTO RESIDENCIAL ENTREHOJAS PH</v>
          </cell>
          <cell r="D620" t="str">
            <v>4998363</v>
          </cell>
          <cell r="E620" t="str">
            <v>mientrehojas@gmail.com</v>
          </cell>
          <cell r="F620" t="str">
            <v>CALLE 75 SUR  52 G  40</v>
          </cell>
          <cell r="G620" t="str">
            <v>05360</v>
          </cell>
        </row>
        <row r="621">
          <cell r="A621" t="str">
            <v>901032721</v>
          </cell>
          <cell r="B621" t="str">
            <v>8</v>
          </cell>
          <cell r="C621" t="str">
            <v>CONJUNTO RESIDENCIAL RIVERA DE SURAMERICA PH</v>
          </cell>
          <cell r="D621">
            <v>3219664011</v>
          </cell>
          <cell r="E621" t="str">
            <v>riveradesuramerica@gmail.com</v>
          </cell>
          <cell r="F621" t="str">
            <v>CL 75 A A SUR 52 E 105</v>
          </cell>
          <cell r="G621" t="str">
            <v>05360</v>
          </cell>
        </row>
        <row r="622">
          <cell r="A622" t="str">
            <v>901057938</v>
          </cell>
          <cell r="B622" t="str">
            <v>7</v>
          </cell>
          <cell r="C622" t="str">
            <v>URBANIZACION "VILLA DEL CAMPO P.H."</v>
          </cell>
          <cell r="D622">
            <v>3219664011</v>
          </cell>
          <cell r="E622" t="str">
            <v>villadelcampoph@gmail.com</v>
          </cell>
          <cell r="F622" t="str">
            <v>CALLE 83  58  19</v>
          </cell>
          <cell r="G622" t="str">
            <v>05360</v>
          </cell>
        </row>
        <row r="623">
          <cell r="A623" t="str">
            <v>901102656</v>
          </cell>
          <cell r="B623" t="str">
            <v>8</v>
          </cell>
          <cell r="C623" t="str">
            <v>CONJUNTO DE USO MIXTO ALTOS DE MANANTIALES P.H</v>
          </cell>
          <cell r="D623" t="str">
            <v>3108972370</v>
          </cell>
          <cell r="E623" t="str">
            <v>edificioaltosdemanantiales@gmail.com</v>
          </cell>
          <cell r="F623" t="str">
            <v>CL 75 SUR 53 70</v>
          </cell>
          <cell r="G623" t="str">
            <v>05360</v>
          </cell>
        </row>
        <row r="624">
          <cell r="A624" t="str">
            <v>901151493</v>
          </cell>
          <cell r="B624" t="str">
            <v>3</v>
          </cell>
          <cell r="C624" t="str">
            <v>BILBAO APARTAMENTOS P.H</v>
          </cell>
          <cell r="D624" t="str">
            <v>3116485448</v>
          </cell>
          <cell r="E624" t="str">
            <v>bilbao.apartamentos1@gmail.com</v>
          </cell>
          <cell r="F624" t="str">
            <v>CL 36 70 68</v>
          </cell>
          <cell r="G624" t="str">
            <v>05360</v>
          </cell>
        </row>
        <row r="625">
          <cell r="A625" t="str">
            <v>901160513</v>
          </cell>
          <cell r="B625" t="str">
            <v>0</v>
          </cell>
          <cell r="C625" t="str">
            <v>CONJUNTO RESIDENCIAL BAHIA GRANDE P.H.</v>
          </cell>
          <cell r="D625" t="str">
            <v>5368164</v>
          </cell>
          <cell r="E625" t="str">
            <v>bahiagrandeph@gmail.com</v>
          </cell>
          <cell r="F625" t="str">
            <v>CR 61 33 51</v>
          </cell>
          <cell r="G625" t="str">
            <v>05360</v>
          </cell>
        </row>
        <row r="626">
          <cell r="A626" t="str">
            <v>901235309</v>
          </cell>
          <cell r="B626" t="str">
            <v>8</v>
          </cell>
          <cell r="C626" t="str">
            <v>CONJUNTO RESIDENCIAL "PACIFICA P.H."</v>
          </cell>
          <cell r="D626" t="str">
            <v>5 5 8 6 7 0 9</v>
          </cell>
          <cell r="E626" t="str">
            <v>crpacificaph@gmail.com</v>
          </cell>
          <cell r="F626" t="str">
            <v>CR 61 33 65</v>
          </cell>
          <cell r="G626" t="str">
            <v>05360</v>
          </cell>
        </row>
        <row r="627">
          <cell r="A627" t="str">
            <v>901242304</v>
          </cell>
          <cell r="B627" t="str">
            <v>0</v>
          </cell>
          <cell r="C627" t="str">
            <v>URBANIZACION BOSQUE GRANDE P.H</v>
          </cell>
          <cell r="D627" t="str">
            <v>444812</v>
          </cell>
          <cell r="E627" t="str">
            <v>admonbosquegrande@gmail.com</v>
          </cell>
          <cell r="F627" t="str">
            <v>CL 75 A SUR 52 F 90</v>
          </cell>
          <cell r="G627" t="str">
            <v>05360</v>
          </cell>
        </row>
        <row r="628">
          <cell r="A628" t="str">
            <v>901257438</v>
          </cell>
          <cell r="B628" t="str">
            <v>4</v>
          </cell>
          <cell r="C628" t="str">
            <v>EDIFICIO MORATTO P.H.</v>
          </cell>
          <cell r="D628" t="str">
            <v>5898536</v>
          </cell>
          <cell r="E628" t="str">
            <v>edificiomorattoph@gmail.com</v>
          </cell>
          <cell r="F628" t="str">
            <v>CR 52 E 75 A 86</v>
          </cell>
          <cell r="G628" t="str">
            <v>05360</v>
          </cell>
        </row>
        <row r="629">
          <cell r="A629" t="str">
            <v>901278137</v>
          </cell>
          <cell r="B629" t="str">
            <v>2</v>
          </cell>
          <cell r="C629" t="str">
            <v>ITAGUI PLAZA CENTRO COMERCIAL PH</v>
          </cell>
          <cell r="D629" t="str">
            <v>3206864456</v>
          </cell>
          <cell r="E629" t="str">
            <v>facturasitaguiplaza@gmail.com</v>
          </cell>
          <cell r="F629" t="str">
            <v>CARRERA 52 52 63</v>
          </cell>
          <cell r="G629" t="str">
            <v>05360</v>
          </cell>
        </row>
        <row r="630">
          <cell r="A630" t="str">
            <v>901296806</v>
          </cell>
          <cell r="B630" t="str">
            <v>8</v>
          </cell>
          <cell r="C630" t="str">
            <v>UNIVERSA OPERACIONES SAS</v>
          </cell>
          <cell r="D630" t="str">
            <v>2668655</v>
          </cell>
          <cell r="E630" t="str">
            <v>recepcionfacturas@universa.com.co</v>
          </cell>
          <cell r="F630" t="str">
            <v>CL 10 32 115 OF 400</v>
          </cell>
          <cell r="G630" t="str">
            <v>05360</v>
          </cell>
        </row>
        <row r="631">
          <cell r="A631" t="str">
            <v>901351845</v>
          </cell>
          <cell r="B631" t="str">
            <v>0</v>
          </cell>
          <cell r="C631" t="str">
            <v>VILLA DEL PARQUE P.H</v>
          </cell>
          <cell r="D631" t="str">
            <v>3155517505</v>
          </cell>
          <cell r="E631" t="str">
            <v>villadelparqueph@gmail.com</v>
          </cell>
          <cell r="F631" t="str">
            <v>CARRERA 58 B No. 14 SUR 05</v>
          </cell>
          <cell r="G631" t="str">
            <v>05360</v>
          </cell>
        </row>
        <row r="632">
          <cell r="A632" t="str">
            <v>901378803</v>
          </cell>
          <cell r="B632" t="str">
            <v>9</v>
          </cell>
          <cell r="C632" t="str">
            <v>CONJUNTO RESIDENCIAL RESERVA DEL BOSQUE</v>
          </cell>
          <cell r="D632" t="str">
            <v>3566228</v>
          </cell>
          <cell r="E632" t="str">
            <v>reservadelbosque.ph@gmail.com</v>
          </cell>
          <cell r="F632" t="str">
            <v>CL 53 55 A 67</v>
          </cell>
          <cell r="G632" t="str">
            <v>05360</v>
          </cell>
        </row>
        <row r="633">
          <cell r="A633" t="str">
            <v>901418387</v>
          </cell>
          <cell r="B633" t="str">
            <v>9</v>
          </cell>
          <cell r="C633" t="str">
            <v>CONJUNTO INMOBILIARIO FIORI VITA MALL - PROPIEDAD HORIZONTAL</v>
          </cell>
          <cell r="D633" t="str">
            <v>3215906343</v>
          </cell>
          <cell r="E633" t="str">
            <v>contabilidad@coestrategias.com</v>
          </cell>
          <cell r="F633" t="str">
            <v>CALLE 75 SUR 54 A 150</v>
          </cell>
          <cell r="G633" t="str">
            <v>05360</v>
          </cell>
        </row>
        <row r="634">
          <cell r="A634" t="str">
            <v>901626082</v>
          </cell>
          <cell r="B634" t="str">
            <v>1</v>
          </cell>
          <cell r="C634" t="str">
            <v>EDIFICIO VILANOVA SUR P.H..</v>
          </cell>
          <cell r="D634" t="str">
            <v>3013939702</v>
          </cell>
          <cell r="E634" t="str">
            <v>vilanovasurph@gmail.com</v>
          </cell>
          <cell r="F634" t="str">
            <v>CR 34 B CR 50 A 45</v>
          </cell>
          <cell r="G634" t="str">
            <v>05360</v>
          </cell>
        </row>
        <row r="635">
          <cell r="A635" t="str">
            <v>901674188</v>
          </cell>
          <cell r="B635" t="str">
            <v>6</v>
          </cell>
          <cell r="C635" t="str">
            <v>EDIFICIO MONTE RIO PROPIEDAD HORIZONTAL</v>
          </cell>
          <cell r="D635" t="str">
            <v>321 8172367</v>
          </cell>
          <cell r="E635" t="str">
            <v>monterioaptos.proveedores@gmail.com</v>
          </cell>
          <cell r="F635" t="str">
            <v>CL 75 A A SUR 53 90</v>
          </cell>
          <cell r="G635" t="str">
            <v>05360</v>
          </cell>
        </row>
        <row r="636">
          <cell r="A636" t="str">
            <v>901786014</v>
          </cell>
          <cell r="B636" t="str">
            <v>4</v>
          </cell>
          <cell r="C636" t="str">
            <v>PROYECTO PALMA PROPIEDAD HORIZONTAL</v>
          </cell>
          <cell r="D636" t="str">
            <v>3 2 2 5 3 8 3 2 6 4</v>
          </cell>
          <cell r="E636" t="str">
            <v>Palmaverdevivo@gmail.com</v>
          </cell>
          <cell r="F636" t="str">
            <v>CR 52 D 75 A A SUR 221</v>
          </cell>
          <cell r="G636" t="str">
            <v>05360</v>
          </cell>
        </row>
        <row r="637">
          <cell r="A637" t="str">
            <v>15381797</v>
          </cell>
          <cell r="B637" t="str">
            <v>1</v>
          </cell>
          <cell r="C637" t="str">
            <v>ANCIZAR PEREZ HENAO</v>
          </cell>
          <cell r="D637" t="str">
            <v>3008146018</v>
          </cell>
          <cell r="E637" t="str">
            <v>gigranco2017@gmail.com</v>
          </cell>
          <cell r="F637" t="str">
            <v>CERCA CR 10 A CL 25 17</v>
          </cell>
          <cell r="G637" t="str">
            <v>05376</v>
          </cell>
        </row>
        <row r="638">
          <cell r="A638" t="str">
            <v>811026598</v>
          </cell>
          <cell r="B638" t="str">
            <v>7</v>
          </cell>
          <cell r="C638" t="str">
            <v>RIVA S.A.</v>
          </cell>
          <cell r="D638">
            <v>3219664011</v>
          </cell>
          <cell r="E638" t="str">
            <v>facturacion@constructorariva.com</v>
          </cell>
          <cell r="F638" t="str">
            <v>CALLE 18  20  74</v>
          </cell>
          <cell r="G638" t="str">
            <v>05376</v>
          </cell>
        </row>
        <row r="639">
          <cell r="A639" t="str">
            <v>900815105</v>
          </cell>
          <cell r="B639" t="str">
            <v>8</v>
          </cell>
          <cell r="C639" t="str">
            <v>UNIDAD RESIDENCIAL EL CARMELO PROPIEDAD HORIZONTAL</v>
          </cell>
          <cell r="D639" t="str">
            <v>5680256</v>
          </cell>
          <cell r="E639" t="str">
            <v>admonelcarmeloph@gmail.com</v>
          </cell>
          <cell r="F639" t="str">
            <v>CALLE 20  25  51</v>
          </cell>
          <cell r="G639" t="str">
            <v>05376</v>
          </cell>
        </row>
        <row r="640">
          <cell r="A640" t="str">
            <v>900838326</v>
          </cell>
          <cell r="B640" t="str">
            <v>8</v>
          </cell>
          <cell r="C640" t="str">
            <v>UNIDAD CERRADA PIEDRA VERDE</v>
          </cell>
          <cell r="D640" t="str">
            <v>5700195</v>
          </cell>
          <cell r="E640" t="str">
            <v>piedraverdeph1@gmail.com</v>
          </cell>
          <cell r="F640" t="str">
            <v>CL 27 13D 80</v>
          </cell>
          <cell r="G640" t="str">
            <v>05376</v>
          </cell>
        </row>
        <row r="641">
          <cell r="A641" t="str">
            <v>901048663</v>
          </cell>
          <cell r="B641" t="str">
            <v>9</v>
          </cell>
          <cell r="C641" t="str">
            <v>CONDOMINIO PALMAZERA PROPIEDAD HORIZONTAL</v>
          </cell>
          <cell r="D641" t="str">
            <v>4483468</v>
          </cell>
          <cell r="E641" t="str">
            <v>admonpalmazera@gmail.com</v>
          </cell>
          <cell r="F641" t="str">
            <v>CALLE 20  27  162</v>
          </cell>
          <cell r="G641" t="str">
            <v>05376</v>
          </cell>
        </row>
        <row r="642">
          <cell r="A642" t="str">
            <v>901081781</v>
          </cell>
          <cell r="B642" t="str">
            <v>9</v>
          </cell>
          <cell r="C642" t="str">
            <v>EDIFICIO TORRE ACUARELA P.H.</v>
          </cell>
          <cell r="D642" t="str">
            <v>3218524896</v>
          </cell>
          <cell r="E642" t="str">
            <v>edificiotorreacuarela@gmail.com</v>
          </cell>
          <cell r="F642" t="str">
            <v>CALLE 21  18  60</v>
          </cell>
          <cell r="G642" t="str">
            <v>05376</v>
          </cell>
        </row>
        <row r="643">
          <cell r="A643" t="str">
            <v>901220727</v>
          </cell>
          <cell r="B643" t="str">
            <v>8</v>
          </cell>
          <cell r="C643" t="str">
            <v>EDIFICIO PROVENZA - P.H.</v>
          </cell>
          <cell r="D643" t="str">
            <v>3146053551</v>
          </cell>
          <cell r="E643" t="str">
            <v>provenzap.h@gmail.com</v>
          </cell>
          <cell r="F643" t="str">
            <v>CR 20 25 Y 26 PORTON 25 77</v>
          </cell>
          <cell r="G643" t="str">
            <v>05376</v>
          </cell>
        </row>
        <row r="644">
          <cell r="A644" t="str">
            <v>901236038</v>
          </cell>
          <cell r="B644" t="str">
            <v>1</v>
          </cell>
          <cell r="C644" t="str">
            <v>EDIFICIO TORRE ANDALUCIA P.H</v>
          </cell>
          <cell r="D644" t="str">
            <v>3218524896</v>
          </cell>
          <cell r="E644" t="str">
            <v>torreandaluciaph@gmail.com</v>
          </cell>
          <cell r="F644" t="str">
            <v>CL 26 CR 13 D 07</v>
          </cell>
          <cell r="G644" t="str">
            <v>05376</v>
          </cell>
        </row>
        <row r="645">
          <cell r="A645" t="str">
            <v>901251153</v>
          </cell>
          <cell r="B645" t="str">
            <v>3</v>
          </cell>
          <cell r="C645" t="str">
            <v>EDIFICIO LA RIVIERA - APARTAMENTOS P.H.</v>
          </cell>
          <cell r="D645" t="str">
            <v>31113451860</v>
          </cell>
          <cell r="E645" t="str">
            <v>larivieraph@gmail.com</v>
          </cell>
          <cell r="F645" t="str">
            <v>CR 19 14 37</v>
          </cell>
          <cell r="G645" t="str">
            <v>05376</v>
          </cell>
        </row>
        <row r="646">
          <cell r="A646" t="str">
            <v>901263625</v>
          </cell>
          <cell r="B646" t="str">
            <v>1</v>
          </cell>
          <cell r="C646" t="str">
            <v>URBANIZACION CIUDAD JARDIN P.H</v>
          </cell>
          <cell r="D646" t="str">
            <v>3128865834</v>
          </cell>
          <cell r="E646" t="str">
            <v>urbanizacionciudadjardin@gmail.com</v>
          </cell>
          <cell r="F646" t="str">
            <v>CR 13 19 90</v>
          </cell>
          <cell r="G646" t="str">
            <v>05376</v>
          </cell>
        </row>
        <row r="647">
          <cell r="A647" t="str">
            <v>901321769</v>
          </cell>
          <cell r="B647" t="str">
            <v>0</v>
          </cell>
          <cell r="C647" t="str">
            <v>EDIFICIO KATLEYA</v>
          </cell>
          <cell r="D647" t="str">
            <v>3008854698</v>
          </cell>
          <cell r="E647" t="str">
            <v>edificiokatleya@gmail.com</v>
          </cell>
          <cell r="F647" t="str">
            <v>CR 19 21 50</v>
          </cell>
          <cell r="G647" t="str">
            <v>05376</v>
          </cell>
        </row>
        <row r="648">
          <cell r="A648" t="str">
            <v>901380386</v>
          </cell>
          <cell r="B648" t="str">
            <v>5</v>
          </cell>
          <cell r="C648" t="str">
            <v>EDIFICIO LUXOR P.H.</v>
          </cell>
          <cell r="D648" t="str">
            <v>3002100412</v>
          </cell>
          <cell r="E648" t="str">
            <v>edificioluxor.laceja@gmail.com</v>
          </cell>
          <cell r="F648" t="str">
            <v>CALLE 16 20 63</v>
          </cell>
          <cell r="G648" t="str">
            <v>05376</v>
          </cell>
        </row>
        <row r="649">
          <cell r="A649" t="str">
            <v>901710692</v>
          </cell>
          <cell r="B649" t="str">
            <v>1</v>
          </cell>
          <cell r="C649" t="str">
            <v>EDIFICIO MILANO APARTAMENTOS P.H.</v>
          </cell>
          <cell r="D649" t="str">
            <v>3228169839</v>
          </cell>
          <cell r="E649" t="str">
            <v>gerencia@administracionygestion.co</v>
          </cell>
          <cell r="F649" t="str">
            <v>CR 17 10 104</v>
          </cell>
          <cell r="G649" t="str">
            <v>05376</v>
          </cell>
        </row>
        <row r="650">
          <cell r="A650" t="str">
            <v>890904041</v>
          </cell>
          <cell r="B650" t="str">
            <v>1</v>
          </cell>
          <cell r="C650" t="str">
            <v>ARQUITECTURA Y CONSTRUCCIONES S.A.S</v>
          </cell>
          <cell r="D650" t="str">
            <v>4444614</v>
          </cell>
          <cell r="E650" t="str">
            <v>facturacionelectronica@arconsa.com.co</v>
          </cell>
          <cell r="F650" t="str">
            <v>CARRERA 43 A  7  50 OFICINA 1004</v>
          </cell>
          <cell r="G650" t="str">
            <v>05380</v>
          </cell>
        </row>
        <row r="651">
          <cell r="A651" t="str">
            <v>890980782</v>
          </cell>
          <cell r="B651" t="str">
            <v>4</v>
          </cell>
          <cell r="C651" t="str">
            <v>MUNICIPIO DE LA ESTRELLA</v>
          </cell>
          <cell r="D651" t="str">
            <v>6 0 4 6 0 5 0 7 0 7</v>
          </cell>
          <cell r="E651" t="str">
            <v>diana.duque@laestrella.gov.co</v>
          </cell>
          <cell r="F651" t="str">
            <v>CL 80 SUR 58 78</v>
          </cell>
          <cell r="G651" t="str">
            <v>05380</v>
          </cell>
        </row>
        <row r="652">
          <cell r="A652" t="str">
            <v>900675122</v>
          </cell>
          <cell r="B652" t="str">
            <v>1</v>
          </cell>
          <cell r="C652" t="str">
            <v>CONDOMINIO ESTRELLA DE MAR P.H</v>
          </cell>
          <cell r="D652" t="str">
            <v>3206206351</v>
          </cell>
          <cell r="E652" t="str">
            <v>facturas1.aie@gmail.com</v>
          </cell>
          <cell r="F652" t="str">
            <v>CALLE 83 C SUR  55  56</v>
          </cell>
          <cell r="G652" t="str">
            <v>05380</v>
          </cell>
        </row>
        <row r="653">
          <cell r="A653" t="str">
            <v>900815102</v>
          </cell>
          <cell r="B653" t="str">
            <v>6</v>
          </cell>
          <cell r="C653" t="str">
            <v>CONJUNTO RESIDENCIAL TUKANA P.H.</v>
          </cell>
          <cell r="D653" t="str">
            <v>3171461</v>
          </cell>
          <cell r="E653" t="str">
            <v>tukanaapartamentos@gmail.com</v>
          </cell>
          <cell r="F653" t="str">
            <v>CARRERA 62 A  74 SUR  94</v>
          </cell>
          <cell r="G653" t="str">
            <v>05380</v>
          </cell>
        </row>
        <row r="654">
          <cell r="A654" t="str">
            <v>900912209</v>
          </cell>
          <cell r="B654" t="str">
            <v>0</v>
          </cell>
          <cell r="C654" t="str">
            <v>CONJUNTO NATURAL AQUAVENTO P.H ETAPA 1</v>
          </cell>
          <cell r="D654" t="str">
            <v>5585304</v>
          </cell>
          <cell r="E654" t="str">
            <v>aquaventonatural@gmail.com</v>
          </cell>
          <cell r="F654" t="str">
            <v>CARRERA 56 C  83 D D SUR  52</v>
          </cell>
          <cell r="G654" t="str">
            <v>05380</v>
          </cell>
        </row>
        <row r="655">
          <cell r="A655" t="str">
            <v>900928188</v>
          </cell>
          <cell r="B655" t="str">
            <v>4</v>
          </cell>
          <cell r="C655" t="str">
            <v>CONJUNTO RESIDENCIAL SENDERO DEL BOSQUE P.H.</v>
          </cell>
          <cell r="D655" t="str">
            <v>3007822988</v>
          </cell>
          <cell r="E655" t="str">
            <v>senderodelbosque2015@gmail.com</v>
          </cell>
          <cell r="F655" t="str">
            <v>CALLE 87 SUR  55  695</v>
          </cell>
          <cell r="G655" t="str">
            <v>05380</v>
          </cell>
        </row>
        <row r="656">
          <cell r="A656" t="str">
            <v>901017725</v>
          </cell>
          <cell r="B656" t="str">
            <v>4</v>
          </cell>
          <cell r="C656" t="str">
            <v>CONJUNTO DE USO MIXTO PITRIZA P.H.</v>
          </cell>
          <cell r="D656" t="str">
            <v>5783985</v>
          </cell>
          <cell r="E656" t="str">
            <v>pitriza.ph@gmail.com</v>
          </cell>
          <cell r="F656" t="str">
            <v>CALLE 79 SUR  55  15</v>
          </cell>
          <cell r="G656" t="str">
            <v>05380</v>
          </cell>
        </row>
        <row r="657">
          <cell r="A657" t="str">
            <v>901069535</v>
          </cell>
          <cell r="B657" t="str">
            <v>4</v>
          </cell>
          <cell r="C657" t="str">
            <v>URBANIZACIÓN CAPELLA P.H.</v>
          </cell>
          <cell r="D657" t="str">
            <v>5061118</v>
          </cell>
          <cell r="E657" t="str">
            <v>urbanizacioncapella@gmail.com</v>
          </cell>
          <cell r="F657" t="str">
            <v>CRA 63 B CL 73SUR 126</v>
          </cell>
          <cell r="G657" t="str">
            <v>05380</v>
          </cell>
        </row>
        <row r="658">
          <cell r="A658" t="str">
            <v>901090976</v>
          </cell>
          <cell r="B658" t="str">
            <v>6</v>
          </cell>
          <cell r="C658" t="str">
            <v>EDIFICIO ARBOLEDA DE LA ESTRELLA PH</v>
          </cell>
          <cell r="D658" t="str">
            <v>3054263421</v>
          </cell>
          <cell r="E658" t="str">
            <v>admon.arboledadelaestrella@gmail.com</v>
          </cell>
          <cell r="F658" t="str">
            <v>CALLE 87 SUR 55 651</v>
          </cell>
          <cell r="G658" t="str">
            <v>05380</v>
          </cell>
        </row>
        <row r="659">
          <cell r="A659" t="str">
            <v>901112488</v>
          </cell>
          <cell r="B659" t="str">
            <v>1</v>
          </cell>
          <cell r="C659" t="str">
            <v>CONJUNTO DE USO MIXTO ROMAZINO P.H.</v>
          </cell>
          <cell r="D659" t="str">
            <v>3105143005</v>
          </cell>
          <cell r="E659" t="str">
            <v>cromazinoph@gmail.com</v>
          </cell>
          <cell r="F659" t="str">
            <v>CALLE 79 SUR  55  95</v>
          </cell>
          <cell r="G659" t="str">
            <v>05380</v>
          </cell>
        </row>
        <row r="660">
          <cell r="A660" t="str">
            <v>901151971</v>
          </cell>
          <cell r="B660" t="str">
            <v>2</v>
          </cell>
          <cell r="C660" t="str">
            <v>URBANIZACION PARQUE RESIDENCIAL FLORES DEL CAMPO - PRIMERA ETAPA P.H.</v>
          </cell>
          <cell r="D660" t="str">
            <v>3113901864</v>
          </cell>
          <cell r="E660" t="str">
            <v>parquefloresdelcampo@gmail.com</v>
          </cell>
          <cell r="F660" t="str">
            <v>CARRERA 51  98 SUR  237</v>
          </cell>
          <cell r="G660" t="str">
            <v>05380</v>
          </cell>
        </row>
        <row r="661">
          <cell r="A661" t="str">
            <v>901160334</v>
          </cell>
          <cell r="B661" t="str">
            <v>9</v>
          </cell>
          <cell r="C661" t="str">
            <v>URBANIZACION BOSQUES DE SAUCES PRIMERA ETAPA P.H</v>
          </cell>
          <cell r="D661" t="str">
            <v>3503109077</v>
          </cell>
          <cell r="E661" t="str">
            <v>admonbosquesdesauces@gmail.com</v>
          </cell>
          <cell r="F661" t="str">
            <v>CR 50 99 SUR 69</v>
          </cell>
          <cell r="G661" t="str">
            <v>05380</v>
          </cell>
        </row>
        <row r="662">
          <cell r="A662" t="str">
            <v>901180185</v>
          </cell>
          <cell r="B662" t="str">
            <v>3</v>
          </cell>
          <cell r="C662" t="str">
            <v>PLAZA 77 MALL P.H</v>
          </cell>
          <cell r="D662" t="str">
            <v>4483468</v>
          </cell>
          <cell r="E662" t="str">
            <v>admonplaza77@gmail.com</v>
          </cell>
          <cell r="F662" t="str">
            <v>CL 77 SUR 50A 195</v>
          </cell>
          <cell r="G662" t="str">
            <v>05380</v>
          </cell>
        </row>
        <row r="663">
          <cell r="A663" t="str">
            <v>901210109</v>
          </cell>
          <cell r="B663" t="str">
            <v>3</v>
          </cell>
          <cell r="C663" t="str">
            <v>PARQUE RESIDENCIAL GUADUALES ETAPA 1 P.H.</v>
          </cell>
          <cell r="D663" t="str">
            <v>4233015</v>
          </cell>
          <cell r="E663" t="str">
            <v>pagos.aph@gmail.com</v>
          </cell>
          <cell r="F663" t="str">
            <v>CR 49 A 100 CC SUR 79</v>
          </cell>
          <cell r="G663" t="str">
            <v>05380</v>
          </cell>
        </row>
        <row r="664">
          <cell r="A664" t="str">
            <v>901244087</v>
          </cell>
          <cell r="B664" t="str">
            <v>6</v>
          </cell>
          <cell r="C664" t="str">
            <v>CONSTRUCTORA ALTOS DEL BOSQUE S.A.S</v>
          </cell>
          <cell r="D664" t="str">
            <v>4486800</v>
          </cell>
          <cell r="E664" t="str">
            <v>recepcionfacturas@altosdelaabadia.com</v>
          </cell>
          <cell r="F664" t="str">
            <v>CL 17 A SUR 44 214</v>
          </cell>
          <cell r="G664" t="str">
            <v>05380</v>
          </cell>
        </row>
        <row r="665">
          <cell r="A665" t="str">
            <v>901276714</v>
          </cell>
          <cell r="B665" t="str">
            <v>3</v>
          </cell>
          <cell r="C665" t="str">
            <v>CONSTRUCCIONES E INFRAESTRUCTURA DEL SUR SAS</v>
          </cell>
          <cell r="D665" t="str">
            <v>3045893716</v>
          </cell>
          <cell r="E665" t="str">
            <v>facturaelectronica@cidelsur.com</v>
          </cell>
          <cell r="F665" t="str">
            <v>CR 43 A 16 A SUR 38 OF 1106</v>
          </cell>
          <cell r="G665" t="str">
            <v>05380</v>
          </cell>
        </row>
        <row r="666">
          <cell r="A666" t="str">
            <v>901342678</v>
          </cell>
          <cell r="B666" t="str">
            <v>9</v>
          </cell>
          <cell r="C666" t="str">
            <v>URBANIZACION SIERRA MORENA P.H</v>
          </cell>
          <cell r="D666" t="str">
            <v>5898536</v>
          </cell>
          <cell r="E666" t="str">
            <v>mifactura9@outlook.com</v>
          </cell>
          <cell r="F666" t="str">
            <v>CR 51 96 SUR 50</v>
          </cell>
          <cell r="G666" t="str">
            <v>05380</v>
          </cell>
        </row>
        <row r="667">
          <cell r="A667" t="str">
            <v>901353820</v>
          </cell>
          <cell r="B667" t="str">
            <v>6</v>
          </cell>
          <cell r="C667" t="str">
            <v>CONJUNTO RESIDENCIAL ORION P.H.</v>
          </cell>
          <cell r="D667" t="str">
            <v>3012229036</v>
          </cell>
          <cell r="E667" t="str">
            <v>Administracion@uorionph.com</v>
          </cell>
          <cell r="F667" t="str">
            <v>CARRERA 73 B 63 SUR 117</v>
          </cell>
          <cell r="G667" t="str">
            <v>05380</v>
          </cell>
        </row>
        <row r="668">
          <cell r="A668" t="str">
            <v>901374718</v>
          </cell>
          <cell r="B668" t="str">
            <v>2</v>
          </cell>
          <cell r="C668" t="str">
            <v>CONJUNTO DE USO MIXTO PORTAL DE LA ESTRELLA</v>
          </cell>
          <cell r="D668" t="str">
            <v>3113725800</v>
          </cell>
          <cell r="E668" t="str">
            <v>unidadportaldelaestrella@gmail.com</v>
          </cell>
          <cell r="F668" t="str">
            <v>CR 54 A 75 SUR</v>
          </cell>
          <cell r="G668" t="str">
            <v>05380</v>
          </cell>
        </row>
        <row r="669">
          <cell r="A669" t="str">
            <v>901486842</v>
          </cell>
          <cell r="B669" t="str">
            <v>9</v>
          </cell>
          <cell r="C669" t="str">
            <v>CONJUNTO RESIDENCIAL CEIBAZUL P.H.</v>
          </cell>
          <cell r="D669" t="str">
            <v>3147023968</v>
          </cell>
          <cell r="E669" t="str">
            <v>ceibazulph@gmail.com</v>
          </cell>
          <cell r="F669" t="str">
            <v>CL 79 C SUR 55 C 207</v>
          </cell>
          <cell r="G669" t="str">
            <v>05380</v>
          </cell>
        </row>
        <row r="670">
          <cell r="A670" t="str">
            <v>901564240</v>
          </cell>
          <cell r="B670" t="str">
            <v>1</v>
          </cell>
          <cell r="C670" t="str">
            <v>PRIMITIVA PARQUE NATURAL PROPIEDAD HORIZONTAL</v>
          </cell>
          <cell r="D670" t="str">
            <v>3113725800</v>
          </cell>
          <cell r="E670" t="str">
            <v>primitivaparquenaturalph@gmail.com</v>
          </cell>
          <cell r="F670" t="str">
            <v>CR 51 96 B SUR 125</v>
          </cell>
          <cell r="G670" t="str">
            <v>05380</v>
          </cell>
        </row>
        <row r="671">
          <cell r="A671" t="str">
            <v>901685297</v>
          </cell>
          <cell r="B671" t="str">
            <v>8</v>
          </cell>
          <cell r="C671" t="str">
            <v>CONJUNTO DE USO MIXTO JARDINES DEL SUR P.H.</v>
          </cell>
          <cell r="D671" t="str">
            <v>315 6718469</v>
          </cell>
          <cell r="E671" t="str">
            <v>comprascrismatt@gmail.com</v>
          </cell>
          <cell r="F671" t="str">
            <v>CR 50 100 D SUR 189</v>
          </cell>
          <cell r="G671" t="str">
            <v>05380</v>
          </cell>
        </row>
        <row r="672">
          <cell r="A672" t="str">
            <v>901713253</v>
          </cell>
          <cell r="B672" t="str">
            <v>5</v>
          </cell>
          <cell r="C672" t="str">
            <v>URBANIZACION TERRAVERDE - PROPIEDAD HORIZONTAL</v>
          </cell>
          <cell r="D672" t="str">
            <v>3214348261</v>
          </cell>
          <cell r="E672" t="str">
            <v>terraverdeph@hotmail.com</v>
          </cell>
          <cell r="F672" t="str">
            <v>CR 62 84 SUR 50</v>
          </cell>
          <cell r="G672" t="str">
            <v>05380</v>
          </cell>
        </row>
        <row r="673">
          <cell r="A673" t="str">
            <v>901766492</v>
          </cell>
          <cell r="B673" t="str">
            <v>6</v>
          </cell>
          <cell r="C673" t="str">
            <v>CONJUNTO RESIDENCIAL MARTINICA P.H.</v>
          </cell>
          <cell r="D673" t="str">
            <v>3128085565</v>
          </cell>
          <cell r="E673" t="str">
            <v>martinicaph1@gmail.com</v>
          </cell>
          <cell r="F673" t="str">
            <v>CL 87 SUR 55 361</v>
          </cell>
          <cell r="G673" t="str">
            <v>05380</v>
          </cell>
        </row>
        <row r="674">
          <cell r="A674">
            <v>222222222</v>
          </cell>
          <cell r="B674" t="str">
            <v/>
          </cell>
          <cell r="C674" t="str">
            <v>CUANTIAS MENORES</v>
          </cell>
          <cell r="D674">
            <v>3228184763</v>
          </cell>
          <cell r="E674" t="str">
            <v>impuestos@estiloingeniera.com</v>
          </cell>
          <cell r="F674" t="str">
            <v xml:space="preserve">CL 127A 53A 45 TO2 P11 OF1101 </v>
          </cell>
          <cell r="G674" t="str">
            <v>05440</v>
          </cell>
        </row>
        <row r="675">
          <cell r="A675" t="str">
            <v>890905022</v>
          </cell>
          <cell r="B675" t="str">
            <v>6</v>
          </cell>
          <cell r="C675" t="str">
            <v>CONVEL S.A.S.</v>
          </cell>
          <cell r="D675">
            <v>3219664011</v>
          </cell>
          <cell r="E675" t="str">
            <v>facturacion@convel.co</v>
          </cell>
          <cell r="F675" t="str">
            <v>CARRERA 63 B  32 E  26</v>
          </cell>
          <cell r="G675" t="str">
            <v>05440</v>
          </cell>
        </row>
        <row r="676">
          <cell r="A676" t="str">
            <v>900446443</v>
          </cell>
          <cell r="B676" t="str">
            <v>9</v>
          </cell>
          <cell r="C676" t="str">
            <v>EDIFICACIONES Y ESPACIOS S.A.S</v>
          </cell>
          <cell r="D676" t="str">
            <v>2667010</v>
          </cell>
          <cell r="E676" t="str">
            <v>contabilidadcolcivil11@gmail.com</v>
          </cell>
          <cell r="F676" t="str">
            <v>CR 43 B 16 95 OF 207</v>
          </cell>
          <cell r="G676" t="str">
            <v>05440</v>
          </cell>
        </row>
        <row r="677">
          <cell r="A677" t="str">
            <v>900513283</v>
          </cell>
          <cell r="B677" t="str">
            <v>4</v>
          </cell>
          <cell r="C677" t="str">
            <v>PROFESIONALES EN INGENIERIA Y DESARROLLO S.A.S</v>
          </cell>
          <cell r="D677" t="str">
            <v>5484293</v>
          </cell>
          <cell r="E677" t="str">
            <v>admon@proinged.com</v>
          </cell>
          <cell r="F677" t="str">
            <v>CR 30 31 30</v>
          </cell>
          <cell r="G677" t="str">
            <v>05440</v>
          </cell>
        </row>
        <row r="678">
          <cell r="A678" t="str">
            <v>900960977</v>
          </cell>
          <cell r="B678" t="str">
            <v>3</v>
          </cell>
          <cell r="C678" t="str">
            <v>INMOBILIARIA DINAMICA SAN JOSE SAS</v>
          </cell>
          <cell r="D678" t="str">
            <v>3188832256</v>
          </cell>
          <cell r="E678" t="str">
            <v>diegomartinezgiraldo@gmail.com</v>
          </cell>
          <cell r="F678" t="str">
            <v>CARRERA 47  48  65 INTERIOR 801</v>
          </cell>
          <cell r="G678" t="str">
            <v>05440</v>
          </cell>
        </row>
        <row r="679">
          <cell r="A679" t="str">
            <v>901323153</v>
          </cell>
          <cell r="B679" t="str">
            <v>3</v>
          </cell>
          <cell r="C679" t="str">
            <v>CONDOMINIO NATURAL PLANTE</v>
          </cell>
          <cell r="D679" t="str">
            <v>3213667066</v>
          </cell>
          <cell r="E679" t="str">
            <v>condominioplantenaturalph@gmail.com</v>
          </cell>
          <cell r="F679" t="str">
            <v>CL 12 45 46 VDA BELEN</v>
          </cell>
          <cell r="G679" t="str">
            <v>05440</v>
          </cell>
        </row>
        <row r="680">
          <cell r="A680" t="str">
            <v>901591709</v>
          </cell>
          <cell r="B680" t="str">
            <v>6</v>
          </cell>
          <cell r="C680" t="str">
            <v>CONJUNTO DE USO MIXTO AL PARQUE P.H</v>
          </cell>
          <cell r="D680" t="str">
            <v>3148789949</v>
          </cell>
          <cell r="E680" t="str">
            <v>cralparque@gmail.com</v>
          </cell>
          <cell r="F680" t="str">
            <v>CR 20 17 02</v>
          </cell>
          <cell r="G680" t="str">
            <v>05440</v>
          </cell>
        </row>
        <row r="681">
          <cell r="A681" t="str">
            <v>901647822</v>
          </cell>
          <cell r="B681" t="str">
            <v>3</v>
          </cell>
          <cell r="C681" t="str">
            <v>CONSORCIO SOMAC</v>
          </cell>
          <cell r="D681" t="str">
            <v>604-5298999</v>
          </cell>
          <cell r="E681" t="str">
            <v>asistente@macro.com.co</v>
          </cell>
          <cell r="F681" t="str">
            <v>CR 43 27 18 IN 1</v>
          </cell>
          <cell r="G681" t="str">
            <v>05440</v>
          </cell>
        </row>
        <row r="682">
          <cell r="A682" t="str">
            <v>901729914</v>
          </cell>
          <cell r="B682" t="str">
            <v>5</v>
          </cell>
          <cell r="C682" t="str">
            <v>URBANIZACION BAMBUCO APARTAMENTOS PROPIEDAD HORIZONTAL</v>
          </cell>
          <cell r="D682" t="str">
            <v>3053202145</v>
          </cell>
          <cell r="E682" t="str">
            <v>conjuntoresidencialbambuco@gmail.com</v>
          </cell>
          <cell r="F682" t="str">
            <v>CR 27 19 53</v>
          </cell>
          <cell r="G682" t="str">
            <v>05440</v>
          </cell>
        </row>
        <row r="683">
          <cell r="A683" t="str">
            <v>901571878</v>
          </cell>
          <cell r="B683" t="str">
            <v>7</v>
          </cell>
          <cell r="C683" t="str">
            <v>MAGNUS PROMOTORA DE PROYECTOS SAS</v>
          </cell>
          <cell r="D683" t="str">
            <v>3167095819</v>
          </cell>
          <cell r="E683" t="str">
            <v>santelmoguatape@gmail.com</v>
          </cell>
          <cell r="F683" t="str">
            <v>CL 31 31 37</v>
          </cell>
          <cell r="G683" t="str">
            <v>05541</v>
          </cell>
        </row>
        <row r="684">
          <cell r="A684" t="str">
            <v>901641816</v>
          </cell>
          <cell r="B684" t="str">
            <v>1</v>
          </cell>
          <cell r="C684" t="str">
            <v>SANTOSBELL S.A.S</v>
          </cell>
          <cell r="D684">
            <v>3219664011</v>
          </cell>
          <cell r="E684" t="str">
            <v>santosbell2022@yahoo.com</v>
          </cell>
          <cell r="F684" t="str">
            <v>ETAPA N 2 SUB ETAPA 2.1 DE LA PARCELACIÓN LODGES ECOTUR SITUADO EN LA VEREDA EL GUAMITO</v>
          </cell>
          <cell r="G684" t="str">
            <v>05541</v>
          </cell>
        </row>
        <row r="685">
          <cell r="A685" t="str">
            <v>800185685</v>
          </cell>
          <cell r="B685" t="str">
            <v>0</v>
          </cell>
          <cell r="C685" t="str">
            <v>CONSTRUCTORA URCO S.A.S.</v>
          </cell>
          <cell r="D685">
            <v>3219664011</v>
          </cell>
          <cell r="E685" t="str">
            <v>facturacion.slow@urco.com.co</v>
          </cell>
          <cell r="F685" t="str">
            <v>CARRERA 43  19 A  87  OFICINA 201</v>
          </cell>
          <cell r="G685" t="str">
            <v>05607</v>
          </cell>
        </row>
        <row r="686">
          <cell r="A686" t="str">
            <v>800242739</v>
          </cell>
          <cell r="B686" t="str">
            <v>4</v>
          </cell>
          <cell r="C686" t="str">
            <v>INGEARCO Y CIA S.A.S</v>
          </cell>
          <cell r="D686" t="str">
            <v>3136464</v>
          </cell>
          <cell r="E686" t="str">
            <v>facturacioningearco@grupociudadela.com.co</v>
          </cell>
          <cell r="F686" t="str">
            <v>AV LAS PALMAS CL 26 38 26 OF 832</v>
          </cell>
          <cell r="G686" t="str">
            <v>05607</v>
          </cell>
        </row>
        <row r="687">
          <cell r="A687" t="str">
            <v>890905022</v>
          </cell>
          <cell r="B687" t="str">
            <v>6</v>
          </cell>
          <cell r="C687" t="str">
            <v>CONVEL S.A.S.</v>
          </cell>
          <cell r="D687">
            <v>3219664011</v>
          </cell>
          <cell r="E687" t="str">
            <v>facturacion@convel.co</v>
          </cell>
          <cell r="F687" t="str">
            <v>CARRERA 63 B  32 E  26</v>
          </cell>
          <cell r="G687" t="str">
            <v>05607</v>
          </cell>
        </row>
        <row r="688">
          <cell r="A688" t="str">
            <v>890983674</v>
          </cell>
          <cell r="B688" t="str">
            <v>0</v>
          </cell>
          <cell r="C688" t="str">
            <v>MUNICIPIO EL RETIRO</v>
          </cell>
          <cell r="D688" t="str">
            <v>3122353351</v>
          </cell>
          <cell r="E688" t="str">
            <v>katherine.romero@estiloingenieria.com</v>
          </cell>
          <cell r="F688" t="str">
            <v>CALLE 20  20  40</v>
          </cell>
          <cell r="G688" t="str">
            <v>05607</v>
          </cell>
        </row>
        <row r="689">
          <cell r="A689" t="str">
            <v>900154758</v>
          </cell>
          <cell r="B689" t="str">
            <v>1</v>
          </cell>
          <cell r="C689" t="str">
            <v>CYMADE SAS</v>
          </cell>
          <cell r="D689" t="str">
            <v>2608270</v>
          </cell>
          <cell r="E689" t="str">
            <v>castanopabonjuliana@gmail.com</v>
          </cell>
          <cell r="F689" t="str">
            <v>CL 20SUR 28 223 BRR MIRAMAR</v>
          </cell>
          <cell r="G689" t="str">
            <v>05607</v>
          </cell>
        </row>
        <row r="690">
          <cell r="A690" t="str">
            <v>900446443</v>
          </cell>
          <cell r="B690" t="str">
            <v>9</v>
          </cell>
          <cell r="C690" t="str">
            <v>EDIFICACIONES Y ESPACIOS S.A.S</v>
          </cell>
          <cell r="D690" t="str">
            <v>2667010</v>
          </cell>
          <cell r="E690" t="str">
            <v>contabilidadcolcivil11@gmail.com</v>
          </cell>
          <cell r="F690" t="str">
            <v>CR 43 B 16 95 OF 207</v>
          </cell>
          <cell r="G690" t="str">
            <v>05607</v>
          </cell>
        </row>
        <row r="691">
          <cell r="A691" t="str">
            <v>900788594</v>
          </cell>
          <cell r="B691" t="str">
            <v>1</v>
          </cell>
          <cell r="C691" t="str">
            <v>JORGE GONZALEZ INGENIERIA S.A.S.</v>
          </cell>
          <cell r="D691" t="str">
            <v>3104246997</v>
          </cell>
          <cell r="E691" t="str">
            <v>facturacion@estiloingenieria.com</v>
          </cell>
          <cell r="F691" t="str">
            <v>CALLE 8  43 B  148</v>
          </cell>
          <cell r="G691" t="str">
            <v>05607</v>
          </cell>
        </row>
        <row r="692">
          <cell r="A692" t="str">
            <v>900831663</v>
          </cell>
          <cell r="B692" t="str">
            <v>3</v>
          </cell>
          <cell r="C692" t="str">
            <v>CONJUNTO INMOBILIARIO PORTON DEL RETIRO P.H.</v>
          </cell>
          <cell r="D692" t="str">
            <v>3187172848</v>
          </cell>
          <cell r="E692" t="str">
            <v>ciportondelretiro@gmail.com</v>
          </cell>
          <cell r="F692" t="str">
            <v>CALLE 25 B  20  50</v>
          </cell>
          <cell r="G692" t="str">
            <v>05607</v>
          </cell>
        </row>
        <row r="693">
          <cell r="A693" t="str">
            <v>900914501</v>
          </cell>
          <cell r="B693" t="str">
            <v>6</v>
          </cell>
          <cell r="C693" t="str">
            <v>CONDOMINIO CAMPESTRE SIERRA GRANDE P.H.</v>
          </cell>
          <cell r="D693" t="str">
            <v>3117138766</v>
          </cell>
          <cell r="E693" t="str">
            <v>sg2condominio@gmail.com</v>
          </cell>
          <cell r="F693" t="str">
            <v>Ficebad la Fe, Parcelacion Chagualos</v>
          </cell>
          <cell r="G693" t="str">
            <v>05607</v>
          </cell>
        </row>
        <row r="694">
          <cell r="A694" t="str">
            <v>900976713</v>
          </cell>
          <cell r="B694" t="str">
            <v>6</v>
          </cell>
          <cell r="C694" t="str">
            <v>PRIMERA ETAPA DEL CONDOMINIO CAMPESTRE FORESTA APARTAMENTOS CAMPESTRES P.H.</v>
          </cell>
          <cell r="D694" t="str">
            <v>3218524896</v>
          </cell>
          <cell r="E694" t="str">
            <v>avantiapartamentosph@gmail.com</v>
          </cell>
          <cell r="F694" t="str">
            <v>CL 24 25 111</v>
          </cell>
          <cell r="G694" t="str">
            <v>05607</v>
          </cell>
        </row>
        <row r="695">
          <cell r="A695" t="str">
            <v>901202790</v>
          </cell>
          <cell r="B695" t="str">
            <v>6</v>
          </cell>
          <cell r="C695" t="str">
            <v>EDIFICIO ALAMEDA DEL RIO P.H.</v>
          </cell>
          <cell r="D695" t="str">
            <v>3005287420</v>
          </cell>
          <cell r="E695" t="str">
            <v>alamedadelrioph@gmail.com</v>
          </cell>
          <cell r="F695" t="str">
            <v>CALLE 28 17-51</v>
          </cell>
          <cell r="G695" t="str">
            <v>05607</v>
          </cell>
        </row>
        <row r="696">
          <cell r="A696" t="str">
            <v>901213625</v>
          </cell>
          <cell r="B696" t="str">
            <v>6</v>
          </cell>
          <cell r="C696" t="str">
            <v>URBANIZACIÓN RETIRO VERDE P.H..</v>
          </cell>
          <cell r="D696" t="str">
            <v>3116300922</v>
          </cell>
          <cell r="E696" t="str">
            <v>proveedores@consolidarhabitat.com</v>
          </cell>
          <cell r="F696" t="str">
            <v>CL 30 19 06</v>
          </cell>
          <cell r="G696" t="str">
            <v>05607</v>
          </cell>
        </row>
        <row r="697">
          <cell r="A697" t="str">
            <v>901542753</v>
          </cell>
          <cell r="B697" t="str">
            <v>1</v>
          </cell>
          <cell r="C697" t="str">
            <v>URBANIZACIÓN MONTRY P.H.</v>
          </cell>
          <cell r="D697" t="str">
            <v>310372487</v>
          </cell>
          <cell r="E697" t="str">
            <v>montryph@gmail.com</v>
          </cell>
          <cell r="F697" t="str">
            <v>CLL 40 21 145</v>
          </cell>
          <cell r="G697" t="str">
            <v>05607</v>
          </cell>
        </row>
        <row r="698">
          <cell r="A698" t="str">
            <v>901690048</v>
          </cell>
          <cell r="B698" t="str">
            <v>0</v>
          </cell>
          <cell r="C698" t="str">
            <v>CITADELA DI TERRA PROPIEDAD HORIZONTAL ETAPA 1</v>
          </cell>
          <cell r="D698" t="str">
            <v>3005287420</v>
          </cell>
          <cell r="E698" t="str">
            <v>citadeladiterraph@gmail.com</v>
          </cell>
          <cell r="F698" t="str">
            <v>CL 32 20 51</v>
          </cell>
          <cell r="G698" t="str">
            <v>05607</v>
          </cell>
        </row>
        <row r="699">
          <cell r="A699" t="str">
            <v>901813255</v>
          </cell>
          <cell r="B699" t="str">
            <v>9</v>
          </cell>
          <cell r="C699" t="str">
            <v>URBANIZACION MOSSET P.H.</v>
          </cell>
          <cell r="D699" t="str">
            <v>3005287420</v>
          </cell>
          <cell r="E699" t="str">
            <v>urbanizacionmossetph@gmail.com</v>
          </cell>
          <cell r="F699" t="str">
            <v>CR 32 20 601</v>
          </cell>
          <cell r="G699" t="str">
            <v>05607</v>
          </cell>
        </row>
        <row r="700">
          <cell r="A700" t="str">
            <v>901822760</v>
          </cell>
          <cell r="B700" t="str">
            <v>5</v>
          </cell>
          <cell r="C700" t="str">
            <v>URBANIZACION LEGADO P.H</v>
          </cell>
          <cell r="D700" t="str">
            <v>3113725800</v>
          </cell>
          <cell r="E700" t="str">
            <v>urbanizacionlegado@gmail.com</v>
          </cell>
          <cell r="F700" t="str">
            <v>CR 21 14 35</v>
          </cell>
          <cell r="G700" t="str">
            <v>05607</v>
          </cell>
        </row>
        <row r="701">
          <cell r="A701" t="str">
            <v>901844693</v>
          </cell>
          <cell r="B701" t="str">
            <v>4</v>
          </cell>
          <cell r="C701" t="str">
            <v>PALMANOVA APARTAMENTOS P.H.</v>
          </cell>
          <cell r="D701" t="str">
            <v>3 1 7 4 7 0 1 7 8 2</v>
          </cell>
          <cell r="E701" t="str">
            <v>admonph@hotmail.com</v>
          </cell>
          <cell r="F701" t="str">
            <v>PARAJE EL CHUSCAL CL 28 17 20</v>
          </cell>
          <cell r="G701" t="str">
            <v>05607</v>
          </cell>
        </row>
        <row r="702">
          <cell r="A702" t="str">
            <v>800027617</v>
          </cell>
          <cell r="B702" t="str">
            <v>3</v>
          </cell>
          <cell r="C702" t="str">
            <v>MENSULA S.A.S.</v>
          </cell>
          <cell r="D702" t="str">
            <v>3613536</v>
          </cell>
          <cell r="E702" t="str">
            <v>facturacion@mensulaingenieros.com</v>
          </cell>
          <cell r="F702" t="str">
            <v>CALLE 10 SUR  50 F F  28  OFICINA 407</v>
          </cell>
          <cell r="G702" t="str">
            <v>05615</v>
          </cell>
        </row>
        <row r="703">
          <cell r="A703" t="str">
            <v>800093117</v>
          </cell>
          <cell r="B703" t="str">
            <v>3</v>
          </cell>
          <cell r="C703" t="str">
            <v>ARQUITECTURA Y CONCRETO S.A.S</v>
          </cell>
          <cell r="D703" t="str">
            <v>3123618</v>
          </cell>
          <cell r="E703" t="str">
            <v>recepcionfacturacion@arquitecturayconcreto.com</v>
          </cell>
          <cell r="F703" t="str">
            <v>CALLE 3 SUR  43 A  52 OFICINA 1801</v>
          </cell>
          <cell r="G703" t="str">
            <v>05615</v>
          </cell>
        </row>
        <row r="704">
          <cell r="A704" t="str">
            <v>800097984</v>
          </cell>
          <cell r="B704" t="str">
            <v>0</v>
          </cell>
          <cell r="C704" t="str">
            <v>M.G.L. INGENIEROS S.A.S.</v>
          </cell>
          <cell r="D704">
            <v>3219664011</v>
          </cell>
          <cell r="E704" t="str">
            <v>contabilidad@mglingenieros.com</v>
          </cell>
          <cell r="F704" t="str">
            <v>CARRERA 48 B  10 SUR  56</v>
          </cell>
          <cell r="G704" t="str">
            <v>05615</v>
          </cell>
        </row>
        <row r="705">
          <cell r="A705" t="str">
            <v>800156889</v>
          </cell>
          <cell r="B705" t="str">
            <v>2</v>
          </cell>
          <cell r="C705" t="str">
            <v>DISTRIBUIDORA KIRAMAR S.A.S</v>
          </cell>
          <cell r="D705" t="str">
            <v>4833000</v>
          </cell>
          <cell r="E705" t="str">
            <v>facturaciongeneral@kiramar.com.co</v>
          </cell>
          <cell r="F705" t="str">
            <v>DG 51 31 120</v>
          </cell>
          <cell r="G705" t="str">
            <v>05615</v>
          </cell>
        </row>
        <row r="706">
          <cell r="A706" t="str">
            <v>811003134</v>
          </cell>
          <cell r="B706" t="str">
            <v>4</v>
          </cell>
          <cell r="C706" t="str">
            <v>HOTEL SANTIAGO DE ARMA S.A.</v>
          </cell>
          <cell r="D706" t="str">
            <v>5361111</v>
          </cell>
          <cell r="E706" t="str">
            <v>gerope@hotelsantiagodearma.net</v>
          </cell>
          <cell r="F706" t="str">
            <v>GLORIETA AEROPUERTO JOSE MARIA CORDOVA</v>
          </cell>
          <cell r="G706" t="str">
            <v>05615</v>
          </cell>
        </row>
        <row r="707">
          <cell r="A707" t="str">
            <v>860006743</v>
          </cell>
          <cell r="B707" t="str">
            <v>1</v>
          </cell>
          <cell r="C707" t="str">
            <v>COMUNIDAD DE NUESTRA SEÑORA DE LA CARIDAD DEL BUEN PASTOR</v>
          </cell>
          <cell r="D707" t="str">
            <v>2115805</v>
          </cell>
          <cell r="E707" t="str">
            <v>admoncasamariadroste@gmail.com</v>
          </cell>
          <cell r="F707" t="str">
            <v>TRANSVERSAL 22 BIS  59  29</v>
          </cell>
          <cell r="G707" t="str">
            <v>05615</v>
          </cell>
        </row>
        <row r="708">
          <cell r="A708" t="str">
            <v>860513493</v>
          </cell>
          <cell r="B708" t="str">
            <v>1</v>
          </cell>
          <cell r="C708" t="str">
            <v>CONSTRUCTORA BOLIVAR BOGOTA S.A. CONSTRUCTORA BOLIVAR S.A.</v>
          </cell>
          <cell r="D708" t="str">
            <v>6258330</v>
          </cell>
          <cell r="E708" t="str">
            <v>faelectronica@constructorabolivar.com</v>
          </cell>
          <cell r="F708" t="str">
            <v>CALLE 134  72  31</v>
          </cell>
          <cell r="G708" t="str">
            <v>05615</v>
          </cell>
        </row>
        <row r="709">
          <cell r="A709" t="str">
            <v>890904041</v>
          </cell>
          <cell r="B709" t="str">
            <v>1</v>
          </cell>
          <cell r="C709" t="str">
            <v>ARQUITECTURA Y CONSTRUCCIONES S.A.S</v>
          </cell>
          <cell r="D709" t="str">
            <v>4444614</v>
          </cell>
          <cell r="E709" t="str">
            <v>facturacionelectronica@arconsa.com.co</v>
          </cell>
          <cell r="F709" t="str">
            <v>CARRERA 43 A  7  50 OFICINA 1004</v>
          </cell>
          <cell r="G709" t="str">
            <v>05615</v>
          </cell>
        </row>
        <row r="710">
          <cell r="A710" t="str">
            <v>890912426</v>
          </cell>
          <cell r="B710" t="str">
            <v>7</v>
          </cell>
          <cell r="C710" t="str">
            <v>PEREZ Y CARDONA S.A.S.</v>
          </cell>
          <cell r="D710" t="str">
            <v>4444624</v>
          </cell>
          <cell r="E710" t="str">
            <v>gagudelou@tierragro.co</v>
          </cell>
          <cell r="F710" t="str">
            <v>CL 32 48 45</v>
          </cell>
          <cell r="G710" t="str">
            <v>05615</v>
          </cell>
        </row>
        <row r="711">
          <cell r="A711" t="str">
            <v>890939936</v>
          </cell>
          <cell r="B711" t="str">
            <v>9</v>
          </cell>
          <cell r="C711" t="str">
            <v>SOCIEDAD MEDICA RIONEGRO S.A. SOMER S.A.</v>
          </cell>
          <cell r="D711" t="str">
            <v>5699999</v>
          </cell>
          <cell r="E711" t="str">
            <v>facelectronica@clinicasomer.com</v>
          </cell>
          <cell r="F711" t="str">
            <v>CALLE 38 54A 35</v>
          </cell>
          <cell r="G711" t="str">
            <v>05615</v>
          </cell>
        </row>
        <row r="712">
          <cell r="A712" t="str">
            <v>900082107</v>
          </cell>
          <cell r="B712" t="str">
            <v>5</v>
          </cell>
          <cell r="C712" t="str">
            <v>CONSTRUCTORA CONTEX S.A.S BIC</v>
          </cell>
          <cell r="D712" t="str">
            <v>5555555</v>
          </cell>
          <cell r="E712" t="str">
            <v>facturas@contex.com.co</v>
          </cell>
          <cell r="F712" t="str">
            <v>KM 3 VIA DON DIEGO LLANOGRANDE</v>
          </cell>
          <cell r="G712" t="str">
            <v>05615</v>
          </cell>
        </row>
        <row r="713">
          <cell r="A713" t="str">
            <v>900397244</v>
          </cell>
          <cell r="B713" t="str">
            <v>9</v>
          </cell>
          <cell r="C713" t="str">
            <v>CONSTRUCTORA ALTOS DE LA ABADIA S.A.S.</v>
          </cell>
          <cell r="D713" t="str">
            <v>5555555</v>
          </cell>
          <cell r="E713" t="str">
            <v>recepcionfacturas@altosdelaabadia.com</v>
          </cell>
          <cell r="F713" t="str">
            <v>CALLE 17 A SUR  44  214</v>
          </cell>
          <cell r="G713" t="str">
            <v>05615</v>
          </cell>
        </row>
        <row r="714">
          <cell r="A714" t="str">
            <v>900462403</v>
          </cell>
          <cell r="B714" t="str">
            <v>1</v>
          </cell>
          <cell r="C714" t="str">
            <v>INMOBILIARIA CONSTRUCTORA SERVING S.A.S.</v>
          </cell>
          <cell r="D714">
            <v>3219664011</v>
          </cell>
          <cell r="E714" t="str">
            <v>900462403@factureinbox.co</v>
          </cell>
          <cell r="F714" t="str">
            <v>CALLE 38  61  61</v>
          </cell>
          <cell r="G714" t="str">
            <v>05615</v>
          </cell>
        </row>
        <row r="715">
          <cell r="A715" t="str">
            <v>900654315</v>
          </cell>
          <cell r="B715" t="str">
            <v>6</v>
          </cell>
          <cell r="C715" t="str">
            <v>CONJUNTO RESIDENCIAL URBANIZACION RIOGRANDE - APARTAMENTOS PH</v>
          </cell>
          <cell r="D715" t="str">
            <v>3664764</v>
          </cell>
          <cell r="E715" t="str">
            <v>riograndeapartamentos@gmail.com</v>
          </cell>
          <cell r="F715" t="str">
            <v>CALLE 40 A A  50 B B  33</v>
          </cell>
          <cell r="G715" t="str">
            <v>05615</v>
          </cell>
        </row>
        <row r="716">
          <cell r="A716" t="str">
            <v>900715427</v>
          </cell>
          <cell r="B716" t="str">
            <v>5</v>
          </cell>
          <cell r="C716" t="str">
            <v>CONJUNTO RESIDENCIAL TORRES DE ALCALA - PROPIEDAD HORIZONTAL PRIMERA ETAPA</v>
          </cell>
          <cell r="D716" t="str">
            <v>3206878070</v>
          </cell>
          <cell r="E716" t="str">
            <v>torresdealcalarionegro@gmail.com</v>
          </cell>
          <cell r="F716" t="str">
            <v>CARRERA 52 D  41  14</v>
          </cell>
          <cell r="G716" t="str">
            <v>05615</v>
          </cell>
        </row>
        <row r="717">
          <cell r="A717" t="str">
            <v>900915161</v>
          </cell>
          <cell r="B717" t="str">
            <v>1</v>
          </cell>
          <cell r="C717" t="str">
            <v>PH RIO VERDE LIVING SUITES</v>
          </cell>
          <cell r="D717" t="str">
            <v>5607760</v>
          </cell>
          <cell r="E717" t="str">
            <v>asistenterioverde@travelers.com.co</v>
          </cell>
          <cell r="F717" t="str">
            <v>KILOMETRO 3 VIA AEROPUERTO LLANO GRANDE</v>
          </cell>
          <cell r="G717" t="str">
            <v>05615</v>
          </cell>
        </row>
        <row r="718">
          <cell r="A718" t="str">
            <v>901053518</v>
          </cell>
          <cell r="B718" t="str">
            <v>9</v>
          </cell>
          <cell r="C718" t="str">
            <v>CONJUNTO RESIDENCIAL RIOGRANDE HABITAT P.H.</v>
          </cell>
          <cell r="D718" t="str">
            <v>3137464362</v>
          </cell>
          <cell r="E718" t="str">
            <v>admonriograndehabitat@gmail.com</v>
          </cell>
          <cell r="F718" t="str">
            <v>CALLE 41  50 B B  36</v>
          </cell>
          <cell r="G718" t="str">
            <v>05615</v>
          </cell>
        </row>
        <row r="719">
          <cell r="A719" t="str">
            <v>901144191</v>
          </cell>
          <cell r="B719" t="str">
            <v>5</v>
          </cell>
          <cell r="C719" t="str">
            <v>UNIDAD RESIDENCIAL URBANIZACION LOS CEREZOS PROPIEDAD HORIZONTAL</v>
          </cell>
          <cell r="D719" t="str">
            <v>3217516361</v>
          </cell>
          <cell r="E719" t="str">
            <v>loscerezos.ur@gmail.com</v>
          </cell>
          <cell r="F719" t="str">
            <v>CL 63 54 38</v>
          </cell>
          <cell r="G719" t="str">
            <v>05615</v>
          </cell>
        </row>
        <row r="720">
          <cell r="A720" t="str">
            <v>901145189</v>
          </cell>
          <cell r="B720" t="str">
            <v>4</v>
          </cell>
          <cell r="C720" t="str">
            <v>VERDI PROPIEDAD HORIZONTAL ETAPA I</v>
          </cell>
          <cell r="D720" t="str">
            <v>3185479462</v>
          </cell>
          <cell r="E720" t="str">
            <v>verdicopropiedad@gmail.com</v>
          </cell>
          <cell r="F720" t="str">
            <v>VEREDA VILACHAGUA LLANOGRANDE</v>
          </cell>
          <cell r="G720" t="str">
            <v>05615</v>
          </cell>
        </row>
        <row r="721">
          <cell r="A721" t="str">
            <v>901170221</v>
          </cell>
          <cell r="B721" t="str">
            <v>8</v>
          </cell>
          <cell r="C721" t="str">
            <v>PROMOTORA PBB S A S</v>
          </cell>
          <cell r="D721" t="str">
            <v>3118500</v>
          </cell>
          <cell r="E721" t="str">
            <v>facturacion@bienesybienes.com</v>
          </cell>
          <cell r="F721" t="str">
            <v>CL 8 43 A 48</v>
          </cell>
          <cell r="G721" t="str">
            <v>05615</v>
          </cell>
        </row>
        <row r="722">
          <cell r="A722" t="str">
            <v>901234775</v>
          </cell>
          <cell r="B722" t="str">
            <v>2</v>
          </cell>
          <cell r="C722" t="str">
            <v>EDIFICIO VICENZA SAN CAYETANO PARQUE RESIDENCIAL - PROPIEDAD HORIZONTAL</v>
          </cell>
          <cell r="D722" t="str">
            <v>6148971</v>
          </cell>
          <cell r="E722" t="str">
            <v>sancayetanoparqueresidencial@gmail.com</v>
          </cell>
          <cell r="F722" t="str">
            <v>CR 55 A 28 A 231</v>
          </cell>
          <cell r="G722" t="str">
            <v>05615</v>
          </cell>
        </row>
        <row r="723">
          <cell r="A723" t="str">
            <v>901327416</v>
          </cell>
          <cell r="B723" t="str">
            <v>3</v>
          </cell>
          <cell r="C723" t="str">
            <v>EDIFICIO QATAR PROPIEDAD HORIZONTAL</v>
          </cell>
          <cell r="D723" t="str">
            <v>3156449308</v>
          </cell>
          <cell r="E723" t="str">
            <v>admonqatarrionegro@gmail.com</v>
          </cell>
          <cell r="F723" t="str">
            <v>CARRERA 48 41-20 BARRIO SANTA ANA</v>
          </cell>
          <cell r="G723" t="str">
            <v>05615</v>
          </cell>
        </row>
        <row r="724">
          <cell r="A724" t="str">
            <v>901335234</v>
          </cell>
          <cell r="B724" t="str">
            <v>3</v>
          </cell>
          <cell r="C724" t="str">
            <v>TERRAH S.A.S</v>
          </cell>
          <cell r="D724" t="str">
            <v>3118500</v>
          </cell>
          <cell r="E724" t="str">
            <v>facturacion@bienesybienes.com.co</v>
          </cell>
          <cell r="F724" t="str">
            <v>CALLE 8 NO. 43 A 48</v>
          </cell>
          <cell r="G724" t="str">
            <v>05615</v>
          </cell>
        </row>
        <row r="725">
          <cell r="A725" t="str">
            <v>901349830</v>
          </cell>
          <cell r="B725" t="str">
            <v>4</v>
          </cell>
          <cell r="C725" t="str">
            <v>4A CONSTRUCTORA S.A.S.</v>
          </cell>
          <cell r="D725" t="str">
            <v>4085401</v>
          </cell>
          <cell r="E725" t="str">
            <v>contabilidad@alcantaraconstructora.com</v>
          </cell>
          <cell r="F725" t="str">
            <v>CR 79 N 39D 37 URBANIZACIÓN LOS LLANOS</v>
          </cell>
          <cell r="G725" t="str">
            <v>05615</v>
          </cell>
        </row>
        <row r="726">
          <cell r="A726" t="str">
            <v>901358760</v>
          </cell>
          <cell r="B726" t="str">
            <v>5</v>
          </cell>
          <cell r="C726" t="str">
            <v>PIETRASANTA CAMPESTRE APARTAMENTOS - PROPIEDAD HORIZONTAL</v>
          </cell>
          <cell r="D726" t="str">
            <v>3213667066</v>
          </cell>
          <cell r="E726" t="str">
            <v>pietrasantacampestre@gmail.com</v>
          </cell>
          <cell r="F726" t="str">
            <v>CR 58 10 03 SEC PALOS VERDES SAN ANTONIO DE PEREIRA</v>
          </cell>
          <cell r="G726" t="str">
            <v>05615</v>
          </cell>
        </row>
        <row r="727">
          <cell r="A727" t="str">
            <v>901393841</v>
          </cell>
          <cell r="B727" t="str">
            <v>1</v>
          </cell>
          <cell r="C727" t="str">
            <v>VENTUS- PROPIEDAD HORIZONTAL</v>
          </cell>
          <cell r="D727" t="str">
            <v>3103937013</v>
          </cell>
          <cell r="E727" t="str">
            <v>ventusapartamentosph@gmail.com</v>
          </cell>
          <cell r="F727" t="str">
            <v>CALLE 40E 49 21BRR SANTA ANA</v>
          </cell>
          <cell r="G727" t="str">
            <v>05615</v>
          </cell>
        </row>
        <row r="728">
          <cell r="A728" t="str">
            <v>901410670</v>
          </cell>
          <cell r="B728" t="str">
            <v>2</v>
          </cell>
          <cell r="C728" t="str">
            <v>GUADUAL APARTAMENTOS- PROPIEDAD HORIZONTAL</v>
          </cell>
          <cell r="D728" t="str">
            <v>3137464362</v>
          </cell>
          <cell r="E728" t="str">
            <v>proveedores@consolidarhabitat.com</v>
          </cell>
          <cell r="F728" t="str">
            <v>CR 86 48 133</v>
          </cell>
          <cell r="G728" t="str">
            <v>05615</v>
          </cell>
        </row>
        <row r="729">
          <cell r="A729" t="str">
            <v>901431987</v>
          </cell>
          <cell r="B729" t="str">
            <v>1</v>
          </cell>
          <cell r="C729" t="str">
            <v>EDIFICIO GAETANO - PROPIEDAD HORIZONTAL</v>
          </cell>
          <cell r="D729" t="str">
            <v>3185479462</v>
          </cell>
          <cell r="E729" t="str">
            <v>admoncayetano@gmail.com</v>
          </cell>
          <cell r="F729" t="str">
            <v>CALLE 30 No. 55 B - 78</v>
          </cell>
          <cell r="G729" t="str">
            <v>05615</v>
          </cell>
        </row>
        <row r="730">
          <cell r="A730" t="str">
            <v>901519384</v>
          </cell>
          <cell r="B730" t="str">
            <v>0</v>
          </cell>
          <cell r="C730" t="str">
            <v>NATIVA PARQUE RESIDENCIAL - PROPIEDAD HORIZONTAL</v>
          </cell>
          <cell r="D730">
            <v>3219664011</v>
          </cell>
          <cell r="E730" t="str">
            <v>nativaparqueresidencial@gmail.com</v>
          </cell>
          <cell r="F730" t="str">
            <v>SEC CIMARRONES AREA URBANA DEL MUNICIPIO DE RIONEGRO</v>
          </cell>
          <cell r="G730" t="str">
            <v>05615</v>
          </cell>
        </row>
        <row r="731">
          <cell r="A731" t="str">
            <v>901550156</v>
          </cell>
          <cell r="B731" t="str">
            <v>8</v>
          </cell>
          <cell r="C731" t="str">
            <v>GUAYACAN APARTAMENTOS - PROPIEDAD HORIZONTAL</v>
          </cell>
          <cell r="D731" t="str">
            <v>3213667066</v>
          </cell>
          <cell r="E731" t="str">
            <v>guayacanpbb@gmail.com</v>
          </cell>
          <cell r="F731" t="str">
            <v>CR 86 No. 48 A - 142</v>
          </cell>
          <cell r="G731" t="str">
            <v>05615</v>
          </cell>
        </row>
        <row r="732">
          <cell r="A732" t="str">
            <v>901603067</v>
          </cell>
          <cell r="B732" t="str">
            <v>1</v>
          </cell>
          <cell r="C732" t="str">
            <v>URBANIZACIÓN CIUDADELA RIOVIVO SUBETAPA 1 MENTA Y SUBETAPA 2 TURQUESA - PROPIEDAD HORIZONTAL</v>
          </cell>
          <cell r="D732" t="str">
            <v>3213667066</v>
          </cell>
          <cell r="E732" t="str">
            <v>ciudadelariovivoph@gmail.com</v>
          </cell>
          <cell r="F732" t="str">
            <v>DG 62 A 52 C 208</v>
          </cell>
          <cell r="G732" t="str">
            <v>05615</v>
          </cell>
        </row>
        <row r="733">
          <cell r="A733" t="str">
            <v>901641311</v>
          </cell>
          <cell r="B733" t="str">
            <v>4</v>
          </cell>
          <cell r="C733" t="str">
            <v>LA PROVINCIA - PROPIEDAD HORIZONTAL</v>
          </cell>
          <cell r="D733" t="str">
            <v>3006138860</v>
          </cell>
          <cell r="E733" t="str">
            <v>provincia.aptos@gmail.com</v>
          </cell>
          <cell r="F733" t="str">
            <v>RANSVERSAL 39A 52EA 74</v>
          </cell>
          <cell r="G733" t="str">
            <v>05615</v>
          </cell>
        </row>
        <row r="734">
          <cell r="A734" t="str">
            <v>901644431</v>
          </cell>
          <cell r="B734" t="str">
            <v>3</v>
          </cell>
          <cell r="C734" t="str">
            <v>UNIDAD RESIDENCIAL SOLARE - PROPIEDAD HORIZONTAL</v>
          </cell>
          <cell r="D734" t="str">
            <v>3113725800</v>
          </cell>
          <cell r="E734" t="str">
            <v>unidadresidencialsolareph@gmail.com</v>
          </cell>
          <cell r="F734" t="str">
            <v>CL 50 60D 136</v>
          </cell>
          <cell r="G734" t="str">
            <v>05615</v>
          </cell>
        </row>
        <row r="735">
          <cell r="A735" t="str">
            <v>901683015</v>
          </cell>
          <cell r="B735" t="str">
            <v>9</v>
          </cell>
          <cell r="C735" t="str">
            <v>CONJUNTO DE USO MIXTO OASIS DE RIOGRANDE . PROPIEDAD HORIZONTAL</v>
          </cell>
          <cell r="D735" t="str">
            <v>3103937013</v>
          </cell>
          <cell r="E735" t="str">
            <v>oasisriogrande@gmail.com</v>
          </cell>
          <cell r="F735" t="str">
            <v>CL 40 A A 50 B B 90</v>
          </cell>
          <cell r="G735" t="str">
            <v>05615</v>
          </cell>
        </row>
        <row r="736">
          <cell r="A736" t="str">
            <v>901729006</v>
          </cell>
          <cell r="B736" t="str">
            <v>2</v>
          </cell>
          <cell r="C736" t="str">
            <v>EUCALIPTO APARTAMENTOS - PROPIEDAD HORIZONTAL</v>
          </cell>
          <cell r="D736" t="str">
            <v>3213667066</v>
          </cell>
          <cell r="E736" t="str">
            <v>eucaliptopbb@gmail.com</v>
          </cell>
          <cell r="F736" t="str">
            <v>DG 83 51 106 PAR BARRO BLANCO EL PORVENIR</v>
          </cell>
          <cell r="G736" t="str">
            <v>05615</v>
          </cell>
        </row>
        <row r="737">
          <cell r="A737" t="str">
            <v>901730852</v>
          </cell>
          <cell r="B737" t="str">
            <v>9</v>
          </cell>
          <cell r="C737" t="str">
            <v>MEDIEVAL PARQUE COMERCIAL Y RESIDENCIAL</v>
          </cell>
          <cell r="D737" t="str">
            <v>3213667066</v>
          </cell>
          <cell r="E737" t="str">
            <v>phmedieval@gmail.com</v>
          </cell>
          <cell r="F737" t="str">
            <v>DG 56 11 142</v>
          </cell>
          <cell r="G737" t="str">
            <v>05615</v>
          </cell>
        </row>
        <row r="738">
          <cell r="A738" t="str">
            <v>901731111</v>
          </cell>
          <cell r="B738" t="str">
            <v>4</v>
          </cell>
          <cell r="C738" t="str">
            <v>CONJUNTO RINCONES DE LLANOGRANDE ETAPA 1 PROPIEDAD HORIZONTAL</v>
          </cell>
          <cell r="D738" t="str">
            <v>3137975364</v>
          </cell>
          <cell r="E738" t="str">
            <v>admon.rinconesdellanograndeph@gmail.com</v>
          </cell>
          <cell r="F738" t="str">
            <v>VDA LLANOGRANDE</v>
          </cell>
          <cell r="G738" t="str">
            <v>05615</v>
          </cell>
        </row>
        <row r="739">
          <cell r="A739" t="str">
            <v>901741619</v>
          </cell>
          <cell r="B739" t="str">
            <v>6</v>
          </cell>
          <cell r="C739" t="str">
            <v>URBANIZACION RECINTO DE GUALANDAY - PROPIEDAD HORIZONTAL</v>
          </cell>
          <cell r="D739" t="str">
            <v>3013382470</v>
          </cell>
          <cell r="E739" t="str">
            <v>proveedores@consolidarhabitat.com</v>
          </cell>
          <cell r="F739" t="str">
            <v>CR 63 31 B 123</v>
          </cell>
          <cell r="G739" t="str">
            <v>05615</v>
          </cell>
        </row>
        <row r="740">
          <cell r="A740" t="str">
            <v>901743970</v>
          </cell>
          <cell r="B740" t="str">
            <v>6</v>
          </cell>
          <cell r="C740" t="str">
            <v>CONJUNTO RESIDENCIAL SAN MIGUEL PROPIEDAD HORIZONTAL</v>
          </cell>
          <cell r="D740" t="str">
            <v>3128085565</v>
          </cell>
          <cell r="E740" t="str">
            <v>sanmiguelphconjuntoresidencial@gmail.com</v>
          </cell>
          <cell r="F740" t="str">
            <v>TRANSVERSAL 15 #55B-150</v>
          </cell>
          <cell r="G740" t="str">
            <v>05615</v>
          </cell>
        </row>
        <row r="741">
          <cell r="A741" t="str">
            <v>901763658</v>
          </cell>
          <cell r="B741" t="str">
            <v>8</v>
          </cell>
          <cell r="C741" t="str">
            <v>CONJUNTO RESIDENCIAL SAN SIMÓN ETAPA 1, TORRE 1- PROPIEDAD HORIZONTAL.</v>
          </cell>
          <cell r="D741" t="str">
            <v>3 0 0 8 2 3 1 1 2 5</v>
          </cell>
          <cell r="E741" t="str">
            <v>sansimonphconjuntoresidencial@gmail.com</v>
          </cell>
          <cell r="F741" t="str">
            <v>DG 56 15 78</v>
          </cell>
          <cell r="G741" t="str">
            <v>05615</v>
          </cell>
        </row>
        <row r="742">
          <cell r="A742" t="str">
            <v>901766998</v>
          </cell>
          <cell r="B742" t="str">
            <v>0</v>
          </cell>
          <cell r="C742" t="str">
            <v>CONDOMINIO LA BOHEMIA - PROPIEDAD HORIZONTAL</v>
          </cell>
          <cell r="D742" t="str">
            <v>3113725800</v>
          </cell>
          <cell r="E742" t="str">
            <v>compras@abelardoyepes.com</v>
          </cell>
          <cell r="F742" t="str">
            <v>ZN RURAL DEL CORR JOSE MARIA CORDOVA VDA YARUMAL</v>
          </cell>
          <cell r="G742" t="str">
            <v>05615</v>
          </cell>
        </row>
        <row r="743">
          <cell r="A743" t="str">
            <v>901825120</v>
          </cell>
          <cell r="B743" t="str">
            <v>5</v>
          </cell>
          <cell r="C743" t="str">
            <v>UNIDAD RESIDENCIAL BORAL - PROPIEDAD HORIZONTAL</v>
          </cell>
          <cell r="D743" t="str">
            <v xml:space="preserve">3 1 1 3 7 2 5 8 0 0 </v>
          </cell>
          <cell r="E743" t="str">
            <v>unidadresidencialboralph@gmail.com</v>
          </cell>
          <cell r="F743" t="str">
            <v>CR 67 A 50 03</v>
          </cell>
          <cell r="G743" t="str">
            <v>05615</v>
          </cell>
        </row>
        <row r="744">
          <cell r="A744" t="str">
            <v>901842001</v>
          </cell>
          <cell r="B744" t="str">
            <v>9</v>
          </cell>
          <cell r="C744" t="str">
            <v>CONJUNTO RESIDENCIAL AQUA - PROPIEDAD HORIZONTAL</v>
          </cell>
          <cell r="D744" t="str">
            <v>3 1 6 0 1 9 0 0 5 6</v>
          </cell>
          <cell r="E744" t="str">
            <v>aquahogaresph@gmail.com</v>
          </cell>
          <cell r="F744" t="str">
            <v>CR 52 A C 33 A 35</v>
          </cell>
          <cell r="G744" t="str">
            <v>05615</v>
          </cell>
        </row>
        <row r="745">
          <cell r="A745">
            <v>222222222</v>
          </cell>
          <cell r="B745" t="str">
            <v/>
          </cell>
          <cell r="C745" t="str">
            <v>CUANTIAS MENORES</v>
          </cell>
          <cell r="D745">
            <v>3228184763</v>
          </cell>
          <cell r="E745" t="str">
            <v>impuestos@estiloingeniera.com</v>
          </cell>
          <cell r="F745" t="str">
            <v xml:space="preserve">CL 127A 53A 45 TO2 P11 OF1101 </v>
          </cell>
          <cell r="G745" t="str">
            <v>05631</v>
          </cell>
        </row>
        <row r="746">
          <cell r="A746" t="str">
            <v>800027617</v>
          </cell>
          <cell r="B746" t="str">
            <v>3</v>
          </cell>
          <cell r="C746" t="str">
            <v>MENSULA S.A.S.</v>
          </cell>
          <cell r="D746" t="str">
            <v>3613536</v>
          </cell>
          <cell r="E746" t="str">
            <v>facturacion@mensulaingenieros.com</v>
          </cell>
          <cell r="F746" t="str">
            <v>CALLE 10 SUR  50 F F  28  OFICINA 407</v>
          </cell>
          <cell r="G746" t="str">
            <v>05631</v>
          </cell>
        </row>
        <row r="747">
          <cell r="A747" t="str">
            <v>800096890</v>
          </cell>
          <cell r="B747" t="str">
            <v>2</v>
          </cell>
          <cell r="C747" t="str">
            <v>MUROS Y TECHOS S.A.S INGENIEROS ARQUITECTOS</v>
          </cell>
          <cell r="D747" t="str">
            <v>3526363</v>
          </cell>
          <cell r="E747" t="str">
            <v>factura_myt@mt.com.co</v>
          </cell>
          <cell r="F747" t="str">
            <v>CALLE 18 SUR  41 A A  149</v>
          </cell>
          <cell r="G747" t="str">
            <v>05631</v>
          </cell>
        </row>
        <row r="748">
          <cell r="A748" t="str">
            <v>800111153</v>
          </cell>
          <cell r="B748" t="str">
            <v>7</v>
          </cell>
          <cell r="C748" t="str">
            <v>BRAZZO CONSTRUCTORES S.A.S.</v>
          </cell>
          <cell r="D748" t="str">
            <v>2664863</v>
          </cell>
          <cell r="E748" t="str">
            <v>info@brazzoconsultores.com</v>
          </cell>
          <cell r="F748" t="str">
            <v>CL 51 SUR 48 57 OF 7010</v>
          </cell>
          <cell r="G748" t="str">
            <v>05631</v>
          </cell>
        </row>
        <row r="749">
          <cell r="A749" t="str">
            <v>860058070</v>
          </cell>
          <cell r="B749" t="str">
            <v>6</v>
          </cell>
          <cell r="C749" t="str">
            <v>CONSTRUCTORA COLPATRIA S.A.S</v>
          </cell>
          <cell r="D749">
            <v>3219664011</v>
          </cell>
          <cell r="E749" t="str">
            <v>facturacion@constructoracolpatria.com</v>
          </cell>
          <cell r="F749" t="str">
            <v>CARRERA 54 A  127 A  45</v>
          </cell>
          <cell r="G749" t="str">
            <v>05631</v>
          </cell>
        </row>
        <row r="750">
          <cell r="A750" t="str">
            <v>900085852</v>
          </cell>
          <cell r="B750" t="str">
            <v>8</v>
          </cell>
          <cell r="C750" t="str">
            <v>CONSTRUGEN S.A.S.</v>
          </cell>
          <cell r="D750">
            <v>3219664011</v>
          </cell>
          <cell r="E750" t="str">
            <v>facturacion@construgen.com</v>
          </cell>
          <cell r="F750" t="str">
            <v>CARRERA 38  38 SUR  34</v>
          </cell>
          <cell r="G750" t="str">
            <v>05631</v>
          </cell>
        </row>
        <row r="751">
          <cell r="A751" t="str">
            <v>900145284</v>
          </cell>
          <cell r="B751" t="str">
            <v>2</v>
          </cell>
          <cell r="C751" t="str">
            <v>CONJUNTO RESIDENCIAL TORREMOLINOS</v>
          </cell>
          <cell r="D751" t="str">
            <v>3670983</v>
          </cell>
          <cell r="E751" t="str">
            <v>torremolinos3000@gmail.com</v>
          </cell>
          <cell r="F751" t="str">
            <v>CALLE 67 SUR 45-52</v>
          </cell>
          <cell r="G751" t="str">
            <v>05631</v>
          </cell>
        </row>
        <row r="752">
          <cell r="A752" t="str">
            <v>900191119</v>
          </cell>
          <cell r="B752" t="str">
            <v>0</v>
          </cell>
          <cell r="C752" t="str">
            <v>AVES MARIA PARQUE COMERCIAL P.H.</v>
          </cell>
          <cell r="D752" t="str">
            <v>4035370</v>
          </cell>
          <cell r="E752" t="str">
            <v>gestioncontable@avesmaria.com</v>
          </cell>
          <cell r="F752" t="str">
            <v>CALLE 75 SUR  43 A  202</v>
          </cell>
          <cell r="G752" t="str">
            <v>05631</v>
          </cell>
        </row>
        <row r="753">
          <cell r="A753" t="str">
            <v>900253021</v>
          </cell>
          <cell r="B753" t="str">
            <v>5</v>
          </cell>
          <cell r="C753" t="str">
            <v>CORPORACION UNIVERSITARIA DE SABANETA - UNISABANETA</v>
          </cell>
          <cell r="D753">
            <v>3219664011</v>
          </cell>
          <cell r="E753" t="str">
            <v>recepcion.facturas@unisabaneta.edu.co</v>
          </cell>
          <cell r="F753" t="str">
            <v>CALLE 75 SUR  34  120</v>
          </cell>
          <cell r="G753" t="str">
            <v>05631</v>
          </cell>
        </row>
        <row r="754">
          <cell r="A754" t="str">
            <v>900262169</v>
          </cell>
          <cell r="B754" t="str">
            <v>4</v>
          </cell>
          <cell r="C754" t="str">
            <v>UNIDAD RESIDENCIAL AL SUR P.H.</v>
          </cell>
          <cell r="D754" t="str">
            <v>5794538</v>
          </cell>
          <cell r="E754" t="str">
            <v>unidadresidencialalsurph@gmail.com</v>
          </cell>
          <cell r="F754" t="str">
            <v>CARRERA 43 A  60 B SUR  25</v>
          </cell>
          <cell r="G754" t="str">
            <v>05631</v>
          </cell>
        </row>
        <row r="755">
          <cell r="A755" t="str">
            <v>900311477</v>
          </cell>
          <cell r="B755" t="str">
            <v>9</v>
          </cell>
          <cell r="C755" t="str">
            <v>CREATIVA DISEÑO Y CONSTRUCCION S.A.S.</v>
          </cell>
          <cell r="D755" t="str">
            <v>3045907926</v>
          </cell>
          <cell r="E755" t="str">
            <v>facturacionbrizzacdc@gmail.com</v>
          </cell>
          <cell r="F755" t="str">
            <v>CARRERA 29 N 73 SUR 250 INT 105</v>
          </cell>
          <cell r="G755" t="str">
            <v>05631</v>
          </cell>
        </row>
        <row r="756">
          <cell r="A756" t="str">
            <v>900314995</v>
          </cell>
          <cell r="B756" t="str">
            <v>6</v>
          </cell>
          <cell r="C756" t="str">
            <v>CONSTRUBIENES J.G. S.A.S</v>
          </cell>
          <cell r="D756" t="str">
            <v>3669096</v>
          </cell>
          <cell r="E756" t="str">
            <v>contabilidad@construbienesjg.com</v>
          </cell>
          <cell r="F756" t="str">
            <v>CR 46 74 SUR 48 LC 101 ED BOREAL</v>
          </cell>
          <cell r="G756" t="str">
            <v>05631</v>
          </cell>
        </row>
        <row r="757">
          <cell r="A757" t="str">
            <v>900315057</v>
          </cell>
          <cell r="B757" t="str">
            <v>7</v>
          </cell>
          <cell r="C757" t="str">
            <v>CONSTRUCTORA CONARTE S.A.S</v>
          </cell>
          <cell r="D757" t="str">
            <v>2728054</v>
          </cell>
          <cell r="E757" t="str">
            <v>radicacion@constructoraconarte.com</v>
          </cell>
          <cell r="F757" t="str">
            <v>CARRERA 82 A  32 E E  45</v>
          </cell>
          <cell r="G757" t="str">
            <v>05631</v>
          </cell>
        </row>
        <row r="758">
          <cell r="A758" t="str">
            <v>900472875</v>
          </cell>
          <cell r="B758" t="str">
            <v>7</v>
          </cell>
          <cell r="C758" t="str">
            <v>CONJUNTO MULTIFAMILIAR Y DE COMERCIO SCARLATTA P.H.</v>
          </cell>
          <cell r="D758" t="str">
            <v>4447560</v>
          </cell>
          <cell r="E758" t="str">
            <v>scarlattaadmon@gmail.com</v>
          </cell>
          <cell r="F758" t="str">
            <v>CALLE 70 SUR  46  41</v>
          </cell>
          <cell r="G758" t="str">
            <v>05631</v>
          </cell>
        </row>
        <row r="759">
          <cell r="A759" t="str">
            <v>900522508</v>
          </cell>
          <cell r="B759" t="str">
            <v>4</v>
          </cell>
          <cell r="C759" t="str">
            <v>INVERSIONES SUPERVAQUITA LA 33 S.A.S.</v>
          </cell>
          <cell r="D759" t="str">
            <v>4442010</v>
          </cell>
          <cell r="E759" t="str">
            <v>siesaferecepcion@siesafe.co</v>
          </cell>
          <cell r="F759" t="str">
            <v>CALLE 33  83 A  36</v>
          </cell>
          <cell r="G759" t="str">
            <v>05631</v>
          </cell>
        </row>
        <row r="760">
          <cell r="A760" t="str">
            <v>900526342</v>
          </cell>
          <cell r="B760" t="str">
            <v>7</v>
          </cell>
          <cell r="C760" t="str">
            <v>EDIFICIO PALO SANTO P.H</v>
          </cell>
          <cell r="D760" t="str">
            <v>3006328254</v>
          </cell>
          <cell r="E760" t="str">
            <v>edificiopalosantoph@gmail.com</v>
          </cell>
          <cell r="F760" t="str">
            <v>CALLE 69 SUR  46  145</v>
          </cell>
          <cell r="G760" t="str">
            <v>05631</v>
          </cell>
        </row>
        <row r="761">
          <cell r="A761" t="str">
            <v>900543702</v>
          </cell>
          <cell r="B761" t="str">
            <v>7</v>
          </cell>
          <cell r="C761" t="str">
            <v>URBANIZACION LA VEGA PARQUE RESIDENCIAL P.H.</v>
          </cell>
          <cell r="D761" t="str">
            <v>6133410</v>
          </cell>
          <cell r="E761" t="str">
            <v>copropiedadlavega@gmail.com</v>
          </cell>
          <cell r="F761" t="str">
            <v>CARRERA 38  75 B SUR  115</v>
          </cell>
          <cell r="G761" t="str">
            <v>05631</v>
          </cell>
        </row>
        <row r="762">
          <cell r="A762" t="str">
            <v>900573124</v>
          </cell>
          <cell r="B762" t="str">
            <v>8</v>
          </cell>
          <cell r="C762" t="str">
            <v>URBANIZACION SAN REMO P.H.</v>
          </cell>
          <cell r="D762" t="str">
            <v>5780001</v>
          </cell>
          <cell r="E762" t="str">
            <v>phmundosanremo@gmail.com</v>
          </cell>
          <cell r="F762" t="str">
            <v>CALLE 78 SUR  40  211</v>
          </cell>
          <cell r="G762" t="str">
            <v>05631</v>
          </cell>
        </row>
        <row r="763">
          <cell r="A763" t="str">
            <v>900573567</v>
          </cell>
          <cell r="B763" t="str">
            <v>7</v>
          </cell>
          <cell r="C763" t="str">
            <v>CONJUNTO RESIDENCIAL TORRES DE BONAVENTO P.H.</v>
          </cell>
          <cell r="D763" t="str">
            <v>3019546</v>
          </cell>
          <cell r="E763" t="str">
            <v>bonavento.ph@hotmail.com</v>
          </cell>
          <cell r="F763" t="str">
            <v>CARRERA 43 A  75 SUR  38</v>
          </cell>
          <cell r="G763" t="str">
            <v>05631</v>
          </cell>
        </row>
        <row r="764">
          <cell r="A764" t="str">
            <v>900591514</v>
          </cell>
          <cell r="B764" t="str">
            <v>3</v>
          </cell>
          <cell r="C764" t="str">
            <v>CONJUNTO RESIDENCIAL PASEO DE SAN FRANCISCO P.H</v>
          </cell>
          <cell r="D764" t="str">
            <v>3128085565</v>
          </cell>
          <cell r="E764" t="str">
            <v>mifactura9@outlook.com</v>
          </cell>
          <cell r="F764" t="str">
            <v>CALLE 65 SUR  42 B  14</v>
          </cell>
          <cell r="G764" t="str">
            <v>05631</v>
          </cell>
        </row>
        <row r="765">
          <cell r="A765" t="str">
            <v>900618032</v>
          </cell>
          <cell r="B765" t="str">
            <v>4</v>
          </cell>
          <cell r="C765" t="str">
            <v>CONJUNTO RESIDENCIAL URBANIZACION MONTECARMELO PH</v>
          </cell>
          <cell r="D765" t="str">
            <v>5593766</v>
          </cell>
          <cell r="E765" t="str">
            <v>montecarmeloadmon@hotmail.com</v>
          </cell>
          <cell r="F765" t="str">
            <v>CALLE 65 SUR  40  18</v>
          </cell>
          <cell r="G765" t="str">
            <v>05631</v>
          </cell>
        </row>
        <row r="766">
          <cell r="A766" t="str">
            <v>900631676</v>
          </cell>
          <cell r="B766" t="str">
            <v>0</v>
          </cell>
          <cell r="C766" t="str">
            <v>URBANIZACION MONTANA P.H.</v>
          </cell>
          <cell r="D766" t="str">
            <v>5592425</v>
          </cell>
          <cell r="E766" t="str">
            <v>montana.admon@gmail.com</v>
          </cell>
          <cell r="F766" t="str">
            <v>CALLE 78 SUR  40  255</v>
          </cell>
          <cell r="G766" t="str">
            <v>05631</v>
          </cell>
        </row>
        <row r="767">
          <cell r="A767" t="str">
            <v>900640411</v>
          </cell>
          <cell r="B767" t="str">
            <v>4</v>
          </cell>
          <cell r="C767" t="str">
            <v>EDIFICIO MAYORCA FLATS P.H.</v>
          </cell>
          <cell r="D767" t="str">
            <v>3164735119</v>
          </cell>
          <cell r="E767" t="str">
            <v>edificiomayorcaflats@hotmail.com</v>
          </cell>
          <cell r="F767" t="str">
            <v>CALLE 61 SUR  44  61</v>
          </cell>
          <cell r="G767" t="str">
            <v>05631</v>
          </cell>
        </row>
        <row r="768">
          <cell r="A768" t="str">
            <v>900645675</v>
          </cell>
          <cell r="B768" t="str">
            <v>4</v>
          </cell>
          <cell r="C768" t="str">
            <v>CONJUNTO RESIDENCIAL CANTOLUNA P.H.</v>
          </cell>
          <cell r="D768" t="str">
            <v>3004296639</v>
          </cell>
          <cell r="E768" t="str">
            <v>crcantoluna@hotmail.com</v>
          </cell>
          <cell r="F768" t="str">
            <v>CARRERA 43 A  70 SUR  17</v>
          </cell>
          <cell r="G768" t="str">
            <v>05631</v>
          </cell>
        </row>
        <row r="769">
          <cell r="A769" t="str">
            <v>900651982</v>
          </cell>
          <cell r="B769" t="str">
            <v>5</v>
          </cell>
          <cell r="C769" t="str">
            <v>EDIFICIO TORREON DE SABANETA P.H.</v>
          </cell>
          <cell r="D769" t="str">
            <v>2886892</v>
          </cell>
          <cell r="E769" t="str">
            <v>admonedificiotorreondesabaneta@gmail.com</v>
          </cell>
          <cell r="F769" t="str">
            <v>CALLE 56 SUR  40 B  22</v>
          </cell>
          <cell r="G769" t="str">
            <v>05631</v>
          </cell>
        </row>
        <row r="770">
          <cell r="A770" t="str">
            <v>900654889</v>
          </cell>
          <cell r="B770" t="str">
            <v>1</v>
          </cell>
          <cell r="C770" t="str">
            <v>EDIFICIO BALCONES DE LA HOLANDA P. H.</v>
          </cell>
          <cell r="D770" t="str">
            <v>3155818079</v>
          </cell>
          <cell r="E770" t="str">
            <v>yisethvelezg@gmail.com</v>
          </cell>
          <cell r="F770" t="str">
            <v>CALLE 80 SUR  47 C  61</v>
          </cell>
          <cell r="G770" t="str">
            <v>05631</v>
          </cell>
        </row>
        <row r="771">
          <cell r="A771" t="str">
            <v>900670510</v>
          </cell>
          <cell r="B771" t="str">
            <v>3</v>
          </cell>
          <cell r="C771" t="str">
            <v>EDIFICIO EDEN DE LA SABANA P.H.</v>
          </cell>
          <cell r="D771" t="str">
            <v>4172768</v>
          </cell>
          <cell r="E771" t="str">
            <v>eredendelasabana@gmail.com</v>
          </cell>
          <cell r="F771" t="str">
            <v>CALLE 71 SUR  45 A  43</v>
          </cell>
          <cell r="G771" t="str">
            <v>05631</v>
          </cell>
        </row>
        <row r="772">
          <cell r="A772" t="str">
            <v>900680595</v>
          </cell>
          <cell r="B772" t="str">
            <v>1</v>
          </cell>
          <cell r="C772" t="str">
            <v>PROMOTORA INMOBILIARIA MI CIUDAD S.A.S</v>
          </cell>
          <cell r="D772" t="str">
            <v>3015563</v>
          </cell>
          <cell r="E772" t="str">
            <v>Archivo@acierto.com.co</v>
          </cell>
          <cell r="F772" t="str">
            <v>CALLE 72 SUR N° 34-350 SABANETA</v>
          </cell>
          <cell r="G772" t="str">
            <v>05631</v>
          </cell>
        </row>
        <row r="773">
          <cell r="A773" t="str">
            <v>900683868</v>
          </cell>
          <cell r="B773" t="str">
            <v>0</v>
          </cell>
          <cell r="C773" t="str">
            <v>URBANIZACION SERRANA APARTAMENTOS P.H.</v>
          </cell>
          <cell r="D773" t="str">
            <v>3660088</v>
          </cell>
          <cell r="E773" t="str">
            <v>APARTAMENTOSSERRANA@gmail.com</v>
          </cell>
          <cell r="F773" t="str">
            <v>CALLE 61 SUR  43 A  32</v>
          </cell>
          <cell r="G773" t="str">
            <v>05631</v>
          </cell>
        </row>
        <row r="774">
          <cell r="A774" t="str">
            <v>900720751</v>
          </cell>
          <cell r="B774" t="str">
            <v>7</v>
          </cell>
          <cell r="C774" t="str">
            <v>CONJUNTO RESIDENCIAL MADEROS DEL CAMPO 3 P.H.</v>
          </cell>
          <cell r="D774" t="str">
            <v>5555555</v>
          </cell>
          <cell r="E774" t="str">
            <v>maderos3ph@gmail.com</v>
          </cell>
          <cell r="F774" t="str">
            <v>CARRERA 39  77 SUR  84</v>
          </cell>
          <cell r="G774" t="str">
            <v>05631</v>
          </cell>
        </row>
        <row r="775">
          <cell r="A775" t="str">
            <v>900727614</v>
          </cell>
          <cell r="B775" t="str">
            <v>8</v>
          </cell>
          <cell r="C775" t="str">
            <v>URBANIZACION MOSTAZA P.H.</v>
          </cell>
          <cell r="D775" t="str">
            <v>3128246567</v>
          </cell>
          <cell r="E775" t="str">
            <v>mostaza.ph@gmail.com</v>
          </cell>
          <cell r="F775" t="str">
            <v>CARRERA 41  57 SUR  53</v>
          </cell>
          <cell r="G775" t="str">
            <v>05631</v>
          </cell>
        </row>
        <row r="776">
          <cell r="A776" t="str">
            <v>900749935</v>
          </cell>
          <cell r="B776" t="str">
            <v>1</v>
          </cell>
          <cell r="C776" t="str">
            <v>VALPARAISO P.H.</v>
          </cell>
          <cell r="D776" t="str">
            <v>3022872224</v>
          </cell>
          <cell r="E776" t="str">
            <v>facturacion1sas@hotmail.com</v>
          </cell>
          <cell r="F776" t="str">
            <v>CALLE 77 SUR  46 D  43</v>
          </cell>
          <cell r="G776" t="str">
            <v>05631</v>
          </cell>
        </row>
        <row r="777">
          <cell r="A777" t="str">
            <v>900753767</v>
          </cell>
          <cell r="B777" t="str">
            <v>6</v>
          </cell>
          <cell r="C777" t="str">
            <v>EDIFICIO EMANUEL P.H.</v>
          </cell>
          <cell r="D777" t="str">
            <v>4442420</v>
          </cell>
          <cell r="E777" t="str">
            <v>facturacion@estiloingenieria.com</v>
          </cell>
          <cell r="F777" t="str">
            <v>CARRERA 46 A  66 SUR  143</v>
          </cell>
          <cell r="G777" t="str">
            <v>05631</v>
          </cell>
        </row>
        <row r="778">
          <cell r="A778" t="str">
            <v>900799319</v>
          </cell>
          <cell r="B778" t="str">
            <v>8</v>
          </cell>
          <cell r="C778" t="str">
            <v>URBANIZACION INDIGO P.H.</v>
          </cell>
          <cell r="D778" t="str">
            <v>3007829888</v>
          </cell>
          <cell r="E778" t="str">
            <v>indigoapartamentos@gmail.com</v>
          </cell>
          <cell r="F778" t="str">
            <v>CALLE 65 SUR  39  235</v>
          </cell>
          <cell r="G778" t="str">
            <v>05631</v>
          </cell>
        </row>
        <row r="779">
          <cell r="A779" t="str">
            <v>900807391</v>
          </cell>
          <cell r="B779" t="str">
            <v>4</v>
          </cell>
          <cell r="C779" t="str">
            <v>CONJUNTO RESIDENCIAL URBANIZACION TORRES DE MAYORCA P.H.</v>
          </cell>
          <cell r="D779" t="str">
            <v>3127838254</v>
          </cell>
          <cell r="E779" t="str">
            <v>tdemayorca@gmail.com</v>
          </cell>
          <cell r="F779" t="str">
            <v>CARRERA 47  52 SUR  110</v>
          </cell>
          <cell r="G779" t="str">
            <v>05631</v>
          </cell>
        </row>
        <row r="780">
          <cell r="A780" t="str">
            <v>900854821</v>
          </cell>
          <cell r="B780" t="str">
            <v>1</v>
          </cell>
          <cell r="C780" t="str">
            <v>CONJUNTO RESIDENCIAL MADEROS DEL CAMPO ETAPA 2 P.H.</v>
          </cell>
          <cell r="D780" t="str">
            <v>3664121</v>
          </cell>
          <cell r="E780" t="str">
            <v>maderos2ph@gmail.com</v>
          </cell>
          <cell r="F780" t="str">
            <v>CARRERA 77 SUR  35 A  71</v>
          </cell>
          <cell r="G780" t="str">
            <v>05631</v>
          </cell>
        </row>
        <row r="781">
          <cell r="A781" t="str">
            <v>900854835</v>
          </cell>
          <cell r="B781" t="str">
            <v>2</v>
          </cell>
          <cell r="C781" t="str">
            <v>CONJUNTO DE USO MIXTO CYPRUS P. H.</v>
          </cell>
          <cell r="D781" t="str">
            <v>3128085565</v>
          </cell>
          <cell r="E781" t="str">
            <v>conjuntocyprus@gmail.com</v>
          </cell>
          <cell r="F781" t="str">
            <v>CARRERA 46  76 SUR  69</v>
          </cell>
          <cell r="G781" t="str">
            <v>05631</v>
          </cell>
        </row>
        <row r="782">
          <cell r="A782" t="str">
            <v>900863862</v>
          </cell>
          <cell r="B782" t="str">
            <v>1</v>
          </cell>
          <cell r="C782" t="str">
            <v>UNIDAD RESIDENCIAL EDIFICIO PORTON DEL SUR P.H.</v>
          </cell>
          <cell r="D782" t="str">
            <v>4178237</v>
          </cell>
          <cell r="E782" t="str">
            <v>asistenteadmonuno@gmail.com</v>
          </cell>
          <cell r="F782" t="str">
            <v>CARRERA 43 A  53 D SUR  46</v>
          </cell>
          <cell r="G782" t="str">
            <v>05631</v>
          </cell>
        </row>
        <row r="783">
          <cell r="A783" t="str">
            <v>900864233</v>
          </cell>
          <cell r="B783" t="str">
            <v>1</v>
          </cell>
          <cell r="C783" t="str">
            <v>URBANIZACION MIRAMONTE P.H.</v>
          </cell>
          <cell r="D783" t="str">
            <v>3007853786</v>
          </cell>
          <cell r="E783" t="str">
            <v>urbanizacionmiramonte@gmail.com</v>
          </cell>
          <cell r="F783" t="str">
            <v>CALLE 75 SUR  33  03</v>
          </cell>
          <cell r="G783" t="str">
            <v>05631</v>
          </cell>
        </row>
        <row r="784">
          <cell r="A784" t="str">
            <v>900903543</v>
          </cell>
          <cell r="B784" t="str">
            <v>8</v>
          </cell>
          <cell r="C784" t="str">
            <v>EDIFICIO ALAIA MANTRA P.H</v>
          </cell>
          <cell r="D784" t="str">
            <v>3116485448</v>
          </cell>
          <cell r="E784" t="str">
            <v>alaiamantraph@gmail.com</v>
          </cell>
          <cell r="F784" t="str">
            <v>CALLE 71 SUR  35  40</v>
          </cell>
          <cell r="G784" t="str">
            <v>05631</v>
          </cell>
        </row>
        <row r="785">
          <cell r="A785" t="str">
            <v>900911900</v>
          </cell>
          <cell r="B785" t="str">
            <v>8</v>
          </cell>
          <cell r="C785" t="str">
            <v>CONJUNTO DE USO MIXTO MISONI PH</v>
          </cell>
          <cell r="D785" t="str">
            <v>2999344</v>
          </cell>
          <cell r="E785" t="str">
            <v>misoni.ph@gmail.com</v>
          </cell>
          <cell r="F785" t="str">
            <v>CARRERA 43 A  63 SUR  120</v>
          </cell>
          <cell r="G785" t="str">
            <v>05631</v>
          </cell>
        </row>
        <row r="786">
          <cell r="A786" t="str">
            <v>900928629</v>
          </cell>
          <cell r="B786" t="str">
            <v>0</v>
          </cell>
          <cell r="C786" t="str">
            <v>EDIFICIO LYRA P.H</v>
          </cell>
          <cell r="D786" t="str">
            <v>3673319</v>
          </cell>
          <cell r="E786" t="str">
            <v>edificiolyra@gmail.com</v>
          </cell>
          <cell r="F786" t="str">
            <v>CALLE 70 SUR  38  35</v>
          </cell>
          <cell r="G786" t="str">
            <v>05631</v>
          </cell>
        </row>
        <row r="787">
          <cell r="A787" t="str">
            <v>900981887</v>
          </cell>
          <cell r="B787" t="str">
            <v>9</v>
          </cell>
          <cell r="C787" t="str">
            <v>CONJUNTO RESIDENCIAL AMONTE  P.H.</v>
          </cell>
          <cell r="D787">
            <v>3219664011</v>
          </cell>
          <cell r="E787" t="str">
            <v>administracion@conjuntoamonte.com</v>
          </cell>
          <cell r="F787" t="str">
            <v>CARRERA 45  80 SUR  155</v>
          </cell>
          <cell r="G787" t="str">
            <v>05631</v>
          </cell>
        </row>
        <row r="788">
          <cell r="A788" t="str">
            <v>901041997</v>
          </cell>
          <cell r="B788" t="str">
            <v>1</v>
          </cell>
          <cell r="C788" t="str">
            <v>URBANIZACION CANELA  P.H.</v>
          </cell>
          <cell r="D788" t="str">
            <v>3104160362</v>
          </cell>
          <cell r="E788" t="str">
            <v>factproveedorcanela@gmail.com</v>
          </cell>
          <cell r="F788" t="str">
            <v>CARRERA 41  57 SUR  01</v>
          </cell>
          <cell r="G788" t="str">
            <v>05631</v>
          </cell>
        </row>
        <row r="789">
          <cell r="A789" t="str">
            <v>901089729</v>
          </cell>
          <cell r="B789" t="str">
            <v>1</v>
          </cell>
          <cell r="C789" t="str">
            <v>CONJUNTO RESIDENCIAL MANZANA ONCE P.H</v>
          </cell>
          <cell r="D789" t="str">
            <v>3205148987</v>
          </cell>
          <cell r="E789" t="str">
            <v>admonmanzanaonce@gmail.com</v>
          </cell>
          <cell r="F789" t="str">
            <v>CALLE 79 A SUR  46  49</v>
          </cell>
          <cell r="G789" t="str">
            <v>05631</v>
          </cell>
        </row>
        <row r="790">
          <cell r="A790" t="str">
            <v>901110203</v>
          </cell>
          <cell r="B790" t="str">
            <v>9</v>
          </cell>
          <cell r="C790" t="str">
            <v>CONJUNTO RESIDENCIAL LEMMON 1 ETAPA P.H.</v>
          </cell>
          <cell r="D790" t="str">
            <v>3146158546</v>
          </cell>
          <cell r="E790" t="str">
            <v>lemmoncitrus.admon@gmail.com</v>
          </cell>
          <cell r="F790" t="str">
            <v>CARRERA 43 A  71 SUR  41</v>
          </cell>
          <cell r="G790" t="str">
            <v>05631</v>
          </cell>
        </row>
        <row r="791">
          <cell r="A791" t="str">
            <v>901134108</v>
          </cell>
          <cell r="B791" t="str">
            <v>0</v>
          </cell>
          <cell r="C791" t="str">
            <v>URBANIZACION KORE APARTAMENTOS P.H.</v>
          </cell>
          <cell r="D791" t="str">
            <v>3006913852</v>
          </cell>
          <cell r="E791" t="str">
            <v>apartamentoskore@gmail.com</v>
          </cell>
          <cell r="F791" t="str">
            <v>CARRERA 46  76 SUR  70</v>
          </cell>
          <cell r="G791" t="str">
            <v>05631</v>
          </cell>
        </row>
        <row r="792">
          <cell r="A792" t="str">
            <v>901136542</v>
          </cell>
          <cell r="B792" t="str">
            <v>3</v>
          </cell>
          <cell r="C792" t="str">
            <v>CONJUNTO INMOBILIARIO CANARIAS P.H.</v>
          </cell>
          <cell r="D792" t="str">
            <v>4442015</v>
          </cell>
          <cell r="E792" t="str">
            <v>urbcanariasph@gmail.com</v>
          </cell>
          <cell r="F792" t="str">
            <v>CL 62 SUR 44 59</v>
          </cell>
          <cell r="G792" t="str">
            <v>05631</v>
          </cell>
        </row>
        <row r="793">
          <cell r="A793" t="str">
            <v>901139752</v>
          </cell>
          <cell r="B793" t="str">
            <v>7</v>
          </cell>
          <cell r="C793" t="str">
            <v>CONJUNTO DE USO MIXTO URBANIZACIÓN RIO SECRETO P.H.</v>
          </cell>
          <cell r="D793" t="str">
            <v>3128085565</v>
          </cell>
          <cell r="E793" t="str">
            <v>rsecreto.ph@hotmail.com</v>
          </cell>
          <cell r="F793" t="str">
            <v>CALLE 78 E SUR  47 C  80</v>
          </cell>
          <cell r="G793" t="str">
            <v>05631</v>
          </cell>
        </row>
        <row r="794">
          <cell r="A794" t="str">
            <v>901161173</v>
          </cell>
          <cell r="B794" t="str">
            <v>4</v>
          </cell>
          <cell r="C794" t="str">
            <v>GRUPO MILLA SAS</v>
          </cell>
          <cell r="D794" t="str">
            <v>3220044</v>
          </cell>
          <cell r="E794" t="str">
            <v>facturas.proveedores@grupomilla.com</v>
          </cell>
          <cell r="F794" t="str">
            <v>CALLE 60SUR 44-57</v>
          </cell>
          <cell r="G794" t="str">
            <v>05631</v>
          </cell>
        </row>
        <row r="795">
          <cell r="A795" t="str">
            <v>901187625</v>
          </cell>
          <cell r="B795" t="str">
            <v>4</v>
          </cell>
          <cell r="C795" t="str">
            <v>CLUB RESIDENCIAL FIDELENA PARK P.H.</v>
          </cell>
          <cell r="D795" t="str">
            <v>2157954</v>
          </cell>
          <cell r="E795" t="str">
            <v>fidelenapark@gmail.com</v>
          </cell>
          <cell r="F795" t="str">
            <v>CL 75 B 38 05</v>
          </cell>
          <cell r="G795" t="str">
            <v>05631</v>
          </cell>
        </row>
        <row r="796">
          <cell r="A796" t="str">
            <v>901209144</v>
          </cell>
          <cell r="B796" t="str">
            <v>1</v>
          </cell>
          <cell r="C796" t="str">
            <v>CONJUNTO RESIDENCIAL NATURA-PH</v>
          </cell>
          <cell r="D796" t="str">
            <v>2682381</v>
          </cell>
          <cell r="E796" t="str">
            <v>naturaadmon7@gmail.com</v>
          </cell>
          <cell r="F796" t="str">
            <v>CL 72 SUR 32 50</v>
          </cell>
          <cell r="G796" t="str">
            <v>05631</v>
          </cell>
        </row>
        <row r="797">
          <cell r="A797" t="str">
            <v>901221471</v>
          </cell>
          <cell r="B797" t="str">
            <v>2</v>
          </cell>
          <cell r="C797" t="str">
            <v>CONJUNTO RESIDENCIAL MADEROS DEL CAMPO 1 P.H.</v>
          </cell>
          <cell r="D797" t="str">
            <v>3664121</v>
          </cell>
          <cell r="E797" t="str">
            <v>maderosdelcampo1ph@gmail.com</v>
          </cell>
          <cell r="F797" t="str">
            <v>CLL 77 SUR 35 A 105</v>
          </cell>
          <cell r="G797" t="str">
            <v>05631</v>
          </cell>
        </row>
        <row r="798">
          <cell r="A798" t="str">
            <v>901223457</v>
          </cell>
          <cell r="B798" t="str">
            <v>8</v>
          </cell>
          <cell r="C798" t="str">
            <v>EDIFICIO AMATISTA STYLE - P.H.</v>
          </cell>
          <cell r="D798" t="str">
            <v>4174277</v>
          </cell>
          <cell r="E798" t="str">
            <v>admon.amatista1@gmail.com</v>
          </cell>
          <cell r="F798" t="str">
            <v>CL 72 SUR 34 125</v>
          </cell>
          <cell r="G798" t="str">
            <v>05631</v>
          </cell>
        </row>
        <row r="799">
          <cell r="A799" t="str">
            <v>901235688</v>
          </cell>
          <cell r="B799" t="str">
            <v>4</v>
          </cell>
          <cell r="C799" t="str">
            <v>UNIDAD RESIDENCIAL VENTUM P.H.</v>
          </cell>
          <cell r="D799" t="str">
            <v>5783985</v>
          </cell>
          <cell r="E799" t="str">
            <v>ventum.ph@hotmail.com</v>
          </cell>
          <cell r="F799" t="str">
            <v>CL 64 SUR 39 130</v>
          </cell>
          <cell r="G799" t="str">
            <v>05631</v>
          </cell>
        </row>
        <row r="800">
          <cell r="A800" t="str">
            <v>901235972</v>
          </cell>
          <cell r="B800" t="str">
            <v>1</v>
          </cell>
          <cell r="C800" t="str">
            <v>CONSORCIO PAN DE AZUCAR</v>
          </cell>
          <cell r="D800" t="str">
            <v>6044446331</v>
          </cell>
          <cell r="E800" t="str">
            <v>info@mogacon.com.co</v>
          </cell>
          <cell r="F800" t="str">
            <v>CALLE 35 A SUR #47-45 OF 1</v>
          </cell>
          <cell r="G800" t="str">
            <v>05631</v>
          </cell>
        </row>
        <row r="801">
          <cell r="A801" t="str">
            <v>901238646</v>
          </cell>
          <cell r="B801" t="str">
            <v>9</v>
          </cell>
          <cell r="C801" t="str">
            <v>ALTOS DE VALPARAISO P.H.</v>
          </cell>
          <cell r="D801" t="str">
            <v>3146204043</v>
          </cell>
          <cell r="E801" t="str">
            <v>altosdevalparaisoapartamentos@gmail.com</v>
          </cell>
          <cell r="F801" t="str">
            <v>CR 77 SUR 46 180</v>
          </cell>
          <cell r="G801" t="str">
            <v>05631</v>
          </cell>
        </row>
        <row r="802">
          <cell r="A802" t="str">
            <v>901242203</v>
          </cell>
          <cell r="B802" t="str">
            <v>5</v>
          </cell>
          <cell r="C802" t="str">
            <v>CONJUNTO RESIDENCIAL VISTA APARTAMIRADOR P.H. ETAPA 1 - TORRE 1</v>
          </cell>
          <cell r="D802" t="str">
            <v>2883142</v>
          </cell>
          <cell r="E802" t="str">
            <v>admonvistamirador@gmail.com</v>
          </cell>
          <cell r="F802" t="str">
            <v>CL 71 SUR 33 150</v>
          </cell>
          <cell r="G802" t="str">
            <v>05631</v>
          </cell>
        </row>
        <row r="803">
          <cell r="A803" t="str">
            <v>901245899</v>
          </cell>
          <cell r="B803" t="str">
            <v>4</v>
          </cell>
          <cell r="C803" t="str">
            <v>CONJUNTO RESIDENCIAL BANGKOK P.H.</v>
          </cell>
          <cell r="D803" t="str">
            <v>3019546</v>
          </cell>
          <cell r="E803" t="str">
            <v>facturastuadmon@gmail.com</v>
          </cell>
          <cell r="F803" t="str">
            <v>CL 75 SUR 42 97</v>
          </cell>
          <cell r="G803" t="str">
            <v>05631</v>
          </cell>
        </row>
        <row r="804">
          <cell r="A804" t="str">
            <v>901248753</v>
          </cell>
          <cell r="B804" t="str">
            <v>1</v>
          </cell>
          <cell r="C804" t="str">
            <v>CONJUNTO RESIDENCIAL BALUARTE P.H</v>
          </cell>
          <cell r="D804" t="str">
            <v>3175168144</v>
          </cell>
          <cell r="E804" t="str">
            <v>copropiedadbaluarte@gmail.com</v>
          </cell>
          <cell r="F804" t="str">
            <v>cr 38 75 b sur 257</v>
          </cell>
          <cell r="G804" t="str">
            <v>05631</v>
          </cell>
        </row>
        <row r="805">
          <cell r="A805" t="str">
            <v>901253088</v>
          </cell>
          <cell r="B805" t="str">
            <v>1</v>
          </cell>
          <cell r="C805" t="str">
            <v>EDIFICIO CIBELES P.H</v>
          </cell>
          <cell r="D805" t="str">
            <v>3122404547</v>
          </cell>
          <cell r="E805" t="str">
            <v>admoncibelesph@gmail.com</v>
          </cell>
          <cell r="F805" t="str">
            <v>CRA 45 C C 70 SUR 14</v>
          </cell>
          <cell r="G805" t="str">
            <v>05631</v>
          </cell>
        </row>
        <row r="806">
          <cell r="A806" t="str">
            <v>901261147</v>
          </cell>
          <cell r="B806" t="str">
            <v>1</v>
          </cell>
          <cell r="C806" t="str">
            <v>URBANIZACION DEL CONJUNTO RESIDENCIAL AIRES DEL BOSQUE ETAPA 1 Y 2 PH</v>
          </cell>
          <cell r="D806" t="str">
            <v>3054228995</v>
          </cell>
          <cell r="E806" t="str">
            <v>Qvfacturas@gmail.com</v>
          </cell>
          <cell r="F806" t="str">
            <v>CARRERA 32 77 SUR - 371</v>
          </cell>
          <cell r="G806" t="str">
            <v>05631</v>
          </cell>
        </row>
        <row r="807">
          <cell r="A807" t="str">
            <v>901285494</v>
          </cell>
          <cell r="B807" t="str">
            <v>6</v>
          </cell>
          <cell r="C807" t="str">
            <v>UNIDAD RESIDENCIAL URBANIZACION SABATTO P.H ETAPA 1 TORRE 1</v>
          </cell>
          <cell r="D807" t="str">
            <v>3003255856</v>
          </cell>
          <cell r="E807" t="str">
            <v>sabattoapartamentos@gmail.com</v>
          </cell>
          <cell r="F807" t="str">
            <v>CL 61 B SUR 40 20</v>
          </cell>
          <cell r="G807" t="str">
            <v>05631</v>
          </cell>
        </row>
        <row r="808">
          <cell r="A808" t="str">
            <v>901292339</v>
          </cell>
          <cell r="B808" t="str">
            <v>1</v>
          </cell>
          <cell r="C808" t="str">
            <v>EDIFICIO GAUDI P.H.</v>
          </cell>
          <cell r="D808" t="str">
            <v>5898536</v>
          </cell>
          <cell r="E808" t="str">
            <v>facturacion@giraldociro.co</v>
          </cell>
          <cell r="F808" t="str">
            <v>CRA 45 75 SUR 81</v>
          </cell>
          <cell r="G808" t="str">
            <v>05631</v>
          </cell>
        </row>
        <row r="809">
          <cell r="A809" t="str">
            <v>901324465</v>
          </cell>
          <cell r="B809" t="str">
            <v>0</v>
          </cell>
          <cell r="C809" t="str">
            <v>CONJUNTO RESIDENCIAL PRIMEIRO APARTAMENTOS P.H</v>
          </cell>
          <cell r="D809" t="str">
            <v>3015893327</v>
          </cell>
          <cell r="E809" t="str">
            <v>admonprimeiro@gmail.com</v>
          </cell>
          <cell r="F809" t="str">
            <v>CALLE 78 SUR 90 44</v>
          </cell>
          <cell r="G809" t="str">
            <v>05631</v>
          </cell>
        </row>
        <row r="810">
          <cell r="A810" t="str">
            <v>901336243</v>
          </cell>
          <cell r="B810" t="str">
            <v>4</v>
          </cell>
          <cell r="C810" t="str">
            <v>CONJUNTO BULEVAR DEL ALCAZAR P.H. ETAPA 1</v>
          </cell>
          <cell r="D810" t="str">
            <v>4483468</v>
          </cell>
          <cell r="E810" t="str">
            <v>administracion@bulevardelalcazar.com</v>
          </cell>
          <cell r="F810" t="str">
            <v>CR 43 A 64 SUR 65</v>
          </cell>
          <cell r="G810" t="str">
            <v>05631</v>
          </cell>
        </row>
        <row r="811">
          <cell r="A811" t="str">
            <v>901399851</v>
          </cell>
          <cell r="B811" t="str">
            <v>2</v>
          </cell>
          <cell r="C811" t="str">
            <v>URBANIZACION LAUREL PH</v>
          </cell>
          <cell r="D811" t="str">
            <v>5879307</v>
          </cell>
          <cell r="E811" t="str">
            <v>facturacionlaurelph@gmail.com</v>
          </cell>
          <cell r="F811" t="str">
            <v>CARRERA 41 CON CALLE 57 SUR SABANETA</v>
          </cell>
          <cell r="G811" t="str">
            <v>05631</v>
          </cell>
        </row>
        <row r="812">
          <cell r="A812" t="str">
            <v>901418955</v>
          </cell>
          <cell r="B812" t="str">
            <v>2</v>
          </cell>
          <cell r="C812" t="str">
            <v>CONJUNTO RESIDENCIAL MAZZARO ETAPA 1 P.H</v>
          </cell>
          <cell r="D812" t="str">
            <v>3006162174</v>
          </cell>
          <cell r="E812" t="str">
            <v>conjuntoresidencialmazzaro@gmail.com</v>
          </cell>
          <cell r="F812" t="str">
            <v>CARRERA 32 A 77 SUR 73</v>
          </cell>
          <cell r="G812" t="str">
            <v>05631</v>
          </cell>
        </row>
        <row r="813">
          <cell r="A813" t="str">
            <v>901428066</v>
          </cell>
          <cell r="B813" t="str">
            <v>2</v>
          </cell>
          <cell r="C813" t="str">
            <v>CONJUNTO DE USO MIXTO URBANIZACION RIO MISTICO PROPIEDAD HORIZONTAL</v>
          </cell>
          <cell r="D813" t="str">
            <v>4442015</v>
          </cell>
          <cell r="E813" t="str">
            <v>riomisticoph1@gmail.com</v>
          </cell>
          <cell r="F813" t="str">
            <v>CL 77 SUR 47 C 65</v>
          </cell>
          <cell r="G813" t="str">
            <v>05631</v>
          </cell>
        </row>
        <row r="814">
          <cell r="A814" t="str">
            <v>901441644</v>
          </cell>
          <cell r="B814" t="str">
            <v>3</v>
          </cell>
          <cell r="C814" t="str">
            <v>EDIFICIO VISTA DEL VALLE TORRE 1 ETAPA 1 P.H.</v>
          </cell>
          <cell r="D814" t="str">
            <v>3345055</v>
          </cell>
          <cell r="E814" t="str">
            <v>contabilidad@tmgservicios.com</v>
          </cell>
          <cell r="F814" t="str">
            <v>CR 32 B 63B SUR 33</v>
          </cell>
          <cell r="G814" t="str">
            <v>05631</v>
          </cell>
        </row>
        <row r="815">
          <cell r="A815" t="str">
            <v>901477134</v>
          </cell>
          <cell r="B815" t="str">
            <v>4</v>
          </cell>
          <cell r="C815" t="str">
            <v>EDIFICIO MIXTO SABANETA BRIDGE TOWER PH</v>
          </cell>
          <cell r="D815" t="str">
            <v>3117770145</v>
          </cell>
          <cell r="E815" t="str">
            <v>jfgph.admon@gmail.com</v>
          </cell>
          <cell r="F815" t="str">
            <v>CL 67 SUR 46 10</v>
          </cell>
          <cell r="G815" t="str">
            <v>05631</v>
          </cell>
        </row>
        <row r="816">
          <cell r="A816" t="str">
            <v>901483232</v>
          </cell>
          <cell r="B816" t="str">
            <v>2</v>
          </cell>
          <cell r="C816" t="str">
            <v>PARIS PARQUE RESIDENCIAL P.H."</v>
          </cell>
          <cell r="D816" t="str">
            <v>3122914823</v>
          </cell>
          <cell r="E816" t="str">
            <v>parispresidencial2021@gmail.com</v>
          </cell>
          <cell r="F816" t="str">
            <v>CL 64 SUR 39 67</v>
          </cell>
          <cell r="G816" t="str">
            <v>05631</v>
          </cell>
        </row>
        <row r="817">
          <cell r="A817" t="str">
            <v>901521075</v>
          </cell>
          <cell r="B817" t="str">
            <v>6</v>
          </cell>
          <cell r="C817" t="str">
            <v>CONJUNTO RESIDENCIAL AIRES DEL CAMPO PH</v>
          </cell>
          <cell r="D817" t="str">
            <v>3108455200</v>
          </cell>
          <cell r="E817" t="str">
            <v>airesdelcampoph@gmail.com</v>
          </cell>
          <cell r="F817" t="str">
            <v>CL 77 SUR 29 49</v>
          </cell>
          <cell r="G817" t="str">
            <v>05631</v>
          </cell>
        </row>
        <row r="818">
          <cell r="A818" t="str">
            <v>901521864</v>
          </cell>
          <cell r="B818" t="str">
            <v>0</v>
          </cell>
          <cell r="C818" t="str">
            <v>INVERSIONES KO U OHANA SAS</v>
          </cell>
          <cell r="D818" t="str">
            <v>3133721614</v>
          </cell>
          <cell r="E818" t="str">
            <v>inversioneskouohana@gmail.com</v>
          </cell>
          <cell r="F818" t="str">
            <v>CL 75 SUR 53 120 AP 1601</v>
          </cell>
          <cell r="G818" t="str">
            <v>05631</v>
          </cell>
        </row>
        <row r="819">
          <cell r="A819" t="str">
            <v>901559041</v>
          </cell>
          <cell r="B819" t="str">
            <v>0</v>
          </cell>
          <cell r="C819" t="str">
            <v>"UNIDAD CERRADA MONTEFLOR" - PROPIEDAD HORIZONTAL, ETAPA ACACIA</v>
          </cell>
          <cell r="D819" t="str">
            <v>3182545160</v>
          </cell>
          <cell r="E819" t="str">
            <v>facturacionmontefloracacia@gmail.com</v>
          </cell>
          <cell r="F819" t="str">
            <v>CALLE 63 B SUR 32 552</v>
          </cell>
          <cell r="G819" t="str">
            <v>05631</v>
          </cell>
        </row>
        <row r="820">
          <cell r="A820" t="str">
            <v>901567211</v>
          </cell>
          <cell r="B820" t="str">
            <v>1</v>
          </cell>
          <cell r="C820" t="str">
            <v>EDIFICIO ALMIRANTE PROPIEDAD HORIZONTAL</v>
          </cell>
          <cell r="D820" t="str">
            <v>3002904366</v>
          </cell>
          <cell r="E820" t="str">
            <v>edalmiranteph@gmail.com</v>
          </cell>
          <cell r="F820" t="str">
            <v>CL 75 SUR 45 78</v>
          </cell>
          <cell r="G820" t="str">
            <v>05631</v>
          </cell>
        </row>
        <row r="821">
          <cell r="A821" t="str">
            <v>901728852</v>
          </cell>
          <cell r="B821" t="str">
            <v>2</v>
          </cell>
          <cell r="C821" t="str">
            <v>EDIFICIO AQUALINDA - PROPIEDAD HORIZONTAL</v>
          </cell>
          <cell r="D821" t="str">
            <v>3006114345</v>
          </cell>
          <cell r="E821" t="str">
            <v>edificioaqualinda@gmail.com</v>
          </cell>
          <cell r="F821" t="str">
            <v>CL 73 SUR 46 A 06</v>
          </cell>
          <cell r="G821" t="str">
            <v>05631</v>
          </cell>
        </row>
        <row r="822">
          <cell r="A822" t="str">
            <v>901767919</v>
          </cell>
          <cell r="B822" t="str">
            <v>3</v>
          </cell>
          <cell r="C822" t="str">
            <v>CONJUNTO RESIDENCIAL ECOH P.H.</v>
          </cell>
          <cell r="D822" t="str">
            <v>3 0 1 4 3 1 7 6 7 9</v>
          </cell>
          <cell r="E822" t="str">
            <v>ecohapartamentos@gmail.com</v>
          </cell>
          <cell r="F822" t="str">
            <v>CL 77 SUR 34 82</v>
          </cell>
          <cell r="G822" t="str">
            <v>05631</v>
          </cell>
        </row>
        <row r="823">
          <cell r="A823" t="str">
            <v>901779229</v>
          </cell>
          <cell r="B823" t="str">
            <v>1</v>
          </cell>
          <cell r="C823" t="str">
            <v>ZABAN APARTAMENTOS PROPIEDAD HORIZONTAL</v>
          </cell>
          <cell r="D823" t="str">
            <v>3011368107</v>
          </cell>
          <cell r="E823" t="str">
            <v>apartamentoszaban@gmail.com</v>
          </cell>
          <cell r="F823" t="str">
            <v>CL 71SUR 39 78</v>
          </cell>
          <cell r="G823" t="str">
            <v>05631</v>
          </cell>
        </row>
        <row r="824">
          <cell r="A824" t="str">
            <v>901826107</v>
          </cell>
          <cell r="B824" t="str">
            <v>3</v>
          </cell>
          <cell r="C824" t="str">
            <v>EDIFICIO BIANCO P.H.</v>
          </cell>
          <cell r="D824" t="str">
            <v>3 1 0 4 1 5 1 5 4 2</v>
          </cell>
          <cell r="E824" t="str">
            <v>admonbianco24@gmail.com</v>
          </cell>
          <cell r="F824" t="str">
            <v>CL 65 SUR 35 12</v>
          </cell>
          <cell r="G824" t="str">
            <v>05631</v>
          </cell>
        </row>
        <row r="825">
          <cell r="A825" t="str">
            <v>901834714</v>
          </cell>
          <cell r="B825" t="str">
            <v>8</v>
          </cell>
          <cell r="C825" t="str">
            <v>URBANIZACION BRIZZA P.H. ETAPA 1.</v>
          </cell>
          <cell r="D825" t="str">
            <v>3156718469</v>
          </cell>
          <cell r="E825" t="str">
            <v>urbanizacionbrizzaph@gmail.com</v>
          </cell>
          <cell r="F825" t="str">
            <v>CL 81 SUR 33 150</v>
          </cell>
          <cell r="G825" t="str">
            <v>05631</v>
          </cell>
        </row>
        <row r="826">
          <cell r="A826" t="str">
            <v>901851947</v>
          </cell>
          <cell r="B826" t="str">
            <v>9</v>
          </cell>
          <cell r="C826" t="str">
            <v>CONJUNTO RESIDENCIAL BUENA VISTA P.H</v>
          </cell>
          <cell r="D826" t="str">
            <v>3218172367</v>
          </cell>
          <cell r="E826" t="str">
            <v>Buenavistap.h2024@gmail.com</v>
          </cell>
          <cell r="F826" t="str">
            <v>CL 58 SUR 35 121</v>
          </cell>
          <cell r="G826" t="str">
            <v>05631</v>
          </cell>
        </row>
        <row r="827">
          <cell r="A827" t="str">
            <v>901859619</v>
          </cell>
          <cell r="B827" t="str">
            <v>4</v>
          </cell>
          <cell r="C827" t="str">
            <v>EDIFICIO CENTURY TOWER II P.H</v>
          </cell>
          <cell r="D827" t="str">
            <v>3 1 5 4 7 6 4 6 6 1</v>
          </cell>
          <cell r="E827" t="str">
            <v>centurytoweredificio@gmail.com</v>
          </cell>
          <cell r="F827" t="str">
            <v>CL 75 SUR 24 140</v>
          </cell>
          <cell r="G827" t="str">
            <v>05631</v>
          </cell>
        </row>
        <row r="828">
          <cell r="A828">
            <v>222222222</v>
          </cell>
          <cell r="B828" t="str">
            <v/>
          </cell>
          <cell r="C828" t="str">
            <v>CUANTIAS MENORES</v>
          </cell>
          <cell r="D828">
            <v>3228184763</v>
          </cell>
          <cell r="E828" t="str">
            <v>impuestos@estiloingeniera.com</v>
          </cell>
          <cell r="F828" t="str">
            <v xml:space="preserve">CL 127A 53A 45 TO2 P11 OF1101 </v>
          </cell>
          <cell r="G828" t="str">
            <v>05664</v>
          </cell>
        </row>
        <row r="829">
          <cell r="A829" t="str">
            <v>70190607</v>
          </cell>
          <cell r="B829" t="str">
            <v>9</v>
          </cell>
          <cell r="C829" t="str">
            <v>JAIRO LEON AVENDAÑO MUNERA</v>
          </cell>
          <cell r="D829" t="str">
            <v>6 0 4 2 6 6 2 1 8 0</v>
          </cell>
          <cell r="E829" t="str">
            <v>zonaarquitec@gmail.com</v>
          </cell>
          <cell r="F829" t="str">
            <v>CL 44 B 51 82</v>
          </cell>
          <cell r="G829" t="str">
            <v>05664</v>
          </cell>
        </row>
        <row r="830">
          <cell r="A830" t="str">
            <v>900747510</v>
          </cell>
          <cell r="B830" t="str">
            <v>6</v>
          </cell>
          <cell r="C830" t="str">
            <v>CONJUNTO RESIDENCIAL ALMENARES</v>
          </cell>
          <cell r="D830" t="str">
            <v>3205095384</v>
          </cell>
          <cell r="E830" t="str">
            <v>conjuntoresidencialalmenares@gmail.com</v>
          </cell>
          <cell r="F830" t="str">
            <v>CALLE 48  48  96</v>
          </cell>
          <cell r="G830" t="str">
            <v>05697</v>
          </cell>
        </row>
        <row r="831">
          <cell r="A831" t="str">
            <v>1042766190</v>
          </cell>
          <cell r="B831" t="str">
            <v>2</v>
          </cell>
          <cell r="C831" t="str">
            <v>DEISY YURLEY ZABALA ALVAREZ</v>
          </cell>
          <cell r="D831" t="str">
            <v>3106643846</v>
          </cell>
          <cell r="E831" t="str">
            <v>sansebastianedificioyarumal@gmail.com</v>
          </cell>
          <cell r="F831" t="str">
            <v>CL 17 19 53</v>
          </cell>
          <cell r="G831" t="str">
            <v>05887</v>
          </cell>
        </row>
        <row r="832">
          <cell r="A832" t="str">
            <v>15274904</v>
          </cell>
          <cell r="B832" t="str">
            <v>3</v>
          </cell>
          <cell r="C832" t="str">
            <v>DANLY ESPINOSA CARDENAS</v>
          </cell>
          <cell r="D832" t="str">
            <v>320 576 50 60</v>
          </cell>
          <cell r="E832" t="str">
            <v>danlyalfa@hotmail.com</v>
          </cell>
          <cell r="F832" t="str">
            <v>CL 21 18 65 A P 401</v>
          </cell>
          <cell r="G832" t="str">
            <v>05887</v>
          </cell>
        </row>
        <row r="833">
          <cell r="A833" t="str">
            <v>15319044</v>
          </cell>
          <cell r="B833" t="str">
            <v>1</v>
          </cell>
          <cell r="C833" t="str">
            <v>MARTIN ALONSO SANCHEZ VILLEGAS</v>
          </cell>
          <cell r="D833" t="str">
            <v>8538584</v>
          </cell>
          <cell r="E833" t="str">
            <v>wilsonferney9@hotmail.com</v>
          </cell>
          <cell r="F833" t="str">
            <v>CALLE 19  20  01</v>
          </cell>
          <cell r="G833" t="str">
            <v>05887</v>
          </cell>
        </row>
        <row r="834">
          <cell r="A834" t="str">
            <v>901010657</v>
          </cell>
          <cell r="B834" t="str">
            <v>1</v>
          </cell>
          <cell r="C834" t="str">
            <v>CONSTRUCTORA ARROYAVE Y COMPAÑIA S.A.S</v>
          </cell>
          <cell r="D834" t="str">
            <v>3225452513</v>
          </cell>
          <cell r="E834" t="str">
            <v>danydaz2@hotmail.com</v>
          </cell>
          <cell r="F834" t="str">
            <v>CALLE 17  48 B  320  APARTAMENTO 510</v>
          </cell>
          <cell r="G834" t="str">
            <v>05887</v>
          </cell>
        </row>
        <row r="835">
          <cell r="A835" t="str">
            <v>901680728</v>
          </cell>
          <cell r="B835" t="str">
            <v>8</v>
          </cell>
          <cell r="C835" t="str">
            <v>EDIFICIO CARDANY APARTAMENTOS PROPIEDAD HORIZONTAL</v>
          </cell>
          <cell r="D835" t="str">
            <v>3015029827</v>
          </cell>
          <cell r="E835" t="str">
            <v>ed.cardany@gmail.com</v>
          </cell>
          <cell r="F835" t="str">
            <v xml:space="preserve"> CALLE 19 #20-01 YARUMAL ANTIOQUIA</v>
          </cell>
          <cell r="G835" t="str">
            <v>05887</v>
          </cell>
        </row>
        <row r="836">
          <cell r="A836">
            <v>222222222</v>
          </cell>
          <cell r="B836" t="str">
            <v/>
          </cell>
          <cell r="C836" t="str">
            <v>CUANTIAS MENORES</v>
          </cell>
          <cell r="D836">
            <v>3228184763</v>
          </cell>
          <cell r="E836" t="str">
            <v>impuestos@estiloingeniera.com</v>
          </cell>
          <cell r="F836" t="str">
            <v xml:space="preserve">CL 127A 53A 45 TO2 P11 OF1101 </v>
          </cell>
          <cell r="G836" t="str">
            <v>08001</v>
          </cell>
        </row>
        <row r="837">
          <cell r="A837" t="str">
            <v>72192261</v>
          </cell>
          <cell r="B837" t="str">
            <v>0</v>
          </cell>
          <cell r="C837" t="str">
            <v>LORENZO TERCERO GALLARDO QUINTERO</v>
          </cell>
          <cell r="D837" t="str">
            <v>3135247545</v>
          </cell>
          <cell r="E837" t="str">
            <v>admon.bambu94@gmail.com</v>
          </cell>
          <cell r="F837" t="str">
            <v>CARRERA 52 B  94  259  APARTAMENTO 801</v>
          </cell>
          <cell r="G837" t="str">
            <v>08001</v>
          </cell>
        </row>
        <row r="838">
          <cell r="A838" t="str">
            <v>800093117</v>
          </cell>
          <cell r="B838" t="str">
            <v>3</v>
          </cell>
          <cell r="C838" t="str">
            <v>ARQUITECTURA Y CONCRETO S.A.S</v>
          </cell>
          <cell r="D838" t="str">
            <v>3123618</v>
          </cell>
          <cell r="E838" t="str">
            <v>recepcionfacturacion@arquitecturayconcreto.com</v>
          </cell>
          <cell r="F838" t="str">
            <v>CALLE 3 SUR  43 A  52 OFICINA 1801</v>
          </cell>
          <cell r="G838" t="str">
            <v>08001</v>
          </cell>
        </row>
        <row r="839">
          <cell r="A839" t="str">
            <v>800112185</v>
          </cell>
          <cell r="B839" t="str">
            <v>7</v>
          </cell>
          <cell r="C839" t="str">
            <v>CONSTRUCCIONES PUBENZA S.A.S</v>
          </cell>
          <cell r="D839" t="str">
            <v>3688516</v>
          </cell>
          <cell r="E839" t="str">
            <v>aviveros@cpubenza.com.co</v>
          </cell>
          <cell r="F839" t="str">
            <v>CALLE 77B No. 57 - 141 OF 708</v>
          </cell>
          <cell r="G839" t="str">
            <v>08001</v>
          </cell>
        </row>
        <row r="840">
          <cell r="A840" t="str">
            <v>800173155</v>
          </cell>
          <cell r="B840" t="str">
            <v>7</v>
          </cell>
          <cell r="C840" t="str">
            <v>PRABYC INGENIEROS SAS</v>
          </cell>
          <cell r="D840">
            <v>3219664011</v>
          </cell>
          <cell r="E840" t="str">
            <v>facturacion@prabyc.com.co</v>
          </cell>
          <cell r="F840" t="str">
            <v>CARRERA 16  93 A  36  OFICINA 701</v>
          </cell>
          <cell r="G840" t="str">
            <v>08001</v>
          </cell>
        </row>
        <row r="841">
          <cell r="A841" t="str">
            <v>800185295</v>
          </cell>
          <cell r="B841" t="str">
            <v>1</v>
          </cell>
          <cell r="C841" t="str">
            <v>AMARILO S.A.S.</v>
          </cell>
          <cell r="D841" t="str">
            <v>3103180952</v>
          </cell>
          <cell r="E841" t="str">
            <v>facturaelectronica@amarilo.com</v>
          </cell>
          <cell r="F841" t="str">
            <v>CL 90 11 A - 27</v>
          </cell>
          <cell r="G841" t="str">
            <v>08001</v>
          </cell>
        </row>
        <row r="842">
          <cell r="A842" t="str">
            <v>800194798</v>
          </cell>
          <cell r="B842" t="str">
            <v>2</v>
          </cell>
          <cell r="C842" t="str">
            <v>ORGANIZACION CLINICA BONNADONA-PREVENIR SAS</v>
          </cell>
          <cell r="D842">
            <v>3219664011</v>
          </cell>
          <cell r="E842" t="str">
            <v>800194798@factureinbox.co</v>
          </cell>
          <cell r="F842" t="str">
            <v>CARRERA 49 C  82  70</v>
          </cell>
          <cell r="G842" t="str">
            <v>08001</v>
          </cell>
        </row>
        <row r="843">
          <cell r="A843" t="str">
            <v>800234027</v>
          </cell>
          <cell r="B843" t="str">
            <v>5</v>
          </cell>
          <cell r="C843" t="str">
            <v>CENTRO COMERCIAL VILLA COUNTRY</v>
          </cell>
          <cell r="D843" t="str">
            <v>3580821</v>
          </cell>
          <cell r="E843" t="str">
            <v>lpenaloza@villacountry.com.co</v>
          </cell>
          <cell r="F843" t="str">
            <v>CALLE 77  53  70</v>
          </cell>
          <cell r="G843" t="str">
            <v>08001</v>
          </cell>
        </row>
        <row r="844">
          <cell r="A844" t="str">
            <v>800256297</v>
          </cell>
          <cell r="B844" t="str">
            <v>1</v>
          </cell>
          <cell r="C844" t="str">
            <v>EDIFICIO CONTINENTAL MEDICAL CENTER</v>
          </cell>
          <cell r="D844">
            <v>3219664011</v>
          </cell>
          <cell r="E844" t="str">
            <v>edificiocmccompras@gmail.com</v>
          </cell>
          <cell r="F844" t="str">
            <v>CARRERA 49 C  80  125</v>
          </cell>
          <cell r="G844" t="str">
            <v>08001</v>
          </cell>
        </row>
        <row r="845">
          <cell r="A845" t="str">
            <v>802000774</v>
          </cell>
          <cell r="B845" t="str">
            <v>1</v>
          </cell>
          <cell r="C845" t="str">
            <v>CLINICA ALTOS DE SAN VICENTE LTDA</v>
          </cell>
          <cell r="D845" t="str">
            <v>3674400</v>
          </cell>
          <cell r="E845" t="str">
            <v>802000774@factureinbox.co</v>
          </cell>
          <cell r="F845" t="str">
            <v>CALLE 87  49 C  24</v>
          </cell>
          <cell r="G845" t="str">
            <v>08001</v>
          </cell>
        </row>
        <row r="846">
          <cell r="A846" t="str">
            <v>802000810</v>
          </cell>
          <cell r="B846" t="str">
            <v>9</v>
          </cell>
          <cell r="C846" t="str">
            <v>CIUDADELA COMERCIAL METROCENTRO</v>
          </cell>
          <cell r="D846" t="str">
            <v>3800222</v>
          </cell>
          <cell r="E846" t="str">
            <v>facturasproveedores@ccmetrocentro.com</v>
          </cell>
          <cell r="F846" t="str">
            <v>CALLE 45  1  85</v>
          </cell>
          <cell r="G846" t="str">
            <v>08001</v>
          </cell>
        </row>
        <row r="847">
          <cell r="A847" t="str">
            <v>802001515</v>
          </cell>
          <cell r="B847" t="str">
            <v>5</v>
          </cell>
          <cell r="C847" t="str">
            <v>EDIFICIO GAVALLINI</v>
          </cell>
          <cell r="D847" t="str">
            <v>3589344</v>
          </cell>
          <cell r="E847" t="str">
            <v>chicoperez59@hotmail.com</v>
          </cell>
          <cell r="F847" t="str">
            <v>CARRERA 58  75  158  OFICINA 501</v>
          </cell>
          <cell r="G847" t="str">
            <v>08001</v>
          </cell>
        </row>
        <row r="848">
          <cell r="A848" t="str">
            <v>802003538</v>
          </cell>
          <cell r="B848" t="str">
            <v>3</v>
          </cell>
          <cell r="C848" t="str">
            <v>EDIFICIO MACER</v>
          </cell>
          <cell r="D848" t="str">
            <v>3489664</v>
          </cell>
          <cell r="E848" t="str">
            <v>psourdiss@hotmail.com</v>
          </cell>
          <cell r="F848" t="str">
            <v>CARRERA 51 B  80  96</v>
          </cell>
          <cell r="G848" t="str">
            <v>08001</v>
          </cell>
        </row>
        <row r="849">
          <cell r="A849" t="str">
            <v>802004135</v>
          </cell>
          <cell r="B849" t="str">
            <v>3</v>
          </cell>
          <cell r="C849" t="str">
            <v>EDIFICIO VILLA MAGNA</v>
          </cell>
          <cell r="D849" t="str">
            <v>3582136</v>
          </cell>
          <cell r="E849" t="str">
            <v>admonedificiovillamagna@gmail.com</v>
          </cell>
          <cell r="F849" t="str">
            <v>CARRERA 55  79  197</v>
          </cell>
          <cell r="G849" t="str">
            <v>08001</v>
          </cell>
        </row>
        <row r="850">
          <cell r="A850" t="str">
            <v>802004159</v>
          </cell>
          <cell r="B850" t="str">
            <v>1</v>
          </cell>
          <cell r="C850" t="str">
            <v>EDIFICIO RICHMOND</v>
          </cell>
          <cell r="D850" t="str">
            <v>3736247</v>
          </cell>
          <cell r="E850" t="str">
            <v>edificiorichmond82@gmail.com</v>
          </cell>
          <cell r="F850" t="str">
            <v>CARRERA 53  64  72  OFICINA 105</v>
          </cell>
          <cell r="G850" t="str">
            <v>08001</v>
          </cell>
        </row>
        <row r="851">
          <cell r="A851" t="str">
            <v>802004212</v>
          </cell>
          <cell r="B851" t="str">
            <v>2</v>
          </cell>
          <cell r="C851" t="str">
            <v>EDIFICIO R.C.</v>
          </cell>
          <cell r="D851" t="str">
            <v>3692914</v>
          </cell>
          <cell r="E851" t="str">
            <v>tesoreria@ndpropiedadhorizontal.com</v>
          </cell>
          <cell r="F851" t="str">
            <v>CARRERA 57 75-113</v>
          </cell>
          <cell r="G851" t="str">
            <v>08001</v>
          </cell>
        </row>
        <row r="852">
          <cell r="A852" t="str">
            <v>802004227</v>
          </cell>
          <cell r="B852" t="str">
            <v>2</v>
          </cell>
          <cell r="C852" t="str">
            <v>EDIFICIO PEDICENTRO</v>
          </cell>
          <cell r="D852" t="str">
            <v>3585184</v>
          </cell>
          <cell r="E852" t="str">
            <v>admonpedicentro50@hotmail.com</v>
          </cell>
          <cell r="F852" t="str">
            <v>CARRERA 51 D  82  254  PISO 2</v>
          </cell>
          <cell r="G852" t="str">
            <v>08001</v>
          </cell>
        </row>
        <row r="853">
          <cell r="A853" t="str">
            <v>802004237</v>
          </cell>
          <cell r="B853" t="str">
            <v>6</v>
          </cell>
          <cell r="C853" t="str">
            <v>ASOCIACION DE COPROPIETARIOS DE LA UNIDAD MEDICA ESPECIALIZADA</v>
          </cell>
          <cell r="D853" t="str">
            <v>3489827</v>
          </cell>
          <cell r="E853" t="str">
            <v>gerencia@cediul.com</v>
          </cell>
          <cell r="F853" t="str">
            <v>CALLE 71  41  46</v>
          </cell>
          <cell r="G853" t="str">
            <v>08001</v>
          </cell>
        </row>
        <row r="854">
          <cell r="A854" t="str">
            <v>802004499</v>
          </cell>
          <cell r="B854" t="str">
            <v>9</v>
          </cell>
          <cell r="C854" t="str">
            <v>EDIFICIO BALMORAL DEL PRADO</v>
          </cell>
          <cell r="D854" t="str">
            <v>3881195</v>
          </cell>
          <cell r="E854" t="str">
            <v>maritzayie@hotmail.com</v>
          </cell>
          <cell r="F854" t="str">
            <v>CARRERA 55  79  43 APARTAMENTO 9</v>
          </cell>
          <cell r="G854" t="str">
            <v>08001</v>
          </cell>
        </row>
        <row r="855">
          <cell r="A855" t="str">
            <v>802005619</v>
          </cell>
          <cell r="B855" t="str">
            <v>0</v>
          </cell>
          <cell r="C855" t="str">
            <v>EDIFICIO KALAMARY</v>
          </cell>
          <cell r="D855" t="str">
            <v>3581446</v>
          </cell>
          <cell r="E855" t="str">
            <v>kalamaryedificio@gmail.com</v>
          </cell>
          <cell r="F855" t="str">
            <v>CARRERA 52  79  110</v>
          </cell>
          <cell r="G855" t="str">
            <v>08001</v>
          </cell>
        </row>
        <row r="856">
          <cell r="A856" t="str">
            <v>802007594</v>
          </cell>
          <cell r="B856" t="str">
            <v>4</v>
          </cell>
          <cell r="C856" t="str">
            <v>EDIFICIO GALLERY</v>
          </cell>
          <cell r="D856" t="str">
            <v>3737787</v>
          </cell>
          <cell r="E856" t="str">
            <v>asprho@hotmail.com</v>
          </cell>
          <cell r="F856" t="str">
            <v>CARRERA 18  109  15</v>
          </cell>
          <cell r="G856" t="str">
            <v>08001</v>
          </cell>
        </row>
        <row r="857">
          <cell r="A857" t="str">
            <v>802007906</v>
          </cell>
          <cell r="B857" t="str">
            <v>9</v>
          </cell>
          <cell r="C857" t="str">
            <v>EDIFICIO IRAZU</v>
          </cell>
          <cell r="D857" t="str">
            <v>3689733</v>
          </cell>
          <cell r="E857" t="str">
            <v>edificioirazu.adm@gmail.com</v>
          </cell>
          <cell r="F857" t="str">
            <v>CARRERA 57  78  05</v>
          </cell>
          <cell r="G857" t="str">
            <v>08001</v>
          </cell>
        </row>
        <row r="858">
          <cell r="A858" t="str">
            <v>802009225</v>
          </cell>
          <cell r="B858" t="str">
            <v>0</v>
          </cell>
          <cell r="C858" t="str">
            <v>EDIFICIO PLAZA 79</v>
          </cell>
          <cell r="D858" t="str">
            <v>3106303639</v>
          </cell>
          <cell r="E858" t="str">
            <v>edificioplaza79@gmail.com</v>
          </cell>
          <cell r="F858" t="str">
            <v>CARRERA 52  79  130</v>
          </cell>
          <cell r="G858" t="str">
            <v>08001</v>
          </cell>
        </row>
        <row r="859">
          <cell r="A859" t="str">
            <v>802010247</v>
          </cell>
          <cell r="B859" t="str">
            <v>4</v>
          </cell>
          <cell r="C859" t="str">
            <v>CONJUNTO MULTIFAMILIAR EL ENCANTO ALTOS DE RIOMAR</v>
          </cell>
          <cell r="D859" t="str">
            <v>3781329</v>
          </cell>
          <cell r="E859" t="str">
            <v>elencantoriomar@hotmail.com</v>
          </cell>
          <cell r="F859" t="str">
            <v>CARRERA 53  90 B  42</v>
          </cell>
          <cell r="G859" t="str">
            <v>08001</v>
          </cell>
        </row>
        <row r="860">
          <cell r="A860" t="str">
            <v>802010467</v>
          </cell>
          <cell r="B860" t="str">
            <v>8</v>
          </cell>
          <cell r="C860" t="str">
            <v>ORGANIZACION ESCORCE GONZALEZ Y CIA S EN C.S.</v>
          </cell>
          <cell r="D860" t="str">
            <v>3015555</v>
          </cell>
          <cell r="E860" t="str">
            <v>contabilidad.eyg@institutodelavision.org</v>
          </cell>
          <cell r="F860" t="str">
            <v>CR 51 B 84 150 OF 3</v>
          </cell>
          <cell r="G860" t="str">
            <v>08001</v>
          </cell>
        </row>
        <row r="861">
          <cell r="A861" t="str">
            <v>802012179</v>
          </cell>
          <cell r="B861" t="str">
            <v>0</v>
          </cell>
          <cell r="C861" t="str">
            <v>DOLMEN SA ESP</v>
          </cell>
          <cell r="D861" t="str">
            <v>3185900</v>
          </cell>
          <cell r="E861" t="str">
            <v>notificacionesjudiciales@dolmen.co</v>
          </cell>
          <cell r="F861" t="str">
            <v>CR 64 b 85 80</v>
          </cell>
          <cell r="G861" t="str">
            <v>08001</v>
          </cell>
        </row>
        <row r="862">
          <cell r="A862" t="str">
            <v>802012998</v>
          </cell>
          <cell r="B862" t="str">
            <v>6</v>
          </cell>
          <cell r="C862" t="str">
            <v>UNION VITAL S.A.S</v>
          </cell>
          <cell r="D862" t="str">
            <v>3158697073</v>
          </cell>
          <cell r="E862" t="str">
            <v>802012998@factureinbox.co</v>
          </cell>
          <cell r="F862" t="str">
            <v>CARRERA 53 59 - 236</v>
          </cell>
          <cell r="G862" t="str">
            <v>08001</v>
          </cell>
        </row>
        <row r="863">
          <cell r="A863" t="str">
            <v>802013703</v>
          </cell>
          <cell r="B863" t="str">
            <v>5</v>
          </cell>
          <cell r="C863" t="str">
            <v>EDIFICIO PORLAMAR</v>
          </cell>
          <cell r="D863" t="str">
            <v>3562366</v>
          </cell>
          <cell r="E863" t="str">
            <v>edificioporlamar2018@gmail.com</v>
          </cell>
          <cell r="F863" t="str">
            <v>CARRERA 53  82  148</v>
          </cell>
          <cell r="G863" t="str">
            <v>08001</v>
          </cell>
        </row>
        <row r="864">
          <cell r="A864" t="str">
            <v>802014538</v>
          </cell>
          <cell r="B864" t="str">
            <v>0</v>
          </cell>
          <cell r="C864" t="str">
            <v>VITALSALUD DEL CARIBE IPS S.A</v>
          </cell>
          <cell r="D864" t="str">
            <v>3797903</v>
          </cell>
          <cell r="E864" t="str">
            <v>802014538@factureinbox.co</v>
          </cell>
          <cell r="F864" t="str">
            <v>CALLE 45 No. 21 - 125</v>
          </cell>
          <cell r="G864" t="str">
            <v>08001</v>
          </cell>
        </row>
        <row r="865">
          <cell r="A865" t="str">
            <v>802014704</v>
          </cell>
          <cell r="B865" t="str">
            <v>7</v>
          </cell>
          <cell r="C865" t="str">
            <v>JASSIR SAIEH S.A.S</v>
          </cell>
          <cell r="D865" t="str">
            <v>3 0 9 3 2 7 2</v>
          </cell>
          <cell r="E865" t="str">
            <v>contabilidad@jssas.co</v>
          </cell>
          <cell r="F865" t="str">
            <v>CL 76 73 40 LC 3</v>
          </cell>
          <cell r="G865" t="str">
            <v>08001</v>
          </cell>
        </row>
        <row r="866">
          <cell r="A866" t="str">
            <v>802014909</v>
          </cell>
          <cell r="B866" t="str">
            <v>1</v>
          </cell>
          <cell r="C866" t="str">
            <v>EDIFICIO EL PEDREGAL</v>
          </cell>
          <cell r="D866" t="str">
            <v>3106141385</v>
          </cell>
          <cell r="E866" t="str">
            <v>edificioelpedregal@gmail.com</v>
          </cell>
          <cell r="F866" t="str">
            <v>CALLE 66  44  54</v>
          </cell>
          <cell r="G866" t="str">
            <v>08001</v>
          </cell>
        </row>
        <row r="867">
          <cell r="A867" t="str">
            <v>802016130</v>
          </cell>
          <cell r="B867" t="str">
            <v>9</v>
          </cell>
          <cell r="C867" t="str">
            <v>CENTRO COMERCIAL BUENAVISTA</v>
          </cell>
          <cell r="D867">
            <v>3219664011</v>
          </cell>
          <cell r="E867" t="str">
            <v>recepcion@ccbuenavista.com</v>
          </cell>
          <cell r="F867" t="str">
            <v>CL 98 52 115</v>
          </cell>
          <cell r="G867" t="str">
            <v>08001</v>
          </cell>
        </row>
        <row r="868">
          <cell r="A868" t="str">
            <v>802017924</v>
          </cell>
          <cell r="B868" t="str">
            <v>4</v>
          </cell>
          <cell r="C868" t="str">
            <v>EDIFICIO LIGHT TOWER</v>
          </cell>
          <cell r="D868" t="str">
            <v>3692914</v>
          </cell>
          <cell r="E868" t="str">
            <v>tesoreria@ndpropiedadhorizontal.com</v>
          </cell>
          <cell r="F868" t="str">
            <v>CARRERA 55  79  59</v>
          </cell>
          <cell r="G868" t="str">
            <v>08001</v>
          </cell>
        </row>
        <row r="869">
          <cell r="A869" t="str">
            <v>802022443</v>
          </cell>
          <cell r="B869" t="str">
            <v>3</v>
          </cell>
          <cell r="C869" t="str">
            <v>INVERSIONES BALLESTEROS LEON S.A.S.</v>
          </cell>
          <cell r="D869" t="str">
            <v>3106330291</v>
          </cell>
          <cell r="E869" t="str">
            <v>centuriaface@gmail.com</v>
          </cell>
          <cell r="F869" t="str">
            <v>CALLE 82  58  41</v>
          </cell>
          <cell r="G869" t="str">
            <v>08001</v>
          </cell>
        </row>
        <row r="870">
          <cell r="A870" t="str">
            <v>802023098</v>
          </cell>
          <cell r="B870" t="str">
            <v>1</v>
          </cell>
          <cell r="C870" t="str">
            <v>MERCADEO ESTRATEGICO S.A.S</v>
          </cell>
          <cell r="D870" t="str">
            <v>3011975</v>
          </cell>
          <cell r="E870" t="str">
            <v>cperez@mestrategico.com</v>
          </cell>
          <cell r="F870" t="str">
            <v>CARRERA 59  85  216</v>
          </cell>
          <cell r="G870" t="str">
            <v>08001</v>
          </cell>
        </row>
        <row r="871">
          <cell r="A871" t="str">
            <v>802023507</v>
          </cell>
          <cell r="B871" t="str">
            <v>0</v>
          </cell>
          <cell r="C871" t="str">
            <v>CONNY DE LA COSTA S.A.S.</v>
          </cell>
          <cell r="D871" t="str">
            <v>3 4 4 5 0 0 0</v>
          </cell>
          <cell r="E871" t="str">
            <v>connysas@gmail.com</v>
          </cell>
          <cell r="F871" t="str">
            <v>CR 43 9 97 LC 42 CC MIAMI BRR VILLA NUEVA</v>
          </cell>
          <cell r="G871" t="str">
            <v>08001</v>
          </cell>
        </row>
        <row r="872">
          <cell r="A872" t="str">
            <v>830054539</v>
          </cell>
          <cell r="B872" t="str">
            <v>0</v>
          </cell>
          <cell r="C872" t="str">
            <v>PATRIMONIOS AUTONOMOS FIDUCIARIA BANCOLOMBIA S A SOCIEDAD FIDUCIARIA</v>
          </cell>
          <cell r="D872" t="str">
            <v>3536668</v>
          </cell>
          <cell r="E872" t="str">
            <v>recfacel@bancolombia.com.co</v>
          </cell>
          <cell r="F872" t="str">
            <v>CARRERA 51 B  87  50  SOTANO 1</v>
          </cell>
          <cell r="G872" t="str">
            <v>08001</v>
          </cell>
        </row>
        <row r="873">
          <cell r="A873" t="str">
            <v>860005216</v>
          </cell>
          <cell r="B873" t="str">
            <v>7</v>
          </cell>
          <cell r="C873" t="str">
            <v>BANCO DE LA REPUBLICA</v>
          </cell>
          <cell r="D873" t="str">
            <v>6847772</v>
          </cell>
          <cell r="E873" t="str">
            <v>dcin-facturacionelectronica@banrep.gov.co</v>
          </cell>
          <cell r="F873" t="str">
            <v>CARRERA 4  7  14</v>
          </cell>
          <cell r="G873" t="str">
            <v>08001</v>
          </cell>
        </row>
        <row r="874">
          <cell r="A874" t="str">
            <v>860013570</v>
          </cell>
          <cell r="B874" t="str">
            <v>3</v>
          </cell>
          <cell r="C874" t="str">
            <v>CAJA DE COMPENSACION FAMILIAR CAFAM</v>
          </cell>
          <cell r="D874" t="str">
            <v>6016468000</v>
          </cell>
          <cell r="E874" t="str">
            <v>recepcionfe@cafam.com.co</v>
          </cell>
          <cell r="F874" t="str">
            <v>AV CR 68 90 88</v>
          </cell>
          <cell r="G874" t="str">
            <v>08001</v>
          </cell>
        </row>
        <row r="875">
          <cell r="A875" t="str">
            <v>860013798</v>
          </cell>
          <cell r="B875" t="str">
            <v>5</v>
          </cell>
          <cell r="C875" t="str">
            <v>UNIVERSIDAD LIBRE</v>
          </cell>
          <cell r="D875" t="str">
            <v>6932344</v>
          </cell>
          <cell r="E875" t="str">
            <v>facturacion@estiloingenieria.com</v>
          </cell>
          <cell r="F875" t="str">
            <v>CALLE 8  5  80</v>
          </cell>
          <cell r="G875" t="str">
            <v>08001</v>
          </cell>
        </row>
        <row r="876">
          <cell r="A876" t="str">
            <v>860513493</v>
          </cell>
          <cell r="B876" t="str">
            <v>1</v>
          </cell>
          <cell r="C876" t="str">
            <v>CONSTRUCTORA BOLIVAR BOGOTA S.A. CONSTRUCTORA BOLIVAR S.A.</v>
          </cell>
          <cell r="D876" t="str">
            <v>6258330</v>
          </cell>
          <cell r="E876" t="str">
            <v>faelectronica@constructorabolivar.com</v>
          </cell>
          <cell r="F876" t="str">
            <v>CALLE 134  72  31</v>
          </cell>
          <cell r="G876" t="str">
            <v>08001</v>
          </cell>
        </row>
        <row r="877">
          <cell r="A877" t="str">
            <v>860527800</v>
          </cell>
          <cell r="B877" t="str">
            <v>9</v>
          </cell>
          <cell r="C877" t="str">
            <v>CONSTRUCCIONES OBYCON S.A.S.</v>
          </cell>
          <cell r="D877" t="str">
            <v>6228020</v>
          </cell>
          <cell r="E877" t="str">
            <v>facturacion@obycon.com</v>
          </cell>
          <cell r="F877" t="str">
            <v>CALLE 93 B  13  92  OFICINA 303</v>
          </cell>
          <cell r="G877" t="str">
            <v>08001</v>
          </cell>
        </row>
        <row r="878">
          <cell r="A878" t="str">
            <v>890102044</v>
          </cell>
          <cell r="B878" t="str">
            <v>1</v>
          </cell>
          <cell r="C878" t="str">
            <v>CAJA DE COMPENSACIÓN FAMILIAR CAJACOPI ATLANTICO</v>
          </cell>
          <cell r="D878" t="str">
            <v>3714503</v>
          </cell>
          <cell r="E878" t="str">
            <v>facturacion.electronica@cajacopi.com</v>
          </cell>
          <cell r="F878" t="str">
            <v>CR 46 53 34 P2 TO B ED NELMAR</v>
          </cell>
          <cell r="G878" t="str">
            <v>08001</v>
          </cell>
        </row>
        <row r="879">
          <cell r="A879" t="str">
            <v>890105652</v>
          </cell>
          <cell r="B879" t="str">
            <v>3</v>
          </cell>
          <cell r="C879" t="str">
            <v>ROYAL FILMS S.A.S</v>
          </cell>
          <cell r="D879" t="str">
            <v>3790070</v>
          </cell>
          <cell r="E879" t="str">
            <v>siesaferecepcion@siesa.com</v>
          </cell>
          <cell r="F879" t="str">
            <v>CARRERA 58  70  93</v>
          </cell>
          <cell r="G879" t="str">
            <v>08001</v>
          </cell>
        </row>
        <row r="880">
          <cell r="A880" t="str">
            <v>890107370</v>
          </cell>
          <cell r="B880" t="str">
            <v>0</v>
          </cell>
          <cell r="C880" t="str">
            <v>ACOSTA MORENO S.A.S.</v>
          </cell>
          <cell r="D880" t="str">
            <v>3552180</v>
          </cell>
          <cell r="E880" t="str">
            <v>macostamoreno@hotmail.com</v>
          </cell>
          <cell r="F880" t="str">
            <v>CARRERA 57 79-138</v>
          </cell>
          <cell r="G880" t="str">
            <v>08001</v>
          </cell>
        </row>
        <row r="881">
          <cell r="A881" t="str">
            <v>890109593</v>
          </cell>
          <cell r="B881" t="str">
            <v>5</v>
          </cell>
          <cell r="C881" t="str">
            <v>EDIFICIO CIUDADELA COMERCIAL FINANCIERA Y DE OFICINAS GRANCENTRO</v>
          </cell>
          <cell r="D881" t="str">
            <v>345266</v>
          </cell>
          <cell r="E881" t="str">
            <v>edificiograncentro@gmail.com</v>
          </cell>
          <cell r="F881" t="str">
            <v>CL 70 52 54</v>
          </cell>
          <cell r="G881" t="str">
            <v>08001</v>
          </cell>
        </row>
        <row r="882">
          <cell r="A882" t="str">
            <v>890113621</v>
          </cell>
          <cell r="B882" t="str">
            <v>9</v>
          </cell>
          <cell r="C882" t="str">
            <v>ASOCIACION DE COPROPIETARIOS DEL EDIFICIO SERFINANSA</v>
          </cell>
          <cell r="D882">
            <v>3219664011</v>
          </cell>
          <cell r="E882" t="str">
            <v>edificio.serfinansa@gmail.com</v>
          </cell>
          <cell r="F882" t="str">
            <v>CALLE 72 No. 54 35 EL PRADO</v>
          </cell>
          <cell r="G882" t="str">
            <v>08001</v>
          </cell>
        </row>
        <row r="883">
          <cell r="A883" t="str">
            <v>890117128</v>
          </cell>
          <cell r="B883" t="str">
            <v>7</v>
          </cell>
          <cell r="C883" t="str">
            <v>YEPES CARBONO E HIJOS &amp; CIA S.A.S.</v>
          </cell>
          <cell r="D883" t="str">
            <v>3785971</v>
          </cell>
          <cell r="E883" t="str">
            <v>edyepes@hotmail.com</v>
          </cell>
          <cell r="F883" t="str">
            <v>CALLE 81  42 B  58</v>
          </cell>
          <cell r="G883" t="str">
            <v>08001</v>
          </cell>
        </row>
        <row r="884">
          <cell r="A884" t="str">
            <v>890903937</v>
          </cell>
          <cell r="B884" t="str">
            <v>0</v>
          </cell>
          <cell r="C884" t="str">
            <v>ITAÚ CORPBANCA COLOMBIA S A</v>
          </cell>
          <cell r="D884" t="str">
            <v>5818181</v>
          </cell>
          <cell r="E884" t="str">
            <v>factura.electronica@itau.co</v>
          </cell>
          <cell r="F884" t="str">
            <v>CARRERA 7  99  53 PISO 18</v>
          </cell>
          <cell r="G884" t="str">
            <v>08001</v>
          </cell>
        </row>
        <row r="885">
          <cell r="A885" t="str">
            <v>890905022</v>
          </cell>
          <cell r="B885" t="str">
            <v>6</v>
          </cell>
          <cell r="C885" t="str">
            <v>CONVEL S.A.S.</v>
          </cell>
          <cell r="D885">
            <v>3219664011</v>
          </cell>
          <cell r="E885" t="str">
            <v>facturacion@convel.co</v>
          </cell>
          <cell r="F885" t="str">
            <v>CARRERA 63 B  32 E  26</v>
          </cell>
          <cell r="G885" t="str">
            <v>08001</v>
          </cell>
        </row>
        <row r="886">
          <cell r="A886" t="str">
            <v>900001401</v>
          </cell>
          <cell r="B886" t="str">
            <v>1</v>
          </cell>
          <cell r="C886" t="str">
            <v>CONJUNTO RESIDENCIAL BOULEVARD SANTA BARBARA</v>
          </cell>
          <cell r="D886" t="str">
            <v>3 1 9 5 5 2 5</v>
          </cell>
          <cell r="E886" t="str">
            <v>admon.bsantabarbara@gmail.com</v>
          </cell>
          <cell r="F886" t="str">
            <v>CR 45 96 A 28</v>
          </cell>
          <cell r="G886" t="str">
            <v>08001</v>
          </cell>
        </row>
        <row r="887">
          <cell r="A887" t="str">
            <v>900058374</v>
          </cell>
          <cell r="B887" t="str">
            <v>4</v>
          </cell>
          <cell r="C887" t="str">
            <v>EDIFICIO KINGS COURT</v>
          </cell>
          <cell r="D887" t="str">
            <v>3455990</v>
          </cell>
          <cell r="E887" t="str">
            <v>edificiokingscourt@hotmail.com</v>
          </cell>
          <cell r="F887" t="str">
            <v>CARRERA 52  79  276</v>
          </cell>
          <cell r="G887" t="str">
            <v>08001</v>
          </cell>
        </row>
        <row r="888">
          <cell r="A888" t="str">
            <v>900123408</v>
          </cell>
          <cell r="B888" t="str">
            <v>4</v>
          </cell>
          <cell r="C888" t="str">
            <v>COMPAÑIA DE INVERSIONES TEXTILES DE MODA S.A.S. - TEXMODA S.A.S</v>
          </cell>
          <cell r="D888" t="str">
            <v>6672200</v>
          </cell>
          <cell r="E888" t="str">
            <v>facturacion.electronica@texmoda.com.co</v>
          </cell>
          <cell r="F888" t="str">
            <v>VEREDA FUSCA AUTOPISTA NORTE KILOMETRO 21</v>
          </cell>
          <cell r="G888" t="str">
            <v>08001</v>
          </cell>
        </row>
        <row r="889">
          <cell r="A889" t="str">
            <v>900123781</v>
          </cell>
          <cell r="B889" t="str">
            <v>7</v>
          </cell>
          <cell r="C889" t="str">
            <v>CONSTRUCCIONES SOLANO DELGADO Y CIA S EN C S</v>
          </cell>
          <cell r="D889" t="str">
            <v>3788555</v>
          </cell>
          <cell r="E889" t="str">
            <v>900123781@factureinbox.co</v>
          </cell>
          <cell r="F889" t="str">
            <v>CARRERA 58  90  47</v>
          </cell>
          <cell r="G889" t="str">
            <v>08001</v>
          </cell>
        </row>
        <row r="890">
          <cell r="A890" t="str">
            <v>900134850</v>
          </cell>
          <cell r="B890" t="str">
            <v>4</v>
          </cell>
          <cell r="C890" t="str">
            <v>CONJUNTO RESIDENCIAL MIRADOR DEL CARIBE</v>
          </cell>
          <cell r="D890" t="str">
            <v>3195604</v>
          </cell>
          <cell r="E890" t="str">
            <v>miradordelcaribeoficina@gmail.com</v>
          </cell>
          <cell r="F890" t="str">
            <v>CALLE 96  44  45</v>
          </cell>
          <cell r="G890" t="str">
            <v>08001</v>
          </cell>
        </row>
        <row r="891">
          <cell r="A891" t="str">
            <v>900177384</v>
          </cell>
          <cell r="B891" t="str">
            <v>8</v>
          </cell>
          <cell r="C891" t="str">
            <v>EDIFICIO MULTIFAMILIAR SAN FERNANDO DEL TABOR</v>
          </cell>
          <cell r="D891" t="str">
            <v>3195620</v>
          </cell>
          <cell r="E891" t="str">
            <v>sanfernandodeltabor05@gmail.com</v>
          </cell>
          <cell r="F891" t="str">
            <v>CALLE 96  42 C  29</v>
          </cell>
          <cell r="G891" t="str">
            <v>08001</v>
          </cell>
        </row>
        <row r="892">
          <cell r="A892" t="str">
            <v>900179427</v>
          </cell>
          <cell r="B892" t="str">
            <v>5</v>
          </cell>
          <cell r="C892" t="str">
            <v>EDIFICIO PALMA REAL II</v>
          </cell>
          <cell r="D892" t="str">
            <v>3106303639</v>
          </cell>
          <cell r="E892" t="str">
            <v>carlomaria@hotmail.com</v>
          </cell>
          <cell r="F892" t="str">
            <v>CALLE 78  55  77</v>
          </cell>
          <cell r="G892" t="str">
            <v>08001</v>
          </cell>
        </row>
        <row r="893">
          <cell r="A893" t="str">
            <v>900183098</v>
          </cell>
          <cell r="B893" t="str">
            <v>0</v>
          </cell>
          <cell r="C893" t="str">
            <v>CONSTRUCCIONES SOLANO Y SOLANO S.A.S.</v>
          </cell>
          <cell r="D893" t="str">
            <v>3763720</v>
          </cell>
          <cell r="E893" t="str">
            <v>900183098@factureinbox.co</v>
          </cell>
          <cell r="F893" t="str">
            <v>AEROPUERTO ERNESTO CORTISSOZ  BODEGA AEROSUCRE</v>
          </cell>
          <cell r="G893" t="str">
            <v>08001</v>
          </cell>
        </row>
        <row r="894">
          <cell r="A894" t="str">
            <v>900199095</v>
          </cell>
          <cell r="B894" t="str">
            <v>9</v>
          </cell>
          <cell r="C894" t="str">
            <v>EDIFICIO MAXIM</v>
          </cell>
          <cell r="D894" t="str">
            <v>3683653</v>
          </cell>
          <cell r="E894" t="str">
            <v>heissercohen@hotmail.com</v>
          </cell>
          <cell r="F894" t="str">
            <v>CARRERA 56  68  203</v>
          </cell>
          <cell r="G894" t="str">
            <v>08001</v>
          </cell>
        </row>
        <row r="895">
          <cell r="A895" t="str">
            <v>900200232</v>
          </cell>
          <cell r="B895" t="str">
            <v>5</v>
          </cell>
          <cell r="C895" t="str">
            <v>SOCIEDAD INVERSORA DE CAPITALES S.A</v>
          </cell>
          <cell r="D895" t="str">
            <v>3148642027</v>
          </cell>
          <cell r="E895" t="str">
            <v>casinobluecaja2@hotmail.com</v>
          </cell>
          <cell r="F895" t="str">
            <v>CR 43 1  A SUR  267 OF 202</v>
          </cell>
          <cell r="G895" t="str">
            <v>08001</v>
          </cell>
        </row>
        <row r="896">
          <cell r="A896" t="str">
            <v>900230150</v>
          </cell>
          <cell r="B896" t="str">
            <v>8</v>
          </cell>
          <cell r="C896" t="str">
            <v>EDIFICIO DOÑA ELSA</v>
          </cell>
          <cell r="D896" t="str">
            <v>3458596</v>
          </cell>
          <cell r="E896" t="str">
            <v>briana.ospino@estiloingenieria.com</v>
          </cell>
          <cell r="F896" t="str">
            <v>CARRERA 46  85  43</v>
          </cell>
          <cell r="G896" t="str">
            <v>08001</v>
          </cell>
        </row>
        <row r="897">
          <cell r="A897" t="str">
            <v>900257167</v>
          </cell>
          <cell r="B897" t="str">
            <v>1</v>
          </cell>
          <cell r="C897" t="str">
            <v>CONJUNTO RESIDENCIAL PALMA DE MALLORCA</v>
          </cell>
          <cell r="D897" t="str">
            <v>3003968676</v>
          </cell>
          <cell r="E897" t="str">
            <v>conpalmademallorca@gmail.com</v>
          </cell>
          <cell r="F897" t="str">
            <v>CARRERA 52  86  57</v>
          </cell>
          <cell r="G897" t="str">
            <v>08001</v>
          </cell>
        </row>
        <row r="898">
          <cell r="A898" t="str">
            <v>900257810</v>
          </cell>
          <cell r="B898" t="str">
            <v>8</v>
          </cell>
          <cell r="C898" t="str">
            <v>EDIFICIO ACQUALINA</v>
          </cell>
          <cell r="D898" t="str">
            <v>3687721</v>
          </cell>
          <cell r="E898" t="str">
            <v>bernalesoficina@hotmail.com</v>
          </cell>
          <cell r="F898" t="str">
            <v>CR 58 79 295</v>
          </cell>
          <cell r="G898" t="str">
            <v>08001</v>
          </cell>
        </row>
        <row r="899">
          <cell r="A899" t="str">
            <v>900279342</v>
          </cell>
          <cell r="B899" t="str">
            <v>7</v>
          </cell>
          <cell r="C899" t="str">
            <v>EDIFICIO SKORPIO</v>
          </cell>
          <cell r="D899" t="str">
            <v>3106830898</v>
          </cell>
          <cell r="E899" t="str">
            <v>edificioskorpio.1@hotmail.com</v>
          </cell>
          <cell r="F899" t="str">
            <v>CR 49 C 99 30</v>
          </cell>
          <cell r="G899" t="str">
            <v>08001</v>
          </cell>
        </row>
        <row r="900">
          <cell r="A900" t="str">
            <v>900280551</v>
          </cell>
          <cell r="B900" t="str">
            <v>1</v>
          </cell>
          <cell r="C900" t="str">
            <v>CENTRO COMERCIAL BUENAVISTA II</v>
          </cell>
          <cell r="D900" t="str">
            <v>3 0 9 1 8 1 5</v>
          </cell>
          <cell r="E900" t="str">
            <v>recepcion@ccbuenavista.com</v>
          </cell>
          <cell r="F900" t="str">
            <v>CL 99 52 53</v>
          </cell>
          <cell r="G900" t="str">
            <v>08001</v>
          </cell>
        </row>
        <row r="901">
          <cell r="A901" t="str">
            <v>900301070</v>
          </cell>
          <cell r="B901" t="str">
            <v>2</v>
          </cell>
          <cell r="C901" t="str">
            <v>EDIFICIO BAHIA MARINA</v>
          </cell>
          <cell r="D901" t="str">
            <v>3400875</v>
          </cell>
          <cell r="E901" t="str">
            <v>admonbahiamarina2019@gmail.com</v>
          </cell>
          <cell r="F901" t="str">
            <v>CARRERA 55  45  37</v>
          </cell>
          <cell r="G901" t="str">
            <v>08001</v>
          </cell>
        </row>
        <row r="902">
          <cell r="A902" t="str">
            <v>900301403</v>
          </cell>
          <cell r="B902" t="str">
            <v>1</v>
          </cell>
          <cell r="C902" t="str">
            <v>JI CAPITAL SAS</v>
          </cell>
          <cell r="D902" t="str">
            <v>3586582</v>
          </cell>
          <cell r="E902" t="str">
            <v>900301403@factureinbox.co</v>
          </cell>
          <cell r="F902" t="str">
            <v>CARRERA 52  76  235</v>
          </cell>
          <cell r="G902" t="str">
            <v>08001</v>
          </cell>
        </row>
        <row r="903">
          <cell r="A903" t="str">
            <v>900302609</v>
          </cell>
          <cell r="B903" t="str">
            <v>6</v>
          </cell>
          <cell r="C903" t="str">
            <v>O CAPITAL SAS</v>
          </cell>
          <cell r="D903" t="str">
            <v>3565344</v>
          </cell>
          <cell r="E903" t="str">
            <v>900302609@factureinbox.co</v>
          </cell>
          <cell r="F903" t="str">
            <v>CARRERA 52  76  235</v>
          </cell>
          <cell r="G903" t="str">
            <v>08001</v>
          </cell>
        </row>
        <row r="904">
          <cell r="A904" t="str">
            <v>900333632</v>
          </cell>
          <cell r="B904" t="str">
            <v>9</v>
          </cell>
          <cell r="C904" t="str">
            <v>EDIFICIO MULTIFAMILIAR ZAPHIRO</v>
          </cell>
          <cell r="D904" t="str">
            <v>3643054</v>
          </cell>
          <cell r="E904" t="str">
            <v>facturasedificios.ph@gmail.com</v>
          </cell>
          <cell r="F904" t="str">
            <v>CARRERA 56  79  138</v>
          </cell>
          <cell r="G904" t="str">
            <v>08001</v>
          </cell>
        </row>
        <row r="905">
          <cell r="A905" t="str">
            <v>900341810</v>
          </cell>
          <cell r="B905" t="str">
            <v>7</v>
          </cell>
          <cell r="C905" t="str">
            <v>HOTELES DE VILLASANTOS S.A.S.</v>
          </cell>
          <cell r="D905" t="str">
            <v>3856060</v>
          </cell>
          <cell r="E905" t="str">
            <v>facturacion.sonestabarranquilla@ghlhoteles.com</v>
          </cell>
          <cell r="F905" t="str">
            <v>CALLE 106  50  11</v>
          </cell>
          <cell r="G905" t="str">
            <v>08001</v>
          </cell>
        </row>
        <row r="906">
          <cell r="A906" t="str">
            <v>900347905</v>
          </cell>
          <cell r="B906" t="str">
            <v>5</v>
          </cell>
          <cell r="C906" t="str">
            <v>VILLARREAL &amp; ASOCIADOS S. EN C.</v>
          </cell>
          <cell r="D906" t="str">
            <v>3691471</v>
          </cell>
          <cell r="E906" t="str">
            <v>integraladmonout@gmail.com</v>
          </cell>
          <cell r="F906" t="str">
            <v>CARRERA 52  74  28  PISO 3</v>
          </cell>
          <cell r="G906" t="str">
            <v>08001</v>
          </cell>
        </row>
        <row r="907">
          <cell r="A907" t="str">
            <v>900401055</v>
          </cell>
          <cell r="B907" t="str">
            <v>0</v>
          </cell>
          <cell r="C907" t="str">
            <v>EDIFICIO MILANO</v>
          </cell>
          <cell r="D907" t="str">
            <v>3337220</v>
          </cell>
          <cell r="E907" t="str">
            <v>janmendoza01@hotmail.com</v>
          </cell>
          <cell r="F907" t="str">
            <v>CALLE 85  43 B  55</v>
          </cell>
          <cell r="G907" t="str">
            <v>08001</v>
          </cell>
        </row>
        <row r="908">
          <cell r="A908" t="str">
            <v>900405480</v>
          </cell>
          <cell r="B908" t="str">
            <v>6</v>
          </cell>
          <cell r="C908" t="str">
            <v>EDIFICIO MULTIFAMILIAR OPTIMUS</v>
          </cell>
          <cell r="D908" t="str">
            <v>3157147680</v>
          </cell>
          <cell r="E908" t="str">
            <v>edificioptimus@hotmail.com</v>
          </cell>
          <cell r="F908" t="str">
            <v>CARRERA 54  96  08</v>
          </cell>
          <cell r="G908" t="str">
            <v>08001</v>
          </cell>
        </row>
        <row r="909">
          <cell r="A909" t="str">
            <v>900416632</v>
          </cell>
          <cell r="B909" t="str">
            <v>6</v>
          </cell>
          <cell r="C909" t="str">
            <v>JAVER SERVICIOS E INVERSIONES S.A.S</v>
          </cell>
          <cell r="D909" t="str">
            <v>3 1 3 5 3 9 5 8 6 4</v>
          </cell>
          <cell r="E909" t="str">
            <v>javerserviciosfe@outlook.es</v>
          </cell>
          <cell r="F909" t="str">
            <v>CR 56 74 41</v>
          </cell>
          <cell r="G909" t="str">
            <v>08001</v>
          </cell>
        </row>
        <row r="910">
          <cell r="A910" t="str">
            <v>900434649</v>
          </cell>
          <cell r="B910" t="str">
            <v>7</v>
          </cell>
          <cell r="C910" t="str">
            <v>EDIFICIO MULTIFAMILIAR PANORAMA 80</v>
          </cell>
          <cell r="D910" t="str">
            <v>3334663</v>
          </cell>
          <cell r="E910" t="str">
            <v>edificiopanorama80@gmail.com</v>
          </cell>
          <cell r="F910" t="str">
            <v>CR 45 80 82</v>
          </cell>
          <cell r="G910" t="str">
            <v>08001</v>
          </cell>
        </row>
        <row r="911">
          <cell r="A911" t="str">
            <v>900435099</v>
          </cell>
          <cell r="B911" t="str">
            <v>0</v>
          </cell>
          <cell r="C911" t="str">
            <v>EDIFICIO SOL CARIBE</v>
          </cell>
          <cell r="D911" t="str">
            <v>3032469</v>
          </cell>
          <cell r="E911" t="str">
            <v>admon.sol.caribe@gmail.com</v>
          </cell>
          <cell r="F911" t="str">
            <v>CALLE 87  44  77</v>
          </cell>
          <cell r="G911" t="str">
            <v>08001</v>
          </cell>
        </row>
        <row r="912">
          <cell r="A912" t="str">
            <v>900447574</v>
          </cell>
          <cell r="B912" t="str">
            <v>1</v>
          </cell>
          <cell r="C912" t="str">
            <v>CONJUNTO RESIDENCIAL ALTOS DE BONAVISTA</v>
          </cell>
          <cell r="D912" t="str">
            <v>3104308148</v>
          </cell>
          <cell r="E912" t="str">
            <v>altosdebonavista99@gmail.com</v>
          </cell>
          <cell r="F912" t="str">
            <v>CALLE 99  58  112</v>
          </cell>
          <cell r="G912" t="str">
            <v>08001</v>
          </cell>
        </row>
        <row r="913">
          <cell r="A913" t="str">
            <v>900465319</v>
          </cell>
          <cell r="B913" t="str">
            <v>4</v>
          </cell>
          <cell r="C913" t="str">
            <v>OINSAMED S.A.S</v>
          </cell>
          <cell r="D913" t="str">
            <v>3013773</v>
          </cell>
          <cell r="E913" t="str">
            <v>900465319@factureinbox.co</v>
          </cell>
          <cell r="F913" t="str">
            <v>CALLE 80  46  44</v>
          </cell>
          <cell r="G913" t="str">
            <v>08001</v>
          </cell>
        </row>
        <row r="914">
          <cell r="A914" t="str">
            <v>900466223</v>
          </cell>
          <cell r="B914" t="str">
            <v>0</v>
          </cell>
          <cell r="C914" t="str">
            <v>INMUEBLES JGA S.A.S.</v>
          </cell>
          <cell r="D914" t="str">
            <v>3601053</v>
          </cell>
          <cell r="E914" t="str">
            <v>contabilidad.8550@gmail.com</v>
          </cell>
          <cell r="F914" t="str">
            <v>CALLE 85  50  167</v>
          </cell>
          <cell r="G914" t="str">
            <v>08001</v>
          </cell>
        </row>
        <row r="915">
          <cell r="A915" t="str">
            <v>900469931</v>
          </cell>
          <cell r="B915" t="str">
            <v>0</v>
          </cell>
          <cell r="C915" t="str">
            <v>INVERSIONES REIMORAN S.A.S</v>
          </cell>
          <cell r="D915" t="str">
            <v>3857947</v>
          </cell>
          <cell r="E915" t="str">
            <v>hoteloxfordcontabilidad@gmail.com</v>
          </cell>
          <cell r="F915" t="str">
            <v>CARRERA 47  84  56</v>
          </cell>
          <cell r="G915" t="str">
            <v>08001</v>
          </cell>
        </row>
        <row r="916">
          <cell r="A916" t="str">
            <v>900475398</v>
          </cell>
          <cell r="B916" t="str">
            <v>9</v>
          </cell>
          <cell r="C916" t="str">
            <v>SOLUCIONES DE INFRAESTRUCTURA Y LOGISTICA S A S</v>
          </cell>
          <cell r="D916" t="str">
            <v>3455064</v>
          </cell>
          <cell r="E916" t="str">
            <v>roberto.villa@silsoluciones.com</v>
          </cell>
          <cell r="F916" t="str">
            <v>CR 52 76 167</v>
          </cell>
          <cell r="G916" t="str">
            <v>08001</v>
          </cell>
        </row>
        <row r="917">
          <cell r="A917" t="str">
            <v>900504453</v>
          </cell>
          <cell r="B917" t="str">
            <v>1</v>
          </cell>
          <cell r="C917" t="str">
            <v>SITES GROUP S.A.S</v>
          </cell>
          <cell r="D917" t="str">
            <v>3075000</v>
          </cell>
          <cell r="E917" t="str">
            <v>900504453@factureinbox.co</v>
          </cell>
          <cell r="F917" t="str">
            <v>CR 45 5 15</v>
          </cell>
          <cell r="G917" t="str">
            <v>08001</v>
          </cell>
        </row>
        <row r="918">
          <cell r="A918" t="str">
            <v>900526061</v>
          </cell>
          <cell r="B918" t="str">
            <v>2</v>
          </cell>
          <cell r="C918" t="str">
            <v>EDIFICIO DELFOZ</v>
          </cell>
          <cell r="D918" t="str">
            <v>3008083478</v>
          </cell>
          <cell r="E918" t="str">
            <v>ramon.deyongh@gmail.com</v>
          </cell>
          <cell r="F918" t="str">
            <v>CALLE 106  49 E  11</v>
          </cell>
          <cell r="G918" t="str">
            <v>08001</v>
          </cell>
        </row>
        <row r="919">
          <cell r="A919" t="str">
            <v>900527689</v>
          </cell>
          <cell r="B919" t="str">
            <v>1</v>
          </cell>
          <cell r="C919" t="str">
            <v>EDIFICIO HELENA</v>
          </cell>
          <cell r="D919" t="str">
            <v>3570905</v>
          </cell>
          <cell r="E919" t="str">
            <v>helenaedificio@outlook.com</v>
          </cell>
          <cell r="F919" t="str">
            <v>CARRERA 64B  94  128</v>
          </cell>
          <cell r="G919" t="str">
            <v>08001</v>
          </cell>
        </row>
        <row r="920">
          <cell r="A920" t="str">
            <v>900538783</v>
          </cell>
          <cell r="B920" t="str">
            <v>3</v>
          </cell>
          <cell r="C920" t="str">
            <v>CONSTRUTURISMO S.A.S.</v>
          </cell>
          <cell r="D920" t="str">
            <v>3400323</v>
          </cell>
          <cell r="E920" t="str">
            <v>contabilidad@parkinnbq.com</v>
          </cell>
          <cell r="F920" t="str">
            <v>CALLE 85  47  11</v>
          </cell>
          <cell r="G920" t="str">
            <v>08001</v>
          </cell>
        </row>
        <row r="921">
          <cell r="A921" t="str">
            <v>900547444</v>
          </cell>
          <cell r="B921" t="str">
            <v>1</v>
          </cell>
          <cell r="C921" t="str">
            <v>ARANGO ARQUITECTOS CONSTRUCTORES S.A.S.</v>
          </cell>
          <cell r="D921" t="str">
            <v>3003957727</v>
          </cell>
          <cell r="E921" t="str">
            <v>jciarecep@gmail.com</v>
          </cell>
          <cell r="F921" t="str">
            <v>CARRERA 59 74 91 LC 2</v>
          </cell>
          <cell r="G921" t="str">
            <v>08001</v>
          </cell>
        </row>
        <row r="922">
          <cell r="A922" t="str">
            <v>900547887</v>
          </cell>
          <cell r="B922" t="str">
            <v>9</v>
          </cell>
          <cell r="C922" t="str">
            <v>EDIFICIO SAGRADO CORAZON</v>
          </cell>
          <cell r="D922" t="str">
            <v>6 0 5 3 6 0 5 2 7 9</v>
          </cell>
          <cell r="E922" t="str">
            <v>edificiosagradocorazon@gmail.com</v>
          </cell>
          <cell r="F922" t="str">
            <v>CR 42 E 80 69</v>
          </cell>
          <cell r="G922" t="str">
            <v>08001</v>
          </cell>
        </row>
        <row r="923">
          <cell r="A923" t="str">
            <v>900553515</v>
          </cell>
          <cell r="B923" t="str">
            <v>9</v>
          </cell>
          <cell r="C923" t="str">
            <v>EDIFICIO AZURE</v>
          </cell>
          <cell r="D923" t="str">
            <v>3881364</v>
          </cell>
          <cell r="E923" t="str">
            <v>edificioazure@gmail.com</v>
          </cell>
          <cell r="F923" t="str">
            <v>CARRERA 57  91  82</v>
          </cell>
          <cell r="G923" t="str">
            <v>08001</v>
          </cell>
        </row>
        <row r="924">
          <cell r="A924" t="str">
            <v>900577102</v>
          </cell>
          <cell r="B924" t="str">
            <v>4</v>
          </cell>
          <cell r="C924" t="str">
            <v>EDIFICIO SERENDIP.</v>
          </cell>
          <cell r="D924" t="str">
            <v>3106303268</v>
          </cell>
          <cell r="E924" t="str">
            <v>admonserendip@gmail.com</v>
          </cell>
          <cell r="F924" t="str">
            <v>CALLE 78  57  135</v>
          </cell>
          <cell r="G924" t="str">
            <v>08001</v>
          </cell>
        </row>
        <row r="925">
          <cell r="A925" t="str">
            <v>900580330</v>
          </cell>
          <cell r="B925" t="str">
            <v>8</v>
          </cell>
          <cell r="C925" t="str">
            <v>EDIFICIO CENTRO EJECUTIVO PROPIEDAD HORIZONTAL</v>
          </cell>
          <cell r="D925" t="str">
            <v>3852878</v>
          </cell>
          <cell r="E925" t="str">
            <v>recepcion.centroejecutivoph@gmail.com</v>
          </cell>
          <cell r="F925" t="str">
            <v>CARRERA 54  72  80</v>
          </cell>
          <cell r="G925" t="str">
            <v>08001</v>
          </cell>
        </row>
        <row r="926">
          <cell r="A926" t="str">
            <v>900590384</v>
          </cell>
          <cell r="B926" t="str">
            <v>8</v>
          </cell>
          <cell r="C926" t="str">
            <v>CENTRO EJECUTIVO BARRANQUILLA S.A.S.</v>
          </cell>
          <cell r="D926">
            <v>3219664011</v>
          </cell>
          <cell r="E926" t="str">
            <v>megaterra.contable@gmail.com</v>
          </cell>
          <cell r="F926" t="str">
            <v>CR 54  72 80  AC BL</v>
          </cell>
          <cell r="G926" t="str">
            <v>08001</v>
          </cell>
        </row>
        <row r="927">
          <cell r="A927" t="str">
            <v>900608114</v>
          </cell>
          <cell r="B927" t="str">
            <v>7</v>
          </cell>
          <cell r="C927" t="str">
            <v>EDIFICIO MULTIFAMILIAR RIOMAR 94</v>
          </cell>
          <cell r="D927" t="str">
            <v>3736446</v>
          </cell>
          <cell r="E927" t="str">
            <v>facturacionphprestigio@gmail.com</v>
          </cell>
          <cell r="F927" t="str">
            <v>CARRERA 52 C  94  17</v>
          </cell>
          <cell r="G927" t="str">
            <v>08001</v>
          </cell>
        </row>
        <row r="928">
          <cell r="A928" t="str">
            <v>900637105</v>
          </cell>
          <cell r="B928" t="str">
            <v>4</v>
          </cell>
          <cell r="C928" t="str">
            <v>EDIFICIO BRIZZO</v>
          </cell>
          <cell r="D928" t="str">
            <v>3854754</v>
          </cell>
          <cell r="E928" t="str">
            <v>admonbrizzo@gmail.com</v>
          </cell>
          <cell r="F928" t="str">
            <v>CALLE 99  58  46</v>
          </cell>
          <cell r="G928" t="str">
            <v>08001</v>
          </cell>
        </row>
        <row r="929">
          <cell r="A929" t="str">
            <v>900641214</v>
          </cell>
          <cell r="B929" t="str">
            <v>4</v>
          </cell>
          <cell r="C929" t="str">
            <v>EDIFICIO LAUSS</v>
          </cell>
          <cell r="D929" t="str">
            <v>3116652739</v>
          </cell>
          <cell r="E929" t="str">
            <v>tesoreria@ndpropiedadhorizontal.com</v>
          </cell>
          <cell r="F929" t="str">
            <v>CARRERA 50  88  67</v>
          </cell>
          <cell r="G929" t="str">
            <v>08001</v>
          </cell>
        </row>
        <row r="930">
          <cell r="A930" t="str">
            <v>900641398</v>
          </cell>
          <cell r="B930" t="str">
            <v>0</v>
          </cell>
          <cell r="C930" t="str">
            <v>EDIFICIO MONTICELLO</v>
          </cell>
          <cell r="D930" t="str">
            <v>3015250320</v>
          </cell>
          <cell r="E930" t="str">
            <v>coordinadorprestigio@gmail.com</v>
          </cell>
          <cell r="F930" t="str">
            <v>CARRERA 58  94  21</v>
          </cell>
          <cell r="G930" t="str">
            <v>08001</v>
          </cell>
        </row>
        <row r="931">
          <cell r="A931" t="str">
            <v>900645047</v>
          </cell>
          <cell r="B931" t="str">
            <v>9</v>
          </cell>
          <cell r="C931" t="str">
            <v>EDIFICIO MANARA</v>
          </cell>
          <cell r="D931" t="str">
            <v>3002810748</v>
          </cell>
          <cell r="E931" t="str">
            <v>jepvertical@hotmail.com</v>
          </cell>
          <cell r="F931" t="str">
            <v>CARRERA 42 H  80  153</v>
          </cell>
          <cell r="G931" t="str">
            <v>08001</v>
          </cell>
        </row>
        <row r="932">
          <cell r="A932" t="str">
            <v>900653325</v>
          </cell>
          <cell r="B932" t="str">
            <v>5</v>
          </cell>
          <cell r="C932" t="str">
            <v>MAHABNA COLOMBIA S.A.S</v>
          </cell>
          <cell r="D932" t="str">
            <v>3012007897</v>
          </cell>
          <cell r="E932" t="str">
            <v>mahabna@redsis.com</v>
          </cell>
          <cell r="F932" t="str">
            <v>CARRERA 68 No. 75-102</v>
          </cell>
          <cell r="G932" t="str">
            <v>08001</v>
          </cell>
        </row>
        <row r="933">
          <cell r="A933" t="str">
            <v>900679200</v>
          </cell>
          <cell r="B933" t="str">
            <v>6</v>
          </cell>
          <cell r="C933" t="str">
            <v>CONSTRUCTORA ZABDI S.A.S.</v>
          </cell>
          <cell r="D933">
            <v>3219664011</v>
          </cell>
          <cell r="E933" t="str">
            <v>constructorazabdisas@gmail.com</v>
          </cell>
          <cell r="F933" t="str">
            <v>CR 56 96 20 OF</v>
          </cell>
          <cell r="G933" t="str">
            <v>08001</v>
          </cell>
        </row>
        <row r="934">
          <cell r="A934" t="str">
            <v>900679277</v>
          </cell>
          <cell r="B934" t="str">
            <v>2</v>
          </cell>
          <cell r="C934" t="str">
            <v>EDIFICIO TARRAGONA</v>
          </cell>
          <cell r="D934" t="str">
            <v>3 5 7 5 6 1 7</v>
          </cell>
          <cell r="E934" t="str">
            <v>asprho01@gmail.com</v>
          </cell>
          <cell r="F934" t="str">
            <v>CR 58 91 84</v>
          </cell>
          <cell r="G934" t="str">
            <v>08001</v>
          </cell>
        </row>
        <row r="935">
          <cell r="A935" t="str">
            <v>900684405</v>
          </cell>
          <cell r="B935" t="str">
            <v>9</v>
          </cell>
          <cell r="C935" t="str">
            <v>EDIFICIO FOREST HILLS</v>
          </cell>
          <cell r="D935" t="str">
            <v>3643054</v>
          </cell>
          <cell r="E935" t="str">
            <v>foresthillsedificio@gmail.com</v>
          </cell>
          <cell r="F935" t="str">
            <v>CALLE 98  50  50</v>
          </cell>
          <cell r="G935" t="str">
            <v>08001</v>
          </cell>
        </row>
        <row r="936">
          <cell r="A936" t="str">
            <v>900702688</v>
          </cell>
          <cell r="B936" t="str">
            <v>4</v>
          </cell>
          <cell r="C936" t="str">
            <v>MULTIFAMILIAR EDIFICIO ARCANGELO</v>
          </cell>
          <cell r="D936" t="str">
            <v>3019905</v>
          </cell>
          <cell r="E936" t="str">
            <v>acostaestela556@gmail.com</v>
          </cell>
          <cell r="F936" t="str">
            <v>CARRERA 52  80  76</v>
          </cell>
          <cell r="G936" t="str">
            <v>08001</v>
          </cell>
        </row>
        <row r="937">
          <cell r="A937" t="str">
            <v>900720537</v>
          </cell>
          <cell r="B937" t="str">
            <v>7</v>
          </cell>
          <cell r="C937" t="str">
            <v>EDIFICIO PALMAVELA</v>
          </cell>
          <cell r="D937" t="str">
            <v>3450690</v>
          </cell>
          <cell r="E937" t="str">
            <v>admonpalmavela@gmail.com</v>
          </cell>
          <cell r="F937" t="str">
            <v>CARRERA 42  76  189</v>
          </cell>
          <cell r="G937" t="str">
            <v>08001</v>
          </cell>
        </row>
        <row r="938">
          <cell r="A938" t="str">
            <v>900745811</v>
          </cell>
          <cell r="B938" t="str">
            <v>9</v>
          </cell>
          <cell r="C938" t="str">
            <v>EDIFICIO SOHO 79</v>
          </cell>
          <cell r="D938" t="str">
            <v>3730578</v>
          </cell>
          <cell r="E938" t="str">
            <v>Edificiosoho79@gmail.com</v>
          </cell>
          <cell r="F938" t="str">
            <v>CALLE 79  57  140</v>
          </cell>
          <cell r="G938" t="str">
            <v>08001</v>
          </cell>
        </row>
        <row r="939">
          <cell r="A939" t="str">
            <v>900747836</v>
          </cell>
          <cell r="B939" t="str">
            <v>1</v>
          </cell>
          <cell r="C939" t="str">
            <v>EDIFICIO PARK 87</v>
          </cell>
          <cell r="D939" t="str">
            <v>3023116888</v>
          </cell>
          <cell r="E939" t="str">
            <v>edificiopark87@gmail.com</v>
          </cell>
          <cell r="F939" t="str">
            <v>CARRERA 44  85  163</v>
          </cell>
          <cell r="G939" t="str">
            <v>08001</v>
          </cell>
        </row>
        <row r="940">
          <cell r="A940" t="str">
            <v>900748128</v>
          </cell>
          <cell r="B940" t="str">
            <v>1</v>
          </cell>
          <cell r="C940" t="str">
            <v>HOTELES DE LA 53 SOCIEDAD POR ACCIONES SIMPLIFICADA</v>
          </cell>
          <cell r="D940" t="str">
            <v>3679777</v>
          </cell>
          <cell r="E940" t="str">
            <v>900748128@factureinbox.co</v>
          </cell>
          <cell r="F940" t="str">
            <v>CARRERA 53  79  212</v>
          </cell>
          <cell r="G940" t="str">
            <v>08001</v>
          </cell>
        </row>
        <row r="941">
          <cell r="A941" t="str">
            <v>900762303</v>
          </cell>
          <cell r="B941" t="str">
            <v>0</v>
          </cell>
          <cell r="C941" t="str">
            <v>EDIFICIO ROSA DEL PARQUE</v>
          </cell>
          <cell r="D941" t="str">
            <v>3692914</v>
          </cell>
          <cell r="E941" t="str">
            <v>tesoreria@ndpropiedadhorizontal.com</v>
          </cell>
          <cell r="F941" t="str">
            <v>CALLE 81  64  29</v>
          </cell>
          <cell r="G941" t="str">
            <v>08001</v>
          </cell>
        </row>
        <row r="942">
          <cell r="A942" t="str">
            <v>900772111</v>
          </cell>
          <cell r="B942" t="str">
            <v>6</v>
          </cell>
          <cell r="C942" t="str">
            <v>EDIFICIO JARDIN PLAZA</v>
          </cell>
          <cell r="D942" t="str">
            <v>3106592562</v>
          </cell>
          <cell r="E942" t="str">
            <v>administrador@sgmaster.co</v>
          </cell>
          <cell r="F942" t="str">
            <v>CARRERA 42 H  80  167</v>
          </cell>
          <cell r="G942" t="str">
            <v>08001</v>
          </cell>
        </row>
        <row r="943">
          <cell r="A943" t="str">
            <v>900782862</v>
          </cell>
          <cell r="B943" t="str">
            <v>1</v>
          </cell>
          <cell r="C943" t="str">
            <v>UNIDAD RESIDENCIAL XPERIA</v>
          </cell>
          <cell r="D943" t="str">
            <v>3005895</v>
          </cell>
          <cell r="E943" t="str">
            <v>maropa7@hotmail.com</v>
          </cell>
          <cell r="F943" t="str">
            <v>CALLE 79 B  42  440</v>
          </cell>
          <cell r="G943" t="str">
            <v>08001</v>
          </cell>
        </row>
        <row r="944">
          <cell r="A944" t="str">
            <v>900794932</v>
          </cell>
          <cell r="B944" t="str">
            <v>0</v>
          </cell>
          <cell r="C944" t="str">
            <v>INAGRAM DE COLOMBIA S.A.S.</v>
          </cell>
          <cell r="D944" t="str">
            <v>3205495507</v>
          </cell>
          <cell r="E944" t="str">
            <v>edificiofirenze91@hotmail.com</v>
          </cell>
          <cell r="F944" t="str">
            <v>CL 42  51 32</v>
          </cell>
          <cell r="G944" t="str">
            <v>08001</v>
          </cell>
        </row>
        <row r="945">
          <cell r="A945" t="str">
            <v>900802350</v>
          </cell>
          <cell r="B945" t="str">
            <v>1</v>
          </cell>
          <cell r="C945" t="str">
            <v>CONJUNTO RESIDENCIAL ZIOON TOWERS</v>
          </cell>
          <cell r="D945" t="str">
            <v>3 3 2 9 5 4 9</v>
          </cell>
          <cell r="E945" t="str">
            <v>conjuntozioontowers@gmail.com</v>
          </cell>
          <cell r="F945" t="str">
            <v>CL 104 53 49</v>
          </cell>
          <cell r="G945" t="str">
            <v>08001</v>
          </cell>
        </row>
        <row r="946">
          <cell r="A946" t="str">
            <v>900842287</v>
          </cell>
          <cell r="B946" t="str">
            <v>4</v>
          </cell>
          <cell r="C946" t="str">
            <v>COMPAÑIA HOTELERA PLAZA S.A.S.</v>
          </cell>
          <cell r="D946" t="str">
            <v>3610300</v>
          </cell>
          <cell r="E946" t="str">
            <v>900842287@factureinbox.co</v>
          </cell>
          <cell r="F946" t="str">
            <v>CARRERA 51 B  79  246</v>
          </cell>
          <cell r="G946" t="str">
            <v>08001</v>
          </cell>
        </row>
        <row r="947">
          <cell r="A947" t="str">
            <v>900848747</v>
          </cell>
          <cell r="B947" t="str">
            <v>8</v>
          </cell>
          <cell r="C947" t="str">
            <v>HOTELES DE LA 107 SOCIEDAD POR ACCIONES SIMPLIFICADAS</v>
          </cell>
          <cell r="D947" t="str">
            <v>3319898</v>
          </cell>
          <cell r="E947" t="str">
            <v>facturacion.ghlbarranquilla@ghlhoteles.com</v>
          </cell>
          <cell r="F947" t="str">
            <v>CL 107 50 69</v>
          </cell>
          <cell r="G947" t="str">
            <v>08001</v>
          </cell>
        </row>
        <row r="948">
          <cell r="A948" t="str">
            <v>900864755</v>
          </cell>
          <cell r="B948" t="str">
            <v>4</v>
          </cell>
          <cell r="C948" t="str">
            <v>EDIFICIO OM CLUB HOUSE</v>
          </cell>
          <cell r="D948" t="str">
            <v>3880089</v>
          </cell>
          <cell r="E948" t="str">
            <v>omclubhouse@gmail.com</v>
          </cell>
          <cell r="F948" t="str">
            <v>CARRERA 55  82  227</v>
          </cell>
          <cell r="G948" t="str">
            <v>08001</v>
          </cell>
        </row>
        <row r="949">
          <cell r="A949" t="str">
            <v>900871468</v>
          </cell>
          <cell r="B949" t="str">
            <v>4</v>
          </cell>
          <cell r="C949" t="str">
            <v>EDIFICIO LUXOR</v>
          </cell>
          <cell r="D949" t="str">
            <v>3012384723</v>
          </cell>
          <cell r="E949" t="str">
            <v>ed.edificioluxor@gmail.com</v>
          </cell>
          <cell r="F949" t="str">
            <v>CALLE 106  49 E  45</v>
          </cell>
          <cell r="G949" t="str">
            <v>08001</v>
          </cell>
        </row>
        <row r="950">
          <cell r="A950" t="str">
            <v>900875423</v>
          </cell>
          <cell r="B950" t="str">
            <v>1</v>
          </cell>
          <cell r="C950" t="str">
            <v>CONJUNTO RESIDENCIAL PARQUE CENTRAL HAYUELOS</v>
          </cell>
          <cell r="D950" t="str">
            <v>3008142509</v>
          </cell>
          <cell r="E950" t="str">
            <v>hayuelosbarranquilla@gmail.com</v>
          </cell>
          <cell r="F950" t="str">
            <v>CALLE 63 31 104</v>
          </cell>
          <cell r="G950" t="str">
            <v>08001</v>
          </cell>
        </row>
        <row r="951">
          <cell r="A951" t="str">
            <v>900910852</v>
          </cell>
          <cell r="B951" t="str">
            <v>8</v>
          </cell>
          <cell r="C951" t="str">
            <v>EDIFICIO ALTOS DEL POBLADO</v>
          </cell>
          <cell r="D951" t="str">
            <v>3174302891</v>
          </cell>
          <cell r="E951" t="str">
            <v>altosdelpoblado@outlook.es</v>
          </cell>
          <cell r="F951" t="str">
            <v>CARRERA 50  94  45</v>
          </cell>
          <cell r="G951" t="str">
            <v>08001</v>
          </cell>
        </row>
        <row r="952">
          <cell r="A952" t="str">
            <v>900917740</v>
          </cell>
          <cell r="B952" t="str">
            <v>3</v>
          </cell>
          <cell r="C952" t="str">
            <v>MULTIFAMILIAR EDIFICIO ANDALUCIA GRAN RESERVA</v>
          </cell>
          <cell r="D952" t="str">
            <v>3324661</v>
          </cell>
          <cell r="E952" t="str">
            <v>admonagr2024@gmail.com</v>
          </cell>
          <cell r="F952" t="str">
            <v>CARRERA 71  85  32</v>
          </cell>
          <cell r="G952" t="str">
            <v>08001</v>
          </cell>
        </row>
        <row r="953">
          <cell r="A953" t="str">
            <v>900962193</v>
          </cell>
          <cell r="B953" t="str">
            <v>5</v>
          </cell>
          <cell r="C953" t="str">
            <v>EDIFICIO CENTRO MODA PROPIEDAD HORIZONTAL</v>
          </cell>
          <cell r="D953" t="str">
            <v>3002989515</v>
          </cell>
          <cell r="E953" t="str">
            <v>admoncentromoda@gmail.com</v>
          </cell>
          <cell r="F953" t="str">
            <v>CALLE 79  50  60</v>
          </cell>
          <cell r="G953" t="str">
            <v>08001</v>
          </cell>
        </row>
        <row r="954">
          <cell r="A954" t="str">
            <v>900976750</v>
          </cell>
          <cell r="B954" t="str">
            <v>9</v>
          </cell>
          <cell r="C954" t="str">
            <v>EDIFICIO QOSQO</v>
          </cell>
          <cell r="D954" t="str">
            <v>3002754744</v>
          </cell>
          <cell r="E954" t="str">
            <v>qosqo79@hotmail.com</v>
          </cell>
          <cell r="F954" t="str">
            <v>CALLE 79  42  69</v>
          </cell>
          <cell r="G954" t="str">
            <v>08001</v>
          </cell>
        </row>
        <row r="955">
          <cell r="A955" t="str">
            <v>900983901</v>
          </cell>
          <cell r="B955" t="str">
            <v>3</v>
          </cell>
          <cell r="C955" t="str">
            <v>EDIFICIO YUMA</v>
          </cell>
          <cell r="D955" t="str">
            <v>3182531030</v>
          </cell>
          <cell r="E955" t="str">
            <v>karias@colurbana.com</v>
          </cell>
          <cell r="F955" t="str">
            <v>CARRERA 51  84  149</v>
          </cell>
          <cell r="G955" t="str">
            <v>08001</v>
          </cell>
        </row>
        <row r="956">
          <cell r="A956" t="str">
            <v>900991060</v>
          </cell>
          <cell r="B956" t="str">
            <v>8</v>
          </cell>
          <cell r="C956" t="str">
            <v>EDIFICIO RIOJA 85</v>
          </cell>
          <cell r="D956" t="str">
            <v>3157240892</v>
          </cell>
          <cell r="E956" t="str">
            <v>robertguz72@hotmail.com</v>
          </cell>
          <cell r="F956" t="str">
            <v>CARRERA 45  85  33</v>
          </cell>
          <cell r="G956" t="str">
            <v>08001</v>
          </cell>
        </row>
        <row r="957">
          <cell r="A957" t="str">
            <v>901001189</v>
          </cell>
          <cell r="B957" t="str">
            <v>6</v>
          </cell>
          <cell r="C957" t="str">
            <v>EDIFICIO PORTAROSSA</v>
          </cell>
          <cell r="D957" t="str">
            <v>3177654</v>
          </cell>
          <cell r="E957" t="str">
            <v>admonportarossa@hotmail.com</v>
          </cell>
          <cell r="F957" t="str">
            <v>CARRERA 57  94  73</v>
          </cell>
          <cell r="G957" t="str">
            <v>08001</v>
          </cell>
        </row>
        <row r="958">
          <cell r="A958" t="str">
            <v>901003713</v>
          </cell>
          <cell r="B958" t="str">
            <v>5</v>
          </cell>
          <cell r="C958" t="str">
            <v>CONSTRUCCIONES TORRES DILUGANO S.A.S.</v>
          </cell>
          <cell r="D958" t="str">
            <v>3683018</v>
          </cell>
          <cell r="E958" t="str">
            <v>rvargas@conterra.co</v>
          </cell>
          <cell r="F958" t="str">
            <v>CL 77 B 57 141 OF 406</v>
          </cell>
          <cell r="G958" t="str">
            <v>08001</v>
          </cell>
        </row>
        <row r="959">
          <cell r="A959" t="str">
            <v>901012569</v>
          </cell>
          <cell r="B959" t="str">
            <v>9</v>
          </cell>
          <cell r="C959" t="str">
            <v>EDIFICIO SOHO 84</v>
          </cell>
          <cell r="D959" t="str">
            <v>3215211944</v>
          </cell>
          <cell r="E959" t="str">
            <v>tesoreria@ndpropiedadhorizontal.com</v>
          </cell>
          <cell r="F959" t="str">
            <v>CALLE 84  57  40</v>
          </cell>
          <cell r="G959" t="str">
            <v>08001</v>
          </cell>
        </row>
        <row r="960">
          <cell r="A960" t="str">
            <v>901015977</v>
          </cell>
          <cell r="B960" t="str">
            <v>4</v>
          </cell>
          <cell r="C960" t="str">
            <v>EDIFICIO LITANNY</v>
          </cell>
          <cell r="D960" t="str">
            <v>3202753845</v>
          </cell>
          <cell r="E960" t="str">
            <v>edificiolitanny@gmail.com</v>
          </cell>
          <cell r="F960" t="str">
            <v>CALLE 95  47  25</v>
          </cell>
          <cell r="G960" t="str">
            <v>08001</v>
          </cell>
        </row>
        <row r="961">
          <cell r="A961" t="str">
            <v>901022021</v>
          </cell>
          <cell r="B961" t="str">
            <v>8</v>
          </cell>
          <cell r="C961" t="str">
            <v>EDIFICIO MULTIFAMILIAR MIRADOR DE LA CUMBRE</v>
          </cell>
          <cell r="D961" t="str">
            <v>2067305</v>
          </cell>
          <cell r="E961" t="str">
            <v>admon.cumbre@gmail.com</v>
          </cell>
          <cell r="F961" t="str">
            <v>CARRERA 43  90  81</v>
          </cell>
          <cell r="G961" t="str">
            <v>08001</v>
          </cell>
        </row>
        <row r="962">
          <cell r="A962" t="str">
            <v>901032980</v>
          </cell>
          <cell r="B962" t="str">
            <v>9</v>
          </cell>
          <cell r="C962" t="str">
            <v>EDIFICIO MULTIFAMILIAR VIVERDI 85</v>
          </cell>
          <cell r="D962" t="str">
            <v>3555885</v>
          </cell>
          <cell r="E962" t="str">
            <v>edificiomultifamiliarviverdi85@gmail.com</v>
          </cell>
          <cell r="F962" t="str">
            <v>CARRERA 45  85  154</v>
          </cell>
          <cell r="G962" t="str">
            <v>08001</v>
          </cell>
        </row>
        <row r="963">
          <cell r="A963" t="str">
            <v>901042042</v>
          </cell>
          <cell r="B963" t="str">
            <v>8</v>
          </cell>
          <cell r="C963" t="str">
            <v>CENTRO EMPRESARIAL BUENAVISTA</v>
          </cell>
          <cell r="D963" t="str">
            <v>3205715900</v>
          </cell>
          <cell r="E963" t="str">
            <v>contabilidad@cebuenavista.com</v>
          </cell>
          <cell r="F963" t="str">
            <v>CARRERA 53  106  280</v>
          </cell>
          <cell r="G963" t="str">
            <v>08001</v>
          </cell>
        </row>
        <row r="964">
          <cell r="A964" t="str">
            <v>901048699</v>
          </cell>
          <cell r="B964" t="str">
            <v>3</v>
          </cell>
          <cell r="C964" t="str">
            <v>INVERSIONES E INMOBILIARIA CORDIALIDAD S.A.S.</v>
          </cell>
          <cell r="D964" t="str">
            <v>3008085491</v>
          </cell>
          <cell r="E964" t="str">
            <v>xileniam@hotmail.com</v>
          </cell>
          <cell r="F964" t="str">
            <v>CARRERA 49 C  82  165</v>
          </cell>
          <cell r="G964" t="str">
            <v>08001</v>
          </cell>
        </row>
        <row r="965">
          <cell r="A965" t="str">
            <v>901048730</v>
          </cell>
          <cell r="B965" t="str">
            <v>4</v>
          </cell>
          <cell r="C965" t="str">
            <v>EDIFICIO GIARDINO</v>
          </cell>
          <cell r="D965" t="str">
            <v>3018547856</v>
          </cell>
          <cell r="E965" t="str">
            <v>admonedificiogiardino@hotmail.com</v>
          </cell>
          <cell r="F965" t="str">
            <v>CALLE 81  56  21</v>
          </cell>
          <cell r="G965" t="str">
            <v>08001</v>
          </cell>
        </row>
        <row r="966">
          <cell r="A966" t="str">
            <v>901054512</v>
          </cell>
          <cell r="B966" t="str">
            <v>1</v>
          </cell>
          <cell r="C966" t="str">
            <v>EDIFICIO ANCORA</v>
          </cell>
          <cell r="D966" t="str">
            <v>3004492873</v>
          </cell>
          <cell r="E966" t="str">
            <v>admonedificioancora@gmail.com</v>
          </cell>
          <cell r="F966" t="str">
            <v>CARRERA 50  90  61</v>
          </cell>
          <cell r="G966" t="str">
            <v>08001</v>
          </cell>
        </row>
        <row r="967">
          <cell r="A967" t="str">
            <v>901056132</v>
          </cell>
          <cell r="B967" t="str">
            <v>3</v>
          </cell>
          <cell r="C967" t="str">
            <v>EDIFICIO ARCOS DE LA FRONTERA</v>
          </cell>
          <cell r="D967" t="str">
            <v>3107082877</v>
          </cell>
          <cell r="E967" t="str">
            <v>edificioarcosdelafrontera@gmail.com</v>
          </cell>
          <cell r="F967" t="str">
            <v>CARRERA 67  75  12</v>
          </cell>
          <cell r="G967" t="str">
            <v>08001</v>
          </cell>
        </row>
        <row r="968">
          <cell r="A968" t="str">
            <v>901058860</v>
          </cell>
          <cell r="B968" t="str">
            <v>6</v>
          </cell>
          <cell r="C968" t="str">
            <v>EDIFICIO PRIMAVERA 41.</v>
          </cell>
          <cell r="D968" t="str">
            <v>3854782</v>
          </cell>
          <cell r="E968" t="str">
            <v>admonseyba@hotmail.com</v>
          </cell>
          <cell r="F968" t="str">
            <v>CARRERA 41  73 B  38</v>
          </cell>
          <cell r="G968" t="str">
            <v>08001</v>
          </cell>
        </row>
        <row r="969">
          <cell r="A969" t="str">
            <v>901062690</v>
          </cell>
          <cell r="B969" t="str">
            <v>6</v>
          </cell>
          <cell r="C969" t="str">
            <v>EDIFICIO GUAYAVA</v>
          </cell>
          <cell r="D969" t="str">
            <v>3012522501</v>
          </cell>
          <cell r="E969" t="str">
            <v>edificioguayava@gmail.com</v>
          </cell>
          <cell r="F969" t="str">
            <v>CARRERA 56  84  90</v>
          </cell>
          <cell r="G969" t="str">
            <v>08001</v>
          </cell>
        </row>
        <row r="970">
          <cell r="A970" t="str">
            <v>901062820</v>
          </cell>
          <cell r="B970" t="str">
            <v>7</v>
          </cell>
          <cell r="C970" t="str">
            <v>CONJUNTO RESIDENCIAL OCEANA 52 ETAPA 1 Y 2</v>
          </cell>
          <cell r="D970" t="str">
            <v>3042501496</v>
          </cell>
          <cell r="E970" t="str">
            <v>oceana52ph@gmail.com</v>
          </cell>
          <cell r="F970" t="str">
            <v>CR 52 106 213</v>
          </cell>
          <cell r="G970" t="str">
            <v>08001</v>
          </cell>
        </row>
        <row r="971">
          <cell r="A971" t="str">
            <v>901065069</v>
          </cell>
          <cell r="B971" t="str">
            <v>5</v>
          </cell>
          <cell r="C971" t="str">
            <v>LA MERCERIA ARTE Y MANUALIDADES S.A.S</v>
          </cell>
          <cell r="D971" t="str">
            <v>3176411387</v>
          </cell>
          <cell r="E971" t="str">
            <v>moniespinall@hotmail.com</v>
          </cell>
          <cell r="F971" t="str">
            <v>CARRERA 43 B No. 80 - 88</v>
          </cell>
          <cell r="G971" t="str">
            <v>08001</v>
          </cell>
        </row>
        <row r="972">
          <cell r="A972" t="str">
            <v>901067311</v>
          </cell>
          <cell r="B972" t="str">
            <v>2</v>
          </cell>
          <cell r="C972" t="str">
            <v>EDIFICIO BAHIA DE CADIZ</v>
          </cell>
          <cell r="D972" t="str">
            <v>3014674107</v>
          </cell>
          <cell r="E972" t="str">
            <v>edificiobahiadecadiz@gmail.com</v>
          </cell>
          <cell r="F972" t="str">
            <v>CR 66 75 55</v>
          </cell>
          <cell r="G972" t="str">
            <v>08001</v>
          </cell>
        </row>
        <row r="973">
          <cell r="A973" t="str">
            <v>901069828</v>
          </cell>
          <cell r="B973" t="str">
            <v>7</v>
          </cell>
          <cell r="C973" t="str">
            <v>CPJ INGENIERIA &amp; CONSTRUCCIONES S.A.S.</v>
          </cell>
          <cell r="D973" t="str">
            <v>3093136</v>
          </cell>
          <cell r="E973" t="str">
            <v>cpjingenieriayconstsas@gmail.com</v>
          </cell>
          <cell r="F973" t="str">
            <v>CLL 77 B 57 141 ED CENTRO EMPRESARIAL LAS AMERICAS I</v>
          </cell>
          <cell r="G973" t="str">
            <v>08001</v>
          </cell>
        </row>
        <row r="974">
          <cell r="A974" t="str">
            <v>901086562</v>
          </cell>
          <cell r="B974" t="str">
            <v>5</v>
          </cell>
          <cell r="C974" t="str">
            <v>EDIFICIO JARDIN PLAZA II</v>
          </cell>
          <cell r="D974" t="str">
            <v>3135820908</v>
          </cell>
          <cell r="E974" t="str">
            <v>edificiojardinplaza2@gmail.com</v>
          </cell>
          <cell r="F974" t="str">
            <v>CALLE 79 B  42  494</v>
          </cell>
          <cell r="G974" t="str">
            <v>08001</v>
          </cell>
        </row>
        <row r="975">
          <cell r="A975" t="str">
            <v>901088898</v>
          </cell>
          <cell r="B975" t="str">
            <v>3</v>
          </cell>
          <cell r="C975" t="str">
            <v>EDIFICIO CONDOMINIO ISABELLA - PROPIEDAD HORIZONTAL</v>
          </cell>
          <cell r="D975" t="str">
            <v>3187020028</v>
          </cell>
          <cell r="E975" t="str">
            <v>condominioisabella.admon@gmail.com</v>
          </cell>
          <cell r="F975" t="str">
            <v>Calle 110 #49E-72</v>
          </cell>
          <cell r="G975" t="str">
            <v>08001</v>
          </cell>
        </row>
        <row r="976">
          <cell r="A976" t="str">
            <v>901088932</v>
          </cell>
          <cell r="B976" t="str">
            <v>6</v>
          </cell>
          <cell r="C976" t="str">
            <v>EDIFICIO TORRE PORTAL</v>
          </cell>
          <cell r="D976" t="str">
            <v>3335627</v>
          </cell>
          <cell r="E976" t="str">
            <v>edificiotorreportal@gmail.com</v>
          </cell>
          <cell r="F976" t="str">
            <v>CALLE 57  44  162</v>
          </cell>
          <cell r="G976" t="str">
            <v>08001</v>
          </cell>
        </row>
        <row r="977">
          <cell r="A977" t="str">
            <v>901100935</v>
          </cell>
          <cell r="B977" t="str">
            <v>9</v>
          </cell>
          <cell r="C977" t="str">
            <v>EDIFICIO ODESSA</v>
          </cell>
          <cell r="D977" t="str">
            <v>3208459901</v>
          </cell>
          <cell r="E977" t="str">
            <v>edificio.odessa@gmail.com</v>
          </cell>
          <cell r="F977" t="str">
            <v>CARRERA 57  84  155</v>
          </cell>
          <cell r="G977" t="str">
            <v>08001</v>
          </cell>
        </row>
        <row r="978">
          <cell r="A978" t="str">
            <v>901101026</v>
          </cell>
          <cell r="B978" t="str">
            <v>3</v>
          </cell>
          <cell r="C978" t="str">
            <v>EDIFICIO COROZO</v>
          </cell>
          <cell r="D978" t="str">
            <v>3004492873</v>
          </cell>
          <cell r="E978" t="str">
            <v>administracion@edificiocorozo.com</v>
          </cell>
          <cell r="F978" t="str">
            <v>CARRERA 67  74  170</v>
          </cell>
          <cell r="G978" t="str">
            <v>08001</v>
          </cell>
        </row>
        <row r="979">
          <cell r="A979" t="str">
            <v>901119662</v>
          </cell>
          <cell r="B979" t="str">
            <v>7</v>
          </cell>
          <cell r="C979" t="str">
            <v>EDIFICIO ROMERO &amp; LOTO</v>
          </cell>
          <cell r="D979">
            <v>3219664011</v>
          </cell>
          <cell r="E979" t="str">
            <v>edificioromeroyloto@gmail.com</v>
          </cell>
          <cell r="F979" t="str">
            <v>CL 83 42 D 123</v>
          </cell>
          <cell r="G979" t="str">
            <v>08001</v>
          </cell>
        </row>
        <row r="980">
          <cell r="A980" t="str">
            <v>901123791</v>
          </cell>
          <cell r="B980" t="str">
            <v>4</v>
          </cell>
          <cell r="C980" t="str">
            <v>EDIFICIO CASTILLA DEL PRADO</v>
          </cell>
          <cell r="D980" t="str">
            <v>3006015873</v>
          </cell>
          <cell r="E980" t="str">
            <v>castilladelprado@gmail.com</v>
          </cell>
          <cell r="F980" t="str">
            <v>CL 68 49 50</v>
          </cell>
          <cell r="G980" t="str">
            <v>08001</v>
          </cell>
        </row>
        <row r="981">
          <cell r="A981" t="str">
            <v>901124030</v>
          </cell>
          <cell r="B981" t="str">
            <v>2</v>
          </cell>
          <cell r="C981" t="str">
            <v>EDIFICIO SOHO 55</v>
          </cell>
          <cell r="D981" t="str">
            <v>3116657739</v>
          </cell>
          <cell r="E981" t="str">
            <v>tesoreria@ndpropiedadhorizontal.com</v>
          </cell>
          <cell r="F981" t="str">
            <v>CARRERA 55  82  166</v>
          </cell>
          <cell r="G981" t="str">
            <v>08001</v>
          </cell>
        </row>
        <row r="982">
          <cell r="A982" t="str">
            <v>901124389</v>
          </cell>
          <cell r="B982" t="str">
            <v>0</v>
          </cell>
          <cell r="C982" t="str">
            <v>CONJUNTO RESIDENCIAL BORA</v>
          </cell>
          <cell r="D982" t="str">
            <v>3017480532</v>
          </cell>
          <cell r="E982" t="str">
            <v>administracion@conjuntobora.com</v>
          </cell>
          <cell r="F982" t="str">
            <v>CL 96 71 37</v>
          </cell>
          <cell r="G982" t="str">
            <v>08001</v>
          </cell>
        </row>
        <row r="983">
          <cell r="A983" t="str">
            <v>901130604</v>
          </cell>
          <cell r="B983" t="str">
            <v>4</v>
          </cell>
          <cell r="C983" t="str">
            <v>EDIFICIO OCEANA 91</v>
          </cell>
          <cell r="D983" t="str">
            <v>3132858638</v>
          </cell>
          <cell r="E983" t="str">
            <v>eoceana91@gmail.com</v>
          </cell>
          <cell r="F983" t="str">
            <v>CALLE 91  49 C  46</v>
          </cell>
          <cell r="G983" t="str">
            <v>08001</v>
          </cell>
        </row>
        <row r="984">
          <cell r="A984" t="str">
            <v>901135749</v>
          </cell>
          <cell r="B984" t="str">
            <v>6</v>
          </cell>
          <cell r="C984" t="str">
            <v>EDIFICIO PARAISO 80</v>
          </cell>
          <cell r="D984" t="str">
            <v>3145890872</v>
          </cell>
          <cell r="E984" t="str">
            <v>edificioparaiso80bquilla@gmail.com</v>
          </cell>
          <cell r="F984" t="str">
            <v>CALLE 80  66  46</v>
          </cell>
          <cell r="G984" t="str">
            <v>08001</v>
          </cell>
        </row>
        <row r="985">
          <cell r="A985" t="str">
            <v>901140329</v>
          </cell>
          <cell r="B985" t="str">
            <v>6</v>
          </cell>
          <cell r="C985" t="str">
            <v>EDIFICIO MONZA</v>
          </cell>
          <cell r="D985" t="str">
            <v>3203460</v>
          </cell>
          <cell r="E985" t="str">
            <v>monzaedificio@gmail.com</v>
          </cell>
          <cell r="F985" t="str">
            <v>CARRERA 64 B  91  139</v>
          </cell>
          <cell r="G985" t="str">
            <v>08001</v>
          </cell>
        </row>
        <row r="986">
          <cell r="A986" t="str">
            <v>901142996</v>
          </cell>
          <cell r="B986" t="str">
            <v>8</v>
          </cell>
          <cell r="C986" t="str">
            <v>EDIFICIO PARK 84</v>
          </cell>
          <cell r="D986" t="str">
            <v>3015250320</v>
          </cell>
          <cell r="E986" t="str">
            <v>edificiopark84@hotmail.com</v>
          </cell>
          <cell r="F986" t="str">
            <v>CR 42H 84 33</v>
          </cell>
          <cell r="G986" t="str">
            <v>08001</v>
          </cell>
        </row>
        <row r="987">
          <cell r="A987" t="str">
            <v>901147219</v>
          </cell>
          <cell r="B987" t="str">
            <v>6</v>
          </cell>
          <cell r="C987" t="str">
            <v>EDIFICIO DALIA 64</v>
          </cell>
          <cell r="D987" t="str">
            <v>3006606189</v>
          </cell>
          <cell r="E987" t="str">
            <v>edificiodalia64ph@gmail.com</v>
          </cell>
          <cell r="F987" t="str">
            <v>CARRERA 64 B  84  28</v>
          </cell>
          <cell r="G987" t="str">
            <v>08001</v>
          </cell>
        </row>
        <row r="988">
          <cell r="A988" t="str">
            <v>901159067</v>
          </cell>
          <cell r="B988" t="str">
            <v>5</v>
          </cell>
          <cell r="C988" t="str">
            <v>EDIFICIO SUMMIT</v>
          </cell>
          <cell r="D988" t="str">
            <v>3205992484</v>
          </cell>
          <cell r="E988" t="str">
            <v>acostaestela556@gmail.com</v>
          </cell>
          <cell r="F988" t="str">
            <v>CR 55 80 176</v>
          </cell>
          <cell r="G988" t="str">
            <v>08001</v>
          </cell>
        </row>
        <row r="989">
          <cell r="A989" t="str">
            <v>901160881</v>
          </cell>
          <cell r="B989" t="str">
            <v>6</v>
          </cell>
          <cell r="C989" t="str">
            <v>CENTRO COMERCIAL SANANDRESITO BARRANQUILLA CENTRO</v>
          </cell>
          <cell r="D989" t="str">
            <v>3608686</v>
          </cell>
          <cell r="E989" t="str">
            <v>facturas@hvr.com.co</v>
          </cell>
          <cell r="F989" t="str">
            <v>CR 45 C 34 53</v>
          </cell>
          <cell r="G989" t="str">
            <v>08001</v>
          </cell>
        </row>
        <row r="990">
          <cell r="A990" t="str">
            <v>901163118</v>
          </cell>
          <cell r="B990" t="str">
            <v>8</v>
          </cell>
          <cell r="C990" t="str">
            <v>CONJUNTO PARK 68 PROPIEDAD HORIZONTAL</v>
          </cell>
          <cell r="D990" t="str">
            <v>3007049392</v>
          </cell>
          <cell r="E990" t="str">
            <v>crpark68@hotmail.com</v>
          </cell>
          <cell r="F990" t="str">
            <v>CR 66 B 68 71</v>
          </cell>
          <cell r="G990" t="str">
            <v>08001</v>
          </cell>
        </row>
        <row r="991">
          <cell r="A991" t="str">
            <v>901167327</v>
          </cell>
          <cell r="B991" t="str">
            <v>9</v>
          </cell>
          <cell r="C991" t="str">
            <v>CONSTRUIR YJK S.A.S</v>
          </cell>
          <cell r="D991">
            <v>3219664011</v>
          </cell>
          <cell r="E991" t="str">
            <v>BERDICASESORES@GMAIL.COM</v>
          </cell>
          <cell r="F991" t="str">
            <v>CL 88  42 E  66</v>
          </cell>
          <cell r="G991" t="str">
            <v>08001</v>
          </cell>
        </row>
        <row r="992">
          <cell r="A992" t="str">
            <v>901167386</v>
          </cell>
          <cell r="B992" t="str">
            <v>3</v>
          </cell>
          <cell r="C992" t="str">
            <v>EDIFICIO BALCONES DE SAN JOSE</v>
          </cell>
          <cell r="D992" t="str">
            <v>3004647078</v>
          </cell>
          <cell r="E992" t="str">
            <v>facturacion@estiloingenieria.com</v>
          </cell>
          <cell r="F992" t="str">
            <v>CL 75 41 D 54</v>
          </cell>
          <cell r="G992" t="str">
            <v>08001</v>
          </cell>
        </row>
        <row r="993">
          <cell r="A993" t="str">
            <v>901170762</v>
          </cell>
          <cell r="B993" t="str">
            <v>0</v>
          </cell>
          <cell r="C993" t="str">
            <v>EDIFICIO VICTORIA PLAZA</v>
          </cell>
          <cell r="D993" t="str">
            <v>3116652739</v>
          </cell>
          <cell r="E993" t="str">
            <v>tesoreria@ndpropiedadhorizontal.com</v>
          </cell>
          <cell r="F993" t="str">
            <v>CARRERA 65 B  84  145</v>
          </cell>
          <cell r="G993" t="str">
            <v>08001</v>
          </cell>
        </row>
        <row r="994">
          <cell r="A994" t="str">
            <v>901179391</v>
          </cell>
          <cell r="B994" t="str">
            <v>2</v>
          </cell>
          <cell r="C994" t="str">
            <v>CENTRO COMERCIAL PLAZA CATALUÑA</v>
          </cell>
          <cell r="D994" t="str">
            <v>3014591618</v>
          </cell>
          <cell r="E994" t="str">
            <v>rogers.navarro@hotmail.com</v>
          </cell>
          <cell r="F994" t="str">
            <v>CR 58 82 79</v>
          </cell>
          <cell r="G994" t="str">
            <v>08001</v>
          </cell>
        </row>
        <row r="995">
          <cell r="A995" t="str">
            <v>901179832</v>
          </cell>
          <cell r="B995" t="str">
            <v>9</v>
          </cell>
          <cell r="C995" t="str">
            <v>EDIFICIO CARIBE PLAZA 1</v>
          </cell>
          <cell r="D995" t="str">
            <v>3017545230</v>
          </cell>
          <cell r="E995" t="str">
            <v>caribeplaza1@gmail.com</v>
          </cell>
          <cell r="F995" t="str">
            <v>CR 9 G 122 94</v>
          </cell>
          <cell r="G995" t="str">
            <v>08001</v>
          </cell>
        </row>
        <row r="996">
          <cell r="A996" t="str">
            <v>901180401</v>
          </cell>
          <cell r="B996" t="str">
            <v>1</v>
          </cell>
          <cell r="C996" t="str">
            <v>SOLVO S.A.S</v>
          </cell>
          <cell r="D996" t="str">
            <v>3 1 2 7 8 5 8 4 1 7</v>
          </cell>
          <cell r="E996" t="str">
            <v>ina.villaa@solvoglobal.com</v>
          </cell>
          <cell r="F996" t="str">
            <v>CL 3 SUR 36 10</v>
          </cell>
          <cell r="G996" t="str">
            <v>08001</v>
          </cell>
        </row>
        <row r="997">
          <cell r="A997" t="str">
            <v>901187696</v>
          </cell>
          <cell r="B997" t="str">
            <v>7</v>
          </cell>
          <cell r="C997" t="str">
            <v>EDIFICIO THE POINT</v>
          </cell>
          <cell r="D997" t="str">
            <v>3135727929</v>
          </cell>
          <cell r="E997" t="str">
            <v>edificiothepoint@hotmail.com</v>
          </cell>
          <cell r="F997" t="str">
            <v>CL 96 A 50 59</v>
          </cell>
          <cell r="G997" t="str">
            <v>08001</v>
          </cell>
        </row>
        <row r="998">
          <cell r="A998" t="str">
            <v>901192215</v>
          </cell>
          <cell r="B998" t="str">
            <v>8</v>
          </cell>
          <cell r="C998" t="str">
            <v>EDIFICIO ANTILIA - PROPIEDAD HORIZONTAL</v>
          </cell>
          <cell r="D998" t="str">
            <v>3017166821</v>
          </cell>
          <cell r="E998" t="str">
            <v>edificio.antilia.tower@gmail.com</v>
          </cell>
          <cell r="F998" t="str">
            <v>CL 102 50 15</v>
          </cell>
          <cell r="G998" t="str">
            <v>08001</v>
          </cell>
        </row>
        <row r="999">
          <cell r="A999" t="str">
            <v>901194241</v>
          </cell>
          <cell r="B999" t="str">
            <v>9</v>
          </cell>
          <cell r="C999" t="str">
            <v>EDIFICIO BALCONI 90</v>
          </cell>
          <cell r="D999" t="str">
            <v>3164544812</v>
          </cell>
          <cell r="E999" t="str">
            <v>balconinoventa@gmail.com</v>
          </cell>
          <cell r="F999" t="str">
            <v>CR 43 B   90   152</v>
          </cell>
          <cell r="G999" t="str">
            <v>08001</v>
          </cell>
        </row>
        <row r="1000">
          <cell r="A1000" t="str">
            <v>901200146</v>
          </cell>
          <cell r="B1000" t="str">
            <v>3</v>
          </cell>
          <cell r="C1000" t="str">
            <v>CONJUNTO RESIDENCIAL BRISAS DEL CARIBE - PROPIEDAD HORIZONTAL</v>
          </cell>
          <cell r="D1000" t="str">
            <v>3508688189</v>
          </cell>
          <cell r="E1000" t="str">
            <v>brisasdelcaribeadmon@gmail.com</v>
          </cell>
          <cell r="F1000" t="str">
            <v>CL 122 09 207</v>
          </cell>
          <cell r="G1000" t="str">
            <v>08001</v>
          </cell>
        </row>
        <row r="1001">
          <cell r="A1001" t="str">
            <v>901201650</v>
          </cell>
          <cell r="B1001" t="str">
            <v>9</v>
          </cell>
          <cell r="C1001" t="str">
            <v>EDIFICIO BAHÍA COUNTRY</v>
          </cell>
          <cell r="D1001" t="str">
            <v>3004647078</v>
          </cell>
          <cell r="E1001" t="str">
            <v>juanjose.sal@hotmail.com</v>
          </cell>
          <cell r="F1001" t="str">
            <v>CL 79 42 376</v>
          </cell>
          <cell r="G1001" t="str">
            <v>08001</v>
          </cell>
        </row>
        <row r="1002">
          <cell r="A1002" t="str">
            <v>901201677</v>
          </cell>
          <cell r="B1002" t="str">
            <v>7</v>
          </cell>
          <cell r="C1002" t="str">
            <v>EDIFICIO PARK AVENUE 88</v>
          </cell>
          <cell r="D1002" t="str">
            <v>3004523147</v>
          </cell>
          <cell r="E1002" t="str">
            <v>admon.parkavenue88@hotmail.com</v>
          </cell>
          <cell r="F1002" t="str">
            <v>CL 88 44 41</v>
          </cell>
          <cell r="G1002" t="str">
            <v>08001</v>
          </cell>
        </row>
        <row r="1003">
          <cell r="A1003" t="str">
            <v>901201946</v>
          </cell>
          <cell r="B1003" t="str">
            <v>3</v>
          </cell>
          <cell r="C1003" t="str">
            <v>EDIFICIO VIVERDI 42 D</v>
          </cell>
          <cell r="D1003" t="str">
            <v>3853370</v>
          </cell>
          <cell r="E1003" t="str">
            <v>Viverdi42@gmail.com</v>
          </cell>
          <cell r="F1003" t="str">
            <v>CL 85 42D 99</v>
          </cell>
          <cell r="G1003" t="str">
            <v>08001</v>
          </cell>
        </row>
        <row r="1004">
          <cell r="A1004" t="str">
            <v>901204558</v>
          </cell>
          <cell r="B1004" t="str">
            <v>2</v>
          </cell>
          <cell r="C1004" t="str">
            <v>CONJUNTO RESIDENCIAL PIAMONTE</v>
          </cell>
          <cell r="D1004" t="str">
            <v>3188132404</v>
          </cell>
          <cell r="E1004" t="str">
            <v>conjunto.piamonte1@gmail.com</v>
          </cell>
          <cell r="F1004" t="str">
            <v>TV 44 102 72</v>
          </cell>
          <cell r="G1004" t="str">
            <v>08001</v>
          </cell>
        </row>
        <row r="1005">
          <cell r="A1005" t="str">
            <v>901214340</v>
          </cell>
          <cell r="B1005" t="str">
            <v>7</v>
          </cell>
          <cell r="C1005" t="str">
            <v>EDIFICIO "SKYROS 79"</v>
          </cell>
          <cell r="D1005" t="str">
            <v>3152363669</v>
          </cell>
          <cell r="E1005" t="str">
            <v>edificio.skyros79@gmail.com</v>
          </cell>
          <cell r="F1005" t="str">
            <v>CL 79 42 91</v>
          </cell>
          <cell r="G1005" t="str">
            <v>08001</v>
          </cell>
        </row>
        <row r="1006">
          <cell r="A1006" t="str">
            <v>901217346</v>
          </cell>
          <cell r="B1006" t="str">
            <v>4</v>
          </cell>
          <cell r="C1006" t="str">
            <v>EDIFICIO TIKAY</v>
          </cell>
          <cell r="D1006" t="str">
            <v>3152363669</v>
          </cell>
          <cell r="E1006" t="str">
            <v>edificio.tikay@gmail.com</v>
          </cell>
          <cell r="F1006" t="str">
            <v>CR 96 A 46 10</v>
          </cell>
          <cell r="G1006" t="str">
            <v>08001</v>
          </cell>
        </row>
        <row r="1007">
          <cell r="A1007" t="str">
            <v>901217914</v>
          </cell>
          <cell r="B1007" t="str">
            <v>8</v>
          </cell>
          <cell r="C1007" t="str">
            <v>EDIFICIO SOHO 55 - 2</v>
          </cell>
          <cell r="D1007" t="str">
            <v>3692914</v>
          </cell>
          <cell r="E1007" t="str">
            <v>tesoreria@ndpropiedadhorizontal.com</v>
          </cell>
          <cell r="F1007" t="str">
            <v>CR 55 82 72</v>
          </cell>
          <cell r="G1007" t="str">
            <v>08001</v>
          </cell>
        </row>
        <row r="1008">
          <cell r="A1008" t="str">
            <v>901218075</v>
          </cell>
          <cell r="B1008" t="str">
            <v>8</v>
          </cell>
          <cell r="C1008" t="str">
            <v>EDIFICIO BLINK</v>
          </cell>
          <cell r="D1008" t="str">
            <v>3912763</v>
          </cell>
          <cell r="E1008" t="str">
            <v>edificio.blink@gmail.com</v>
          </cell>
          <cell r="F1008" t="str">
            <v>CARRERA 64D 86-141</v>
          </cell>
          <cell r="G1008" t="str">
            <v>08001</v>
          </cell>
        </row>
        <row r="1009">
          <cell r="A1009" t="str">
            <v>901222941</v>
          </cell>
          <cell r="B1009" t="str">
            <v>7</v>
          </cell>
          <cell r="C1009" t="str">
            <v>EDIFICIO CHELSEA</v>
          </cell>
          <cell r="D1009" t="str">
            <v>3103676670</v>
          </cell>
          <cell r="E1009" t="str">
            <v>tesoreria@ndpropiedadhorizontal.com</v>
          </cell>
          <cell r="F1009" t="str">
            <v>CR 42 H 87 169</v>
          </cell>
          <cell r="G1009" t="str">
            <v>08001</v>
          </cell>
        </row>
        <row r="1010">
          <cell r="A1010" t="str">
            <v>901235459</v>
          </cell>
          <cell r="B1010" t="str">
            <v>4</v>
          </cell>
          <cell r="C1010" t="str">
            <v>CONJUNTO RESIDENCIAL ALONDRA</v>
          </cell>
          <cell r="D1010" t="str">
            <v>3003648823</v>
          </cell>
          <cell r="E1010" t="str">
            <v>alondraalamedadelrio@gmail.com</v>
          </cell>
          <cell r="F1010" t="str">
            <v>CL 112 42 93</v>
          </cell>
          <cell r="G1010" t="str">
            <v>08001</v>
          </cell>
        </row>
        <row r="1011">
          <cell r="A1011" t="str">
            <v>901235916</v>
          </cell>
          <cell r="B1011" t="str">
            <v>9</v>
          </cell>
          <cell r="C1011" t="str">
            <v>MULTIFAMILIAR EDIFICIO N-75</v>
          </cell>
          <cell r="D1011" t="str">
            <v>3373347</v>
          </cell>
          <cell r="E1011" t="str">
            <v>admon.edificion75@gmail.com</v>
          </cell>
          <cell r="F1011" t="str">
            <v>CL 75 45 16</v>
          </cell>
          <cell r="G1011" t="str">
            <v>08001</v>
          </cell>
        </row>
        <row r="1012">
          <cell r="A1012" t="str">
            <v>901237326</v>
          </cell>
          <cell r="B1012" t="str">
            <v>2</v>
          </cell>
          <cell r="C1012" t="str">
            <v>EDIFICIO MULTIFAMILIAR EL CEDRO - P.H.</v>
          </cell>
          <cell r="D1012" t="str">
            <v>3202753845</v>
          </cell>
          <cell r="E1012" t="str">
            <v>contabilidadelcedro@gmail.com</v>
          </cell>
          <cell r="F1012" t="str">
            <v>CR 43 B 82 114</v>
          </cell>
          <cell r="G1012" t="str">
            <v>08001</v>
          </cell>
        </row>
        <row r="1013">
          <cell r="A1013" t="str">
            <v>901243827</v>
          </cell>
          <cell r="B1013" t="str">
            <v>5</v>
          </cell>
          <cell r="C1013" t="str">
            <v>GF INGENIEROS S.A.S.</v>
          </cell>
          <cell r="D1013" t="str">
            <v>3 1 8 4 8 4 3 4 9 8</v>
          </cell>
          <cell r="E1013" t="str">
            <v>gabrielceballos@gmail.com</v>
          </cell>
          <cell r="F1013" t="str">
            <v>CR 64 C 84 260 ED VIVERDI APTDO 503</v>
          </cell>
          <cell r="G1013" t="str">
            <v>08001</v>
          </cell>
        </row>
        <row r="1014">
          <cell r="A1014" t="str">
            <v>901244282</v>
          </cell>
          <cell r="B1014" t="str">
            <v>6</v>
          </cell>
          <cell r="C1014" t="str">
            <v>EDIFICIO CEIBA BLANCA - PROPIEDAD HORIZONTAL</v>
          </cell>
          <cell r="D1014" t="str">
            <v>3164537954</v>
          </cell>
          <cell r="E1014" t="str">
            <v>edceibablanca@gmail.com</v>
          </cell>
          <cell r="F1014" t="str">
            <v>CR 51 79 85</v>
          </cell>
          <cell r="G1014" t="str">
            <v>08001</v>
          </cell>
        </row>
        <row r="1015">
          <cell r="A1015" t="str">
            <v>901257534</v>
          </cell>
          <cell r="B1015" t="str">
            <v>3</v>
          </cell>
          <cell r="C1015" t="str">
            <v>EDIFICIO NOVO 90</v>
          </cell>
          <cell r="D1015" t="str">
            <v>3015335828</v>
          </cell>
          <cell r="E1015" t="str">
            <v>novo90admon@gmail.com</v>
          </cell>
          <cell r="F1015" t="str">
            <v>CRA 43 B 90 141</v>
          </cell>
          <cell r="G1015" t="str">
            <v>08001</v>
          </cell>
        </row>
        <row r="1016">
          <cell r="A1016" t="str">
            <v>901257570</v>
          </cell>
          <cell r="B1016" t="str">
            <v>9</v>
          </cell>
          <cell r="C1016" t="str">
            <v>EDIFICIO BORACAY</v>
          </cell>
          <cell r="D1016" t="str">
            <v>3004598541</v>
          </cell>
          <cell r="E1016" t="str">
            <v>edificioboracayadmon@gmail.com</v>
          </cell>
          <cell r="F1016" t="str">
            <v>CL 73 39 196</v>
          </cell>
          <cell r="G1016" t="str">
            <v>08001</v>
          </cell>
        </row>
        <row r="1017">
          <cell r="A1017" t="str">
            <v>901266217</v>
          </cell>
          <cell r="B1017" t="str">
            <v>1</v>
          </cell>
          <cell r="C1017" t="str">
            <v>EDIFICIO PRAVIA 102</v>
          </cell>
          <cell r="D1017" t="str">
            <v>3103620037</v>
          </cell>
          <cell r="E1017" t="str">
            <v>edificiopravia102@gmail.com</v>
          </cell>
          <cell r="F1017" t="str">
            <v>CL 102 49 C 18</v>
          </cell>
          <cell r="G1017" t="str">
            <v>08001</v>
          </cell>
        </row>
        <row r="1018">
          <cell r="A1018" t="str">
            <v>901311655</v>
          </cell>
          <cell r="B1018" t="str">
            <v>7</v>
          </cell>
          <cell r="C1018" t="str">
            <v>EDIFICIO BEDFORD</v>
          </cell>
          <cell r="D1018" t="str">
            <v>3023574</v>
          </cell>
          <cell r="E1018" t="str">
            <v>edificiobedford@outlook.com</v>
          </cell>
          <cell r="F1018" t="str">
            <v>CARRERA 43B 90-23</v>
          </cell>
          <cell r="G1018" t="str">
            <v>08001</v>
          </cell>
        </row>
        <row r="1019">
          <cell r="A1019" t="str">
            <v>901325418</v>
          </cell>
          <cell r="B1019" t="str">
            <v>9</v>
          </cell>
          <cell r="C1019" t="str">
            <v>MULTIFAMILIAR NAXOS-PROPIEDAD HORIZONTAL</v>
          </cell>
          <cell r="D1019" t="str">
            <v>3152363669</v>
          </cell>
          <cell r="E1019" t="str">
            <v>admonedificionaxos@gmail.com</v>
          </cell>
          <cell r="F1019" t="str">
            <v>CALLE 76B 42F-24</v>
          </cell>
          <cell r="G1019" t="str">
            <v>08001</v>
          </cell>
        </row>
        <row r="1020">
          <cell r="A1020" t="str">
            <v>901327692</v>
          </cell>
          <cell r="B1020" t="str">
            <v>1</v>
          </cell>
          <cell r="C1020" t="str">
            <v>EDIFICIO ROYAL 94 - PROPIEDAD HORIZONTAL</v>
          </cell>
          <cell r="D1020" t="str">
            <v>6 0 5 3 0 4 9 1 5 6</v>
          </cell>
          <cell r="E1020" t="str">
            <v>edificioroyal94@gmail.com</v>
          </cell>
          <cell r="F1020" t="str">
            <v>CR 43 93 52</v>
          </cell>
          <cell r="G1020" t="str">
            <v>08001</v>
          </cell>
        </row>
        <row r="1021">
          <cell r="A1021" t="str">
            <v>901352652</v>
          </cell>
          <cell r="B1021" t="str">
            <v>0</v>
          </cell>
          <cell r="C1021" t="str">
            <v>TORRE EMPRESARIAL TERPEL</v>
          </cell>
          <cell r="D1021" t="str">
            <v>3012302346</v>
          </cell>
          <cell r="E1021" t="str">
            <v>contabilidadteterpel@gmail.com</v>
          </cell>
          <cell r="F1021" t="str">
            <v>VIA 40 69 111</v>
          </cell>
          <cell r="G1021" t="str">
            <v>08001</v>
          </cell>
        </row>
        <row r="1022">
          <cell r="A1022" t="str">
            <v>901403268</v>
          </cell>
          <cell r="B1022" t="str">
            <v>5</v>
          </cell>
          <cell r="C1022" t="str">
            <v>HOTELES DORADO PLAZA COLOMBIA SAS</v>
          </cell>
          <cell r="D1022" t="str">
            <v>3145966945</v>
          </cell>
          <cell r="E1022" t="str">
            <v>contabilidad@doradoplaza.com</v>
          </cell>
          <cell r="F1022" t="str">
            <v>CR 2 AV SAN MARTIN 4 41 BRR BOCAGRANDE</v>
          </cell>
          <cell r="G1022" t="str">
            <v>08001</v>
          </cell>
        </row>
        <row r="1023">
          <cell r="A1023" t="str">
            <v>901403473</v>
          </cell>
          <cell r="B1023" t="str">
            <v>9</v>
          </cell>
          <cell r="C1023" t="str">
            <v>EDIFICIO BIEL</v>
          </cell>
          <cell r="D1023" t="str">
            <v>3043508127</v>
          </cell>
          <cell r="E1023" t="str">
            <v>edificiobiel@gmail.com</v>
          </cell>
          <cell r="F1023" t="str">
            <v>CALLE 90 No.  49 C 29</v>
          </cell>
          <cell r="G1023" t="str">
            <v>08001</v>
          </cell>
        </row>
        <row r="1024">
          <cell r="A1024" t="str">
            <v>901427037</v>
          </cell>
          <cell r="B1024" t="str">
            <v>4</v>
          </cell>
          <cell r="C1024" t="str">
            <v>EDIFICIO SUNSET VIEW</v>
          </cell>
          <cell r="D1024" t="str">
            <v>3593172</v>
          </cell>
          <cell r="E1024" t="str">
            <v>ed.sunsetview@gmail.com</v>
          </cell>
          <cell r="F1024" t="str">
            <v>CR 49 E 98 A 52</v>
          </cell>
          <cell r="G1024" t="str">
            <v>08001</v>
          </cell>
        </row>
        <row r="1025">
          <cell r="A1025" t="str">
            <v>901435867</v>
          </cell>
          <cell r="B1025" t="str">
            <v>4</v>
          </cell>
          <cell r="C1025" t="str">
            <v>EDIFICIO RIVER VIEW</v>
          </cell>
          <cell r="D1025" t="str">
            <v>6 0 5 3 0 4 1 8 5 9</v>
          </cell>
          <cell r="E1025" t="str">
            <v>edificioriverviewbq@gmail.com</v>
          </cell>
          <cell r="F1025" t="str">
            <v>CR 49 D 102 155</v>
          </cell>
          <cell r="G1025" t="str">
            <v>08001</v>
          </cell>
        </row>
        <row r="1026">
          <cell r="A1026" t="str">
            <v>901458877</v>
          </cell>
          <cell r="B1026" t="str">
            <v>7</v>
          </cell>
          <cell r="C1026" t="str">
            <v>G.C HOTELES S.A.S</v>
          </cell>
          <cell r="D1026" t="str">
            <v>3175103269</v>
          </cell>
          <cell r="E1026" t="str">
            <v>gchoteles0221@hotmail.com</v>
          </cell>
          <cell r="F1026" t="str">
            <v>CR 46 84 78</v>
          </cell>
          <cell r="G1026" t="str">
            <v>08001</v>
          </cell>
        </row>
        <row r="1027">
          <cell r="A1027" t="str">
            <v>901460747</v>
          </cell>
          <cell r="B1027" t="str">
            <v>4</v>
          </cell>
          <cell r="C1027" t="str">
            <v>EDIFICIO TOWER 3</v>
          </cell>
          <cell r="D1027" t="str">
            <v>3 1 1 7 3 9 7 5 0 6</v>
          </cell>
          <cell r="E1027" t="str">
            <v>admonprovisionalt3@gmail.com</v>
          </cell>
          <cell r="F1027" t="str">
            <v>CR 26 3 A 20</v>
          </cell>
          <cell r="G1027" t="str">
            <v>08001</v>
          </cell>
        </row>
        <row r="1028">
          <cell r="A1028" t="str">
            <v>901481527</v>
          </cell>
          <cell r="B1028" t="str">
            <v>0</v>
          </cell>
          <cell r="C1028" t="str">
            <v>EDIFICIO PARADISO</v>
          </cell>
          <cell r="D1028" t="str">
            <v>3794619</v>
          </cell>
          <cell r="E1028" t="str">
            <v>edificioparadiso39@gmail.com</v>
          </cell>
          <cell r="F1028" t="str">
            <v>CL 81 B 64 65</v>
          </cell>
          <cell r="G1028" t="str">
            <v>08001</v>
          </cell>
        </row>
        <row r="1029">
          <cell r="A1029" t="str">
            <v>901526801</v>
          </cell>
          <cell r="B1029" t="str">
            <v>1</v>
          </cell>
          <cell r="C1029" t="str">
            <v>EDIFICIO BARUC 95</v>
          </cell>
          <cell r="D1029" t="str">
            <v>3012770809</v>
          </cell>
          <cell r="E1029" t="str">
            <v>admonbaruc95@gmail.com</v>
          </cell>
          <cell r="F1029" t="str">
            <v>CL 96 43 60</v>
          </cell>
          <cell r="G1029" t="str">
            <v>08001</v>
          </cell>
        </row>
        <row r="1030">
          <cell r="A1030" t="str">
            <v>901550439</v>
          </cell>
          <cell r="B1030" t="str">
            <v>7</v>
          </cell>
          <cell r="C1030" t="str">
            <v>CONJUNTO RESIDENCIAL MIRLA PROPIEDAD HORIZONTAL</v>
          </cell>
          <cell r="D1030" t="str">
            <v>3125280317</v>
          </cell>
          <cell r="E1030" t="str">
            <v>conjuntomirlaph@gmail.com</v>
          </cell>
          <cell r="F1030" t="str">
            <v>CL 120 42 112</v>
          </cell>
          <cell r="G1030" t="str">
            <v>08001</v>
          </cell>
        </row>
        <row r="1031">
          <cell r="A1031" t="str">
            <v>901574368</v>
          </cell>
          <cell r="B1031" t="str">
            <v>6</v>
          </cell>
          <cell r="C1031" t="str">
            <v>EDIFICIO BREMEN</v>
          </cell>
          <cell r="D1031" t="str">
            <v>3184938394</v>
          </cell>
          <cell r="E1031" t="str">
            <v>contabilidadedificiobremen@gmail.com</v>
          </cell>
          <cell r="F1031" t="str">
            <v>CR 38 58 55</v>
          </cell>
          <cell r="G1031" t="str">
            <v>08001</v>
          </cell>
        </row>
        <row r="1032">
          <cell r="A1032" t="str">
            <v>901578884</v>
          </cell>
          <cell r="B1032" t="str">
            <v>3</v>
          </cell>
          <cell r="C1032" t="str">
            <v>CONJUNTO RESIDENCIAL MARIA MULATA</v>
          </cell>
          <cell r="D1032" t="str">
            <v>601-866499</v>
          </cell>
          <cell r="E1032" t="str">
            <v>conjuntomariamulataph@gmail.com</v>
          </cell>
          <cell r="F1032" t="str">
            <v>CALLE 118 N°43-46</v>
          </cell>
          <cell r="G1032" t="str">
            <v>08001</v>
          </cell>
        </row>
        <row r="1033">
          <cell r="A1033" t="str">
            <v>901593294</v>
          </cell>
          <cell r="B1033" t="str">
            <v>0</v>
          </cell>
          <cell r="C1033" t="str">
            <v>EDIFICIO ALPHA</v>
          </cell>
          <cell r="D1033" t="str">
            <v>318 693 55 10</v>
          </cell>
          <cell r="E1033" t="str">
            <v>edificio.alpha2022@gmail.com</v>
          </cell>
          <cell r="F1033" t="str">
            <v>CALLE 106 N°49E-21</v>
          </cell>
          <cell r="G1033" t="str">
            <v>08001</v>
          </cell>
        </row>
        <row r="1034">
          <cell r="A1034" t="str">
            <v>901634830</v>
          </cell>
          <cell r="B1034" t="str">
            <v>6</v>
          </cell>
          <cell r="C1034" t="str">
            <v>EDIFICIO MOSAIC TOWER PROPIEDAD HORIZONTAL</v>
          </cell>
          <cell r="D1034" t="str">
            <v>3157914729</v>
          </cell>
          <cell r="E1034" t="str">
            <v>administracion@mosaicstudios.com.co</v>
          </cell>
          <cell r="F1034" t="str">
            <v>CARRERA 56 No. 96 - 20</v>
          </cell>
          <cell r="G1034" t="str">
            <v>08001</v>
          </cell>
        </row>
        <row r="1035">
          <cell r="A1035" t="str">
            <v>901638612</v>
          </cell>
          <cell r="B1035" t="str">
            <v>5</v>
          </cell>
          <cell r="C1035" t="str">
            <v>EDIFICIO TORRES DILUGANO-PROPIEDAD HORIZONTAL</v>
          </cell>
          <cell r="D1035" t="str">
            <v>3 1 8 6 9 3 5 5 1 0</v>
          </cell>
          <cell r="E1035" t="str">
            <v>njcaba@gmail.com</v>
          </cell>
          <cell r="F1035" t="str">
            <v>CR 58 79 121 ED TORRES DILUGANO</v>
          </cell>
          <cell r="G1035" t="str">
            <v>08001</v>
          </cell>
        </row>
        <row r="1036">
          <cell r="A1036" t="str">
            <v>901658821</v>
          </cell>
          <cell r="B1036" t="str">
            <v>3</v>
          </cell>
          <cell r="C1036" t="str">
            <v>CONJUNTO RESIDENCIAL CARIBE PLAZA 2 ETAPA 1</v>
          </cell>
          <cell r="D1036" t="str">
            <v>3146953905</v>
          </cell>
          <cell r="E1036" t="str">
            <v>caribeplaza2@outlook.com</v>
          </cell>
          <cell r="F1036" t="str">
            <v>CL 122 9 G 105 BRR CARIBE VERDE</v>
          </cell>
          <cell r="G1036" t="str">
            <v>08001</v>
          </cell>
        </row>
        <row r="1037">
          <cell r="A1037" t="str">
            <v>901671035</v>
          </cell>
          <cell r="B1037" t="str">
            <v>4</v>
          </cell>
          <cell r="C1037" t="str">
            <v>CONJUNTO RESIDENCIAL BRISAS DEL RIO</v>
          </cell>
          <cell r="D1037" t="str">
            <v>3185229966</v>
          </cell>
          <cell r="E1037" t="str">
            <v>conjuntobrisasdelrio98@gmail.com</v>
          </cell>
          <cell r="F1037" t="str">
            <v>CL 98 65 54</v>
          </cell>
          <cell r="G1037" t="str">
            <v>08001</v>
          </cell>
        </row>
        <row r="1038">
          <cell r="A1038" t="str">
            <v>901692192</v>
          </cell>
          <cell r="B1038" t="str">
            <v>2</v>
          </cell>
          <cell r="C1038" t="str">
            <v>EDIFICIO BRUXXEL</v>
          </cell>
          <cell r="D1038" t="str">
            <v>3 0 0 7 5 0 3 2 1 6</v>
          </cell>
          <cell r="E1038" t="str">
            <v>edificiobruxxel@gmail.com</v>
          </cell>
          <cell r="F1038" t="str">
            <v>CR 59 96 153</v>
          </cell>
          <cell r="G1038" t="str">
            <v>08001</v>
          </cell>
        </row>
        <row r="1039">
          <cell r="A1039" t="str">
            <v>901692671</v>
          </cell>
          <cell r="B1039" t="str">
            <v>9</v>
          </cell>
          <cell r="C1039" t="str">
            <v>EDIFICIO PALMA VECCHIA</v>
          </cell>
          <cell r="D1039" t="str">
            <v>3186935510</v>
          </cell>
          <cell r="E1039" t="str">
            <v>Info.palmavecchia@gmail.com</v>
          </cell>
          <cell r="F1039" t="str">
            <v>CR 58 90 108</v>
          </cell>
          <cell r="G1039" t="str">
            <v>08001</v>
          </cell>
        </row>
        <row r="1040">
          <cell r="A1040" t="str">
            <v>901699479</v>
          </cell>
          <cell r="B1040" t="str">
            <v>2</v>
          </cell>
          <cell r="C1040" t="str">
            <v>MULTIFAMILIAR EDIFICIO FOREST 59</v>
          </cell>
          <cell r="D1040" t="str">
            <v>6 0 5 3 4 2 2 1 2 1</v>
          </cell>
          <cell r="E1040" t="str">
            <v>contabilidad.edificioforest59@hotmail.com</v>
          </cell>
          <cell r="F1040" t="str">
            <v>CL 90 58 51</v>
          </cell>
          <cell r="G1040" t="str">
            <v>08001</v>
          </cell>
        </row>
        <row r="1041">
          <cell r="A1041" t="str">
            <v>901701874</v>
          </cell>
          <cell r="B1041" t="str">
            <v>7</v>
          </cell>
          <cell r="C1041" t="str">
            <v>CONJUNTO RESIDENCIAL ALTOS DE SOLEMIO</v>
          </cell>
          <cell r="D1041">
            <v>3219664011</v>
          </cell>
          <cell r="E1041" t="str">
            <v>admonsolemio@gmail.com</v>
          </cell>
          <cell r="F1041" t="str">
            <v>CL 40 C 43 6</v>
          </cell>
          <cell r="G1041" t="str">
            <v>08001</v>
          </cell>
        </row>
        <row r="1042">
          <cell r="A1042" t="str">
            <v>901705533</v>
          </cell>
          <cell r="B1042" t="str">
            <v>9</v>
          </cell>
          <cell r="C1042" t="str">
            <v>EDIFICIO BOE PROPIEDAD HORIZONTAL</v>
          </cell>
          <cell r="D1042" t="str">
            <v>3004492873</v>
          </cell>
          <cell r="E1042" t="str">
            <v>edificioboeph@gmail.com</v>
          </cell>
          <cell r="F1042" t="str">
            <v>CARRERA 64C 94 57</v>
          </cell>
          <cell r="G1042" t="str">
            <v>08001</v>
          </cell>
        </row>
        <row r="1043">
          <cell r="A1043" t="str">
            <v>901723644</v>
          </cell>
          <cell r="B1043" t="str">
            <v>4</v>
          </cell>
          <cell r="C1043" t="str">
            <v>THE ICON PROPIEDAD HORIZONTAL</v>
          </cell>
          <cell r="D1043" t="str">
            <v>3186097140</v>
          </cell>
          <cell r="E1043" t="str">
            <v>dmejia@theiconbarranquilla.com</v>
          </cell>
          <cell r="F1043" t="str">
            <v>CRA 57 78 30</v>
          </cell>
          <cell r="G1043" t="str">
            <v>08001</v>
          </cell>
        </row>
        <row r="1044">
          <cell r="A1044" t="str">
            <v>901742529</v>
          </cell>
          <cell r="B1044" t="str">
            <v>6</v>
          </cell>
          <cell r="C1044" t="str">
            <v>EDIFICIO SOL 93 - PROPIEDAD HORIZONTAL</v>
          </cell>
          <cell r="D1044" t="str">
            <v>3020606</v>
          </cell>
          <cell r="E1044" t="str">
            <v>edificiosol93bq@gmail.com</v>
          </cell>
          <cell r="F1044" t="str">
            <v>CR 43 93 73</v>
          </cell>
          <cell r="G1044" t="str">
            <v>08001</v>
          </cell>
        </row>
        <row r="1045">
          <cell r="A1045" t="str">
            <v>901759145</v>
          </cell>
          <cell r="B1045" t="str">
            <v>6</v>
          </cell>
          <cell r="C1045" t="str">
            <v>CONJUNTO RESIDENCIAL ARIA-PROPIEDAD HORIZONTAL</v>
          </cell>
          <cell r="D1045" t="str">
            <v>3186935510</v>
          </cell>
          <cell r="E1045" t="str">
            <v>edificioaria2023@gmail.com</v>
          </cell>
          <cell r="F1045" t="str">
            <v>CALLE 99 C 65 107</v>
          </cell>
          <cell r="G1045" t="str">
            <v>08001</v>
          </cell>
        </row>
        <row r="1046">
          <cell r="A1046" t="str">
            <v>901760997</v>
          </cell>
          <cell r="B1046" t="str">
            <v>6</v>
          </cell>
          <cell r="C1046" t="str">
            <v>CONJUNTO RESIDENCIAL RIVER PALMS - PROPIEDAD HORIZONTAL</v>
          </cell>
          <cell r="D1046" t="str">
            <v>6 0 5 3 1 4 8 4 0 3</v>
          </cell>
          <cell r="E1046" t="str">
            <v>admonriverpalmsph@gmail.com</v>
          </cell>
          <cell r="F1046" t="str">
            <v>CL 100 64 84</v>
          </cell>
          <cell r="G1046" t="str">
            <v>08001</v>
          </cell>
        </row>
        <row r="1047">
          <cell r="A1047" t="str">
            <v>901775984</v>
          </cell>
          <cell r="B1047" t="str">
            <v>6</v>
          </cell>
          <cell r="C1047" t="str">
            <v>EDIFICIO INVERCOR</v>
          </cell>
          <cell r="D1047" t="str">
            <v>3 0 4 6 0 6 6 9 4 5</v>
          </cell>
          <cell r="E1047" t="str">
            <v>inversionescordialidad@gmail.com</v>
          </cell>
          <cell r="F1047" t="str">
            <v>CL 56 8 E 1 238</v>
          </cell>
          <cell r="G1047" t="str">
            <v>08001</v>
          </cell>
        </row>
        <row r="1048">
          <cell r="A1048" t="str">
            <v>901826195</v>
          </cell>
          <cell r="B1048" t="str">
            <v>1</v>
          </cell>
          <cell r="C1048" t="str">
            <v>MULTIFAMILIAR EDIFICIO BENTHO</v>
          </cell>
          <cell r="D1048" t="str">
            <v>3107808658</v>
          </cell>
          <cell r="E1048" t="str">
            <v>admonbentho@gmail.com</v>
          </cell>
          <cell r="F1048" t="str">
            <v>CARRERA 46 67 49</v>
          </cell>
          <cell r="G1048" t="str">
            <v>08001</v>
          </cell>
        </row>
        <row r="1049">
          <cell r="A1049" t="str">
            <v>91216727</v>
          </cell>
          <cell r="B1049" t="str">
            <v>5</v>
          </cell>
          <cell r="C1049" t="str">
            <v>LUIS EDUARDO CASTILLO PEREZ</v>
          </cell>
          <cell r="D1049" t="str">
            <v>3711111</v>
          </cell>
          <cell r="E1049" t="str">
            <v>compras@hotelwindsor.com.co</v>
          </cell>
          <cell r="F1049" t="str">
            <v>CALLE 84  46  25</v>
          </cell>
          <cell r="G1049" t="str">
            <v>08001</v>
          </cell>
        </row>
        <row r="1050">
          <cell r="A1050" t="str">
            <v>92558978</v>
          </cell>
          <cell r="B1050" t="str">
            <v>8</v>
          </cell>
          <cell r="C1050" t="str">
            <v>SAMUEL ARTURO VILLEGAS DUQUE</v>
          </cell>
          <cell r="D1050" t="str">
            <v>3013099769</v>
          </cell>
          <cell r="E1050" t="str">
            <v>saviduque@hotmail.com</v>
          </cell>
          <cell r="F1050" t="str">
            <v>CARRERA 4  25  47</v>
          </cell>
          <cell r="G1050" t="str">
            <v>08001</v>
          </cell>
        </row>
        <row r="1051">
          <cell r="A1051" t="str">
            <v>901131909</v>
          </cell>
          <cell r="B1051" t="str">
            <v>1</v>
          </cell>
          <cell r="C1051" t="str">
            <v>TERNIUM DEL ATLANTICO S.A.S.</v>
          </cell>
          <cell r="D1051" t="str">
            <v>4447799</v>
          </cell>
          <cell r="E1051" t="str">
            <v>servicioalcliente@ternium.com.co</v>
          </cell>
          <cell r="F1051" t="str">
            <v>CARRERA 42 26-18</v>
          </cell>
          <cell r="G1051" t="str">
            <v>08520</v>
          </cell>
        </row>
        <row r="1052">
          <cell r="A1052">
            <v>222222222</v>
          </cell>
          <cell r="B1052" t="str">
            <v/>
          </cell>
          <cell r="C1052" t="str">
            <v>CUANTIAS MENORES</v>
          </cell>
          <cell r="D1052">
            <v>3228184763</v>
          </cell>
          <cell r="E1052" t="str">
            <v>impuestos@estiloingeniera.com</v>
          </cell>
          <cell r="F1052" t="str">
            <v xml:space="preserve">CL 127A 53A 45 TO2 P11 OF1101 </v>
          </cell>
          <cell r="G1052" t="str">
            <v>08573</v>
          </cell>
        </row>
        <row r="1053">
          <cell r="A1053" t="str">
            <v>800176628</v>
          </cell>
          <cell r="B1053" t="str">
            <v>2</v>
          </cell>
          <cell r="C1053" t="str">
            <v>MODAS Y DISEÑOS S A</v>
          </cell>
          <cell r="D1053" t="str">
            <v>3854905</v>
          </cell>
          <cell r="E1053" t="str">
            <v>800176628@factureinbox.co</v>
          </cell>
          <cell r="F1053" t="str">
            <v>CARRERA 23  1  175  PISO 2</v>
          </cell>
          <cell r="G1053" t="str">
            <v>08573</v>
          </cell>
        </row>
        <row r="1054">
          <cell r="A1054" t="str">
            <v>800201110</v>
          </cell>
          <cell r="B1054" t="str">
            <v>7</v>
          </cell>
          <cell r="C1054" t="str">
            <v>CORPORACION EDUCATIVA AMERICAN SCHOOL</v>
          </cell>
          <cell r="D1054" t="str">
            <v>3599317</v>
          </cell>
          <cell r="E1054" t="str">
            <v>facturaelectronica@americanschool.edu.co</v>
          </cell>
          <cell r="F1054" t="str">
            <v>CARRERA 51 B  KILOMETRO 2  CARRETERA PUERTO COLOMBIA</v>
          </cell>
          <cell r="G1054" t="str">
            <v>08573</v>
          </cell>
        </row>
        <row r="1055">
          <cell r="A1055" t="str">
            <v>819002380</v>
          </cell>
          <cell r="B1055" t="str">
            <v>4</v>
          </cell>
          <cell r="C1055" t="str">
            <v>CONSTRUCCIONES C.P. S.A.S.</v>
          </cell>
          <cell r="D1055" t="str">
            <v>3135167036</v>
          </cell>
          <cell r="E1055" t="str">
            <v>eruiz@castropanesso.com</v>
          </cell>
          <cell r="F1055" t="str">
            <v>CARRERA 26 3 A 20 L 203</v>
          </cell>
          <cell r="G1055" t="str">
            <v>08573</v>
          </cell>
        </row>
        <row r="1056">
          <cell r="A1056" t="str">
            <v>860013798</v>
          </cell>
          <cell r="B1056" t="str">
            <v>5</v>
          </cell>
          <cell r="C1056" t="str">
            <v>UNIVERSIDAD LIBRE</v>
          </cell>
          <cell r="D1056" t="str">
            <v>6932344</v>
          </cell>
          <cell r="E1056" t="str">
            <v>facturacion@estiloingenieria.com</v>
          </cell>
          <cell r="F1056" t="str">
            <v>CALLE 8  5  80</v>
          </cell>
          <cell r="G1056" t="str">
            <v>08573</v>
          </cell>
        </row>
        <row r="1057">
          <cell r="A1057" t="str">
            <v>860351894</v>
          </cell>
          <cell r="B1057" t="str">
            <v>3</v>
          </cell>
          <cell r="C1057" t="str">
            <v>UNIVERSIDAD SERGIO ARBOLEDA</v>
          </cell>
          <cell r="D1057" t="str">
            <v>3257500</v>
          </cell>
          <cell r="E1057" t="str">
            <v>factura.bogota@usa.edu.co</v>
          </cell>
          <cell r="F1057" t="str">
            <v>CALLE 74  14  14</v>
          </cell>
          <cell r="G1057" t="str">
            <v>08573</v>
          </cell>
        </row>
        <row r="1058">
          <cell r="A1058" t="str">
            <v>900452897</v>
          </cell>
          <cell r="B1058" t="str">
            <v>3</v>
          </cell>
          <cell r="C1058" t="str">
            <v>CONJUNTO RESIDENCIAL CARIBE CAMPESTRE</v>
          </cell>
          <cell r="D1058">
            <v>3219664011</v>
          </cell>
          <cell r="E1058" t="str">
            <v>adm.caribecampestre@yahoo.com</v>
          </cell>
          <cell r="F1058" t="str">
            <v>CARRERA 24  3 A  137</v>
          </cell>
          <cell r="G1058" t="str">
            <v>08573</v>
          </cell>
        </row>
        <row r="1059">
          <cell r="A1059" t="str">
            <v>900673005</v>
          </cell>
          <cell r="B1059" t="str">
            <v>9</v>
          </cell>
          <cell r="C1059" t="str">
            <v>CONJUNTO RESIDENCIAL TAJAMARES DE VILLA CAMPESTRE</v>
          </cell>
          <cell r="D1059" t="str">
            <v>3116652739</v>
          </cell>
          <cell r="E1059" t="str">
            <v>tajamaresapto@hotmail.com</v>
          </cell>
          <cell r="F1059" t="str">
            <v>CALLE 3 A  23  40</v>
          </cell>
          <cell r="G1059" t="str">
            <v>08573</v>
          </cell>
        </row>
        <row r="1060">
          <cell r="A1060" t="str">
            <v>900860014</v>
          </cell>
          <cell r="B1060" t="str">
            <v>7</v>
          </cell>
          <cell r="C1060" t="str">
            <v>CLUB TOWER I APARTAMENTOS PROPIEDAD HORIZONTAL</v>
          </cell>
          <cell r="D1060" t="str">
            <v>3017544959</v>
          </cell>
          <cell r="E1060" t="str">
            <v>clubtoweruno@hotmail.com</v>
          </cell>
          <cell r="F1060" t="str">
            <v>CALLE 3 A  25  26</v>
          </cell>
          <cell r="G1060" t="str">
            <v>08573</v>
          </cell>
        </row>
        <row r="1061">
          <cell r="A1061" t="str">
            <v>900875259</v>
          </cell>
          <cell r="B1061" t="str">
            <v>1</v>
          </cell>
          <cell r="C1061" t="str">
            <v>PROMOTORA INMOBILIARIA CENTRO INTERNACIONAL DEL CARIBE S.A.S.</v>
          </cell>
          <cell r="D1061">
            <v>3219664011</v>
          </cell>
          <cell r="E1061" t="str">
            <v>almacen@procicsas.com.co</v>
          </cell>
          <cell r="F1061" t="str">
            <v>CL 12 31 165</v>
          </cell>
          <cell r="G1061" t="str">
            <v>08573</v>
          </cell>
        </row>
        <row r="1062">
          <cell r="A1062" t="str">
            <v>901026280</v>
          </cell>
          <cell r="B1062" t="str">
            <v>7</v>
          </cell>
          <cell r="C1062" t="str">
            <v>CONJUNTO RESIDENCIAL CLUB TOWER II APARTAMENTOS PROPIEDAD HORIZONTAL</v>
          </cell>
          <cell r="D1062" t="str">
            <v>3800559</v>
          </cell>
          <cell r="E1062" t="str">
            <v>edificioclubtower2@gmail.com</v>
          </cell>
          <cell r="F1062" t="str">
            <v>CALLE 3  25  74</v>
          </cell>
          <cell r="G1062" t="str">
            <v>08573</v>
          </cell>
        </row>
        <row r="1063">
          <cell r="A1063" t="str">
            <v>901067544</v>
          </cell>
          <cell r="B1063" t="str">
            <v>1</v>
          </cell>
          <cell r="C1063" t="str">
            <v>PLAZA COMERCIAL PLAZA BOUTIQUE</v>
          </cell>
          <cell r="D1063" t="str">
            <v>3166934483</v>
          </cell>
          <cell r="E1063" t="str">
            <v>waldipietro@gmail.com</v>
          </cell>
          <cell r="F1063" t="str">
            <v>CALLE 3  24  91</v>
          </cell>
          <cell r="G1063" t="str">
            <v>08573</v>
          </cell>
        </row>
        <row r="1064">
          <cell r="A1064" t="str">
            <v>901074958</v>
          </cell>
          <cell r="B1064" t="str">
            <v>6</v>
          </cell>
          <cell r="C1064" t="str">
            <v>CONJUNTO RESIDENCIAL NATURA RESERVA</v>
          </cell>
          <cell r="D1064" t="str">
            <v>3162714989</v>
          </cell>
          <cell r="E1064" t="str">
            <v>rosmymuskus@hotmail.com</v>
          </cell>
          <cell r="F1064" t="str">
            <v>CARRERA 26  2 F  10</v>
          </cell>
          <cell r="G1064" t="str">
            <v>08573</v>
          </cell>
        </row>
        <row r="1065">
          <cell r="A1065" t="str">
            <v>901075184</v>
          </cell>
          <cell r="B1065" t="str">
            <v>7</v>
          </cell>
          <cell r="C1065" t="str">
            <v>HL OPERADORES S.A.S.</v>
          </cell>
          <cell r="D1065" t="str">
            <v>3 1 4 7 7 9 5 4 5 5</v>
          </cell>
          <cell r="E1065" t="str">
            <v>901075184hl@gmail.com</v>
          </cell>
          <cell r="F1065" t="str">
            <v>CR 47 69 114</v>
          </cell>
          <cell r="G1065" t="str">
            <v>08573</v>
          </cell>
        </row>
        <row r="1066">
          <cell r="A1066" t="str">
            <v>901109851</v>
          </cell>
          <cell r="B1066" t="str">
            <v>1</v>
          </cell>
          <cell r="C1066" t="str">
            <v>CONJUNTO RESIDENCIAL ALTOS DE MONTICELLO P.H.</v>
          </cell>
          <cell r="D1066" t="str">
            <v>3042501496</v>
          </cell>
          <cell r="E1066" t="str">
            <v>altosdemonticelloph@gmail.com</v>
          </cell>
          <cell r="F1066" t="str">
            <v>CALLE 6  20  1670</v>
          </cell>
          <cell r="G1066" t="str">
            <v>08573</v>
          </cell>
        </row>
        <row r="1067">
          <cell r="A1067" t="str">
            <v>901116250</v>
          </cell>
          <cell r="B1067" t="str">
            <v>2</v>
          </cell>
          <cell r="C1067" t="str">
            <v>PROYECTO HIGH PARK SAS</v>
          </cell>
          <cell r="D1067" t="str">
            <v>3852996385</v>
          </cell>
          <cell r="E1067" t="str">
            <v>facturashighpark@solari.com.co</v>
          </cell>
          <cell r="F1067" t="str">
            <v>CL 106 50 67 OF 203  CC GRAN BOULEVARD</v>
          </cell>
          <cell r="G1067" t="str">
            <v>08573</v>
          </cell>
        </row>
        <row r="1068">
          <cell r="A1068" t="str">
            <v>901151912</v>
          </cell>
          <cell r="B1068" t="str">
            <v>8</v>
          </cell>
          <cell r="C1068" t="str">
            <v>CONJUNTO RESIDENCIAL LANIKAI ETAPA I</v>
          </cell>
          <cell r="D1068" t="str">
            <v>3004492873</v>
          </cell>
          <cell r="E1068" t="str">
            <v>crlanikai@gmail.com</v>
          </cell>
          <cell r="F1068" t="str">
            <v>CL 1 24  86</v>
          </cell>
          <cell r="G1068" t="str">
            <v>08573</v>
          </cell>
        </row>
        <row r="1069">
          <cell r="A1069" t="str">
            <v>901330381</v>
          </cell>
          <cell r="B1069" t="str">
            <v>5</v>
          </cell>
          <cell r="C1069" t="str">
            <v>CONJUNTO RESIDENCIAL PARADISE LIVING</v>
          </cell>
          <cell r="D1069" t="str">
            <v>3005537278</v>
          </cell>
          <cell r="E1069" t="str">
            <v>edificioparadiseliving@gmail.com</v>
          </cell>
          <cell r="F1069" t="str">
            <v>CR 30 A 1 B 245 LT D 5 CORR SABANILLA NORTE CARMELO</v>
          </cell>
          <cell r="G1069" t="str">
            <v>08573</v>
          </cell>
        </row>
        <row r="1070">
          <cell r="A1070" t="str">
            <v>901338275</v>
          </cell>
          <cell r="B1070" t="str">
            <v>9</v>
          </cell>
          <cell r="C1070" t="str">
            <v>EDIFICIO GREEN PARK APARTAMENTOS</v>
          </cell>
          <cell r="D1070" t="str">
            <v>3852057</v>
          </cell>
          <cell r="E1070" t="str">
            <v>greenparkadmon@hotmail.com</v>
          </cell>
          <cell r="F1070" t="str">
            <v>CR 30A 1B 215 CRR DE SABANILLA  MONTE CARMELO</v>
          </cell>
          <cell r="G1070" t="str">
            <v>08573</v>
          </cell>
        </row>
        <row r="1071">
          <cell r="A1071" t="str">
            <v>901518130</v>
          </cell>
          <cell r="B1071" t="str">
            <v>2</v>
          </cell>
          <cell r="C1071" t="str">
            <v>CONJUNTO RESIDENCIAL DELAMAR PRIMERA ETAPA TORRE 1 P-H</v>
          </cell>
          <cell r="D1071" t="str">
            <v>3186935510</v>
          </cell>
          <cell r="E1071" t="str">
            <v>edificio.delamar2021@gmail.com</v>
          </cell>
          <cell r="F1071" t="str">
            <v>CR 23 DG 2 C</v>
          </cell>
          <cell r="G1071" t="str">
            <v>08573</v>
          </cell>
        </row>
        <row r="1072">
          <cell r="A1072" t="str">
            <v>901518874</v>
          </cell>
          <cell r="B1072" t="str">
            <v>3</v>
          </cell>
          <cell r="C1072" t="str">
            <v>LA BONITA LUXURY ECOHOTEL S.A.S</v>
          </cell>
          <cell r="D1072" t="str">
            <v>3045475837</v>
          </cell>
          <cell r="E1072" t="str">
            <v>reservas@ecohotellabonita.com</v>
          </cell>
          <cell r="F1072" t="str">
            <v>KM 82 TRONCAL OCCIDENTE A LA ALTURA DEL CORR DE TIERRA GRATA</v>
          </cell>
          <cell r="G1072" t="str">
            <v>08573</v>
          </cell>
        </row>
        <row r="1073">
          <cell r="A1073" t="str">
            <v>901616688</v>
          </cell>
          <cell r="B1073" t="str">
            <v>1</v>
          </cell>
          <cell r="C1073" t="str">
            <v>CENTRO COMERCIAL PLAZA CAMPESTRE PRIMERA ETAPA P.H</v>
          </cell>
          <cell r="D1073" t="str">
            <v>3116478947</v>
          </cell>
          <cell r="E1073" t="str">
            <v>admon@plazacampestre.com.co</v>
          </cell>
          <cell r="F1073" t="str">
            <v>CR 30 2 C 118 CORREDOR UNIVERSITARIO CORR SABANILLA</v>
          </cell>
          <cell r="G1073" t="str">
            <v>08573</v>
          </cell>
        </row>
        <row r="1074">
          <cell r="A1074" t="str">
            <v>901670735</v>
          </cell>
          <cell r="B1074" t="str">
            <v>7</v>
          </cell>
          <cell r="C1074" t="str">
            <v>CONJUNTO RESIDENCIAL LUCANIA</v>
          </cell>
          <cell r="D1074" t="str">
            <v>3043759739</v>
          </cell>
          <cell r="E1074" t="str">
            <v>conjuntoresidenciallucania@gmail.com</v>
          </cell>
          <cell r="F1074" t="str">
            <v>CALLE 2D 22 45 PUERTO COLOMBIA</v>
          </cell>
          <cell r="G1074" t="str">
            <v>08573</v>
          </cell>
        </row>
        <row r="1075">
          <cell r="A1075" t="str">
            <v>901727371</v>
          </cell>
          <cell r="B1075" t="str">
            <v>7</v>
          </cell>
          <cell r="C1075" t="str">
            <v>CONSORCIO CONSERVACION COSTERA</v>
          </cell>
          <cell r="D1075" t="str">
            <v>3 0 1 4 4 1 1 8 6 7</v>
          </cell>
          <cell r="E1075" t="str">
            <v>facturacionelectronica@consorcioconservacioncostera.com</v>
          </cell>
          <cell r="F1075" t="str">
            <v>CL 90 44 38</v>
          </cell>
          <cell r="G1075" t="str">
            <v>08573</v>
          </cell>
        </row>
        <row r="1076">
          <cell r="A1076" t="str">
            <v>901848523</v>
          </cell>
          <cell r="B1076" t="str">
            <v>9</v>
          </cell>
          <cell r="C1076" t="str">
            <v>HIGH PARK MEDICAL CENTER</v>
          </cell>
          <cell r="D1076" t="str">
            <v>3 0 5 2 3 0 9 3 7 9</v>
          </cell>
          <cell r="E1076" t="str">
            <v>highparkmedicalcenterph@gmail.com</v>
          </cell>
          <cell r="F1076" t="str">
            <v>CL 1 C 30 40 CRR SABANILLA</v>
          </cell>
          <cell r="G1076" t="str">
            <v>08573</v>
          </cell>
        </row>
        <row r="1077">
          <cell r="A1077" t="str">
            <v>802018452</v>
          </cell>
          <cell r="B1077" t="str">
            <v>4</v>
          </cell>
          <cell r="C1077" t="str">
            <v>INVERSIONES TATIS SOLANO S EN C</v>
          </cell>
          <cell r="D1077" t="str">
            <v>3116856778</v>
          </cell>
          <cell r="E1077" t="str">
            <v>802018452@factureinbox.co</v>
          </cell>
          <cell r="F1077" t="str">
            <v>CR 30 1 295</v>
          </cell>
          <cell r="G1077" t="str">
            <v>08758</v>
          </cell>
        </row>
        <row r="1078">
          <cell r="A1078" t="str">
            <v>860513493</v>
          </cell>
          <cell r="B1078" t="str">
            <v>1</v>
          </cell>
          <cell r="C1078" t="str">
            <v>CONSTRUCTORA BOLIVAR BOGOTA S.A. CONSTRUCTORA BOLIVAR S.A.</v>
          </cell>
          <cell r="D1078" t="str">
            <v>6258330</v>
          </cell>
          <cell r="E1078" t="str">
            <v>faelectronica@constructorabolivar.com</v>
          </cell>
          <cell r="F1078" t="str">
            <v>CALLE 134  72  31</v>
          </cell>
          <cell r="G1078" t="str">
            <v>08758</v>
          </cell>
        </row>
        <row r="1079">
          <cell r="A1079" t="str">
            <v>890905022</v>
          </cell>
          <cell r="B1079" t="str">
            <v>6</v>
          </cell>
          <cell r="C1079" t="str">
            <v>CONVEL S.A.S.</v>
          </cell>
          <cell r="D1079">
            <v>3219664011</v>
          </cell>
          <cell r="E1079" t="str">
            <v>facturacion@convel.co</v>
          </cell>
          <cell r="F1079" t="str">
            <v>CARRERA 63 B  32 E  26</v>
          </cell>
          <cell r="G1079" t="str">
            <v>08758</v>
          </cell>
        </row>
        <row r="1080">
          <cell r="A1080" t="str">
            <v>901111923</v>
          </cell>
          <cell r="B1080" t="str">
            <v>8</v>
          </cell>
          <cell r="C1080" t="str">
            <v>CONSTRUCTORA ATTIA S.A.S.</v>
          </cell>
          <cell r="D1080" t="str">
            <v>6 0 5 3 4 2 0 9 0 9</v>
          </cell>
          <cell r="E1080" t="str">
            <v>jjimenez@grupoattia.com</v>
          </cell>
          <cell r="F1080" t="str">
            <v>CL 77 67 37 P 3</v>
          </cell>
          <cell r="G1080" t="str">
            <v>08758</v>
          </cell>
        </row>
        <row r="1081">
          <cell r="A1081" t="str">
            <v>901170594</v>
          </cell>
          <cell r="B1081" t="str">
            <v>1</v>
          </cell>
          <cell r="C1081" t="str">
            <v>CENTRO COMERCIAL NUESTRO ATLANTICO PROPIEDAD HORIZONTAL</v>
          </cell>
          <cell r="D1081" t="str">
            <v>4483468</v>
          </cell>
          <cell r="E1081" t="str">
            <v>facturas@aceis.com.co</v>
          </cell>
          <cell r="F1081" t="str">
            <v>CL 63 13 71 AV MURILLO</v>
          </cell>
          <cell r="G1081" t="str">
            <v>08758</v>
          </cell>
        </row>
        <row r="1082">
          <cell r="A1082" t="str">
            <v>901392379</v>
          </cell>
          <cell r="B1082" t="str">
            <v>5</v>
          </cell>
          <cell r="C1082" t="str">
            <v>PROYECTO MULTIFAMILIAR ABIERTO VILLA SERENA FASE 1</v>
          </cell>
          <cell r="D1082" t="str">
            <v>3689561</v>
          </cell>
          <cell r="E1082" t="str">
            <v>lexbarranquilla2@gmail.com</v>
          </cell>
          <cell r="F1082" t="str">
            <v>CL 18 42 213</v>
          </cell>
          <cell r="G1082" t="str">
            <v>08758</v>
          </cell>
        </row>
        <row r="1083">
          <cell r="A1083" t="str">
            <v>901420618</v>
          </cell>
          <cell r="B1083" t="str">
            <v>1</v>
          </cell>
          <cell r="C1083" t="str">
            <v>CONJUNTO PADUA PARQUE RESIDENCIAL</v>
          </cell>
          <cell r="D1083" t="str">
            <v>3128396792</v>
          </cell>
          <cell r="E1083" t="str">
            <v>parqueresidencialpadua2@gmail.com</v>
          </cell>
          <cell r="F1083" t="str">
            <v>CL 45 E 15 B 81</v>
          </cell>
          <cell r="G1083" t="str">
            <v>08758</v>
          </cell>
        </row>
        <row r="1084">
          <cell r="A1084" t="str">
            <v>901510654</v>
          </cell>
          <cell r="B1084" t="str">
            <v>3</v>
          </cell>
          <cell r="C1084" t="str">
            <v>CONJUNTO RESIDENCIAL PUERTO FLAUTA</v>
          </cell>
          <cell r="D1084" t="str">
            <v>3016642553</v>
          </cell>
          <cell r="E1084" t="str">
            <v>conjuntopuertoflautaph@gmail.com</v>
          </cell>
          <cell r="F1084" t="str">
            <v>DG 41 23 17</v>
          </cell>
          <cell r="G1084" t="str">
            <v>08758</v>
          </cell>
        </row>
        <row r="1085">
          <cell r="A1085" t="str">
            <v>901668605</v>
          </cell>
          <cell r="B1085" t="str">
            <v>1</v>
          </cell>
          <cell r="C1085" t="str">
            <v>CONJUNTO RESIDENCIAL "PUERTO GUITARRA" PROPIEDAD HORIZONTAL</v>
          </cell>
          <cell r="D1085" t="str">
            <v>3 0 1 2 5 7 4 4 9 7</v>
          </cell>
          <cell r="E1085" t="str">
            <v>crpuertoguitarra@gmail.com</v>
          </cell>
          <cell r="F1085" t="str">
            <v>CR 24 39 27</v>
          </cell>
          <cell r="G1085" t="str">
            <v>08758</v>
          </cell>
        </row>
        <row r="1086">
          <cell r="A1086" t="str">
            <v>901701874</v>
          </cell>
          <cell r="B1086" t="str">
            <v>7</v>
          </cell>
          <cell r="C1086" t="str">
            <v>CONJUNTO RESIDENCIAL ALTOS DE SOLEMIO</v>
          </cell>
          <cell r="D1086">
            <v>3219664011</v>
          </cell>
          <cell r="E1086" t="str">
            <v>admonsolemio@gmail.com</v>
          </cell>
          <cell r="F1086" t="str">
            <v>CL 40 C 43 6</v>
          </cell>
          <cell r="G1086" t="str">
            <v>08758</v>
          </cell>
        </row>
        <row r="1087">
          <cell r="A1087">
            <v>222222222</v>
          </cell>
          <cell r="B1087" t="str">
            <v/>
          </cell>
          <cell r="C1087" t="str">
            <v>CUANTIAS MENORES</v>
          </cell>
          <cell r="D1087">
            <v>3228184763</v>
          </cell>
          <cell r="E1087" t="str">
            <v>impuestos@estiloingeniera.com</v>
          </cell>
          <cell r="F1087" t="str">
            <v xml:space="preserve">CL 127A 53A 45 TO2 P11 OF1101 </v>
          </cell>
          <cell r="G1087">
            <v>11001</v>
          </cell>
        </row>
        <row r="1088">
          <cell r="A1088">
            <v>222222222</v>
          </cell>
          <cell r="B1088" t="str">
            <v/>
          </cell>
          <cell r="C1088" t="str">
            <v>CUANTIAS MENORES</v>
          </cell>
          <cell r="D1088">
            <v>3228184763</v>
          </cell>
          <cell r="E1088" t="str">
            <v>impuestos@estiloingeniera.com</v>
          </cell>
          <cell r="F1088" t="str">
            <v xml:space="preserve">CL 127A 53A 45 TO2 P11 OF1101 </v>
          </cell>
          <cell r="G1088">
            <v>11001</v>
          </cell>
        </row>
        <row r="1089">
          <cell r="A1089" t="str">
            <v>1031131727</v>
          </cell>
          <cell r="B1089" t="str">
            <v>1</v>
          </cell>
          <cell r="C1089" t="str">
            <v>HAFFED AGUSTIN AMEZQUITA GALINDO</v>
          </cell>
          <cell r="D1089" t="str">
            <v>3 1 0 7 7 6 4 2 7 3</v>
          </cell>
          <cell r="E1089" t="str">
            <v>haffed91@gmail.com</v>
          </cell>
          <cell r="F1089" t="str">
            <v>CL 18 20 65 BRR LA ESTACION</v>
          </cell>
          <cell r="G1089">
            <v>11001</v>
          </cell>
        </row>
        <row r="1090">
          <cell r="A1090" t="str">
            <v>13068486</v>
          </cell>
          <cell r="B1090" t="str">
            <v>6</v>
          </cell>
          <cell r="C1090" t="str">
            <v>JUAN MANUEL ROMO LOZANO</v>
          </cell>
          <cell r="D1090" t="str">
            <v>6 5 9 2 1 5 2</v>
          </cell>
          <cell r="E1090" t="str">
            <v>jmromo55@hotmail.com</v>
          </cell>
          <cell r="F1090" t="str">
            <v>CL 38 NORTE 6 N 35 BG 6 OF 206 CC CHIPICHAPE</v>
          </cell>
          <cell r="G1090">
            <v>11001</v>
          </cell>
        </row>
        <row r="1091">
          <cell r="A1091" t="str">
            <v>13386056</v>
          </cell>
          <cell r="B1091" t="str">
            <v>6</v>
          </cell>
          <cell r="C1091" t="str">
            <v>ELIMELECH PEREZ RODRIGUEZ</v>
          </cell>
          <cell r="D1091" t="str">
            <v>3174233959</v>
          </cell>
          <cell r="E1091" t="str">
            <v>edificiotitanio2008@gmail.com</v>
          </cell>
          <cell r="F1091" t="str">
            <v>CL 29 3 45 AP 402 URB BELLAVISTA ED TITANIO</v>
          </cell>
          <cell r="G1091">
            <v>11001</v>
          </cell>
        </row>
        <row r="1092">
          <cell r="A1092" t="str">
            <v>13744250</v>
          </cell>
          <cell r="B1092" t="str">
            <v>5</v>
          </cell>
          <cell r="C1092" t="str">
            <v>HESSING ADRIANO AMADO NEIRA</v>
          </cell>
          <cell r="D1092" t="str">
            <v>4872995</v>
          </cell>
          <cell r="E1092" t="str">
            <v>hessinga@hotmail.com</v>
          </cell>
          <cell r="F1092" t="str">
            <v>CL 94 72 A 91</v>
          </cell>
          <cell r="G1092">
            <v>11001</v>
          </cell>
        </row>
        <row r="1093">
          <cell r="A1093" t="str">
            <v>15274904</v>
          </cell>
          <cell r="B1093" t="str">
            <v>3</v>
          </cell>
          <cell r="C1093" t="str">
            <v>DANLY ESPINOSA CARDENAS</v>
          </cell>
          <cell r="D1093" t="str">
            <v>320 576 50 60</v>
          </cell>
          <cell r="E1093" t="str">
            <v>danlyalfa@hotmail.com</v>
          </cell>
          <cell r="F1093" t="str">
            <v>CL 21 18 65 A P 401</v>
          </cell>
          <cell r="G1093">
            <v>11001</v>
          </cell>
        </row>
        <row r="1094">
          <cell r="A1094" t="str">
            <v>15381797</v>
          </cell>
          <cell r="B1094" t="str">
            <v>1</v>
          </cell>
          <cell r="C1094" t="str">
            <v>ANCIZAR PEREZ HENAO</v>
          </cell>
          <cell r="D1094" t="str">
            <v>3008146018</v>
          </cell>
          <cell r="E1094" t="str">
            <v>gigranco2017@gmail.com</v>
          </cell>
          <cell r="F1094" t="str">
            <v>CERCA CR 10 A CL 25 17</v>
          </cell>
          <cell r="G1094">
            <v>11001</v>
          </cell>
        </row>
        <row r="1095">
          <cell r="A1095" t="str">
            <v>17064388</v>
          </cell>
          <cell r="B1095" t="str">
            <v>9</v>
          </cell>
          <cell r="C1095" t="str">
            <v>REINALDO IMBACHI MENESES</v>
          </cell>
          <cell r="D1095" t="str">
            <v>4884403</v>
          </cell>
          <cell r="E1095" t="str">
            <v>iimbachi@yahoo.com</v>
          </cell>
          <cell r="F1095" t="str">
            <v>TRANSVERSAL 1 ESTE  57  81</v>
          </cell>
          <cell r="G1095">
            <v>11001</v>
          </cell>
        </row>
        <row r="1096">
          <cell r="A1096" t="str">
            <v>19132069</v>
          </cell>
          <cell r="B1096" t="str">
            <v>3</v>
          </cell>
          <cell r="C1096" t="str">
            <v>ADOLFO RICARDO JIMENEZ OLACIREGUI</v>
          </cell>
          <cell r="D1096" t="str">
            <v>6237848</v>
          </cell>
          <cell r="E1096" t="str">
            <v>facturacion@estiloingenieria.com</v>
          </cell>
          <cell r="F1096" t="str">
            <v>AVENIDA 82  12  18 OFICINA 505</v>
          </cell>
          <cell r="G1096">
            <v>11001</v>
          </cell>
        </row>
        <row r="1097">
          <cell r="A1097" t="str">
            <v>19165797</v>
          </cell>
          <cell r="B1097" t="str">
            <v>9</v>
          </cell>
          <cell r="C1097" t="str">
            <v>ANDRÉS NOVOA PINEDA</v>
          </cell>
          <cell r="D1097" t="str">
            <v>6898007</v>
          </cell>
          <cell r="E1097" t="str">
            <v>financiera@ventanar.com</v>
          </cell>
          <cell r="F1097" t="str">
            <v>Bodegas Wonder, Carrera 17 # 59 51 Interior 2</v>
          </cell>
          <cell r="G1097">
            <v>11001</v>
          </cell>
        </row>
        <row r="1098">
          <cell r="A1098" t="str">
            <v>19311126</v>
          </cell>
          <cell r="B1098" t="str">
            <v>3</v>
          </cell>
          <cell r="C1098" t="str">
            <v>JAIME FIERRO BONILLA</v>
          </cell>
          <cell r="D1098" t="str">
            <v>3164702101</v>
          </cell>
          <cell r="E1098" t="str">
            <v>facturacion@estiloingenieria.com</v>
          </cell>
          <cell r="F1098" t="str">
            <v>CALLE 145 A  19  34</v>
          </cell>
          <cell r="G1098">
            <v>11001</v>
          </cell>
        </row>
        <row r="1099">
          <cell r="A1099" t="str">
            <v>20304923</v>
          </cell>
          <cell r="B1099" t="str">
            <v>1</v>
          </cell>
          <cell r="C1099" t="str">
            <v>CONSTANZA HELENA ISAZA DE PARDO</v>
          </cell>
          <cell r="D1099" t="str">
            <v>6125166</v>
          </cell>
          <cell r="E1099" t="str">
            <v>facturasadmipardo@hotmail.com</v>
          </cell>
          <cell r="F1099" t="str">
            <v>CALLE 81  9  86</v>
          </cell>
          <cell r="G1099">
            <v>11001</v>
          </cell>
        </row>
        <row r="1100">
          <cell r="A1100" t="str">
            <v>24622127</v>
          </cell>
          <cell r="B1100" t="str">
            <v>3</v>
          </cell>
          <cell r="C1100" t="str">
            <v>BETANCUR HINCAPIE MARTHA ISABEL</v>
          </cell>
          <cell r="D1100" t="str">
            <v>8806809</v>
          </cell>
          <cell r="E1100" t="str">
            <v>elizabethzbq@gmail.com</v>
          </cell>
          <cell r="F1100" t="str">
            <v>CR 24 20 22</v>
          </cell>
          <cell r="G1100">
            <v>11001</v>
          </cell>
        </row>
        <row r="1101">
          <cell r="A1101" t="str">
            <v>26259816</v>
          </cell>
          <cell r="B1101" t="str">
            <v>0</v>
          </cell>
          <cell r="C1101" t="str">
            <v>LUZ MARINA COPETE MURILLO</v>
          </cell>
          <cell r="D1101" t="str">
            <v>3145342156</v>
          </cell>
          <cell r="E1101" t="str">
            <v>facturacion@estiloingenieria.com</v>
          </cell>
          <cell r="F1101" t="str">
            <v>dg 75 d 1 - 221 ca 146</v>
          </cell>
          <cell r="G1101">
            <v>11001</v>
          </cell>
        </row>
        <row r="1102">
          <cell r="A1102" t="str">
            <v>2879401</v>
          </cell>
          <cell r="B1102" t="str">
            <v>0</v>
          </cell>
          <cell r="C1102" t="str">
            <v>ALVARO DANIEL SALGADO FARIAS</v>
          </cell>
          <cell r="D1102" t="str">
            <v>3153493008</v>
          </cell>
          <cell r="E1102" t="str">
            <v>carmenza.botero@malaquita.edu.co</v>
          </cell>
          <cell r="F1102" t="str">
            <v>CARRERA 74  139  33</v>
          </cell>
          <cell r="G1102">
            <v>11001</v>
          </cell>
        </row>
        <row r="1103">
          <cell r="A1103" t="str">
            <v>30702552</v>
          </cell>
          <cell r="B1103" t="str">
            <v>6</v>
          </cell>
          <cell r="C1103" t="str">
            <v>RUTH DEL CARMEN ROMO ROSERO</v>
          </cell>
          <cell r="D1103" t="str">
            <v>7 3 6 0 4 1 9</v>
          </cell>
          <cell r="E1103" t="str">
            <v>ruckyconejita@hotmail.com</v>
          </cell>
          <cell r="F1103" t="str">
            <v>CL 20 42 A 122 BRR MORASURCO</v>
          </cell>
          <cell r="G1103">
            <v>11001</v>
          </cell>
        </row>
        <row r="1104">
          <cell r="A1104" t="str">
            <v>3608433</v>
          </cell>
          <cell r="B1104" t="str">
            <v>8</v>
          </cell>
          <cell r="C1104" t="str">
            <v>JOSE OCTAVIO BOTERO GOMEZ</v>
          </cell>
          <cell r="D1104" t="str">
            <v>4082020</v>
          </cell>
          <cell r="E1104" t="str">
            <v>contabilidad1@offiesco.com</v>
          </cell>
          <cell r="F1104" t="str">
            <v>CL 11 20 61</v>
          </cell>
          <cell r="G1104">
            <v>11001</v>
          </cell>
        </row>
        <row r="1105">
          <cell r="A1105" t="str">
            <v>36146165</v>
          </cell>
          <cell r="B1105" t="str">
            <v>5</v>
          </cell>
          <cell r="C1105" t="str">
            <v>MARIA ILDA QUESADA DE PERDOMO</v>
          </cell>
          <cell r="D1105" t="str">
            <v>3228462205</v>
          </cell>
          <cell r="E1105" t="str">
            <v>appq1980@yahoo.com</v>
          </cell>
          <cell r="F1105" t="str">
            <v>CARRERA 11  5  26  APARTAMENTO 302</v>
          </cell>
          <cell r="G1105">
            <v>11001</v>
          </cell>
        </row>
        <row r="1106">
          <cell r="A1106" t="str">
            <v>38942733</v>
          </cell>
          <cell r="B1106" t="str">
            <v>0</v>
          </cell>
          <cell r="C1106" t="str">
            <v>LILLY ESTHER MALCA SASBON</v>
          </cell>
          <cell r="D1106" t="str">
            <v>3 1 3 7 3 7 3 0 0 0</v>
          </cell>
          <cell r="E1106" t="str">
            <v>contabilidad@mmalca.com</v>
          </cell>
          <cell r="F1106" t="str">
            <v>CL 14 7 97</v>
          </cell>
          <cell r="G1106">
            <v>11001</v>
          </cell>
        </row>
        <row r="1107">
          <cell r="A1107" t="str">
            <v>41389717</v>
          </cell>
          <cell r="B1107" t="str">
            <v>1</v>
          </cell>
          <cell r="C1107" t="str">
            <v>RITA DELIA RODRIGUEZ MENJURA</v>
          </cell>
          <cell r="D1107" t="str">
            <v>3173981094</v>
          </cell>
          <cell r="E1107" t="str">
            <v>hotel.lima.bogota@gmail.com</v>
          </cell>
          <cell r="F1107" t="str">
            <v>CARRERA 4  16  61</v>
          </cell>
          <cell r="G1107">
            <v>11001</v>
          </cell>
        </row>
        <row r="1108">
          <cell r="A1108" t="str">
            <v>43581631</v>
          </cell>
          <cell r="B1108" t="str">
            <v>6</v>
          </cell>
          <cell r="C1108" t="str">
            <v>EUSTELLY DE LAS MISERICORDIAS ARANGO HENAO</v>
          </cell>
          <cell r="D1108" t="str">
            <v>2935598</v>
          </cell>
          <cell r="E1108" t="str">
            <v>imperiodelacamiseta@hotmail.com</v>
          </cell>
          <cell r="F1108" t="str">
            <v>CALLE 48  51  24</v>
          </cell>
          <cell r="G1108">
            <v>11001</v>
          </cell>
        </row>
        <row r="1109">
          <cell r="A1109" t="str">
            <v>43758156</v>
          </cell>
          <cell r="B1109" t="str">
            <v>0</v>
          </cell>
          <cell r="C1109" t="str">
            <v>MARGARITA MARIA CARDONA GOMEZ</v>
          </cell>
          <cell r="D1109" t="str">
            <v>2 3 5 1 4 8 8</v>
          </cell>
          <cell r="E1109" t="str">
            <v>marisabela27@hotmail.com</v>
          </cell>
          <cell r="F1109" t="str">
            <v>CALLE 32 C CR 66 4 IN 201</v>
          </cell>
          <cell r="G1109">
            <v>11001</v>
          </cell>
        </row>
        <row r="1110">
          <cell r="A1110" t="str">
            <v>51571674</v>
          </cell>
          <cell r="B1110" t="str">
            <v>9</v>
          </cell>
          <cell r="C1110" t="str">
            <v>MARIA CLAUDIA ROMERO ESGUERRA</v>
          </cell>
          <cell r="D1110">
            <v>3219664011</v>
          </cell>
          <cell r="E1110" t="str">
            <v>facturacion@estiloingenieria.com</v>
          </cell>
          <cell r="F1110" t="str">
            <v>CL 73 # 22 - 17 AP 201</v>
          </cell>
          <cell r="G1110">
            <v>11001</v>
          </cell>
        </row>
        <row r="1111">
          <cell r="A1111" t="str">
            <v>51958326</v>
          </cell>
          <cell r="B1111" t="str">
            <v>3</v>
          </cell>
          <cell r="C1111" t="str">
            <v>MARTHA LUCIA CELY DIAZ</v>
          </cell>
          <cell r="D1111" t="str">
            <v>3506038794</v>
          </cell>
          <cell r="E1111" t="str">
            <v>julianfcely_24@hotmail.com</v>
          </cell>
          <cell r="F1111" t="str">
            <v>TRANSVERSAL 6  51 A  72</v>
          </cell>
          <cell r="G1111">
            <v>11001</v>
          </cell>
        </row>
        <row r="1112">
          <cell r="A1112" t="str">
            <v>52830021</v>
          </cell>
          <cell r="B1112" t="str">
            <v>5</v>
          </cell>
          <cell r="C1112" t="str">
            <v>DIANA GRACIELA SANCHEZ BAQUERO</v>
          </cell>
          <cell r="D1112" t="str">
            <v>3208093014</v>
          </cell>
          <cell r="E1112" t="str">
            <v>dsanchezbaquero@gmail.com</v>
          </cell>
          <cell r="F1112" t="str">
            <v>CALLE 10 80-41 APTO 608</v>
          </cell>
          <cell r="G1112">
            <v>11001</v>
          </cell>
        </row>
        <row r="1113">
          <cell r="A1113" t="str">
            <v>5466460</v>
          </cell>
          <cell r="B1113" t="str">
            <v>3</v>
          </cell>
          <cell r="C1113" t="str">
            <v>JOSE EUSEBIO VACA TORRADO</v>
          </cell>
          <cell r="D1113" t="str">
            <v>6 0 7 6 8 2 9 4 2 8</v>
          </cell>
          <cell r="E1113" t="str">
            <v>eusebiovaca44@hotmail.com</v>
          </cell>
          <cell r="F1113" t="str">
            <v>CR 27 54 10 AP 2507</v>
          </cell>
          <cell r="G1113">
            <v>11001</v>
          </cell>
        </row>
        <row r="1114">
          <cell r="A1114" t="str">
            <v>63304383</v>
          </cell>
          <cell r="B1114" t="str">
            <v>0</v>
          </cell>
          <cell r="C1114" t="str">
            <v>SANDRA TERESA DIAZ INFANTE</v>
          </cell>
          <cell r="D1114" t="str">
            <v>6457003</v>
          </cell>
          <cell r="E1114" t="str">
            <v>sbravo@sevicol.com.co</v>
          </cell>
          <cell r="F1114" t="str">
            <v>VIA GIRON KM 4 40 40 SEVICOL BRR ZONA INDUSTRIAL</v>
          </cell>
          <cell r="G1114">
            <v>11001</v>
          </cell>
        </row>
        <row r="1115">
          <cell r="A1115" t="str">
            <v>6757096</v>
          </cell>
          <cell r="B1115" t="str">
            <v>8</v>
          </cell>
          <cell r="C1115" t="str">
            <v>PEDRO SANCHEZ HERNANDEZ</v>
          </cell>
          <cell r="D1115" t="str">
            <v>2138023</v>
          </cell>
          <cell r="E1115" t="str">
            <v>333pedrosanchez@gmail.com</v>
          </cell>
          <cell r="F1115" t="str">
            <v>CARRERA 9 B  117 A  20</v>
          </cell>
          <cell r="G1115">
            <v>11001</v>
          </cell>
        </row>
        <row r="1116">
          <cell r="A1116" t="str">
            <v>71227830</v>
          </cell>
          <cell r="B1116" t="str">
            <v>0</v>
          </cell>
          <cell r="C1116" t="str">
            <v>CARLOS ANDRES HOYOS ECHEVERRY</v>
          </cell>
          <cell r="D1116" t="str">
            <v>6043297878</v>
          </cell>
          <cell r="E1116" t="str">
            <v>carlosberlin100@gmail.com</v>
          </cell>
          <cell r="F1116" t="str">
            <v>Cra 81 # 30A- 127</v>
          </cell>
          <cell r="G1116">
            <v>11001</v>
          </cell>
        </row>
        <row r="1117">
          <cell r="A1117" t="str">
            <v>71658938</v>
          </cell>
          <cell r="B1117" t="str">
            <v>6</v>
          </cell>
          <cell r="C1117" t="str">
            <v>JUAN DIEGO MONTOYA RAMIREZ</v>
          </cell>
          <cell r="D1117" t="str">
            <v>4441906</v>
          </cell>
          <cell r="E1117" t="str">
            <v>juandiegomontoya@panaderianovapan.com</v>
          </cell>
          <cell r="F1117" t="str">
            <v>CL 75 A 56 A 33</v>
          </cell>
          <cell r="G1117">
            <v>11001</v>
          </cell>
        </row>
        <row r="1118">
          <cell r="A1118" t="str">
            <v>73272109</v>
          </cell>
          <cell r="B1118" t="str">
            <v>6</v>
          </cell>
          <cell r="C1118" t="str">
            <v>ESMERALDA SERRANO ACOSTA</v>
          </cell>
          <cell r="D1118" t="str">
            <v>2362160</v>
          </cell>
          <cell r="E1118" t="str">
            <v>facturacion@estiloingenieria.com</v>
          </cell>
          <cell r="F1118" t="str">
            <v>CALLE 101  19 A  60</v>
          </cell>
          <cell r="G1118">
            <v>11001</v>
          </cell>
        </row>
        <row r="1119">
          <cell r="A1119" t="str">
            <v>79051595</v>
          </cell>
          <cell r="B1119" t="str">
            <v>6</v>
          </cell>
          <cell r="C1119" t="str">
            <v>GORDO MORALES GUSTAVO ERNESTO</v>
          </cell>
          <cell r="D1119" t="str">
            <v>3204412911</v>
          </cell>
          <cell r="E1119" t="str">
            <v>gustavogordomorales@gmail.com</v>
          </cell>
          <cell r="F1119" t="str">
            <v>CL 153 99 50</v>
          </cell>
          <cell r="G1119">
            <v>11001</v>
          </cell>
        </row>
        <row r="1120">
          <cell r="A1120" t="str">
            <v>79114671</v>
          </cell>
          <cell r="B1120" t="str">
            <v>1</v>
          </cell>
          <cell r="C1120" t="str">
            <v>OSCAR JAVIER ORTEGA ENRIQUEZ</v>
          </cell>
          <cell r="D1120" t="str">
            <v>3115311997</v>
          </cell>
          <cell r="E1120" t="str">
            <v>facturacion@estiloingenieria.com</v>
          </cell>
          <cell r="F1120" t="str">
            <v>CALLE 106  19 A  63</v>
          </cell>
          <cell r="G1120">
            <v>11001</v>
          </cell>
        </row>
        <row r="1121">
          <cell r="A1121" t="str">
            <v>79116178</v>
          </cell>
          <cell r="B1121" t="str">
            <v>9</v>
          </cell>
          <cell r="C1121" t="str">
            <v>ALIRIO VIRVIESCAS CALVETE</v>
          </cell>
          <cell r="D1121" t="str">
            <v>746 80 00</v>
          </cell>
          <cell r="E1121" t="str">
            <v>facturasparanotaria41bogota@gmail.com</v>
          </cell>
          <cell r="F1121" t="str">
            <v>CALLE 85 N 12-55</v>
          </cell>
          <cell r="G1121">
            <v>11001</v>
          </cell>
        </row>
        <row r="1122">
          <cell r="A1122" t="str">
            <v>79230983</v>
          </cell>
          <cell r="B1122" t="str">
            <v>9</v>
          </cell>
          <cell r="C1122" t="str">
            <v>OSCAR RICARDO MELENDEZ BOADA</v>
          </cell>
          <cell r="D1122" t="str">
            <v>3166220316</v>
          </cell>
          <cell r="E1122" t="str">
            <v>79230983@recepciondefacturas.co</v>
          </cell>
          <cell r="F1122" t="str">
            <v>CARRERA 70 D  115 A  38  OFICINA 602</v>
          </cell>
          <cell r="G1122">
            <v>11001</v>
          </cell>
        </row>
        <row r="1123">
          <cell r="A1123" t="str">
            <v>79230983</v>
          </cell>
          <cell r="B1123" t="str">
            <v>9</v>
          </cell>
          <cell r="C1123" t="str">
            <v>OSCAR RICARDO MELENDEZ BOADA</v>
          </cell>
          <cell r="D1123" t="str">
            <v>3166220316</v>
          </cell>
          <cell r="E1123" t="str">
            <v>79230983@recepciondefacturas.co</v>
          </cell>
          <cell r="F1123" t="str">
            <v>CARRERA 70 D  115 A  38  OFICINA 602</v>
          </cell>
          <cell r="G1123">
            <v>11001</v>
          </cell>
        </row>
        <row r="1124">
          <cell r="A1124" t="str">
            <v>79325928</v>
          </cell>
          <cell r="B1124" t="str">
            <v>2</v>
          </cell>
          <cell r="C1124" t="str">
            <v>HELBER RICARDO CIFUENTES BOHORQUEZ</v>
          </cell>
          <cell r="D1124" t="str">
            <v>3214667789</v>
          </cell>
          <cell r="E1124" t="str">
            <v>cifuentesimagenes@hotmail.com</v>
          </cell>
          <cell r="F1124" t="str">
            <v>CALLE 140 C  94 D  98</v>
          </cell>
          <cell r="G1124">
            <v>11001</v>
          </cell>
        </row>
        <row r="1125">
          <cell r="A1125" t="str">
            <v>79993504</v>
          </cell>
          <cell r="B1125" t="str">
            <v>8</v>
          </cell>
          <cell r="C1125" t="str">
            <v>GABRIEL FORERO TERE</v>
          </cell>
          <cell r="D1125" t="str">
            <v>7793358</v>
          </cell>
          <cell r="E1125" t="str">
            <v>INGSOPORTE-GF@ESTILOINGENIERIA.COM</v>
          </cell>
          <cell r="F1125" t="str">
            <v>BOGOTA, COLOMBIA</v>
          </cell>
          <cell r="G1125">
            <v>11001</v>
          </cell>
        </row>
        <row r="1126">
          <cell r="A1126" t="str">
            <v>800003765</v>
          </cell>
          <cell r="B1126" t="str">
            <v>1</v>
          </cell>
          <cell r="C1126" t="str">
            <v>VIRREY SOLIS I.P.S. S A</v>
          </cell>
          <cell r="D1126" t="str">
            <v>4473535</v>
          </cell>
          <cell r="E1126" t="str">
            <v>myfactura@virreysolisips.com.co</v>
          </cell>
          <cell r="F1126" t="str">
            <v>CR 67 4 G 68</v>
          </cell>
          <cell r="G1126">
            <v>11001</v>
          </cell>
        </row>
        <row r="1127">
          <cell r="A1127" t="str">
            <v>800003850</v>
          </cell>
          <cell r="B1127" t="str">
            <v>1</v>
          </cell>
          <cell r="C1127" t="str">
            <v>EDIFICIO "ANTARES" P.H.</v>
          </cell>
          <cell r="D1127" t="str">
            <v>5 6 0 3 3 4 0</v>
          </cell>
          <cell r="E1127" t="str">
            <v>tesoreriaph@admonph.com</v>
          </cell>
          <cell r="F1127" t="str">
            <v>CL 17 SUR 30 70</v>
          </cell>
          <cell r="G1127">
            <v>11001</v>
          </cell>
        </row>
        <row r="1128">
          <cell r="A1128" t="str">
            <v>800006608</v>
          </cell>
          <cell r="B1128" t="str">
            <v>7</v>
          </cell>
          <cell r="C1128" t="str">
            <v>MIPKO CONSTRUCTORES S. A. S.</v>
          </cell>
          <cell r="D1128">
            <v>3219664011</v>
          </cell>
          <cell r="E1128" t="str">
            <v>facturas@mipko.co</v>
          </cell>
          <cell r="F1128" t="str">
            <v>CALLE 23  6  18  OFICINA 302</v>
          </cell>
          <cell r="G1128">
            <v>11001</v>
          </cell>
        </row>
        <row r="1129">
          <cell r="A1129" t="str">
            <v>800012189</v>
          </cell>
          <cell r="B1129" t="str">
            <v>7</v>
          </cell>
          <cell r="C1129" t="str">
            <v>CLINICA SAN JOSE DE CUCUTA S.A.</v>
          </cell>
          <cell r="D1129" t="str">
            <v>5821111</v>
          </cell>
          <cell r="E1129" t="str">
            <v>recepcionfe@clinicasanjosedecucuta.com</v>
          </cell>
          <cell r="F1129" t="str">
            <v>CALLE 13  1 E  74</v>
          </cell>
          <cell r="G1129">
            <v>11001</v>
          </cell>
        </row>
        <row r="1130">
          <cell r="A1130" t="str">
            <v>800019899</v>
          </cell>
          <cell r="B1130" t="str">
            <v>1</v>
          </cell>
          <cell r="C1130" t="str">
            <v>EDIFICIO TORRES DE VALENSSA PROPIEDAD HORIZONTAL</v>
          </cell>
          <cell r="D1130">
            <v>3219664011</v>
          </cell>
          <cell r="E1130" t="str">
            <v>mv_administraciones@hotmai.com</v>
          </cell>
          <cell r="F1130" t="str">
            <v>CL 5 SUR 38 64 BRR EL POBLADO</v>
          </cell>
          <cell r="G1130">
            <v>11001</v>
          </cell>
        </row>
        <row r="1131">
          <cell r="A1131" t="str">
            <v>800020023</v>
          </cell>
          <cell r="B1131" t="str">
            <v>7</v>
          </cell>
          <cell r="C1131" t="str">
            <v>HOTEL SANTA CLARA S A</v>
          </cell>
          <cell r="D1131" t="str">
            <v>6504735/38</v>
          </cell>
          <cell r="E1131" t="str">
            <v>800020023@factureinbox.co</v>
          </cell>
          <cell r="F1131" t="str">
            <v>CARRERA 8  39  29</v>
          </cell>
          <cell r="G1131">
            <v>11001</v>
          </cell>
        </row>
        <row r="1132">
          <cell r="A1132" t="str">
            <v>800020706</v>
          </cell>
          <cell r="B1132" t="str">
            <v>9</v>
          </cell>
          <cell r="C1132" t="str">
            <v>NALSANI S A S</v>
          </cell>
          <cell r="D1132" t="str">
            <v>3444660</v>
          </cell>
          <cell r="E1132" t="str">
            <v>800020706@factureinbox.co</v>
          </cell>
          <cell r="F1132" t="str">
            <v>CARRERA 43 A  20 C  55</v>
          </cell>
          <cell r="G1132">
            <v>11001</v>
          </cell>
        </row>
        <row r="1133">
          <cell r="A1133" t="str">
            <v>800020706</v>
          </cell>
          <cell r="B1133" t="str">
            <v>9</v>
          </cell>
          <cell r="C1133" t="str">
            <v>NALSANI S A S</v>
          </cell>
          <cell r="D1133" t="str">
            <v>3444660</v>
          </cell>
          <cell r="E1133" t="str">
            <v>800020706@factureinbox.co</v>
          </cell>
          <cell r="F1133" t="str">
            <v>CARRERA 43 A  20 C  55</v>
          </cell>
          <cell r="G1133">
            <v>11001</v>
          </cell>
        </row>
        <row r="1134">
          <cell r="A1134" t="str">
            <v>800021131</v>
          </cell>
          <cell r="B1134" t="str">
            <v>9</v>
          </cell>
          <cell r="C1134" t="str">
            <v>EDIFICIO CENTRO COMERCIAL EL CARACOL - PROPIEDAD HORIZONTAL</v>
          </cell>
          <cell r="D1134" t="str">
            <v>3002192</v>
          </cell>
          <cell r="E1134" t="str">
            <v>edificiocaracol@hotmail.com</v>
          </cell>
          <cell r="F1134" t="str">
            <v>AVENIDA 15  118  75</v>
          </cell>
          <cell r="G1134">
            <v>11001</v>
          </cell>
        </row>
        <row r="1135">
          <cell r="A1135" t="str">
            <v>800023162</v>
          </cell>
          <cell r="B1135" t="str">
            <v>6</v>
          </cell>
          <cell r="C1135" t="str">
            <v>CONIX S.A.S</v>
          </cell>
          <cell r="D1135" t="str">
            <v>3550600</v>
          </cell>
          <cell r="E1135" t="str">
            <v>laura.henao@conix.com.co</v>
          </cell>
          <cell r="F1135" t="str">
            <v>CR 53 29 C 47</v>
          </cell>
          <cell r="G1135">
            <v>11001</v>
          </cell>
        </row>
        <row r="1136">
          <cell r="A1136" t="str">
            <v>800024956</v>
          </cell>
          <cell r="B1136" t="str">
            <v>1</v>
          </cell>
          <cell r="C1136" t="str">
            <v>CENTRO COMERCIAL Y EMPRESARIAL RICAURTE</v>
          </cell>
          <cell r="D1136" t="str">
            <v>4081011</v>
          </cell>
          <cell r="E1136" t="str">
            <v>centroempresarialricaurte@gmail.com</v>
          </cell>
          <cell r="F1136" t="str">
            <v>CARRERA 28  11  65 OFICINA 516</v>
          </cell>
          <cell r="G1136">
            <v>11001</v>
          </cell>
        </row>
        <row r="1137">
          <cell r="A1137" t="str">
            <v>800027370</v>
          </cell>
          <cell r="B1137" t="str">
            <v>1</v>
          </cell>
          <cell r="C1137" t="str">
            <v>EDIFICIO SANTA CRUZ DE TARRAGONA PROPIEDAD HORIZONTAL</v>
          </cell>
          <cell r="D1137" t="str">
            <v>6372954</v>
          </cell>
          <cell r="E1137" t="str">
            <v>contabilidadumana@gmail.com</v>
          </cell>
          <cell r="F1137" t="str">
            <v>CALLE 75  13  51  OFICINA 501</v>
          </cell>
          <cell r="G1137">
            <v>11001</v>
          </cell>
        </row>
        <row r="1138">
          <cell r="A1138" t="str">
            <v>800027617</v>
          </cell>
          <cell r="B1138" t="str">
            <v>3</v>
          </cell>
          <cell r="C1138" t="str">
            <v>MENSULA S.A.S.</v>
          </cell>
          <cell r="D1138" t="str">
            <v>3613536</v>
          </cell>
          <cell r="E1138" t="str">
            <v>facturacion@mensulaingenieros.com</v>
          </cell>
          <cell r="F1138" t="str">
            <v>CALLE 10 SUR  50 F F  28  OFICINA 407</v>
          </cell>
          <cell r="G1138">
            <v>11001</v>
          </cell>
        </row>
        <row r="1139">
          <cell r="A1139" t="str">
            <v>800027617</v>
          </cell>
          <cell r="B1139" t="str">
            <v>3</v>
          </cell>
          <cell r="C1139" t="str">
            <v>MENSULA S.A.S.</v>
          </cell>
          <cell r="D1139" t="str">
            <v>3613536</v>
          </cell>
          <cell r="E1139" t="str">
            <v>facturacion@mensulaingenieros.com</v>
          </cell>
          <cell r="F1139" t="str">
            <v>CALLE 10 SUR  50 F F  28  OFICINA 407</v>
          </cell>
          <cell r="G1139">
            <v>11001</v>
          </cell>
        </row>
        <row r="1140">
          <cell r="A1140" t="str">
            <v>800030999</v>
          </cell>
          <cell r="B1140" t="str">
            <v>2</v>
          </cell>
          <cell r="C1140" t="str">
            <v>EDIFICIO DUQUE IV</v>
          </cell>
          <cell r="D1140" t="str">
            <v>4112106 / 3104178675</v>
          </cell>
          <cell r="E1140" t="str">
            <v>edificioduqueiv@gmail.com</v>
          </cell>
          <cell r="F1140" t="str">
            <v>CALLE 47 No.73-39</v>
          </cell>
          <cell r="G1140">
            <v>11001</v>
          </cell>
        </row>
        <row r="1141">
          <cell r="A1141" t="str">
            <v>800034093</v>
          </cell>
          <cell r="B1141" t="str">
            <v>3</v>
          </cell>
          <cell r="C1141" t="str">
            <v>EDIFICIO ATLANTIS I ETAPA- PROPIEDAD HORIZONTAL</v>
          </cell>
          <cell r="D1141" t="str">
            <v>2157945</v>
          </cell>
          <cell r="E1141" t="str">
            <v>rodrigo.ceriiinza@estiloingeneed.co</v>
          </cell>
          <cell r="F1141" t="str">
            <v>CARRERA 11 A  117  50</v>
          </cell>
          <cell r="G1141">
            <v>11001</v>
          </cell>
        </row>
        <row r="1142">
          <cell r="A1142" t="str">
            <v>800039348</v>
          </cell>
          <cell r="B1142" t="str">
            <v>9</v>
          </cell>
          <cell r="C1142" t="str">
            <v>INVERSIONES DECAILLET QUINTANA &amp; CIA S EN C</v>
          </cell>
          <cell r="D1142">
            <v>3219664011</v>
          </cell>
          <cell r="E1142" t="str">
            <v>info@jeanpascal.com</v>
          </cell>
          <cell r="F1142" t="str">
            <v>CARRERA 23 No. 73 - 27</v>
          </cell>
          <cell r="G1142">
            <v>11001</v>
          </cell>
        </row>
        <row r="1143">
          <cell r="A1143" t="str">
            <v>800049489</v>
          </cell>
          <cell r="B1143" t="str">
            <v>1</v>
          </cell>
          <cell r="C1143" t="str">
            <v>COSMOTEXTIL S A S</v>
          </cell>
          <cell r="D1143" t="str">
            <v>4241155</v>
          </cell>
          <cell r="E1143" t="str">
            <v>contabilidad@cosmotextilsas.com</v>
          </cell>
          <cell r="F1143" t="str">
            <v>CARRERA 69 B  18 A  10</v>
          </cell>
          <cell r="G1143">
            <v>11001</v>
          </cell>
        </row>
        <row r="1144">
          <cell r="A1144" t="str">
            <v>800053550</v>
          </cell>
          <cell r="B1144" t="str">
            <v>9</v>
          </cell>
          <cell r="C1144" t="str">
            <v>FUNDACION COSME Y DAMIAN</v>
          </cell>
          <cell r="D1144" t="str">
            <v>6583200</v>
          </cell>
          <cell r="E1144" t="str">
            <v>facturacion@tenco.co</v>
          </cell>
          <cell r="F1144" t="str">
            <v>CR 13 A 89 38 OFC 314</v>
          </cell>
          <cell r="G1144">
            <v>11001</v>
          </cell>
        </row>
        <row r="1145">
          <cell r="A1145" t="str">
            <v>800056130</v>
          </cell>
          <cell r="B1145" t="str">
            <v>2</v>
          </cell>
          <cell r="C1145" t="str">
            <v>EDIFICIO ATLANTIS II PROPIEDAD HORIZONTAL</v>
          </cell>
          <cell r="D1145" t="str">
            <v>2154140</v>
          </cell>
          <cell r="E1145" t="str">
            <v>asistente1@gestioninmobiliariahk.com</v>
          </cell>
          <cell r="F1145" t="str">
            <v>CARRERA 11 A  117  24</v>
          </cell>
          <cell r="G1145">
            <v>11001</v>
          </cell>
        </row>
        <row r="1146">
          <cell r="A1146" t="str">
            <v>800056130</v>
          </cell>
          <cell r="B1146" t="str">
            <v>2</v>
          </cell>
          <cell r="C1146" t="str">
            <v>EDIFICIO ATLANTIS II PROPIEDAD HORIZONTAL</v>
          </cell>
          <cell r="D1146" t="str">
            <v>2154140</v>
          </cell>
          <cell r="E1146" t="str">
            <v>asistente1@gestioninmobiliariahk.com</v>
          </cell>
          <cell r="F1146" t="str">
            <v>CARRERA 11 A  117  24</v>
          </cell>
          <cell r="G1146">
            <v>11001</v>
          </cell>
        </row>
        <row r="1147">
          <cell r="A1147" t="str">
            <v>800056712</v>
          </cell>
          <cell r="B1147" t="str">
            <v>9</v>
          </cell>
          <cell r="C1147" t="str">
            <v>CENTRO COMERCIAL BULEVAR NIZA - PROPIEDAD HORIZONTAL</v>
          </cell>
          <cell r="D1147" t="str">
            <v>2267211</v>
          </cell>
          <cell r="E1147" t="str">
            <v>facturacionproveedor@bulevar.com.co</v>
          </cell>
          <cell r="F1147" t="str">
            <v>AVENIDA CARRERA 58  127  59</v>
          </cell>
          <cell r="G1147">
            <v>11001</v>
          </cell>
        </row>
        <row r="1148">
          <cell r="A1148" t="str">
            <v>800056712</v>
          </cell>
          <cell r="B1148" t="str">
            <v>9</v>
          </cell>
          <cell r="C1148" t="str">
            <v>CENTRO COMERCIAL BULEVAR NIZA - PROPIEDAD HORIZONTAL</v>
          </cell>
          <cell r="D1148" t="str">
            <v>2267211</v>
          </cell>
          <cell r="E1148" t="str">
            <v>facturacionproveedor@bulevar.com.co</v>
          </cell>
          <cell r="F1148" t="str">
            <v>AVENIDA CARRERA 58  127  59</v>
          </cell>
          <cell r="G1148">
            <v>11001</v>
          </cell>
        </row>
        <row r="1149">
          <cell r="A1149" t="str">
            <v>800057699</v>
          </cell>
          <cell r="B1149" t="str">
            <v>5</v>
          </cell>
          <cell r="C1149" t="str">
            <v>EDIFICIO AHORRAMAS PROPIEDAD HORIZONTAL</v>
          </cell>
          <cell r="D1149" t="str">
            <v>3153388499</v>
          </cell>
          <cell r="E1149" t="str">
            <v>admonedificioahorramas100@gmail.com</v>
          </cell>
          <cell r="F1149" t="str">
            <v>CALLE 100  11 A  35</v>
          </cell>
          <cell r="G1149">
            <v>11001</v>
          </cell>
        </row>
        <row r="1150">
          <cell r="A1150" t="str">
            <v>800058369</v>
          </cell>
          <cell r="B1150" t="str">
            <v>4</v>
          </cell>
          <cell r="C1150" t="str">
            <v>INVERSIONES Y VALORES WILCORTS S.A.S</v>
          </cell>
          <cell r="D1150" t="str">
            <v>3138537020</v>
          </cell>
          <cell r="E1150" t="str">
            <v>facturacion@wilcorts.com</v>
          </cell>
          <cell r="F1150" t="str">
            <v>CARRERA 15  88  64  OFICINA 601</v>
          </cell>
          <cell r="G1150">
            <v>11001</v>
          </cell>
        </row>
        <row r="1151">
          <cell r="A1151" t="str">
            <v>800058369</v>
          </cell>
          <cell r="B1151" t="str">
            <v>4</v>
          </cell>
          <cell r="C1151" t="str">
            <v>INVERSIONES Y VALORES WILCORTS S.A.S</v>
          </cell>
          <cell r="D1151" t="str">
            <v>3138537020</v>
          </cell>
          <cell r="E1151" t="str">
            <v>facturacion@wilcorts.com</v>
          </cell>
          <cell r="F1151" t="str">
            <v>CARRERA 15  88  64  OFICINA 601</v>
          </cell>
          <cell r="G1151">
            <v>11001</v>
          </cell>
        </row>
        <row r="1152">
          <cell r="A1152" t="str">
            <v>800058607</v>
          </cell>
          <cell r="B1152" t="str">
            <v>2</v>
          </cell>
          <cell r="C1152" t="str">
            <v>CONTROLES EMPRESARIALES S A S</v>
          </cell>
          <cell r="D1152" t="str">
            <v>5462727</v>
          </cell>
          <cell r="E1152" t="str">
            <v>facturaecoem@facturaenlinea.co</v>
          </cell>
          <cell r="F1152" t="str">
            <v>CARRERA 16 A  75  29</v>
          </cell>
          <cell r="G1152">
            <v>11001</v>
          </cell>
        </row>
        <row r="1153">
          <cell r="A1153" t="str">
            <v>800064784</v>
          </cell>
          <cell r="B1153" t="str">
            <v>2</v>
          </cell>
          <cell r="C1153" t="str">
            <v>KENZO JEANS S.A.S</v>
          </cell>
          <cell r="D1153" t="str">
            <v>7431095</v>
          </cell>
          <cell r="E1153" t="str">
            <v>facturacionelectronica@kenzojeans.com.co</v>
          </cell>
          <cell r="F1153" t="str">
            <v>CARRERA 68 D  11  71</v>
          </cell>
          <cell r="G1153">
            <v>11001</v>
          </cell>
        </row>
        <row r="1154">
          <cell r="A1154" t="str">
            <v>800065539</v>
          </cell>
          <cell r="B1154" t="str">
            <v>9</v>
          </cell>
          <cell r="C1154" t="str">
            <v>HOTELES ROYAL S.A.</v>
          </cell>
          <cell r="D1154" t="str">
            <v>6578757</v>
          </cell>
          <cell r="E1154" t="str">
            <v>e-factura.co@seresnet.com</v>
          </cell>
          <cell r="F1154" t="str">
            <v>CL 99 9A 45 P7</v>
          </cell>
          <cell r="G1154">
            <v>11001</v>
          </cell>
        </row>
        <row r="1155">
          <cell r="A1155" t="str">
            <v>800065539</v>
          </cell>
          <cell r="B1155" t="str">
            <v>9</v>
          </cell>
          <cell r="C1155" t="str">
            <v>HOTELES ROYAL S.A.</v>
          </cell>
          <cell r="D1155" t="str">
            <v>6578757</v>
          </cell>
          <cell r="E1155" t="str">
            <v>e-factura.co@seresnet.com</v>
          </cell>
          <cell r="F1155" t="str">
            <v>CL 99 9A 45 P7</v>
          </cell>
          <cell r="G1155">
            <v>11001</v>
          </cell>
        </row>
        <row r="1156">
          <cell r="A1156" t="str">
            <v>800066588</v>
          </cell>
          <cell r="B1156" t="str">
            <v>4</v>
          </cell>
          <cell r="C1156" t="str">
            <v>CONJUNTO MULTIFAMILIAR FUENTES DE ZUÑIGA P.H.</v>
          </cell>
          <cell r="D1156" t="str">
            <v>6044483149</v>
          </cell>
          <cell r="E1156" t="str">
            <v>recepcion@abelardoyepes.com</v>
          </cell>
          <cell r="F1156" t="str">
            <v>CL 19 SUR 41 A 21</v>
          </cell>
          <cell r="G1156">
            <v>11001</v>
          </cell>
        </row>
        <row r="1157">
          <cell r="A1157" t="str">
            <v>800069941</v>
          </cell>
          <cell r="B1157" t="str">
            <v>5</v>
          </cell>
          <cell r="C1157" t="str">
            <v>CENTRO COMERCIAL MAZUREN - PROPIEDAD HORIZONTAL</v>
          </cell>
          <cell r="D1157" t="str">
            <v>6014660998</v>
          </cell>
          <cell r="E1157" t="str">
            <v>gerenciaccmazuren@gmail.com</v>
          </cell>
          <cell r="F1157" t="str">
            <v>CARRERA 46  152  46</v>
          </cell>
          <cell r="G1157">
            <v>11001</v>
          </cell>
        </row>
        <row r="1158">
          <cell r="A1158" t="str">
            <v>800071813</v>
          </cell>
          <cell r="B1158" t="str">
            <v>7</v>
          </cell>
          <cell r="C1158" t="str">
            <v>EDIFICIO MULTIFAMILAR  BOCAMENTE</v>
          </cell>
          <cell r="D1158" t="str">
            <v>6076436872</v>
          </cell>
          <cell r="E1158" t="str">
            <v>edificiobocamonte@gmail.com</v>
          </cell>
          <cell r="F1158" t="str">
            <v>CR 38 51 59</v>
          </cell>
          <cell r="G1158">
            <v>11001</v>
          </cell>
        </row>
        <row r="1159">
          <cell r="A1159" t="str">
            <v>800072974</v>
          </cell>
          <cell r="B1159" t="str">
            <v>9</v>
          </cell>
          <cell r="C1159" t="str">
            <v>UNIDADES RESIDENCIALES MODERNAS S A</v>
          </cell>
          <cell r="D1159">
            <v>3219664011</v>
          </cell>
          <cell r="E1159" t="str">
            <v>facturacion@hotelsb.co</v>
          </cell>
          <cell r="F1159" t="str">
            <v>CALLE 116  15  64</v>
          </cell>
          <cell r="G1159">
            <v>11001</v>
          </cell>
        </row>
        <row r="1160">
          <cell r="A1160" t="str">
            <v>800077812</v>
          </cell>
          <cell r="B1160" t="str">
            <v>7</v>
          </cell>
          <cell r="C1160" t="str">
            <v>EDIFICIO DESARROLLO PROPIEDAD HORIZONTAL</v>
          </cell>
          <cell r="D1160" t="str">
            <v>2166545</v>
          </cell>
          <cell r="E1160" t="str">
            <v>edificiodesarrollo12@gmail.com</v>
          </cell>
          <cell r="F1160" t="str">
            <v>AVENIDA CALLE 127  13 A  32</v>
          </cell>
          <cell r="G1160">
            <v>11001</v>
          </cell>
        </row>
        <row r="1161">
          <cell r="A1161" t="str">
            <v>800078475</v>
          </cell>
          <cell r="B1161" t="str">
            <v>2</v>
          </cell>
          <cell r="C1161" t="str">
            <v>EDIFICIO PORTACHUELO - PROPIEDAD HORIZONTAL</v>
          </cell>
          <cell r="D1161" t="str">
            <v>3477885</v>
          </cell>
          <cell r="E1161" t="str">
            <v>proveedores.habitacora@gmail.com</v>
          </cell>
          <cell r="F1161" t="str">
            <v>CALLE 73  7  50  OFICINA 501</v>
          </cell>
          <cell r="G1161">
            <v>11001</v>
          </cell>
        </row>
        <row r="1162">
          <cell r="A1162" t="str">
            <v>800085667</v>
          </cell>
          <cell r="B1162" t="str">
            <v>9</v>
          </cell>
          <cell r="C1162" t="str">
            <v>EMPRESAS A.M.P. S.A.S</v>
          </cell>
          <cell r="D1162" t="str">
            <v>2580014</v>
          </cell>
          <cell r="E1162" t="str">
            <v>contabilidad@amp.com.co</v>
          </cell>
          <cell r="F1162" t="str">
            <v>CALLE 134 BIS  45 A  34</v>
          </cell>
          <cell r="G1162">
            <v>11001</v>
          </cell>
        </row>
        <row r="1163">
          <cell r="A1163" t="str">
            <v>800087355</v>
          </cell>
          <cell r="B1163" t="str">
            <v>5</v>
          </cell>
          <cell r="C1163" t="str">
            <v>EDIFICIO TABAGO II - PROPIEDAD HORIZONTAL</v>
          </cell>
          <cell r="D1163" t="str">
            <v>310 5590705</v>
          </cell>
          <cell r="E1163" t="str">
            <v>admon.ph011@yahoo.es</v>
          </cell>
          <cell r="F1163" t="str">
            <v>CL 127 A BIS 15 84</v>
          </cell>
          <cell r="G1163">
            <v>11001</v>
          </cell>
        </row>
        <row r="1164">
          <cell r="A1164" t="str">
            <v>800089253</v>
          </cell>
          <cell r="B1164" t="str">
            <v>1</v>
          </cell>
          <cell r="C1164" t="str">
            <v>EDIFICIO SAN DENISSE</v>
          </cell>
          <cell r="D1164" t="str">
            <v>3477885</v>
          </cell>
          <cell r="E1164" t="str">
            <v>proveedores.habitacora@gmail.com</v>
          </cell>
          <cell r="F1164" t="str">
            <v>CALLE 73  7  50  OFICINA 501</v>
          </cell>
          <cell r="G1164">
            <v>11001</v>
          </cell>
        </row>
        <row r="1165">
          <cell r="A1165" t="str">
            <v>800093117</v>
          </cell>
          <cell r="B1165" t="str">
            <v>3</v>
          </cell>
          <cell r="C1165" t="str">
            <v>ARQUITECTURA Y CONCRETO S.A.S</v>
          </cell>
          <cell r="D1165" t="str">
            <v>3123618</v>
          </cell>
          <cell r="E1165" t="str">
            <v>recepcionfacturacion@arquitecturayconcreto.com</v>
          </cell>
          <cell r="F1165" t="str">
            <v>CALLE 3 SUR  43 A  52 OFICINA 1801</v>
          </cell>
          <cell r="G1165">
            <v>11001</v>
          </cell>
        </row>
        <row r="1166">
          <cell r="A1166" t="str">
            <v>800094968</v>
          </cell>
          <cell r="B1166" t="str">
            <v>9</v>
          </cell>
          <cell r="C1166" t="str">
            <v>JARAMILLO MORA CONSTRUCTORA S.A.</v>
          </cell>
          <cell r="D1166" t="str">
            <v>6851717</v>
          </cell>
          <cell r="E1166" t="str">
            <v>facturaelectronica@jaramillomora.com</v>
          </cell>
          <cell r="F1166" t="str">
            <v>CALLE 44 A N  4 N  133</v>
          </cell>
          <cell r="G1166">
            <v>11001</v>
          </cell>
        </row>
        <row r="1167">
          <cell r="A1167" t="str">
            <v>800095123</v>
          </cell>
          <cell r="B1167" t="str">
            <v>7</v>
          </cell>
          <cell r="C1167" t="str">
            <v>EDIFICIO ROSA BLANCA-PROPIEDAD HORIZONTAL</v>
          </cell>
          <cell r="D1167" t="str">
            <v>3175341593</v>
          </cell>
          <cell r="E1167" t="str">
            <v>facturacion@estiloingenieria.com</v>
          </cell>
          <cell r="F1167" t="str">
            <v>CARRERA 6  11  87</v>
          </cell>
          <cell r="G1167">
            <v>11001</v>
          </cell>
        </row>
        <row r="1168">
          <cell r="A1168" t="str">
            <v>800096890</v>
          </cell>
          <cell r="B1168" t="str">
            <v>2</v>
          </cell>
          <cell r="C1168" t="str">
            <v>MUROS Y TECHOS S.A.S INGENIEROS ARQUITECTOS</v>
          </cell>
          <cell r="D1168" t="str">
            <v>3526363</v>
          </cell>
          <cell r="E1168" t="str">
            <v>factura_myt@mt.com.co</v>
          </cell>
          <cell r="F1168" t="str">
            <v>CALLE 18 SUR  41 A A  149</v>
          </cell>
          <cell r="G1168">
            <v>11001</v>
          </cell>
        </row>
        <row r="1169">
          <cell r="A1169" t="str">
            <v>800097112</v>
          </cell>
          <cell r="B1169" t="str">
            <v>5</v>
          </cell>
          <cell r="C1169" t="str">
            <v>EDIFICIO CALANDA</v>
          </cell>
          <cell r="D1169">
            <v>3219664011</v>
          </cell>
          <cell r="E1169" t="str">
            <v>asistente@arkimas.com.co</v>
          </cell>
          <cell r="F1169" t="str">
            <v>CARRERA 8 A  69  11</v>
          </cell>
          <cell r="G1169">
            <v>11001</v>
          </cell>
        </row>
        <row r="1170">
          <cell r="A1170" t="str">
            <v>800101666</v>
          </cell>
          <cell r="B1170" t="str">
            <v>0</v>
          </cell>
          <cell r="C1170" t="str">
            <v>CONJUNTO RESIDENCIAL EL CAPIRO P.H.</v>
          </cell>
          <cell r="D1170" t="str">
            <v>4076912</v>
          </cell>
          <cell r="E1170" t="str">
            <v>asistente.curbe@gmail.com</v>
          </cell>
          <cell r="F1170" t="str">
            <v>CL 20 B SUR 27 207</v>
          </cell>
          <cell r="G1170">
            <v>11001</v>
          </cell>
        </row>
        <row r="1171">
          <cell r="A1171" t="str">
            <v>800110302</v>
          </cell>
          <cell r="B1171" t="str">
            <v>3</v>
          </cell>
          <cell r="C1171" t="str">
            <v>SOHINCO CONSTRUCTORA S.A.S.</v>
          </cell>
          <cell r="D1171">
            <v>3219664011</v>
          </cell>
          <cell r="E1171" t="str">
            <v>felectronica@sohinco.com</v>
          </cell>
          <cell r="F1171" t="str">
            <v>CARRERA 43  14  130</v>
          </cell>
          <cell r="G1171">
            <v>11001</v>
          </cell>
        </row>
        <row r="1172">
          <cell r="A1172" t="str">
            <v>800110302</v>
          </cell>
          <cell r="B1172" t="str">
            <v>3</v>
          </cell>
          <cell r="C1172" t="str">
            <v>SOHINCO CONSTRUCTORA S.A.S.</v>
          </cell>
          <cell r="D1172">
            <v>3219664011</v>
          </cell>
          <cell r="E1172" t="str">
            <v>felectronica@sohinco.com</v>
          </cell>
          <cell r="F1172" t="str">
            <v>CARRERA 43  14  130</v>
          </cell>
          <cell r="G1172">
            <v>11001</v>
          </cell>
        </row>
        <row r="1173">
          <cell r="A1173" t="str">
            <v>800112806</v>
          </cell>
          <cell r="B1173" t="str">
            <v>2</v>
          </cell>
          <cell r="C1173" t="str">
            <v>FONDO PASIVO SOCIAL DE FERROCARRILES NACIONALES DE COLOMBIA</v>
          </cell>
          <cell r="D1173" t="str">
            <v>3183778053</v>
          </cell>
          <cell r="E1173" t="str">
            <v>direcciong@fps.gov.co</v>
          </cell>
          <cell r="F1173" t="str">
            <v>CALLE 73 No. 11 - 66</v>
          </cell>
          <cell r="G1173">
            <v>11001</v>
          </cell>
        </row>
        <row r="1174">
          <cell r="A1174" t="str">
            <v>800114830</v>
          </cell>
          <cell r="B1174" t="str">
            <v>9</v>
          </cell>
          <cell r="C1174" t="str">
            <v>EDIFICIO TORRELAVEGA PROPIEDAD HORIZONTAL</v>
          </cell>
          <cell r="D1174" t="str">
            <v>3359063</v>
          </cell>
          <cell r="E1174" t="str">
            <v>edificiotorrelavega.admon@gmail.com</v>
          </cell>
          <cell r="F1174" t="str">
            <v>CARRERA 17  10  81</v>
          </cell>
          <cell r="G1174">
            <v>11001</v>
          </cell>
        </row>
        <row r="1175">
          <cell r="A1175" t="str">
            <v>800116217</v>
          </cell>
          <cell r="B1175" t="str">
            <v>2</v>
          </cell>
          <cell r="C1175" t="str">
            <v>CORPORACION UNIVERSITARIA MINUTO DE DIOS</v>
          </cell>
          <cell r="D1175" t="str">
            <v>2916520</v>
          </cell>
          <cell r="E1175" t="str">
            <v>facturacionradian@uniminuto.edu</v>
          </cell>
          <cell r="F1175" t="str">
            <v>CR 73 A 81 B 70</v>
          </cell>
          <cell r="G1175">
            <v>11001</v>
          </cell>
        </row>
        <row r="1176">
          <cell r="A1176" t="str">
            <v>800117564</v>
          </cell>
          <cell r="B1176" t="str">
            <v>8</v>
          </cell>
          <cell r="C1176" t="str">
            <v>CLINICA DE LA MUJER S.A.S.</v>
          </cell>
          <cell r="D1176" t="str">
            <v>6161799</v>
          </cell>
          <cell r="E1176" t="str">
            <v>proveedores.muj@quironsalud.com</v>
          </cell>
          <cell r="F1176" t="str">
            <v>CARRERA 21  91  17</v>
          </cell>
          <cell r="G1176">
            <v>11001</v>
          </cell>
        </row>
        <row r="1177">
          <cell r="A1177" t="str">
            <v>800130907</v>
          </cell>
          <cell r="B1177" t="str">
            <v>4</v>
          </cell>
          <cell r="C1177" t="str">
            <v>SALUD TOTAL ENTIDAD PROMOTORA DE SALUD DEL REGIMEN CONTRIBUTIVO Y DEL REGIMEN SUBSIDIADO S A</v>
          </cell>
          <cell r="D1177" t="str">
            <v>6 2 9 6 6 6 0</v>
          </cell>
          <cell r="E1177" t="str">
            <v>recepcionfactelectronica@saludtotal.com.co</v>
          </cell>
          <cell r="F1177" t="str">
            <v>CR 18 109 15</v>
          </cell>
          <cell r="G1177">
            <v>11001</v>
          </cell>
        </row>
        <row r="1178">
          <cell r="A1178" t="str">
            <v>800131917</v>
          </cell>
          <cell r="B1178" t="str">
            <v>2</v>
          </cell>
          <cell r="C1178" t="str">
            <v>INVERSIONES MARQUEZ S.A.S</v>
          </cell>
          <cell r="D1178" t="str">
            <v>6216617</v>
          </cell>
          <cell r="E1178" t="str">
            <v>inversionesmarquez@hotmail.com</v>
          </cell>
          <cell r="F1178" t="str">
            <v>CALLE 94  14  48</v>
          </cell>
          <cell r="G1178">
            <v>11001</v>
          </cell>
        </row>
        <row r="1179">
          <cell r="A1179" t="str">
            <v>800131917</v>
          </cell>
          <cell r="B1179" t="str">
            <v>2</v>
          </cell>
          <cell r="C1179" t="str">
            <v>INVERSIONES MARQUEZ S.A.S</v>
          </cell>
          <cell r="D1179" t="str">
            <v>6216617</v>
          </cell>
          <cell r="E1179" t="str">
            <v>inversionesmarquez@hotmail.com</v>
          </cell>
          <cell r="F1179" t="str">
            <v>CALLE 94  14  48</v>
          </cell>
          <cell r="G1179">
            <v>11001</v>
          </cell>
        </row>
        <row r="1180">
          <cell r="A1180" t="str">
            <v>800131970</v>
          </cell>
          <cell r="B1180" t="str">
            <v>3</v>
          </cell>
          <cell r="C1180" t="str">
            <v>EDIFICIO LA POSADA DE IPANEMA</v>
          </cell>
          <cell r="D1180" t="str">
            <v>6430943</v>
          </cell>
          <cell r="E1180" t="str">
            <v>brenda_yrv@yahoo.es</v>
          </cell>
          <cell r="F1180" t="str">
            <v>CARRERA 36  48  131</v>
          </cell>
          <cell r="G1180">
            <v>11001</v>
          </cell>
        </row>
        <row r="1181">
          <cell r="A1181" t="str">
            <v>800133919</v>
          </cell>
          <cell r="B1181" t="str">
            <v>6</v>
          </cell>
          <cell r="C1181" t="str">
            <v>EDIFICIO CALLE 86 PROPIEDAD HORIZONTAL</v>
          </cell>
          <cell r="D1181" t="str">
            <v>7025540</v>
          </cell>
          <cell r="E1181" t="str">
            <v>dega.contabilidad@gmail.com</v>
          </cell>
          <cell r="F1181" t="str">
            <v>CALLE 86  11  51</v>
          </cell>
          <cell r="G1181">
            <v>11001</v>
          </cell>
        </row>
        <row r="1182">
          <cell r="A1182" t="str">
            <v>800133919</v>
          </cell>
          <cell r="B1182" t="str">
            <v>6</v>
          </cell>
          <cell r="C1182" t="str">
            <v>EDIFICIO CALLE 86 PROPIEDAD HORIZONTAL</v>
          </cell>
          <cell r="D1182" t="str">
            <v>7025540</v>
          </cell>
          <cell r="E1182" t="str">
            <v>dega.contabilidad@gmail.com</v>
          </cell>
          <cell r="F1182" t="str">
            <v>CALLE 86  11  51</v>
          </cell>
          <cell r="G1182">
            <v>11001</v>
          </cell>
        </row>
        <row r="1183">
          <cell r="A1183" t="str">
            <v>800134187</v>
          </cell>
          <cell r="B1183" t="str">
            <v>6</v>
          </cell>
          <cell r="C1183" t="str">
            <v>INGENIERIA IT &amp; T DE COLOMBIA S A S</v>
          </cell>
          <cell r="D1183" t="str">
            <v>3451992</v>
          </cell>
          <cell r="E1183" t="str">
            <v>facturacion.electronica@ittingenieria.com</v>
          </cell>
          <cell r="F1183" t="str">
            <v>CARRERA 3 D N° 60 - 15</v>
          </cell>
          <cell r="G1183">
            <v>11001</v>
          </cell>
        </row>
        <row r="1184">
          <cell r="A1184" t="str">
            <v>800138108</v>
          </cell>
          <cell r="B1184" t="str">
            <v>2</v>
          </cell>
          <cell r="C1184" t="str">
            <v>EDIFICIO PINAR 83 PROPIEDAD HORIZONTAL</v>
          </cell>
          <cell r="D1184" t="str">
            <v>6106546</v>
          </cell>
          <cell r="E1184" t="str">
            <v>pinar83@administrandoespacios.com</v>
          </cell>
          <cell r="F1184" t="str">
            <v>AVENIDA CIRCUNVALAR  82  30</v>
          </cell>
          <cell r="G1184">
            <v>11001</v>
          </cell>
        </row>
        <row r="1185">
          <cell r="A1185" t="str">
            <v>800138944</v>
          </cell>
          <cell r="B1185" t="str">
            <v>3</v>
          </cell>
          <cell r="C1185" t="str">
            <v>EDIFICIO ALAMEDA 94 PROPIEDAD HORIZONTAL</v>
          </cell>
          <cell r="D1185" t="str">
            <v>3017151400</v>
          </cell>
          <cell r="E1185" t="str">
            <v>edificioalameda94@gmail.com</v>
          </cell>
          <cell r="F1185" t="str">
            <v>CALLE 94  11 A  83</v>
          </cell>
          <cell r="G1185">
            <v>11001</v>
          </cell>
        </row>
        <row r="1186">
          <cell r="A1186" t="str">
            <v>800140959</v>
          </cell>
          <cell r="B1186" t="str">
            <v>1</v>
          </cell>
          <cell r="C1186" t="str">
            <v>C Y G INGENIERIA Y CONSTRUCCIONES S A S</v>
          </cell>
          <cell r="D1186" t="str">
            <v>3108576461</v>
          </cell>
          <cell r="E1186" t="str">
            <v>info@cyg.com.co</v>
          </cell>
          <cell r="F1186" t="str">
            <v>CARRERA 7  75  51 OFICINA 602</v>
          </cell>
          <cell r="G1186">
            <v>11001</v>
          </cell>
        </row>
        <row r="1187">
          <cell r="A1187" t="str">
            <v>800140959</v>
          </cell>
          <cell r="B1187" t="str">
            <v>1</v>
          </cell>
          <cell r="C1187" t="str">
            <v>C Y G INGENIERIA Y CONSTRUCCIONES S A S</v>
          </cell>
          <cell r="D1187" t="str">
            <v>3108576461</v>
          </cell>
          <cell r="E1187" t="str">
            <v>info@cyg.com.co</v>
          </cell>
          <cell r="F1187" t="str">
            <v>CARRERA 7  75  51 OFICINA 602</v>
          </cell>
          <cell r="G1187">
            <v>11001</v>
          </cell>
        </row>
        <row r="1188">
          <cell r="A1188" t="str">
            <v>800145754</v>
          </cell>
          <cell r="B1188" t="str">
            <v>1</v>
          </cell>
          <cell r="C1188" t="str">
            <v>EDIFICIO EL RINCON DE LOS CERROS - PROPIEDAD HORIZONTAL</v>
          </cell>
          <cell r="D1188" t="str">
            <v>3104087</v>
          </cell>
          <cell r="E1188" t="str">
            <v>edificiorincondcerros@gmail.com</v>
          </cell>
          <cell r="F1188" t="str">
            <v>TV 1 A 69-68</v>
          </cell>
          <cell r="G1188">
            <v>11001</v>
          </cell>
        </row>
        <row r="1189">
          <cell r="A1189" t="str">
            <v>800146077</v>
          </cell>
          <cell r="B1189" t="str">
            <v>6</v>
          </cell>
          <cell r="C1189" t="str">
            <v>ASEOS COLOMBIANOS ASEOCOLBA S.A.</v>
          </cell>
          <cell r="D1189" t="str">
            <v>3205651240</v>
          </cell>
          <cell r="E1189" t="str">
            <v>buzonfeaseocolba@grupocolba.com</v>
          </cell>
          <cell r="F1189" t="str">
            <v>CR 50 72 61</v>
          </cell>
          <cell r="G1189">
            <v>11001</v>
          </cell>
        </row>
        <row r="1190">
          <cell r="A1190" t="str">
            <v>800147506</v>
          </cell>
          <cell r="B1190" t="str">
            <v>9</v>
          </cell>
          <cell r="C1190" t="str">
            <v>VILLA CECILIA PROPIEDAD HORIZONTAL</v>
          </cell>
          <cell r="D1190" t="str">
            <v>6131408</v>
          </cell>
          <cell r="E1190" t="str">
            <v>edificiovillacecilia@gmail.com</v>
          </cell>
          <cell r="F1190" t="str">
            <v>CARRERA 78  135  60</v>
          </cell>
          <cell r="G1190">
            <v>11001</v>
          </cell>
        </row>
        <row r="1191">
          <cell r="A1191" t="str">
            <v>800148484</v>
          </cell>
          <cell r="B1191" t="str">
            <v>1</v>
          </cell>
          <cell r="C1191" t="str">
            <v>EDIFICIO MADRIGAL DE LAS ALTAS TORRES</v>
          </cell>
          <cell r="D1191">
            <v>3219664011</v>
          </cell>
          <cell r="E1191" t="str">
            <v>madrigalat127@gmail.com</v>
          </cell>
          <cell r="F1191" t="str">
            <v>CARRERA 14  127  46</v>
          </cell>
          <cell r="G1191">
            <v>11001</v>
          </cell>
        </row>
        <row r="1192">
          <cell r="A1192" t="str">
            <v>800149384</v>
          </cell>
          <cell r="B1192" t="str">
            <v>6</v>
          </cell>
          <cell r="C1192" t="str">
            <v>CLINICA COLSANITAS S.A.</v>
          </cell>
          <cell r="D1192" t="str">
            <v>5895455</v>
          </cell>
          <cell r="E1192" t="str">
            <v>recepcionfecli@fe.colsanitas.com</v>
          </cell>
          <cell r="F1192" t="str">
            <v>AV CALLE 100 11 B  67</v>
          </cell>
          <cell r="G1192">
            <v>11001</v>
          </cell>
        </row>
        <row r="1193">
          <cell r="A1193" t="str">
            <v>800149725</v>
          </cell>
          <cell r="B1193" t="str">
            <v>4</v>
          </cell>
          <cell r="C1193" t="str">
            <v>EDIFICIO AVANTI - PROPIEDAD HORIZONTAL</v>
          </cell>
          <cell r="D1193" t="str">
            <v>6366199</v>
          </cell>
          <cell r="E1193" t="str">
            <v>mcsg0818@gmail.com</v>
          </cell>
          <cell r="F1193" t="str">
            <v>CALLE 86  8  07</v>
          </cell>
          <cell r="G1193">
            <v>11001</v>
          </cell>
        </row>
        <row r="1194">
          <cell r="A1194" t="str">
            <v>800149725</v>
          </cell>
          <cell r="B1194" t="str">
            <v>4</v>
          </cell>
          <cell r="C1194" t="str">
            <v>EDIFICIO AVANTI - PROPIEDAD HORIZONTAL</v>
          </cell>
          <cell r="D1194" t="str">
            <v>6366199</v>
          </cell>
          <cell r="E1194" t="str">
            <v>mcsg0818@gmail.com</v>
          </cell>
          <cell r="F1194" t="str">
            <v>CALLE 86  8  07</v>
          </cell>
          <cell r="G1194">
            <v>11001</v>
          </cell>
        </row>
        <row r="1195">
          <cell r="A1195" t="str">
            <v>800150443</v>
          </cell>
          <cell r="B1195" t="str">
            <v>4</v>
          </cell>
          <cell r="C1195" t="str">
            <v>COMPAÑIA DE CONSTRUCTORES ASOCIADOS S.A.</v>
          </cell>
          <cell r="D1195">
            <v>3219664011</v>
          </cell>
          <cell r="E1195" t="str">
            <v>feproveedores@casa.com.co</v>
          </cell>
          <cell r="F1195" t="str">
            <v>CARRERA 5  71  45 OFICINA 202</v>
          </cell>
          <cell r="G1195">
            <v>11001</v>
          </cell>
        </row>
        <row r="1196">
          <cell r="A1196" t="str">
            <v>800150443</v>
          </cell>
          <cell r="B1196" t="str">
            <v>4</v>
          </cell>
          <cell r="C1196" t="str">
            <v>COMPAÑIA DE CONSTRUCTORES ASOCIADOS S.A.</v>
          </cell>
          <cell r="D1196">
            <v>3219664011</v>
          </cell>
          <cell r="E1196" t="str">
            <v>feproveedores@casa.com.co</v>
          </cell>
          <cell r="F1196" t="str">
            <v>CARRERA 5  71  45 OFICINA 202</v>
          </cell>
          <cell r="G1196">
            <v>11001</v>
          </cell>
        </row>
        <row r="1197">
          <cell r="A1197" t="str">
            <v>800151106</v>
          </cell>
          <cell r="B1197" t="str">
            <v>1</v>
          </cell>
          <cell r="C1197" t="str">
            <v>INCOTOP SAS</v>
          </cell>
          <cell r="D1197" t="str">
            <v>6 6 2 7 8 3 8</v>
          </cell>
          <cell r="E1197" t="str">
            <v>contabilidad@incotop.com</v>
          </cell>
          <cell r="F1197" t="str">
            <v>ED PARQUE SANTANDER OF 1005 CL 38 32 41 P 10</v>
          </cell>
          <cell r="G1197">
            <v>11001</v>
          </cell>
        </row>
        <row r="1198">
          <cell r="A1198" t="str">
            <v>800151392</v>
          </cell>
          <cell r="B1198" t="str">
            <v>1</v>
          </cell>
          <cell r="C1198" t="str">
            <v>COMPASSION INTERNATIONAL INCORPORATED</v>
          </cell>
          <cell r="D1198" t="str">
            <v>3684088</v>
          </cell>
          <cell r="E1198" t="str">
            <v>facturacion@co.ci.org</v>
          </cell>
          <cell r="F1198" t="str">
            <v>AV 28 36 32</v>
          </cell>
          <cell r="G1198">
            <v>11001</v>
          </cell>
        </row>
        <row r="1199">
          <cell r="A1199" t="str">
            <v>800152783</v>
          </cell>
          <cell r="B1199" t="str">
            <v>2</v>
          </cell>
          <cell r="C1199" t="str">
            <v>FISCALIA GENERAL DE LA NACION</v>
          </cell>
          <cell r="D1199" t="str">
            <v>5702000</v>
          </cell>
          <cell r="E1199" t="str">
            <v>siifnacion.facturaelectronica@minhacienda.gov.co</v>
          </cell>
          <cell r="F1199" t="str">
            <v>DIAGONAL 22 B  52  01</v>
          </cell>
          <cell r="G1199">
            <v>11001</v>
          </cell>
        </row>
        <row r="1200">
          <cell r="A1200" t="str">
            <v>800152783</v>
          </cell>
          <cell r="B1200" t="str">
            <v>2</v>
          </cell>
          <cell r="C1200" t="str">
            <v>FISCALIA GENERAL DE LA NACION</v>
          </cell>
          <cell r="D1200" t="str">
            <v>5702000</v>
          </cell>
          <cell r="E1200" t="str">
            <v>siifnacion.facturaelectronica@minhacienda.gov.co</v>
          </cell>
          <cell r="F1200" t="str">
            <v>DIAGONAL 22 B  52  01</v>
          </cell>
          <cell r="G1200">
            <v>11001</v>
          </cell>
        </row>
        <row r="1201">
          <cell r="A1201" t="str">
            <v>800153993</v>
          </cell>
          <cell r="B1201" t="str">
            <v>7</v>
          </cell>
          <cell r="C1201" t="str">
            <v>COMUNICACION CELULAR SA COMCEL SA</v>
          </cell>
          <cell r="D1201" t="str">
            <v>7430174</v>
          </cell>
          <cell r="E1201" t="str">
            <v>facturacion.plazaclaro@multiplika.com.co</v>
          </cell>
          <cell r="F1201" t="str">
            <v>CALLE 90  14  37</v>
          </cell>
          <cell r="G1201">
            <v>11001</v>
          </cell>
        </row>
        <row r="1202">
          <cell r="A1202" t="str">
            <v>800153993</v>
          </cell>
          <cell r="B1202" t="str">
            <v>7</v>
          </cell>
          <cell r="C1202" t="str">
            <v>COMUNICACION CELULAR SA COMCEL SA</v>
          </cell>
          <cell r="D1202" t="str">
            <v>7430174</v>
          </cell>
          <cell r="E1202" t="str">
            <v>facturacion.plazaclaro@multiplika.com.co</v>
          </cell>
          <cell r="F1202" t="str">
            <v>CALLE 90  14  37</v>
          </cell>
          <cell r="G1202">
            <v>11001</v>
          </cell>
        </row>
        <row r="1203">
          <cell r="A1203" t="str">
            <v>800154155</v>
          </cell>
          <cell r="B1203" t="str">
            <v>6</v>
          </cell>
          <cell r="C1203" t="str">
            <v>CENTRO COMERCIAL PLAZA DE LAS AMERICAS - PROPIEDAD HORIZONTAL</v>
          </cell>
          <cell r="D1203" t="str">
            <v>4467575</v>
          </cell>
          <cell r="E1203" t="str">
            <v>800154155@factureinbox.co</v>
          </cell>
          <cell r="F1203" t="str">
            <v>CR 71 D 6 94 SUR</v>
          </cell>
          <cell r="G1203">
            <v>11001</v>
          </cell>
        </row>
        <row r="1204">
          <cell r="A1204" t="str">
            <v>800154155</v>
          </cell>
          <cell r="B1204" t="str">
            <v>6</v>
          </cell>
          <cell r="C1204" t="str">
            <v>CENTRO COMERCIAL PLAZA DE LAS AMERICAS - PROPIEDAD HORIZONTAL</v>
          </cell>
          <cell r="D1204" t="str">
            <v>4467575</v>
          </cell>
          <cell r="E1204" t="str">
            <v>800154155@factureinbox.co</v>
          </cell>
          <cell r="F1204" t="str">
            <v>CR 71 D 6 94 SUR</v>
          </cell>
          <cell r="G1204">
            <v>11001</v>
          </cell>
        </row>
        <row r="1205">
          <cell r="A1205" t="str">
            <v>800155725</v>
          </cell>
          <cell r="B1205" t="str">
            <v>9</v>
          </cell>
          <cell r="C1205" t="str">
            <v>COPROPIEDAD EDIFICIO PORTOFINO</v>
          </cell>
          <cell r="D1205" t="str">
            <v>6657651</v>
          </cell>
          <cell r="E1205" t="str">
            <v>edificioportofino@hotmail.com</v>
          </cell>
          <cell r="F1205" t="str">
            <v>CALLE 10  1  61</v>
          </cell>
          <cell r="G1205">
            <v>11001</v>
          </cell>
        </row>
        <row r="1206">
          <cell r="A1206" t="str">
            <v>800156613</v>
          </cell>
          <cell r="B1206" t="str">
            <v>7</v>
          </cell>
          <cell r="C1206" t="str">
            <v>EDIFICIO ARANJUEZ</v>
          </cell>
          <cell r="D1206" t="str">
            <v>3165318673</v>
          </cell>
          <cell r="E1206" t="str">
            <v>edificioaranjuezph@hotmail.com</v>
          </cell>
          <cell r="F1206" t="str">
            <v>CARRERA 23  100  12</v>
          </cell>
          <cell r="G1206">
            <v>11001</v>
          </cell>
        </row>
        <row r="1207">
          <cell r="A1207" t="str">
            <v>800157136</v>
          </cell>
          <cell r="B1207" t="str">
            <v>1</v>
          </cell>
          <cell r="C1207" t="str">
            <v>COMERCIALIZADORA KAYSSER C.K. S.A.S.</v>
          </cell>
          <cell r="D1207" t="str">
            <v>2861844</v>
          </cell>
          <cell r="E1207" t="str">
            <v>contabilidad@kaysserck.com</v>
          </cell>
          <cell r="F1207" t="str">
            <v>CALLE 12  9  55  INTERIOR 1</v>
          </cell>
          <cell r="G1207">
            <v>11001</v>
          </cell>
        </row>
        <row r="1208">
          <cell r="A1208" t="str">
            <v>800158010</v>
          </cell>
          <cell r="B1208" t="str">
            <v>5</v>
          </cell>
          <cell r="C1208" t="str">
            <v>EDIFICIO CORINTO</v>
          </cell>
          <cell r="D1208" t="str">
            <v>3477885</v>
          </cell>
          <cell r="E1208" t="str">
            <v>proveedores.habitacora@gmail.com</v>
          </cell>
          <cell r="F1208" t="str">
            <v>CALLE 73  7  50  OFICINA 501</v>
          </cell>
          <cell r="G1208">
            <v>11001</v>
          </cell>
        </row>
        <row r="1209">
          <cell r="A1209" t="str">
            <v>800158793</v>
          </cell>
          <cell r="B1209" t="str">
            <v>3</v>
          </cell>
          <cell r="C1209" t="str">
            <v>EDIFICIO CABRERA REAL</v>
          </cell>
          <cell r="D1209" t="str">
            <v>3212650792</v>
          </cell>
          <cell r="E1209" t="str">
            <v>edificiocabrerareal@gmail.com</v>
          </cell>
          <cell r="F1209" t="str">
            <v>CARRERA 10  60  91  OFICINA 601</v>
          </cell>
          <cell r="G1209">
            <v>11001</v>
          </cell>
        </row>
        <row r="1210">
          <cell r="A1210" t="str">
            <v>800159809</v>
          </cell>
          <cell r="B1210" t="str">
            <v>7</v>
          </cell>
          <cell r="C1210" t="str">
            <v>AGRUPACION ALTOS DE BELLAVISTA</v>
          </cell>
          <cell r="D1210" t="str">
            <v>3002621</v>
          </cell>
          <cell r="E1210" t="str">
            <v>facturaltosdebellavista@gmail.com</v>
          </cell>
          <cell r="F1210" t="str">
            <v>CARRERA 1 ESTE  74  14</v>
          </cell>
          <cell r="G1210">
            <v>11001</v>
          </cell>
        </row>
        <row r="1211">
          <cell r="A1211" t="str">
            <v>800159809</v>
          </cell>
          <cell r="B1211" t="str">
            <v>7</v>
          </cell>
          <cell r="C1211" t="str">
            <v>AGRUPACION ALTOS DE BELLAVISTA</v>
          </cell>
          <cell r="D1211" t="str">
            <v>3002621</v>
          </cell>
          <cell r="E1211" t="str">
            <v>facturaltosdebellavista@gmail.com</v>
          </cell>
          <cell r="F1211" t="str">
            <v>CARRERA 1 ESTE  74  14</v>
          </cell>
          <cell r="G1211">
            <v>11001</v>
          </cell>
        </row>
        <row r="1212">
          <cell r="A1212" t="str">
            <v>800159941</v>
          </cell>
          <cell r="B1212" t="str">
            <v>1</v>
          </cell>
          <cell r="C1212" t="str">
            <v>EDIFICIO COSMOS 104 PROPIEDAD HORIZONTAL</v>
          </cell>
          <cell r="D1212" t="str">
            <v>6246295</v>
          </cell>
          <cell r="E1212" t="str">
            <v>cosmos104edificio@gmail.com</v>
          </cell>
          <cell r="F1212" t="str">
            <v>CALLE 122  7 A  18</v>
          </cell>
          <cell r="G1212">
            <v>11001</v>
          </cell>
        </row>
        <row r="1213">
          <cell r="A1213" t="str">
            <v>800161633</v>
          </cell>
          <cell r="B1213" t="str">
            <v>4</v>
          </cell>
          <cell r="C1213" t="str">
            <v>CONSTRUCTORA LAS GALIAS S.A.</v>
          </cell>
          <cell r="D1213" t="str">
            <v>3125232514</v>
          </cell>
          <cell r="E1213" t="str">
            <v>facturasdigitales@galias.com.co</v>
          </cell>
          <cell r="F1213" t="str">
            <v>AK 9 101 67 OF  P6 ED NAOS</v>
          </cell>
          <cell r="G1213">
            <v>11001</v>
          </cell>
        </row>
        <row r="1214">
          <cell r="A1214" t="str">
            <v>800161633</v>
          </cell>
          <cell r="B1214" t="str">
            <v>4</v>
          </cell>
          <cell r="C1214" t="str">
            <v>CONSTRUCTORA LAS GALIAS S.A.</v>
          </cell>
          <cell r="D1214" t="str">
            <v>3125232514</v>
          </cell>
          <cell r="E1214" t="str">
            <v>facturasdigitales@galias.com.co</v>
          </cell>
          <cell r="F1214" t="str">
            <v>AK 9 101 67 OF  P6 ED NAOS</v>
          </cell>
          <cell r="G1214">
            <v>11001</v>
          </cell>
        </row>
        <row r="1215">
          <cell r="A1215" t="str">
            <v>800165377</v>
          </cell>
          <cell r="B1215" t="str">
            <v>1</v>
          </cell>
          <cell r="C1215" t="str">
            <v>GRUPO DECOR S A S</v>
          </cell>
          <cell r="D1215" t="str">
            <v>4495555</v>
          </cell>
          <cell r="E1215" t="str">
            <v>recepcionfacturagd@grupodecor.com</v>
          </cell>
          <cell r="F1215" t="str">
            <v>CL 66 1 N 20</v>
          </cell>
          <cell r="G1215">
            <v>11001</v>
          </cell>
        </row>
        <row r="1216">
          <cell r="A1216" t="str">
            <v>800165862</v>
          </cell>
          <cell r="B1216" t="str">
            <v>2</v>
          </cell>
          <cell r="C1216" t="str">
            <v>DIRECCION EJECUTIVA SECCIONAL DE ADMINISTRACION JUDICIAL BOGOTA CUNDINAMARCA</v>
          </cell>
          <cell r="D1216" t="str">
            <v>3532666</v>
          </cell>
          <cell r="E1216" t="str">
            <v>siifnacion.facturaelectronica@minhacienda.gov.co</v>
          </cell>
          <cell r="F1216" t="str">
            <v>CARRERA 10  14  33  PISO 17</v>
          </cell>
          <cell r="G1216">
            <v>11001</v>
          </cell>
        </row>
        <row r="1217">
          <cell r="A1217" t="str">
            <v>800165874</v>
          </cell>
          <cell r="B1217" t="str">
            <v>0</v>
          </cell>
          <cell r="C1217" t="str">
            <v>RAMA JUDICIAL DIRECCION SECCIONAL DE ADMINISTRACION JUDICIAL NORTE DE SANTANDER - CUCUTA</v>
          </cell>
          <cell r="D1217">
            <v>3219664011</v>
          </cell>
          <cell r="E1217" t="str">
            <v>siifnacion.facturaelectronica@minhacienda.gov.co</v>
          </cell>
          <cell r="F1217" t="str">
            <v>PALACIO DE JUSTICIA POPULAR  PISO 2</v>
          </cell>
          <cell r="G1217">
            <v>11001</v>
          </cell>
        </row>
        <row r="1218">
          <cell r="A1218" t="str">
            <v>800165940</v>
          </cell>
          <cell r="B1218" t="str">
            <v>9</v>
          </cell>
          <cell r="C1218" t="str">
            <v>RAMA JUDICIAL DIR. SECC. DE ADMON JUDICIAL RISARALDA</v>
          </cell>
          <cell r="D1218" t="str">
            <v>3137343088</v>
          </cell>
          <cell r="E1218" t="str">
            <v>siifnacion.facturaelectronica@minhacienda.gov.co</v>
          </cell>
          <cell r="F1218" t="str">
            <v>CARRERA 7  41  05  PISO 1</v>
          </cell>
          <cell r="G1218">
            <v>11001</v>
          </cell>
        </row>
        <row r="1219">
          <cell r="A1219" t="str">
            <v>800169065</v>
          </cell>
          <cell r="B1219" t="str">
            <v>7</v>
          </cell>
          <cell r="C1219" t="str">
            <v>AGRUPACION DE VIVIENDA SERRAMONTE- PROPIEDAD HORIZONTAL</v>
          </cell>
          <cell r="D1219" t="str">
            <v>6125732</v>
          </cell>
          <cell r="E1219" t="str">
            <v>serramonteph@gmail.com</v>
          </cell>
          <cell r="F1219" t="str">
            <v>TRANSVERSAL 6  125  35</v>
          </cell>
          <cell r="G1219">
            <v>11001</v>
          </cell>
        </row>
        <row r="1220">
          <cell r="A1220" t="str">
            <v>800171234</v>
          </cell>
          <cell r="B1220" t="str">
            <v>1</v>
          </cell>
          <cell r="C1220" t="str">
            <v>EDIFICIO PACANDE - PROPIEDAD HORIZONTAL</v>
          </cell>
          <cell r="D1220" t="str">
            <v>4758449</v>
          </cell>
          <cell r="E1220" t="str">
            <v>edificiopacande86@gmail.com</v>
          </cell>
          <cell r="F1220" t="str">
            <v>CARRERA 18  79 A  33</v>
          </cell>
          <cell r="G1220">
            <v>11001</v>
          </cell>
        </row>
        <row r="1221">
          <cell r="A1221" t="str">
            <v>800171624</v>
          </cell>
          <cell r="B1221" t="str">
            <v>0</v>
          </cell>
          <cell r="C1221" t="str">
            <v>CONJUNTO RESIDENCIAL ATABANZA I PROPIEDAD HORIZONTAL</v>
          </cell>
          <cell r="D1221" t="str">
            <v>6016135511</v>
          </cell>
          <cell r="E1221" t="str">
            <v>atabanza1facturacion@gmail.com</v>
          </cell>
          <cell r="F1221" t="str">
            <v>CR 48 127 51</v>
          </cell>
          <cell r="G1221">
            <v>11001</v>
          </cell>
        </row>
        <row r="1222">
          <cell r="A1222" t="str">
            <v>800171624</v>
          </cell>
          <cell r="B1222" t="str">
            <v>0</v>
          </cell>
          <cell r="C1222" t="str">
            <v>CONJUNTO RESIDENCIAL ATABANZA I PROPIEDAD HORIZONTAL</v>
          </cell>
          <cell r="D1222" t="str">
            <v>6016135511</v>
          </cell>
          <cell r="E1222" t="str">
            <v>atabanza1facturacion@gmail.com</v>
          </cell>
          <cell r="F1222" t="str">
            <v>CR 48 127 51</v>
          </cell>
          <cell r="G1222">
            <v>11001</v>
          </cell>
        </row>
        <row r="1223">
          <cell r="A1223" t="str">
            <v>800173155</v>
          </cell>
          <cell r="B1223" t="str">
            <v>7</v>
          </cell>
          <cell r="C1223" t="str">
            <v>PRABYC INGENIEROS SAS</v>
          </cell>
          <cell r="D1223">
            <v>3219664011</v>
          </cell>
          <cell r="E1223" t="str">
            <v>facturacion@prabyc.com.co</v>
          </cell>
          <cell r="F1223" t="str">
            <v>CARRERA 16  93 A  36  OFICINA 701</v>
          </cell>
          <cell r="G1223">
            <v>11001</v>
          </cell>
        </row>
        <row r="1224">
          <cell r="A1224" t="str">
            <v>800173155</v>
          </cell>
          <cell r="B1224" t="str">
            <v>7</v>
          </cell>
          <cell r="C1224" t="str">
            <v>PRABYC INGENIEROS SAS</v>
          </cell>
          <cell r="D1224">
            <v>3219664011</v>
          </cell>
          <cell r="E1224" t="str">
            <v>facturacion@prabyc.com.co</v>
          </cell>
          <cell r="F1224" t="str">
            <v>CARRERA 16  93 A  36  OFICINA 701</v>
          </cell>
          <cell r="G1224">
            <v>11001</v>
          </cell>
        </row>
        <row r="1225">
          <cell r="A1225" t="str">
            <v>800177155</v>
          </cell>
          <cell r="B1225" t="str">
            <v>5</v>
          </cell>
          <cell r="C1225" t="str">
            <v>EDIFICIO MARGARITA DEL MAR</v>
          </cell>
          <cell r="D1225" t="str">
            <v>6794479</v>
          </cell>
          <cell r="E1225" t="str">
            <v>edificiomargaritadelmar@gmail.com</v>
          </cell>
          <cell r="F1225" t="str">
            <v>CARRERA 3  4  10</v>
          </cell>
          <cell r="G1225">
            <v>11001</v>
          </cell>
        </row>
        <row r="1226">
          <cell r="A1226" t="str">
            <v>800178639</v>
          </cell>
          <cell r="B1226" t="str">
            <v>2</v>
          </cell>
          <cell r="C1226" t="str">
            <v>EDIFICIO CARRERA SEPTIMA - PROPIEDAD HORIZONTAL</v>
          </cell>
          <cell r="D1226" t="str">
            <v>8052005</v>
          </cell>
          <cell r="E1226" t="str">
            <v>asistente@losvenados.org</v>
          </cell>
          <cell r="F1226" t="str">
            <v>CARRERA 7  71  52</v>
          </cell>
          <cell r="G1226">
            <v>11001</v>
          </cell>
        </row>
        <row r="1227">
          <cell r="A1227" t="str">
            <v>800178639</v>
          </cell>
          <cell r="B1227" t="str">
            <v>2</v>
          </cell>
          <cell r="C1227" t="str">
            <v>EDIFICIO CARRERA SEPTIMA - PROPIEDAD HORIZONTAL</v>
          </cell>
          <cell r="D1227" t="str">
            <v>8052005</v>
          </cell>
          <cell r="E1227" t="str">
            <v>asistente@losvenados.org</v>
          </cell>
          <cell r="F1227" t="str">
            <v>CARRERA 7  71  52</v>
          </cell>
          <cell r="G1227">
            <v>11001</v>
          </cell>
        </row>
        <row r="1228">
          <cell r="A1228" t="str">
            <v>800178892</v>
          </cell>
          <cell r="B1228" t="str">
            <v>1</v>
          </cell>
          <cell r="C1228" t="str">
            <v>EDIFICIO ENTRE PINOS PROPIEDAD HORIZONTAL</v>
          </cell>
          <cell r="D1228" t="str">
            <v>6210537</v>
          </cell>
          <cell r="E1228" t="str">
            <v>edificioentrepinos@outlook.com</v>
          </cell>
          <cell r="F1228" t="str">
            <v>CALLE 93 B  18  45  OFICINA 305</v>
          </cell>
          <cell r="G1228">
            <v>11001</v>
          </cell>
        </row>
        <row r="1229">
          <cell r="A1229" t="str">
            <v>800178892</v>
          </cell>
          <cell r="B1229" t="str">
            <v>1</v>
          </cell>
          <cell r="C1229" t="str">
            <v>EDIFICIO ENTRE PINOS PROPIEDAD HORIZONTAL</v>
          </cell>
          <cell r="D1229" t="str">
            <v>6210537</v>
          </cell>
          <cell r="E1229" t="str">
            <v>edificioentrepinos@outlook.com</v>
          </cell>
          <cell r="F1229" t="str">
            <v>CALLE 93 B  18  45  OFICINA 305</v>
          </cell>
          <cell r="G1229">
            <v>11001</v>
          </cell>
        </row>
        <row r="1230">
          <cell r="A1230" t="str">
            <v>800180375</v>
          </cell>
          <cell r="B1230" t="str">
            <v>1</v>
          </cell>
          <cell r="C1230" t="str">
            <v>ADMINISTRADORA HOTELERA DANN S.A.S</v>
          </cell>
          <cell r="D1230" t="str">
            <v>6350010</v>
          </cell>
          <cell r="E1230" t="str">
            <v>facturacion.danncarltonbogota@hotelesdann.com</v>
          </cell>
          <cell r="F1230" t="str">
            <v>CL 93 B 19 44</v>
          </cell>
          <cell r="G1230">
            <v>11001</v>
          </cell>
        </row>
        <row r="1231">
          <cell r="A1231" t="str">
            <v>800180375</v>
          </cell>
          <cell r="B1231" t="str">
            <v>1</v>
          </cell>
          <cell r="C1231" t="str">
            <v>ADMINISTRADORA HOTELERA DANN S.A.S</v>
          </cell>
          <cell r="D1231" t="str">
            <v>6350010</v>
          </cell>
          <cell r="E1231" t="str">
            <v>facturacion.danncarltonbogota@hotelesdann.com</v>
          </cell>
          <cell r="F1231" t="str">
            <v>CL 93 B 19 44</v>
          </cell>
          <cell r="G1231">
            <v>11001</v>
          </cell>
        </row>
        <row r="1232">
          <cell r="A1232" t="str">
            <v>800180832</v>
          </cell>
          <cell r="B1232" t="str">
            <v>4</v>
          </cell>
          <cell r="C1232" t="str">
            <v>CORPORACION CLUB EL NOGAL</v>
          </cell>
          <cell r="D1232" t="str">
            <v>3267700</v>
          </cell>
          <cell r="E1232" t="str">
            <v>800180832@factureinbox.co</v>
          </cell>
          <cell r="F1232" t="str">
            <v>CARRERA 5 A  78  75</v>
          </cell>
          <cell r="G1232">
            <v>11001</v>
          </cell>
        </row>
        <row r="1233">
          <cell r="A1233" t="str">
            <v>800180832</v>
          </cell>
          <cell r="B1233" t="str">
            <v>4</v>
          </cell>
          <cell r="C1233" t="str">
            <v>CORPORACION CLUB EL NOGAL</v>
          </cell>
          <cell r="D1233" t="str">
            <v>3267700</v>
          </cell>
          <cell r="E1233" t="str">
            <v>800180832@factureinbox.co</v>
          </cell>
          <cell r="F1233" t="str">
            <v>CARRERA 5 A  78  75</v>
          </cell>
          <cell r="G1233">
            <v>11001</v>
          </cell>
        </row>
        <row r="1234">
          <cell r="A1234" t="str">
            <v>800182641</v>
          </cell>
          <cell r="B1234" t="str">
            <v>3</v>
          </cell>
          <cell r="C1234" t="str">
            <v>SOCIEDAD DE INVERSIONES VIVES Y CIA. S.A.</v>
          </cell>
          <cell r="D1234">
            <v>3219664011</v>
          </cell>
          <cell r="E1234" t="str">
            <v>800182641@factureinbox.co</v>
          </cell>
          <cell r="F1234" t="str">
            <v>CALLE 15  1 C  74  OFICINA 702</v>
          </cell>
          <cell r="G1234">
            <v>11001</v>
          </cell>
        </row>
        <row r="1235">
          <cell r="A1235" t="str">
            <v>800185295</v>
          </cell>
          <cell r="B1235" t="str">
            <v>1</v>
          </cell>
          <cell r="C1235" t="str">
            <v>AMARILO S.A.S.</v>
          </cell>
          <cell r="D1235" t="str">
            <v>3103180952</v>
          </cell>
          <cell r="E1235" t="str">
            <v>facturaelectronica@amarilo.com</v>
          </cell>
          <cell r="F1235" t="str">
            <v>CL 90 11 A - 27</v>
          </cell>
          <cell r="G1235">
            <v>11001</v>
          </cell>
        </row>
        <row r="1236">
          <cell r="A1236" t="str">
            <v>800185295</v>
          </cell>
          <cell r="B1236" t="str">
            <v>1</v>
          </cell>
          <cell r="C1236" t="str">
            <v>AMARILO S.A.S.</v>
          </cell>
          <cell r="D1236" t="str">
            <v>3103180952</v>
          </cell>
          <cell r="E1236" t="str">
            <v>facturaelectronica@amarilo.com</v>
          </cell>
          <cell r="F1236" t="str">
            <v>CL 90 11 A - 27</v>
          </cell>
          <cell r="G1236">
            <v>11001</v>
          </cell>
        </row>
        <row r="1237">
          <cell r="A1237" t="str">
            <v>800189659</v>
          </cell>
          <cell r="B1237" t="str">
            <v>7</v>
          </cell>
          <cell r="C1237" t="str">
            <v>INGENIERIA Y SERVICIOS DE REFRIGERACION SAS</v>
          </cell>
          <cell r="D1237" t="str">
            <v>3235639133</v>
          </cell>
          <cell r="E1237" t="str">
            <v>inseref@inseref.com.co</v>
          </cell>
          <cell r="F1237" t="str">
            <v>CARR 29 75 A 54</v>
          </cell>
          <cell r="G1237">
            <v>11001</v>
          </cell>
        </row>
        <row r="1238">
          <cell r="A1238" t="str">
            <v>800191231</v>
          </cell>
          <cell r="B1238" t="str">
            <v>5</v>
          </cell>
          <cell r="C1238" t="str">
            <v>EDIFICIO METROPOLITAN TOWER - PROPIEDAD HORIZONTAL</v>
          </cell>
          <cell r="D1238" t="str">
            <v>2741222</v>
          </cell>
          <cell r="E1238" t="str">
            <v>metropolitantowerph@gmail.com</v>
          </cell>
          <cell r="F1238" t="str">
            <v>CALLE 73  7  06</v>
          </cell>
          <cell r="G1238">
            <v>11001</v>
          </cell>
        </row>
        <row r="1239">
          <cell r="A1239" t="str">
            <v>800194798</v>
          </cell>
          <cell r="B1239" t="str">
            <v>2</v>
          </cell>
          <cell r="C1239" t="str">
            <v>ORGANIZACION CLINICA BONNADONA-PREVENIR SAS</v>
          </cell>
          <cell r="D1239">
            <v>3219664011</v>
          </cell>
          <cell r="E1239" t="str">
            <v>800194798@factureinbox.co</v>
          </cell>
          <cell r="F1239" t="str">
            <v>CARRERA 49 C  82  70</v>
          </cell>
          <cell r="G1239">
            <v>11001</v>
          </cell>
        </row>
        <row r="1240">
          <cell r="A1240" t="str">
            <v>800194880</v>
          </cell>
          <cell r="B1240" t="str">
            <v>9</v>
          </cell>
          <cell r="C1240" t="str">
            <v>CONSTRUCTORA GAP SAS</v>
          </cell>
          <cell r="D1240" t="str">
            <v>3265200</v>
          </cell>
          <cell r="E1240" t="str">
            <v>facturas@solucionesatomo.com</v>
          </cell>
          <cell r="F1240" t="str">
            <v>CRA 9 76-49 OF.201</v>
          </cell>
          <cell r="G1240">
            <v>11001</v>
          </cell>
        </row>
        <row r="1241">
          <cell r="A1241" t="str">
            <v>800194880</v>
          </cell>
          <cell r="B1241" t="str">
            <v>9</v>
          </cell>
          <cell r="C1241" t="str">
            <v>CONSTRUCTORA GAP SAS</v>
          </cell>
          <cell r="D1241" t="str">
            <v>3265200</v>
          </cell>
          <cell r="E1241" t="str">
            <v>facturas@solucionesatomo.com</v>
          </cell>
          <cell r="F1241" t="str">
            <v>CRA 9 76-49 OF.201</v>
          </cell>
          <cell r="G1241">
            <v>11001</v>
          </cell>
        </row>
        <row r="1242">
          <cell r="A1242" t="str">
            <v>800195413</v>
          </cell>
          <cell r="B1242" t="str">
            <v>7</v>
          </cell>
          <cell r="C1242" t="str">
            <v>EDIFICIO BUGANVILLA TORRE VII PROPIEDAD HORIZONTAL</v>
          </cell>
          <cell r="D1242" t="str">
            <v>6191054</v>
          </cell>
          <cell r="E1242" t="str">
            <v>gerencia@ceeme.com.co</v>
          </cell>
          <cell r="F1242" t="str">
            <v>CARRERA 11 BIS  123  71</v>
          </cell>
          <cell r="G1242">
            <v>11001</v>
          </cell>
        </row>
        <row r="1243">
          <cell r="A1243" t="str">
            <v>800197268</v>
          </cell>
          <cell r="B1243" t="str">
            <v>4</v>
          </cell>
          <cell r="C1243" t="str">
            <v>U.A.E. DIRECCION DE IMPUESTOS Y ADUANAS NACIONALES</v>
          </cell>
          <cell r="D1243" t="str">
            <v>3154967217</v>
          </cell>
          <cell r="E1243" t="str">
            <v>siifnacion.facturaelectronica@minhacienda.gov.co</v>
          </cell>
          <cell r="F1243" t="str">
            <v>CALLE 11  3  72</v>
          </cell>
          <cell r="G1243">
            <v>11001</v>
          </cell>
        </row>
        <row r="1244">
          <cell r="A1244" t="str">
            <v>800198998</v>
          </cell>
          <cell r="B1244" t="str">
            <v>7</v>
          </cell>
          <cell r="C1244" t="str">
            <v>MANUEL GONZALEZ MALAVER E HIJOS S EN C</v>
          </cell>
          <cell r="D1244" t="str">
            <v>3124320987</v>
          </cell>
          <cell r="E1244" t="str">
            <v>recepcion@misfacturas.com.co</v>
          </cell>
          <cell r="F1244" t="str">
            <v>CARRERA 13  61  87</v>
          </cell>
          <cell r="G1244">
            <v>11001</v>
          </cell>
        </row>
        <row r="1245">
          <cell r="A1245" t="str">
            <v>800199501</v>
          </cell>
          <cell r="B1245" t="str">
            <v>5</v>
          </cell>
          <cell r="C1245" t="str">
            <v>CENTRO COMERCIAL Y DE NEGOCIOS ANDINO PROPIEDAD HORIZONTAL</v>
          </cell>
          <cell r="D1245" t="str">
            <v>6213111</v>
          </cell>
          <cell r="E1245" t="str">
            <v>facturasandino@centroandino.com.co</v>
          </cell>
          <cell r="F1245" t="str">
            <v>CARRERA 11  82  01 PISO 4</v>
          </cell>
          <cell r="G1245">
            <v>11001</v>
          </cell>
        </row>
        <row r="1246">
          <cell r="A1246" t="str">
            <v>800199501</v>
          </cell>
          <cell r="B1246" t="str">
            <v>5</v>
          </cell>
          <cell r="C1246" t="str">
            <v>CENTRO COMERCIAL Y DE NEGOCIOS ANDINO PROPIEDAD HORIZONTAL</v>
          </cell>
          <cell r="D1246" t="str">
            <v>6213111</v>
          </cell>
          <cell r="E1246" t="str">
            <v>facturasandino@centroandino.com.co</v>
          </cell>
          <cell r="F1246" t="str">
            <v>CARRERA 11  82  01 PISO 4</v>
          </cell>
          <cell r="G1246">
            <v>11001</v>
          </cell>
        </row>
        <row r="1247">
          <cell r="A1247" t="str">
            <v>800200976</v>
          </cell>
          <cell r="B1247" t="str">
            <v>3</v>
          </cell>
          <cell r="C1247" t="str">
            <v>AGRUPACION DE VIVIENDA ALTOS DE MONTEARROYO TORRE 1 A 5 P H.</v>
          </cell>
          <cell r="D1247" t="str">
            <v>3003383106</v>
          </cell>
          <cell r="E1247" t="str">
            <v>facturacion@estiloingenieria.com</v>
          </cell>
          <cell r="F1247" t="str">
            <v>CALLE 140 B  6  57</v>
          </cell>
          <cell r="G1247">
            <v>11001</v>
          </cell>
        </row>
        <row r="1248">
          <cell r="A1248" t="str">
            <v>800200976</v>
          </cell>
          <cell r="B1248" t="str">
            <v>3</v>
          </cell>
          <cell r="C1248" t="str">
            <v>AGRUPACION DE VIVIENDA ALTOS DE MONTEARROYO TORRE 1 A 5 P H.</v>
          </cell>
          <cell r="D1248" t="str">
            <v>3003383106</v>
          </cell>
          <cell r="E1248" t="str">
            <v>facturacion@estiloingenieria.com</v>
          </cell>
          <cell r="F1248" t="str">
            <v>CALLE 140 B  6  57</v>
          </cell>
          <cell r="G1248">
            <v>11001</v>
          </cell>
        </row>
        <row r="1249">
          <cell r="A1249" t="str">
            <v>800201723</v>
          </cell>
          <cell r="B1249" t="str">
            <v>1</v>
          </cell>
          <cell r="C1249" t="str">
            <v>ROJAS TRASTEOS SERVICIOS S.A</v>
          </cell>
          <cell r="D1249" t="str">
            <v>3160282143</v>
          </cell>
          <cell r="E1249" t="str">
            <v>facturacion@rojastrasteos.com</v>
          </cell>
          <cell r="F1249" t="str">
            <v>CR 56 94 C 49</v>
          </cell>
          <cell r="G1249">
            <v>11001</v>
          </cell>
        </row>
        <row r="1250">
          <cell r="A1250" t="str">
            <v>800202272</v>
          </cell>
          <cell r="B1250" t="str">
            <v>6</v>
          </cell>
          <cell r="C1250" t="str">
            <v>EDIFICIO CORBARAQUE - PROPIEDAD HORIZONTAL</v>
          </cell>
          <cell r="D1250" t="str">
            <v>7025540</v>
          </cell>
          <cell r="E1250" t="str">
            <v>admoncorbaraqueph@gmail.com</v>
          </cell>
          <cell r="F1250" t="str">
            <v>CALLE 81  5  27</v>
          </cell>
          <cell r="G1250">
            <v>11001</v>
          </cell>
        </row>
        <row r="1251">
          <cell r="A1251" t="str">
            <v>800202947</v>
          </cell>
          <cell r="B1251" t="str">
            <v>9</v>
          </cell>
          <cell r="C1251" t="str">
            <v>EDIFICIO MONTECARMELO</v>
          </cell>
          <cell r="D1251" t="str">
            <v>6211040</v>
          </cell>
          <cell r="E1251" t="str">
            <v>admonmontecarmelo2017@gmail.com</v>
          </cell>
          <cell r="F1251" t="str">
            <v>DIAGONAL 91  4 B  75</v>
          </cell>
          <cell r="G1251">
            <v>11001</v>
          </cell>
        </row>
        <row r="1252">
          <cell r="A1252" t="str">
            <v>800205390</v>
          </cell>
          <cell r="B1252" t="str">
            <v>0</v>
          </cell>
          <cell r="C1252" t="str">
            <v>EDIFICIO LOS NEVADOS</v>
          </cell>
          <cell r="D1252" t="str">
            <v>3113112577</v>
          </cell>
          <cell r="E1252" t="str">
            <v>mariarocio1956@hotmail.com</v>
          </cell>
          <cell r="F1252" t="str">
            <v>CALLE 15  9 NORTE  66</v>
          </cell>
          <cell r="G1252">
            <v>11001</v>
          </cell>
        </row>
        <row r="1253">
          <cell r="A1253" t="str">
            <v>800207122</v>
          </cell>
          <cell r="B1253" t="str">
            <v>2</v>
          </cell>
          <cell r="C1253" t="str">
            <v>JACARANDA PROPIEDAD HORIZONTAL</v>
          </cell>
          <cell r="D1253" t="str">
            <v>3115856315</v>
          </cell>
          <cell r="E1253" t="str">
            <v>admonjacarandaph@gmail.com</v>
          </cell>
          <cell r="F1253" t="str">
            <v>CALLE 73  7  50  OFICINA 501</v>
          </cell>
          <cell r="G1253">
            <v>11001</v>
          </cell>
        </row>
        <row r="1254">
          <cell r="A1254" t="str">
            <v>800208146</v>
          </cell>
          <cell r="B1254" t="str">
            <v>3</v>
          </cell>
          <cell r="C1254" t="str">
            <v>INVERSIONES ALCABAMA S.A.</v>
          </cell>
          <cell r="D1254" t="str">
            <v>3115005652</v>
          </cell>
          <cell r="E1254" t="str">
            <v>facturacion.electronica@alcabama.com.co</v>
          </cell>
          <cell r="F1254" t="str">
            <v>CARRERA 7  156  78  PISO 12</v>
          </cell>
          <cell r="G1254">
            <v>11001</v>
          </cell>
        </row>
        <row r="1255">
          <cell r="A1255" t="str">
            <v>800208146</v>
          </cell>
          <cell r="B1255" t="str">
            <v>3</v>
          </cell>
          <cell r="C1255" t="str">
            <v>INVERSIONES ALCABAMA S.A.</v>
          </cell>
          <cell r="D1255" t="str">
            <v>3115005652</v>
          </cell>
          <cell r="E1255" t="str">
            <v>facturacion.electronica@alcabama.com.co</v>
          </cell>
          <cell r="F1255" t="str">
            <v>CARRERA 7  156  78  PISO 12</v>
          </cell>
          <cell r="G1255">
            <v>11001</v>
          </cell>
        </row>
        <row r="1256">
          <cell r="A1256" t="str">
            <v>800208898</v>
          </cell>
          <cell r="B1256" t="str">
            <v>3</v>
          </cell>
          <cell r="C1256" t="str">
            <v>EDIFICIO OFICINAS CALLE 95</v>
          </cell>
          <cell r="D1256" t="str">
            <v>6012187443</v>
          </cell>
          <cell r="E1256" t="str">
            <v>gerenciaamericaadmon@hotmail.com</v>
          </cell>
          <cell r="F1256" t="str">
            <v>CR 14 95 47</v>
          </cell>
          <cell r="G1256">
            <v>11001</v>
          </cell>
        </row>
        <row r="1257">
          <cell r="A1257" t="str">
            <v>800210409</v>
          </cell>
          <cell r="B1257" t="str">
            <v>1</v>
          </cell>
          <cell r="C1257" t="str">
            <v>PROMOTORA Y OPERADORA DE HOTELES PROMOTEL S.A.</v>
          </cell>
          <cell r="D1257" t="str">
            <v>6220704</v>
          </cell>
          <cell r="E1257" t="str">
            <v>800210409@factureinbox.co</v>
          </cell>
          <cell r="F1257" t="str">
            <v>CARRERA 13  85  80</v>
          </cell>
          <cell r="G1257">
            <v>11001</v>
          </cell>
        </row>
        <row r="1258">
          <cell r="A1258" t="str">
            <v>800211372</v>
          </cell>
          <cell r="B1258" t="str">
            <v>2</v>
          </cell>
          <cell r="C1258" t="str">
            <v>UNIDAD RESIDENCIAL LOS OBELISCOS</v>
          </cell>
          <cell r="D1258" t="str">
            <v>6575279</v>
          </cell>
          <cell r="E1258" t="str">
            <v>edificiolosobeliscos@gmail.com</v>
          </cell>
          <cell r="F1258" t="str">
            <v>CARRERA 28  54  54</v>
          </cell>
          <cell r="G1258">
            <v>11001</v>
          </cell>
        </row>
        <row r="1259">
          <cell r="A1259" t="str">
            <v>800212128</v>
          </cell>
          <cell r="B1259" t="str">
            <v>6</v>
          </cell>
          <cell r="C1259" t="str">
            <v>CONJUNTO RESIDENCIAL RONDAS DE OVIEDO PH</v>
          </cell>
          <cell r="D1259">
            <v>3219664011</v>
          </cell>
          <cell r="E1259" t="str">
            <v>mifactura9@outlook.com</v>
          </cell>
          <cell r="F1259" t="str">
            <v>CR 43 C 2 SUR 33</v>
          </cell>
          <cell r="G1259">
            <v>11001</v>
          </cell>
        </row>
        <row r="1260">
          <cell r="A1260" t="str">
            <v>800213569</v>
          </cell>
          <cell r="B1260" t="str">
            <v>5</v>
          </cell>
          <cell r="C1260" t="str">
            <v>ASOCIACION DE INVERSIONISTAS INMOBILIARIOS S.A.</v>
          </cell>
          <cell r="D1260" t="str">
            <v>6223111</v>
          </cell>
          <cell r="E1260" t="str">
            <v>800213569@factureinbox.co</v>
          </cell>
          <cell r="F1260" t="str">
            <v>CARRERA 11  93  92</v>
          </cell>
          <cell r="G1260">
            <v>11001</v>
          </cell>
        </row>
        <row r="1261">
          <cell r="A1261" t="str">
            <v>800214603</v>
          </cell>
          <cell r="B1261" t="str">
            <v>2</v>
          </cell>
          <cell r="C1261" t="str">
            <v>EDIFICIO BARCA 82 PLAZA - PROPIEDAD HORIZONTAL</v>
          </cell>
          <cell r="D1261" t="str">
            <v>4661198</v>
          </cell>
          <cell r="E1261" t="str">
            <v>admiintegralfacturacion@gmail.com</v>
          </cell>
          <cell r="F1261" t="str">
            <v>CARRERA 16  82  47</v>
          </cell>
          <cell r="G1261">
            <v>11001</v>
          </cell>
        </row>
        <row r="1262">
          <cell r="A1262" t="str">
            <v>800215694</v>
          </cell>
          <cell r="B1262" t="str">
            <v>7</v>
          </cell>
          <cell r="C1262" t="str">
            <v>VESGA MORENO INGENIEROS SAS BIC</v>
          </cell>
          <cell r="D1262" t="str">
            <v>6 0 7 6 3 9 2 2 4 1</v>
          </cell>
          <cell r="E1262" t="str">
            <v>facturacionelectronica@vesgamoreno.com.co</v>
          </cell>
          <cell r="F1262" t="str">
            <v>CL 31 A 26 15 OF 602 CC F L</v>
          </cell>
          <cell r="G1262">
            <v>11001</v>
          </cell>
        </row>
        <row r="1263">
          <cell r="A1263" t="str">
            <v>800216813</v>
          </cell>
          <cell r="B1263" t="str">
            <v>1</v>
          </cell>
          <cell r="C1263" t="str">
            <v>EDIFICIO SAN AGUSTIN - P.H</v>
          </cell>
          <cell r="D1263" t="str">
            <v>3106056736</v>
          </cell>
          <cell r="E1263" t="str">
            <v>milena@administracionam.co</v>
          </cell>
          <cell r="F1263" t="str">
            <v>Cra. 32 D No. 7 A 66</v>
          </cell>
          <cell r="G1263">
            <v>11001</v>
          </cell>
        </row>
        <row r="1264">
          <cell r="A1264" t="str">
            <v>800216988</v>
          </cell>
          <cell r="B1264" t="str">
            <v>1</v>
          </cell>
          <cell r="C1264" t="str">
            <v>EDIFICIO CENTRO MEDICO ALMIRANTE COLON PROPIEDAD HORIZONTAL</v>
          </cell>
          <cell r="D1264" t="str">
            <v>6216512</v>
          </cell>
          <cell r="E1264" t="str">
            <v>almirante.colon@yahoo.com</v>
          </cell>
          <cell r="F1264" t="str">
            <v>CARRERA 16  84 A  09</v>
          </cell>
          <cell r="G1264">
            <v>11001</v>
          </cell>
        </row>
        <row r="1265">
          <cell r="A1265" t="str">
            <v>800216988</v>
          </cell>
          <cell r="B1265" t="str">
            <v>1</v>
          </cell>
          <cell r="C1265" t="str">
            <v>EDIFICIO CENTRO MEDICO ALMIRANTE COLON PROPIEDAD HORIZONTAL</v>
          </cell>
          <cell r="D1265" t="str">
            <v>6216512</v>
          </cell>
          <cell r="E1265" t="str">
            <v>almirante.colon@yahoo.com</v>
          </cell>
          <cell r="F1265" t="str">
            <v>CARRERA 16  84 A  09</v>
          </cell>
          <cell r="G1265">
            <v>11001</v>
          </cell>
        </row>
        <row r="1266">
          <cell r="A1266" t="str">
            <v>800218230</v>
          </cell>
          <cell r="B1266" t="str">
            <v>7</v>
          </cell>
          <cell r="C1266" t="str">
            <v>EDIFICIO PINAR DE GRATAMIRA - PROPIEDAD HORIZONTAL</v>
          </cell>
          <cell r="D1266" t="str">
            <v>3178271118</v>
          </cell>
          <cell r="E1266" t="str">
            <v>edificiopinardegratamiraph@gmail.com</v>
          </cell>
          <cell r="F1266" t="str">
            <v>CALLE 136  59 A  44</v>
          </cell>
          <cell r="G1266">
            <v>11001</v>
          </cell>
        </row>
        <row r="1267">
          <cell r="A1267" t="str">
            <v>800218230</v>
          </cell>
          <cell r="B1267" t="str">
            <v>7</v>
          </cell>
          <cell r="C1267" t="str">
            <v>EDIFICIO PINAR DE GRATAMIRA - PROPIEDAD HORIZONTAL</v>
          </cell>
          <cell r="D1267" t="str">
            <v>3178271118</v>
          </cell>
          <cell r="E1267" t="str">
            <v>edificiopinardegratamiraph@gmail.com</v>
          </cell>
          <cell r="F1267" t="str">
            <v>CALLE 136  59 A  44</v>
          </cell>
          <cell r="G1267">
            <v>11001</v>
          </cell>
        </row>
        <row r="1268">
          <cell r="A1268" t="str">
            <v>800218875</v>
          </cell>
          <cell r="B1268" t="str">
            <v>7</v>
          </cell>
          <cell r="C1268" t="str">
            <v>EDIFICIO TORRE CARRARA - PROPIEDAD HORIZONTAL</v>
          </cell>
          <cell r="D1268" t="str">
            <v>6166754</v>
          </cell>
          <cell r="E1268" t="str">
            <v>carrara@administrandoespacios.com</v>
          </cell>
          <cell r="F1268" t="str">
            <v>CALLE 86  8  05</v>
          </cell>
          <cell r="G1268">
            <v>11001</v>
          </cell>
        </row>
        <row r="1269">
          <cell r="A1269" t="str">
            <v>800219667</v>
          </cell>
          <cell r="B1269" t="str">
            <v>6</v>
          </cell>
          <cell r="C1269" t="str">
            <v>EDIFICIO CAROLINA COUNTRY PLAZA - PROPIEDAD HORIZONTAL</v>
          </cell>
          <cell r="D1269" t="str">
            <v>6208852</v>
          </cell>
          <cell r="E1269" t="str">
            <v>contabilidadmmotta@gmail.com</v>
          </cell>
          <cell r="F1269" t="str">
            <v>TRANSVERSAL 13 B  128 A  65</v>
          </cell>
          <cell r="G1269">
            <v>11001</v>
          </cell>
        </row>
        <row r="1270">
          <cell r="A1270" t="str">
            <v>800219881</v>
          </cell>
          <cell r="B1270" t="str">
            <v>6</v>
          </cell>
          <cell r="C1270" t="str">
            <v>EDIFICIO LAURA P.H.</v>
          </cell>
          <cell r="D1270" t="str">
            <v>6657495</v>
          </cell>
          <cell r="E1270" t="str">
            <v>admon_edificiolaura@hotmail.com</v>
          </cell>
          <cell r="F1270" t="str">
            <v>DIAGONAL 1 B  1 A  872</v>
          </cell>
          <cell r="G1270">
            <v>11001</v>
          </cell>
        </row>
        <row r="1271">
          <cell r="A1271" t="str">
            <v>800224062</v>
          </cell>
          <cell r="B1271" t="str">
            <v>0</v>
          </cell>
          <cell r="C1271" t="str">
            <v>LAS BOVEDAS S.A.S</v>
          </cell>
          <cell r="D1271" t="str">
            <v>6504465</v>
          </cell>
          <cell r="E1271" t="str">
            <v>800224062@factureinbox.co</v>
          </cell>
          <cell r="F1271" t="str">
            <v>CALLE DEL TORNO  39  114</v>
          </cell>
          <cell r="G1271">
            <v>11001</v>
          </cell>
        </row>
        <row r="1272">
          <cell r="A1272" t="str">
            <v>800224160</v>
          </cell>
          <cell r="B1272" t="str">
            <v>4</v>
          </cell>
          <cell r="C1272" t="str">
            <v>EDIFICIO VANGUARDIA 101 PROPIEDAD HORIZONTAL</v>
          </cell>
          <cell r="D1272" t="str">
            <v>6215884</v>
          </cell>
          <cell r="E1272" t="str">
            <v>vanguardia101@hotmail.com</v>
          </cell>
          <cell r="F1272" t="str">
            <v>AVENIDA 15  101  09</v>
          </cell>
          <cell r="G1272">
            <v>11001</v>
          </cell>
        </row>
        <row r="1273">
          <cell r="A1273" t="str">
            <v>800225466</v>
          </cell>
          <cell r="B1273" t="str">
            <v>7</v>
          </cell>
          <cell r="C1273" t="str">
            <v>EDIFICIO PUERTO AZUL P.H.</v>
          </cell>
          <cell r="D1273" t="str">
            <v>6656876</v>
          </cell>
          <cell r="E1273" t="str">
            <v>puertoazul2010@hotmail.com</v>
          </cell>
          <cell r="F1273" t="str">
            <v>CARRERA 1  14  26</v>
          </cell>
          <cell r="G1273">
            <v>11001</v>
          </cell>
        </row>
        <row r="1274">
          <cell r="A1274" t="str">
            <v>800226209</v>
          </cell>
          <cell r="B1274" t="str">
            <v>5</v>
          </cell>
          <cell r="C1274" t="str">
            <v>EDIFICIO PEGASUS - PROPIEDAD HORIZONTAL</v>
          </cell>
          <cell r="D1274" t="str">
            <v>3 1 1 8 3 0 4 7 1 2</v>
          </cell>
          <cell r="E1274" t="str">
            <v>edificiopegasusph93@gmail.com</v>
          </cell>
          <cell r="F1274" t="str">
            <v>CR 11 A 93 93</v>
          </cell>
          <cell r="G1274">
            <v>11001</v>
          </cell>
        </row>
        <row r="1275">
          <cell r="A1275" t="str">
            <v>800227072</v>
          </cell>
          <cell r="B1275" t="str">
            <v>8</v>
          </cell>
          <cell r="C1275" t="str">
            <v>EUSALUD S.A</v>
          </cell>
          <cell r="D1275" t="str">
            <v>4320872</v>
          </cell>
          <cell r="E1275" t="str">
            <v>clinicaeusalud@transfiriendo.com</v>
          </cell>
          <cell r="F1275" t="str">
            <v>DIAGONAL 53  16  80</v>
          </cell>
          <cell r="G1275">
            <v>11001</v>
          </cell>
        </row>
        <row r="1276">
          <cell r="A1276" t="str">
            <v>800227072</v>
          </cell>
          <cell r="B1276" t="str">
            <v>8</v>
          </cell>
          <cell r="C1276" t="str">
            <v>EUSALUD S.A</v>
          </cell>
          <cell r="D1276" t="str">
            <v>4320872</v>
          </cell>
          <cell r="E1276" t="str">
            <v>clinicaeusalud@transfiriendo.com</v>
          </cell>
          <cell r="F1276" t="str">
            <v>DIAGONAL 53  16  80</v>
          </cell>
          <cell r="G1276">
            <v>11001</v>
          </cell>
        </row>
        <row r="1277">
          <cell r="A1277" t="str">
            <v>800228481</v>
          </cell>
          <cell r="B1277" t="str">
            <v>1</v>
          </cell>
          <cell r="C1277" t="str">
            <v>EDIFICIO MULTIFAMILIAR VERONA - PROPIEDAD HORIZONTAL</v>
          </cell>
          <cell r="D1277" t="str">
            <v>2351080</v>
          </cell>
          <cell r="E1277" t="str">
            <v>dega.contabilidad@gmail.com</v>
          </cell>
          <cell r="F1277" t="str">
            <v>DG 75 N° 2 - 84</v>
          </cell>
          <cell r="G1277">
            <v>11001</v>
          </cell>
        </row>
        <row r="1278">
          <cell r="A1278" t="str">
            <v>800231780</v>
          </cell>
          <cell r="B1278" t="str">
            <v>1</v>
          </cell>
          <cell r="C1278" t="str">
            <v>EDIFICIO SANTAGUEDA PROPIEDAD HORIZONTAL</v>
          </cell>
          <cell r="D1278" t="str">
            <v>3107665897</v>
          </cell>
          <cell r="E1278" t="str">
            <v>edificiosantagueda@gmail.com</v>
          </cell>
          <cell r="F1278" t="str">
            <v>TRANSVERSAL 21 BIS  61 B  13</v>
          </cell>
          <cell r="G1278">
            <v>11001</v>
          </cell>
        </row>
        <row r="1279">
          <cell r="A1279" t="str">
            <v>800232500</v>
          </cell>
          <cell r="B1279" t="str">
            <v>9</v>
          </cell>
          <cell r="C1279" t="str">
            <v>EDIFICIO ACROPOLIS SANCANCIO PROPIEDAD HORIZONTAL</v>
          </cell>
          <cell r="D1279" t="str">
            <v>8850044</v>
          </cell>
          <cell r="E1279" t="str">
            <v>Acropolissancancio@gmail.com</v>
          </cell>
          <cell r="F1279" t="str">
            <v>CARRERA 23  51  111</v>
          </cell>
          <cell r="G1279">
            <v>11001</v>
          </cell>
        </row>
        <row r="1280">
          <cell r="A1280" t="str">
            <v>800235367</v>
          </cell>
          <cell r="B1280" t="str">
            <v>9</v>
          </cell>
          <cell r="C1280" t="str">
            <v>EDIFICIO CAMARA DE COMERCIO DE IBAGUE PROPIEDAD HORIZONTAL</v>
          </cell>
          <cell r="D1280" t="str">
            <v>2620620</v>
          </cell>
          <cell r="E1280" t="str">
            <v>edificiocamaradecomerciodeibague@hotmail.com</v>
          </cell>
          <cell r="F1280" t="str">
            <v>CALLE 10 A  3  76</v>
          </cell>
          <cell r="G1280">
            <v>11001</v>
          </cell>
        </row>
        <row r="1281">
          <cell r="A1281" t="str">
            <v>800235398</v>
          </cell>
          <cell r="B1281" t="str">
            <v>7</v>
          </cell>
          <cell r="C1281" t="str">
            <v>PARQUE RESIDENCIAL ALBURQUERQUE P.H.</v>
          </cell>
          <cell r="D1281" t="str">
            <v>3212498</v>
          </cell>
          <cell r="E1281" t="str">
            <v>alburquerque010@hotmail.com</v>
          </cell>
          <cell r="F1281" t="str">
            <v>CARRERA 23  14  37</v>
          </cell>
          <cell r="G1281">
            <v>11001</v>
          </cell>
        </row>
        <row r="1282">
          <cell r="A1282" t="str">
            <v>800235434</v>
          </cell>
          <cell r="B1282" t="str">
            <v>4</v>
          </cell>
          <cell r="C1282" t="str">
            <v>EDIFICIO CALLE 94 A P.H</v>
          </cell>
          <cell r="D1282" t="str">
            <v>2876566</v>
          </cell>
          <cell r="E1282" t="str">
            <v>facturacionelectronica@casalini.com.co</v>
          </cell>
          <cell r="F1282" t="str">
            <v>CARRERA 11 A  94 A  31</v>
          </cell>
          <cell r="G1282">
            <v>11001</v>
          </cell>
        </row>
        <row r="1283">
          <cell r="A1283" t="str">
            <v>800235478</v>
          </cell>
          <cell r="B1283" t="str">
            <v>8</v>
          </cell>
          <cell r="C1283" t="str">
            <v>ASOCIACION DE COOPROPIETARIOS EDIFICIO CARTAGENA ESCAPE PLAZA</v>
          </cell>
          <cell r="D1283" t="str">
            <v>6651807</v>
          </cell>
          <cell r="E1283" t="str">
            <v>marlenpr51@hotmail.com</v>
          </cell>
          <cell r="F1283" t="str">
            <v>AVENIDA SAN MARTIN  9  13</v>
          </cell>
          <cell r="G1283">
            <v>11001</v>
          </cell>
        </row>
        <row r="1284">
          <cell r="A1284" t="str">
            <v>800238121</v>
          </cell>
          <cell r="B1284" t="str">
            <v>8</v>
          </cell>
          <cell r="C1284" t="str">
            <v>EDIFICIO DINERS</v>
          </cell>
          <cell r="D1284" t="str">
            <v>3006049472</v>
          </cell>
          <cell r="E1284" t="str">
            <v>Edificiodiners2014@hotmail.com</v>
          </cell>
          <cell r="F1284" t="str">
            <v>CALLE 6  1  54</v>
          </cell>
          <cell r="G1284">
            <v>11001</v>
          </cell>
        </row>
        <row r="1285">
          <cell r="A1285" t="str">
            <v>800238379</v>
          </cell>
          <cell r="B1285" t="str">
            <v>0</v>
          </cell>
          <cell r="C1285" t="str">
            <v>EDIFICIO EL CORAL - PROPIEDAD HORIZONTAL</v>
          </cell>
          <cell r="D1285" t="str">
            <v>3117530947</v>
          </cell>
          <cell r="E1285" t="str">
            <v>esthercita54@hotmail.com</v>
          </cell>
          <cell r="F1285" t="str">
            <v>CALLE 23  4 N  50</v>
          </cell>
          <cell r="G1285">
            <v>11001</v>
          </cell>
        </row>
        <row r="1286">
          <cell r="A1286" t="str">
            <v>800241745</v>
          </cell>
          <cell r="B1286" t="str">
            <v>4</v>
          </cell>
          <cell r="C1286" t="str">
            <v>EDIFICIO EL PORTAL DE LA CABRERA</v>
          </cell>
          <cell r="D1286" t="str">
            <v>3188580434</v>
          </cell>
          <cell r="E1286" t="str">
            <v>portaldelacabrera@gmail.com</v>
          </cell>
          <cell r="F1286" t="str">
            <v>CARRERA 19 A  120  32</v>
          </cell>
          <cell r="G1286">
            <v>11001</v>
          </cell>
        </row>
        <row r="1287">
          <cell r="A1287" t="str">
            <v>800242739</v>
          </cell>
          <cell r="B1287" t="str">
            <v>4</v>
          </cell>
          <cell r="C1287" t="str">
            <v>INGEARCO Y CIA S.A.S</v>
          </cell>
          <cell r="D1287" t="str">
            <v>3136464</v>
          </cell>
          <cell r="E1287" t="str">
            <v>facturacioningearco@grupociudadela.com.co</v>
          </cell>
          <cell r="F1287" t="str">
            <v>AV LAS PALMAS CL 26 38 26 OF 832</v>
          </cell>
          <cell r="G1287">
            <v>11001</v>
          </cell>
        </row>
        <row r="1288">
          <cell r="A1288" t="str">
            <v>800244177</v>
          </cell>
          <cell r="B1288" t="str">
            <v>4</v>
          </cell>
          <cell r="C1288" t="str">
            <v>EDIFICIO LOS CIPRESES</v>
          </cell>
          <cell r="D1288">
            <v>3219664011</v>
          </cell>
          <cell r="E1288" t="str">
            <v>adriana.torres@grupoqcsas.com</v>
          </cell>
          <cell r="F1288" t="str">
            <v>CR 7 71  52  OF  703 TOA</v>
          </cell>
          <cell r="G1288">
            <v>11001</v>
          </cell>
        </row>
        <row r="1289">
          <cell r="A1289" t="str">
            <v>800244177</v>
          </cell>
          <cell r="B1289" t="str">
            <v>4</v>
          </cell>
          <cell r="C1289" t="str">
            <v>EDIFICIO LOS CIPRESES</v>
          </cell>
          <cell r="D1289">
            <v>3219664011</v>
          </cell>
          <cell r="E1289" t="str">
            <v>adriana.torres@grupoqcsas.com</v>
          </cell>
          <cell r="F1289" t="str">
            <v>CR 7 71  52  OF  703 TOA</v>
          </cell>
          <cell r="G1289">
            <v>11001</v>
          </cell>
        </row>
        <row r="1290">
          <cell r="A1290" t="str">
            <v>800245764</v>
          </cell>
          <cell r="B1290" t="str">
            <v>2</v>
          </cell>
          <cell r="C1290" t="str">
            <v>AR KLEIN INGENIEROS LTDA</v>
          </cell>
          <cell r="D1290" t="str">
            <v>8711001</v>
          </cell>
          <cell r="E1290" t="str">
            <v>kleincolombia@gmail.com</v>
          </cell>
          <cell r="F1290" t="str">
            <v>DG 6 5 53 LC L B 41</v>
          </cell>
          <cell r="G1290">
            <v>11001</v>
          </cell>
        </row>
        <row r="1291">
          <cell r="A1291" t="str">
            <v>800248472</v>
          </cell>
          <cell r="B1291" t="str">
            <v>0</v>
          </cell>
          <cell r="C1291" t="str">
            <v>FLORIDA INVERSIONES SAS</v>
          </cell>
          <cell r="D1291" t="str">
            <v>6371610</v>
          </cell>
          <cell r="E1291" t="str">
            <v>800248472@factureinbox.co</v>
          </cell>
          <cell r="F1291" t="str">
            <v>CARRERA 17  93 A  02  OFICINA 504</v>
          </cell>
          <cell r="G1291">
            <v>11001</v>
          </cell>
        </row>
        <row r="1292">
          <cell r="A1292" t="str">
            <v>800248487</v>
          </cell>
          <cell r="B1292" t="str">
            <v>0</v>
          </cell>
          <cell r="C1292" t="str">
            <v>EDIFICIO POTOMAC</v>
          </cell>
          <cell r="D1292" t="str">
            <v>6964087</v>
          </cell>
          <cell r="E1292" t="str">
            <v>administracioninteligente@gmail.com</v>
          </cell>
          <cell r="F1292" t="str">
            <v>CARRERA 12  79  43</v>
          </cell>
          <cell r="G1292">
            <v>11001</v>
          </cell>
        </row>
        <row r="1293">
          <cell r="A1293" t="str">
            <v>800248487</v>
          </cell>
          <cell r="B1293" t="str">
            <v>0</v>
          </cell>
          <cell r="C1293" t="str">
            <v>EDIFICIO POTOMAC</v>
          </cell>
          <cell r="D1293" t="str">
            <v>6964087</v>
          </cell>
          <cell r="E1293" t="str">
            <v>administracioninteligente@gmail.com</v>
          </cell>
          <cell r="F1293" t="str">
            <v>CARRERA 12  79  43</v>
          </cell>
          <cell r="G1293">
            <v>11001</v>
          </cell>
        </row>
        <row r="1294">
          <cell r="A1294" t="str">
            <v>800248532</v>
          </cell>
          <cell r="B1294" t="str">
            <v>4</v>
          </cell>
          <cell r="C1294" t="str">
            <v>CONJUNTO RESIDENCIAL SIERRAS DEL MORAL MANZANA III</v>
          </cell>
          <cell r="D1294" t="str">
            <v>6157141</v>
          </cell>
          <cell r="E1294" t="str">
            <v>sierrasadmo.i@outlook.com</v>
          </cell>
          <cell r="F1294" t="str">
            <v>CALLE 145  6  82</v>
          </cell>
          <cell r="G1294">
            <v>11001</v>
          </cell>
        </row>
        <row r="1295">
          <cell r="A1295" t="str">
            <v>800250107</v>
          </cell>
          <cell r="B1295" t="str">
            <v>3</v>
          </cell>
          <cell r="C1295" t="str">
            <v>EDIFICIO EL PARQUE - PROPIEDAD HORIZONTAL</v>
          </cell>
          <cell r="D1295" t="str">
            <v>6167240</v>
          </cell>
          <cell r="E1295" t="str">
            <v>facturacion@estiloingenieria.com</v>
          </cell>
          <cell r="F1295" t="str">
            <v>CARRERA 11 A  93  94</v>
          </cell>
          <cell r="G1295">
            <v>11001</v>
          </cell>
        </row>
        <row r="1296">
          <cell r="A1296" t="str">
            <v>800251440</v>
          </cell>
          <cell r="B1296" t="str">
            <v>6</v>
          </cell>
          <cell r="C1296" t="str">
            <v>ENTIDAD PROMOTORA DE SALUD SANITAS S A S - EN INTERVENCION BAJO LA MEDIDA DE TOMA DE POSESION</v>
          </cell>
          <cell r="D1296" t="str">
            <v>6466060</v>
          </cell>
          <cell r="E1296" t="str">
            <v>recepcionfead@fe.keralty.com</v>
          </cell>
          <cell r="F1296" t="str">
            <v>AC 100 11 B 95</v>
          </cell>
          <cell r="G1296">
            <v>11001</v>
          </cell>
        </row>
        <row r="1297">
          <cell r="A1297" t="str">
            <v>800251440</v>
          </cell>
          <cell r="B1297" t="str">
            <v>6</v>
          </cell>
          <cell r="C1297" t="str">
            <v>ENTIDAD PROMOTORA DE SALUD SANITAS S A S - EN INTERVENCION BAJO LA MEDIDA DE TOMA DE POSESION</v>
          </cell>
          <cell r="D1297" t="str">
            <v>6466060</v>
          </cell>
          <cell r="E1297" t="str">
            <v>recepcionfead@fe.keralty.com</v>
          </cell>
          <cell r="F1297" t="str">
            <v>AC 100 11 B 95</v>
          </cell>
          <cell r="G1297">
            <v>11001</v>
          </cell>
        </row>
        <row r="1298">
          <cell r="A1298" t="str">
            <v>800252447</v>
          </cell>
          <cell r="B1298" t="str">
            <v>1</v>
          </cell>
          <cell r="C1298" t="str">
            <v>EDIFICIO DA VINCI PROPIEDAD HORIZONTAL</v>
          </cell>
          <cell r="D1298" t="str">
            <v>3116355615</v>
          </cell>
          <cell r="E1298" t="str">
            <v>LSGARCIAG@YAHOO.ES</v>
          </cell>
          <cell r="F1298" t="str">
            <v>CARRERA 25  65  140</v>
          </cell>
          <cell r="G1298">
            <v>11001</v>
          </cell>
        </row>
        <row r="1299">
          <cell r="A1299" t="str">
            <v>800252485</v>
          </cell>
          <cell r="B1299" t="str">
            <v>1</v>
          </cell>
          <cell r="C1299" t="str">
            <v>EDIFICIO TORRE DE LA CAROLINA PROPIEDAD HORIZONTAL</v>
          </cell>
          <cell r="D1299" t="str">
            <v>2594812</v>
          </cell>
          <cell r="E1299" t="str">
            <v>torredelacarolina@gmail.com</v>
          </cell>
          <cell r="F1299" t="str">
            <v>CARRERA 14 A  127  42</v>
          </cell>
          <cell r="G1299">
            <v>11001</v>
          </cell>
        </row>
        <row r="1300">
          <cell r="A1300" t="str">
            <v>800252542</v>
          </cell>
          <cell r="B1300" t="str">
            <v>3</v>
          </cell>
          <cell r="C1300" t="str">
            <v>EDIFICIO TORRE LAS VILLAS PROPIEDAD HORIZONTAL</v>
          </cell>
          <cell r="D1300" t="str">
            <v>4326973</v>
          </cell>
          <cell r="E1300" t="str">
            <v>torrelasvillasph@gmail.com</v>
          </cell>
          <cell r="F1300" t="str">
            <v>AVENIDA 15  106  32</v>
          </cell>
          <cell r="G1300">
            <v>11001</v>
          </cell>
        </row>
        <row r="1301">
          <cell r="A1301" t="str">
            <v>800255971</v>
          </cell>
          <cell r="B1301" t="str">
            <v>3</v>
          </cell>
          <cell r="C1301" t="str">
            <v>CONJUNTO RESIDENCIAL EDIFICIO PRISMA</v>
          </cell>
          <cell r="D1301" t="str">
            <v>6473885</v>
          </cell>
          <cell r="E1301" t="str">
            <v>edificioprisma@hotmail.com</v>
          </cell>
          <cell r="F1301" t="str">
            <v>CARRERA 28  54  28</v>
          </cell>
          <cell r="G1301">
            <v>11001</v>
          </cell>
        </row>
        <row r="1302">
          <cell r="A1302" t="str">
            <v>800256297</v>
          </cell>
          <cell r="B1302" t="str">
            <v>1</v>
          </cell>
          <cell r="C1302" t="str">
            <v>EDIFICIO CONTINENTAL MEDICAL CENTER</v>
          </cell>
          <cell r="D1302">
            <v>3219664011</v>
          </cell>
          <cell r="E1302" t="str">
            <v>edificiocmccompras@gmail.com</v>
          </cell>
          <cell r="F1302" t="str">
            <v>CARRERA 49 C  80  125</v>
          </cell>
          <cell r="G1302">
            <v>11001</v>
          </cell>
        </row>
        <row r="1303">
          <cell r="A1303" t="str">
            <v>800256395</v>
          </cell>
          <cell r="B1303" t="str">
            <v>5</v>
          </cell>
          <cell r="C1303" t="str">
            <v>CENTRO COMERCIAL CHIPICHAPE PROPIEDAD HORIZONTAL</v>
          </cell>
          <cell r="D1303" t="str">
            <v>6592199</v>
          </cell>
          <cell r="E1303" t="str">
            <v>siesaferecepcion@siesafe.co</v>
          </cell>
          <cell r="F1303" t="str">
            <v>CALLE 38 NORTE  6 N  35</v>
          </cell>
          <cell r="G1303">
            <v>11001</v>
          </cell>
        </row>
        <row r="1304">
          <cell r="A1304" t="str">
            <v>801000361</v>
          </cell>
          <cell r="B1304" t="str">
            <v>1</v>
          </cell>
          <cell r="C1304" t="str">
            <v>EDIFICIO ALCAZARES  PROPIEDAD HORIZONTAL</v>
          </cell>
          <cell r="D1304" t="str">
            <v>3166068372</v>
          </cell>
          <cell r="E1304" t="str">
            <v>edificioalcazares1@hotmail.com</v>
          </cell>
          <cell r="F1304" t="str">
            <v>CALLE 4 NORTE  13  43</v>
          </cell>
          <cell r="G1304">
            <v>11001</v>
          </cell>
        </row>
        <row r="1305">
          <cell r="A1305" t="str">
            <v>802000774</v>
          </cell>
          <cell r="B1305" t="str">
            <v>1</v>
          </cell>
          <cell r="C1305" t="str">
            <v>CLINICA ALTOS DE SAN VICENTE LTDA</v>
          </cell>
          <cell r="D1305" t="str">
            <v>3674400</v>
          </cell>
          <cell r="E1305" t="str">
            <v>802000774@factureinbox.co</v>
          </cell>
          <cell r="F1305" t="str">
            <v>CALLE 87  49 C  24</v>
          </cell>
          <cell r="G1305">
            <v>11001</v>
          </cell>
        </row>
        <row r="1306">
          <cell r="A1306" t="str">
            <v>802000810</v>
          </cell>
          <cell r="B1306" t="str">
            <v>9</v>
          </cell>
          <cell r="C1306" t="str">
            <v>CIUDADELA COMERCIAL METROCENTRO</v>
          </cell>
          <cell r="D1306" t="str">
            <v>3800222</v>
          </cell>
          <cell r="E1306" t="str">
            <v>facturasproveedores@ccmetrocentro.com</v>
          </cell>
          <cell r="F1306" t="str">
            <v>CALLE 45  1  85</v>
          </cell>
          <cell r="G1306">
            <v>11001</v>
          </cell>
        </row>
        <row r="1307">
          <cell r="A1307" t="str">
            <v>802001515</v>
          </cell>
          <cell r="B1307" t="str">
            <v>5</v>
          </cell>
          <cell r="C1307" t="str">
            <v>EDIFICIO GAVALLINI</v>
          </cell>
          <cell r="D1307" t="str">
            <v>3589344</v>
          </cell>
          <cell r="E1307" t="str">
            <v>chicoperez59@hotmail.com</v>
          </cell>
          <cell r="F1307" t="str">
            <v>CARRERA 58  75  158  OFICINA 501</v>
          </cell>
          <cell r="G1307">
            <v>11001</v>
          </cell>
        </row>
        <row r="1308">
          <cell r="A1308" t="str">
            <v>802003538</v>
          </cell>
          <cell r="B1308" t="str">
            <v>3</v>
          </cell>
          <cell r="C1308" t="str">
            <v>EDIFICIO MACER</v>
          </cell>
          <cell r="D1308" t="str">
            <v>3489664</v>
          </cell>
          <cell r="E1308" t="str">
            <v>psourdiss@hotmail.com</v>
          </cell>
          <cell r="F1308" t="str">
            <v>CARRERA 51 B  80  96</v>
          </cell>
          <cell r="G1308">
            <v>11001</v>
          </cell>
        </row>
        <row r="1309">
          <cell r="A1309" t="str">
            <v>802004159</v>
          </cell>
          <cell r="B1309" t="str">
            <v>1</v>
          </cell>
          <cell r="C1309" t="str">
            <v>EDIFICIO RICHMOND</v>
          </cell>
          <cell r="D1309" t="str">
            <v>3736247</v>
          </cell>
          <cell r="E1309" t="str">
            <v>edificiorichmond82@gmail.com</v>
          </cell>
          <cell r="F1309" t="str">
            <v>CARRERA 53  64  72  OFICINA 105</v>
          </cell>
          <cell r="G1309">
            <v>11001</v>
          </cell>
        </row>
        <row r="1310">
          <cell r="A1310" t="str">
            <v>802010247</v>
          </cell>
          <cell r="B1310" t="str">
            <v>4</v>
          </cell>
          <cell r="C1310" t="str">
            <v>CONJUNTO MULTIFAMILIAR EL ENCANTO ALTOS DE RIOMAR</v>
          </cell>
          <cell r="D1310" t="str">
            <v>3781329</v>
          </cell>
          <cell r="E1310" t="str">
            <v>elencantoriomar@hotmail.com</v>
          </cell>
          <cell r="F1310" t="str">
            <v>CARRERA 53  90 B  42</v>
          </cell>
          <cell r="G1310">
            <v>11001</v>
          </cell>
        </row>
        <row r="1311">
          <cell r="A1311" t="str">
            <v>802012179</v>
          </cell>
          <cell r="B1311" t="str">
            <v>0</v>
          </cell>
          <cell r="C1311" t="str">
            <v>DOLMEN SA ESP</v>
          </cell>
          <cell r="D1311" t="str">
            <v>3185900</v>
          </cell>
          <cell r="E1311" t="str">
            <v>notificacionesjudiciales@dolmen.co</v>
          </cell>
          <cell r="F1311" t="str">
            <v>CR 64 b 85 80</v>
          </cell>
          <cell r="G1311">
            <v>11001</v>
          </cell>
        </row>
        <row r="1312">
          <cell r="A1312" t="str">
            <v>802014704</v>
          </cell>
          <cell r="B1312" t="str">
            <v>7</v>
          </cell>
          <cell r="C1312" t="str">
            <v>JASSIR SAIEH S.A.S</v>
          </cell>
          <cell r="D1312" t="str">
            <v>3 0 9 3 2 7 2</v>
          </cell>
          <cell r="E1312" t="str">
            <v>contabilidad@jssas.co</v>
          </cell>
          <cell r="F1312" t="str">
            <v>CL 76 73 40 LC 3</v>
          </cell>
          <cell r="G1312">
            <v>11001</v>
          </cell>
        </row>
        <row r="1313">
          <cell r="A1313" t="str">
            <v>802015093</v>
          </cell>
          <cell r="B1313" t="str">
            <v>1</v>
          </cell>
          <cell r="C1313" t="str">
            <v>AMPILAR S A.S</v>
          </cell>
          <cell r="D1313" t="str">
            <v>3 6 9 1 2 0 8</v>
          </cell>
          <cell r="E1313" t="str">
            <v>financiera1@anamariaroig.com</v>
          </cell>
          <cell r="F1313" t="str">
            <v>CR 51 76 168</v>
          </cell>
          <cell r="G1313">
            <v>11001</v>
          </cell>
        </row>
        <row r="1314">
          <cell r="A1314" t="str">
            <v>802017924</v>
          </cell>
          <cell r="B1314" t="str">
            <v>4</v>
          </cell>
          <cell r="C1314" t="str">
            <v>EDIFICIO LIGHT TOWER</v>
          </cell>
          <cell r="D1314" t="str">
            <v>3692914</v>
          </cell>
          <cell r="E1314" t="str">
            <v>tesoreria@ndpropiedadhorizontal.com</v>
          </cell>
          <cell r="F1314" t="str">
            <v>CARRERA 55  79  59</v>
          </cell>
          <cell r="G1314">
            <v>11001</v>
          </cell>
        </row>
        <row r="1315">
          <cell r="A1315" t="str">
            <v>802018452</v>
          </cell>
          <cell r="B1315" t="str">
            <v>4</v>
          </cell>
          <cell r="C1315" t="str">
            <v>INVERSIONES TATIS SOLANO S EN C</v>
          </cell>
          <cell r="D1315" t="str">
            <v>3116856778</v>
          </cell>
          <cell r="E1315" t="str">
            <v>802018452@factureinbox.co</v>
          </cell>
          <cell r="F1315" t="str">
            <v>CR 30 1 295</v>
          </cell>
          <cell r="G1315">
            <v>11001</v>
          </cell>
        </row>
        <row r="1316">
          <cell r="A1316" t="str">
            <v>802022443</v>
          </cell>
          <cell r="B1316" t="str">
            <v>3</v>
          </cell>
          <cell r="C1316" t="str">
            <v>INVERSIONES BALLESTEROS LEON S.A.S.</v>
          </cell>
          <cell r="D1316" t="str">
            <v>3106330291</v>
          </cell>
          <cell r="E1316" t="str">
            <v>centuriaface@gmail.com</v>
          </cell>
          <cell r="F1316" t="str">
            <v>CALLE 82  58  41</v>
          </cell>
          <cell r="G1316">
            <v>11001</v>
          </cell>
        </row>
        <row r="1317">
          <cell r="A1317" t="str">
            <v>802023507</v>
          </cell>
          <cell r="B1317" t="str">
            <v>0</v>
          </cell>
          <cell r="C1317" t="str">
            <v>CONNY DE LA COSTA S.A.S.</v>
          </cell>
          <cell r="D1317" t="str">
            <v>3 4 4 5 0 0 0</v>
          </cell>
          <cell r="E1317" t="str">
            <v>connysas@gmail.com</v>
          </cell>
          <cell r="F1317" t="str">
            <v>CR 43 9 97 LC 42 CC MIAMI BRR VILLA NUEVA</v>
          </cell>
          <cell r="G1317">
            <v>11001</v>
          </cell>
        </row>
        <row r="1318">
          <cell r="A1318" t="str">
            <v>802023682</v>
          </cell>
          <cell r="B1318" t="str">
            <v>1</v>
          </cell>
          <cell r="C1318" t="str">
            <v>EDIFICIO ASTORGA REAL</v>
          </cell>
          <cell r="D1318" t="str">
            <v>3116538517</v>
          </cell>
          <cell r="E1318" t="str">
            <v>beatrizrosenow2@hotmail.com</v>
          </cell>
          <cell r="F1318" t="str">
            <v>CR 59 B 91 200</v>
          </cell>
          <cell r="G1318">
            <v>11001</v>
          </cell>
        </row>
        <row r="1319">
          <cell r="A1319" t="str">
            <v>80383195</v>
          </cell>
          <cell r="B1319" t="str">
            <v>1</v>
          </cell>
          <cell r="C1319" t="str">
            <v>GIL ROBERTO CRUZ BARRAGAN</v>
          </cell>
          <cell r="D1319" t="str">
            <v>313377268</v>
          </cell>
          <cell r="E1319" t="str">
            <v>athadministraciones@gmail.com</v>
          </cell>
          <cell r="F1319" t="str">
            <v>CALLE 118 18-52</v>
          </cell>
          <cell r="G1319">
            <v>11001</v>
          </cell>
        </row>
        <row r="1320">
          <cell r="A1320" t="str">
            <v>804000181</v>
          </cell>
          <cell r="B1320" t="str">
            <v>1</v>
          </cell>
          <cell r="C1320" t="str">
            <v>CONJUNTO RESIDENCIAL CARRARA</v>
          </cell>
          <cell r="D1320">
            <v>3219664011</v>
          </cell>
          <cell r="E1320" t="str">
            <v>crcarrara_ph@hotmail.com</v>
          </cell>
          <cell r="F1320" t="str">
            <v>CARRERA 39  46  79</v>
          </cell>
          <cell r="G1320">
            <v>11001</v>
          </cell>
        </row>
        <row r="1321">
          <cell r="A1321" t="str">
            <v>804000714</v>
          </cell>
          <cell r="B1321" t="str">
            <v>7</v>
          </cell>
          <cell r="C1321" t="str">
            <v>EDIFICIO EL PLAZA</v>
          </cell>
          <cell r="D1321" t="str">
            <v>6422661</v>
          </cell>
          <cell r="E1321" t="str">
            <v>elplazacentroprofesional@gmail.com</v>
          </cell>
          <cell r="F1321" t="str">
            <v>CALLE 35  12  76</v>
          </cell>
          <cell r="G1321">
            <v>11001</v>
          </cell>
        </row>
        <row r="1322">
          <cell r="A1322" t="str">
            <v>804001521</v>
          </cell>
          <cell r="B1322" t="str">
            <v>7</v>
          </cell>
          <cell r="C1322" t="str">
            <v>UNIDAD RESIDENCIAL EL PORTAL DE LA SIERRA</v>
          </cell>
          <cell r="D1322" t="str">
            <v>6435636</v>
          </cell>
          <cell r="E1322" t="str">
            <v>ur.portaldelasierra@gmail.com</v>
          </cell>
          <cell r="F1322" t="str">
            <v>CALLE 44  36  30</v>
          </cell>
          <cell r="G1322">
            <v>11001</v>
          </cell>
        </row>
        <row r="1323">
          <cell r="A1323" t="str">
            <v>804001890</v>
          </cell>
          <cell r="B1323" t="str">
            <v>1</v>
          </cell>
          <cell r="C1323" t="str">
            <v>UNIVERSIDAD DE SANTANDER</v>
          </cell>
          <cell r="D1323" t="str">
            <v>6 5 1 6 5 0 0</v>
          </cell>
          <cell r="E1323" t="str">
            <v>804001890@factureinbox.co</v>
          </cell>
          <cell r="F1323" t="str">
            <v>CR 29 47 32 BRR SOTOMAYOR</v>
          </cell>
          <cell r="G1323">
            <v>11001</v>
          </cell>
        </row>
        <row r="1324">
          <cell r="A1324" t="str">
            <v>804002724</v>
          </cell>
          <cell r="B1324" t="str">
            <v>1</v>
          </cell>
          <cell r="C1324" t="str">
            <v>FERSAUTOS S.A.S.</v>
          </cell>
          <cell r="D1324" t="str">
            <v xml:space="preserve"> 6076573300 - 607643</v>
          </cell>
          <cell r="E1324" t="str">
            <v>feproveedores@fersautos.co</v>
          </cell>
          <cell r="F1324" t="str">
            <v xml:space="preserve"> CARRERA 30 # 63 - 20</v>
          </cell>
          <cell r="G1324">
            <v>11001</v>
          </cell>
        </row>
        <row r="1325">
          <cell r="A1325" t="str">
            <v>804003441</v>
          </cell>
          <cell r="B1325" t="str">
            <v>5</v>
          </cell>
          <cell r="C1325" t="str">
            <v>CONJUNTO RESIDENCIAL ALTOS DE TAJAMAR</v>
          </cell>
          <cell r="D1325" t="str">
            <v>6317613</v>
          </cell>
          <cell r="E1325" t="str">
            <v>altosdetajamar1@gmail.com</v>
          </cell>
          <cell r="F1325" t="str">
            <v>ANILLO BALCON DEL TEJAR 33 336</v>
          </cell>
          <cell r="G1325">
            <v>11001</v>
          </cell>
        </row>
        <row r="1326">
          <cell r="A1326" t="str">
            <v>804005009</v>
          </cell>
          <cell r="B1326" t="str">
            <v>5</v>
          </cell>
          <cell r="C1326" t="str">
            <v>EDIFICIO MULTIFAMILIAR BOSTON PLAZA</v>
          </cell>
          <cell r="D1326" t="str">
            <v>3125661811</v>
          </cell>
          <cell r="E1326" t="str">
            <v>edif_bostonplaza@hotmail.com</v>
          </cell>
          <cell r="F1326" t="str">
            <v>CARRERA 22  31  41</v>
          </cell>
          <cell r="G1326">
            <v>11001</v>
          </cell>
        </row>
        <row r="1327">
          <cell r="A1327" t="str">
            <v>804005319</v>
          </cell>
          <cell r="B1327" t="str">
            <v>3</v>
          </cell>
          <cell r="C1327" t="str">
            <v>CONSTRUCTORA VALDERRAMA S.A.S.</v>
          </cell>
          <cell r="D1327" t="str">
            <v>3172764260</v>
          </cell>
          <cell r="E1327" t="str">
            <v>facturacion.cd@constructoravalderrama.com.co</v>
          </cell>
          <cell r="F1327" t="str">
            <v>CARRERA 16 93 36 Of. 906 Ed. SEKI</v>
          </cell>
          <cell r="G1327">
            <v>11001</v>
          </cell>
        </row>
        <row r="1328">
          <cell r="A1328" t="str">
            <v>804006414</v>
          </cell>
          <cell r="B1328" t="str">
            <v>1</v>
          </cell>
          <cell r="C1328" t="str">
            <v>EDIFICIO MONTEARROYO PROPIEDAD HORIZONTAL</v>
          </cell>
          <cell r="D1328" t="str">
            <v>6349090</v>
          </cell>
          <cell r="E1328" t="str">
            <v>edmontearroyoph@gmail.com</v>
          </cell>
          <cell r="F1328" t="str">
            <v>CARRERA 41  40  97</v>
          </cell>
          <cell r="G1328">
            <v>11001</v>
          </cell>
        </row>
        <row r="1329">
          <cell r="A1329" t="str">
            <v>804008792</v>
          </cell>
          <cell r="B1329" t="str">
            <v>8</v>
          </cell>
          <cell r="C1329" t="str">
            <v>FORPRESALUD I.P.S SAS</v>
          </cell>
          <cell r="D1329" t="str">
            <v>6456905</v>
          </cell>
          <cell r="E1329" t="str">
            <v>facturacion@forpresalud.com.co</v>
          </cell>
          <cell r="F1329" t="str">
            <v>CL  35 28 21</v>
          </cell>
          <cell r="G1329">
            <v>11001</v>
          </cell>
        </row>
        <row r="1330">
          <cell r="A1330" t="str">
            <v>804013299</v>
          </cell>
          <cell r="B1330" t="str">
            <v>8</v>
          </cell>
          <cell r="C1330" t="str">
            <v>EDIFICIO TERRANOVA</v>
          </cell>
          <cell r="D1330" t="str">
            <v>6475087</v>
          </cell>
          <cell r="E1330" t="str">
            <v>eyamo_2908@hotmail.com</v>
          </cell>
          <cell r="F1330" t="str">
            <v>CARRERA 34  42  54</v>
          </cell>
          <cell r="G1330">
            <v>11001</v>
          </cell>
        </row>
        <row r="1331">
          <cell r="A1331" t="str">
            <v>80415452</v>
          </cell>
          <cell r="B1331" t="str">
            <v>9</v>
          </cell>
          <cell r="C1331" t="str">
            <v>CAMILO SAIZ SILVA</v>
          </cell>
          <cell r="D1331" t="str">
            <v>6017597898</v>
          </cell>
          <cell r="E1331" t="str">
            <v>jorgepinillasanchez@gmail.com</v>
          </cell>
          <cell r="F1331" t="str">
            <v>CL 151 54 A 41 AP 501 TO 1 ED OLMOS DE LA COLINA</v>
          </cell>
          <cell r="G1331">
            <v>11001</v>
          </cell>
        </row>
        <row r="1332">
          <cell r="A1332" t="str">
            <v>805003104</v>
          </cell>
          <cell r="B1332" t="str">
            <v>1</v>
          </cell>
          <cell r="C1332" t="str">
            <v>EDIFICIO AVENIDA 100</v>
          </cell>
          <cell r="D1332" t="str">
            <v>3322918</v>
          </cell>
          <cell r="E1332" t="str">
            <v>edificioav100@gmail.com</v>
          </cell>
          <cell r="F1332" t="str">
            <v>CARRERA 100  16  20</v>
          </cell>
          <cell r="G1332">
            <v>11001</v>
          </cell>
        </row>
        <row r="1333">
          <cell r="A1333" t="str">
            <v>805003291</v>
          </cell>
          <cell r="B1333" t="str">
            <v>0</v>
          </cell>
          <cell r="C1333" t="str">
            <v>CONJUNTO RESIDENCIAL CAMPESTRE REAL I - PROPIEDAD HORIZONTAL</v>
          </cell>
          <cell r="D1333" t="str">
            <v>3075863</v>
          </cell>
          <cell r="E1333" t="str">
            <v>campestrereal@gmail.com</v>
          </cell>
          <cell r="F1333" t="str">
            <v>CARRERA 101  11  55</v>
          </cell>
          <cell r="G1333">
            <v>11001</v>
          </cell>
        </row>
        <row r="1334">
          <cell r="A1334" t="str">
            <v>805003626</v>
          </cell>
          <cell r="B1334" t="str">
            <v>4</v>
          </cell>
          <cell r="C1334" t="str">
            <v>STF GROUP S.A.</v>
          </cell>
          <cell r="D1334" t="str">
            <v>6850000</v>
          </cell>
          <cell r="E1334" t="str">
            <v>radicacionfacturas@studiof.com.co</v>
          </cell>
          <cell r="F1334" t="str">
            <v>CARRERA 7  52 N  99</v>
          </cell>
          <cell r="G1334">
            <v>11001</v>
          </cell>
        </row>
        <row r="1335">
          <cell r="A1335" t="str">
            <v>805003626</v>
          </cell>
          <cell r="B1335" t="str">
            <v>4</v>
          </cell>
          <cell r="C1335" t="str">
            <v>STF GROUP S.A.</v>
          </cell>
          <cell r="D1335" t="str">
            <v>6850000</v>
          </cell>
          <cell r="E1335" t="str">
            <v>radicacionfacturas@studiof.com.co</v>
          </cell>
          <cell r="F1335" t="str">
            <v>CARRERA 7  52 N  99</v>
          </cell>
          <cell r="G1335">
            <v>11001</v>
          </cell>
        </row>
        <row r="1336">
          <cell r="A1336" t="str">
            <v>805005143</v>
          </cell>
          <cell r="B1336" t="str">
            <v>8</v>
          </cell>
          <cell r="C1336" t="str">
            <v>CENTRO MEDICO FARALLONES</v>
          </cell>
          <cell r="D1336" t="str">
            <v>4878040</v>
          </cell>
          <cell r="E1336" t="str">
            <v>contabilidad@cmfarallones.com</v>
          </cell>
          <cell r="F1336" t="str">
            <v>CALLE 9 C  50  25</v>
          </cell>
          <cell r="G1336">
            <v>11001</v>
          </cell>
        </row>
        <row r="1337">
          <cell r="A1337" t="str">
            <v>805006582</v>
          </cell>
          <cell r="B1337" t="str">
            <v>2</v>
          </cell>
          <cell r="C1337" t="str">
            <v>CONJUNTO RESIDENCIAL PONTEVEDRA</v>
          </cell>
          <cell r="D1337" t="str">
            <v>3308584</v>
          </cell>
          <cell r="E1337" t="str">
            <v>adm.cr.pontevedra@gmail.com</v>
          </cell>
          <cell r="F1337" t="str">
            <v>CARRERA 72  13 A  56</v>
          </cell>
          <cell r="G1337">
            <v>11001</v>
          </cell>
        </row>
        <row r="1338">
          <cell r="A1338" t="str">
            <v>805008394</v>
          </cell>
          <cell r="B1338" t="str">
            <v>3</v>
          </cell>
          <cell r="C1338" t="str">
            <v>EDIFICIO CLINICA COLSANITAS Y CONSULTORIOS PROPIEDAD HORIZONTAL</v>
          </cell>
          <cell r="D1338" t="str">
            <v>6670133</v>
          </cell>
          <cell r="E1338" t="str">
            <v>edclinicacolsanitas@hotmail.com</v>
          </cell>
          <cell r="F1338" t="str">
            <v>AVENIDA 4 N  7 N  53</v>
          </cell>
          <cell r="G1338">
            <v>11001</v>
          </cell>
        </row>
        <row r="1339">
          <cell r="A1339" t="str">
            <v>805008686</v>
          </cell>
          <cell r="B1339" t="str">
            <v>9</v>
          </cell>
          <cell r="C1339" t="str">
            <v>CENTRO COMERCIAL ALFAGUARA P.H</v>
          </cell>
          <cell r="D1339" t="str">
            <v>3216386363</v>
          </cell>
          <cell r="E1339" t="str">
            <v>facturasproveedoralfaguara@gmail.com</v>
          </cell>
          <cell r="F1339" t="str">
            <v>CALLE 2  22  175</v>
          </cell>
          <cell r="G1339">
            <v>11001</v>
          </cell>
        </row>
        <row r="1340">
          <cell r="A1340" t="str">
            <v>805008738</v>
          </cell>
          <cell r="B1340" t="str">
            <v>3</v>
          </cell>
          <cell r="C1340" t="str">
            <v>EDIFICIO CENTRO DE EMPRESAS Y NEGOCIOS</v>
          </cell>
          <cell r="D1340" t="str">
            <v>4898869</v>
          </cell>
          <cell r="E1340" t="str">
            <v>805008738@recepciondefacturas.co</v>
          </cell>
          <cell r="F1340" t="str">
            <v>CARRERA 3 A  51  24 OESTE</v>
          </cell>
          <cell r="G1340">
            <v>11001</v>
          </cell>
        </row>
        <row r="1341">
          <cell r="A1341" t="str">
            <v>805012921</v>
          </cell>
          <cell r="B1341" t="str">
            <v>0</v>
          </cell>
          <cell r="C1341" t="str">
            <v>PATRIMONIOS AUTONOMOS ACCION FIDUCIARIA</v>
          </cell>
          <cell r="D1341">
            <v>3219664011</v>
          </cell>
          <cell r="E1341" t="str">
            <v>facturacion@estiloingenieria.com</v>
          </cell>
          <cell r="F1341" t="str">
            <v>CALLE 85  9  65</v>
          </cell>
          <cell r="G1341">
            <v>11001</v>
          </cell>
        </row>
        <row r="1342">
          <cell r="A1342" t="str">
            <v>805019337</v>
          </cell>
          <cell r="B1342" t="str">
            <v>0</v>
          </cell>
          <cell r="C1342" t="str">
            <v>ASTRELEC SAS</v>
          </cell>
          <cell r="D1342">
            <v>3219664011</v>
          </cell>
          <cell r="E1342" t="str">
            <v>805019337@recepciondefacturas.co</v>
          </cell>
          <cell r="F1342" t="str">
            <v>AVENIDA 4  7 N  46 LOCAL 335</v>
          </cell>
          <cell r="G1342">
            <v>11001</v>
          </cell>
        </row>
        <row r="1343">
          <cell r="A1343" t="str">
            <v>805019832</v>
          </cell>
          <cell r="B1343" t="str">
            <v>5</v>
          </cell>
          <cell r="C1343" t="str">
            <v>ASOCIACION DE DISCAPACITADOS DEL VALLE</v>
          </cell>
          <cell r="D1343" t="str">
            <v>3185157316</v>
          </cell>
          <cell r="E1343" t="str">
            <v>ASODISVALLE@HOTMAIL.COM</v>
          </cell>
          <cell r="F1343" t="str">
            <v>DG 71 A 1 26 I 68 BRR RICARDO BALCAZAR</v>
          </cell>
          <cell r="G1343">
            <v>11001</v>
          </cell>
        </row>
        <row r="1344">
          <cell r="A1344" t="str">
            <v>805024076</v>
          </cell>
          <cell r="B1344" t="str">
            <v>3</v>
          </cell>
          <cell r="C1344" t="str">
            <v>ANGLO ANGULO &amp; CIA S C A</v>
          </cell>
          <cell r="D1344" t="str">
            <v>6662113</v>
          </cell>
          <cell r="E1344" t="str">
            <v>reservadelahacienda2020@gmail.com</v>
          </cell>
          <cell r="F1344" t="str">
            <v>AVENIDA 4 A NORTE  45 N  92</v>
          </cell>
          <cell r="G1344">
            <v>11001</v>
          </cell>
        </row>
        <row r="1345">
          <cell r="A1345" t="str">
            <v>805027743</v>
          </cell>
          <cell r="B1345" t="str">
            <v>1</v>
          </cell>
          <cell r="C1345" t="str">
            <v>DUMIAN MEDICAL S.A.S.</v>
          </cell>
          <cell r="D1345" t="str">
            <v>5141810</v>
          </cell>
          <cell r="E1345" t="str">
            <v>recepcionfacturacion@dumianmedical.net</v>
          </cell>
          <cell r="F1345" t="str">
            <v>CARRERA 36 A  6  42</v>
          </cell>
          <cell r="G1345">
            <v>11001</v>
          </cell>
        </row>
        <row r="1346">
          <cell r="A1346" t="str">
            <v>805028041</v>
          </cell>
          <cell r="B1346" t="str">
            <v>4</v>
          </cell>
          <cell r="C1346" t="str">
            <v>SUPERTIENDAS CAÑAVERAL S.A.S.</v>
          </cell>
          <cell r="D1346">
            <v>3219664011</v>
          </cell>
          <cell r="E1346" t="str">
            <v>recepcion.feacreedores@supertiendascanaveral.com</v>
          </cell>
          <cell r="F1346" t="str">
            <v>CARRERA 56  18 A  80  LOCAL 10</v>
          </cell>
          <cell r="G1346">
            <v>11001</v>
          </cell>
        </row>
        <row r="1347">
          <cell r="A1347" t="str">
            <v>805030587</v>
          </cell>
          <cell r="B1347" t="str">
            <v>1</v>
          </cell>
          <cell r="C1347" t="str">
            <v>CENTRAL CONTROL S.A.S</v>
          </cell>
          <cell r="D1347" t="str">
            <v>4861912</v>
          </cell>
          <cell r="E1347" t="str">
            <v>facturacion@jardinplaza.com</v>
          </cell>
          <cell r="F1347" t="str">
            <v>CARRERA 98  16  200</v>
          </cell>
          <cell r="G1347">
            <v>11001</v>
          </cell>
        </row>
        <row r="1348">
          <cell r="A1348" t="str">
            <v>805031063</v>
          </cell>
          <cell r="B1348" t="str">
            <v>7</v>
          </cell>
          <cell r="C1348" t="str">
            <v>EDIFICIO CENTRO VERSALLES PROPIEDAD HORIZONTAL</v>
          </cell>
          <cell r="D1348" t="str">
            <v>6536901</v>
          </cell>
          <cell r="E1348" t="str">
            <v>edificiocentroversalles2122@gmail.com</v>
          </cell>
          <cell r="F1348" t="str">
            <v>AVENIDA 5  NORTE 21 N  22 24</v>
          </cell>
          <cell r="G1348">
            <v>11001</v>
          </cell>
        </row>
        <row r="1349">
          <cell r="A1349" t="str">
            <v>806000591</v>
          </cell>
          <cell r="B1349" t="str">
            <v>5</v>
          </cell>
          <cell r="C1349" t="str">
            <v>ACCORHOTELS COLOMBIA S A</v>
          </cell>
          <cell r="D1349" t="str">
            <v>6363633</v>
          </cell>
          <cell r="E1349" t="str">
            <v>facturacion@estiloingenieria.com</v>
          </cell>
          <cell r="F1349" t="str">
            <v>CR 12A 83 75 OF 502</v>
          </cell>
          <cell r="G1349">
            <v>11001</v>
          </cell>
        </row>
        <row r="1350">
          <cell r="A1350" t="str">
            <v>806002301</v>
          </cell>
          <cell r="B1350" t="str">
            <v>5</v>
          </cell>
          <cell r="C1350" t="str">
            <v>EDIFICIO PLAYA BLANCA P.H.</v>
          </cell>
          <cell r="D1350" t="str">
            <v>6560455</v>
          </cell>
          <cell r="E1350" t="str">
            <v>edificioplayablancaph@hotmail.com</v>
          </cell>
          <cell r="F1350" t="str">
            <v>CALLE 93 B  13  44  PISO 5</v>
          </cell>
          <cell r="G1350">
            <v>11001</v>
          </cell>
        </row>
        <row r="1351">
          <cell r="A1351" t="str">
            <v>806002467</v>
          </cell>
          <cell r="B1351" t="str">
            <v>9</v>
          </cell>
          <cell r="C1351" t="str">
            <v>ASOCIACION DE COPROPIETARIOS DEL EDIFICIO ALTOS DE ARANJUEZ</v>
          </cell>
          <cell r="D1351" t="str">
            <v>6561128</v>
          </cell>
          <cell r="E1351" t="str">
            <v>edificioaltosdearanjuez@yahoo.com</v>
          </cell>
          <cell r="F1351" t="str">
            <v>CARRERA 20  29 B  127</v>
          </cell>
          <cell r="G1351">
            <v>11001</v>
          </cell>
        </row>
        <row r="1352">
          <cell r="A1352" t="str">
            <v>806002666</v>
          </cell>
          <cell r="B1352" t="str">
            <v>8</v>
          </cell>
          <cell r="C1352" t="str">
            <v>EDIFICIO FUENGIROLA P. DE H.</v>
          </cell>
          <cell r="D1352" t="str">
            <v>3013633783</v>
          </cell>
          <cell r="E1352" t="str">
            <v>edifuengirola@gmail.com</v>
          </cell>
          <cell r="F1352" t="str">
            <v>AVENIDA 3  22  83</v>
          </cell>
          <cell r="G1352">
            <v>11001</v>
          </cell>
        </row>
        <row r="1353">
          <cell r="A1353" t="str">
            <v>806003007</v>
          </cell>
          <cell r="B1353" t="str">
            <v>9</v>
          </cell>
          <cell r="C1353" t="str">
            <v>EDIFICIO MARBELLA REAL P.H.</v>
          </cell>
          <cell r="D1353">
            <v>3219664011</v>
          </cell>
          <cell r="E1353" t="str">
            <v>isantana19751@gmail.com</v>
          </cell>
          <cell r="F1353" t="str">
            <v>AVENIDA SANTANDER  46 A  120</v>
          </cell>
          <cell r="G1353">
            <v>11001</v>
          </cell>
        </row>
        <row r="1354">
          <cell r="A1354" t="str">
            <v>806003150</v>
          </cell>
          <cell r="B1354" t="str">
            <v>4</v>
          </cell>
          <cell r="C1354" t="str">
            <v>EDIFICIO CASTILLO DEL MAR P H</v>
          </cell>
          <cell r="D1354" t="str">
            <v>6653315</v>
          </cell>
          <cell r="E1354" t="str">
            <v>edificiocastillodelmar@yahoo.es</v>
          </cell>
          <cell r="F1354" t="str">
            <v>CARRERA 9  81  19</v>
          </cell>
          <cell r="G1354">
            <v>11001</v>
          </cell>
        </row>
        <row r="1355">
          <cell r="A1355" t="str">
            <v>810002455</v>
          </cell>
          <cell r="B1355" t="str">
            <v>5</v>
          </cell>
          <cell r="C1355" t="str">
            <v>CONSTRUCCIONES CFC &amp; ASOCIADOS S.A.S - BIC</v>
          </cell>
          <cell r="D1355" t="str">
            <v>3006321851</v>
          </cell>
          <cell r="E1355" t="str">
            <v>canalfacturas@cfcya.co</v>
          </cell>
          <cell r="F1355" t="str">
            <v>CR 23 62 39 P 11</v>
          </cell>
          <cell r="G1355">
            <v>11001</v>
          </cell>
        </row>
        <row r="1356">
          <cell r="A1356" t="str">
            <v>810002455</v>
          </cell>
          <cell r="B1356" t="str">
            <v>5</v>
          </cell>
          <cell r="C1356" t="str">
            <v>CONSTRUCCIONES CFC &amp; ASOCIADOS S.A.S - BIC</v>
          </cell>
          <cell r="D1356" t="str">
            <v>3006321851</v>
          </cell>
          <cell r="E1356" t="str">
            <v>canalfacturas@cfcya.co</v>
          </cell>
          <cell r="F1356" t="str">
            <v>CR 23 62 39 P 11</v>
          </cell>
          <cell r="G1356">
            <v>11001</v>
          </cell>
        </row>
        <row r="1357">
          <cell r="A1357" t="str">
            <v>811000555</v>
          </cell>
          <cell r="B1357" t="str">
            <v>8</v>
          </cell>
          <cell r="C1357" t="str">
            <v>INVERSIONES CAMPOAMALIA S.A.S</v>
          </cell>
          <cell r="D1357" t="str">
            <v>3118500</v>
          </cell>
          <cell r="E1357" t="str">
            <v>facturacion@bienesybienes.com</v>
          </cell>
          <cell r="F1357" t="str">
            <v>CALLE 8  43 A  48</v>
          </cell>
          <cell r="G1357">
            <v>11001</v>
          </cell>
        </row>
        <row r="1358">
          <cell r="A1358" t="str">
            <v>811026598</v>
          </cell>
          <cell r="B1358" t="str">
            <v>7</v>
          </cell>
          <cell r="C1358" t="str">
            <v>RIVA S.A.</v>
          </cell>
          <cell r="D1358">
            <v>3219664011</v>
          </cell>
          <cell r="E1358" t="str">
            <v>facturacion@constructorariva.com</v>
          </cell>
          <cell r="F1358" t="str">
            <v>CALLE 18  20  74</v>
          </cell>
          <cell r="G1358">
            <v>11001</v>
          </cell>
        </row>
        <row r="1359">
          <cell r="A1359" t="str">
            <v>811028750</v>
          </cell>
          <cell r="B1359" t="str">
            <v>1</v>
          </cell>
          <cell r="C1359" t="str">
            <v>INVERSIONES EDITEC S.A.S.</v>
          </cell>
          <cell r="D1359" t="str">
            <v>3221047</v>
          </cell>
          <cell r="E1359" t="str">
            <v>facturacionelectronica@editec.com.co</v>
          </cell>
          <cell r="F1359" t="str">
            <v>CRA 48 A 61 SUR 75 OFI 503</v>
          </cell>
          <cell r="G1359">
            <v>11001</v>
          </cell>
        </row>
        <row r="1360">
          <cell r="A1360" t="str">
            <v>811032292</v>
          </cell>
          <cell r="B1360" t="str">
            <v>3</v>
          </cell>
          <cell r="C1360" t="str">
            <v>CONSTRUCTORA CAPITAL MEDELLIN  S.A.S</v>
          </cell>
          <cell r="D1360" t="str">
            <v>3022872224</v>
          </cell>
          <cell r="E1360" t="str">
            <v>femedellin@constructoracapital.com</v>
          </cell>
          <cell r="F1360" t="str">
            <v>CARRERA 19  43 G  169 OFICINA 601</v>
          </cell>
          <cell r="G1360">
            <v>11001</v>
          </cell>
        </row>
        <row r="1361">
          <cell r="A1361" t="str">
            <v>811033259</v>
          </cell>
          <cell r="B1361" t="str">
            <v>4</v>
          </cell>
          <cell r="C1361" t="str">
            <v>SOLUCIONES CIVILES S.A.S</v>
          </cell>
          <cell r="D1361" t="str">
            <v>3127250788</v>
          </cell>
          <cell r="E1361" t="str">
            <v>e-factura.co@seresnet.com</v>
          </cell>
          <cell r="F1361" t="str">
            <v>CR 43 B 16 41 OF 1703 ED CENTRO DE OFICINAS STAFF</v>
          </cell>
          <cell r="G1361">
            <v>11001</v>
          </cell>
        </row>
        <row r="1362">
          <cell r="A1362" t="str">
            <v>811040443</v>
          </cell>
          <cell r="B1362" t="str">
            <v>2</v>
          </cell>
          <cell r="C1362" t="str">
            <v>B &amp; B CONSTRUCTORES S.A.S.</v>
          </cell>
          <cell r="D1362" t="str">
            <v>3104757410</v>
          </cell>
          <cell r="E1362" t="str">
            <v>facturacion@bienesybienes.com</v>
          </cell>
          <cell r="F1362" t="str">
            <v>CALLE 8  43 A  48</v>
          </cell>
          <cell r="G1362">
            <v>11001</v>
          </cell>
        </row>
        <row r="1363">
          <cell r="A1363" t="str">
            <v>813002551</v>
          </cell>
          <cell r="B1363" t="str">
            <v>5</v>
          </cell>
          <cell r="C1363" t="str">
            <v>EDIFICIO KOKORICO PROPIEDAD HORIZONTAL</v>
          </cell>
          <cell r="D1363" t="str">
            <v>3114880539</v>
          </cell>
          <cell r="E1363" t="str">
            <v>damitas17@hotmail.com</v>
          </cell>
          <cell r="F1363" t="str">
            <v>CALLE 10  5  05</v>
          </cell>
          <cell r="G1363">
            <v>11001</v>
          </cell>
        </row>
        <row r="1364">
          <cell r="A1364" t="str">
            <v>814003448</v>
          </cell>
          <cell r="B1364" t="str">
            <v>2</v>
          </cell>
          <cell r="C1364" t="str">
            <v>AUDIOCOM SAS</v>
          </cell>
          <cell r="D1364" t="str">
            <v>3103096425</v>
          </cell>
          <cell r="E1364" t="str">
            <v>facturacionelectronica@audiocom.com.co</v>
          </cell>
          <cell r="F1364" t="str">
            <v>CR 19 C 90 59</v>
          </cell>
          <cell r="G1364">
            <v>11001</v>
          </cell>
        </row>
        <row r="1365">
          <cell r="A1365" t="str">
            <v>815002107</v>
          </cell>
          <cell r="B1365" t="str">
            <v>5</v>
          </cell>
          <cell r="C1365" t="str">
            <v>CONJUNTO RESIDENCIAL VILLA ROMA</v>
          </cell>
          <cell r="D1365" t="str">
            <v>2855721</v>
          </cell>
          <cell r="E1365" t="str">
            <v>villaroma-adm@hotmail.com</v>
          </cell>
          <cell r="F1365" t="str">
            <v>CARRERA 27  61  23</v>
          </cell>
          <cell r="G1365">
            <v>11001</v>
          </cell>
        </row>
        <row r="1366">
          <cell r="A1366" t="str">
            <v>816001249</v>
          </cell>
          <cell r="B1366" t="str">
            <v>1</v>
          </cell>
          <cell r="C1366" t="str">
            <v>ASUL S.A.S</v>
          </cell>
          <cell r="D1366" t="str">
            <v>3333111</v>
          </cell>
          <cell r="E1366" t="str">
            <v>compras@asul.com.co</v>
          </cell>
          <cell r="F1366" t="str">
            <v>CR 12 3 23 BRR POPULAR MODELO</v>
          </cell>
          <cell r="G1366">
            <v>11001</v>
          </cell>
        </row>
        <row r="1367">
          <cell r="A1367" t="str">
            <v>819000666</v>
          </cell>
          <cell r="B1367" t="str">
            <v>6</v>
          </cell>
          <cell r="C1367" t="str">
            <v>FONDO COMUN PLAYA SALGUERO</v>
          </cell>
          <cell r="D1367" t="str">
            <v>4358573</v>
          </cell>
          <cell r="E1367" t="str">
            <v>edificioplayasalguero@gmail.com</v>
          </cell>
          <cell r="F1367" t="str">
            <v>CALLE 28  11  07</v>
          </cell>
          <cell r="G1367">
            <v>11001</v>
          </cell>
        </row>
        <row r="1368">
          <cell r="A1368" t="str">
            <v>819000952</v>
          </cell>
          <cell r="B1368" t="str">
            <v>8</v>
          </cell>
          <cell r="C1368" t="str">
            <v>EDIFICIO BALCONES DEL COUNTRY-PROPIEDAD HORIZONTAL</v>
          </cell>
          <cell r="D1368" t="str">
            <v>3003071819</v>
          </cell>
          <cell r="E1368" t="str">
            <v>balconesdelcountry@hotmail.com</v>
          </cell>
          <cell r="F1368" t="str">
            <v>CALLE 6  4  10</v>
          </cell>
          <cell r="G1368">
            <v>11001</v>
          </cell>
        </row>
        <row r="1369">
          <cell r="A1369" t="str">
            <v>819006193</v>
          </cell>
          <cell r="B1369" t="str">
            <v>1</v>
          </cell>
          <cell r="C1369" t="str">
            <v>INSTITUTO NEUROPSIQUIATRICO NUESTRA SEÑORA DEL CARMEN INSECAR S.A.S.</v>
          </cell>
          <cell r="D1369" t="str">
            <v>54215937</v>
          </cell>
          <cell r="E1369" t="str">
            <v>contabilidad.insecar@hotmail.com</v>
          </cell>
          <cell r="F1369" t="str">
            <v>AV DEL LIBERTADOR 15 61</v>
          </cell>
          <cell r="G1369">
            <v>11001</v>
          </cell>
        </row>
        <row r="1370">
          <cell r="A1370" t="str">
            <v>819006340</v>
          </cell>
          <cell r="B1370" t="str">
            <v>8</v>
          </cell>
          <cell r="C1370" t="str">
            <v>TRILLOS FRANCO S.A.S</v>
          </cell>
          <cell r="D1370" t="str">
            <v>4225978</v>
          </cell>
          <cell r="E1370" t="str">
            <v>819006340@factureinbox.co</v>
          </cell>
          <cell r="F1370" t="str">
            <v>CARRERA 3  5  28</v>
          </cell>
          <cell r="G1370">
            <v>11001</v>
          </cell>
        </row>
        <row r="1371">
          <cell r="A1371" t="str">
            <v>830000135</v>
          </cell>
          <cell r="B1371" t="str">
            <v>7</v>
          </cell>
          <cell r="C1371" t="str">
            <v>CONSTRUCTORA EXPERTA SAS</v>
          </cell>
          <cell r="D1371" t="str">
            <v>6378877</v>
          </cell>
          <cell r="E1371" t="str">
            <v>experta@constructoraexperta.com</v>
          </cell>
          <cell r="F1371" t="str">
            <v>AUTOPISTA NORTE 114 78 OF 401</v>
          </cell>
          <cell r="G1371">
            <v>11001</v>
          </cell>
        </row>
        <row r="1372">
          <cell r="A1372" t="str">
            <v>830000135</v>
          </cell>
          <cell r="B1372" t="str">
            <v>7</v>
          </cell>
          <cell r="C1372" t="str">
            <v>CONSTRUCTORA EXPERTA SAS</v>
          </cell>
          <cell r="D1372" t="str">
            <v>6378877</v>
          </cell>
          <cell r="E1372" t="str">
            <v>experta@constructoraexperta.com</v>
          </cell>
          <cell r="F1372" t="str">
            <v>AUTOPISTA NORTE 114 78 OF 401</v>
          </cell>
          <cell r="G1372">
            <v>11001</v>
          </cell>
        </row>
        <row r="1373">
          <cell r="A1373" t="str">
            <v>830000176</v>
          </cell>
          <cell r="B1373" t="str">
            <v>9</v>
          </cell>
          <cell r="C1373" t="str">
            <v>EDIFICIO BUGANVILLA TORRE 8 - PROPIEDAD HORIZONTAL</v>
          </cell>
          <cell r="D1373" t="str">
            <v>3003330116</v>
          </cell>
          <cell r="E1373" t="str">
            <v>edificiobuganvillatorre8@hotmail.com</v>
          </cell>
          <cell r="F1373" t="str">
            <v>CARRERA 11 B  123  70  OFICINA 104</v>
          </cell>
          <cell r="G1373">
            <v>11001</v>
          </cell>
        </row>
        <row r="1374">
          <cell r="A1374" t="str">
            <v>830000176</v>
          </cell>
          <cell r="B1374" t="str">
            <v>9</v>
          </cell>
          <cell r="C1374" t="str">
            <v>EDIFICIO BUGANVILLA TORRE 8 - PROPIEDAD HORIZONTAL</v>
          </cell>
          <cell r="D1374" t="str">
            <v>3003330116</v>
          </cell>
          <cell r="E1374" t="str">
            <v>edificiobuganvillatorre8@hotmail.com</v>
          </cell>
          <cell r="F1374" t="str">
            <v>CARRERA 11 B  123  70  OFICINA 104</v>
          </cell>
          <cell r="G1374">
            <v>11001</v>
          </cell>
        </row>
        <row r="1375">
          <cell r="A1375" t="str">
            <v>830000422</v>
          </cell>
          <cell r="B1375" t="str">
            <v>6</v>
          </cell>
          <cell r="C1375" t="str">
            <v>EDIFICIO PARQUE TERRAZA PROPIEDAD HORIZONTAL</v>
          </cell>
          <cell r="D1375" t="str">
            <v>3138330215</v>
          </cell>
          <cell r="E1375" t="str">
            <v>albritor@hotmail.com</v>
          </cell>
          <cell r="F1375" t="str">
            <v>CARRERA 18 C  118  22</v>
          </cell>
          <cell r="G1375">
            <v>11001</v>
          </cell>
        </row>
        <row r="1376">
          <cell r="A1376" t="str">
            <v>830000818</v>
          </cell>
          <cell r="B1376" t="str">
            <v>9</v>
          </cell>
          <cell r="C1376" t="str">
            <v>CROWE CO S.A.S</v>
          </cell>
          <cell r="D1376" t="str">
            <v>6067500</v>
          </cell>
          <cell r="E1376" t="str">
            <v>830000818@factureinbox.co</v>
          </cell>
          <cell r="F1376" t="str">
            <v>CARRERA 16  93  92</v>
          </cell>
          <cell r="G1376">
            <v>11001</v>
          </cell>
        </row>
        <row r="1377">
          <cell r="A1377" t="str">
            <v>830001349</v>
          </cell>
          <cell r="B1377" t="str">
            <v>0</v>
          </cell>
          <cell r="C1377" t="str">
            <v>EDIFICIO CHICO 95 - PROPIEDAD HORIZONTAL</v>
          </cell>
          <cell r="D1377" t="str">
            <v>2189460</v>
          </cell>
          <cell r="E1377" t="str">
            <v>chico95ph@gmail.com</v>
          </cell>
          <cell r="F1377" t="str">
            <v>CALLE 95  16  37</v>
          </cell>
          <cell r="G1377">
            <v>11001</v>
          </cell>
        </row>
        <row r="1378">
          <cell r="A1378" t="str">
            <v>830001359</v>
          </cell>
          <cell r="B1378" t="str">
            <v>4</v>
          </cell>
          <cell r="C1378" t="str">
            <v>CONJUNTO RESIDENCIAL SIERRAS DEL MORAL MANZANA 4 TORRES 1 A LA 5 P.H</v>
          </cell>
          <cell r="D1378" t="str">
            <v>5265055</v>
          </cell>
          <cell r="E1378" t="str">
            <v>facturacionedificios@administrando.com.co</v>
          </cell>
          <cell r="F1378" t="str">
            <v>CALLE 145  6  82</v>
          </cell>
          <cell r="G1378">
            <v>11001</v>
          </cell>
        </row>
        <row r="1379">
          <cell r="A1379" t="str">
            <v>830001359</v>
          </cell>
          <cell r="B1379" t="str">
            <v>4</v>
          </cell>
          <cell r="C1379" t="str">
            <v>CONJUNTO RESIDENCIAL SIERRAS DEL MORAL MANZANA 4 TORRES 1 A LA 5 P.H</v>
          </cell>
          <cell r="D1379" t="str">
            <v>5265055</v>
          </cell>
          <cell r="E1379" t="str">
            <v>facturacionedificios@administrando.com.co</v>
          </cell>
          <cell r="F1379" t="str">
            <v>CALLE 145  6  82</v>
          </cell>
          <cell r="G1379">
            <v>11001</v>
          </cell>
        </row>
        <row r="1380">
          <cell r="A1380" t="str">
            <v>830001512</v>
          </cell>
          <cell r="B1380" t="str">
            <v>5</v>
          </cell>
          <cell r="C1380" t="str">
            <v>EDIFICIO CENTRO OCHENTA Y SEIS (86) PROPIEDAD HORIZONTAL</v>
          </cell>
          <cell r="D1380" t="str">
            <v>6106282</v>
          </cell>
          <cell r="E1380" t="str">
            <v>admoncentro86@gmail.com</v>
          </cell>
          <cell r="F1380" t="str">
            <v>CALLE 86 A  13  57</v>
          </cell>
          <cell r="G1380">
            <v>11001</v>
          </cell>
        </row>
        <row r="1381">
          <cell r="A1381" t="str">
            <v>830002049</v>
          </cell>
          <cell r="B1381" t="str">
            <v>0</v>
          </cell>
          <cell r="C1381" t="str">
            <v>EDIFICIO LOS EUCALIPTOS</v>
          </cell>
          <cell r="D1381" t="str">
            <v>3134324</v>
          </cell>
          <cell r="E1381" t="str">
            <v>facturacion@estiloingenieria.com</v>
          </cell>
          <cell r="F1381" t="str">
            <v>CALLE 72  9  55</v>
          </cell>
          <cell r="G1381">
            <v>11001</v>
          </cell>
        </row>
        <row r="1382">
          <cell r="A1382" t="str">
            <v>830002267</v>
          </cell>
          <cell r="B1382" t="str">
            <v>1</v>
          </cell>
          <cell r="C1382" t="str">
            <v>EDIFICIO AZAHARA 1 - PROPIEDAD HORIZONTAL</v>
          </cell>
          <cell r="D1382" t="str">
            <v>6299258</v>
          </cell>
          <cell r="E1382" t="str">
            <v>copropi@yahoo.com</v>
          </cell>
          <cell r="F1382" t="str">
            <v>CARRERA 15  116  36  OFICINA 521</v>
          </cell>
          <cell r="G1382">
            <v>11001</v>
          </cell>
        </row>
        <row r="1383">
          <cell r="A1383" t="str">
            <v>830002578</v>
          </cell>
          <cell r="B1383" t="str">
            <v>5</v>
          </cell>
          <cell r="C1383" t="str">
            <v>EDIFICIO LECLUB</v>
          </cell>
          <cell r="D1383" t="str">
            <v>7568345</v>
          </cell>
          <cell r="E1383" t="str">
            <v>yelitza.mesa@crearsoluciones.co</v>
          </cell>
          <cell r="F1383" t="str">
            <v>CALLE 77  14  46  OFICINA 503</v>
          </cell>
          <cell r="G1383">
            <v>11001</v>
          </cell>
        </row>
        <row r="1384">
          <cell r="A1384" t="str">
            <v>830003260</v>
          </cell>
          <cell r="B1384" t="str">
            <v>3</v>
          </cell>
          <cell r="C1384" t="str">
            <v>EDIFICIO 81 A</v>
          </cell>
          <cell r="D1384" t="str">
            <v>6130589</v>
          </cell>
          <cell r="E1384" t="str">
            <v>facturacion@estiloingenieria.com</v>
          </cell>
          <cell r="F1384" t="str">
            <v>CARRERA 8  81 A  33</v>
          </cell>
          <cell r="G1384">
            <v>11001</v>
          </cell>
        </row>
        <row r="1385">
          <cell r="A1385" t="str">
            <v>830003780</v>
          </cell>
          <cell r="B1385" t="str">
            <v>1</v>
          </cell>
          <cell r="C1385" t="str">
            <v>EDIFICIO BUCANVILLA 126 PROPIEDAD HORIZONTAL TORRE 11</v>
          </cell>
          <cell r="D1385" t="str">
            <v>6200156</v>
          </cell>
          <cell r="E1385" t="str">
            <v>lucilacontrerasg@hotmail.com</v>
          </cell>
          <cell r="F1385" t="str">
            <v>CALLE 125  11 B  94 TORRE 11</v>
          </cell>
          <cell r="G1385">
            <v>11001</v>
          </cell>
        </row>
        <row r="1386">
          <cell r="A1386" t="str">
            <v>830005198</v>
          </cell>
          <cell r="B1386" t="str">
            <v>3</v>
          </cell>
          <cell r="C1386" t="str">
            <v>AGRUPACION RESIDENCIAL PRADOS DE LA CALLEJA - PROPIEDAD HORIZONTAL</v>
          </cell>
          <cell r="D1386" t="str">
            <v>6150357</v>
          </cell>
          <cell r="E1386" t="str">
            <v>pradosdelacalleja@yahoo.com</v>
          </cell>
          <cell r="F1386" t="str">
            <v>CALLE 127 D  19  88</v>
          </cell>
          <cell r="G1386">
            <v>11001</v>
          </cell>
        </row>
        <row r="1387">
          <cell r="A1387" t="str">
            <v>830005198</v>
          </cell>
          <cell r="B1387" t="str">
            <v>3</v>
          </cell>
          <cell r="C1387" t="str">
            <v>AGRUPACION RESIDENCIAL PRADOS DE LA CALLEJA - PROPIEDAD HORIZONTAL</v>
          </cell>
          <cell r="D1387" t="str">
            <v>6150357</v>
          </cell>
          <cell r="E1387" t="str">
            <v>pradosdelacalleja@yahoo.com</v>
          </cell>
          <cell r="F1387" t="str">
            <v>CALLE 127 D  19  88</v>
          </cell>
          <cell r="G1387">
            <v>11001</v>
          </cell>
        </row>
        <row r="1388">
          <cell r="A1388" t="str">
            <v>830005361</v>
          </cell>
          <cell r="B1388" t="str">
            <v>8</v>
          </cell>
          <cell r="C1388" t="str">
            <v>EDIFICIO EL RINCON DEL REFUGIO PROPIEDAD HORIZONTAL</v>
          </cell>
          <cell r="D1388" t="str">
            <v>6206407</v>
          </cell>
          <cell r="E1388" t="str">
            <v>contabilidadmhvl@gmail.com</v>
          </cell>
          <cell r="F1388" t="str">
            <v>CARRERA 6 A  86  57</v>
          </cell>
          <cell r="G1388">
            <v>11001</v>
          </cell>
        </row>
        <row r="1389">
          <cell r="A1389" t="str">
            <v>830006006</v>
          </cell>
          <cell r="B1389" t="str">
            <v>2</v>
          </cell>
          <cell r="C1389" t="str">
            <v>EDIFICIO ONE HUNDRED PROPIEDAD HORIZONTAL</v>
          </cell>
          <cell r="D1389" t="str">
            <v>6910383</v>
          </cell>
          <cell r="E1389" t="str">
            <v>onehundrededificio@gmail.com</v>
          </cell>
          <cell r="F1389" t="str">
            <v>TRANSVERSAL 25  57  12  OFICINA 404</v>
          </cell>
          <cell r="G1389">
            <v>11001</v>
          </cell>
        </row>
        <row r="1390">
          <cell r="A1390" t="str">
            <v>830006030</v>
          </cell>
          <cell r="B1390" t="str">
            <v>1</v>
          </cell>
          <cell r="C1390" t="str">
            <v>EDIFICIO EL PEDREGAL I Y II PROPIEDAD HORIZONTAL</v>
          </cell>
          <cell r="D1390" t="str">
            <v>2558621</v>
          </cell>
          <cell r="E1390" t="str">
            <v>facturacionelectronica@mariadelsocorrobonilla.co</v>
          </cell>
          <cell r="F1390" t="str">
            <v>CR 1 ESTE 78 73</v>
          </cell>
          <cell r="G1390">
            <v>11001</v>
          </cell>
        </row>
        <row r="1391">
          <cell r="A1391" t="str">
            <v>830006550</v>
          </cell>
          <cell r="B1391" t="str">
            <v>8</v>
          </cell>
          <cell r="C1391" t="str">
            <v>CONJUNTO RESIDENCIAL BUCANVILLA 126 TORRE 13 P H</v>
          </cell>
          <cell r="D1391" t="str">
            <v>6200156</v>
          </cell>
          <cell r="E1391" t="str">
            <v>lucilacontrerasg@hotmail.com</v>
          </cell>
          <cell r="F1391" t="str">
            <v>CALLE 126  11 B  71</v>
          </cell>
          <cell r="G1391">
            <v>11001</v>
          </cell>
        </row>
        <row r="1392">
          <cell r="A1392" t="str">
            <v>830006970</v>
          </cell>
          <cell r="B1392" t="str">
            <v>8</v>
          </cell>
          <cell r="C1392" t="str">
            <v>EDIFICIO AZAHARA EMPRESARIAL PROPIEDAD HORIZONTAL</v>
          </cell>
          <cell r="D1392" t="str">
            <v>6473502</v>
          </cell>
          <cell r="E1392" t="str">
            <v>facturacion@estiloingenieria.com</v>
          </cell>
          <cell r="F1392" t="str">
            <v>CARRERA 13  93 B  51</v>
          </cell>
          <cell r="G1392">
            <v>11001</v>
          </cell>
        </row>
        <row r="1393">
          <cell r="A1393" t="str">
            <v>830006982</v>
          </cell>
          <cell r="B1393" t="str">
            <v>6</v>
          </cell>
          <cell r="C1393" t="str">
            <v>CAPITAL CENTER - PROPIEDAD HORIZONTAL</v>
          </cell>
          <cell r="D1393" t="str">
            <v>7559237/36</v>
          </cell>
          <cell r="E1393" t="str">
            <v>capitalcenterph1@gmail.com</v>
          </cell>
          <cell r="F1393" t="str">
            <v>AVENIDA EL DORADO 69 A  51 TORRE B</v>
          </cell>
          <cell r="G1393">
            <v>11001</v>
          </cell>
        </row>
        <row r="1394">
          <cell r="A1394" t="str">
            <v>830006982</v>
          </cell>
          <cell r="B1394" t="str">
            <v>6</v>
          </cell>
          <cell r="C1394" t="str">
            <v>CAPITAL CENTER - PROPIEDAD HORIZONTAL</v>
          </cell>
          <cell r="D1394" t="str">
            <v>7559237/36</v>
          </cell>
          <cell r="E1394" t="str">
            <v>capitalcenterph1@gmail.com</v>
          </cell>
          <cell r="F1394" t="str">
            <v>AVENIDA EL DORADO 69 A  51 TORRE B</v>
          </cell>
          <cell r="G1394">
            <v>11001</v>
          </cell>
        </row>
        <row r="1395">
          <cell r="A1395" t="str">
            <v>830007080</v>
          </cell>
          <cell r="B1395" t="str">
            <v>2</v>
          </cell>
          <cell r="C1395" t="str">
            <v>EDIFICIO PORTON DEL NOGAL</v>
          </cell>
          <cell r="D1395" t="str">
            <v>3187349585</v>
          </cell>
          <cell r="E1395" t="str">
            <v>admiintegralfacturacion@gmail.com</v>
          </cell>
          <cell r="F1395" t="str">
            <v>CL 77 9 92</v>
          </cell>
          <cell r="G1395">
            <v>11001</v>
          </cell>
        </row>
        <row r="1396">
          <cell r="A1396" t="str">
            <v>830007585</v>
          </cell>
          <cell r="B1396" t="str">
            <v>1</v>
          </cell>
          <cell r="C1396" t="str">
            <v>EDIFICIO EL MANDARINO</v>
          </cell>
          <cell r="D1396" t="str">
            <v>3477885</v>
          </cell>
          <cell r="E1396" t="str">
            <v>proveedores.habitacora@gmail.com</v>
          </cell>
          <cell r="F1396" t="str">
            <v>CALLE 73  7  50  OFICINA 501</v>
          </cell>
          <cell r="G1396">
            <v>11001</v>
          </cell>
        </row>
        <row r="1397">
          <cell r="A1397" t="str">
            <v>830007643</v>
          </cell>
          <cell r="B1397" t="str">
            <v>9</v>
          </cell>
          <cell r="C1397" t="str">
            <v>CENTRO COMERCIAL MANHATTAN P H</v>
          </cell>
          <cell r="D1397" t="str">
            <v>7495266</v>
          </cell>
          <cell r="E1397" t="str">
            <v>admonmanhattan@gmail.com</v>
          </cell>
          <cell r="F1397" t="str">
            <v>CARRERA 38  10  60 OFICINA 314</v>
          </cell>
          <cell r="G1397">
            <v>11001</v>
          </cell>
        </row>
        <row r="1398">
          <cell r="A1398" t="str">
            <v>830007643</v>
          </cell>
          <cell r="B1398" t="str">
            <v>9</v>
          </cell>
          <cell r="C1398" t="str">
            <v>CENTRO COMERCIAL MANHATTAN P H</v>
          </cell>
          <cell r="D1398" t="str">
            <v>7495266</v>
          </cell>
          <cell r="E1398" t="str">
            <v>admonmanhattan@gmail.com</v>
          </cell>
          <cell r="F1398" t="str">
            <v>CARRERA 38  10  60 OFICINA 314</v>
          </cell>
          <cell r="G1398">
            <v>11001</v>
          </cell>
        </row>
        <row r="1399">
          <cell r="A1399" t="str">
            <v>830007873</v>
          </cell>
          <cell r="B1399" t="str">
            <v>6</v>
          </cell>
          <cell r="C1399" t="str">
            <v>EDIFICIO CALLE 76</v>
          </cell>
          <cell r="D1399" t="str">
            <v>3121462</v>
          </cell>
          <cell r="E1399" t="str">
            <v>edificiophcalle76@gmail.com</v>
          </cell>
          <cell r="F1399" t="str">
            <v>CALLE 75  13  51  OFICINA 501</v>
          </cell>
          <cell r="G1399">
            <v>11001</v>
          </cell>
        </row>
        <row r="1400">
          <cell r="A1400" t="str">
            <v>830008468</v>
          </cell>
          <cell r="B1400" t="str">
            <v>0</v>
          </cell>
          <cell r="C1400" t="str">
            <v>EDIFICIO TRANSVERSAL 21 PLAZA</v>
          </cell>
          <cell r="D1400" t="str">
            <v>3906231</v>
          </cell>
          <cell r="E1400" t="str">
            <v>cortezaltda@hotmail.com</v>
          </cell>
          <cell r="F1400" t="str">
            <v>CARRERA 24  82  51</v>
          </cell>
          <cell r="G1400">
            <v>11001</v>
          </cell>
        </row>
        <row r="1401">
          <cell r="A1401" t="str">
            <v>830008592</v>
          </cell>
          <cell r="B1401" t="str">
            <v>6</v>
          </cell>
          <cell r="C1401" t="str">
            <v>EDIFICIO NEUCHATEL-PROPIEDAD HORIZONTAL</v>
          </cell>
          <cell r="D1401" t="str">
            <v>3133692669</v>
          </cell>
          <cell r="E1401" t="str">
            <v>edificioneuchatelph@gmail.com</v>
          </cell>
          <cell r="F1401" t="str">
            <v>CARRERA 7 B  127 D  40</v>
          </cell>
          <cell r="G1401">
            <v>11001</v>
          </cell>
        </row>
        <row r="1402">
          <cell r="A1402" t="str">
            <v>830008923</v>
          </cell>
          <cell r="B1402" t="str">
            <v>0</v>
          </cell>
          <cell r="C1402" t="str">
            <v>EDIFICIO RUE DE PASSY PROPIEDAD HORIZONTAL</v>
          </cell>
          <cell r="D1402" t="str">
            <v>3046022409</v>
          </cell>
          <cell r="E1402" t="str">
            <v>edificioruedepassy@gmail.com</v>
          </cell>
          <cell r="F1402" t="str">
            <v>CARRERA 14  127 B  23</v>
          </cell>
          <cell r="G1402">
            <v>11001</v>
          </cell>
        </row>
        <row r="1403">
          <cell r="A1403" t="str">
            <v>830008923</v>
          </cell>
          <cell r="B1403" t="str">
            <v>0</v>
          </cell>
          <cell r="C1403" t="str">
            <v>EDIFICIO RUE DE PASSY PROPIEDAD HORIZONTAL</v>
          </cell>
          <cell r="D1403" t="str">
            <v>3046022409</v>
          </cell>
          <cell r="E1403" t="str">
            <v>edificioruedepassy@gmail.com</v>
          </cell>
          <cell r="F1403" t="str">
            <v>CARRERA 14  127 B  23</v>
          </cell>
          <cell r="G1403">
            <v>11001</v>
          </cell>
        </row>
        <row r="1404">
          <cell r="A1404" t="str">
            <v>830009986</v>
          </cell>
          <cell r="B1404" t="str">
            <v>9</v>
          </cell>
          <cell r="C1404" t="str">
            <v>INVERSIONES CUCHICUTE S.A.S</v>
          </cell>
          <cell r="D1404" t="str">
            <v>7437430</v>
          </cell>
          <cell r="E1404" t="str">
            <v>jhonatan.garzon@mendebal.com</v>
          </cell>
          <cell r="F1404" t="str">
            <v>CALLE 79 B  8  11  PISO 4</v>
          </cell>
          <cell r="G1404">
            <v>11001</v>
          </cell>
        </row>
        <row r="1405">
          <cell r="A1405" t="str">
            <v>830010077</v>
          </cell>
          <cell r="B1405" t="str">
            <v>0</v>
          </cell>
          <cell r="C1405" t="str">
            <v>AGRUPACION DE VIVIENDA LA CALLEJA 2000 SEGUNDA ETAPA P.H.</v>
          </cell>
          <cell r="D1405" t="str">
            <v>6151528</v>
          </cell>
          <cell r="E1405" t="str">
            <v>calleja2000e2@gmail.com</v>
          </cell>
          <cell r="F1405" t="str">
            <v>TRANSVERSAL  34  127 C  80</v>
          </cell>
          <cell r="G1405">
            <v>11001</v>
          </cell>
        </row>
        <row r="1406">
          <cell r="A1406" t="str">
            <v>830010367</v>
          </cell>
          <cell r="B1406" t="str">
            <v>1</v>
          </cell>
          <cell r="C1406" t="str">
            <v>PARQUE CENTRAL BAVARIA PROPIEDAD HORIZONTAL</v>
          </cell>
          <cell r="D1406" t="str">
            <v>3125574802</v>
          </cell>
          <cell r="E1406" t="str">
            <v>contabilidad2@parquecentralbavaria.com.co</v>
          </cell>
          <cell r="F1406" t="str">
            <v>CARRERA 13 A  28  38  PISO 2</v>
          </cell>
          <cell r="G1406">
            <v>11001</v>
          </cell>
        </row>
        <row r="1407">
          <cell r="A1407" t="str">
            <v>830010659</v>
          </cell>
          <cell r="B1407" t="str">
            <v>7</v>
          </cell>
          <cell r="C1407" t="str">
            <v>EDIFICIO COMERCIAL SEGUROS ATLAS</v>
          </cell>
          <cell r="D1407" t="str">
            <v>2368648</v>
          </cell>
          <cell r="E1407" t="str">
            <v>mireyagomezneira@hotmail.com</v>
          </cell>
          <cell r="F1407" t="str">
            <v>CALLE 85  18  32</v>
          </cell>
          <cell r="G1407">
            <v>11001</v>
          </cell>
        </row>
        <row r="1408">
          <cell r="A1408" t="str">
            <v>830010776</v>
          </cell>
          <cell r="B1408" t="str">
            <v>0</v>
          </cell>
          <cell r="C1408" t="str">
            <v>EDIFICIO PARQUES DE SANTANA TORRE A - PROPIEDAD HORIZONTAL</v>
          </cell>
          <cell r="D1408" t="str">
            <v>6295760</v>
          </cell>
          <cell r="E1408" t="str">
            <v>ParquesSantaAna@administrandoespacios.com</v>
          </cell>
          <cell r="F1408" t="str">
            <v>CR 5 A 108 A 55</v>
          </cell>
          <cell r="G1408">
            <v>11001</v>
          </cell>
        </row>
        <row r="1409">
          <cell r="A1409" t="str">
            <v>830010776</v>
          </cell>
          <cell r="B1409" t="str">
            <v>0</v>
          </cell>
          <cell r="C1409" t="str">
            <v>EDIFICIO PARQUES DE SANTANA TORRE A - PROPIEDAD HORIZONTAL</v>
          </cell>
          <cell r="D1409" t="str">
            <v>6295760</v>
          </cell>
          <cell r="E1409" t="str">
            <v>ParquesSantaAna@administrandoespacios.com</v>
          </cell>
          <cell r="F1409" t="str">
            <v>CR 5 A 108 A 55</v>
          </cell>
          <cell r="G1409">
            <v>11001</v>
          </cell>
        </row>
        <row r="1410">
          <cell r="A1410" t="str">
            <v>830011036</v>
          </cell>
          <cell r="B1410" t="str">
            <v>3</v>
          </cell>
          <cell r="C1410" t="str">
            <v>EDIFICIO ARANJUEZ</v>
          </cell>
          <cell r="D1410" t="str">
            <v>3204052</v>
          </cell>
          <cell r="E1410" t="str">
            <v>edificioaranjuez36@gmail.com</v>
          </cell>
          <cell r="F1410" t="str">
            <v>CALLE 114 A  21  88</v>
          </cell>
          <cell r="G1410">
            <v>11001</v>
          </cell>
        </row>
        <row r="1411">
          <cell r="A1411" t="str">
            <v>830012169</v>
          </cell>
          <cell r="B1411" t="str">
            <v>9</v>
          </cell>
          <cell r="C1411" t="str">
            <v>CIA HOTELERA ANDES PLAZA S.A.S</v>
          </cell>
          <cell r="D1411" t="str">
            <v>3148180</v>
          </cell>
          <cell r="E1411" t="str">
            <v>830012169@factureinbox.co</v>
          </cell>
          <cell r="F1411" t="str">
            <v>AVENIDA 15  100  11</v>
          </cell>
          <cell r="G1411">
            <v>11001</v>
          </cell>
        </row>
        <row r="1412">
          <cell r="A1412" t="str">
            <v>830012169</v>
          </cell>
          <cell r="B1412" t="str">
            <v>9</v>
          </cell>
          <cell r="C1412" t="str">
            <v>CIA HOTELERA ANDES PLAZA S.A.S</v>
          </cell>
          <cell r="D1412" t="str">
            <v>3148180</v>
          </cell>
          <cell r="E1412" t="str">
            <v>830012169@factureinbox.co</v>
          </cell>
          <cell r="F1412" t="str">
            <v>AVENIDA 15  100  11</v>
          </cell>
          <cell r="G1412">
            <v>11001</v>
          </cell>
        </row>
        <row r="1413">
          <cell r="A1413" t="str">
            <v>830012259</v>
          </cell>
          <cell r="B1413" t="str">
            <v>3</v>
          </cell>
          <cell r="C1413" t="str">
            <v>EDIFICIO DE OFICINAS TERMINAL DE TRANSPORTE PROPIEDAD HORIZONTAL</v>
          </cell>
          <cell r="D1413" t="str">
            <v>7455315</v>
          </cell>
          <cell r="E1413" t="str">
            <v>edoficinasterminal@hotmail.com</v>
          </cell>
          <cell r="F1413" t="str">
            <v>DIAGONAL 23  69  60  OFICINA 105</v>
          </cell>
          <cell r="G1413">
            <v>11001</v>
          </cell>
        </row>
        <row r="1414">
          <cell r="A1414" t="str">
            <v>830012796</v>
          </cell>
          <cell r="B1414" t="str">
            <v>7</v>
          </cell>
          <cell r="C1414" t="str">
            <v>EDIFICIO BELMONTE IV PROPIEDAD HORIZONTAL</v>
          </cell>
          <cell r="D1414" t="str">
            <v>3104778</v>
          </cell>
          <cell r="E1414" t="str">
            <v>gestion.empre@gmail.com</v>
          </cell>
          <cell r="F1414" t="str">
            <v>CALLE 74  15  80  OFICINA 216</v>
          </cell>
          <cell r="G1414">
            <v>11001</v>
          </cell>
        </row>
        <row r="1415">
          <cell r="A1415" t="str">
            <v>830013137</v>
          </cell>
          <cell r="B1415" t="str">
            <v>8</v>
          </cell>
          <cell r="C1415" t="str">
            <v>EDIFICIO DEL CAMINO</v>
          </cell>
          <cell r="D1415" t="str">
            <v>3107835</v>
          </cell>
          <cell r="E1415" t="str">
            <v>edificiodelcamino@hotmail.com</v>
          </cell>
          <cell r="F1415" t="str">
            <v>CALLE 73  7  31</v>
          </cell>
          <cell r="G1415">
            <v>11001</v>
          </cell>
        </row>
        <row r="1416">
          <cell r="A1416" t="str">
            <v>830013137</v>
          </cell>
          <cell r="B1416" t="str">
            <v>8</v>
          </cell>
          <cell r="C1416" t="str">
            <v>EDIFICIO DEL CAMINO</v>
          </cell>
          <cell r="D1416" t="str">
            <v>3107835</v>
          </cell>
          <cell r="E1416" t="str">
            <v>edificiodelcamino@hotmail.com</v>
          </cell>
          <cell r="F1416" t="str">
            <v>CALLE 73  7  31</v>
          </cell>
          <cell r="G1416">
            <v>11001</v>
          </cell>
        </row>
        <row r="1417">
          <cell r="A1417" t="str">
            <v>830013420</v>
          </cell>
          <cell r="B1417" t="str">
            <v>8</v>
          </cell>
          <cell r="C1417" t="str">
            <v>EDIFICIO ANATELLO</v>
          </cell>
          <cell r="D1417" t="str">
            <v>3125247147</v>
          </cell>
          <cell r="E1417" t="str">
            <v>facturacion@estiloingenieria.com</v>
          </cell>
          <cell r="F1417" t="str">
            <v>CARRERA 22 A  87  51</v>
          </cell>
          <cell r="G1417">
            <v>11001</v>
          </cell>
        </row>
        <row r="1418">
          <cell r="A1418" t="str">
            <v>830013621</v>
          </cell>
          <cell r="B1418" t="str">
            <v>1</v>
          </cell>
          <cell r="C1418" t="str">
            <v>EDIFICIO OFICINAS CARRERA 11- PROPIEDAD HORIZONTAL</v>
          </cell>
          <cell r="D1418" t="str">
            <v>3214537769</v>
          </cell>
          <cell r="E1418" t="str">
            <v>oficinas@telmex.net.co</v>
          </cell>
          <cell r="F1418" t="str">
            <v>CARRERA 11  93  43</v>
          </cell>
          <cell r="G1418">
            <v>11001</v>
          </cell>
        </row>
        <row r="1419">
          <cell r="A1419" t="str">
            <v>830013883</v>
          </cell>
          <cell r="B1419" t="str">
            <v>4</v>
          </cell>
          <cell r="C1419" t="str">
            <v>EDIFICIO TRAMONTANA PROPIEDAD HORIZONTAL</v>
          </cell>
          <cell r="D1419" t="str">
            <v>3191731</v>
          </cell>
          <cell r="E1419" t="str">
            <v>GURADMON@GMAIL.COM</v>
          </cell>
          <cell r="F1419" t="str">
            <v>CARRERA 16  112  39</v>
          </cell>
          <cell r="G1419">
            <v>11001</v>
          </cell>
        </row>
        <row r="1420">
          <cell r="A1420" t="str">
            <v>830015079</v>
          </cell>
          <cell r="B1420" t="str">
            <v>8</v>
          </cell>
          <cell r="C1420" t="str">
            <v>COLEGIO LICEO NACIONAL ANTONIA SANTOS</v>
          </cell>
          <cell r="D1420" t="str">
            <v>2473421</v>
          </cell>
          <cell r="E1420" t="str">
            <v>sandra.morales383@educacionbogota.edu.co</v>
          </cell>
          <cell r="F1420" t="str">
            <v>CARRERA 22 12 49</v>
          </cell>
          <cell r="G1420">
            <v>11001</v>
          </cell>
        </row>
        <row r="1421">
          <cell r="A1421" t="str">
            <v>830015079</v>
          </cell>
          <cell r="B1421" t="str">
            <v>8</v>
          </cell>
          <cell r="C1421" t="str">
            <v>COLEGIO LICEO NACIONAL ANTONIA SANTOS</v>
          </cell>
          <cell r="D1421" t="str">
            <v>2473421</v>
          </cell>
          <cell r="E1421" t="str">
            <v>sandra.morales383@educacionbogota.edu.co</v>
          </cell>
          <cell r="F1421" t="str">
            <v>CARRERA 22 12 49</v>
          </cell>
          <cell r="G1421">
            <v>11001</v>
          </cell>
        </row>
        <row r="1422">
          <cell r="A1422" t="str">
            <v>830015118</v>
          </cell>
          <cell r="B1422" t="str">
            <v>7</v>
          </cell>
          <cell r="C1422" t="str">
            <v>EDIFICIO PARQUE DEL JAPON PROPIEDAD HORIZONTAL</v>
          </cell>
          <cell r="D1422" t="str">
            <v>3002703878</v>
          </cell>
          <cell r="E1422" t="str">
            <v>edificioparquejapon@hotmail.com</v>
          </cell>
          <cell r="F1422" t="str">
            <v>CALLE 86 A  11 A  62</v>
          </cell>
          <cell r="G1422">
            <v>11001</v>
          </cell>
        </row>
        <row r="1423">
          <cell r="A1423" t="str">
            <v>830015118</v>
          </cell>
          <cell r="B1423" t="str">
            <v>7</v>
          </cell>
          <cell r="C1423" t="str">
            <v>EDIFICIO PARQUE DEL JAPON PROPIEDAD HORIZONTAL</v>
          </cell>
          <cell r="D1423" t="str">
            <v>3002703878</v>
          </cell>
          <cell r="E1423" t="str">
            <v>edificioparquejapon@hotmail.com</v>
          </cell>
          <cell r="F1423" t="str">
            <v>CALLE 86 A  11 A  62</v>
          </cell>
          <cell r="G1423">
            <v>11001</v>
          </cell>
        </row>
        <row r="1424">
          <cell r="A1424" t="str">
            <v>830015147</v>
          </cell>
          <cell r="B1424" t="str">
            <v>0</v>
          </cell>
          <cell r="C1424" t="str">
            <v>EDIFICIO PARQUE ROSALES - PROPIEDAD HORIZONTAL</v>
          </cell>
          <cell r="D1424" t="str">
            <v>2578701</v>
          </cell>
          <cell r="E1424" t="str">
            <v>proveedoremf@gmail.com</v>
          </cell>
          <cell r="F1424" t="str">
            <v>CALLE 77  14  46  OFICINA 503</v>
          </cell>
          <cell r="G1424">
            <v>11001</v>
          </cell>
        </row>
        <row r="1425">
          <cell r="A1425" t="str">
            <v>830015329</v>
          </cell>
          <cell r="B1425" t="str">
            <v>4</v>
          </cell>
          <cell r="C1425" t="str">
            <v>EDIFICIO TORREANDINA PROPIEDAD HORIZONTAL</v>
          </cell>
          <cell r="D1425" t="str">
            <v>6351864</v>
          </cell>
          <cell r="E1425" t="str">
            <v>edinter@sicre.co</v>
          </cell>
          <cell r="F1425" t="str">
            <v>AVENIDA 82  12  18  PISO 2</v>
          </cell>
          <cell r="G1425">
            <v>11001</v>
          </cell>
        </row>
        <row r="1426">
          <cell r="A1426" t="str">
            <v>830015904</v>
          </cell>
          <cell r="B1426" t="str">
            <v>1</v>
          </cell>
          <cell r="C1426" t="str">
            <v>CONJUNTO RESIDENCIAL ALAMEDA TORRE 1 PRIMERA ETAPA</v>
          </cell>
          <cell r="D1426" t="str">
            <v>2161803</v>
          </cell>
          <cell r="E1426" t="str">
            <v>alamedatorre1ph@gmail.com</v>
          </cell>
          <cell r="F1426" t="str">
            <v>CALLE 135  7  41</v>
          </cell>
          <cell r="G1426">
            <v>11001</v>
          </cell>
        </row>
        <row r="1427">
          <cell r="A1427" t="str">
            <v>830015904</v>
          </cell>
          <cell r="B1427" t="str">
            <v>1</v>
          </cell>
          <cell r="C1427" t="str">
            <v>CONJUNTO RESIDENCIAL ALAMEDA TORRE 1 PRIMERA ETAPA</v>
          </cell>
          <cell r="D1427" t="str">
            <v>2161803</v>
          </cell>
          <cell r="E1427" t="str">
            <v>alamedatorre1ph@gmail.com</v>
          </cell>
          <cell r="F1427" t="str">
            <v>CALLE 135  7  41</v>
          </cell>
          <cell r="G1427">
            <v>11001</v>
          </cell>
        </row>
        <row r="1428">
          <cell r="A1428" t="str">
            <v>830016267</v>
          </cell>
          <cell r="B1428" t="str">
            <v>0</v>
          </cell>
          <cell r="C1428" t="str">
            <v>CONJUNTO MIXTO CENTRO EMPRESARIAL METROPOLITANO PROPIEDAD HORIZONTAL</v>
          </cell>
          <cell r="D1428" t="str">
            <v>4059580</v>
          </cell>
          <cell r="E1428" t="str">
            <v>administracion.cem@integralph.com</v>
          </cell>
          <cell r="F1428" t="str">
            <v>AVENIDA CALLE 26  68 B  85</v>
          </cell>
          <cell r="G1428">
            <v>11001</v>
          </cell>
        </row>
        <row r="1429">
          <cell r="A1429" t="str">
            <v>830016644</v>
          </cell>
          <cell r="B1429" t="str">
            <v>4</v>
          </cell>
          <cell r="C1429" t="str">
            <v>EDIFICIO ROSALES PLAZA-BARODA</v>
          </cell>
          <cell r="D1429" t="str">
            <v>2489529</v>
          </cell>
          <cell r="E1429" t="str">
            <v>facturacion@estiloingenieria.com</v>
          </cell>
          <cell r="F1429" t="str">
            <v>CARRERA 8  69  11</v>
          </cell>
          <cell r="G1429">
            <v>11001</v>
          </cell>
        </row>
        <row r="1430">
          <cell r="A1430" t="str">
            <v>830016644</v>
          </cell>
          <cell r="B1430" t="str">
            <v>4</v>
          </cell>
          <cell r="C1430" t="str">
            <v>EDIFICIO ROSALES PLAZA-BARODA</v>
          </cell>
          <cell r="D1430" t="str">
            <v>2489529</v>
          </cell>
          <cell r="E1430" t="str">
            <v>facturacion@estiloingenieria.com</v>
          </cell>
          <cell r="F1430" t="str">
            <v>CARRERA 8  69  11</v>
          </cell>
          <cell r="G1430">
            <v>11001</v>
          </cell>
        </row>
        <row r="1431">
          <cell r="A1431" t="str">
            <v>830016812</v>
          </cell>
          <cell r="B1431" t="str">
            <v>5</v>
          </cell>
          <cell r="C1431" t="str">
            <v>EDIFICIO ASIS</v>
          </cell>
          <cell r="D1431" t="str">
            <v>3155851446</v>
          </cell>
          <cell r="E1431" t="str">
            <v>edificioasis@yahoo.com.co</v>
          </cell>
          <cell r="F1431" t="str">
            <v>CARRERA 7  79  07</v>
          </cell>
          <cell r="G1431">
            <v>11001</v>
          </cell>
        </row>
        <row r="1432">
          <cell r="A1432" t="str">
            <v>830016899</v>
          </cell>
          <cell r="B1432" t="str">
            <v>5</v>
          </cell>
          <cell r="C1432" t="str">
            <v>EDIFICIO PRADOS DEL MUSEO PROPIEDAD HORIZONTAL</v>
          </cell>
          <cell r="D1432" t="str">
            <v>6251192</v>
          </cell>
          <cell r="E1432" t="str">
            <v>edificiopradosdelmuseo@gmail.com</v>
          </cell>
          <cell r="F1432" t="str">
            <v>CARRERA 10  93 A  65</v>
          </cell>
          <cell r="G1432">
            <v>11001</v>
          </cell>
        </row>
        <row r="1433">
          <cell r="A1433" t="str">
            <v>830017828</v>
          </cell>
          <cell r="B1433" t="str">
            <v>7</v>
          </cell>
          <cell r="C1433" t="str">
            <v>EDIFICIO FORTALEZA REAL PROPIEDAD HORIZONTAL</v>
          </cell>
          <cell r="D1433" t="str">
            <v>6204060</v>
          </cell>
          <cell r="E1433" t="str">
            <v>facturacionelectronica@administracionmarca.com</v>
          </cell>
          <cell r="F1433" t="str">
            <v>CALLE 123  7 07</v>
          </cell>
          <cell r="G1433">
            <v>11001</v>
          </cell>
        </row>
        <row r="1434">
          <cell r="A1434" t="str">
            <v>830017927</v>
          </cell>
          <cell r="B1434" t="str">
            <v>8</v>
          </cell>
          <cell r="C1434" t="str">
            <v>ARBO SAS</v>
          </cell>
          <cell r="D1434" t="str">
            <v>601-6913989</v>
          </cell>
          <cell r="E1434" t="str">
            <v>facturacionelectronica@arbo-sas.com</v>
          </cell>
          <cell r="F1434" t="str">
            <v>CARRERA 16 # 95-74</v>
          </cell>
          <cell r="G1434">
            <v>11001</v>
          </cell>
        </row>
        <row r="1435">
          <cell r="A1435" t="str">
            <v>830018231</v>
          </cell>
          <cell r="B1435" t="str">
            <v>5</v>
          </cell>
          <cell r="C1435" t="str">
            <v>CONJUNTO RESIDENCIAL LA ARBOLEDA DEL MOCHUELO - PROPIEDAD HORIZONTAL</v>
          </cell>
          <cell r="D1435" t="str">
            <v>7045349</v>
          </cell>
          <cell r="E1435" t="str">
            <v>facturacion@estiloingenieria.com</v>
          </cell>
          <cell r="F1435" t="str">
            <v>CALLE 107 A  11 A  50</v>
          </cell>
          <cell r="G1435">
            <v>11001</v>
          </cell>
        </row>
        <row r="1436">
          <cell r="A1436" t="str">
            <v>830018269</v>
          </cell>
          <cell r="B1436" t="str">
            <v>4</v>
          </cell>
          <cell r="C1436" t="str">
            <v>EDIFICIO ISNOS PROPIEDAD HORIZONTAL</v>
          </cell>
          <cell r="D1436" t="str">
            <v>3103250268</v>
          </cell>
          <cell r="E1436" t="str">
            <v>edificioisnosph@gmail.com</v>
          </cell>
          <cell r="F1436" t="str">
            <v>CARRERA 14 A  127 A  81</v>
          </cell>
          <cell r="G1436">
            <v>11001</v>
          </cell>
        </row>
        <row r="1437">
          <cell r="A1437" t="str">
            <v>830018507</v>
          </cell>
          <cell r="B1437" t="str">
            <v>2</v>
          </cell>
          <cell r="C1437" t="str">
            <v>PORTAL DE LA 94 PROPIEDAD HORIZONTAL</v>
          </cell>
          <cell r="D1437" t="str">
            <v>2577979</v>
          </cell>
          <cell r="E1437" t="str">
            <v>portaldela94@gmail.com</v>
          </cell>
          <cell r="F1437" t="str">
            <v>CALLE 94  15  32</v>
          </cell>
          <cell r="G1437">
            <v>11001</v>
          </cell>
        </row>
        <row r="1438">
          <cell r="A1438" t="str">
            <v>830019540</v>
          </cell>
          <cell r="B1438" t="str">
            <v>0</v>
          </cell>
          <cell r="C1438" t="str">
            <v>CONJUNTO RESIDENCIAL LA ALAMEDA TORRE II SEGUNDA ETAPA- PROPIEDAD HORIZONTAL</v>
          </cell>
          <cell r="D1438" t="str">
            <v>6482000</v>
          </cell>
          <cell r="E1438" t="str">
            <v>alamedatorre2@gmail.com</v>
          </cell>
          <cell r="F1438" t="str">
            <v>CALLE 135  7  41</v>
          </cell>
          <cell r="G1438">
            <v>11001</v>
          </cell>
        </row>
        <row r="1439">
          <cell r="A1439" t="str">
            <v>830019805</v>
          </cell>
          <cell r="B1439" t="str">
            <v>7</v>
          </cell>
          <cell r="C1439" t="str">
            <v>EDIFICIO EL PORTAL DE SANTANA PROPIEDAD HORIZONTAL</v>
          </cell>
          <cell r="D1439" t="str">
            <v>6752287</v>
          </cell>
          <cell r="E1439" t="str">
            <v>santana109ph@gmail.com</v>
          </cell>
          <cell r="F1439" t="str">
            <v>DIAGONAL 109  5 A  31</v>
          </cell>
          <cell r="G1439">
            <v>11001</v>
          </cell>
        </row>
        <row r="1440">
          <cell r="A1440" t="str">
            <v>830021138</v>
          </cell>
          <cell r="B1440" t="str">
            <v>9</v>
          </cell>
          <cell r="C1440" t="str">
            <v>EDIFICIO ALTOS DEL ROSAL PROPIEDAD HORIZONTAL</v>
          </cell>
          <cell r="D1440" t="str">
            <v>6372954</v>
          </cell>
          <cell r="E1440" t="str">
            <v>radicacionfacturas.phsas@gmail.com</v>
          </cell>
          <cell r="F1440" t="str">
            <v>CARRERA 1 A ESTE  78  06</v>
          </cell>
          <cell r="G1440">
            <v>11001</v>
          </cell>
        </row>
        <row r="1441">
          <cell r="A1441" t="str">
            <v>830021165</v>
          </cell>
          <cell r="B1441" t="str">
            <v>8</v>
          </cell>
          <cell r="C1441" t="str">
            <v>CENTRO EMPRESARIAL AVENIDA 80</v>
          </cell>
          <cell r="D1441" t="str">
            <v>5335277</v>
          </cell>
          <cell r="E1441" t="str">
            <v>centroempresarialcalle80@gmail.com</v>
          </cell>
          <cell r="F1441" t="str">
            <v>CALLE 95  11  51 OFICINA 402</v>
          </cell>
          <cell r="G1441">
            <v>11001</v>
          </cell>
        </row>
        <row r="1442">
          <cell r="A1442" t="str">
            <v>830021165</v>
          </cell>
          <cell r="B1442" t="str">
            <v>8</v>
          </cell>
          <cell r="C1442" t="str">
            <v>CENTRO EMPRESARIAL AVENIDA 80</v>
          </cell>
          <cell r="D1442" t="str">
            <v>5335277</v>
          </cell>
          <cell r="E1442" t="str">
            <v>centroempresarialcalle80@gmail.com</v>
          </cell>
          <cell r="F1442" t="str">
            <v>CALLE 95  11  51 OFICINA 402</v>
          </cell>
          <cell r="G1442">
            <v>11001</v>
          </cell>
        </row>
        <row r="1443">
          <cell r="A1443" t="str">
            <v>830021423</v>
          </cell>
          <cell r="B1443" t="str">
            <v>3</v>
          </cell>
          <cell r="C1443" t="str">
            <v>SALITRE PLAZA CENTRO COMERCIAL PROPIEDAD HORIZONTAL</v>
          </cell>
          <cell r="D1443" t="str">
            <v>4231010</v>
          </cell>
          <cell r="E1443" t="str">
            <v>facturacionelectronica@salitreplaza.com.co</v>
          </cell>
          <cell r="F1443" t="str">
            <v>CALLE 68 B  24  39</v>
          </cell>
          <cell r="G1443">
            <v>11001</v>
          </cell>
        </row>
        <row r="1444">
          <cell r="A1444" t="str">
            <v>830021423</v>
          </cell>
          <cell r="B1444" t="str">
            <v>3</v>
          </cell>
          <cell r="C1444" t="str">
            <v>SALITRE PLAZA CENTRO COMERCIAL PROPIEDAD HORIZONTAL</v>
          </cell>
          <cell r="D1444" t="str">
            <v>4231010</v>
          </cell>
          <cell r="E1444" t="str">
            <v>facturacionelectronica@salitreplaza.com.co</v>
          </cell>
          <cell r="F1444" t="str">
            <v>CALLE 68 B  24  39</v>
          </cell>
          <cell r="G1444">
            <v>11001</v>
          </cell>
        </row>
        <row r="1445">
          <cell r="A1445" t="str">
            <v>830021837</v>
          </cell>
          <cell r="B1445" t="str">
            <v>9</v>
          </cell>
          <cell r="C1445" t="str">
            <v>BOSQUE DE BELLAVISTA</v>
          </cell>
          <cell r="D1445" t="str">
            <v>2876566</v>
          </cell>
          <cell r="E1445" t="str">
            <v>facturacionelectronica@casalini.com.co</v>
          </cell>
          <cell r="F1445" t="str">
            <v>DIAGONAL 72  2  30 ESTE</v>
          </cell>
          <cell r="G1445">
            <v>11001</v>
          </cell>
        </row>
        <row r="1446">
          <cell r="A1446" t="str">
            <v>830021837</v>
          </cell>
          <cell r="B1446" t="str">
            <v>9</v>
          </cell>
          <cell r="C1446" t="str">
            <v>BOSQUE DE BELLAVISTA</v>
          </cell>
          <cell r="D1446" t="str">
            <v>2876566</v>
          </cell>
          <cell r="E1446" t="str">
            <v>facturacionelectronica@casalini.com.co</v>
          </cell>
          <cell r="F1446" t="str">
            <v>DIAGONAL 72  2  30 ESTE</v>
          </cell>
          <cell r="G1446">
            <v>11001</v>
          </cell>
        </row>
        <row r="1447">
          <cell r="A1447" t="str">
            <v>830022079</v>
          </cell>
          <cell r="B1447" t="str">
            <v>7</v>
          </cell>
          <cell r="C1447" t="str">
            <v>CONJUNTO RESIDENCIAL TORRES DE MALLORCA - PROPIEDAD HORIZONTAL</v>
          </cell>
          <cell r="D1447" t="str">
            <v>6277367</v>
          </cell>
          <cell r="E1447" t="str">
            <v>admonmallorca1@gmail.com</v>
          </cell>
          <cell r="F1447" t="str">
            <v>CARRERA 54 D  135  95</v>
          </cell>
          <cell r="G1447">
            <v>11001</v>
          </cell>
        </row>
        <row r="1448">
          <cell r="A1448" t="str">
            <v>830022327</v>
          </cell>
          <cell r="B1448" t="str">
            <v>9</v>
          </cell>
          <cell r="C1448" t="str">
            <v>EDIFICIO PALOS VERDES - PROPIEDAD HORIZONTAL</v>
          </cell>
          <cell r="D1448" t="str">
            <v>2876566</v>
          </cell>
          <cell r="E1448" t="str">
            <v>facturacionelectronica@casalini.com.co</v>
          </cell>
          <cell r="F1448" t="str">
            <v>CARRERA 5  81  30 BRR ROSALES</v>
          </cell>
          <cell r="G1448">
            <v>11001</v>
          </cell>
        </row>
        <row r="1449">
          <cell r="A1449" t="str">
            <v>830023202</v>
          </cell>
          <cell r="B1449" t="str">
            <v>1</v>
          </cell>
          <cell r="C1449" t="str">
            <v>COSMITET LTDA CORPORACION DE SERVICIOS MEDICOS INTERNANCIONALES THEM Y CIA LTDA</v>
          </cell>
          <cell r="D1449" t="str">
            <v>5185000</v>
          </cell>
          <cell r="E1449" t="str">
            <v>facturacion_electronica@cosmitet.net</v>
          </cell>
          <cell r="F1449" t="str">
            <v>CL 64 G 88 A 88</v>
          </cell>
          <cell r="G1449">
            <v>11001</v>
          </cell>
        </row>
        <row r="1450">
          <cell r="A1450" t="str">
            <v>830024060</v>
          </cell>
          <cell r="B1450" t="str">
            <v>7</v>
          </cell>
          <cell r="C1450" t="str">
            <v>EDIFICIO TORRE DE LA CABRERA</v>
          </cell>
          <cell r="D1450" t="str">
            <v>6223675</v>
          </cell>
          <cell r="E1450" t="str">
            <v>edificiotorredelacabrera@hotmail.com</v>
          </cell>
          <cell r="F1450" t="str">
            <v>CARRERA 9 A  85  32</v>
          </cell>
          <cell r="G1450">
            <v>11001</v>
          </cell>
        </row>
        <row r="1451">
          <cell r="A1451" t="str">
            <v>830025297</v>
          </cell>
          <cell r="B1451" t="str">
            <v>1</v>
          </cell>
          <cell r="C1451" t="str">
            <v>EDIFICIO PORTAL DEL VIEJO PARQUE</v>
          </cell>
          <cell r="D1451" t="str">
            <v>8059200</v>
          </cell>
          <cell r="E1451" t="str">
            <v>facturacion@estiloingenieria.com</v>
          </cell>
          <cell r="F1451" t="str">
            <v>CARRERA 15  85  29  OFICINA 402</v>
          </cell>
          <cell r="G1451">
            <v>11001</v>
          </cell>
        </row>
        <row r="1452">
          <cell r="A1452" t="str">
            <v>830025297</v>
          </cell>
          <cell r="B1452" t="str">
            <v>1</v>
          </cell>
          <cell r="C1452" t="str">
            <v>EDIFICIO PORTAL DEL VIEJO PARQUE</v>
          </cell>
          <cell r="D1452" t="str">
            <v>8059200</v>
          </cell>
          <cell r="E1452" t="str">
            <v>facturacion@estiloingenieria.com</v>
          </cell>
          <cell r="F1452" t="str">
            <v>CARRERA 15  85  29  OFICINA 402</v>
          </cell>
          <cell r="G1452">
            <v>11001</v>
          </cell>
        </row>
        <row r="1453">
          <cell r="A1453" t="str">
            <v>830026278</v>
          </cell>
          <cell r="B1453" t="str">
            <v>4</v>
          </cell>
          <cell r="C1453" t="str">
            <v>EDIFICIO ALTOS DE KARON - PROPIEDAD HORIZONTAL</v>
          </cell>
          <cell r="D1453" t="str">
            <v>3099270</v>
          </cell>
          <cell r="E1453" t="str">
            <v>karontrabajo@hotmail.com</v>
          </cell>
          <cell r="F1453" t="str">
            <v>DIAGONAL 73  1  85</v>
          </cell>
          <cell r="G1453">
            <v>11001</v>
          </cell>
        </row>
        <row r="1454">
          <cell r="A1454" t="str">
            <v>830026733</v>
          </cell>
          <cell r="B1454" t="str">
            <v>4</v>
          </cell>
          <cell r="C1454" t="str">
            <v>EDIFICIO PORTAL DE ROSALES</v>
          </cell>
          <cell r="D1454" t="str">
            <v>3213724847</v>
          </cell>
          <cell r="E1454" t="str">
            <v>edificioportalderosales@gmail.com</v>
          </cell>
          <cell r="F1454" t="str">
            <v>CALLE 78 5 32</v>
          </cell>
          <cell r="G1454">
            <v>11001</v>
          </cell>
        </row>
        <row r="1455">
          <cell r="A1455" t="str">
            <v>830027225</v>
          </cell>
          <cell r="B1455" t="str">
            <v>9</v>
          </cell>
          <cell r="C1455" t="str">
            <v>EDIFICIO EL BOSQUE PROPIEDAD HORIZONTAL</v>
          </cell>
          <cell r="D1455" t="str">
            <v>6271611</v>
          </cell>
          <cell r="E1455" t="str">
            <v>edibosquefacturaelectronica@gmail.com</v>
          </cell>
          <cell r="F1455" t="str">
            <v>CALLE 134  7 B  83</v>
          </cell>
          <cell r="G1455">
            <v>11001</v>
          </cell>
        </row>
        <row r="1456">
          <cell r="A1456" t="str">
            <v>830027225</v>
          </cell>
          <cell r="B1456" t="str">
            <v>9</v>
          </cell>
          <cell r="C1456" t="str">
            <v>EDIFICIO EL BOSQUE PROPIEDAD HORIZONTAL</v>
          </cell>
          <cell r="D1456" t="str">
            <v>6271611</v>
          </cell>
          <cell r="E1456" t="str">
            <v>edibosquefacturaelectronica@gmail.com</v>
          </cell>
          <cell r="F1456" t="str">
            <v>CALLE 134  7 B  83</v>
          </cell>
          <cell r="G1456">
            <v>11001</v>
          </cell>
        </row>
        <row r="1457">
          <cell r="A1457" t="str">
            <v>830027624</v>
          </cell>
          <cell r="B1457" t="str">
            <v>4</v>
          </cell>
          <cell r="C1457" t="str">
            <v>EDIFICIO ANTARES - PROPIEDAD HORIZONTAL</v>
          </cell>
          <cell r="D1457" t="str">
            <v>6122089</v>
          </cell>
          <cell r="E1457" t="str">
            <v>facturacion@estiloingenieria.com</v>
          </cell>
          <cell r="F1457" t="str">
            <v>CALLE 117  11  51</v>
          </cell>
          <cell r="G1457">
            <v>11001</v>
          </cell>
        </row>
        <row r="1458">
          <cell r="A1458" t="str">
            <v>830027624</v>
          </cell>
          <cell r="B1458" t="str">
            <v>4</v>
          </cell>
          <cell r="C1458" t="str">
            <v>EDIFICIO ANTARES - PROPIEDAD HORIZONTAL</v>
          </cell>
          <cell r="D1458" t="str">
            <v>6122089</v>
          </cell>
          <cell r="E1458" t="str">
            <v>facturacion@estiloingenieria.com</v>
          </cell>
          <cell r="F1458" t="str">
            <v>CALLE 117  11  51</v>
          </cell>
          <cell r="G1458">
            <v>11001</v>
          </cell>
        </row>
        <row r="1459">
          <cell r="A1459" t="str">
            <v>830027736</v>
          </cell>
          <cell r="B1459" t="str">
            <v>0</v>
          </cell>
          <cell r="C1459" t="str">
            <v>EDIFICIO CENTRO EIFFEL PROPIEDAD HORIZONTAL</v>
          </cell>
          <cell r="D1459" t="str">
            <v>6356383</v>
          </cell>
          <cell r="E1459" t="str">
            <v>centroeiffel@gmail.com</v>
          </cell>
          <cell r="F1459" t="str">
            <v>CARRERA 11  94 A  25</v>
          </cell>
          <cell r="G1459">
            <v>11001</v>
          </cell>
        </row>
        <row r="1460">
          <cell r="A1460" t="str">
            <v>830028134</v>
          </cell>
          <cell r="B1460" t="str">
            <v>1</v>
          </cell>
          <cell r="C1460" t="str">
            <v>EDIFICIO CIPRES DE LA COLINA PROPIEDAD HORIZONTAL</v>
          </cell>
          <cell r="D1460" t="str">
            <v>3115158366</v>
          </cell>
          <cell r="E1460" t="str">
            <v>cipresdelacolina@gmail.com</v>
          </cell>
          <cell r="F1460" t="str">
            <v>CARRERA 27  46  60</v>
          </cell>
          <cell r="G1460">
            <v>11001</v>
          </cell>
        </row>
        <row r="1461">
          <cell r="A1461" t="str">
            <v>830029151</v>
          </cell>
          <cell r="B1461" t="str">
            <v>1</v>
          </cell>
          <cell r="C1461" t="str">
            <v>EDIFICIO TORRE DE LA CABRERA PROPIEDAD HORIZONTAL</v>
          </cell>
          <cell r="D1461" t="str">
            <v>5453847</v>
          </cell>
          <cell r="E1461" t="str">
            <v>torredelacabrera@gmail.com</v>
          </cell>
          <cell r="F1461" t="str">
            <v>CALLE 10  86  24</v>
          </cell>
          <cell r="G1461">
            <v>11001</v>
          </cell>
        </row>
        <row r="1462">
          <cell r="A1462" t="str">
            <v>830029153</v>
          </cell>
          <cell r="B1462" t="str">
            <v>6</v>
          </cell>
          <cell r="C1462" t="str">
            <v>EDIFICIO AZAHARES PROPIEDAD HORIZONTAL</v>
          </cell>
          <cell r="D1462" t="str">
            <v>3104672</v>
          </cell>
          <cell r="E1462" t="str">
            <v>contabilidadumana@gmail.com</v>
          </cell>
          <cell r="F1462" t="str">
            <v>CALLE 95  8 A  35</v>
          </cell>
          <cell r="G1462">
            <v>11001</v>
          </cell>
        </row>
        <row r="1463">
          <cell r="A1463" t="str">
            <v>830029568</v>
          </cell>
          <cell r="B1463" t="str">
            <v>9</v>
          </cell>
          <cell r="C1463" t="str">
            <v>EDIFICIO NEPAL 73 PROPIEDAD HORIZONTAL</v>
          </cell>
          <cell r="D1463" t="str">
            <v>3172828</v>
          </cell>
          <cell r="E1463" t="str">
            <v>nepal73ph@hotmail.com</v>
          </cell>
          <cell r="F1463" t="str">
            <v>CALLE 73  9  42</v>
          </cell>
          <cell r="G1463">
            <v>11001</v>
          </cell>
        </row>
        <row r="1464">
          <cell r="A1464" t="str">
            <v>830029568</v>
          </cell>
          <cell r="B1464" t="str">
            <v>9</v>
          </cell>
          <cell r="C1464" t="str">
            <v>EDIFICIO NEPAL 73 PROPIEDAD HORIZONTAL</v>
          </cell>
          <cell r="D1464" t="str">
            <v>3172828</v>
          </cell>
          <cell r="E1464" t="str">
            <v>nepal73ph@hotmail.com</v>
          </cell>
          <cell r="F1464" t="str">
            <v>CALLE 73  9  42</v>
          </cell>
          <cell r="G1464">
            <v>11001</v>
          </cell>
        </row>
        <row r="1465">
          <cell r="A1465" t="str">
            <v>830030520</v>
          </cell>
          <cell r="B1465" t="str">
            <v>8</v>
          </cell>
          <cell r="C1465" t="str">
            <v>CENTRO COMERCIAL PUERTO LOPEZ PROPIEDAD HORIZONTAL</v>
          </cell>
          <cell r="D1465" t="str">
            <v>3513686</v>
          </cell>
          <cell r="E1465" t="str">
            <v>puertolopezcc@hotmail.com</v>
          </cell>
          <cell r="F1465" t="str">
            <v>CARRERA 38  10  90</v>
          </cell>
          <cell r="G1465">
            <v>11001</v>
          </cell>
        </row>
        <row r="1466">
          <cell r="A1466" t="str">
            <v>830030520</v>
          </cell>
          <cell r="B1466" t="str">
            <v>8</v>
          </cell>
          <cell r="C1466" t="str">
            <v>CENTRO COMERCIAL PUERTO LOPEZ PROPIEDAD HORIZONTAL</v>
          </cell>
          <cell r="D1466" t="str">
            <v>3513686</v>
          </cell>
          <cell r="E1466" t="str">
            <v>puertolopezcc@hotmail.com</v>
          </cell>
          <cell r="F1466" t="str">
            <v>CARRERA 38  10  90</v>
          </cell>
          <cell r="G1466">
            <v>11001</v>
          </cell>
        </row>
        <row r="1467">
          <cell r="A1467" t="str">
            <v>830030553</v>
          </cell>
          <cell r="B1467" t="str">
            <v>0</v>
          </cell>
          <cell r="C1467" t="str">
            <v>EDIFICIO CASTILLO DEL CERRO PROPIEDAD HORIZONTAL</v>
          </cell>
          <cell r="D1467" t="str">
            <v>3454815</v>
          </cell>
          <cell r="E1467" t="str">
            <v>facturacion@estiloingenieria.com</v>
          </cell>
          <cell r="F1467" t="str">
            <v>CALLE 72 A  00  86 ESTE</v>
          </cell>
          <cell r="G1467">
            <v>11001</v>
          </cell>
        </row>
        <row r="1468">
          <cell r="A1468" t="str">
            <v>830030598</v>
          </cell>
          <cell r="B1468" t="str">
            <v>1</v>
          </cell>
          <cell r="C1468" t="str">
            <v>EDIFICIO AVENIDA CHILE PROPIEDAD HORIZONTAL</v>
          </cell>
          <cell r="D1468" t="str">
            <v>3175485</v>
          </cell>
          <cell r="E1468" t="str">
            <v>facturacion@edavchile.com</v>
          </cell>
          <cell r="F1468" t="str">
            <v>CARRERA 7  71  21</v>
          </cell>
          <cell r="G1468">
            <v>11001</v>
          </cell>
        </row>
        <row r="1469">
          <cell r="A1469" t="str">
            <v>830030598</v>
          </cell>
          <cell r="B1469" t="str">
            <v>1</v>
          </cell>
          <cell r="C1469" t="str">
            <v>EDIFICIO AVENIDA CHILE PROPIEDAD HORIZONTAL</v>
          </cell>
          <cell r="D1469" t="str">
            <v>3175485</v>
          </cell>
          <cell r="E1469" t="str">
            <v>facturacion@edavchile.com</v>
          </cell>
          <cell r="F1469" t="str">
            <v>CARRERA 7  71  21</v>
          </cell>
          <cell r="G1469">
            <v>11001</v>
          </cell>
        </row>
        <row r="1470">
          <cell r="A1470" t="str">
            <v>830030851</v>
          </cell>
          <cell r="B1470" t="str">
            <v>0</v>
          </cell>
          <cell r="C1470" t="str">
            <v>EDIFICIO TORRE EMPRESARIAL 96</v>
          </cell>
          <cell r="D1470" t="str">
            <v>3460043</v>
          </cell>
          <cell r="E1470" t="str">
            <v>torreempresarialph@gmail.com</v>
          </cell>
          <cell r="F1470" t="str">
            <v>CARRERA 12  96  23</v>
          </cell>
          <cell r="G1470">
            <v>11001</v>
          </cell>
        </row>
        <row r="1471">
          <cell r="A1471" t="str">
            <v>830030992</v>
          </cell>
          <cell r="B1471" t="str">
            <v>0</v>
          </cell>
          <cell r="C1471" t="str">
            <v>CONJUNTO RESIDENCIAL EL SALITRE MONSERRATE - PROPIEDAD HORIZONTAL</v>
          </cell>
          <cell r="D1471" t="str">
            <v>3152880</v>
          </cell>
          <cell r="E1471" t="str">
            <v>conjuntomonserrate@gmail.com</v>
          </cell>
          <cell r="F1471" t="str">
            <v>CALLE 22 B  56  63</v>
          </cell>
          <cell r="G1471">
            <v>11001</v>
          </cell>
        </row>
        <row r="1472">
          <cell r="A1472" t="str">
            <v>830030992</v>
          </cell>
          <cell r="B1472" t="str">
            <v>0</v>
          </cell>
          <cell r="C1472" t="str">
            <v>CONJUNTO RESIDENCIAL EL SALITRE MONSERRATE - PROPIEDAD HORIZONTAL</v>
          </cell>
          <cell r="D1472" t="str">
            <v>3152880</v>
          </cell>
          <cell r="E1472" t="str">
            <v>conjuntomonserrate@gmail.com</v>
          </cell>
          <cell r="F1472" t="str">
            <v>CALLE 22 B  56  63</v>
          </cell>
          <cell r="G1472">
            <v>11001</v>
          </cell>
        </row>
        <row r="1473">
          <cell r="A1473" t="str">
            <v>830031237</v>
          </cell>
          <cell r="B1473" t="str">
            <v>2</v>
          </cell>
          <cell r="C1473" t="str">
            <v>EDIFICIO MANANTIAL PROPIEDAD HORIZONTAL</v>
          </cell>
          <cell r="D1473" t="str">
            <v>2496597</v>
          </cell>
          <cell r="E1473" t="str">
            <v>edificimanantial2e@gmail.com</v>
          </cell>
          <cell r="F1473" t="str">
            <v>TRANSVERSAL 2 ESTE  78  47</v>
          </cell>
          <cell r="G1473">
            <v>11001</v>
          </cell>
        </row>
        <row r="1474">
          <cell r="A1474" t="str">
            <v>830031251</v>
          </cell>
          <cell r="B1474" t="str">
            <v>6</v>
          </cell>
          <cell r="C1474" t="str">
            <v>CONJUNTO RESIDENCIAL LA ALAMEDA TORRE III TERCERA ETAPA- PROPIEDAD HORIZONTAL</v>
          </cell>
          <cell r="D1474" t="str">
            <v>3 1 0 2 1 3 0 0 2 2</v>
          </cell>
          <cell r="E1474" t="str">
            <v>alameda.torre3@hotmail.com</v>
          </cell>
          <cell r="F1474" t="str">
            <v>CL 135 7 41</v>
          </cell>
          <cell r="G1474">
            <v>11001</v>
          </cell>
        </row>
        <row r="1475">
          <cell r="A1475" t="str">
            <v>830031251</v>
          </cell>
          <cell r="B1475" t="str">
            <v>6</v>
          </cell>
          <cell r="C1475" t="str">
            <v>CONJUNTO RESIDENCIAL LA ALAMEDA TORRE III TERCERA ETAPA- PROPIEDAD HORIZONTAL</v>
          </cell>
          <cell r="D1475" t="str">
            <v>3 1 0 2 1 3 0 0 2 2</v>
          </cell>
          <cell r="E1475" t="str">
            <v>alameda.torre3@hotmail.com</v>
          </cell>
          <cell r="F1475" t="str">
            <v>CL 135 7 41</v>
          </cell>
          <cell r="G1475">
            <v>11001</v>
          </cell>
        </row>
        <row r="1476">
          <cell r="A1476" t="str">
            <v>830031729</v>
          </cell>
          <cell r="B1476" t="str">
            <v>4</v>
          </cell>
          <cell r="C1476" t="str">
            <v>CONJUNTO RESIDENCIAL PARQUES DE SAN NICOLAS INTERIORES 1,2,3,4,5,6,7,8 - PROPIEDAD HORIZON</v>
          </cell>
          <cell r="D1476" t="str">
            <v>3150810</v>
          </cell>
          <cell r="E1476" t="str">
            <v>parquesdesannicolas@gmail.com</v>
          </cell>
          <cell r="F1476" t="str">
            <v>CALLE 59  56  63</v>
          </cell>
          <cell r="G1476">
            <v>11001</v>
          </cell>
        </row>
        <row r="1477">
          <cell r="A1477" t="str">
            <v>830032247</v>
          </cell>
          <cell r="B1477" t="str">
            <v>0</v>
          </cell>
          <cell r="C1477" t="str">
            <v>IGLESIA DE DIOS MINISTERIAL JESUCRISTO INTERNACIONAL</v>
          </cell>
          <cell r="D1477" t="str">
            <v>4918870</v>
          </cell>
          <cell r="E1477" t="str">
            <v>recepcionfacturas@idmji.org</v>
          </cell>
          <cell r="F1477" t="str">
            <v>CALLE 106  54  86</v>
          </cell>
          <cell r="G1477">
            <v>11001</v>
          </cell>
        </row>
        <row r="1478">
          <cell r="A1478" t="str">
            <v>830032492</v>
          </cell>
          <cell r="B1478" t="str">
            <v>9</v>
          </cell>
          <cell r="C1478" t="str">
            <v>EDIFICIO TORRE 9-79 PROPIEDAD HORIZONTAL</v>
          </cell>
          <cell r="D1478" t="str">
            <v>3121439</v>
          </cell>
          <cell r="E1478" t="str">
            <v>torre979@gmail.com</v>
          </cell>
          <cell r="F1478" t="str">
            <v>CARRERA 9  79  39</v>
          </cell>
          <cell r="G1478">
            <v>11001</v>
          </cell>
        </row>
        <row r="1479">
          <cell r="A1479" t="str">
            <v>830032492</v>
          </cell>
          <cell r="B1479" t="str">
            <v>9</v>
          </cell>
          <cell r="C1479" t="str">
            <v>EDIFICIO TORRE 9-79 PROPIEDAD HORIZONTAL</v>
          </cell>
          <cell r="D1479" t="str">
            <v>3121439</v>
          </cell>
          <cell r="E1479" t="str">
            <v>torre979@gmail.com</v>
          </cell>
          <cell r="F1479" t="str">
            <v>CARRERA 9  79  39</v>
          </cell>
          <cell r="G1479">
            <v>11001</v>
          </cell>
        </row>
        <row r="1480">
          <cell r="A1480" t="str">
            <v>830032584</v>
          </cell>
          <cell r="B1480" t="str">
            <v>8</v>
          </cell>
          <cell r="C1480" t="str">
            <v>EDIFICIO PANORAMA 100 - PROPIEDAD HORIZONTAL</v>
          </cell>
          <cell r="D1480" t="str">
            <v>3114731058</v>
          </cell>
          <cell r="E1480" t="str">
            <v>facturacion@estiloingenieria.com</v>
          </cell>
          <cell r="F1480" t="str">
            <v>AVENIDA 13  100  12</v>
          </cell>
          <cell r="G1480">
            <v>11001</v>
          </cell>
        </row>
        <row r="1481">
          <cell r="A1481" t="str">
            <v>830032662</v>
          </cell>
          <cell r="B1481" t="str">
            <v>4</v>
          </cell>
          <cell r="C1481" t="str">
            <v>EDIFICIO ALTOS DE SOTILEZA PROPIEDAD HORIZONTAL</v>
          </cell>
          <cell r="D1481" t="str">
            <v>6245379</v>
          </cell>
          <cell r="E1481" t="str">
            <v>facturacion@estiloingenieria.com</v>
          </cell>
          <cell r="F1481" t="str">
            <v>CARRERA 79 A  128 A  19</v>
          </cell>
          <cell r="G1481">
            <v>11001</v>
          </cell>
        </row>
        <row r="1482">
          <cell r="A1482" t="str">
            <v>830032791</v>
          </cell>
          <cell r="B1482" t="str">
            <v>6</v>
          </cell>
          <cell r="C1482" t="str">
            <v>EDIFICIO OFICINAS PARQUE 87 - PROPIEDAD HORIZONTAL</v>
          </cell>
          <cell r="D1482">
            <v>3219664011</v>
          </cell>
          <cell r="E1482" t="str">
            <v>oficinasparque87ph@gmail.com</v>
          </cell>
          <cell r="F1482" t="str">
            <v>CARRERA 56  81  98</v>
          </cell>
          <cell r="G1482">
            <v>11001</v>
          </cell>
        </row>
        <row r="1483">
          <cell r="A1483" t="str">
            <v>830032792</v>
          </cell>
          <cell r="B1483" t="str">
            <v>3</v>
          </cell>
          <cell r="C1483" t="str">
            <v>EDIFICIO ALAMEDA 106 PROPIEDAD HORIZONTAL</v>
          </cell>
          <cell r="D1483" t="str">
            <v>3125819846</v>
          </cell>
          <cell r="E1483" t="str">
            <v>edificioalameda106@hotmail.com</v>
          </cell>
          <cell r="F1483" t="str">
            <v>CALLE 106  19 A  26</v>
          </cell>
          <cell r="G1483">
            <v>11001</v>
          </cell>
        </row>
        <row r="1484">
          <cell r="A1484" t="str">
            <v>830032792</v>
          </cell>
          <cell r="B1484" t="str">
            <v>3</v>
          </cell>
          <cell r="C1484" t="str">
            <v>EDIFICIO ALAMEDA 106 PROPIEDAD HORIZONTAL</v>
          </cell>
          <cell r="D1484" t="str">
            <v>3125819846</v>
          </cell>
          <cell r="E1484" t="str">
            <v>edificioalameda106@hotmail.com</v>
          </cell>
          <cell r="F1484" t="str">
            <v>CALLE 106  19 A  26</v>
          </cell>
          <cell r="G1484">
            <v>11001</v>
          </cell>
        </row>
        <row r="1485">
          <cell r="A1485" t="str">
            <v>830034187</v>
          </cell>
          <cell r="B1485" t="str">
            <v>6</v>
          </cell>
          <cell r="C1485" t="str">
            <v>EDIFICIO PINAR DE LA SIERRA PROPIEDAD HORIZONTAL</v>
          </cell>
          <cell r="D1485" t="str">
            <v>7740547</v>
          </cell>
          <cell r="E1485" t="str">
            <v>edificiopinardelasierraph1@gmail.com</v>
          </cell>
          <cell r="F1485" t="str">
            <v>CARRERA 6  131  46</v>
          </cell>
          <cell r="G1485">
            <v>11001</v>
          </cell>
        </row>
        <row r="1486">
          <cell r="A1486" t="str">
            <v>830034187</v>
          </cell>
          <cell r="B1486" t="str">
            <v>6</v>
          </cell>
          <cell r="C1486" t="str">
            <v>EDIFICIO PINAR DE LA SIERRA PROPIEDAD HORIZONTAL</v>
          </cell>
          <cell r="D1486" t="str">
            <v>7740547</v>
          </cell>
          <cell r="E1486" t="str">
            <v>edificiopinardelasierraph1@gmail.com</v>
          </cell>
          <cell r="F1486" t="str">
            <v>CARRERA 6  131  46</v>
          </cell>
          <cell r="G1486">
            <v>11001</v>
          </cell>
        </row>
        <row r="1487">
          <cell r="A1487" t="str">
            <v>830034348</v>
          </cell>
          <cell r="B1487" t="str">
            <v>5</v>
          </cell>
          <cell r="C1487" t="str">
            <v>MINISTERIO DE CULTURA</v>
          </cell>
          <cell r="D1487" t="str">
            <v>3424100</v>
          </cell>
          <cell r="E1487" t="str">
            <v>siifnacion.facturaelectronica@minhacienda.gov.co</v>
          </cell>
          <cell r="F1487" t="str">
            <v>CALLE 10  5  32</v>
          </cell>
          <cell r="G1487">
            <v>11001</v>
          </cell>
        </row>
        <row r="1488">
          <cell r="A1488" t="str">
            <v>830034471</v>
          </cell>
          <cell r="B1488" t="str">
            <v>3</v>
          </cell>
          <cell r="C1488" t="str">
            <v>CENTRO COMERCIAL LAS VEGAS PROPIEDAD HORIZONTAL</v>
          </cell>
          <cell r="D1488" t="str">
            <v>3706701</v>
          </cell>
          <cell r="E1488" t="str">
            <v>cclv512@hotmail.com</v>
          </cell>
          <cell r="F1488" t="str">
            <v>CALLE 8 A  37 A  43</v>
          </cell>
          <cell r="G1488">
            <v>11001</v>
          </cell>
        </row>
        <row r="1489">
          <cell r="A1489" t="str">
            <v>830034795</v>
          </cell>
          <cell r="B1489" t="str">
            <v>4</v>
          </cell>
          <cell r="C1489" t="str">
            <v>EDIFICIO PLAZA SANTA BARBARA-PROPIEDAD HORIZONTAL</v>
          </cell>
          <cell r="D1489" t="str">
            <v>3000005</v>
          </cell>
          <cell r="E1489" t="str">
            <v>edificioplazasantabarbara@gmail.com</v>
          </cell>
          <cell r="F1489" t="str">
            <v>CALLE 82  18  24  OFICINA 607</v>
          </cell>
          <cell r="G1489">
            <v>11001</v>
          </cell>
        </row>
        <row r="1490">
          <cell r="A1490" t="str">
            <v>830034913</v>
          </cell>
          <cell r="B1490" t="str">
            <v>7</v>
          </cell>
          <cell r="C1490" t="str">
            <v>EDIFICIO ANSES II PROPIEDAD HORIZONTAL</v>
          </cell>
          <cell r="D1490" t="str">
            <v>6168098</v>
          </cell>
          <cell r="E1490" t="str">
            <v>admacondomto@gmail.com</v>
          </cell>
          <cell r="F1490" t="str">
            <v>CARRERA 11 B  124 A  11</v>
          </cell>
          <cell r="G1490">
            <v>11001</v>
          </cell>
        </row>
        <row r="1491">
          <cell r="A1491" t="str">
            <v>830034914</v>
          </cell>
          <cell r="B1491" t="str">
            <v>4</v>
          </cell>
          <cell r="C1491" t="str">
            <v>EDIFICIO ANSES I</v>
          </cell>
          <cell r="D1491" t="str">
            <v>6129929</v>
          </cell>
          <cell r="E1491" t="str">
            <v>adymprho@gmail.com</v>
          </cell>
          <cell r="F1491" t="str">
            <v>CR 11 B BIS 124 A 15</v>
          </cell>
          <cell r="G1491">
            <v>11001</v>
          </cell>
        </row>
        <row r="1492">
          <cell r="A1492" t="str">
            <v>830035204</v>
          </cell>
          <cell r="B1492" t="str">
            <v>8</v>
          </cell>
          <cell r="C1492" t="str">
            <v>EDIFICIO BOSQUE LA CABRERA - PROPIEDAD HORIZONTAL</v>
          </cell>
          <cell r="D1492" t="str">
            <v>6372954</v>
          </cell>
          <cell r="E1492" t="str">
            <v>contabilidadumana@gmail.com</v>
          </cell>
          <cell r="F1492" t="str">
            <v>CALLE 86  11  84</v>
          </cell>
          <cell r="G1492">
            <v>11001</v>
          </cell>
        </row>
        <row r="1493">
          <cell r="A1493" t="str">
            <v>830035204</v>
          </cell>
          <cell r="B1493" t="str">
            <v>8</v>
          </cell>
          <cell r="C1493" t="str">
            <v>EDIFICIO BOSQUE LA CABRERA - PROPIEDAD HORIZONTAL</v>
          </cell>
          <cell r="D1493" t="str">
            <v>6372954</v>
          </cell>
          <cell r="E1493" t="str">
            <v>contabilidadumana@gmail.com</v>
          </cell>
          <cell r="F1493" t="str">
            <v>CALLE 86  11  84</v>
          </cell>
          <cell r="G1493">
            <v>11001</v>
          </cell>
        </row>
        <row r="1494">
          <cell r="A1494" t="str">
            <v>830035240</v>
          </cell>
          <cell r="B1494" t="str">
            <v>3</v>
          </cell>
          <cell r="C1494" t="str">
            <v>EDIFICIO JAZMINES DE UNICENTRO - PROPIEDAD HORIZONTAL</v>
          </cell>
          <cell r="D1494" t="str">
            <v>3214932172</v>
          </cell>
          <cell r="E1494" t="str">
            <v>jazminesdeunicentro@gmail.com</v>
          </cell>
          <cell r="F1494" t="str">
            <v>CARRERA 15 A  124  05</v>
          </cell>
          <cell r="G1494">
            <v>11001</v>
          </cell>
        </row>
        <row r="1495">
          <cell r="A1495" t="str">
            <v>830035247</v>
          </cell>
          <cell r="B1495" t="str">
            <v>4</v>
          </cell>
          <cell r="C1495" t="str">
            <v>EDIFICIO HORIZONTE HEALTH RESOURCES PROPIEDAD HORIZONTAL</v>
          </cell>
          <cell r="D1495" t="str">
            <v>2595501</v>
          </cell>
          <cell r="E1495" t="str">
            <v>admindelegadohorizonte@edificiohorizonte.com</v>
          </cell>
          <cell r="F1495" t="str">
            <v>AVENIDA 127  20  78</v>
          </cell>
          <cell r="G1495">
            <v>11001</v>
          </cell>
        </row>
        <row r="1496">
          <cell r="A1496" t="str">
            <v>830035247</v>
          </cell>
          <cell r="B1496" t="str">
            <v>4</v>
          </cell>
          <cell r="C1496" t="str">
            <v>EDIFICIO HORIZONTE HEALTH RESOURCES PROPIEDAD HORIZONTAL</v>
          </cell>
          <cell r="D1496" t="str">
            <v>2595501</v>
          </cell>
          <cell r="E1496" t="str">
            <v>admindelegadohorizonte@edificiohorizonte.com</v>
          </cell>
          <cell r="F1496" t="str">
            <v>AVENIDA 127  20  78</v>
          </cell>
          <cell r="G1496">
            <v>11001</v>
          </cell>
        </row>
        <row r="1497">
          <cell r="A1497" t="str">
            <v>830035347</v>
          </cell>
          <cell r="B1497" t="str">
            <v>2</v>
          </cell>
          <cell r="C1497" t="str">
            <v>EDIFICIO MULTIFAMILIAR FERRARA PROPIEDAD HORIZONTAL</v>
          </cell>
          <cell r="D1497" t="str">
            <v>5200859</v>
          </cell>
          <cell r="E1497" t="str">
            <v>edificioferrara121@gmail.com</v>
          </cell>
          <cell r="F1497" t="str">
            <v>CALLE 121  18 B  23</v>
          </cell>
          <cell r="G1497">
            <v>11001</v>
          </cell>
        </row>
        <row r="1498">
          <cell r="A1498" t="str">
            <v>830035347</v>
          </cell>
          <cell r="B1498" t="str">
            <v>2</v>
          </cell>
          <cell r="C1498" t="str">
            <v>EDIFICIO MULTIFAMILIAR FERRARA PROPIEDAD HORIZONTAL</v>
          </cell>
          <cell r="D1498" t="str">
            <v>5200859</v>
          </cell>
          <cell r="E1498" t="str">
            <v>edificioferrara121@gmail.com</v>
          </cell>
          <cell r="F1498" t="str">
            <v>CALLE 121  18 B  23</v>
          </cell>
          <cell r="G1498">
            <v>11001</v>
          </cell>
        </row>
        <row r="1499">
          <cell r="A1499" t="str">
            <v>830035403</v>
          </cell>
          <cell r="B1499" t="str">
            <v>7</v>
          </cell>
          <cell r="C1499" t="str">
            <v>EDIFICIO PASEO DEL CHICO PROPIEDAD HORIZONTAL</v>
          </cell>
          <cell r="D1499" t="str">
            <v>5224509</v>
          </cell>
          <cell r="E1499" t="str">
            <v>edificiopaseodelchico@gmail.com</v>
          </cell>
          <cell r="F1499" t="str">
            <v>CARRERA 11 B  103 A  21</v>
          </cell>
          <cell r="G1499">
            <v>11001</v>
          </cell>
        </row>
        <row r="1500">
          <cell r="A1500" t="str">
            <v>830036901</v>
          </cell>
          <cell r="B1500" t="str">
            <v>8</v>
          </cell>
          <cell r="C1500" t="str">
            <v>EDIFICIO LAURA PROPIEDAD HORIZONTAL</v>
          </cell>
          <cell r="D1500" t="str">
            <v>2578782</v>
          </cell>
          <cell r="E1500" t="str">
            <v>edificiolauraph@gmail.com</v>
          </cell>
          <cell r="F1500" t="str">
            <v>CALLE 91 8 58 BARRIO CHICO</v>
          </cell>
          <cell r="G1500">
            <v>11001</v>
          </cell>
        </row>
        <row r="1501">
          <cell r="A1501" t="str">
            <v>830037044</v>
          </cell>
          <cell r="B1501" t="str">
            <v>5</v>
          </cell>
          <cell r="C1501" t="str">
            <v>EDIFICIO LORETO PROPIEDAD HORIZONTAL</v>
          </cell>
          <cell r="D1501" t="str">
            <v>2180660</v>
          </cell>
          <cell r="E1501" t="str">
            <v>facturacion@estiloingenieria.com</v>
          </cell>
          <cell r="F1501" t="str">
            <v>CALLE 90  13 A  31</v>
          </cell>
          <cell r="G1501">
            <v>11001</v>
          </cell>
        </row>
        <row r="1502">
          <cell r="A1502" t="str">
            <v>830037104</v>
          </cell>
          <cell r="B1502" t="str">
            <v>9</v>
          </cell>
          <cell r="C1502" t="str">
            <v>EDIFICIO CANCILLER PROPIEDAD HORIZONTAL</v>
          </cell>
          <cell r="D1502" t="str">
            <v>3164280755</v>
          </cell>
          <cell r="E1502" t="str">
            <v>facturacion@estiloingenieria.com</v>
          </cell>
          <cell r="F1502" t="str">
            <v>CARRERA 5  81  15</v>
          </cell>
          <cell r="G1502">
            <v>11001</v>
          </cell>
        </row>
        <row r="1503">
          <cell r="A1503" t="str">
            <v>830037843</v>
          </cell>
          <cell r="B1503" t="str">
            <v>3</v>
          </cell>
          <cell r="C1503" t="str">
            <v>WINNER GROUP S.A.</v>
          </cell>
          <cell r="D1503" t="str">
            <v>3104287664</v>
          </cell>
          <cell r="E1503" t="str">
            <v>co.facturas.bta@winnergroup.com</v>
          </cell>
          <cell r="F1503" t="str">
            <v>CALLE 90  19 C  32  PISO 4</v>
          </cell>
          <cell r="G1503">
            <v>11001</v>
          </cell>
        </row>
        <row r="1504">
          <cell r="A1504" t="str">
            <v>830037968</v>
          </cell>
          <cell r="B1504" t="str">
            <v>5</v>
          </cell>
          <cell r="C1504" t="str">
            <v>EDIFICIO TORRE DE BURGOS - PROPIEDAD HORIZONTAL</v>
          </cell>
          <cell r="D1504" t="str">
            <v>6208852</v>
          </cell>
          <cell r="E1504" t="str">
            <v>contabilidadmmotta@gmail.com</v>
          </cell>
          <cell r="F1504" t="str">
            <v>CARRERA 14  127 A  48</v>
          </cell>
          <cell r="G1504">
            <v>11001</v>
          </cell>
        </row>
        <row r="1505">
          <cell r="A1505" t="str">
            <v>830038015</v>
          </cell>
          <cell r="B1505" t="str">
            <v>6</v>
          </cell>
          <cell r="C1505" t="str">
            <v>EDIFICIO SEGOVIA - PROPIEDAD HORIZONTAL</v>
          </cell>
          <cell r="D1505" t="str">
            <v>6167240</v>
          </cell>
          <cell r="E1505" t="str">
            <v>contabilidadumana@gmail.com</v>
          </cell>
          <cell r="F1505" t="str">
            <v>CARRERA 11  86  35</v>
          </cell>
          <cell r="G1505">
            <v>11001</v>
          </cell>
        </row>
        <row r="1506">
          <cell r="A1506" t="str">
            <v>830038015</v>
          </cell>
          <cell r="B1506" t="str">
            <v>6</v>
          </cell>
          <cell r="C1506" t="str">
            <v>EDIFICIO SEGOVIA - PROPIEDAD HORIZONTAL</v>
          </cell>
          <cell r="D1506" t="str">
            <v>6167240</v>
          </cell>
          <cell r="E1506" t="str">
            <v>contabilidadumana@gmail.com</v>
          </cell>
          <cell r="F1506" t="str">
            <v>CARRERA 11  86  35</v>
          </cell>
          <cell r="G1506">
            <v>11001</v>
          </cell>
        </row>
        <row r="1507">
          <cell r="A1507" t="str">
            <v>830039109</v>
          </cell>
          <cell r="B1507" t="str">
            <v>4</v>
          </cell>
          <cell r="C1507" t="str">
            <v>INGENIERIA DISEÑO Y CONSULTORIA S A S</v>
          </cell>
          <cell r="D1507" t="str">
            <v>3905091</v>
          </cell>
          <cell r="E1507" t="str">
            <v>facturacion.electronica@idcconsultores.com</v>
          </cell>
          <cell r="F1507" t="str">
            <v>CALLE 163 B 46 54</v>
          </cell>
          <cell r="G1507">
            <v>11001</v>
          </cell>
        </row>
        <row r="1508">
          <cell r="A1508" t="str">
            <v>830039743</v>
          </cell>
          <cell r="B1508" t="str">
            <v>4</v>
          </cell>
          <cell r="C1508" t="str">
            <v>CONJUNTO RESIDENCIAL PARQUE SANTA PAULA PROPIEDAD HORIZONTAL</v>
          </cell>
          <cell r="D1508" t="str">
            <v>6201680</v>
          </cell>
          <cell r="E1508" t="str">
            <v>parquesantapaula@gmail.com</v>
          </cell>
          <cell r="F1508" t="str">
            <v>CALLE 111  13  08</v>
          </cell>
          <cell r="G1508">
            <v>11001</v>
          </cell>
        </row>
        <row r="1509">
          <cell r="A1509" t="str">
            <v>830039762</v>
          </cell>
          <cell r="B1509" t="str">
            <v>4</v>
          </cell>
          <cell r="C1509" t="str">
            <v>CONJUNTO RESIDENCIAL CERROS DE SOTILEZA - PROPIEDAD HORIZONTAL</v>
          </cell>
          <cell r="D1509" t="str">
            <v>8029945</v>
          </cell>
          <cell r="E1509" t="str">
            <v>csotileza2024@gmail.com</v>
          </cell>
          <cell r="F1509" t="str">
            <v>AVENIDA BOYACA  128 B  65</v>
          </cell>
          <cell r="G1509">
            <v>11001</v>
          </cell>
        </row>
        <row r="1510">
          <cell r="A1510" t="str">
            <v>830040198</v>
          </cell>
          <cell r="B1510" t="str">
            <v>1</v>
          </cell>
          <cell r="C1510" t="str">
            <v>EDIFICIO PROFESIONALES DE BOLSA</v>
          </cell>
          <cell r="D1510" t="str">
            <v>7431227</v>
          </cell>
          <cell r="E1510" t="str">
            <v>auxcontable@nacobena.com</v>
          </cell>
          <cell r="F1510" t="str">
            <v>CARRERA 15  14  58</v>
          </cell>
          <cell r="G1510">
            <v>11001</v>
          </cell>
        </row>
        <row r="1511">
          <cell r="A1511" t="str">
            <v>830041814</v>
          </cell>
          <cell r="B1511" t="str">
            <v>5</v>
          </cell>
          <cell r="C1511" t="str">
            <v>EDIFICIO BELLAVISTA DE ROSALES PROPIEDAD HORIZONTAL</v>
          </cell>
          <cell r="D1511" t="str">
            <v>3176113</v>
          </cell>
          <cell r="E1511" t="str">
            <v>facturacion@estiloingenieria.com</v>
          </cell>
          <cell r="F1511" t="str">
            <v>CARRERA 3  74 A  41</v>
          </cell>
          <cell r="G1511">
            <v>11001</v>
          </cell>
        </row>
        <row r="1512">
          <cell r="A1512" t="str">
            <v>830043473</v>
          </cell>
          <cell r="B1512" t="str">
            <v>6</v>
          </cell>
          <cell r="C1512" t="str">
            <v>AGRUPACION DE VIVIENDA CALLEJA DOS MIL PRIMERA ETAPA</v>
          </cell>
          <cell r="D1512" t="str">
            <v>2169460</v>
          </cell>
          <cell r="E1512" t="str">
            <v>admoncalleja2000t1@gmail.com</v>
          </cell>
          <cell r="F1512" t="str">
            <v>CALLE 127 D  21  80</v>
          </cell>
          <cell r="G1512">
            <v>11001</v>
          </cell>
        </row>
        <row r="1513">
          <cell r="A1513" t="str">
            <v>830044427</v>
          </cell>
          <cell r="B1513" t="str">
            <v>1</v>
          </cell>
          <cell r="C1513" t="str">
            <v>EDIFICIO ILARCO 2 - PROPIEDAD HORIZONTAL</v>
          </cell>
          <cell r="D1513" t="str">
            <v>2261363</v>
          </cell>
          <cell r="E1513" t="str">
            <v>conjuntoilarco2@gmail.com</v>
          </cell>
          <cell r="F1513" t="str">
            <v>CALLE 115  59  40</v>
          </cell>
          <cell r="G1513">
            <v>11001</v>
          </cell>
        </row>
        <row r="1514">
          <cell r="A1514" t="str">
            <v>830044433</v>
          </cell>
          <cell r="B1514" t="str">
            <v>6</v>
          </cell>
          <cell r="C1514" t="str">
            <v>EDIFICIO CIPRES DE PASADENA II - PROPIEDAD HORIZONTAL</v>
          </cell>
          <cell r="D1514" t="str">
            <v>6225951</v>
          </cell>
          <cell r="E1514" t="str">
            <v>ciprespasadena@gmail.com</v>
          </cell>
          <cell r="F1514" t="str">
            <v>CARRERA 53  107  50</v>
          </cell>
          <cell r="G1514">
            <v>11001</v>
          </cell>
        </row>
        <row r="1515">
          <cell r="A1515" t="str">
            <v>830044478</v>
          </cell>
          <cell r="B1515" t="str">
            <v>7</v>
          </cell>
          <cell r="C1515" t="str">
            <v>EDIFICIO ASTURIAS CALLE 101 PROPIEDAD HORIZONTAL</v>
          </cell>
          <cell r="D1515" t="str">
            <v>2565713</v>
          </cell>
          <cell r="E1515" t="str">
            <v>edificioasturias.admon@gmail.com</v>
          </cell>
          <cell r="F1515" t="str">
            <v>CARRERA 22  100  44</v>
          </cell>
          <cell r="G1515">
            <v>11001</v>
          </cell>
        </row>
        <row r="1516">
          <cell r="A1516" t="str">
            <v>830044478</v>
          </cell>
          <cell r="B1516" t="str">
            <v>7</v>
          </cell>
          <cell r="C1516" t="str">
            <v>EDIFICIO ASTURIAS CALLE 101 PROPIEDAD HORIZONTAL</v>
          </cell>
          <cell r="D1516" t="str">
            <v>2565713</v>
          </cell>
          <cell r="E1516" t="str">
            <v>edificioasturias.admon@gmail.com</v>
          </cell>
          <cell r="F1516" t="str">
            <v>CARRERA 22  100  44</v>
          </cell>
          <cell r="G1516">
            <v>11001</v>
          </cell>
        </row>
        <row r="1517">
          <cell r="A1517" t="str">
            <v>830044490</v>
          </cell>
          <cell r="B1517" t="str">
            <v>6</v>
          </cell>
          <cell r="C1517" t="str">
            <v>EDIFICIO CABRERA VI SEGUNDA ETAPA PROPIEDAD HORIZONTAL</v>
          </cell>
          <cell r="D1517" t="str">
            <v>5497465</v>
          </cell>
          <cell r="E1517" t="str">
            <v>edificiocabrera6admon@gmail.com</v>
          </cell>
          <cell r="F1517" t="str">
            <v>CALLE 22 D  86  21</v>
          </cell>
          <cell r="G1517">
            <v>11001</v>
          </cell>
        </row>
        <row r="1518">
          <cell r="A1518" t="str">
            <v>830044503</v>
          </cell>
          <cell r="B1518" t="str">
            <v>3</v>
          </cell>
          <cell r="C1518" t="str">
            <v>COLEGIO JULIO GARAVITO ARMERO (IED)</v>
          </cell>
          <cell r="D1518" t="str">
            <v>2708028</v>
          </cell>
          <cell r="E1518" t="str">
            <v>iediga@gmail.com</v>
          </cell>
          <cell r="F1518" t="str">
            <v>CALLE 39 SUR No. 51F  59</v>
          </cell>
          <cell r="G1518">
            <v>11001</v>
          </cell>
        </row>
        <row r="1519">
          <cell r="A1519" t="str">
            <v>830044885</v>
          </cell>
          <cell r="B1519" t="str">
            <v>1</v>
          </cell>
          <cell r="C1519" t="str">
            <v>BODEGA Y COCINA SAS</v>
          </cell>
          <cell r="D1519" t="str">
            <v>7563300</v>
          </cell>
          <cell r="E1519" t="str">
            <v>facturaelectronica@bodegaycocina.com</v>
          </cell>
          <cell r="F1519" t="str">
            <v>CARRERA 47 A  98  45</v>
          </cell>
          <cell r="G1519">
            <v>11001</v>
          </cell>
        </row>
        <row r="1520">
          <cell r="A1520" t="str">
            <v>830045046</v>
          </cell>
          <cell r="B1520" t="str">
            <v>3</v>
          </cell>
          <cell r="C1520" t="str">
            <v>EDIFICIO CALLE 125 - PROPIEDAD HORIZONTAL</v>
          </cell>
          <cell r="D1520" t="str">
            <v>2138158</v>
          </cell>
          <cell r="E1520" t="str">
            <v>admon.calle125@invermetros.com.co</v>
          </cell>
          <cell r="F1520" t="str">
            <v>CALLE 125  19  89</v>
          </cell>
          <cell r="G1520">
            <v>11001</v>
          </cell>
        </row>
        <row r="1521">
          <cell r="A1521" t="str">
            <v>830045813</v>
          </cell>
          <cell r="B1521" t="str">
            <v>6</v>
          </cell>
          <cell r="C1521" t="str">
            <v>EDIFICIO INTERNATIONAL TOWER PROPIEDAD HORIZONTAL</v>
          </cell>
          <cell r="D1521" t="str">
            <v>6235379</v>
          </cell>
          <cell r="E1521" t="str">
            <v>edifitower@gmail.com</v>
          </cell>
          <cell r="F1521" t="str">
            <v>CALLE 100  19 A  50</v>
          </cell>
          <cell r="G1521">
            <v>11001</v>
          </cell>
        </row>
        <row r="1522">
          <cell r="A1522" t="str">
            <v>830045813</v>
          </cell>
          <cell r="B1522" t="str">
            <v>6</v>
          </cell>
          <cell r="C1522" t="str">
            <v>EDIFICIO INTERNATIONAL TOWER PROPIEDAD HORIZONTAL</v>
          </cell>
          <cell r="D1522" t="str">
            <v>6235379</v>
          </cell>
          <cell r="E1522" t="str">
            <v>edifitower@gmail.com</v>
          </cell>
          <cell r="F1522" t="str">
            <v>CALLE 100  19 A  50</v>
          </cell>
          <cell r="G1522">
            <v>11001</v>
          </cell>
        </row>
        <row r="1523">
          <cell r="A1523" t="str">
            <v>830046003</v>
          </cell>
          <cell r="B1523" t="str">
            <v>1</v>
          </cell>
          <cell r="C1523" t="str">
            <v>EDIFICIO JARDINES DE NAVARRA</v>
          </cell>
          <cell r="D1523" t="str">
            <v>6294584</v>
          </cell>
          <cell r="E1523" t="str">
            <v>facturacion@estiloingenieria.com</v>
          </cell>
          <cell r="F1523" t="str">
            <v>CALLE 108 A  22  10</v>
          </cell>
          <cell r="G1523">
            <v>11001</v>
          </cell>
        </row>
        <row r="1524">
          <cell r="A1524" t="str">
            <v>830046274</v>
          </cell>
          <cell r="B1524" t="str">
            <v>0</v>
          </cell>
          <cell r="C1524" t="str">
            <v>EDIFICIO CERRO PIJAO P.H.</v>
          </cell>
          <cell r="D1524" t="str">
            <v>3176875</v>
          </cell>
          <cell r="E1524" t="str">
            <v>facturacion@gaonacurrea.com</v>
          </cell>
          <cell r="F1524" t="str">
            <v>AVENIDA CALLE 26  78  41</v>
          </cell>
          <cell r="G1524">
            <v>11001</v>
          </cell>
        </row>
        <row r="1525">
          <cell r="A1525" t="str">
            <v>830046446</v>
          </cell>
          <cell r="B1525" t="str">
            <v>0</v>
          </cell>
          <cell r="C1525" t="str">
            <v>EDIFICIO EL ROBLE PROPIEDAD HORIZONTAL</v>
          </cell>
          <cell r="D1525" t="str">
            <v>3232464413</v>
          </cell>
          <cell r="E1525" t="str">
            <v>edificioelroble124@gmail.com</v>
          </cell>
          <cell r="F1525" t="str">
            <v>CALLE 124  18  78</v>
          </cell>
          <cell r="G1525">
            <v>11001</v>
          </cell>
        </row>
        <row r="1526">
          <cell r="A1526" t="str">
            <v>830046535</v>
          </cell>
          <cell r="B1526" t="str">
            <v>8</v>
          </cell>
          <cell r="C1526" t="str">
            <v>EDIFICIO SALUD TOTAL PROPIEDAD HORIZONTAL</v>
          </cell>
          <cell r="D1526" t="str">
            <v>6296660</v>
          </cell>
          <cell r="E1526" t="str">
            <v>edificiosaludtotalph@gmail.com</v>
          </cell>
          <cell r="F1526" t="str">
            <v>CARRERA 20  109  15</v>
          </cell>
          <cell r="G1526">
            <v>11001</v>
          </cell>
        </row>
        <row r="1527">
          <cell r="A1527" t="str">
            <v>830046989</v>
          </cell>
          <cell r="B1527" t="str">
            <v>8</v>
          </cell>
          <cell r="C1527" t="str">
            <v>EDIFICIO PIAMONTE - PROPIEDAD HORIZONTAL</v>
          </cell>
          <cell r="D1527" t="str">
            <v>6370895</v>
          </cell>
          <cell r="E1527" t="str">
            <v>mirb6719@gmail.com</v>
          </cell>
          <cell r="F1527" t="str">
            <v>CARRERA 9  28  10</v>
          </cell>
          <cell r="G1527">
            <v>11001</v>
          </cell>
        </row>
        <row r="1528">
          <cell r="A1528" t="str">
            <v>830047533</v>
          </cell>
          <cell r="B1528" t="str">
            <v>8</v>
          </cell>
          <cell r="C1528" t="str">
            <v>EDIFICIO GUATAPURI - PROPIEDAD HORIZONTAL</v>
          </cell>
          <cell r="D1528" t="str">
            <v>3000005</v>
          </cell>
          <cell r="E1528" t="str">
            <v>edificioguatapuriph@gmail.com</v>
          </cell>
          <cell r="F1528" t="str">
            <v>CARRERA 20  101  26</v>
          </cell>
          <cell r="G1528">
            <v>11001</v>
          </cell>
        </row>
        <row r="1529">
          <cell r="A1529" t="str">
            <v>830047887</v>
          </cell>
          <cell r="B1529" t="str">
            <v>1</v>
          </cell>
          <cell r="C1529" t="str">
            <v>EDIFICIO VALDEMAR PORTAL DE SANTA BARBARA - PROPIEDAD HORIZONTAL</v>
          </cell>
          <cell r="D1529" t="str">
            <v>6 0 1 6 2 0 4 3 8 2</v>
          </cell>
          <cell r="E1529" t="str">
            <v>portalsantabarbara@hotmail.com</v>
          </cell>
          <cell r="F1529" t="str">
            <v>CR 20 122 58</v>
          </cell>
          <cell r="G1529">
            <v>11001</v>
          </cell>
        </row>
        <row r="1530">
          <cell r="A1530" t="str">
            <v>830047887</v>
          </cell>
          <cell r="B1530" t="str">
            <v>1</v>
          </cell>
          <cell r="C1530" t="str">
            <v>EDIFICIO VALDEMAR PORTAL DE SANTA BARBARA - PROPIEDAD HORIZONTAL</v>
          </cell>
          <cell r="D1530" t="str">
            <v>6 0 1 6 2 0 4 3 8 2</v>
          </cell>
          <cell r="E1530" t="str">
            <v>portalsantabarbara@hotmail.com</v>
          </cell>
          <cell r="F1530" t="str">
            <v>CR 20 122 58</v>
          </cell>
          <cell r="G1530">
            <v>11001</v>
          </cell>
        </row>
        <row r="1531">
          <cell r="A1531" t="str">
            <v>830048245</v>
          </cell>
          <cell r="B1531" t="str">
            <v>6</v>
          </cell>
          <cell r="C1531" t="str">
            <v>EDIFICIO CERROS 78</v>
          </cell>
          <cell r="D1531" t="str">
            <v>6372954</v>
          </cell>
          <cell r="E1531" t="str">
            <v>edificiocerros78@gmail.com</v>
          </cell>
          <cell r="F1531" t="str">
            <v>CARRERA 15  87  76  OFICINA 502</v>
          </cell>
          <cell r="G1531">
            <v>11001</v>
          </cell>
        </row>
        <row r="1532">
          <cell r="A1532" t="str">
            <v>830050721</v>
          </cell>
          <cell r="B1532" t="str">
            <v>7</v>
          </cell>
          <cell r="C1532" t="str">
            <v>EDIFICIO EL GRAN MOCHUELO - PROPIEDAD HORIZONTAL</v>
          </cell>
          <cell r="D1532" t="str">
            <v>6190265</v>
          </cell>
          <cell r="E1532" t="str">
            <v>ed.elgranmochuelo@gmail.com</v>
          </cell>
          <cell r="F1532" t="str">
            <v>CARRERA 20 C  77  19</v>
          </cell>
          <cell r="G1532">
            <v>11001</v>
          </cell>
        </row>
        <row r="1533">
          <cell r="A1533" t="str">
            <v>830050721</v>
          </cell>
          <cell r="B1533" t="str">
            <v>7</v>
          </cell>
          <cell r="C1533" t="str">
            <v>EDIFICIO EL GRAN MOCHUELO - PROPIEDAD HORIZONTAL</v>
          </cell>
          <cell r="D1533" t="str">
            <v>6190265</v>
          </cell>
          <cell r="E1533" t="str">
            <v>ed.elgranmochuelo@gmail.com</v>
          </cell>
          <cell r="F1533" t="str">
            <v>CARRERA 20 C  77  19</v>
          </cell>
          <cell r="G1533">
            <v>11001</v>
          </cell>
        </row>
        <row r="1534">
          <cell r="A1534" t="str">
            <v>830050993</v>
          </cell>
          <cell r="B1534" t="str">
            <v>3</v>
          </cell>
          <cell r="C1534" t="str">
            <v>EDIFICIO OFICENTER 96 PROPIEDAD HORIZONTAL</v>
          </cell>
          <cell r="D1534" t="str">
            <v>6369110</v>
          </cell>
          <cell r="E1534" t="str">
            <v>edificiooficenter96@yahoo.es</v>
          </cell>
          <cell r="F1534" t="str">
            <v>CARRERA 16  96  64</v>
          </cell>
          <cell r="G1534">
            <v>11001</v>
          </cell>
        </row>
        <row r="1535">
          <cell r="A1535" t="str">
            <v>830050993</v>
          </cell>
          <cell r="B1535" t="str">
            <v>3</v>
          </cell>
          <cell r="C1535" t="str">
            <v>EDIFICIO OFICENTER 96 PROPIEDAD HORIZONTAL</v>
          </cell>
          <cell r="D1535" t="str">
            <v>6369110</v>
          </cell>
          <cell r="E1535" t="str">
            <v>edificiooficenter96@yahoo.es</v>
          </cell>
          <cell r="F1535" t="str">
            <v>CARRERA 16  96  64</v>
          </cell>
          <cell r="G1535">
            <v>11001</v>
          </cell>
        </row>
        <row r="1536">
          <cell r="A1536" t="str">
            <v>830051640</v>
          </cell>
          <cell r="B1536" t="str">
            <v>3</v>
          </cell>
          <cell r="C1536" t="str">
            <v>EDIFICIO CONTRY DE LA HERRERIA PROPIEDAD HORIZONTAL</v>
          </cell>
          <cell r="D1536">
            <v>3219664011</v>
          </cell>
          <cell r="E1536" t="str">
            <v>tesoreriaadmiposada@gmail.com</v>
          </cell>
          <cell r="F1536" t="str">
            <v>CALLE 128  18  67</v>
          </cell>
          <cell r="G1536">
            <v>11001</v>
          </cell>
        </row>
        <row r="1537">
          <cell r="A1537" t="str">
            <v>830051698</v>
          </cell>
          <cell r="B1537" t="str">
            <v>1</v>
          </cell>
          <cell r="C1537" t="str">
            <v>EDIFICIO SANTA ANA 110 PROPIEDAD HORIZONTAL</v>
          </cell>
          <cell r="D1537">
            <v>3219664011</v>
          </cell>
          <cell r="E1537" t="str">
            <v>edificiosantaana110@gmail.com</v>
          </cell>
          <cell r="F1537" t="str">
            <v>TRANSVERSAL 3  110 A  08</v>
          </cell>
          <cell r="G1537">
            <v>11001</v>
          </cell>
        </row>
        <row r="1538">
          <cell r="A1538" t="str">
            <v>830051700</v>
          </cell>
          <cell r="B1538" t="str">
            <v>7</v>
          </cell>
          <cell r="C1538" t="str">
            <v>EDIFICIO CALLE 89 PROPIEDAD HORIZONTAL</v>
          </cell>
          <cell r="D1538" t="str">
            <v>2362715</v>
          </cell>
          <cell r="E1538" t="str">
            <v>edificiocalle89@gmail.com</v>
          </cell>
          <cell r="F1538" t="str">
            <v>CARRERA 19  79  18</v>
          </cell>
          <cell r="G1538">
            <v>11001</v>
          </cell>
        </row>
        <row r="1539">
          <cell r="A1539" t="str">
            <v>830052552</v>
          </cell>
          <cell r="B1539" t="str">
            <v>8</v>
          </cell>
          <cell r="C1539" t="str">
            <v>EDIFICIO ALTOS DE SANTA ANA PROPIEDAD HORIZONTAL</v>
          </cell>
          <cell r="D1539" t="str">
            <v>6120296</v>
          </cell>
          <cell r="E1539" t="str">
            <v>gestion.empre@gmail.com</v>
          </cell>
          <cell r="F1539" t="str">
            <v>CARRERA 5 ESTE  109 A  42</v>
          </cell>
          <cell r="G1539">
            <v>11001</v>
          </cell>
        </row>
        <row r="1540">
          <cell r="A1540" t="str">
            <v>830053030</v>
          </cell>
          <cell r="B1540" t="str">
            <v>1</v>
          </cell>
          <cell r="C1540" t="str">
            <v>CONJUNTO RESIDENCIAL PARQUE DE LOS CIPRESES - EDIFICIO VISTA AL PARQUE DEL SALITRE -PROPIE</v>
          </cell>
          <cell r="D1540" t="str">
            <v>2317534</v>
          </cell>
          <cell r="E1540" t="str">
            <v>crparquecipreses@gmail.com</v>
          </cell>
          <cell r="F1540" t="str">
            <v>CALLE 66  59  31</v>
          </cell>
          <cell r="G1540">
            <v>11001</v>
          </cell>
        </row>
        <row r="1541">
          <cell r="A1541" t="str">
            <v>830053030</v>
          </cell>
          <cell r="B1541" t="str">
            <v>1</v>
          </cell>
          <cell r="C1541" t="str">
            <v>CONJUNTO RESIDENCIAL PARQUE DE LOS CIPRESES - EDIFICIO VISTA AL PARQUE DEL SALITRE -PROPIE</v>
          </cell>
          <cell r="D1541" t="str">
            <v>2317534</v>
          </cell>
          <cell r="E1541" t="str">
            <v>crparquecipreses@gmail.com</v>
          </cell>
          <cell r="F1541" t="str">
            <v>CALLE 66  59  31</v>
          </cell>
          <cell r="G1541">
            <v>11001</v>
          </cell>
        </row>
        <row r="1542">
          <cell r="A1542" t="str">
            <v>830053344</v>
          </cell>
          <cell r="B1542" t="str">
            <v>7</v>
          </cell>
          <cell r="C1542" t="str">
            <v>EDIFICIO APOSENTOS PROPIEDAD HORIZONTAL</v>
          </cell>
          <cell r="D1542" t="str">
            <v>6357561</v>
          </cell>
          <cell r="E1542" t="str">
            <v>facturacion@estiloingenieria.com</v>
          </cell>
          <cell r="F1542" t="str">
            <v>CALLE 93 A  9  31</v>
          </cell>
          <cell r="G1542">
            <v>11001</v>
          </cell>
        </row>
        <row r="1543">
          <cell r="A1543" t="str">
            <v>830054076</v>
          </cell>
          <cell r="B1543" t="str">
            <v>2</v>
          </cell>
          <cell r="C1543" t="str">
            <v>FIDEICOMISOS SOCIEDAD FIDUCIARIA DE OCCIDENTE SA</v>
          </cell>
          <cell r="D1543" t="str">
            <v>2973030</v>
          </cell>
          <cell r="E1543" t="str">
            <v>ecuervo@fiduoccidente.com.co</v>
          </cell>
          <cell r="F1543" t="str">
            <v>CARRERA 13  26 A  47  PISO 9</v>
          </cell>
          <cell r="G1543">
            <v>11001</v>
          </cell>
        </row>
        <row r="1544">
          <cell r="A1544" t="str">
            <v>830054076</v>
          </cell>
          <cell r="B1544" t="str">
            <v>2</v>
          </cell>
          <cell r="C1544" t="str">
            <v>FIDEICOMISOS SOCIEDAD FIDUCIARIA DE OCCIDENTE SA</v>
          </cell>
          <cell r="D1544" t="str">
            <v>2973030</v>
          </cell>
          <cell r="E1544" t="str">
            <v>ecuervo@fiduoccidente.com.co</v>
          </cell>
          <cell r="F1544" t="str">
            <v>CARRERA 13  26 A  47  PISO 9</v>
          </cell>
          <cell r="G1544">
            <v>11001</v>
          </cell>
        </row>
        <row r="1545">
          <cell r="A1545" t="str">
            <v>830054271</v>
          </cell>
          <cell r="B1545" t="str">
            <v>2</v>
          </cell>
          <cell r="C1545" t="str">
            <v>EDIFICIO ASTORIA PLAZA - PROPIEDAD HORIZONTAL</v>
          </cell>
          <cell r="D1545" t="str">
            <v>2369466</v>
          </cell>
          <cell r="E1545" t="str">
            <v>pagos2@sumiser.com.co</v>
          </cell>
          <cell r="F1545" t="str">
            <v>CARRERA 51  85  41</v>
          </cell>
          <cell r="G1545">
            <v>11001</v>
          </cell>
        </row>
        <row r="1546">
          <cell r="A1546" t="str">
            <v>830054399</v>
          </cell>
          <cell r="B1546" t="str">
            <v>6</v>
          </cell>
          <cell r="C1546" t="str">
            <v>EDIFICIO TORRE DE SAN MARCOS PROPIEDAD HORIZONTAL</v>
          </cell>
          <cell r="D1546" t="str">
            <v>6192362</v>
          </cell>
          <cell r="E1546" t="str">
            <v>sanmarcos114@hotmail.com</v>
          </cell>
          <cell r="F1546" t="str">
            <v>CALLE 114 A BIS  45  15</v>
          </cell>
          <cell r="G1546">
            <v>11001</v>
          </cell>
        </row>
        <row r="1547">
          <cell r="A1547" t="str">
            <v>830054524</v>
          </cell>
          <cell r="B1547" t="str">
            <v>0</v>
          </cell>
          <cell r="C1547" t="str">
            <v>COLEGIO BILINGUE RICHMOND LIMITADA</v>
          </cell>
          <cell r="D1547" t="str">
            <v>6763864</v>
          </cell>
          <cell r="E1547" t="str">
            <v>facturacionelectronica@cbr.edu.co</v>
          </cell>
          <cell r="F1547" t="str">
            <v>CALLE 223  52  47</v>
          </cell>
          <cell r="G1547">
            <v>11001</v>
          </cell>
        </row>
        <row r="1548">
          <cell r="A1548" t="str">
            <v>830054539</v>
          </cell>
          <cell r="B1548" t="str">
            <v>0</v>
          </cell>
          <cell r="C1548" t="str">
            <v>PATRIMONIOS AUTONOMOS FIDUCIARIA BANCOLOMBIA S A SOCIEDAD FIDUCIARIA</v>
          </cell>
          <cell r="D1548" t="str">
            <v>3536668</v>
          </cell>
          <cell r="E1548" t="str">
            <v>recfacel@bancolombia.com.co</v>
          </cell>
          <cell r="F1548" t="str">
            <v>CARRERA 51 B  87  50  SOTANO 1</v>
          </cell>
          <cell r="G1548">
            <v>11001</v>
          </cell>
        </row>
        <row r="1549">
          <cell r="A1549" t="str">
            <v>830055228</v>
          </cell>
          <cell r="B1549" t="str">
            <v>1</v>
          </cell>
          <cell r="C1549" t="str">
            <v>EDIFICIO CENTRO PROFESIONAL DEL COUNTRY PROPIEDAD HORIZONTAL</v>
          </cell>
          <cell r="D1549" t="str">
            <v>6164597</v>
          </cell>
          <cell r="E1549" t="str">
            <v>c.profesionaldelcountry@hotmail.com</v>
          </cell>
          <cell r="F1549" t="str">
            <v>CARRERA 16  82  29</v>
          </cell>
          <cell r="G1549">
            <v>11001</v>
          </cell>
        </row>
        <row r="1550">
          <cell r="A1550" t="str">
            <v>830056115</v>
          </cell>
          <cell r="B1550" t="str">
            <v>0</v>
          </cell>
          <cell r="C1550" t="str">
            <v>EDIFICIO CALLE 84 - PROPIEDAD HORIZONTAL</v>
          </cell>
          <cell r="D1550" t="str">
            <v>6210537</v>
          </cell>
          <cell r="E1550" t="str">
            <v>homecentrosltda2@gmail.com</v>
          </cell>
          <cell r="F1550" t="str">
            <v>CALLE 93 B  18  45  OFICINA 305</v>
          </cell>
          <cell r="G1550">
            <v>11001</v>
          </cell>
        </row>
        <row r="1551">
          <cell r="A1551" t="str">
            <v>830058385</v>
          </cell>
          <cell r="B1551" t="str">
            <v>1</v>
          </cell>
          <cell r="C1551" t="str">
            <v>EDIFICIO MANHATTAN CENTER PROPIEDAD HORIZONTAL</v>
          </cell>
          <cell r="D1551" t="str">
            <v>6293977</v>
          </cell>
          <cell r="E1551" t="str">
            <v>joclaltda@yahoo.es</v>
          </cell>
          <cell r="F1551" t="str">
            <v>CALLE 93 B  9  26</v>
          </cell>
          <cell r="G1551">
            <v>11001</v>
          </cell>
        </row>
        <row r="1552">
          <cell r="A1552" t="str">
            <v>830058393</v>
          </cell>
          <cell r="B1552" t="str">
            <v>0</v>
          </cell>
          <cell r="C1552" t="str">
            <v>EDIFICIO MIRADOR DE LA SABANA PROPIEDAD HORIZONTAL</v>
          </cell>
          <cell r="D1552" t="str">
            <v>4740126</v>
          </cell>
          <cell r="E1552" t="str">
            <v>miradorsabana@administrandoespacios.com</v>
          </cell>
          <cell r="F1552" t="str">
            <v>CR 1 ESTE 72 A 08</v>
          </cell>
          <cell r="G1552">
            <v>11001</v>
          </cell>
        </row>
        <row r="1553">
          <cell r="A1553" t="str">
            <v>830060922</v>
          </cell>
          <cell r="B1553" t="str">
            <v>3</v>
          </cell>
          <cell r="C1553" t="str">
            <v>PIX INVESTMENT COLOMBIA S A</v>
          </cell>
          <cell r="D1553">
            <v>3219664011</v>
          </cell>
          <cell r="E1553" t="str">
            <v>830060922@recepciondefacturas.co</v>
          </cell>
          <cell r="F1553" t="str">
            <v>CL 86A 13 42 P 4</v>
          </cell>
          <cell r="G1553">
            <v>11001</v>
          </cell>
        </row>
        <row r="1554">
          <cell r="A1554" t="str">
            <v>830060922</v>
          </cell>
          <cell r="B1554" t="str">
            <v>3</v>
          </cell>
          <cell r="C1554" t="str">
            <v>PIX INVESTMENT COLOMBIA S A</v>
          </cell>
          <cell r="D1554">
            <v>3219664011</v>
          </cell>
          <cell r="E1554" t="str">
            <v>830060922@recepciondefacturas.co</v>
          </cell>
          <cell r="F1554" t="str">
            <v>CL 86A 13 42 P 4</v>
          </cell>
          <cell r="G1554">
            <v>11001</v>
          </cell>
        </row>
        <row r="1555">
          <cell r="A1555" t="str">
            <v>830060982</v>
          </cell>
          <cell r="B1555" t="str">
            <v>5</v>
          </cell>
          <cell r="C1555" t="str">
            <v>EDIFICIO PARQUE 86 A</v>
          </cell>
          <cell r="D1555" t="str">
            <v>2362160</v>
          </cell>
          <cell r="E1555" t="str">
            <v>adarcoltda@outlook.com</v>
          </cell>
          <cell r="F1555" t="str">
            <v>CARRERA 19  80  17</v>
          </cell>
          <cell r="G1555">
            <v>11001</v>
          </cell>
        </row>
        <row r="1556">
          <cell r="A1556" t="str">
            <v>830061150</v>
          </cell>
          <cell r="B1556" t="str">
            <v>9</v>
          </cell>
          <cell r="C1556" t="str">
            <v>EDIFICIO E.H.Q. LOS PIMIENTOS PROPIEDAD HORIZONTAL</v>
          </cell>
          <cell r="D1556" t="str">
            <v>2550514</v>
          </cell>
          <cell r="E1556" t="str">
            <v>junguerltda@hotmail.com</v>
          </cell>
          <cell r="F1556" t="str">
            <v>CARRERA 7  72  92  TORRE 2</v>
          </cell>
          <cell r="G1556">
            <v>11001</v>
          </cell>
        </row>
        <row r="1557">
          <cell r="A1557" t="str">
            <v>830061150</v>
          </cell>
          <cell r="B1557" t="str">
            <v>9</v>
          </cell>
          <cell r="C1557" t="str">
            <v>EDIFICIO E.H.Q. LOS PIMIENTOS PROPIEDAD HORIZONTAL</v>
          </cell>
          <cell r="D1557" t="str">
            <v>2550514</v>
          </cell>
          <cell r="E1557" t="str">
            <v>junguerltda@hotmail.com</v>
          </cell>
          <cell r="F1557" t="str">
            <v>CARRERA 7  72  92  TORRE 2</v>
          </cell>
          <cell r="G1557">
            <v>11001</v>
          </cell>
        </row>
        <row r="1558">
          <cell r="A1558" t="str">
            <v>830061210</v>
          </cell>
          <cell r="B1558" t="str">
            <v>2</v>
          </cell>
          <cell r="C1558" t="str">
            <v>EDIFICIO CERES PROPIEDAD HORIZONTAL</v>
          </cell>
          <cell r="D1558" t="str">
            <v>6016445</v>
          </cell>
          <cell r="E1558" t="str">
            <v>hnaisascontabilidad@gmail.com</v>
          </cell>
          <cell r="F1558" t="str">
            <v>CALLE 118  20  10</v>
          </cell>
          <cell r="G1558">
            <v>11001</v>
          </cell>
        </row>
        <row r="1559">
          <cell r="A1559" t="str">
            <v>830061949</v>
          </cell>
          <cell r="B1559" t="str">
            <v>6</v>
          </cell>
          <cell r="C1559" t="str">
            <v>EDIFICIO ING PROPIEDAD HORIZONTAL</v>
          </cell>
          <cell r="D1559" t="str">
            <v>7579925</v>
          </cell>
          <cell r="E1559" t="str">
            <v>edificioingbarings@yahoo.es</v>
          </cell>
          <cell r="F1559" t="str">
            <v>CARRERA 9 76 49 BOGOTÁ</v>
          </cell>
          <cell r="G1559">
            <v>11001</v>
          </cell>
        </row>
        <row r="1560">
          <cell r="A1560" t="str">
            <v>830062398</v>
          </cell>
          <cell r="B1560" t="str">
            <v>2</v>
          </cell>
          <cell r="C1560" t="str">
            <v>CONJUNTO RESIDENCIAL TORRES DE ZAMORA PROPIEDAD HORIZONTAL</v>
          </cell>
          <cell r="D1560" t="str">
            <v>6209181</v>
          </cell>
          <cell r="E1560" t="str">
            <v>conjuntotorresdezamora@gmail.com</v>
          </cell>
          <cell r="F1560" t="str">
            <v>CALLE 107  53  20</v>
          </cell>
          <cell r="G1560">
            <v>11001</v>
          </cell>
        </row>
        <row r="1561">
          <cell r="A1561" t="str">
            <v>830063748</v>
          </cell>
          <cell r="B1561" t="str">
            <v>1</v>
          </cell>
          <cell r="C1561" t="str">
            <v>EDIFICIO PARMA PROPIEDAD HORIZONTAL</v>
          </cell>
          <cell r="D1561" t="str">
            <v>6204060</v>
          </cell>
          <cell r="E1561" t="str">
            <v>edifiparma@gmail.com</v>
          </cell>
          <cell r="F1561" t="str">
            <v>CARRERA 8  91  47</v>
          </cell>
          <cell r="G1561">
            <v>11001</v>
          </cell>
        </row>
        <row r="1562">
          <cell r="A1562" t="str">
            <v>830063758</v>
          </cell>
          <cell r="B1562" t="str">
            <v>5</v>
          </cell>
          <cell r="C1562" t="str">
            <v>ALIMENTOS ORIENTALES KAMARI LTDA</v>
          </cell>
          <cell r="D1562" t="str">
            <v>6126128</v>
          </cell>
          <cell r="E1562" t="str">
            <v>facturacionelectronica@teriyaki.com.co</v>
          </cell>
          <cell r="F1562" t="str">
            <v>AVENIDA 19  120  22</v>
          </cell>
          <cell r="G1562">
            <v>11001</v>
          </cell>
        </row>
        <row r="1563">
          <cell r="A1563" t="str">
            <v>830064076</v>
          </cell>
          <cell r="B1563" t="str">
            <v>5</v>
          </cell>
          <cell r="C1563" t="str">
            <v>EDIFICIO VERONA</v>
          </cell>
          <cell r="D1563" t="str">
            <v>6919606</v>
          </cell>
          <cell r="E1563" t="str">
            <v>milenavargas1906@gmail.com</v>
          </cell>
          <cell r="F1563" t="str">
            <v>CARRERA 15  77  50  OFICINA 502</v>
          </cell>
          <cell r="G1563">
            <v>11001</v>
          </cell>
        </row>
        <row r="1564">
          <cell r="A1564" t="str">
            <v>830064076</v>
          </cell>
          <cell r="B1564" t="str">
            <v>5</v>
          </cell>
          <cell r="C1564" t="str">
            <v>EDIFICIO VERONA</v>
          </cell>
          <cell r="D1564" t="str">
            <v>6919606</v>
          </cell>
          <cell r="E1564" t="str">
            <v>milenavargas1906@gmail.com</v>
          </cell>
          <cell r="F1564" t="str">
            <v>CARRERA 15  77  50  OFICINA 502</v>
          </cell>
          <cell r="G1564">
            <v>11001</v>
          </cell>
        </row>
        <row r="1565">
          <cell r="A1565" t="str">
            <v>830064205</v>
          </cell>
          <cell r="B1565" t="str">
            <v>9</v>
          </cell>
          <cell r="C1565" t="str">
            <v>AGRUPACION DE VIVIENDA ALTOS DE MONTEARROYO II TORRES 67 Y 8</v>
          </cell>
          <cell r="D1565" t="str">
            <v>3210762</v>
          </cell>
          <cell r="E1565" t="str">
            <v>agrupacionaltosmontearroyo678@gmail.com</v>
          </cell>
          <cell r="F1565" t="str">
            <v>CARRERA 7 140B 48</v>
          </cell>
          <cell r="G1565">
            <v>11001</v>
          </cell>
        </row>
        <row r="1566">
          <cell r="A1566" t="str">
            <v>830064516</v>
          </cell>
          <cell r="B1566" t="str">
            <v>4</v>
          </cell>
          <cell r="C1566" t="str">
            <v>EDIFICIO CAROLINA REAL PROPIEDAD HORIZONTAL</v>
          </cell>
          <cell r="D1566" t="str">
            <v>3053476763</v>
          </cell>
          <cell r="E1566" t="str">
            <v>edificarolinareal@gmail.com</v>
          </cell>
          <cell r="F1566" t="str">
            <v>CR 14 127 30</v>
          </cell>
          <cell r="G1566">
            <v>11001</v>
          </cell>
        </row>
        <row r="1567">
          <cell r="A1567" t="str">
            <v>830065782</v>
          </cell>
          <cell r="B1567" t="str">
            <v>1</v>
          </cell>
          <cell r="C1567" t="str">
            <v>EDIFICIO PARQUE REAL DE FRANCIA PH</v>
          </cell>
          <cell r="D1567" t="str">
            <v>2153208</v>
          </cell>
          <cell r="E1567" t="str">
            <v>parquerealdefrancia105@gmail.com</v>
          </cell>
          <cell r="F1567" t="str">
            <v>CALLE 105  15  53</v>
          </cell>
          <cell r="G1567">
            <v>11001</v>
          </cell>
        </row>
        <row r="1568">
          <cell r="A1568" t="str">
            <v>830068720</v>
          </cell>
          <cell r="B1568" t="str">
            <v>9</v>
          </cell>
          <cell r="C1568" t="str">
            <v>LOS EUCALIPTOS - PROPIEDAD HORIZONTAL</v>
          </cell>
          <cell r="D1568" t="str">
            <v>2577853</v>
          </cell>
          <cell r="E1568" t="str">
            <v>edificioloseucaliptos83@gmail.com</v>
          </cell>
          <cell r="F1568" t="str">
            <v>CARRERA 15  85  29  OFICINA 402</v>
          </cell>
          <cell r="G1568">
            <v>11001</v>
          </cell>
        </row>
        <row r="1569">
          <cell r="A1569" t="str">
            <v>830068871</v>
          </cell>
          <cell r="B1569" t="str">
            <v>2</v>
          </cell>
          <cell r="C1569" t="str">
            <v>EDIFICIO PARQUE 98 PROPIEDAD HORIZONTAL</v>
          </cell>
          <cell r="D1569" t="str">
            <v>3102600</v>
          </cell>
          <cell r="E1569" t="str">
            <v>admonajg@outlook.com</v>
          </cell>
          <cell r="F1569" t="str">
            <v>CALLE 73  9  57  OFICINA 102</v>
          </cell>
          <cell r="G1569">
            <v>11001</v>
          </cell>
        </row>
        <row r="1570">
          <cell r="A1570" t="str">
            <v>830070047</v>
          </cell>
          <cell r="B1570" t="str">
            <v>6</v>
          </cell>
          <cell r="C1570" t="str">
            <v>EDIFICIO PAVILLON - PROPIEDAD HORIZONTAL</v>
          </cell>
          <cell r="D1570" t="str">
            <v>2876566</v>
          </cell>
          <cell r="E1570" t="str">
            <v>facturacionpavillon@gmail.com</v>
          </cell>
          <cell r="F1570" t="str">
            <v>CARRERA 14  90  31  OFICINA 402</v>
          </cell>
          <cell r="G1570">
            <v>11001</v>
          </cell>
        </row>
        <row r="1571">
          <cell r="A1571" t="str">
            <v>830071216</v>
          </cell>
          <cell r="B1571" t="str">
            <v>9</v>
          </cell>
          <cell r="C1571" t="str">
            <v>EDIFICIO EL PARQUE PROPIEDAD HORIZONTAL</v>
          </cell>
          <cell r="D1571" t="str">
            <v>6213569</v>
          </cell>
          <cell r="E1571" t="str">
            <v>americaadmon@hotmail.com</v>
          </cell>
          <cell r="F1571" t="str">
            <v>CARRERA 14  95  47  OFICINA 402</v>
          </cell>
          <cell r="G1571">
            <v>11001</v>
          </cell>
        </row>
        <row r="1572">
          <cell r="A1572" t="str">
            <v>830072608</v>
          </cell>
          <cell r="B1572" t="str">
            <v>7</v>
          </cell>
          <cell r="C1572" t="str">
            <v>CONJUNTO RESIDENCIAL SIERRAS DEL MORAL MANZANA 4 ETAPA 5 TORRE 6 - P.H.</v>
          </cell>
          <cell r="D1572" t="str">
            <v>3152415717</v>
          </cell>
          <cell r="E1572" t="str">
            <v>etapa5sierrasdelmoral@hotmail.com</v>
          </cell>
          <cell r="F1572" t="str">
            <v>AVENIDA 7 N°145-38</v>
          </cell>
          <cell r="G1572">
            <v>11001</v>
          </cell>
        </row>
        <row r="1573">
          <cell r="A1573" t="str">
            <v>830073148</v>
          </cell>
          <cell r="B1573" t="str">
            <v>5</v>
          </cell>
          <cell r="C1573" t="str">
            <v>EDIFICIO VIRACOCHA- PROPIEDAD HORIZONTAL</v>
          </cell>
          <cell r="D1573" t="str">
            <v>2659448</v>
          </cell>
          <cell r="E1573" t="str">
            <v>edviracocha@gmail.com</v>
          </cell>
          <cell r="F1573" t="str">
            <v>CALLE 74  14  09</v>
          </cell>
          <cell r="G1573">
            <v>11001</v>
          </cell>
        </row>
        <row r="1574">
          <cell r="A1574" t="str">
            <v>830073295</v>
          </cell>
          <cell r="B1574" t="str">
            <v>1</v>
          </cell>
          <cell r="C1574" t="str">
            <v>EDIFICIO CIPRES DE PASADENA PROPIEDAD HORIZONTAL</v>
          </cell>
          <cell r="D1574" t="str">
            <v>7470466</v>
          </cell>
          <cell r="E1574" t="str">
            <v>zonacinco@admejores.com</v>
          </cell>
          <cell r="F1574" t="str">
            <v>CARRERA 25  68  84</v>
          </cell>
          <cell r="G1574">
            <v>11001</v>
          </cell>
        </row>
        <row r="1575">
          <cell r="A1575" t="str">
            <v>830074506</v>
          </cell>
          <cell r="B1575" t="str">
            <v>3</v>
          </cell>
          <cell r="C1575" t="str">
            <v>EDIFICIO OFICINAS ROYAL 93 PROPIEDAD HORIZONTAL</v>
          </cell>
          <cell r="D1575" t="str">
            <v>6161475</v>
          </cell>
          <cell r="E1575" t="str">
            <v>info@implementar.net</v>
          </cell>
          <cell r="F1575" t="str">
            <v>CALLE 93  13  32</v>
          </cell>
          <cell r="G1575">
            <v>11001</v>
          </cell>
        </row>
        <row r="1576">
          <cell r="A1576" t="str">
            <v>830074627</v>
          </cell>
          <cell r="B1576" t="str">
            <v>6</v>
          </cell>
          <cell r="C1576" t="str">
            <v>EDIFICIO OASIS DEL MUSEO</v>
          </cell>
          <cell r="D1576" t="str">
            <v>4762894</v>
          </cell>
          <cell r="E1576" t="str">
            <v>oasisdelmuseo93@gmail.com</v>
          </cell>
          <cell r="F1576" t="str">
            <v>CARRERA 14  8 NORTE  67</v>
          </cell>
          <cell r="G1576">
            <v>11001</v>
          </cell>
        </row>
        <row r="1577">
          <cell r="A1577" t="str">
            <v>830074988</v>
          </cell>
          <cell r="B1577" t="str">
            <v>1</v>
          </cell>
          <cell r="C1577" t="str">
            <v>EDIFICIO LAS ATALAYAS - PROPIEDAD HORIZONTAL</v>
          </cell>
          <cell r="D1577" t="str">
            <v>2550514</v>
          </cell>
          <cell r="E1577" t="str">
            <v>atalayasph@gmail.com</v>
          </cell>
          <cell r="F1577" t="str">
            <v>DIAGONAL 46 A  16  26</v>
          </cell>
          <cell r="G1577">
            <v>11001</v>
          </cell>
        </row>
        <row r="1578">
          <cell r="A1578" t="str">
            <v>830075659</v>
          </cell>
          <cell r="B1578" t="str">
            <v>6</v>
          </cell>
          <cell r="C1578" t="str">
            <v>EDIFICIO VEREDA DEL PARQUE</v>
          </cell>
          <cell r="D1578" t="str">
            <v>3461752</v>
          </cell>
          <cell r="E1578" t="str">
            <v>contabilidad2.seresprho@gmail.com</v>
          </cell>
          <cell r="F1578" t="str">
            <v>CALLE 93 B  9  72</v>
          </cell>
          <cell r="G1578">
            <v>11001</v>
          </cell>
        </row>
        <row r="1579">
          <cell r="A1579" t="str">
            <v>830076168</v>
          </cell>
          <cell r="B1579" t="str">
            <v>6</v>
          </cell>
          <cell r="C1579" t="str">
            <v>EDIFICIO BALCONES DEL NOGAL - PROPIEDAD HORIZONTAL</v>
          </cell>
          <cell r="D1579" t="str">
            <v>3105778549</v>
          </cell>
          <cell r="E1579" t="str">
            <v>balconesdelnogal@gmail.com</v>
          </cell>
          <cell r="F1579" t="str">
            <v>CARRERA 8  75  67</v>
          </cell>
          <cell r="G1579">
            <v>11001</v>
          </cell>
        </row>
        <row r="1580">
          <cell r="A1580" t="str">
            <v>830076344</v>
          </cell>
          <cell r="B1580" t="str">
            <v>6</v>
          </cell>
          <cell r="C1580" t="str">
            <v>EDIFICIO PARQUE 96 PROPIEDAD HORIZONTAL</v>
          </cell>
          <cell r="D1580" t="str">
            <v>6224649</v>
          </cell>
          <cell r="E1580" t="str">
            <v>ep96@sicre.co</v>
          </cell>
          <cell r="F1580" t="str">
            <v>CARRERA 16  94 A  62  OFICINA 4</v>
          </cell>
          <cell r="G1580">
            <v>11001</v>
          </cell>
        </row>
        <row r="1581">
          <cell r="A1581" t="str">
            <v>830076407</v>
          </cell>
          <cell r="B1581" t="str">
            <v>1</v>
          </cell>
          <cell r="C1581" t="str">
            <v>EDIFICIO AGORA PLAZA PROPIEDAD HORIZONTAL</v>
          </cell>
          <cell r="D1581" t="str">
            <v>3473480</v>
          </cell>
          <cell r="E1581" t="str">
            <v>administracion@habitacora.com.co</v>
          </cell>
          <cell r="F1581" t="str">
            <v>CALLE 84 9 51</v>
          </cell>
          <cell r="G1581">
            <v>11001</v>
          </cell>
        </row>
        <row r="1582">
          <cell r="A1582" t="str">
            <v>830077017</v>
          </cell>
          <cell r="B1582" t="str">
            <v>7</v>
          </cell>
          <cell r="C1582" t="str">
            <v>EDIFICIO CENTRO EMPRESARIAL ORION PROPIEDAD HORIZONTAL</v>
          </cell>
          <cell r="D1582" t="str">
            <v>6950527</v>
          </cell>
          <cell r="E1582" t="str">
            <v>marlenvilla8@hotmail.com</v>
          </cell>
          <cell r="F1582" t="str">
            <v>CARRERA 12  79  32 OFICINA 703</v>
          </cell>
          <cell r="G1582">
            <v>11001</v>
          </cell>
        </row>
        <row r="1583">
          <cell r="A1583" t="str">
            <v>830078577</v>
          </cell>
          <cell r="B1583" t="str">
            <v>4</v>
          </cell>
          <cell r="C1583" t="str">
            <v>EDIFICIO LOMBARDIA PROPIEDAD HORIZONTAL</v>
          </cell>
          <cell r="D1583" t="str">
            <v>3125247147</v>
          </cell>
          <cell r="E1583" t="str">
            <v>facturacion@estiloingenieria.com</v>
          </cell>
          <cell r="F1583" t="str">
            <v>CALLE 131  6  12</v>
          </cell>
          <cell r="G1583">
            <v>11001</v>
          </cell>
        </row>
        <row r="1584">
          <cell r="A1584" t="str">
            <v>830078577</v>
          </cell>
          <cell r="B1584" t="str">
            <v>4</v>
          </cell>
          <cell r="C1584" t="str">
            <v>EDIFICIO LOMBARDIA PROPIEDAD HORIZONTAL</v>
          </cell>
          <cell r="D1584" t="str">
            <v>3125247147</v>
          </cell>
          <cell r="E1584" t="str">
            <v>facturacion@estiloingenieria.com</v>
          </cell>
          <cell r="F1584" t="str">
            <v>CALLE 131  6  12</v>
          </cell>
          <cell r="G1584">
            <v>11001</v>
          </cell>
        </row>
        <row r="1585">
          <cell r="A1585" t="str">
            <v>830078578</v>
          </cell>
          <cell r="B1585" t="str">
            <v>1</v>
          </cell>
          <cell r="C1585" t="str">
            <v>EDIFICIO PIAMONTE PROPIEDAD HORIZONTAL</v>
          </cell>
          <cell r="D1585" t="str">
            <v>3919991</v>
          </cell>
          <cell r="E1585" t="str">
            <v>piamonte2011@hotmail.com</v>
          </cell>
          <cell r="F1585" t="str">
            <v>CALLE 131  6  24</v>
          </cell>
          <cell r="G1585">
            <v>11001</v>
          </cell>
        </row>
        <row r="1586">
          <cell r="A1586" t="str">
            <v>830078579</v>
          </cell>
          <cell r="B1586" t="str">
            <v>9</v>
          </cell>
          <cell r="C1586" t="str">
            <v>EDIFICIO CAMINOS DEL CERRO PROPIEDAD HORIZONTAL -</v>
          </cell>
          <cell r="D1586" t="str">
            <v>3919991</v>
          </cell>
          <cell r="E1586" t="str">
            <v>caminodelcerro@phsoluciones.com</v>
          </cell>
          <cell r="F1586" t="str">
            <v>CARRERA 6 B  131  40</v>
          </cell>
          <cell r="G1586">
            <v>11001</v>
          </cell>
        </row>
        <row r="1587">
          <cell r="A1587" t="str">
            <v>830078580</v>
          </cell>
          <cell r="B1587" t="str">
            <v>7</v>
          </cell>
          <cell r="C1587" t="str">
            <v>EDIFICIO URBINO PROPIEDAD HORIZONTAL</v>
          </cell>
          <cell r="D1587" t="str">
            <v>3919991</v>
          </cell>
          <cell r="E1587" t="str">
            <v>facturacion@estiloingenieria.com</v>
          </cell>
          <cell r="F1587" t="str">
            <v>CARRERA 11 A  98  50</v>
          </cell>
          <cell r="G1587">
            <v>11001</v>
          </cell>
        </row>
        <row r="1588">
          <cell r="A1588" t="str">
            <v>830079618</v>
          </cell>
          <cell r="B1588" t="str">
            <v>2</v>
          </cell>
          <cell r="C1588" t="str">
            <v>EDIFICIO ACUARIMANTIMA - PROPIEDAD HORIZONTAL</v>
          </cell>
          <cell r="D1588" t="str">
            <v>2137293</v>
          </cell>
          <cell r="E1588" t="str">
            <v>ediacuarimantima@gmail.com</v>
          </cell>
          <cell r="F1588" t="str">
            <v>CALLE 125  18 B  09</v>
          </cell>
          <cell r="G1588">
            <v>11001</v>
          </cell>
        </row>
        <row r="1589">
          <cell r="A1589" t="str">
            <v>830079619</v>
          </cell>
          <cell r="B1589" t="str">
            <v>1</v>
          </cell>
          <cell r="C1589" t="str">
            <v>EDIFICIO SAN REMO III PROPIEDAD HORIZONTAL</v>
          </cell>
          <cell r="D1589" t="str">
            <v>6310525</v>
          </cell>
          <cell r="E1589" t="str">
            <v>facturacion@estiloingenieria.com</v>
          </cell>
          <cell r="F1589" t="str">
            <v>CARRERA 17 A  137  20</v>
          </cell>
          <cell r="G1589">
            <v>11001</v>
          </cell>
        </row>
        <row r="1590">
          <cell r="A1590" t="str">
            <v>830080428</v>
          </cell>
          <cell r="B1590" t="str">
            <v>1</v>
          </cell>
          <cell r="C1590" t="str">
            <v>EDIFICIO CHICO 95 P.H.</v>
          </cell>
          <cell r="D1590" t="str">
            <v>3005699221</v>
          </cell>
          <cell r="E1590" t="str">
            <v>sintesagenciabogota0@gmail.com</v>
          </cell>
          <cell r="F1590" t="str">
            <v>CARRERA 15  95  51</v>
          </cell>
          <cell r="G1590">
            <v>11001</v>
          </cell>
        </row>
        <row r="1591">
          <cell r="A1591" t="str">
            <v>830080714</v>
          </cell>
          <cell r="B1591" t="str">
            <v>3</v>
          </cell>
          <cell r="C1591" t="str">
            <v>CONJUNTO RESIDENCIAL PICADILLY - PROPIEDAD HORIZONTAL</v>
          </cell>
          <cell r="D1591" t="str">
            <v>6682468</v>
          </cell>
          <cell r="E1591" t="str">
            <v>conjuntopicadilly@hotmail.com</v>
          </cell>
          <cell r="F1591" t="str">
            <v>CARRERA 55 A  163  35</v>
          </cell>
          <cell r="G1591">
            <v>11001</v>
          </cell>
        </row>
        <row r="1592">
          <cell r="A1592" t="str">
            <v>830080714</v>
          </cell>
          <cell r="B1592" t="str">
            <v>3</v>
          </cell>
          <cell r="C1592" t="str">
            <v>CONJUNTO RESIDENCIAL PICADILLY - PROPIEDAD HORIZONTAL</v>
          </cell>
          <cell r="D1592" t="str">
            <v>6682468</v>
          </cell>
          <cell r="E1592" t="str">
            <v>conjuntopicadilly@hotmail.com</v>
          </cell>
          <cell r="F1592" t="str">
            <v>CARRERA 55 A  163  35</v>
          </cell>
          <cell r="G1592">
            <v>11001</v>
          </cell>
        </row>
        <row r="1593">
          <cell r="A1593" t="str">
            <v>830081427</v>
          </cell>
          <cell r="B1593" t="str">
            <v>9</v>
          </cell>
          <cell r="C1593" t="str">
            <v>TAKAMI S A</v>
          </cell>
          <cell r="D1593" t="str">
            <v>2363488</v>
          </cell>
          <cell r="E1593" t="str">
            <v>factura.takami@takami.co</v>
          </cell>
          <cell r="F1593" t="str">
            <v>CALLE 98 A  60  53</v>
          </cell>
          <cell r="G1593">
            <v>11001</v>
          </cell>
        </row>
        <row r="1594">
          <cell r="A1594" t="str">
            <v>830083709</v>
          </cell>
          <cell r="B1594" t="str">
            <v>1</v>
          </cell>
          <cell r="C1594" t="str">
            <v>EDIFICIO PORTAL DE EMAUS II</v>
          </cell>
          <cell r="D1594" t="str">
            <v>3222680756</v>
          </cell>
          <cell r="E1594" t="str">
            <v>edificioemausii@gmail.com</v>
          </cell>
          <cell r="F1594" t="str">
            <v>CALLE 77  14  46  OFICINA 503</v>
          </cell>
          <cell r="G1594">
            <v>11001</v>
          </cell>
        </row>
        <row r="1595">
          <cell r="A1595" t="str">
            <v>830084039</v>
          </cell>
          <cell r="B1595" t="str">
            <v>8</v>
          </cell>
          <cell r="C1595" t="str">
            <v>CORPHOTELES LTDA</v>
          </cell>
          <cell r="D1595" t="str">
            <v>6291100</v>
          </cell>
          <cell r="E1595" t="str">
            <v>facturacion@lancasterhouse.com.co</v>
          </cell>
          <cell r="F1595" t="str">
            <v>AUTOPISTA NORTE  106 B  28</v>
          </cell>
          <cell r="G1595">
            <v>11001</v>
          </cell>
        </row>
        <row r="1596">
          <cell r="A1596" t="str">
            <v>830084093</v>
          </cell>
          <cell r="B1596" t="str">
            <v>6</v>
          </cell>
          <cell r="C1596" t="str">
            <v>EDIFICIO PORTAL DEL PARQUE - PROPIEDAD HORIZONTAL</v>
          </cell>
          <cell r="D1596" t="str">
            <v>3187856327</v>
          </cell>
          <cell r="E1596" t="str">
            <v>alejahermida@gmail.com</v>
          </cell>
          <cell r="F1596" t="str">
            <v>CALLE 119  20 A  26</v>
          </cell>
          <cell r="G1596">
            <v>11001</v>
          </cell>
        </row>
        <row r="1597">
          <cell r="A1597" t="str">
            <v>830084236</v>
          </cell>
          <cell r="B1597" t="str">
            <v>2</v>
          </cell>
          <cell r="C1597" t="str">
            <v>EDIFICIO GASPAR DE RODAS - PROPIEDAD HORIZONTAL</v>
          </cell>
          <cell r="D1597" t="str">
            <v>3157724887</v>
          </cell>
          <cell r="E1597" t="str">
            <v>facturacion@estiloingenieria.com</v>
          </cell>
          <cell r="F1597" t="str">
            <v>CARRERA 22  101  56</v>
          </cell>
          <cell r="G1597">
            <v>11001</v>
          </cell>
        </row>
        <row r="1598">
          <cell r="A1598" t="str">
            <v>830084804</v>
          </cell>
          <cell r="B1598" t="str">
            <v>6</v>
          </cell>
          <cell r="C1598" t="str">
            <v>EDIFICIO LOS CAMBULOS 65 PROPIEDAD HORIZONTAL</v>
          </cell>
          <cell r="D1598" t="str">
            <v>radicacionfacturas.p</v>
          </cell>
          <cell r="E1598" t="str">
            <v>edificioloscambulos@gmail.com</v>
          </cell>
          <cell r="F1598" t="str">
            <v>CALLE 65  7  75</v>
          </cell>
          <cell r="G1598">
            <v>11001</v>
          </cell>
        </row>
        <row r="1599">
          <cell r="A1599" t="str">
            <v>830085747</v>
          </cell>
          <cell r="B1599" t="str">
            <v>9</v>
          </cell>
          <cell r="C1599" t="str">
            <v>EDIFICIO ALPES PROPIEDAD HORIZONTAL</v>
          </cell>
          <cell r="D1599" t="str">
            <v>3135184568</v>
          </cell>
          <cell r="E1599" t="str">
            <v>edificioalpes2015@gmail.com</v>
          </cell>
          <cell r="F1599" t="str">
            <v>CALLE 124 No. 20 - 76</v>
          </cell>
          <cell r="G1599">
            <v>11001</v>
          </cell>
        </row>
        <row r="1600">
          <cell r="A1600" t="str">
            <v>830085771</v>
          </cell>
          <cell r="B1600" t="str">
            <v>6</v>
          </cell>
          <cell r="C1600" t="str">
            <v>EDIFICIO REAL SANTAFE PROPIEDAD HORIZONTAL</v>
          </cell>
          <cell r="D1600" t="str">
            <v>6269032</v>
          </cell>
          <cell r="E1600" t="str">
            <v>eduartea@yahoo.com</v>
          </cell>
          <cell r="F1600" t="str">
            <v>CALLE 123  9 C  40</v>
          </cell>
          <cell r="G1600">
            <v>11001</v>
          </cell>
        </row>
        <row r="1601">
          <cell r="A1601" t="str">
            <v>830085771</v>
          </cell>
          <cell r="B1601" t="str">
            <v>6</v>
          </cell>
          <cell r="C1601" t="str">
            <v>EDIFICIO REAL SANTAFE PROPIEDAD HORIZONTAL</v>
          </cell>
          <cell r="D1601" t="str">
            <v>6269032</v>
          </cell>
          <cell r="E1601" t="str">
            <v>eduartea@yahoo.com</v>
          </cell>
          <cell r="F1601" t="str">
            <v>CALLE 123  9 C  40</v>
          </cell>
          <cell r="G1601">
            <v>11001</v>
          </cell>
        </row>
        <row r="1602">
          <cell r="A1602" t="str">
            <v>830086634</v>
          </cell>
          <cell r="B1602" t="str">
            <v>1</v>
          </cell>
          <cell r="C1602" t="str">
            <v>CONJUNTO RESIDENCIAL EL PEDREGAL  IV</v>
          </cell>
          <cell r="D1602" t="str">
            <v>4344636</v>
          </cell>
          <cell r="E1602" t="str">
            <v>pedregaletapa4@gmail.com</v>
          </cell>
          <cell r="F1602" t="str">
            <v>CARRERA 99 A  70  97</v>
          </cell>
          <cell r="G1602">
            <v>11001</v>
          </cell>
        </row>
        <row r="1603">
          <cell r="A1603" t="str">
            <v>830091015</v>
          </cell>
          <cell r="B1603" t="str">
            <v>0</v>
          </cell>
          <cell r="C1603" t="str">
            <v>EDIFICIO LAS MARIANAS - PROPIEDAD HORIZONTAL</v>
          </cell>
          <cell r="D1603" t="str">
            <v>3229428803</v>
          </cell>
          <cell r="E1603" t="str">
            <v>edimarianaph@gmail.com</v>
          </cell>
          <cell r="F1603" t="str">
            <v>CARRERA 20  77  19</v>
          </cell>
          <cell r="G1603">
            <v>11001</v>
          </cell>
        </row>
        <row r="1604">
          <cell r="A1604" t="str">
            <v>830095904</v>
          </cell>
          <cell r="B1604" t="str">
            <v>1</v>
          </cell>
          <cell r="C1604" t="str">
            <v>CONJUNTO RESIDENCIAL PUERTA DE HIERRO TORRES I Y II - PROPIEDAD HORIZONTAL</v>
          </cell>
          <cell r="D1604" t="str">
            <v>6132614</v>
          </cell>
          <cell r="E1604" t="str">
            <v>admpuertadehierro@gmail.com</v>
          </cell>
          <cell r="F1604" t="str">
            <v>CALLE 30  19  25</v>
          </cell>
          <cell r="G1604">
            <v>11001</v>
          </cell>
        </row>
        <row r="1605">
          <cell r="A1605" t="str">
            <v>830096395</v>
          </cell>
          <cell r="B1605" t="str">
            <v>7</v>
          </cell>
          <cell r="C1605" t="str">
            <v>EDIFICIO VIGIA DE LOS ROSALES PROPIEDAD HORIZONTAL</v>
          </cell>
          <cell r="D1605" t="str">
            <v>2578701</v>
          </cell>
          <cell r="E1605" t="str">
            <v>facturacionemf1@gmail.com</v>
          </cell>
          <cell r="F1605" t="str">
            <v>CALLE 77  14  46  OFICINA 503</v>
          </cell>
          <cell r="G1605">
            <v>11001</v>
          </cell>
        </row>
        <row r="1606">
          <cell r="A1606" t="str">
            <v>830096797</v>
          </cell>
          <cell r="B1606" t="str">
            <v>4</v>
          </cell>
          <cell r="C1606" t="str">
            <v>EDIFICIO TIME SQUARE PROPIEDAD HORIZONTAL</v>
          </cell>
          <cell r="D1606" t="str">
            <v>3202763247</v>
          </cell>
          <cell r="E1606" t="str">
            <v>admonlogisticaenaccion@gmail.com</v>
          </cell>
          <cell r="F1606" t="str">
            <v>CARRERA 19 B  83  02</v>
          </cell>
          <cell r="G1606">
            <v>11001</v>
          </cell>
        </row>
        <row r="1607">
          <cell r="A1607" t="str">
            <v>830097275</v>
          </cell>
          <cell r="B1607" t="str">
            <v>6</v>
          </cell>
          <cell r="C1607" t="str">
            <v>EDIFICIO GAVIOTAS - PROPIEDAD HORIZONTAL</v>
          </cell>
          <cell r="D1607" t="str">
            <v>6234144</v>
          </cell>
          <cell r="E1607" t="str">
            <v>edificiogaviotas2017@gmail.com</v>
          </cell>
          <cell r="F1607" t="str">
            <v>DG 128 C 17 36</v>
          </cell>
          <cell r="G1607">
            <v>11001</v>
          </cell>
        </row>
        <row r="1608">
          <cell r="A1608" t="str">
            <v>830097622</v>
          </cell>
          <cell r="B1608" t="str">
            <v>9</v>
          </cell>
          <cell r="C1608" t="str">
            <v>PANEL ROCK COLOMBIA SA</v>
          </cell>
          <cell r="D1608" t="str">
            <v>7431771</v>
          </cell>
          <cell r="E1608" t="str">
            <v>facturacionpr@panelrockcolombia.com</v>
          </cell>
          <cell r="F1608" t="str">
            <v>CALLE 163 A  21  68</v>
          </cell>
          <cell r="G1608">
            <v>11001</v>
          </cell>
        </row>
        <row r="1609">
          <cell r="A1609" t="str">
            <v>830097922</v>
          </cell>
          <cell r="B1609" t="str">
            <v>3</v>
          </cell>
          <cell r="C1609" t="str">
            <v>OPERADORES HOTELEROS REGENCY S.A.</v>
          </cell>
          <cell r="D1609" t="str">
            <v>5921777</v>
          </cell>
          <cell r="E1609" t="str">
            <v>830097922@factureinbox.co</v>
          </cell>
          <cell r="F1609" t="str">
            <v>CARRERA 7  127  21</v>
          </cell>
          <cell r="G1609">
            <v>11001</v>
          </cell>
        </row>
        <row r="1610">
          <cell r="A1610" t="str">
            <v>830100520</v>
          </cell>
          <cell r="B1610" t="str">
            <v>9</v>
          </cell>
          <cell r="C1610" t="str">
            <v>EDIFICIO ROSALES 76 - PROPIEDAD HORIZONTAL</v>
          </cell>
          <cell r="D1610" t="str">
            <v>3132080284</v>
          </cell>
          <cell r="E1610" t="str">
            <v>radicacionfacturas.phsas@gmail.com</v>
          </cell>
          <cell r="F1610" t="str">
            <v>CARRERA 3  76  80</v>
          </cell>
          <cell r="G1610">
            <v>11001</v>
          </cell>
        </row>
        <row r="1611">
          <cell r="A1611" t="str">
            <v>830100520</v>
          </cell>
          <cell r="B1611" t="str">
            <v>9</v>
          </cell>
          <cell r="C1611" t="str">
            <v>EDIFICIO ROSALES 76 - PROPIEDAD HORIZONTAL</v>
          </cell>
          <cell r="D1611" t="str">
            <v>3132080284</v>
          </cell>
          <cell r="E1611" t="str">
            <v>radicacionfacturas.phsas@gmail.com</v>
          </cell>
          <cell r="F1611" t="str">
            <v>CARRERA 3  76  80</v>
          </cell>
          <cell r="G1611">
            <v>11001</v>
          </cell>
        </row>
        <row r="1612">
          <cell r="A1612" t="str">
            <v>830100567</v>
          </cell>
          <cell r="B1612" t="str">
            <v>4</v>
          </cell>
          <cell r="C1612" t="str">
            <v>EDIFICIO MULTIFAMILIAR SAN SEBASTIAN - PROPIEDAD HORIZONTAL</v>
          </cell>
          <cell r="D1612" t="str">
            <v>6919606</v>
          </cell>
          <cell r="E1612" t="str">
            <v>informacion@administracioneseco.com</v>
          </cell>
          <cell r="F1612" t="str">
            <v>CARRERA 15  77  50  OFICINA 502</v>
          </cell>
          <cell r="G1612">
            <v>11001</v>
          </cell>
        </row>
        <row r="1613">
          <cell r="A1613" t="str">
            <v>830102865</v>
          </cell>
          <cell r="B1613" t="str">
            <v>3</v>
          </cell>
          <cell r="C1613" t="str">
            <v>EDIFICIO SORRENTO - PROPIEDAD HORIZONTAL</v>
          </cell>
          <cell r="D1613" t="str">
            <v>3202763247</v>
          </cell>
          <cell r="E1613" t="str">
            <v>esorrento.ph@gmail.com</v>
          </cell>
          <cell r="F1613" t="str">
            <v>TRANSVERSAL 19 A  105  15</v>
          </cell>
          <cell r="G1613">
            <v>11001</v>
          </cell>
        </row>
        <row r="1614">
          <cell r="A1614" t="str">
            <v>830104261</v>
          </cell>
          <cell r="B1614" t="str">
            <v>4</v>
          </cell>
          <cell r="C1614" t="str">
            <v>CONJUNTO RESIDENCIAL BULEVAR LAS VILLAS</v>
          </cell>
          <cell r="D1614" t="str">
            <v>6241519</v>
          </cell>
          <cell r="E1614" t="str">
            <v>crbulevarlasvillas@gmail.com</v>
          </cell>
          <cell r="F1614" t="str">
            <v>CALLE 128 A  57 C  06</v>
          </cell>
          <cell r="G1614">
            <v>11001</v>
          </cell>
        </row>
        <row r="1615">
          <cell r="A1615" t="str">
            <v>830104261</v>
          </cell>
          <cell r="B1615" t="str">
            <v>4</v>
          </cell>
          <cell r="C1615" t="str">
            <v>CONJUNTO RESIDENCIAL BULEVAR LAS VILLAS</v>
          </cell>
          <cell r="D1615" t="str">
            <v>6241519</v>
          </cell>
          <cell r="E1615" t="str">
            <v>crbulevarlasvillas@gmail.com</v>
          </cell>
          <cell r="F1615" t="str">
            <v>CALLE 128 A  57 C  06</v>
          </cell>
          <cell r="G1615">
            <v>11001</v>
          </cell>
        </row>
        <row r="1616">
          <cell r="A1616" t="str">
            <v>830105933</v>
          </cell>
          <cell r="B1616" t="str">
            <v>1</v>
          </cell>
          <cell r="C1616" t="str">
            <v>EDIFICIO TORINO - PROPIEDAD HORIZONTAL</v>
          </cell>
          <cell r="D1616" t="str">
            <v>3130103</v>
          </cell>
          <cell r="E1616" t="str">
            <v>edificiotorinoadmon@gmail.com</v>
          </cell>
          <cell r="F1616" t="str">
            <v>DG 74 A 2 36</v>
          </cell>
          <cell r="G1616">
            <v>11001</v>
          </cell>
        </row>
        <row r="1617">
          <cell r="A1617" t="str">
            <v>830106970</v>
          </cell>
          <cell r="B1617" t="str">
            <v>7</v>
          </cell>
          <cell r="C1617" t="str">
            <v>EDIFICIO AZAHARA 92</v>
          </cell>
          <cell r="D1617" t="str">
            <v>6408565</v>
          </cell>
          <cell r="E1617" t="str">
            <v>edificioazahara92@hotmail.com</v>
          </cell>
          <cell r="F1617" t="str">
            <v>CALLE 92  11 A  22</v>
          </cell>
          <cell r="G1617">
            <v>11001</v>
          </cell>
        </row>
        <row r="1618">
          <cell r="A1618" t="str">
            <v>830106975</v>
          </cell>
          <cell r="B1618" t="str">
            <v>3</v>
          </cell>
          <cell r="C1618" t="str">
            <v>EDIFICIO OFFICE CLASS PROPIEDAD HORIZONTAL</v>
          </cell>
          <cell r="D1618" t="str">
            <v>5305583</v>
          </cell>
          <cell r="E1618" t="str">
            <v>edificio_offclass.ph@hotmail.com</v>
          </cell>
          <cell r="F1618" t="str">
            <v>CALLE 79  16 A  20</v>
          </cell>
          <cell r="G1618">
            <v>11001</v>
          </cell>
        </row>
        <row r="1619">
          <cell r="A1619" t="str">
            <v>830106975</v>
          </cell>
          <cell r="B1619" t="str">
            <v>3</v>
          </cell>
          <cell r="C1619" t="str">
            <v>EDIFICIO OFFICE CLASS PROPIEDAD HORIZONTAL</v>
          </cell>
          <cell r="D1619" t="str">
            <v>5305583</v>
          </cell>
          <cell r="E1619" t="str">
            <v>edificio_offclass.ph@hotmail.com</v>
          </cell>
          <cell r="F1619" t="str">
            <v>CALLE 79  16 A  20</v>
          </cell>
          <cell r="G1619">
            <v>11001</v>
          </cell>
        </row>
        <row r="1620">
          <cell r="A1620" t="str">
            <v>830107059</v>
          </cell>
          <cell r="B1620" t="str">
            <v>6</v>
          </cell>
          <cell r="C1620" t="str">
            <v>EDIFICIO BOSQUE DEL COUNTRY PROPIEDAD HORIZONTAL</v>
          </cell>
          <cell r="D1620" t="str">
            <v>3208358845</v>
          </cell>
          <cell r="E1620" t="str">
            <v>facturacionemf1@gmail.com</v>
          </cell>
          <cell r="F1620" t="str">
            <v>CALLE 127 B  14 A  61</v>
          </cell>
          <cell r="G1620">
            <v>11001</v>
          </cell>
        </row>
        <row r="1621">
          <cell r="A1621" t="str">
            <v>830111415</v>
          </cell>
          <cell r="B1621" t="str">
            <v>0</v>
          </cell>
          <cell r="C1621" t="str">
            <v>EDIFICIO TERRACOTA PROPIEDAD HORIZONTAL</v>
          </cell>
          <cell r="D1621" t="str">
            <v>3191731</v>
          </cell>
          <cell r="E1621" t="str">
            <v>edificioterracotaph@gmail.com</v>
          </cell>
          <cell r="F1621" t="str">
            <v>CARRERA 16  112  39</v>
          </cell>
          <cell r="G1621">
            <v>11001</v>
          </cell>
        </row>
        <row r="1622">
          <cell r="A1622" t="str">
            <v>830114921</v>
          </cell>
          <cell r="B1622" t="str">
            <v>1</v>
          </cell>
          <cell r="C1622" t="str">
            <v>COLOMBIA MOVIL S.A. E.S.P</v>
          </cell>
          <cell r="D1622" t="str">
            <v>5158138</v>
          </cell>
          <cell r="E1622" t="str">
            <v>facturacion@estiloingenieria.com</v>
          </cell>
          <cell r="F1622" t="str">
            <v>CARRERA 9  99  02 PISO 6</v>
          </cell>
          <cell r="G1622">
            <v>11001</v>
          </cell>
        </row>
        <row r="1623">
          <cell r="A1623" t="str">
            <v>830115155</v>
          </cell>
          <cell r="B1623" t="str">
            <v>9</v>
          </cell>
          <cell r="C1623" t="str">
            <v>EDIFICIO ACOCENTRO 94 PROPIEDAD HORIZONTAL</v>
          </cell>
          <cell r="D1623" t="str">
            <v>6106465</v>
          </cell>
          <cell r="E1623" t="str">
            <v>edificioacocentro94@gmail.com</v>
          </cell>
          <cell r="F1623" t="str">
            <v>CARRERA 7 B BIS  132  11</v>
          </cell>
          <cell r="G1623">
            <v>11001</v>
          </cell>
        </row>
        <row r="1624">
          <cell r="A1624" t="str">
            <v>830117597</v>
          </cell>
          <cell r="B1624" t="str">
            <v>1</v>
          </cell>
          <cell r="C1624" t="str">
            <v>EDIFICIO TERRANOVA - PROPIEDAD HORIZONTAL</v>
          </cell>
          <cell r="D1624" t="str">
            <v>2536425</v>
          </cell>
          <cell r="E1624" t="str">
            <v>facturacion@gaonacurrea.com</v>
          </cell>
          <cell r="F1624" t="str">
            <v>CR 8 79 17</v>
          </cell>
          <cell r="G1624">
            <v>11001</v>
          </cell>
        </row>
        <row r="1625">
          <cell r="A1625" t="str">
            <v>830117679</v>
          </cell>
          <cell r="B1625" t="str">
            <v>5</v>
          </cell>
          <cell r="C1625" t="str">
            <v>EDIFICIO PARQUE FRANCIA PROPIEDAD HORIZONTAL</v>
          </cell>
          <cell r="D1625" t="str">
            <v>6372954</v>
          </cell>
          <cell r="E1625" t="str">
            <v>contabilidadumana@gmail.com</v>
          </cell>
          <cell r="F1625" t="str">
            <v>CALLE 105  15  87</v>
          </cell>
          <cell r="G1625">
            <v>11001</v>
          </cell>
        </row>
        <row r="1626">
          <cell r="A1626" t="str">
            <v>830118776</v>
          </cell>
          <cell r="B1626" t="str">
            <v>6</v>
          </cell>
          <cell r="C1626" t="str">
            <v>EDIFICIO SIENA PROPIEDAD HORIZONTAL</v>
          </cell>
          <cell r="D1626" t="str">
            <v>5453847</v>
          </cell>
          <cell r="E1626" t="str">
            <v>edificiosiena92ph@gmail.com</v>
          </cell>
          <cell r="F1626" t="str">
            <v>CARRERA 8 A  69  11</v>
          </cell>
          <cell r="G1626">
            <v>11001</v>
          </cell>
        </row>
        <row r="1627">
          <cell r="A1627" t="str">
            <v>830119121</v>
          </cell>
          <cell r="B1627" t="str">
            <v>7</v>
          </cell>
          <cell r="C1627" t="str">
            <v>EDIFICIO AVENTINO - PROPIEDAD HORIZONTAL</v>
          </cell>
          <cell r="D1627" t="str">
            <v>3002179293</v>
          </cell>
          <cell r="E1627" t="str">
            <v>edificioaventino@gmail.com</v>
          </cell>
          <cell r="F1627" t="str">
            <v>CALLE 123  11B  31</v>
          </cell>
          <cell r="G1627">
            <v>11001</v>
          </cell>
        </row>
        <row r="1628">
          <cell r="A1628" t="str">
            <v>830119122</v>
          </cell>
          <cell r="B1628" t="str">
            <v>4</v>
          </cell>
          <cell r="C1628" t="str">
            <v>EDIFICIO OLIMPO PROPIEDAD HORIZONTAL</v>
          </cell>
          <cell r="D1628" t="str">
            <v>6298956</v>
          </cell>
          <cell r="E1628" t="str">
            <v>facturacion@estiloingenieria.com</v>
          </cell>
          <cell r="F1628" t="str">
            <v>CALLE 123  11 B  21</v>
          </cell>
          <cell r="G1628">
            <v>11001</v>
          </cell>
        </row>
        <row r="1629">
          <cell r="A1629" t="str">
            <v>830119679</v>
          </cell>
          <cell r="B1629" t="str">
            <v>4</v>
          </cell>
          <cell r="C1629" t="str">
            <v>EDIFICIO IOS PROPIEDAD HORIZONTAL</v>
          </cell>
          <cell r="D1629" t="str">
            <v>5261628</v>
          </cell>
          <cell r="E1629" t="str">
            <v>edificioiosph@gmail.com</v>
          </cell>
          <cell r="F1629" t="str">
            <v>CALLE 147  33 A  09</v>
          </cell>
          <cell r="G1629">
            <v>11001</v>
          </cell>
        </row>
        <row r="1630">
          <cell r="A1630" t="str">
            <v>830121294</v>
          </cell>
          <cell r="B1630" t="str">
            <v>9</v>
          </cell>
          <cell r="C1630" t="str">
            <v>EDIFICIO TORRE LA VEGA</v>
          </cell>
          <cell r="D1630" t="str">
            <v>3112608099</v>
          </cell>
          <cell r="E1630" t="str">
            <v>edificiotorrelavegaph@gmail.com</v>
          </cell>
          <cell r="F1630" t="str">
            <v>CARRERA 8 A  69  11</v>
          </cell>
          <cell r="G1630">
            <v>11001</v>
          </cell>
        </row>
        <row r="1631">
          <cell r="A1631" t="str">
            <v>830121745</v>
          </cell>
          <cell r="B1631" t="str">
            <v>9</v>
          </cell>
          <cell r="C1631" t="str">
            <v>ESCUELA DE GASTRONOMIA G D S A S</v>
          </cell>
          <cell r="D1631" t="str">
            <v>6167004</v>
          </cell>
          <cell r="E1631" t="str">
            <v>facturacion@gatodumas.com</v>
          </cell>
          <cell r="F1631" t="str">
            <v>CARRERA 20  86  21</v>
          </cell>
          <cell r="G1631">
            <v>11001</v>
          </cell>
        </row>
        <row r="1632">
          <cell r="A1632" t="str">
            <v>830122028</v>
          </cell>
          <cell r="B1632" t="str">
            <v>0</v>
          </cell>
          <cell r="C1632" t="str">
            <v>EDIFICIO CASA BONITA PROPIEDAD HORIZONTAL</v>
          </cell>
          <cell r="D1632" t="str">
            <v>2157075</v>
          </cell>
          <cell r="E1632" t="str">
            <v>facturacion@estiloingenieria.com</v>
          </cell>
          <cell r="F1632" t="str">
            <v>CALLE 125  30  67</v>
          </cell>
          <cell r="G1632">
            <v>11001</v>
          </cell>
        </row>
        <row r="1633">
          <cell r="A1633" t="str">
            <v>830122405</v>
          </cell>
          <cell r="B1633" t="str">
            <v>4</v>
          </cell>
          <cell r="C1633" t="str">
            <v>EDIFICIO BOSQUE DE LOS ROSALES PROPIEDAD HORIZONTAL</v>
          </cell>
          <cell r="D1633" t="str">
            <v>2575370</v>
          </cell>
          <cell r="E1633" t="str">
            <v>admiintegralfacturacion@gmail.com</v>
          </cell>
          <cell r="F1633" t="str">
            <v>CARRERA 7  121  20  OFICINA 259</v>
          </cell>
          <cell r="G1633">
            <v>11001</v>
          </cell>
        </row>
        <row r="1634">
          <cell r="A1634" t="str">
            <v>830122407</v>
          </cell>
          <cell r="B1634" t="str">
            <v>9</v>
          </cell>
          <cell r="C1634" t="str">
            <v>CONJUNTO RESIDENCIAL RETIRO DE SANTA MONICA PROPIEDAD HORIZONTAL</v>
          </cell>
          <cell r="D1634" t="str">
            <v>3002021926</v>
          </cell>
          <cell r="E1634" t="str">
            <v>contabilidad@cr-retirodesantamonica.com</v>
          </cell>
          <cell r="F1634" t="str">
            <v>CARRERA 16  127 B  43</v>
          </cell>
          <cell r="G1634">
            <v>11001</v>
          </cell>
        </row>
        <row r="1635">
          <cell r="A1635" t="str">
            <v>830122977</v>
          </cell>
          <cell r="B1635" t="str">
            <v>5</v>
          </cell>
          <cell r="C1635" t="str">
            <v>EDIFICIO BAALBAK PROPIEDAD HORIZONTAL</v>
          </cell>
          <cell r="D1635" t="str">
            <v>6020451</v>
          </cell>
          <cell r="E1635" t="str">
            <v>facturacion@estiloingenieria.com</v>
          </cell>
          <cell r="F1635" t="str">
            <v>AVENIDA CALLE 100  64  51  APARTAMENTO 507</v>
          </cell>
          <cell r="G1635">
            <v>11001</v>
          </cell>
        </row>
        <row r="1636">
          <cell r="A1636" t="str">
            <v>830123373</v>
          </cell>
          <cell r="B1636" t="str">
            <v>1</v>
          </cell>
          <cell r="C1636" t="str">
            <v>EDIFICIO VANGUARDIA 94 PROPIEDAD HORIZONTAL</v>
          </cell>
          <cell r="D1636" t="str">
            <v>2184128</v>
          </cell>
          <cell r="E1636" t="str">
            <v>edificiovanguardia94@outlook.es</v>
          </cell>
          <cell r="F1636" t="str">
            <v>CALLE 94  13  49</v>
          </cell>
          <cell r="G1636">
            <v>11001</v>
          </cell>
        </row>
        <row r="1637">
          <cell r="A1637" t="str">
            <v>830123373</v>
          </cell>
          <cell r="B1637" t="str">
            <v>1</v>
          </cell>
          <cell r="C1637" t="str">
            <v>EDIFICIO VANGUARDIA 94 PROPIEDAD HORIZONTAL</v>
          </cell>
          <cell r="D1637" t="str">
            <v>2184128</v>
          </cell>
          <cell r="E1637" t="str">
            <v>edificiovanguardia94@outlook.es</v>
          </cell>
          <cell r="F1637" t="str">
            <v>CALLE 94  13  49</v>
          </cell>
          <cell r="G1637">
            <v>11001</v>
          </cell>
        </row>
        <row r="1638">
          <cell r="A1638" t="str">
            <v>830124772</v>
          </cell>
          <cell r="B1638" t="str">
            <v>1</v>
          </cell>
          <cell r="C1638" t="str">
            <v>EDIFICIO EL SAMAN - PROPIEDAD HORIZONTAL</v>
          </cell>
          <cell r="D1638" t="str">
            <v>3108961870</v>
          </cell>
          <cell r="E1638" t="str">
            <v>edificiosamanph@gmail.com</v>
          </cell>
          <cell r="F1638" t="str">
            <v>CARRERA 13  127 A  14</v>
          </cell>
          <cell r="G1638">
            <v>11001</v>
          </cell>
        </row>
        <row r="1639">
          <cell r="A1639" t="str">
            <v>830126170</v>
          </cell>
          <cell r="B1639" t="str">
            <v>7</v>
          </cell>
          <cell r="C1639" t="str">
            <v>PROMOTORA VIVENDUM S.A.</v>
          </cell>
          <cell r="D1639">
            <v>3219664011</v>
          </cell>
          <cell r="E1639" t="str">
            <v>facturacion@promotoravivendum.com</v>
          </cell>
          <cell r="F1639" t="str">
            <v>CARRERA 6  26  85  PISO 15</v>
          </cell>
          <cell r="G1639">
            <v>11001</v>
          </cell>
        </row>
        <row r="1640">
          <cell r="A1640" t="str">
            <v>830126703</v>
          </cell>
          <cell r="B1640" t="str">
            <v>2</v>
          </cell>
          <cell r="C1640" t="str">
            <v>CONJUNTO RESIDENCIAL SALITRE PARK - PROPIEDAD HORIZONTAL</v>
          </cell>
          <cell r="D1640" t="str">
            <v>3 0 5 8 3 6 7 7 9 6</v>
          </cell>
          <cell r="E1640" t="str">
            <v>admonsalitreparkph@gmail.com</v>
          </cell>
          <cell r="F1640" t="str">
            <v>CL 25 69 51</v>
          </cell>
          <cell r="G1640">
            <v>11001</v>
          </cell>
        </row>
        <row r="1641">
          <cell r="A1641" t="str">
            <v>830126703</v>
          </cell>
          <cell r="B1641" t="str">
            <v>2</v>
          </cell>
          <cell r="C1641" t="str">
            <v>CONJUNTO RESIDENCIAL SALITRE PARK - PROPIEDAD HORIZONTAL</v>
          </cell>
          <cell r="D1641" t="str">
            <v>3 0 5 8 3 6 7 7 9 6</v>
          </cell>
          <cell r="E1641" t="str">
            <v>admonsalitreparkph@gmail.com</v>
          </cell>
          <cell r="F1641" t="str">
            <v>CL 25 69 51</v>
          </cell>
          <cell r="G1641">
            <v>11001</v>
          </cell>
        </row>
        <row r="1642">
          <cell r="A1642" t="str">
            <v>830129327</v>
          </cell>
          <cell r="B1642" t="str">
            <v>1</v>
          </cell>
          <cell r="C1642" t="str">
            <v>FARMATODO COLOMBIA S.A.</v>
          </cell>
          <cell r="D1642" t="str">
            <v>6017432100</v>
          </cell>
          <cell r="E1642" t="str">
            <v>auxiliar.cxp@farmatodo.com</v>
          </cell>
          <cell r="F1642" t="str">
            <v>CR 11 A 98 50 OF 301 302 ED PUNTO 99</v>
          </cell>
          <cell r="G1642">
            <v>11001</v>
          </cell>
        </row>
        <row r="1643">
          <cell r="A1643" t="str">
            <v>830129629</v>
          </cell>
          <cell r="B1643" t="str">
            <v>9</v>
          </cell>
          <cell r="C1643" t="str">
            <v>EDIFICIO ATANATOS I - PROPIEDAD HORIZONTAL</v>
          </cell>
          <cell r="D1643" t="str">
            <v>6916529</v>
          </cell>
          <cell r="E1643" t="str">
            <v>edificioatanatos@gmail.com</v>
          </cell>
          <cell r="F1643" t="str">
            <v>CARRERA 18  85  70</v>
          </cell>
          <cell r="G1643">
            <v>11001</v>
          </cell>
        </row>
        <row r="1644">
          <cell r="A1644" t="str">
            <v>830130706</v>
          </cell>
          <cell r="B1644" t="str">
            <v>1</v>
          </cell>
          <cell r="C1644" t="str">
            <v>QUEBRADA VIEJA 71 PROPIEDAD HORIZONTAL</v>
          </cell>
          <cell r="D1644" t="str">
            <v>830130706</v>
          </cell>
          <cell r="E1644" t="str">
            <v>proveedores@aedyco.com.co</v>
          </cell>
          <cell r="F1644" t="str">
            <v>CL 71 1 03 ESTE BRR ROSALES</v>
          </cell>
          <cell r="G1644">
            <v>11001</v>
          </cell>
        </row>
        <row r="1645">
          <cell r="A1645" t="str">
            <v>830130706</v>
          </cell>
          <cell r="B1645" t="str">
            <v>1</v>
          </cell>
          <cell r="C1645" t="str">
            <v>QUEBRADA VIEJA 71 PROPIEDAD HORIZONTAL</v>
          </cell>
          <cell r="D1645" t="str">
            <v>830130706</v>
          </cell>
          <cell r="E1645" t="str">
            <v>proveedores@aedyco.com.co</v>
          </cell>
          <cell r="F1645" t="str">
            <v>CL 71 1 03 ESTE BRR ROSALES</v>
          </cell>
          <cell r="G1645">
            <v>11001</v>
          </cell>
        </row>
        <row r="1646">
          <cell r="A1646" t="str">
            <v>830133425</v>
          </cell>
          <cell r="B1646" t="str">
            <v>9</v>
          </cell>
          <cell r="C1646" t="str">
            <v>EDIFICIO ICARO CALLE 103 PROPIEDAD HORIZONTAL</v>
          </cell>
          <cell r="D1646" t="str">
            <v>3906231</v>
          </cell>
          <cell r="E1646" t="str">
            <v>edificioicaroph@gmail.com</v>
          </cell>
          <cell r="F1646" t="str">
            <v>CARRERA 7  85  40</v>
          </cell>
          <cell r="G1646">
            <v>11001</v>
          </cell>
        </row>
        <row r="1647">
          <cell r="A1647" t="str">
            <v>830133541</v>
          </cell>
          <cell r="B1647" t="str">
            <v>5</v>
          </cell>
          <cell r="C1647" t="str">
            <v>EDIFICIO ALTEA PROPIEDAD HORIZONTAL</v>
          </cell>
          <cell r="D1647" t="str">
            <v>2365156</v>
          </cell>
          <cell r="E1647" t="str">
            <v>facturacion@estiloingenieria.com</v>
          </cell>
          <cell r="F1647" t="str">
            <v>CALLE 104  23  34 OFC 401</v>
          </cell>
          <cell r="G1647">
            <v>11001</v>
          </cell>
        </row>
        <row r="1648">
          <cell r="A1648" t="str">
            <v>830134534</v>
          </cell>
          <cell r="B1648" t="str">
            <v>8</v>
          </cell>
          <cell r="C1648" t="str">
            <v>EDIFICIO GUAYACAN PROPIEDAD HORIZONTAL</v>
          </cell>
          <cell r="D1648" t="str">
            <v>6206407</v>
          </cell>
          <cell r="E1648" t="str">
            <v>contabilidadmhvl@gmail.com</v>
          </cell>
          <cell r="F1648" t="str">
            <v>CARRERA 19 A  120  32</v>
          </cell>
          <cell r="G1648">
            <v>11001</v>
          </cell>
        </row>
        <row r="1649">
          <cell r="A1649" t="str">
            <v>830134537</v>
          </cell>
          <cell r="B1649" t="str">
            <v>1</v>
          </cell>
          <cell r="C1649" t="str">
            <v>EDIFICIO NOGAL 76 PROPIEDAD HORIZONTAL</v>
          </cell>
          <cell r="D1649" t="str">
            <v>6206407</v>
          </cell>
          <cell r="E1649" t="str">
            <v>contabilidadmhvl@gmail.com</v>
          </cell>
          <cell r="F1649" t="str">
            <v>CARRERA 19 A  120  32</v>
          </cell>
          <cell r="G1649">
            <v>11001</v>
          </cell>
        </row>
        <row r="1650">
          <cell r="A1650" t="str">
            <v>830134799</v>
          </cell>
          <cell r="B1650" t="str">
            <v>2</v>
          </cell>
          <cell r="C1650" t="str">
            <v>CONJUNTO RESIDENCIAL SIERRAS DEL MORAL MANZANA 4 ETAPA 5 TORRE 7 - P.H.</v>
          </cell>
          <cell r="D1650" t="str">
            <v>3112626030</v>
          </cell>
          <cell r="E1650" t="str">
            <v>etapa5sierrasdelmoral@hotmail.com</v>
          </cell>
          <cell r="F1650" t="str">
            <v>CALLE 146 N°6-24</v>
          </cell>
          <cell r="G1650">
            <v>11001</v>
          </cell>
        </row>
        <row r="1651">
          <cell r="A1651" t="str">
            <v>830134799</v>
          </cell>
          <cell r="B1651" t="str">
            <v>2</v>
          </cell>
          <cell r="C1651" t="str">
            <v>CONJUNTO RESIDENCIAL SIERRAS DEL MORAL MANZANA 4 ETAPA 5 TORRE 7 - P.H.</v>
          </cell>
          <cell r="D1651" t="str">
            <v>3112626030</v>
          </cell>
          <cell r="E1651" t="str">
            <v>etapa5sierrasdelmoral@hotmail.com</v>
          </cell>
          <cell r="F1651" t="str">
            <v>CALLE 146 N°6-24</v>
          </cell>
          <cell r="G1651">
            <v>11001</v>
          </cell>
        </row>
        <row r="1652">
          <cell r="A1652" t="str">
            <v>830137279</v>
          </cell>
          <cell r="B1652" t="str">
            <v>8</v>
          </cell>
          <cell r="C1652" t="str">
            <v>EDIFICIO CAMINO DE SANTA CLARA II PROPIEDAD HORIZONTAL</v>
          </cell>
          <cell r="D1652" t="str">
            <v>2561880</v>
          </cell>
          <cell r="E1652" t="str">
            <v>edificiosantaclara2@gmail.com</v>
          </cell>
          <cell r="F1652" t="str">
            <v>CARRERA 8 A  95  59</v>
          </cell>
          <cell r="G1652">
            <v>11001</v>
          </cell>
        </row>
        <row r="1653">
          <cell r="A1653" t="str">
            <v>830137696</v>
          </cell>
          <cell r="B1653" t="str">
            <v>6</v>
          </cell>
          <cell r="C1653" t="str">
            <v>CONJUNTO RESIDENCIAL GUADALQUIVIR - PROPIEDAD HORIZONTAL</v>
          </cell>
          <cell r="D1653" t="str">
            <v>6014740116</v>
          </cell>
          <cell r="E1653" t="str">
            <v>guadalquivir119@gmail.com</v>
          </cell>
          <cell r="F1653" t="str">
            <v>CL 119 4 10</v>
          </cell>
          <cell r="G1653">
            <v>11001</v>
          </cell>
        </row>
        <row r="1654">
          <cell r="A1654" t="str">
            <v>830138718</v>
          </cell>
          <cell r="B1654" t="str">
            <v>4</v>
          </cell>
          <cell r="C1654" t="str">
            <v>EDIFICIO MONTE ROSALES PROPIEDAD HORIZONTAL</v>
          </cell>
          <cell r="D1654" t="str">
            <v>2352500</v>
          </cell>
          <cell r="E1654" t="str">
            <v>adarcoltda@outlook.com</v>
          </cell>
          <cell r="F1654" t="str">
            <v>CALLE 72  1  65</v>
          </cell>
          <cell r="G1654">
            <v>11001</v>
          </cell>
        </row>
        <row r="1655">
          <cell r="A1655" t="str">
            <v>830139050</v>
          </cell>
          <cell r="B1655" t="str">
            <v>8</v>
          </cell>
          <cell r="C1655" t="str">
            <v>EDIFICIO ISANORTE PROPIEDAD HORIZONTAL</v>
          </cell>
          <cell r="D1655" t="str">
            <v>2155589</v>
          </cell>
          <cell r="E1655" t="str">
            <v>facturacion@estiloingenieria.com</v>
          </cell>
          <cell r="F1655" t="str">
            <v>CALLE 120  20  57</v>
          </cell>
          <cell r="G1655">
            <v>11001</v>
          </cell>
        </row>
        <row r="1656">
          <cell r="A1656" t="str">
            <v>830139352</v>
          </cell>
          <cell r="B1656" t="str">
            <v>7</v>
          </cell>
          <cell r="C1656" t="str">
            <v>CONJUNTO RESIDENCIAL SIERRAS DEL MORAL TORRE 8</v>
          </cell>
          <cell r="D1656" t="str">
            <v>601-9370344</v>
          </cell>
          <cell r="E1656" t="str">
            <v>etapa5sierrasdelmoral@hotmail.com</v>
          </cell>
          <cell r="F1656" t="str">
            <v>calle 146 n°6-24 mz IV etapa 5 Torre 8</v>
          </cell>
          <cell r="G1656">
            <v>11001</v>
          </cell>
        </row>
        <row r="1657">
          <cell r="A1657" t="str">
            <v>830139542</v>
          </cell>
          <cell r="B1657" t="str">
            <v>1</v>
          </cell>
          <cell r="C1657" t="str">
            <v>EDIFICIO ACACIAS 94 - PROPIEDAD HORIZONTAL</v>
          </cell>
          <cell r="D1657" t="str">
            <v>5453847</v>
          </cell>
          <cell r="E1657" t="str">
            <v>tesoreria@gaonacurrea.com</v>
          </cell>
          <cell r="F1657" t="str">
            <v>CARRERA 8  69  11</v>
          </cell>
          <cell r="G1657">
            <v>11001</v>
          </cell>
        </row>
        <row r="1658">
          <cell r="A1658" t="str">
            <v>830139717</v>
          </cell>
          <cell r="B1658" t="str">
            <v>1</v>
          </cell>
          <cell r="C1658" t="str">
            <v>EDIFICIO TABAGO IV PROPIEDAD HORIZONTAL</v>
          </cell>
          <cell r="D1658" t="str">
            <v>2103392</v>
          </cell>
          <cell r="E1658" t="str">
            <v>tabago4conjunto@gmail.com</v>
          </cell>
          <cell r="F1658" t="str">
            <v>CL 127A BIS 15 31</v>
          </cell>
          <cell r="G1658">
            <v>11001</v>
          </cell>
        </row>
        <row r="1659">
          <cell r="A1659" t="str">
            <v>830140423</v>
          </cell>
          <cell r="B1659" t="str">
            <v>3</v>
          </cell>
          <cell r="C1659" t="str">
            <v>EDIFICIO SURINAME - PROPIEDAD HORIZONTAL</v>
          </cell>
          <cell r="D1659" t="str">
            <v>3152538074</v>
          </cell>
          <cell r="E1659" t="str">
            <v>facturacion@estiloingenieria.com</v>
          </cell>
          <cell r="F1659" t="str">
            <v>CARRERA 19 A  118  95</v>
          </cell>
          <cell r="G1659">
            <v>11001</v>
          </cell>
        </row>
        <row r="1660">
          <cell r="A1660" t="str">
            <v>830140624</v>
          </cell>
          <cell r="B1660" t="str">
            <v>7</v>
          </cell>
          <cell r="C1660" t="str">
            <v>CONJUNTO RESIDENCIAL PARQUE BARCELONA PRIMERA ETAPA - PROPIEDAD HORIZONTAL</v>
          </cell>
          <cell r="D1660" t="str">
            <v>4282819</v>
          </cell>
          <cell r="E1660" t="str">
            <v>admonparquebarcelona@hotmail.com</v>
          </cell>
          <cell r="F1660" t="str">
            <v>CALLE 22 B  58  21</v>
          </cell>
          <cell r="G1660">
            <v>11001</v>
          </cell>
        </row>
        <row r="1661">
          <cell r="A1661" t="str">
            <v>830141195</v>
          </cell>
          <cell r="B1661" t="str">
            <v>3</v>
          </cell>
          <cell r="C1661" t="str">
            <v>EDIFICIO ROSALES 2000 PROPIEDAD HORIZONTAL</v>
          </cell>
          <cell r="D1661" t="str">
            <v>3108062714</v>
          </cell>
          <cell r="E1661" t="str">
            <v>wzarateauditor@yahoo.com</v>
          </cell>
          <cell r="F1661" t="str">
            <v>TRANSVERSAL 1 A  68  80</v>
          </cell>
          <cell r="G1661">
            <v>11001</v>
          </cell>
        </row>
        <row r="1662">
          <cell r="A1662" t="str">
            <v>830142201</v>
          </cell>
          <cell r="B1662" t="str">
            <v>4</v>
          </cell>
          <cell r="C1662" t="str">
            <v>MTS CONSULTORIA + GESTION S.A.S</v>
          </cell>
          <cell r="D1662" t="str">
            <v>7428524</v>
          </cell>
          <cell r="E1662" t="str">
            <v>830142201@recepciondefacturas.co</v>
          </cell>
          <cell r="F1662" t="str">
            <v>CARRERA 19  82  85  OFICINA 504</v>
          </cell>
          <cell r="G1662">
            <v>11001</v>
          </cell>
        </row>
        <row r="1663">
          <cell r="A1663" t="str">
            <v>830144120</v>
          </cell>
          <cell r="B1663" t="str">
            <v>5</v>
          </cell>
          <cell r="C1663" t="str">
            <v>MULTIFAMILIAR TOSCANA PROPIEDAD HORIZONTAL</v>
          </cell>
          <cell r="D1663" t="str">
            <v>3114637374</v>
          </cell>
          <cell r="E1663" t="str">
            <v>facturacionelectronica@casalini.com.co</v>
          </cell>
          <cell r="F1663" t="str">
            <v>CALLE 75  3  15</v>
          </cell>
          <cell r="G1663">
            <v>11001</v>
          </cell>
        </row>
        <row r="1664">
          <cell r="A1664" t="str">
            <v>830144129</v>
          </cell>
          <cell r="B1664" t="str">
            <v>0</v>
          </cell>
          <cell r="C1664" t="str">
            <v>EDIFICIO SANTA MARIA P H</v>
          </cell>
          <cell r="D1664" t="str">
            <v>6167240</v>
          </cell>
          <cell r="E1664" t="str">
            <v>contabilidadumana@gmail.com</v>
          </cell>
          <cell r="F1664" t="str">
            <v>CALLE 75  13  51</v>
          </cell>
          <cell r="G1664">
            <v>11001</v>
          </cell>
        </row>
        <row r="1665">
          <cell r="A1665" t="str">
            <v>830145316</v>
          </cell>
          <cell r="B1665" t="str">
            <v>6</v>
          </cell>
          <cell r="C1665" t="str">
            <v>EDIFICIO LOS PINOS DEL COUNTRY PROPIEDAD HORIZONTAL</v>
          </cell>
          <cell r="D1665" t="str">
            <v>626058</v>
          </cell>
          <cell r="E1665" t="str">
            <v>lospinosdelcountryph@gmail.com</v>
          </cell>
          <cell r="F1665" t="str">
            <v>CARRERA 13 A  127 B  24</v>
          </cell>
          <cell r="G1665">
            <v>11001</v>
          </cell>
        </row>
        <row r="1666">
          <cell r="A1666" t="str">
            <v>830145532</v>
          </cell>
          <cell r="B1666" t="str">
            <v>0</v>
          </cell>
          <cell r="C1666" t="str">
            <v>EDIFICIO CLINICA VASCULAR NAVARRA PROPIEDAD HORIZONTAL</v>
          </cell>
          <cell r="D1666" t="str">
            <v>6059999</v>
          </cell>
          <cell r="E1666" t="str">
            <v>facturacion@estiloingenieria.com</v>
          </cell>
          <cell r="F1666" t="str">
            <v>AUTOPISTA NORTE  106  30</v>
          </cell>
          <cell r="G1666">
            <v>11001</v>
          </cell>
        </row>
        <row r="1667">
          <cell r="A1667" t="str">
            <v>830145532</v>
          </cell>
          <cell r="B1667" t="str">
            <v>0</v>
          </cell>
          <cell r="C1667" t="str">
            <v>EDIFICIO CLINICA VASCULAR NAVARRA PROPIEDAD HORIZONTAL</v>
          </cell>
          <cell r="D1667" t="str">
            <v>6059999</v>
          </cell>
          <cell r="E1667" t="str">
            <v>facturacion@estiloingenieria.com</v>
          </cell>
          <cell r="F1667" t="str">
            <v>AUTOPISTA NORTE  106  30</v>
          </cell>
          <cell r="G1667">
            <v>11001</v>
          </cell>
        </row>
        <row r="1668">
          <cell r="A1668" t="str">
            <v>830145603</v>
          </cell>
          <cell r="B1668" t="str">
            <v>5</v>
          </cell>
          <cell r="C1668" t="str">
            <v>EDIFICIO CALLEJA PARK PROPIEDAD HORIZONTAL</v>
          </cell>
          <cell r="D1668" t="str">
            <v>3112162722</v>
          </cell>
          <cell r="E1668" t="str">
            <v>edificiocallejapark1@hotmail.com</v>
          </cell>
          <cell r="F1668" t="str">
            <v>CARRERA 20  127 B  22</v>
          </cell>
          <cell r="G1668">
            <v>11001</v>
          </cell>
        </row>
        <row r="1669">
          <cell r="A1669" t="str">
            <v>830145831</v>
          </cell>
          <cell r="B1669" t="str">
            <v>8</v>
          </cell>
          <cell r="C1669" t="str">
            <v>EDIFICIO MILLENNIUM 121 - PROPIEDAD HORIZONTAL</v>
          </cell>
          <cell r="D1669" t="str">
            <v>6372559</v>
          </cell>
          <cell r="E1669" t="str">
            <v>admonedificiomillennium@gmail.com</v>
          </cell>
          <cell r="F1669" t="str">
            <v>CARRERA 18  120  65</v>
          </cell>
          <cell r="G1669">
            <v>11001</v>
          </cell>
        </row>
        <row r="1670">
          <cell r="A1670" t="str">
            <v>830145831</v>
          </cell>
          <cell r="B1670" t="str">
            <v>8</v>
          </cell>
          <cell r="C1670" t="str">
            <v>EDIFICIO MILLENNIUM 121 - PROPIEDAD HORIZONTAL</v>
          </cell>
          <cell r="D1670" t="str">
            <v>6372559</v>
          </cell>
          <cell r="E1670" t="str">
            <v>admonedificiomillennium@gmail.com</v>
          </cell>
          <cell r="F1670" t="str">
            <v>CARRERA 18  120  65</v>
          </cell>
          <cell r="G1670">
            <v>11001</v>
          </cell>
        </row>
        <row r="1671">
          <cell r="A1671" t="str">
            <v>830146489</v>
          </cell>
          <cell r="B1671" t="str">
            <v>6</v>
          </cell>
          <cell r="C1671" t="str">
            <v>ASOCIACION DE COPROPIETARIOS COMERCIANTES DEL CENTRO COMERCIAL EL MUNDO DE ORO</v>
          </cell>
          <cell r="D1671" t="str">
            <v>5622800</v>
          </cell>
          <cell r="E1671" t="str">
            <v>johnmartin8915@gmail.com</v>
          </cell>
          <cell r="F1671" t="str">
            <v>CALLE 9 BIS  20  51</v>
          </cell>
          <cell r="G1671">
            <v>11001</v>
          </cell>
        </row>
        <row r="1672">
          <cell r="A1672" t="str">
            <v>830146489</v>
          </cell>
          <cell r="B1672" t="str">
            <v>6</v>
          </cell>
          <cell r="C1672" t="str">
            <v>ASOCIACION DE COPROPIETARIOS COMERCIANTES DEL CENTRO COMERCIAL EL MUNDO DE ORO</v>
          </cell>
          <cell r="D1672" t="str">
            <v>5622800</v>
          </cell>
          <cell r="E1672" t="str">
            <v>johnmartin8915@gmail.com</v>
          </cell>
          <cell r="F1672" t="str">
            <v>CALLE 9 BIS  20  51</v>
          </cell>
          <cell r="G1672">
            <v>11001</v>
          </cell>
        </row>
        <row r="1673">
          <cell r="A1673" t="str">
            <v>830147087</v>
          </cell>
          <cell r="B1673" t="str">
            <v>3</v>
          </cell>
          <cell r="C1673" t="str">
            <v>EDIFICIO BANCO GNB SUDAMERIS CALLE 94 PROPIEDAD HORIZONTAL</v>
          </cell>
          <cell r="D1673" t="str">
            <v>3209798752</v>
          </cell>
          <cell r="E1673" t="str">
            <v>adriana.torres@grupoqcsas.com</v>
          </cell>
          <cell r="F1673" t="str">
            <v>CARRERA 7 A  71  52  OFICINA 703</v>
          </cell>
          <cell r="G1673">
            <v>11001</v>
          </cell>
        </row>
        <row r="1674">
          <cell r="A1674" t="str">
            <v>830147660</v>
          </cell>
          <cell r="B1674" t="str">
            <v>4</v>
          </cell>
          <cell r="C1674" t="str">
            <v>EDIFICIO KANSEI II - PROPIEDAD HORIZONTAL</v>
          </cell>
          <cell r="D1674" t="str">
            <v>3212061123</v>
          </cell>
          <cell r="E1674" t="str">
            <v>facturacion@estiloingenieria.com</v>
          </cell>
          <cell r="F1674" t="str">
            <v>CARRERA 20 C  77  19</v>
          </cell>
          <cell r="G1674">
            <v>11001</v>
          </cell>
        </row>
        <row r="1675">
          <cell r="A1675" t="str">
            <v>830503439</v>
          </cell>
          <cell r="B1675" t="str">
            <v>1</v>
          </cell>
          <cell r="C1675" t="str">
            <v>LIAN S. A.S.</v>
          </cell>
          <cell r="D1675" t="str">
            <v>3103123244</v>
          </cell>
          <cell r="E1675" t="str">
            <v>liandisenos@gmail.com</v>
          </cell>
          <cell r="F1675" t="str">
            <v>CL 70 7 60 OF 101</v>
          </cell>
          <cell r="G1675">
            <v>11001</v>
          </cell>
        </row>
        <row r="1676">
          <cell r="A1676" t="str">
            <v>830507387</v>
          </cell>
          <cell r="B1676" t="str">
            <v>3</v>
          </cell>
          <cell r="C1676" t="str">
            <v>METROLINEA S.A.</v>
          </cell>
          <cell r="D1676" t="str">
            <v>6929824</v>
          </cell>
          <cell r="E1676" t="str">
            <v>facturacion@metrolinea.gov.co</v>
          </cell>
          <cell r="F1676" t="str">
            <v>AUT FLORIDABLANCA 86 30 BRR DIAMANTE 2</v>
          </cell>
          <cell r="G1676">
            <v>11001</v>
          </cell>
        </row>
        <row r="1677">
          <cell r="A1677" t="str">
            <v>830511773</v>
          </cell>
          <cell r="B1677" t="str">
            <v>9</v>
          </cell>
          <cell r="C1677" t="str">
            <v>BRM S.A.S.</v>
          </cell>
          <cell r="D1677" t="str">
            <v>7422600</v>
          </cell>
          <cell r="E1677" t="str">
            <v>recepcion.facturas@articulacion.com.co</v>
          </cell>
          <cell r="F1677" t="str">
            <v>CL 94 A 11 A 50</v>
          </cell>
          <cell r="G1677">
            <v>11001</v>
          </cell>
        </row>
        <row r="1678">
          <cell r="A1678" t="str">
            <v>830511773</v>
          </cell>
          <cell r="B1678" t="str">
            <v>9</v>
          </cell>
          <cell r="C1678" t="str">
            <v>BRM S.A.S.</v>
          </cell>
          <cell r="D1678" t="str">
            <v>7422600</v>
          </cell>
          <cell r="E1678" t="str">
            <v>recepcion.facturas@articulacion.com.co</v>
          </cell>
          <cell r="F1678" t="str">
            <v>CL 94 A 11 A 50</v>
          </cell>
          <cell r="G1678">
            <v>11001</v>
          </cell>
        </row>
        <row r="1679">
          <cell r="A1679" t="str">
            <v>830514243</v>
          </cell>
          <cell r="B1679" t="str">
            <v>0</v>
          </cell>
          <cell r="C1679" t="str">
            <v>ABORDO VIAJES Y TURISMO S.A.S</v>
          </cell>
          <cell r="D1679" t="str">
            <v>4440151</v>
          </cell>
          <cell r="E1679" t="str">
            <v>facturacion@abhoteles.co</v>
          </cell>
          <cell r="F1679" t="str">
            <v>CARRERA 80  32 E E  6</v>
          </cell>
          <cell r="G1679">
            <v>11001</v>
          </cell>
        </row>
        <row r="1680">
          <cell r="A1680" t="str">
            <v>832000235</v>
          </cell>
          <cell r="B1680" t="str">
            <v>2</v>
          </cell>
          <cell r="C1680" t="str">
            <v>CALUCE S.A.S.</v>
          </cell>
          <cell r="D1680" t="str">
            <v>8844458</v>
          </cell>
          <cell r="E1680" t="str">
            <v>contabilidad@caluce.com.co</v>
          </cell>
          <cell r="F1680" t="str">
            <v>AVENIDA PRADILLA DG 13 3 ESTE 98</v>
          </cell>
          <cell r="G1680">
            <v>11001</v>
          </cell>
        </row>
        <row r="1681">
          <cell r="A1681" t="str">
            <v>832008540</v>
          </cell>
          <cell r="B1681" t="str">
            <v>0</v>
          </cell>
          <cell r="C1681" t="str">
            <v>MAKRO CONSTRUCCIONES SAS</v>
          </cell>
          <cell r="D1681">
            <v>3219664011</v>
          </cell>
          <cell r="E1681" t="str">
            <v>carteramakroconstrucciones@gmail.com</v>
          </cell>
          <cell r="F1681" t="str">
            <v>CARRERA 10  15 D  27</v>
          </cell>
          <cell r="G1681">
            <v>11001</v>
          </cell>
        </row>
        <row r="1682">
          <cell r="A1682" t="str">
            <v>835000771</v>
          </cell>
          <cell r="B1682" t="str">
            <v>1</v>
          </cell>
          <cell r="C1682" t="str">
            <v>INTENDENCIA REGIONAL DIMAR 1</v>
          </cell>
          <cell r="D1682" t="str">
            <v>3145890067</v>
          </cell>
          <cell r="E1682" t="str">
            <v>Siifnacion.facturaelectronica@minhacienda.gov.co</v>
          </cell>
          <cell r="F1682" t="str">
            <v>CALLE 2  1  03</v>
          </cell>
          <cell r="G1682">
            <v>11001</v>
          </cell>
        </row>
        <row r="1683">
          <cell r="A1683" t="str">
            <v>860000531</v>
          </cell>
          <cell r="B1683" t="str">
            <v>1</v>
          </cell>
          <cell r="C1683" t="str">
            <v>CUSEZAR S.A.</v>
          </cell>
          <cell r="D1683" t="str">
            <v>6516066</v>
          </cell>
          <cell r="E1683" t="str">
            <v>facturacion_bog@cusezar.com</v>
          </cell>
          <cell r="F1683" t="str">
            <v>AVENIDA CALLE 116  7  15  PISO 16</v>
          </cell>
          <cell r="G1683">
            <v>11001</v>
          </cell>
        </row>
        <row r="1684">
          <cell r="A1684" t="str">
            <v>860001300</v>
          </cell>
          <cell r="B1684" t="str">
            <v>1</v>
          </cell>
          <cell r="C1684" t="str">
            <v>IGNACIO GOMEZ IHM SAS</v>
          </cell>
          <cell r="D1684" t="str">
            <v>7462142</v>
          </cell>
          <cell r="E1684" t="str">
            <v>860001300@factureinbox.co</v>
          </cell>
          <cell r="F1684" t="str">
            <v>CARRERA 42 BIS  17 A  24</v>
          </cell>
          <cell r="G1684">
            <v>11001</v>
          </cell>
        </row>
        <row r="1685">
          <cell r="A1685" t="str">
            <v>860002130</v>
          </cell>
          <cell r="B1685" t="str">
            <v>9</v>
          </cell>
          <cell r="C1685" t="str">
            <v>NESTLE DE COLOMBIA SA</v>
          </cell>
          <cell r="D1685" t="str">
            <v>2236060</v>
          </cell>
          <cell r="E1685" t="str">
            <v>proveedores.electronicos@co.nestle.com</v>
          </cell>
          <cell r="F1685" t="str">
            <v>DIAGONAL 92  17 A  42</v>
          </cell>
          <cell r="G1685">
            <v>11001</v>
          </cell>
        </row>
        <row r="1686">
          <cell r="A1686" t="str">
            <v>860002541</v>
          </cell>
          <cell r="B1686" t="str">
            <v>2</v>
          </cell>
          <cell r="C1686" t="str">
            <v>CLINICA DE MARLY S.A.</v>
          </cell>
          <cell r="D1686" t="str">
            <v>3436600</v>
          </cell>
          <cell r="E1686" t="str">
            <v>recepcion.electronica@clinicademarly.com.co</v>
          </cell>
          <cell r="F1686" t="str">
            <v>CALLE 50  9  67</v>
          </cell>
          <cell r="G1686">
            <v>11001</v>
          </cell>
        </row>
        <row r="1687">
          <cell r="A1687" t="str">
            <v>860002964</v>
          </cell>
          <cell r="B1687" t="str">
            <v>4</v>
          </cell>
          <cell r="C1687" t="str">
            <v>BANCO DE BOGOTA</v>
          </cell>
          <cell r="D1687">
            <v>3219664011</v>
          </cell>
          <cell r="E1687" t="str">
            <v>facturacion@estiloingenieria.com</v>
          </cell>
          <cell r="F1687" t="str">
            <v>AVENIDA 5 A  17 N  98 OFICINA 803</v>
          </cell>
          <cell r="G1687">
            <v>11001</v>
          </cell>
        </row>
        <row r="1688">
          <cell r="A1688" t="str">
            <v>860005216</v>
          </cell>
          <cell r="B1688" t="str">
            <v>7</v>
          </cell>
          <cell r="C1688" t="str">
            <v>BANCO DE LA REPUBLICA</v>
          </cell>
          <cell r="D1688" t="str">
            <v>6847772</v>
          </cell>
          <cell r="E1688" t="str">
            <v>dcin-facturacionelectronica@banrep.gov.co</v>
          </cell>
          <cell r="F1688" t="str">
            <v>CARRERA 4  7  14</v>
          </cell>
          <cell r="G1688">
            <v>11001</v>
          </cell>
        </row>
        <row r="1689">
          <cell r="A1689" t="str">
            <v>860006522</v>
          </cell>
          <cell r="B1689" t="str">
            <v>0</v>
          </cell>
          <cell r="C1689" t="str">
            <v>CORPORACION COLEGIO NUEVA GRANADA</v>
          </cell>
          <cell r="D1689" t="str">
            <v>2123511</v>
          </cell>
          <cell r="E1689" t="str">
            <v>facturacion@cng.edu</v>
          </cell>
          <cell r="F1689" t="str">
            <v>CARRERA 2 ESTE No. 70-20</v>
          </cell>
          <cell r="G1689">
            <v>11001</v>
          </cell>
        </row>
        <row r="1690">
          <cell r="A1690" t="str">
            <v>860006628</v>
          </cell>
          <cell r="B1690" t="str">
            <v>2</v>
          </cell>
          <cell r="C1690" t="str">
            <v>MCCANN ERICKSON CORPORATION S A</v>
          </cell>
          <cell r="D1690" t="str">
            <v>5923145</v>
          </cell>
          <cell r="E1690" t="str">
            <v>facturacion.mecolombia.sm@corp.ipgnetwork.com</v>
          </cell>
          <cell r="F1690" t="str">
            <v>CARRERA 12  96  39</v>
          </cell>
          <cell r="G1690">
            <v>11001</v>
          </cell>
        </row>
        <row r="1691">
          <cell r="A1691" t="str">
            <v>860006656</v>
          </cell>
          <cell r="B1691" t="str">
            <v>9</v>
          </cell>
          <cell r="C1691" t="str">
            <v>FUNDACION ABOOD SHAIO</v>
          </cell>
          <cell r="D1691" t="str">
            <v>5938210</v>
          </cell>
          <cell r="E1691" t="str">
            <v>adriana.pinilla@shaio.org</v>
          </cell>
          <cell r="F1691" t="str">
            <v>DIAGONAL 115 A  70 C  75</v>
          </cell>
          <cell r="G1691">
            <v>11001</v>
          </cell>
        </row>
        <row r="1692">
          <cell r="A1692" t="str">
            <v>860006656</v>
          </cell>
          <cell r="B1692" t="str">
            <v>9</v>
          </cell>
          <cell r="C1692" t="str">
            <v>FUNDACION ABOOD SHAIO</v>
          </cell>
          <cell r="D1692" t="str">
            <v>5938210</v>
          </cell>
          <cell r="E1692" t="str">
            <v>adriana.pinilla@shaio.org</v>
          </cell>
          <cell r="F1692" t="str">
            <v>DIAGONAL 115 A  70 C  75</v>
          </cell>
          <cell r="G1692">
            <v>11001</v>
          </cell>
        </row>
        <row r="1693">
          <cell r="A1693" t="str">
            <v>860006762</v>
          </cell>
          <cell r="B1693" t="str">
            <v>1</v>
          </cell>
          <cell r="C1693" t="str">
            <v>CONFESION RELIGIOSA JUDIA "COMUNIDAD HEBREA SEFARADI DE BOGOTA"</v>
          </cell>
          <cell r="D1693" t="str">
            <v>2562629</v>
          </cell>
          <cell r="E1693" t="str">
            <v>facturaelectronicachs@gmail.com</v>
          </cell>
          <cell r="F1693" t="str">
            <v>CALLE 79  9  66</v>
          </cell>
          <cell r="G1693">
            <v>11001</v>
          </cell>
        </row>
        <row r="1694">
          <cell r="A1694" t="str">
            <v>860007336</v>
          </cell>
          <cell r="B1694" t="str">
            <v>1</v>
          </cell>
          <cell r="C1694" t="str">
            <v>CAJA COLOMBIANA DE SUBSIDIO FAMILIAR COLSUBSIDIO</v>
          </cell>
          <cell r="D1694" t="str">
            <v>7420100</v>
          </cell>
          <cell r="E1694" t="str">
            <v>recepcion.facturaelectronica@colsubsidio.com</v>
          </cell>
          <cell r="F1694" t="str">
            <v>CL 26 25 50</v>
          </cell>
          <cell r="G1694">
            <v>11001</v>
          </cell>
        </row>
        <row r="1695">
          <cell r="A1695" t="str">
            <v>860007336</v>
          </cell>
          <cell r="B1695" t="str">
            <v>1</v>
          </cell>
          <cell r="C1695" t="str">
            <v>CAJA COLOMBIANA DE SUBSIDIO FAMILIAR COLSUBSIDIO</v>
          </cell>
          <cell r="D1695" t="str">
            <v>7420100</v>
          </cell>
          <cell r="E1695" t="str">
            <v>recepcion.facturaelectronica@colsubsidio.com</v>
          </cell>
          <cell r="F1695" t="str">
            <v>CL 26 25 50</v>
          </cell>
          <cell r="G1695">
            <v>11001</v>
          </cell>
        </row>
        <row r="1696">
          <cell r="A1696" t="str">
            <v>860007386</v>
          </cell>
          <cell r="B1696" t="str">
            <v>1</v>
          </cell>
          <cell r="C1696" t="str">
            <v>UNIVERSIDAD DE LOS ANDES</v>
          </cell>
          <cell r="D1696" t="str">
            <v>3394949</v>
          </cell>
          <cell r="E1696" t="str">
            <v>col_intercambio@einvoicing.signature-cloud.com</v>
          </cell>
          <cell r="F1696" t="str">
            <v>CARRERA 1  18 A  12</v>
          </cell>
          <cell r="G1696">
            <v>11001</v>
          </cell>
        </row>
        <row r="1697">
          <cell r="A1697" t="str">
            <v>860009107</v>
          </cell>
          <cell r="B1697" t="str">
            <v>0</v>
          </cell>
          <cell r="C1697" t="str">
            <v>FUNDACION COLEGIO ANGLO COLOMBIANO</v>
          </cell>
          <cell r="D1697" t="str">
            <v>2595700</v>
          </cell>
          <cell r="E1697" t="str">
            <v>facturasanglo@anglo.edu.co</v>
          </cell>
          <cell r="F1697" t="str">
            <v>AVENIDA 19  152 A  48</v>
          </cell>
          <cell r="G1697">
            <v>11001</v>
          </cell>
        </row>
        <row r="1698">
          <cell r="A1698" t="str">
            <v>860009107</v>
          </cell>
          <cell r="B1698" t="str">
            <v>0</v>
          </cell>
          <cell r="C1698" t="str">
            <v>FUNDACION COLEGIO ANGLO COLOMBIANO</v>
          </cell>
          <cell r="D1698" t="str">
            <v>2595700</v>
          </cell>
          <cell r="E1698" t="str">
            <v>facturasanglo@anglo.edu.co</v>
          </cell>
          <cell r="F1698" t="str">
            <v>AVENIDA 19  152 A  48</v>
          </cell>
          <cell r="G1698">
            <v>11001</v>
          </cell>
        </row>
        <row r="1699">
          <cell r="A1699" t="str">
            <v>860012357</v>
          </cell>
          <cell r="B1699" t="str">
            <v>6</v>
          </cell>
          <cell r="C1699" t="str">
            <v>UNIVERSIDAD SANTO TOMAS</v>
          </cell>
          <cell r="D1699" t="str">
            <v>5878922</v>
          </cell>
          <cell r="E1699" t="str">
            <v>radicacionfacturas@ustavillavicencio.edu.co</v>
          </cell>
          <cell r="F1699" t="str">
            <v>CARRERA 9  51  23</v>
          </cell>
          <cell r="G1699">
            <v>11001</v>
          </cell>
        </row>
        <row r="1700">
          <cell r="A1700" t="str">
            <v>860013570</v>
          </cell>
          <cell r="B1700" t="str">
            <v>3</v>
          </cell>
          <cell r="C1700" t="str">
            <v>CAJA DE COMPENSACION FAMILIAR CAFAM</v>
          </cell>
          <cell r="D1700" t="str">
            <v>6016468000</v>
          </cell>
          <cell r="E1700" t="str">
            <v>recepcionfe@cafam.com.co</v>
          </cell>
          <cell r="F1700" t="str">
            <v>AV CR 68 90 88</v>
          </cell>
          <cell r="G1700">
            <v>11001</v>
          </cell>
        </row>
        <row r="1701">
          <cell r="A1701" t="str">
            <v>860013798</v>
          </cell>
          <cell r="B1701" t="str">
            <v>5</v>
          </cell>
          <cell r="C1701" t="str">
            <v>UNIVERSIDAD LIBRE</v>
          </cell>
          <cell r="D1701" t="str">
            <v>6932344</v>
          </cell>
          <cell r="E1701" t="str">
            <v>facturacion@estiloingenieria.com</v>
          </cell>
          <cell r="F1701" t="str">
            <v>CALLE 8  5  80</v>
          </cell>
          <cell r="G1701">
            <v>11001</v>
          </cell>
        </row>
        <row r="1702">
          <cell r="A1702" t="str">
            <v>860013830</v>
          </cell>
          <cell r="B1702" t="str">
            <v>3</v>
          </cell>
          <cell r="C1702" t="str">
            <v>FUNDACION GIMNASIO MODERNO</v>
          </cell>
          <cell r="D1702" t="str">
            <v>5401888</v>
          </cell>
          <cell r="E1702" t="str">
            <v>contabilidad@gimnasiomoderno.edu.co</v>
          </cell>
          <cell r="F1702" t="str">
            <v>CR 9 74 99</v>
          </cell>
          <cell r="G1702">
            <v>11001</v>
          </cell>
        </row>
        <row r="1703">
          <cell r="A1703" t="str">
            <v>860013874</v>
          </cell>
          <cell r="B1703" t="str">
            <v>7</v>
          </cell>
          <cell r="C1703" t="str">
            <v>INSTITUTO ROOSEVELT</v>
          </cell>
          <cell r="D1703" t="str">
            <v>3534000</v>
          </cell>
          <cell r="E1703" t="str">
            <v>fact.electronica@ioir.org.co</v>
          </cell>
          <cell r="F1703" t="str">
            <v>CARRERA 4 ESTE  17  50</v>
          </cell>
          <cell r="G1703">
            <v>11001</v>
          </cell>
        </row>
        <row r="1704">
          <cell r="A1704" t="str">
            <v>860013874</v>
          </cell>
          <cell r="B1704" t="str">
            <v>7</v>
          </cell>
          <cell r="C1704" t="str">
            <v>INSTITUTO ROOSEVELT</v>
          </cell>
          <cell r="D1704" t="str">
            <v>3534000</v>
          </cell>
          <cell r="E1704" t="str">
            <v>fact.electronica@ioir.org.co</v>
          </cell>
          <cell r="F1704" t="str">
            <v>CARRERA 4 ESTE  17  50</v>
          </cell>
          <cell r="G1704">
            <v>11001</v>
          </cell>
        </row>
        <row r="1705">
          <cell r="A1705" t="str">
            <v>860014195</v>
          </cell>
          <cell r="B1705" t="str">
            <v>9</v>
          </cell>
          <cell r="C1705" t="str">
            <v>INVERSIONES SPIWAK S.A.S</v>
          </cell>
          <cell r="D1705" t="str">
            <v>2840100</v>
          </cell>
          <cell r="E1705" t="str">
            <v>facturacion.dannav19@hotelesdann.com</v>
          </cell>
          <cell r="F1705" t="str">
            <v>AVENIDA 19  5  72</v>
          </cell>
          <cell r="G1705">
            <v>11001</v>
          </cell>
        </row>
        <row r="1706">
          <cell r="A1706" t="str">
            <v>860015767</v>
          </cell>
          <cell r="B1706" t="str">
            <v>6</v>
          </cell>
          <cell r="C1706" t="str">
            <v>CORPORACIÓN CLUB SOCIAL Y DEPORTIVO ECOPETROL BOGOTÁ</v>
          </cell>
          <cell r="D1706" t="str">
            <v>6237788</v>
          </cell>
          <cell r="E1706" t="str">
            <v>860015767@factureinbox.co</v>
          </cell>
          <cell r="F1706" t="str">
            <v>TRANSVERSAL 60  100  90</v>
          </cell>
          <cell r="G1706">
            <v>11001</v>
          </cell>
        </row>
        <row r="1707">
          <cell r="A1707" t="str">
            <v>860021924</v>
          </cell>
          <cell r="B1707" t="str">
            <v>0</v>
          </cell>
          <cell r="C1707" t="str">
            <v>CONGREGACION DE LA PUREZA DE MARIA SANTISIMA</v>
          </cell>
          <cell r="D1707" t="str">
            <v>2585512</v>
          </cell>
          <cell r="E1707" t="str">
            <v>pagaduria@purezabogota.edu.co</v>
          </cell>
          <cell r="F1707" t="str">
            <v>CARRERA 7  147  02</v>
          </cell>
          <cell r="G1707">
            <v>11001</v>
          </cell>
        </row>
        <row r="1708">
          <cell r="A1708" t="str">
            <v>860024746</v>
          </cell>
          <cell r="B1708" t="str">
            <v>1</v>
          </cell>
          <cell r="C1708" t="str">
            <v>UNIVERSIDAD CENTRAL</v>
          </cell>
          <cell r="D1708" t="str">
            <v>2 8 6 0 2 2 6</v>
          </cell>
          <cell r="E1708" t="str">
            <v>recepciondefacturas@ucentral.edu.co</v>
          </cell>
          <cell r="F1708" t="str">
            <v>CARRERA  5 21 38</v>
          </cell>
          <cell r="G1708">
            <v>11001</v>
          </cell>
        </row>
        <row r="1709">
          <cell r="A1709" t="str">
            <v>860025596</v>
          </cell>
          <cell r="B1709" t="str">
            <v>6</v>
          </cell>
          <cell r="C1709" t="str">
            <v>COOPERATIVA DEL MAGISTERIO</v>
          </cell>
          <cell r="D1709" t="str">
            <v>3237505</v>
          </cell>
          <cell r="E1709" t="str">
            <v>efacturacion@codema.com.co</v>
          </cell>
          <cell r="F1709" t="str">
            <v>CALLE 39 B  19  15</v>
          </cell>
          <cell r="G1709">
            <v>11001</v>
          </cell>
        </row>
        <row r="1710">
          <cell r="A1710" t="str">
            <v>860025596</v>
          </cell>
          <cell r="B1710" t="str">
            <v>6</v>
          </cell>
          <cell r="C1710" t="str">
            <v>COOPERATIVA DEL MAGISTERIO</v>
          </cell>
          <cell r="D1710" t="str">
            <v>3237505</v>
          </cell>
          <cell r="E1710" t="str">
            <v>efacturacion@codema.com.co</v>
          </cell>
          <cell r="F1710" t="str">
            <v>CALLE 39 B  19  15</v>
          </cell>
          <cell r="G1710">
            <v>11001</v>
          </cell>
        </row>
        <row r="1711">
          <cell r="A1711" t="str">
            <v>860025674</v>
          </cell>
          <cell r="B1711" t="str">
            <v>2</v>
          </cell>
          <cell r="C1711" t="str">
            <v>CARACOL TELEVISION S.A.</v>
          </cell>
          <cell r="D1711" t="str">
            <v>3167420601</v>
          </cell>
          <cell r="E1711" t="str">
            <v>radicacionfae@caracoltv.com.co</v>
          </cell>
          <cell r="F1711" t="str">
            <v>CALLE 103  69 B  43</v>
          </cell>
          <cell r="G1711">
            <v>11001</v>
          </cell>
        </row>
        <row r="1712">
          <cell r="A1712" t="str">
            <v>860025674</v>
          </cell>
          <cell r="B1712" t="str">
            <v>2</v>
          </cell>
          <cell r="C1712" t="str">
            <v>CARACOL TELEVISION S.A.</v>
          </cell>
          <cell r="D1712" t="str">
            <v>3167420601</v>
          </cell>
          <cell r="E1712" t="str">
            <v>radicacionfae@caracoltv.com.co</v>
          </cell>
          <cell r="F1712" t="str">
            <v>CALLE 103  69 B  43</v>
          </cell>
          <cell r="G1712">
            <v>11001</v>
          </cell>
        </row>
        <row r="1713">
          <cell r="A1713" t="str">
            <v>860026357</v>
          </cell>
          <cell r="B1713" t="str">
            <v>7</v>
          </cell>
          <cell r="C1713" t="str">
            <v>FUNDACION NUEVO MARYMOUNT</v>
          </cell>
          <cell r="D1713" t="str">
            <v>6699077</v>
          </cell>
          <cell r="E1713" t="str">
            <v>facturas@marymountbogota.edu.co</v>
          </cell>
          <cell r="F1713" t="str">
            <v>CALLE 169 B  74 A  02</v>
          </cell>
          <cell r="G1713">
            <v>11001</v>
          </cell>
        </row>
        <row r="1714">
          <cell r="A1714" t="str">
            <v>860029924</v>
          </cell>
          <cell r="B1714" t="str">
            <v>7</v>
          </cell>
          <cell r="C1714" t="str">
            <v>UNIVERSIDAD COOPERATIVA DE COLOMBIA</v>
          </cell>
          <cell r="D1714" t="str">
            <v>3112781877</v>
          </cell>
          <cell r="E1714" t="str">
            <v>facturacion@estiloingenieria.com</v>
          </cell>
          <cell r="F1714" t="str">
            <v>Avenida Caracas No. 37 63</v>
          </cell>
          <cell r="G1714">
            <v>11001</v>
          </cell>
        </row>
        <row r="1715">
          <cell r="A1715" t="str">
            <v>860029924</v>
          </cell>
          <cell r="B1715" t="str">
            <v>7</v>
          </cell>
          <cell r="C1715" t="str">
            <v>UNIVERSIDAD COOPERATIVA DE COLOMBIA</v>
          </cell>
          <cell r="D1715" t="str">
            <v>3112781877</v>
          </cell>
          <cell r="E1715" t="str">
            <v>facturacion@estiloingenieria.com</v>
          </cell>
          <cell r="F1715" t="str">
            <v>Avenida Caracas No. 37 63</v>
          </cell>
          <cell r="G1715">
            <v>11001</v>
          </cell>
        </row>
        <row r="1716">
          <cell r="A1716" t="str">
            <v>860030168</v>
          </cell>
          <cell r="B1716" t="str">
            <v>7</v>
          </cell>
          <cell r="C1716" t="str">
            <v>PARROQUIA DE CRISTO REY</v>
          </cell>
          <cell r="D1716" t="str">
            <v>2579144</v>
          </cell>
          <cell r="E1716" t="str">
            <v>parroquiacristoreybogota@gmail.com</v>
          </cell>
          <cell r="F1716" t="str">
            <v>CALLE 98  17  52</v>
          </cell>
          <cell r="G1716">
            <v>11001</v>
          </cell>
        </row>
        <row r="1717">
          <cell r="A1717" t="str">
            <v>860035827</v>
          </cell>
          <cell r="B1717">
            <v>5</v>
          </cell>
          <cell r="C1717" t="str">
            <v>BANCO COMERCIAL AV VILLAS S.A.</v>
          </cell>
          <cell r="D1717">
            <v>6016108161</v>
          </cell>
          <cell r="E1717" t="str">
            <v>fnotificacionesJudiciales@bancoavillas.com.co</v>
          </cell>
          <cell r="F1717" t="str">
            <v>Carrera 13 # 26A - 43</v>
          </cell>
          <cell r="G1717">
            <v>11001</v>
          </cell>
        </row>
        <row r="1718">
          <cell r="A1718" t="str">
            <v>860035992</v>
          </cell>
          <cell r="B1718" t="str">
            <v>2</v>
          </cell>
          <cell r="C1718" t="str">
            <v>FUNDACION CARDIO INFANTIL-INSTITUTO DE CARDIOLOGIA</v>
          </cell>
          <cell r="D1718" t="str">
            <v>6672727</v>
          </cell>
          <cell r="E1718" t="str">
            <v>recepcionfacturaelectronica@lacardio.org</v>
          </cell>
          <cell r="F1718" t="str">
            <v>CALLE 163 A  28  60</v>
          </cell>
          <cell r="G1718">
            <v>11001</v>
          </cell>
        </row>
        <row r="1719">
          <cell r="A1719" t="str">
            <v>860035992</v>
          </cell>
          <cell r="B1719" t="str">
            <v>2</v>
          </cell>
          <cell r="C1719" t="str">
            <v>FUNDACION CARDIO INFANTIL-INSTITUTO DE CARDIOLOGIA</v>
          </cell>
          <cell r="D1719" t="str">
            <v>6672727</v>
          </cell>
          <cell r="E1719" t="str">
            <v>recepcionfacturaelectronica@lacardio.org</v>
          </cell>
          <cell r="F1719" t="str">
            <v>CALLE 163 A  28  60</v>
          </cell>
          <cell r="G1719">
            <v>11001</v>
          </cell>
        </row>
        <row r="1720">
          <cell r="A1720" t="str">
            <v>860037950</v>
          </cell>
          <cell r="B1720" t="str">
            <v>2</v>
          </cell>
          <cell r="C1720" t="str">
            <v>FUNDACIÓN SANTA FE DE BOGOTA</v>
          </cell>
          <cell r="D1720" t="str">
            <v>6030303</v>
          </cell>
          <cell r="E1720" t="str">
            <v>facturacion@estiloingenieria.com</v>
          </cell>
          <cell r="F1720" t="str">
            <v>CL 119 7 75</v>
          </cell>
          <cell r="G1720">
            <v>11001</v>
          </cell>
        </row>
        <row r="1721">
          <cell r="A1721" t="str">
            <v>860038428</v>
          </cell>
          <cell r="B1721" t="str">
            <v>3</v>
          </cell>
          <cell r="C1721" t="str">
            <v>IC INGENIEROS CONSULTORES SOCIEDAD POR ACCIONES SIMPLIFICADOS</v>
          </cell>
          <cell r="D1721" t="str">
            <v>6369844</v>
          </cell>
          <cell r="E1721" t="str">
            <v>contabilidadhumana@gmail.com</v>
          </cell>
          <cell r="F1721" t="str">
            <v>AV CR 19 95 37 OF 711</v>
          </cell>
          <cell r="G1721">
            <v>11001</v>
          </cell>
        </row>
        <row r="1722">
          <cell r="A1722" t="str">
            <v>860042526</v>
          </cell>
          <cell r="B1722" t="str">
            <v>2</v>
          </cell>
          <cell r="C1722" t="str">
            <v>INVERSIONES XUGAMUXI LTDA</v>
          </cell>
          <cell r="D1722">
            <v>3219664011</v>
          </cell>
          <cell r="E1722" t="str">
            <v>contabilidadsuamox@gmail.com</v>
          </cell>
          <cell r="F1722" t="str">
            <v>CALLE 38  16  07</v>
          </cell>
          <cell r="G1722">
            <v>11001</v>
          </cell>
        </row>
        <row r="1723">
          <cell r="A1723" t="str">
            <v>860043106</v>
          </cell>
          <cell r="B1723" t="str">
            <v>7</v>
          </cell>
          <cell r="C1723" t="str">
            <v>FUNDACION GIMNASIO CAMPESTRE</v>
          </cell>
          <cell r="D1723">
            <v>3219664011</v>
          </cell>
          <cell r="E1723" t="str">
            <v>facturacionelectronica@campestre.edu.co</v>
          </cell>
          <cell r="F1723" t="str">
            <v>CALLE 165  8 A  50</v>
          </cell>
          <cell r="G1723">
            <v>11001</v>
          </cell>
        </row>
        <row r="1724">
          <cell r="A1724" t="str">
            <v>860048656</v>
          </cell>
          <cell r="B1724" t="str">
            <v>9</v>
          </cell>
          <cell r="C1724" t="str">
            <v>FUNDACION OFTALMOLOGICA NACIONAL</v>
          </cell>
          <cell r="D1724" t="str">
            <v>314-2052631</v>
          </cell>
          <cell r="E1724" t="str">
            <v>860048656@factureinbox.co</v>
          </cell>
          <cell r="F1724" t="str">
            <v>CL 50 13 50</v>
          </cell>
          <cell r="G1724">
            <v>11001</v>
          </cell>
        </row>
        <row r="1725">
          <cell r="A1725" t="str">
            <v>860052175</v>
          </cell>
          <cell r="B1725" t="str">
            <v>3</v>
          </cell>
          <cell r="C1725" t="str">
            <v>INVERSUAP S.A.S.</v>
          </cell>
          <cell r="D1725" t="str">
            <v>3457984</v>
          </cell>
          <cell r="E1725" t="str">
            <v>860052175@recepciondefacturas.co</v>
          </cell>
          <cell r="F1725" t="str">
            <v>CARRERA 9  80  15  OFICINA 505</v>
          </cell>
          <cell r="G1725">
            <v>11001</v>
          </cell>
        </row>
        <row r="1726">
          <cell r="A1726" t="str">
            <v>860053790</v>
          </cell>
          <cell r="B1726" t="str">
            <v>8</v>
          </cell>
          <cell r="C1726" t="str">
            <v>EDIFICIO BOLSA DE BOGOTA</v>
          </cell>
          <cell r="D1726" t="str">
            <v>3428614</v>
          </cell>
          <cell r="E1726" t="str">
            <v>ebb@sicre.co</v>
          </cell>
          <cell r="F1726" t="str">
            <v>CARRERA 8  12 B  82</v>
          </cell>
          <cell r="G1726">
            <v>11001</v>
          </cell>
        </row>
        <row r="1727">
          <cell r="A1727" t="str">
            <v>860054983</v>
          </cell>
          <cell r="B1727" t="str">
            <v>7</v>
          </cell>
          <cell r="C1727" t="str">
            <v>ROSALES S.A.S</v>
          </cell>
          <cell r="D1727" t="str">
            <v>3114188658</v>
          </cell>
          <cell r="E1727" t="str">
            <v>rosalesseguridad@hotmail.com</v>
          </cell>
          <cell r="F1727" t="str">
            <v>CARRERA 11  86  53  PISO 12</v>
          </cell>
          <cell r="G1727">
            <v>11001</v>
          </cell>
        </row>
        <row r="1728">
          <cell r="A1728" t="str">
            <v>860054983</v>
          </cell>
          <cell r="B1728" t="str">
            <v>7</v>
          </cell>
          <cell r="C1728" t="str">
            <v>ROSALES S.A.S</v>
          </cell>
          <cell r="D1728" t="str">
            <v>3114188658</v>
          </cell>
          <cell r="E1728" t="str">
            <v>rosalesseguridad@hotmail.com</v>
          </cell>
          <cell r="F1728" t="str">
            <v>CARRERA 11  86  53  PISO 12</v>
          </cell>
          <cell r="G1728">
            <v>11001</v>
          </cell>
        </row>
        <row r="1729">
          <cell r="A1729" t="str">
            <v>860058070</v>
          </cell>
          <cell r="B1729" t="str">
            <v>6</v>
          </cell>
          <cell r="C1729" t="str">
            <v>CONSTRUCTORA COLPATRIA S.A.S</v>
          </cell>
          <cell r="D1729">
            <v>3219664011</v>
          </cell>
          <cell r="E1729" t="str">
            <v>facturacion@constructoracolpatria.com</v>
          </cell>
          <cell r="F1729" t="str">
            <v>CARRERA 54 A  127 A  45</v>
          </cell>
          <cell r="G1729">
            <v>11001</v>
          </cell>
        </row>
        <row r="1730">
          <cell r="A1730" t="str">
            <v>860058070</v>
          </cell>
          <cell r="B1730" t="str">
            <v>6</v>
          </cell>
          <cell r="C1730" t="str">
            <v>CONSTRUCTORA COLPATRIA S.A.S</v>
          </cell>
          <cell r="D1730">
            <v>3219664011</v>
          </cell>
          <cell r="E1730" t="str">
            <v>facturacion@constructoracolpatria.com</v>
          </cell>
          <cell r="F1730" t="str">
            <v>CARRERA 54 A  127 A  45</v>
          </cell>
          <cell r="G1730">
            <v>11001</v>
          </cell>
        </row>
        <row r="1731">
          <cell r="A1731" t="str">
            <v>860058553</v>
          </cell>
          <cell r="B1731" t="str">
            <v>1</v>
          </cell>
          <cell r="C1731" t="str">
            <v>COLEGIO GIMNASIO VERMONT S A</v>
          </cell>
          <cell r="D1731" t="str">
            <v>6748070</v>
          </cell>
          <cell r="E1731" t="str">
            <v>contabilidad@gimnasiovermont.edu.co</v>
          </cell>
          <cell r="F1731" t="str">
            <v>CALLE 195  54  75</v>
          </cell>
          <cell r="G1731">
            <v>11001</v>
          </cell>
        </row>
        <row r="1732">
          <cell r="A1732" t="str">
            <v>860062854</v>
          </cell>
          <cell r="B1732" t="str">
            <v>9</v>
          </cell>
          <cell r="C1732" t="str">
            <v>ARIAS SERNA Y SARAVIA S A S</v>
          </cell>
          <cell r="D1732">
            <v>3219664011</v>
          </cell>
          <cell r="E1732" t="str">
            <v>facturaelectronica@asys.com.co</v>
          </cell>
          <cell r="F1732" t="str">
            <v>AVENIDA CALLE 82  10  33 OFICINA 1001</v>
          </cell>
          <cell r="G1732">
            <v>11001</v>
          </cell>
        </row>
        <row r="1733">
          <cell r="A1733" t="str">
            <v>860062854</v>
          </cell>
          <cell r="B1733" t="str">
            <v>9</v>
          </cell>
          <cell r="C1733" t="str">
            <v>ARIAS SERNA Y SARAVIA S A S</v>
          </cell>
          <cell r="D1733">
            <v>3219664011</v>
          </cell>
          <cell r="E1733" t="str">
            <v>facturaelectronica@asys.com.co</v>
          </cell>
          <cell r="F1733" t="str">
            <v>AVENIDA CALLE 82  10  33 OFICINA 1001</v>
          </cell>
          <cell r="G1733">
            <v>11001</v>
          </cell>
        </row>
        <row r="1734">
          <cell r="A1734" t="str">
            <v>860066524</v>
          </cell>
          <cell r="B1734" t="str">
            <v>1</v>
          </cell>
          <cell r="C1734" t="str">
            <v>CEIBA PROPERTIES S.A.S.</v>
          </cell>
          <cell r="D1734" t="str">
            <v>2312122</v>
          </cell>
          <cell r="E1734" t="str">
            <v>tesoreria@okap.co</v>
          </cell>
          <cell r="F1734" t="str">
            <v>CARRERA 9 94 A  - 32 OFC 402</v>
          </cell>
          <cell r="G1734">
            <v>11001</v>
          </cell>
        </row>
        <row r="1735">
          <cell r="A1735" t="str">
            <v>860066789</v>
          </cell>
          <cell r="B1735" t="str">
            <v>6</v>
          </cell>
          <cell r="C1735" t="str">
            <v>UNIVERSIDAD EL BOSQUE</v>
          </cell>
          <cell r="D1735" t="str">
            <v>6489074</v>
          </cell>
          <cell r="E1735" t="str">
            <v>facturaeuelbosque@facturaenlinea.co</v>
          </cell>
          <cell r="F1735" t="str">
            <v>CARRERA 7 B Bis  132  11</v>
          </cell>
          <cell r="G1735">
            <v>11001</v>
          </cell>
        </row>
        <row r="1736">
          <cell r="A1736" t="str">
            <v>860068182</v>
          </cell>
          <cell r="B1736" t="str">
            <v>5</v>
          </cell>
          <cell r="C1736" t="str">
            <v>CREDICORP CAPITAL COLOMBIA S.A</v>
          </cell>
          <cell r="D1736" t="str">
            <v>3394848</v>
          </cell>
          <cell r="E1736" t="str">
            <v>info@credicorpcapitalcolombia.com.co</v>
          </cell>
          <cell r="F1736" t="str">
            <v>CALLE 34  6  65</v>
          </cell>
          <cell r="G1736">
            <v>11001</v>
          </cell>
        </row>
        <row r="1737">
          <cell r="A1737" t="str">
            <v>860069879</v>
          </cell>
          <cell r="B1737" t="str">
            <v>4</v>
          </cell>
          <cell r="C1737" t="str">
            <v>CONSTRUCTORA NACIONAL DE OBRAS CIVILES S A S</v>
          </cell>
          <cell r="D1737" t="str">
            <v>6214111</v>
          </cell>
          <cell r="E1737" t="str">
            <v>aduarte@urbanistika.com.co</v>
          </cell>
          <cell r="F1737" t="str">
            <v>CR 11 A  94 A  23 OF 108</v>
          </cell>
          <cell r="G1737">
            <v>11001</v>
          </cell>
        </row>
        <row r="1738">
          <cell r="A1738" t="str">
            <v>860078643</v>
          </cell>
          <cell r="B1738" t="str">
            <v>1</v>
          </cell>
          <cell r="C1738" t="str">
            <v>POLITECNICO GRANCOLOMBIANO</v>
          </cell>
          <cell r="D1738">
            <v>3219664011</v>
          </cell>
          <cell r="E1738" t="str">
            <v>aarango@poligran.edu.co</v>
          </cell>
          <cell r="F1738" t="str">
            <v>CALLE 57  3  00 ESTE</v>
          </cell>
          <cell r="G1738">
            <v>11001</v>
          </cell>
        </row>
        <row r="1739">
          <cell r="A1739" t="str">
            <v>860078643</v>
          </cell>
          <cell r="B1739" t="str">
            <v>1</v>
          </cell>
          <cell r="C1739" t="str">
            <v>POLITECNICO GRANCOLOMBIANO</v>
          </cell>
          <cell r="D1739">
            <v>3219664011</v>
          </cell>
          <cell r="E1739" t="str">
            <v>aarango@poligran.edu.co</v>
          </cell>
          <cell r="F1739" t="str">
            <v>CALLE 57  3  00 ESTE</v>
          </cell>
          <cell r="G1739">
            <v>11001</v>
          </cell>
        </row>
        <row r="1740">
          <cell r="A1740" t="str">
            <v>860078767</v>
          </cell>
          <cell r="B1740" t="str">
            <v>6</v>
          </cell>
          <cell r="C1740" t="str">
            <v>LA FRAGATA NORTE S.A.S.</v>
          </cell>
          <cell r="D1740" t="str">
            <v>3133030</v>
          </cell>
          <cell r="E1740" t="str">
            <v>860078767@factureinbox.co</v>
          </cell>
          <cell r="F1740" t="str">
            <v>CARRERA 9  77  19</v>
          </cell>
          <cell r="G1740">
            <v>11001</v>
          </cell>
        </row>
        <row r="1741">
          <cell r="A1741" t="str">
            <v>860078828</v>
          </cell>
          <cell r="B1741" t="str">
            <v>7</v>
          </cell>
          <cell r="C1741" t="str">
            <v>COMPAÑIA DE MEDICINA PREPAGADA COLSANITAS S.A.</v>
          </cell>
          <cell r="D1741" t="str">
            <v>6466060</v>
          </cell>
          <cell r="E1741" t="str">
            <v>facturacionadministrativamp@fe.keralty.com</v>
          </cell>
          <cell r="F1741" t="str">
            <v>CALLE 100  11 B  67</v>
          </cell>
          <cell r="G1741">
            <v>11001</v>
          </cell>
        </row>
        <row r="1742">
          <cell r="A1742" t="str">
            <v>860078828</v>
          </cell>
          <cell r="B1742" t="str">
            <v>7</v>
          </cell>
          <cell r="C1742" t="str">
            <v>COMPAÑIA DE MEDICINA PREPAGADA COLSANITAS S.A.</v>
          </cell>
          <cell r="D1742" t="str">
            <v>6466060</v>
          </cell>
          <cell r="E1742" t="str">
            <v>facturacionadministrativamp@fe.keralty.com</v>
          </cell>
          <cell r="F1742" t="str">
            <v>CALLE 100  11 B  67</v>
          </cell>
          <cell r="G1742">
            <v>11001</v>
          </cell>
        </row>
        <row r="1743">
          <cell r="A1743" t="str">
            <v>860090486</v>
          </cell>
          <cell r="B1743" t="str">
            <v>0</v>
          </cell>
          <cell r="C1743" t="str">
            <v>HORMIGON REFORZADO SAS</v>
          </cell>
          <cell r="D1743" t="str">
            <v>3222192607</v>
          </cell>
          <cell r="E1743" t="str">
            <v>facturacionelectronica@hormigonreforzado.com</v>
          </cell>
          <cell r="F1743" t="str">
            <v>CR 9 113 52 P 21 ED TO UNIDAS 2</v>
          </cell>
          <cell r="G1743">
            <v>11001</v>
          </cell>
        </row>
        <row r="1744">
          <cell r="A1744" t="str">
            <v>860090486</v>
          </cell>
          <cell r="B1744" t="str">
            <v>0</v>
          </cell>
          <cell r="C1744" t="str">
            <v>HORMIGON REFORZADO SAS</v>
          </cell>
          <cell r="D1744" t="str">
            <v>3222192607</v>
          </cell>
          <cell r="E1744" t="str">
            <v>facturacionelectronica@hormigonreforzado.com</v>
          </cell>
          <cell r="F1744" t="str">
            <v>CR 9 113 52 P 21 ED TO UNIDAS 2</v>
          </cell>
          <cell r="G1744">
            <v>11001</v>
          </cell>
        </row>
        <row r="1745">
          <cell r="A1745" t="str">
            <v>860351894</v>
          </cell>
          <cell r="B1745" t="str">
            <v>3</v>
          </cell>
          <cell r="C1745" t="str">
            <v>UNIVERSIDAD SERGIO ARBOLEDA</v>
          </cell>
          <cell r="D1745" t="str">
            <v>3257500</v>
          </cell>
          <cell r="E1745" t="str">
            <v>factura.bogota@usa.edu.co</v>
          </cell>
          <cell r="F1745" t="str">
            <v>CALLE 74  14  14</v>
          </cell>
          <cell r="G1745">
            <v>11001</v>
          </cell>
        </row>
        <row r="1746">
          <cell r="A1746" t="str">
            <v>860352418</v>
          </cell>
          <cell r="B1746" t="str">
            <v>5</v>
          </cell>
          <cell r="C1746" t="str">
            <v>UNIDAD RESIDENCIAL NUEVA GRANADA - PROPIEDAD HORIZONTAL</v>
          </cell>
          <cell r="D1746" t="str">
            <v>2100622</v>
          </cell>
          <cell r="E1746" t="str">
            <v>adm.nuevagranada@gmail.com</v>
          </cell>
          <cell r="F1746" t="str">
            <v>CARRERA 2 A  66  52</v>
          </cell>
          <cell r="G1746">
            <v>11001</v>
          </cell>
        </row>
        <row r="1747">
          <cell r="A1747" t="str">
            <v>860353487</v>
          </cell>
          <cell r="B1747" t="str">
            <v>8</v>
          </cell>
          <cell r="C1747" t="str">
            <v>EDIFICIO WORLD TRADE CENTER BOGOTA CIEN INTERNACIONAL- PROPIEDAD HORIZONTAL</v>
          </cell>
          <cell r="D1747" t="str">
            <v>7421824</v>
          </cell>
          <cell r="E1747" t="str">
            <v>facturacionwtcb@eg-colombia.com</v>
          </cell>
          <cell r="F1747" t="str">
            <v>CALLE 100  8 A  37  OFICINA 307</v>
          </cell>
          <cell r="G1747">
            <v>11001</v>
          </cell>
        </row>
        <row r="1748">
          <cell r="A1748" t="str">
            <v>860353487</v>
          </cell>
          <cell r="B1748" t="str">
            <v>8</v>
          </cell>
          <cell r="C1748" t="str">
            <v>EDIFICIO WORLD TRADE CENTER BOGOTA CIEN INTERNACIONAL- PROPIEDAD HORIZONTAL</v>
          </cell>
          <cell r="D1748" t="str">
            <v>7421824</v>
          </cell>
          <cell r="E1748" t="str">
            <v>facturacionwtcb@eg-colombia.com</v>
          </cell>
          <cell r="F1748" t="str">
            <v>CALLE 100  8 A  37  OFICINA 307</v>
          </cell>
          <cell r="G1748">
            <v>11001</v>
          </cell>
        </row>
        <row r="1749">
          <cell r="A1749" t="str">
            <v>860402847</v>
          </cell>
          <cell r="B1749" t="str">
            <v>7</v>
          </cell>
          <cell r="C1749" t="str">
            <v>CORPORACION EDUCATIVA LOS NOGALES</v>
          </cell>
          <cell r="D1749" t="str">
            <v>6761128</v>
          </cell>
          <cell r="E1749" t="str">
            <v>860402847@factureinbox.co</v>
          </cell>
          <cell r="F1749" t="str">
            <v>CALLE 202  56  50</v>
          </cell>
          <cell r="G1749">
            <v>11001</v>
          </cell>
        </row>
        <row r="1750">
          <cell r="A1750" t="str">
            <v>860503394</v>
          </cell>
          <cell r="B1750" t="str">
            <v>6</v>
          </cell>
          <cell r="C1750" t="str">
            <v>EDIFICIO PALO ALTO - PROPIEDAD HORIZONTAL</v>
          </cell>
          <cell r="D1750" t="str">
            <v>6163960</v>
          </cell>
          <cell r="E1750" t="str">
            <v>edificiopaloalto777@gmail.com</v>
          </cell>
          <cell r="F1750" t="str">
            <v>CARRERA 8 84-21</v>
          </cell>
          <cell r="G1750">
            <v>11001</v>
          </cell>
        </row>
        <row r="1751">
          <cell r="A1751" t="str">
            <v>860506838</v>
          </cell>
          <cell r="B1751" t="str">
            <v>8</v>
          </cell>
          <cell r="C1751" t="str">
            <v>SARUGO &amp; CIA S EN C</v>
          </cell>
          <cell r="D1751" t="str">
            <v>3358640</v>
          </cell>
          <cell r="E1751" t="str">
            <v>facturacionsarugo@afisec.co</v>
          </cell>
          <cell r="F1751" t="str">
            <v>CALLE 93 B  13  44  PISO 5</v>
          </cell>
          <cell r="G1751">
            <v>11001</v>
          </cell>
        </row>
        <row r="1752">
          <cell r="A1752" t="str">
            <v>860512699</v>
          </cell>
          <cell r="B1752" t="str">
            <v>5</v>
          </cell>
          <cell r="C1752" t="str">
            <v>PRODUCTORA NACIONAL DE AROMAS FRAGANCIAS Y COLORANTES S.A. DISAROMAS S.A.</v>
          </cell>
          <cell r="D1752" t="str">
            <v>3693200</v>
          </cell>
          <cell r="E1752" t="str">
            <v>facturacion@disaromas.com</v>
          </cell>
          <cell r="F1752" t="str">
            <v>CARRERA 46  18  90</v>
          </cell>
          <cell r="G1752">
            <v>11001</v>
          </cell>
        </row>
        <row r="1753">
          <cell r="A1753" t="str">
            <v>860513493</v>
          </cell>
          <cell r="B1753" t="str">
            <v>1</v>
          </cell>
          <cell r="C1753" t="str">
            <v>CONSTRUCTORA BOLIVAR BOGOTA S.A. CONSTRUCTORA BOLIVAR S.A.</v>
          </cell>
          <cell r="D1753" t="str">
            <v>6258330</v>
          </cell>
          <cell r="E1753" t="str">
            <v>faelectronica@constructorabolivar.com</v>
          </cell>
          <cell r="F1753" t="str">
            <v>CALLE 134  72  31</v>
          </cell>
          <cell r="G1753">
            <v>11001</v>
          </cell>
        </row>
        <row r="1754">
          <cell r="A1754" t="str">
            <v>860513493</v>
          </cell>
          <cell r="B1754" t="str">
            <v>1</v>
          </cell>
          <cell r="C1754" t="str">
            <v>CONSTRUCTORA BOLIVAR BOGOTA S.A. CONSTRUCTORA BOLIVAR S.A.</v>
          </cell>
          <cell r="D1754" t="str">
            <v>6258330</v>
          </cell>
          <cell r="E1754" t="str">
            <v>faelectronica@constructorabolivar.com</v>
          </cell>
          <cell r="F1754" t="str">
            <v>CALLE 134  72  31</v>
          </cell>
          <cell r="G1754">
            <v>11001</v>
          </cell>
        </row>
        <row r="1755">
          <cell r="A1755" t="str">
            <v>860516806</v>
          </cell>
          <cell r="B1755" t="str">
            <v>5</v>
          </cell>
          <cell r="C1755" t="str">
            <v>PERMODA LTDA</v>
          </cell>
          <cell r="D1755" t="str">
            <v>3114848074</v>
          </cell>
          <cell r="E1755" t="str">
            <v>recepcionfras@permoda.com.co</v>
          </cell>
          <cell r="F1755" t="str">
            <v>CALLE 17 A  68 D  88</v>
          </cell>
          <cell r="G1755">
            <v>11001</v>
          </cell>
        </row>
        <row r="1756">
          <cell r="A1756" t="str">
            <v>860516806</v>
          </cell>
          <cell r="B1756" t="str">
            <v>5</v>
          </cell>
          <cell r="C1756" t="str">
            <v>PERMODA LTDA</v>
          </cell>
          <cell r="D1756" t="str">
            <v>3114848074</v>
          </cell>
          <cell r="E1756" t="str">
            <v>recepcionfras@permoda.com.co</v>
          </cell>
          <cell r="F1756" t="str">
            <v>CALLE 17 A  68 D  88</v>
          </cell>
          <cell r="G1756">
            <v>11001</v>
          </cell>
        </row>
        <row r="1757">
          <cell r="A1757" t="str">
            <v>860516881</v>
          </cell>
          <cell r="B1757" t="str">
            <v>8</v>
          </cell>
          <cell r="C1757" t="str">
            <v>CENTRAL COOPERATIVA DE SERVICIOS FUNERARIOS</v>
          </cell>
          <cell r="D1757" t="str">
            <v>2579144</v>
          </cell>
          <cell r="E1757" t="str">
            <v>recepcionfactura.bogota@losolivos.co</v>
          </cell>
          <cell r="F1757" t="str">
            <v>CARRERA 15  97  60</v>
          </cell>
          <cell r="G1757">
            <v>11001</v>
          </cell>
        </row>
        <row r="1758">
          <cell r="A1758" t="str">
            <v>860517030</v>
          </cell>
          <cell r="B1758" t="str">
            <v>1</v>
          </cell>
          <cell r="C1758" t="str">
            <v>SOCIEDAD HOTELERA CIEN INTERNACIONAL S.A.</v>
          </cell>
          <cell r="D1758" t="str">
            <v>6004100</v>
          </cell>
          <cell r="E1758" t="str">
            <v>e-factura.co@seresnet.com</v>
          </cell>
          <cell r="F1758" t="str">
            <v>CR 8 A 99 55</v>
          </cell>
          <cell r="G1758">
            <v>11001</v>
          </cell>
        </row>
        <row r="1759">
          <cell r="A1759" t="str">
            <v>860517030</v>
          </cell>
          <cell r="B1759" t="str">
            <v>1</v>
          </cell>
          <cell r="C1759" t="str">
            <v>SOCIEDAD HOTELERA CIEN INTERNACIONAL S.A.</v>
          </cell>
          <cell r="D1759" t="str">
            <v>6004100</v>
          </cell>
          <cell r="E1759" t="str">
            <v>e-factura.co@seresnet.com</v>
          </cell>
          <cell r="F1759" t="str">
            <v>CR 8 A 99 55</v>
          </cell>
          <cell r="G1759">
            <v>11001</v>
          </cell>
        </row>
        <row r="1760">
          <cell r="A1760" t="str">
            <v>860517302</v>
          </cell>
          <cell r="B1760" t="str">
            <v>1</v>
          </cell>
          <cell r="C1760" t="str">
            <v>FUNDACIÓN UNIVERSITARIA DEL AREA ANDINA</v>
          </cell>
          <cell r="D1760" t="str">
            <v>7421964</v>
          </cell>
          <cell r="E1760" t="str">
            <v>facturacion@estiloingenieria.com</v>
          </cell>
          <cell r="F1760" t="str">
            <v>CL 71 13 21</v>
          </cell>
          <cell r="G1760">
            <v>11001</v>
          </cell>
        </row>
        <row r="1761">
          <cell r="A1761" t="str">
            <v>860517435</v>
          </cell>
          <cell r="B1761" t="str">
            <v>0</v>
          </cell>
          <cell r="C1761" t="str">
            <v>GRUPO SASA S.A.S.</v>
          </cell>
          <cell r="D1761" t="str">
            <v>6200694</v>
          </cell>
          <cell r="E1761" t="str">
            <v>fe.compras@gruposasa.co</v>
          </cell>
          <cell r="F1761" t="str">
            <v>CARRERA 5 ESTE  20  69  BODEGA 10</v>
          </cell>
          <cell r="G1761">
            <v>11001</v>
          </cell>
        </row>
        <row r="1762">
          <cell r="A1762" t="str">
            <v>860517435</v>
          </cell>
          <cell r="B1762" t="str">
            <v>0</v>
          </cell>
          <cell r="C1762" t="str">
            <v>GRUPO SASA S.A.S.</v>
          </cell>
          <cell r="D1762" t="str">
            <v>6200694</v>
          </cell>
          <cell r="E1762" t="str">
            <v>fe.compras@gruposasa.co</v>
          </cell>
          <cell r="F1762" t="str">
            <v>CARRERA 5 ESTE  20  69  BODEGA 10</v>
          </cell>
          <cell r="G1762">
            <v>11001</v>
          </cell>
        </row>
        <row r="1763">
          <cell r="A1763" t="str">
            <v>860524118</v>
          </cell>
          <cell r="B1763" t="str">
            <v>1</v>
          </cell>
          <cell r="C1763" t="str">
            <v>INGEURBE S A S</v>
          </cell>
          <cell r="D1763" t="str">
            <v>3257171 -3043997239</v>
          </cell>
          <cell r="E1763" t="str">
            <v>cdeleon@ingeurbe.com</v>
          </cell>
          <cell r="F1763" t="str">
            <v>CL 72 7 64 P 2</v>
          </cell>
          <cell r="G1763">
            <v>11001</v>
          </cell>
        </row>
        <row r="1764">
          <cell r="A1764" t="str">
            <v>860524118</v>
          </cell>
          <cell r="B1764" t="str">
            <v>1</v>
          </cell>
          <cell r="C1764" t="str">
            <v>INGEURBE S A S</v>
          </cell>
          <cell r="D1764" t="str">
            <v>3257171 -3043997239</v>
          </cell>
          <cell r="E1764" t="str">
            <v>cdeleon@ingeurbe.com</v>
          </cell>
          <cell r="F1764" t="str">
            <v>CL 72 7 64 P 2</v>
          </cell>
          <cell r="G1764">
            <v>11001</v>
          </cell>
        </row>
        <row r="1765">
          <cell r="A1765" t="str">
            <v>860525814</v>
          </cell>
          <cell r="B1765" t="str">
            <v>2</v>
          </cell>
          <cell r="C1765" t="str">
            <v>TEXTILES MIRATEX S A S EN REORGANIZACION</v>
          </cell>
          <cell r="D1765" t="str">
            <v>3647666</v>
          </cell>
          <cell r="E1765" t="str">
            <v>auditoria@miratex.com</v>
          </cell>
          <cell r="F1765" t="str">
            <v>CALLE 12 B  37  31</v>
          </cell>
          <cell r="G1765">
            <v>11001</v>
          </cell>
        </row>
        <row r="1766">
          <cell r="A1766" t="str">
            <v>860527800</v>
          </cell>
          <cell r="B1766" t="str">
            <v>9</v>
          </cell>
          <cell r="C1766" t="str">
            <v>CONSTRUCCIONES OBYCON S.A.S.</v>
          </cell>
          <cell r="D1766" t="str">
            <v>6228020</v>
          </cell>
          <cell r="E1766" t="str">
            <v>facturacion@obycon.com</v>
          </cell>
          <cell r="F1766" t="str">
            <v>CALLE 93 B  13  92  OFICINA 303</v>
          </cell>
          <cell r="G1766">
            <v>11001</v>
          </cell>
        </row>
        <row r="1767">
          <cell r="A1767" t="str">
            <v>860531502</v>
          </cell>
          <cell r="B1767" t="str">
            <v>4</v>
          </cell>
          <cell r="C1767" t="str">
            <v>AGRUPACION ANTIGUA HELVETIA PROPIEDAD HORIZONTAL</v>
          </cell>
          <cell r="D1767" t="str">
            <v>2715407</v>
          </cell>
          <cell r="E1767" t="str">
            <v>antiguahelvetia@gmail.com</v>
          </cell>
          <cell r="F1767" t="str">
            <v>CALLE 128 B  72  35</v>
          </cell>
          <cell r="G1767">
            <v>11001</v>
          </cell>
        </row>
        <row r="1768">
          <cell r="A1768" t="str">
            <v>860532316</v>
          </cell>
          <cell r="B1768" t="str">
            <v>5</v>
          </cell>
          <cell r="C1768" t="str">
            <v>COLEGIO TECNICO MENORAH INSTITUCION EDUCATIVA DISTRITAL</v>
          </cell>
          <cell r="D1768" t="str">
            <v>2430393</v>
          </cell>
          <cell r="E1768" t="str">
            <v>miherrerar@educacionbogota.edu.co</v>
          </cell>
          <cell r="F1768" t="str">
            <v>CALLE 1 B  19 A  19</v>
          </cell>
          <cell r="G1768">
            <v>11001</v>
          </cell>
        </row>
        <row r="1769">
          <cell r="A1769" t="str">
            <v>860532530</v>
          </cell>
          <cell r="B1769" t="str">
            <v>5</v>
          </cell>
          <cell r="C1769" t="str">
            <v>COLEGIO RAFAEL URIBE URIBE INSTITUCION EDUCATIVA DISTRITAL</v>
          </cell>
          <cell r="D1769" t="str">
            <v>6 0 1 2 3 0 7 5 3 0</v>
          </cell>
          <cell r="E1769" t="str">
            <v>etrianar@educacionbogota.edu.co</v>
          </cell>
          <cell r="F1769" t="str">
            <v>CR 25 47 02 SUR</v>
          </cell>
          <cell r="G1769">
            <v>11001</v>
          </cell>
        </row>
        <row r="1770">
          <cell r="A1770" t="str">
            <v>860532742</v>
          </cell>
          <cell r="B1770" t="str">
            <v>1</v>
          </cell>
          <cell r="C1770" t="str">
            <v>EDIFICIO CENTRO CHICO I</v>
          </cell>
          <cell r="D1770" t="str">
            <v>2361225</v>
          </cell>
          <cell r="E1770" t="str">
            <v>tejugu1@hotmail.com</v>
          </cell>
          <cell r="F1770" t="str">
            <v>CARRERA 10  96  79</v>
          </cell>
          <cell r="G1770">
            <v>11001</v>
          </cell>
        </row>
        <row r="1771">
          <cell r="A1771" t="str">
            <v>860533491</v>
          </cell>
          <cell r="B1771" t="str">
            <v>0</v>
          </cell>
          <cell r="C1771" t="str">
            <v>MARIO EDUARDO TELLO PARDO Y CA S C S</v>
          </cell>
          <cell r="D1771" t="str">
            <v>8038691</v>
          </cell>
          <cell r="E1771" t="str">
            <v>marioetello@gmail.com</v>
          </cell>
          <cell r="F1771" t="str">
            <v>CL   95     11 A   37</v>
          </cell>
          <cell r="G1771">
            <v>11001</v>
          </cell>
        </row>
        <row r="1772">
          <cell r="A1772" t="str">
            <v>890102044</v>
          </cell>
          <cell r="B1772" t="str">
            <v>1</v>
          </cell>
          <cell r="C1772" t="str">
            <v>CAJA DE COMPENSACIÓN FAMILIAR CAJACOPI ATLANTICO</v>
          </cell>
          <cell r="D1772" t="str">
            <v>3714503</v>
          </cell>
          <cell r="E1772" t="str">
            <v>facturacion.electronica@cajacopi.com</v>
          </cell>
          <cell r="F1772" t="str">
            <v>CR 46 53 34 P2 TO B ED NELMAR</v>
          </cell>
          <cell r="G1772">
            <v>11001</v>
          </cell>
        </row>
        <row r="1773">
          <cell r="A1773" t="str">
            <v>890105652</v>
          </cell>
          <cell r="B1773" t="str">
            <v>3</v>
          </cell>
          <cell r="C1773" t="str">
            <v>ROYAL FILMS S.A.S</v>
          </cell>
          <cell r="D1773" t="str">
            <v>3790070</v>
          </cell>
          <cell r="E1773" t="str">
            <v>siesaferecepcion@siesa.com</v>
          </cell>
          <cell r="F1773" t="str">
            <v>CARRERA 58  70  93</v>
          </cell>
          <cell r="G1773">
            <v>11001</v>
          </cell>
        </row>
        <row r="1774">
          <cell r="A1774" t="str">
            <v>890109593</v>
          </cell>
          <cell r="B1774" t="str">
            <v>5</v>
          </cell>
          <cell r="C1774" t="str">
            <v>EDIFICIO CIUDADELA COMERCIAL FINANCIERA Y DE OFICINAS GRANCENTRO</v>
          </cell>
          <cell r="D1774" t="str">
            <v>345266</v>
          </cell>
          <cell r="E1774" t="str">
            <v>edificiograncentro@gmail.com</v>
          </cell>
          <cell r="F1774" t="str">
            <v>CL 70 52 54</v>
          </cell>
          <cell r="G1774">
            <v>11001</v>
          </cell>
        </row>
        <row r="1775">
          <cell r="A1775" t="str">
            <v>890113621</v>
          </cell>
          <cell r="B1775" t="str">
            <v>9</v>
          </cell>
          <cell r="C1775" t="str">
            <v>ASOCIACION DE COPROPIETARIOS DEL EDIFICIO SERFINANSA</v>
          </cell>
          <cell r="D1775">
            <v>3219664011</v>
          </cell>
          <cell r="E1775" t="str">
            <v>edificio.serfinansa@gmail.com</v>
          </cell>
          <cell r="F1775" t="str">
            <v>CALLE 72 No. 54 35 EL PRADO</v>
          </cell>
          <cell r="G1775">
            <v>11001</v>
          </cell>
        </row>
        <row r="1776">
          <cell r="A1776" t="str">
            <v>890115166</v>
          </cell>
          <cell r="B1776" t="str">
            <v>8</v>
          </cell>
          <cell r="C1776" t="str">
            <v>AEROSUCRE S.A.</v>
          </cell>
          <cell r="D1776" t="str">
            <v>4148224</v>
          </cell>
          <cell r="E1776" t="str">
            <v>facturacionnacint@aerosucre.com.co</v>
          </cell>
          <cell r="F1776" t="str">
            <v>AEROPUERTO EL DORADO TERMINAL DE CARGA 2</v>
          </cell>
          <cell r="G1776">
            <v>11001</v>
          </cell>
        </row>
        <row r="1777">
          <cell r="A1777" t="str">
            <v>890200179</v>
          </cell>
          <cell r="B1777" t="str">
            <v>7</v>
          </cell>
          <cell r="C1777" t="str">
            <v>SANAUTOS S.A.</v>
          </cell>
          <cell r="D1777" t="str">
            <v>5557077</v>
          </cell>
          <cell r="E1777" t="str">
            <v>recepcionfacturas@sanautos.com.co</v>
          </cell>
          <cell r="F1777" t="str">
            <v>CARRERA 28 A  15  67</v>
          </cell>
          <cell r="G1777">
            <v>11001</v>
          </cell>
        </row>
        <row r="1778">
          <cell r="A1778" t="str">
            <v>890200179</v>
          </cell>
          <cell r="B1778" t="str">
            <v>7</v>
          </cell>
          <cell r="C1778" t="str">
            <v>SANAUTOS S.A.</v>
          </cell>
          <cell r="D1778" t="str">
            <v>5557077</v>
          </cell>
          <cell r="E1778" t="str">
            <v>recepcionfacturas@sanautos.com.co</v>
          </cell>
          <cell r="F1778" t="str">
            <v>CARRERA 28 A  15  67</v>
          </cell>
          <cell r="G1778">
            <v>11001</v>
          </cell>
        </row>
        <row r="1779">
          <cell r="A1779" t="str">
            <v>890200877</v>
          </cell>
          <cell r="B1779" t="str">
            <v>1</v>
          </cell>
          <cell r="C1779" t="str">
            <v>URBANIZADORA DAVID PUYANA S.A - EN REORGANIZACION</v>
          </cell>
          <cell r="D1779" t="str">
            <v>6389400</v>
          </cell>
          <cell r="E1779" t="str">
            <v>correspondencia@urbanas.com</v>
          </cell>
          <cell r="F1779" t="str">
            <v>CL 158 18 81 BARRIO CAÑAVERAL</v>
          </cell>
          <cell r="G1779">
            <v>11001</v>
          </cell>
        </row>
        <row r="1780">
          <cell r="A1780" t="str">
            <v>890201201</v>
          </cell>
          <cell r="B1780" t="str">
            <v>6</v>
          </cell>
          <cell r="C1780" t="str">
            <v>OTACC S.A.S.</v>
          </cell>
          <cell r="D1780" t="str">
            <v>6435675</v>
          </cell>
          <cell r="E1780" t="str">
            <v>efactura@otacc.com</v>
          </cell>
          <cell r="F1780" t="str">
            <v>CL 49 27 A 34 BRR SOTOMAYOR</v>
          </cell>
          <cell r="G1780">
            <v>11001</v>
          </cell>
        </row>
        <row r="1781">
          <cell r="A1781" t="str">
            <v>890201213</v>
          </cell>
          <cell r="B1781" t="str">
            <v>4</v>
          </cell>
          <cell r="C1781" t="str">
            <v>UNIVERSIDAD INDUSTRIAL DE SANTANDER</v>
          </cell>
          <cell r="D1781" t="str">
            <v>6344000</v>
          </cell>
          <cell r="E1781" t="str">
            <v>facturacion.electron@uis.edu.co</v>
          </cell>
          <cell r="F1781" t="str">
            <v>CR 27 CL 9 UIS</v>
          </cell>
          <cell r="G1781">
            <v>11001</v>
          </cell>
        </row>
        <row r="1782">
          <cell r="A1782" t="str">
            <v>890201235</v>
          </cell>
          <cell r="B1782" t="str">
            <v>6</v>
          </cell>
          <cell r="C1782" t="str">
            <v>DEPARTAMENTO DE SANTANDER</v>
          </cell>
          <cell r="D1782" t="str">
            <v>6339666</v>
          </cell>
          <cell r="E1782" t="str">
            <v>facturacionelectronica@santander.gov.co</v>
          </cell>
          <cell r="F1782" t="str">
            <v>CL 37  10  30 PALACIO AMARILLO</v>
          </cell>
          <cell r="G1782">
            <v>11001</v>
          </cell>
        </row>
        <row r="1783">
          <cell r="A1783" t="str">
            <v>890201578</v>
          </cell>
          <cell r="B1783" t="str">
            <v>7</v>
          </cell>
          <cell r="C1783" t="str">
            <v>CAJA DE COMPENSACION FAMILIAR COMFENALCO SANTANDER</v>
          </cell>
          <cell r="D1783" t="str">
            <v>6575829</v>
          </cell>
          <cell r="E1783" t="str">
            <v>radicacion@comfenalcosantander.com.co</v>
          </cell>
          <cell r="F1783" t="str">
            <v>AVENIDA GONZALEZ VALENCIA  52  69</v>
          </cell>
          <cell r="G1783">
            <v>11001</v>
          </cell>
        </row>
        <row r="1784">
          <cell r="A1784" t="str">
            <v>890206740</v>
          </cell>
          <cell r="B1784" t="str">
            <v>7</v>
          </cell>
          <cell r="C1784" t="str">
            <v>CONARING S.A.S.</v>
          </cell>
          <cell r="D1784" t="str">
            <v>3202117501</v>
          </cell>
          <cell r="E1784" t="str">
            <v>facturacion@conaring.com</v>
          </cell>
          <cell r="F1784" t="str">
            <v>CARRERA 29 N 50 - 45</v>
          </cell>
          <cell r="G1784">
            <v>11001</v>
          </cell>
        </row>
        <row r="1785">
          <cell r="A1785" t="str">
            <v>890211796</v>
          </cell>
          <cell r="B1785" t="str">
            <v>9</v>
          </cell>
          <cell r="C1785" t="str">
            <v>CENTRO COMERCIAL CANAVERAL</v>
          </cell>
          <cell r="D1785" t="str">
            <v>607678195 - 60763867</v>
          </cell>
          <cell r="E1785" t="str">
            <v>recepcion.facturas.cccanaveral@gmail.com</v>
          </cell>
          <cell r="F1785" t="str">
            <v>CL 30 25 71</v>
          </cell>
          <cell r="G1785">
            <v>11001</v>
          </cell>
        </row>
        <row r="1786">
          <cell r="A1786" t="str">
            <v>890300431</v>
          </cell>
          <cell r="B1786" t="str">
            <v>8</v>
          </cell>
          <cell r="C1786" t="str">
            <v>CABLES DE ENERGIACABLES DE ENERGIA Y DE TELECOMUNICACIONES S A S</v>
          </cell>
          <cell r="D1786" t="str">
            <v>3183377800</v>
          </cell>
          <cell r="E1786" t="str">
            <v>recepcionfactura.electronica@centelsa.com.co</v>
          </cell>
          <cell r="F1786" t="str">
            <v>CL 10 38 43 URB INDUSTRIAL ACOPI YUMBO</v>
          </cell>
          <cell r="G1786">
            <v>11001</v>
          </cell>
        </row>
        <row r="1787">
          <cell r="A1787" t="str">
            <v>890302629</v>
          </cell>
          <cell r="B1787" t="str">
            <v>8</v>
          </cell>
          <cell r="C1787" t="str">
            <v>CONSTRUCTORA MELENDEZ S.A.</v>
          </cell>
          <cell r="D1787" t="str">
            <v>3180505</v>
          </cell>
          <cell r="E1787" t="str">
            <v>facturaelectronica@constructoramelendez.com</v>
          </cell>
          <cell r="F1787" t="str">
            <v>CL 50 101 31</v>
          </cell>
          <cell r="G1787">
            <v>11001</v>
          </cell>
        </row>
        <row r="1788">
          <cell r="A1788" t="str">
            <v>890303208</v>
          </cell>
          <cell r="B1788" t="str">
            <v>5</v>
          </cell>
          <cell r="C1788" t="str">
            <v>CAJA DE COMPENSACION FAMILIAR DEL VALLE DEL CAUCA - COMFAMILIAR ANDI - COMFANDI</v>
          </cell>
          <cell r="D1788" t="str">
            <v>8982121</v>
          </cell>
          <cell r="E1788" t="str">
            <v>recepcionfacturaelectronica@comfandi.com.co</v>
          </cell>
          <cell r="F1788" t="str">
            <v>CARRERA 23  26 B  46 PISO 9</v>
          </cell>
          <cell r="G1788">
            <v>11001</v>
          </cell>
        </row>
        <row r="1789">
          <cell r="A1789" t="str">
            <v>890303395</v>
          </cell>
          <cell r="B1789" t="str">
            <v>4</v>
          </cell>
          <cell r="C1789" t="str">
            <v>INSTITUTO PARA NIÑOS CIEGOS Y SORDOS DEL VALLE DEL CAUCA</v>
          </cell>
          <cell r="D1789" t="str">
            <v>5574038</v>
          </cell>
          <cell r="E1789" t="str">
            <v>institutocys@intitutociegosysordos.org.co</v>
          </cell>
          <cell r="F1789" t="str">
            <v>CARRERA 52  37 A  50</v>
          </cell>
          <cell r="G1789">
            <v>11001</v>
          </cell>
        </row>
        <row r="1790">
          <cell r="A1790" t="str">
            <v>890304099</v>
          </cell>
          <cell r="B1790" t="str">
            <v>3</v>
          </cell>
          <cell r="C1790" t="str">
            <v>HOTELES ESTELAR S.A.</v>
          </cell>
          <cell r="D1790" t="str">
            <v>3173633899</v>
          </cell>
          <cell r="E1790" t="str">
            <v>feproveedoroficinaprincipal@hotelesestelar.com</v>
          </cell>
          <cell r="F1790" t="str">
            <v>AVENIDA COLOMBIA  2  72</v>
          </cell>
          <cell r="G1790">
            <v>11001</v>
          </cell>
        </row>
        <row r="1791">
          <cell r="A1791" t="str">
            <v>890304099</v>
          </cell>
          <cell r="B1791" t="str">
            <v>3</v>
          </cell>
          <cell r="C1791" t="str">
            <v>HOTELES ESTELAR S.A.</v>
          </cell>
          <cell r="D1791" t="str">
            <v>3173633899</v>
          </cell>
          <cell r="E1791" t="str">
            <v>feproveedoroficinaprincipal@hotelesestelar.com</v>
          </cell>
          <cell r="F1791" t="str">
            <v>AVENIDA COLOMBIA  2  72</v>
          </cell>
          <cell r="G1791">
            <v>11001</v>
          </cell>
        </row>
        <row r="1792">
          <cell r="A1792" t="str">
            <v>890307200</v>
          </cell>
          <cell r="B1792" t="str">
            <v>5</v>
          </cell>
          <cell r="C1792" t="str">
            <v>CLINICA IMBANACO SAS</v>
          </cell>
          <cell r="D1792" t="str">
            <v>5186000</v>
          </cell>
          <cell r="E1792" t="str">
            <v>factelectronica.imb@quironsalud.com</v>
          </cell>
          <cell r="F1792" t="str">
            <v>CALLE 5  38  62</v>
          </cell>
          <cell r="G1792">
            <v>11001</v>
          </cell>
        </row>
        <row r="1793">
          <cell r="A1793" t="str">
            <v>890307400</v>
          </cell>
          <cell r="B1793" t="str">
            <v>1</v>
          </cell>
          <cell r="C1793" t="str">
            <v>UNIVERSIDAD DE SAN BUENAVENTURA</v>
          </cell>
          <cell r="D1793" t="str">
            <v>5145600</v>
          </cell>
          <cell r="E1793" t="str">
            <v>asistente.compras@usbmed.edu.co</v>
          </cell>
          <cell r="F1793" t="str">
            <v>CARRERA 56 C  51  90</v>
          </cell>
          <cell r="G1793">
            <v>11001</v>
          </cell>
        </row>
        <row r="1794">
          <cell r="A1794" t="str">
            <v>890312706</v>
          </cell>
          <cell r="B1794" t="str">
            <v>1</v>
          </cell>
          <cell r="C1794" t="str">
            <v>EDIFICIO EDMOND ZACCOUR PROPIEDAD HORIZONTAL</v>
          </cell>
          <cell r="D1794" t="str">
            <v>3006624516</v>
          </cell>
          <cell r="E1794" t="str">
            <v>edmondzaccour@gmail.com</v>
          </cell>
          <cell r="F1794" t="str">
            <v>CR 3 11 32 OF 338 ED EDMOND ZACCOUR PH</v>
          </cell>
          <cell r="G1794">
            <v>11001</v>
          </cell>
        </row>
        <row r="1795">
          <cell r="A1795" t="str">
            <v>890316745</v>
          </cell>
          <cell r="B1795" t="str">
            <v>5</v>
          </cell>
          <cell r="C1795" t="str">
            <v>UNIVERSIDAD ICESI</v>
          </cell>
          <cell r="D1795" t="str">
            <v>3212009</v>
          </cell>
          <cell r="E1795" t="str">
            <v>facturaeclientes@icesi.edu.co</v>
          </cell>
          <cell r="F1795" t="str">
            <v>CALLE 18  122  135</v>
          </cell>
          <cell r="G1795">
            <v>11001</v>
          </cell>
        </row>
        <row r="1796">
          <cell r="A1796" t="str">
            <v>890321156</v>
          </cell>
          <cell r="B1796" t="str">
            <v>7</v>
          </cell>
          <cell r="C1796" t="str">
            <v>CIUDADELA COMERCIAL UNICENTRO CALI - PROPIEDAD HORIZONTAL</v>
          </cell>
          <cell r="D1796" t="str">
            <v>3396626</v>
          </cell>
          <cell r="E1796" t="str">
            <v>facturacionelectronica@unicentro.com</v>
          </cell>
          <cell r="F1796" t="str">
            <v>CARRERA 100  5  169</v>
          </cell>
          <cell r="G1796">
            <v>11001</v>
          </cell>
        </row>
        <row r="1797">
          <cell r="A1797" t="str">
            <v>890324177</v>
          </cell>
          <cell r="B1797" t="str">
            <v>5</v>
          </cell>
          <cell r="C1797" t="str">
            <v>FUNDACION VALLE DEL LILI</v>
          </cell>
          <cell r="D1797" t="str">
            <v>3319090</v>
          </cell>
          <cell r="E1797" t="str">
            <v>factura_electronica@fvl.org.co</v>
          </cell>
          <cell r="F1797" t="str">
            <v>CR 98 18 49</v>
          </cell>
          <cell r="G1797">
            <v>11001</v>
          </cell>
        </row>
        <row r="1798">
          <cell r="A1798" t="str">
            <v>890401952</v>
          </cell>
          <cell r="B1798" t="str">
            <v>7</v>
          </cell>
          <cell r="C1798" t="str">
            <v>COPROPIEDAD EDIFICIO BANCO DE COLOMBIA</v>
          </cell>
          <cell r="D1798" t="str">
            <v>6645483</v>
          </cell>
          <cell r="E1798" t="str">
            <v>copropiedadbancodecolombia@gmail.com</v>
          </cell>
          <cell r="F1798" t="str">
            <v>CL 33 8 129 P 1</v>
          </cell>
          <cell r="G1798">
            <v>11001</v>
          </cell>
        </row>
        <row r="1799">
          <cell r="A1799" t="str">
            <v>890402047</v>
          </cell>
          <cell r="B1799" t="str">
            <v>0</v>
          </cell>
          <cell r="C1799" t="str">
            <v>FUNERARIA LORDUY S.A.</v>
          </cell>
          <cell r="D1799" t="str">
            <v>6661141</v>
          </cell>
          <cell r="E1799" t="str">
            <v>890402047@glerpmail.com</v>
          </cell>
          <cell r="F1799" t="str">
            <v>CALLE 30  18  24</v>
          </cell>
          <cell r="G1799">
            <v>11001</v>
          </cell>
        </row>
        <row r="1800">
          <cell r="A1800" t="str">
            <v>890480123</v>
          </cell>
          <cell r="B1800" t="str">
            <v>5</v>
          </cell>
          <cell r="C1800" t="str">
            <v>UNIVERSIDAD DE CARTAGENA</v>
          </cell>
          <cell r="D1800" t="str">
            <v>3004751548</v>
          </cell>
          <cell r="E1800" t="str">
            <v>facturacion@estiloingenieria.com</v>
          </cell>
          <cell r="F1800" t="str">
            <v>CARRERA 6  36  100</v>
          </cell>
          <cell r="G1800">
            <v>11001</v>
          </cell>
        </row>
        <row r="1801">
          <cell r="A1801" t="str">
            <v>890480878</v>
          </cell>
          <cell r="B1801" t="str">
            <v>7</v>
          </cell>
          <cell r="C1801" t="str">
            <v>COPROPIEDAD EDIFICIO DON PEDRO DE HEREDIA</v>
          </cell>
          <cell r="D1801" t="str">
            <v>6794071</v>
          </cell>
          <cell r="E1801" t="str">
            <v>donpedrodeheredia@hotmail.com</v>
          </cell>
          <cell r="F1801" t="str">
            <v>CALLE 11  12  76</v>
          </cell>
          <cell r="G1801">
            <v>11001</v>
          </cell>
        </row>
        <row r="1802">
          <cell r="A1802" t="str">
            <v>890481180</v>
          </cell>
          <cell r="B1802" t="str">
            <v>1</v>
          </cell>
          <cell r="C1802" t="str">
            <v>COPROPIEDAD EDIFICIO TORRE DEL PARQUE</v>
          </cell>
          <cell r="D1802" t="str">
            <v>6653163</v>
          </cell>
          <cell r="E1802" t="str">
            <v>torredelparque1@gmail.com</v>
          </cell>
          <cell r="F1802" t="str">
            <v>BRR BOCAGRANDE CR 5 7 45</v>
          </cell>
          <cell r="G1802">
            <v>11001</v>
          </cell>
        </row>
        <row r="1803">
          <cell r="A1803" t="str">
            <v>890505217</v>
          </cell>
          <cell r="B1803" t="str">
            <v>9</v>
          </cell>
          <cell r="C1803" t="str">
            <v>ESTUDIOS Y SISTEMAS S.A.S.</v>
          </cell>
          <cell r="D1803">
            <v>3219664011</v>
          </cell>
          <cell r="E1803" t="str">
            <v>intercambio@getfel.co</v>
          </cell>
          <cell r="F1803" t="str">
            <v>CALLE 11  1 E  125  OFICINA 305</v>
          </cell>
          <cell r="G1803">
            <v>11001</v>
          </cell>
        </row>
        <row r="1804">
          <cell r="A1804" t="str">
            <v>890506038</v>
          </cell>
          <cell r="B1804" t="str">
            <v>1</v>
          </cell>
          <cell r="C1804" t="str">
            <v>PROMOTORA DE INVERSIONES S.A.S. PROINSA</v>
          </cell>
          <cell r="D1804" t="str">
            <v>5740202</v>
          </cell>
          <cell r="E1804" t="str">
            <v>intercambio@getfel.co</v>
          </cell>
          <cell r="F1804" t="str">
            <v>CLL 11 1 E 125 OF 301 BRR QUINTA VELEZ</v>
          </cell>
          <cell r="G1804">
            <v>11001</v>
          </cell>
        </row>
        <row r="1805">
          <cell r="A1805" t="str">
            <v>890803285</v>
          </cell>
          <cell r="B1805" t="str">
            <v>8</v>
          </cell>
          <cell r="C1805" t="str">
            <v>TERMINAL DE TRANSPORTES DE MANIZALES S.A</v>
          </cell>
          <cell r="D1805" t="str">
            <v>3503098274</v>
          </cell>
          <cell r="E1805" t="str">
            <v>serviciosadministrativos@terminaldemanizales.com.co</v>
          </cell>
          <cell r="F1805" t="str">
            <v>CARRERA 43  65  100</v>
          </cell>
          <cell r="G1805">
            <v>11001</v>
          </cell>
        </row>
        <row r="1806">
          <cell r="A1806" t="str">
            <v>890901389</v>
          </cell>
          <cell r="B1806" t="str">
            <v>5</v>
          </cell>
          <cell r="C1806" t="str">
            <v>UNIVERSIDAD EAFIT</v>
          </cell>
          <cell r="D1806" t="str">
            <v>2619500</v>
          </cell>
          <cell r="E1806" t="str">
            <v>recepcionfacturas@eafit.edu.co</v>
          </cell>
          <cell r="F1806" t="str">
            <v>CARRERA 49  7 SUR  50</v>
          </cell>
          <cell r="G1806">
            <v>11001</v>
          </cell>
        </row>
        <row r="1807">
          <cell r="A1807" t="str">
            <v>890902922</v>
          </cell>
          <cell r="B1807" t="str">
            <v>6</v>
          </cell>
          <cell r="C1807" t="str">
            <v>UNIVERSIDAD PONTIFICIA BOLIVARIANA</v>
          </cell>
          <cell r="D1807" t="str">
            <v>6797220</v>
          </cell>
          <cell r="E1807" t="str">
            <v>facturacionproveedores.bga@upb.edu.co</v>
          </cell>
          <cell r="F1807" t="str">
            <v>CARRERA 1  70  01</v>
          </cell>
          <cell r="G1807">
            <v>11001</v>
          </cell>
        </row>
        <row r="1808">
          <cell r="A1808" t="str">
            <v>890903938</v>
          </cell>
          <cell r="B1808" t="str">
            <v>8</v>
          </cell>
          <cell r="C1808" t="str">
            <v>BANCOLOMBIA S.A.</v>
          </cell>
          <cell r="D1808">
            <v>3219664011</v>
          </cell>
          <cell r="E1808" t="str">
            <v>facturasproveedores@bancolombia.com.co</v>
          </cell>
          <cell r="F1808" t="str">
            <v>CARRERA 48  26  85 PISO 1</v>
          </cell>
          <cell r="G1808">
            <v>11001</v>
          </cell>
        </row>
        <row r="1809">
          <cell r="A1809" t="str">
            <v>890904041</v>
          </cell>
          <cell r="B1809" t="str">
            <v>1</v>
          </cell>
          <cell r="C1809" t="str">
            <v>ARQUITECTURA Y CONSTRUCCIONES S.A.S</v>
          </cell>
          <cell r="D1809" t="str">
            <v>4444614</v>
          </cell>
          <cell r="E1809" t="str">
            <v>facturacionelectronica@arconsa.com.co</v>
          </cell>
          <cell r="F1809" t="str">
            <v>CARRERA 43 A  7  50 OFICINA 1004</v>
          </cell>
          <cell r="G1809">
            <v>11001</v>
          </cell>
        </row>
        <row r="1810">
          <cell r="A1810" t="str">
            <v>890905022</v>
          </cell>
          <cell r="B1810" t="str">
            <v>6</v>
          </cell>
          <cell r="C1810" t="str">
            <v>CONVEL S.A.S.</v>
          </cell>
          <cell r="D1810">
            <v>3219664011</v>
          </cell>
          <cell r="E1810" t="str">
            <v>facturacion@convel.co</v>
          </cell>
          <cell r="F1810" t="str">
            <v>CARRERA 63 B  32 E  26</v>
          </cell>
          <cell r="G1810">
            <v>11001</v>
          </cell>
        </row>
        <row r="1811">
          <cell r="A1811" t="str">
            <v>890905022</v>
          </cell>
          <cell r="B1811" t="str">
            <v>6</v>
          </cell>
          <cell r="C1811" t="str">
            <v>CONVEL S.A.S.</v>
          </cell>
          <cell r="D1811">
            <v>3219664011</v>
          </cell>
          <cell r="E1811" t="str">
            <v>facturacion@convel.co</v>
          </cell>
          <cell r="F1811" t="str">
            <v>CARRERA 63 B  32 E  26</v>
          </cell>
          <cell r="G1811">
            <v>11001</v>
          </cell>
        </row>
        <row r="1812">
          <cell r="A1812" t="str">
            <v>890908387</v>
          </cell>
          <cell r="B1812" t="str">
            <v>2</v>
          </cell>
          <cell r="C1812" t="str">
            <v>SOCIEDAD DE MEJORAS PUBLICAS DE ENVIGADO</v>
          </cell>
          <cell r="D1812" t="str">
            <v>2761320</v>
          </cell>
          <cell r="E1812" t="str">
            <v>bibliotecaenvigado@yahoo.es</v>
          </cell>
          <cell r="F1812" t="str">
            <v>CARRERA 42  35 SUR  62</v>
          </cell>
          <cell r="G1812">
            <v>11001</v>
          </cell>
        </row>
        <row r="1813">
          <cell r="A1813" t="str">
            <v>890911431</v>
          </cell>
          <cell r="B1813" t="str">
            <v>1</v>
          </cell>
          <cell r="C1813" t="str">
            <v>CONINSA S.A.S</v>
          </cell>
          <cell r="D1813" t="str">
            <v>3006986463</v>
          </cell>
          <cell r="E1813" t="str">
            <v>facturacion@coninsa.co</v>
          </cell>
          <cell r="F1813" t="str">
            <v>CL 55 45 55</v>
          </cell>
          <cell r="G1813">
            <v>11001</v>
          </cell>
        </row>
        <row r="1814">
          <cell r="A1814" t="str">
            <v>890912426</v>
          </cell>
          <cell r="B1814" t="str">
            <v>7</v>
          </cell>
          <cell r="C1814" t="str">
            <v>PEREZ Y CARDONA S.A.S.</v>
          </cell>
          <cell r="D1814" t="str">
            <v>4444624</v>
          </cell>
          <cell r="E1814" t="str">
            <v>gagudelou@tierragro.co</v>
          </cell>
          <cell r="F1814" t="str">
            <v>CL 32 48 45</v>
          </cell>
          <cell r="G1814">
            <v>11001</v>
          </cell>
        </row>
        <row r="1815">
          <cell r="A1815" t="str">
            <v>890928257</v>
          </cell>
          <cell r="B1815" t="str">
            <v>9</v>
          </cell>
          <cell r="C1815" t="str">
            <v>ALICO S.A.S.</v>
          </cell>
          <cell r="D1815">
            <v>3219664011</v>
          </cell>
          <cell r="E1815" t="str">
            <v>auditoria@alico-sa.com</v>
          </cell>
          <cell r="F1815" t="str">
            <v>CALLE 10 SUR  50  FF  127</v>
          </cell>
          <cell r="G1815">
            <v>11001</v>
          </cell>
        </row>
        <row r="1816">
          <cell r="A1816" t="str">
            <v>890929877</v>
          </cell>
          <cell r="B1816" t="str">
            <v>1</v>
          </cell>
          <cell r="C1816" t="str">
            <v>NEWREST SERVICES COLOMBIA S.A.</v>
          </cell>
          <cell r="D1816" t="str">
            <v>5140088</v>
          </cell>
          <cell r="E1816" t="str">
            <v>facturacion@estiloingenieria.com</v>
          </cell>
          <cell r="F1816" t="str">
            <v>CALLE 98 11B 29</v>
          </cell>
          <cell r="G1816">
            <v>11001</v>
          </cell>
        </row>
        <row r="1817">
          <cell r="A1817" t="str">
            <v>890931549</v>
          </cell>
          <cell r="B1817" t="str">
            <v>5</v>
          </cell>
          <cell r="C1817" t="str">
            <v>CONJUNTO COMERCIAL ALMACENTRO PH</v>
          </cell>
          <cell r="D1817">
            <v>3219664011</v>
          </cell>
          <cell r="E1817" t="str">
            <v>recepcion@hgidocs.co</v>
          </cell>
          <cell r="F1817" t="str">
            <v>CARRERA 43 A  34  95 LOCAL 283</v>
          </cell>
          <cell r="G1817">
            <v>11001</v>
          </cell>
        </row>
        <row r="1818">
          <cell r="A1818" t="str">
            <v>890937250</v>
          </cell>
          <cell r="B1818" t="str">
            <v>6</v>
          </cell>
          <cell r="C1818" t="str">
            <v>UNION ELECTRICA S.A</v>
          </cell>
          <cell r="D1818" t="str">
            <v>(604) 325 55 55</v>
          </cell>
          <cell r="E1818" t="str">
            <v>uqrycajal@hotmail.com</v>
          </cell>
          <cell r="F1818" t="str">
            <v>CL 15 SUR 48 39</v>
          </cell>
          <cell r="G1818">
            <v>11001</v>
          </cell>
        </row>
        <row r="1819">
          <cell r="A1819" t="str">
            <v>890938876</v>
          </cell>
          <cell r="B1819" t="str">
            <v>0</v>
          </cell>
          <cell r="C1819" t="str">
            <v>EDIFICIO EL RECTANGULO PROPIEDAD HORIZONTAL</v>
          </cell>
          <cell r="D1819" t="str">
            <v>317 5099205</v>
          </cell>
          <cell r="E1819" t="str">
            <v>asistente.curbe@gmail.com</v>
          </cell>
          <cell r="F1819" t="str">
            <v>CALLE 49 B # 64 B 112</v>
          </cell>
          <cell r="G1819">
            <v>11001</v>
          </cell>
        </row>
        <row r="1820">
          <cell r="A1820" t="str">
            <v>890984043</v>
          </cell>
          <cell r="B1820" t="str">
            <v>8</v>
          </cell>
          <cell r="C1820" t="str">
            <v>MUNICIPIO DE DONMATÍAS</v>
          </cell>
          <cell r="D1820" t="str">
            <v>8663243</v>
          </cell>
          <cell r="E1820" t="str">
            <v>hacienda@donmatias-antioquia.gov.co</v>
          </cell>
          <cell r="F1820" t="str">
            <v>CARRERA 30  29  59</v>
          </cell>
          <cell r="G1820">
            <v>11001</v>
          </cell>
        </row>
        <row r="1821">
          <cell r="A1821" t="str">
            <v>891224762</v>
          </cell>
          <cell r="B1821" t="str">
            <v>9</v>
          </cell>
          <cell r="C1821" t="str">
            <v>CORPORACION UNIVERSITARIA AUTONOMA DE NARIÑO "AUNAR"</v>
          </cell>
          <cell r="D1821" t="str">
            <v>7226020</v>
          </cell>
          <cell r="E1821" t="str">
            <v>fraelectronica@aunar.edu.co</v>
          </cell>
          <cell r="F1821" t="str">
            <v>CALLE 19  27  80</v>
          </cell>
          <cell r="G1821">
            <v>11001</v>
          </cell>
        </row>
        <row r="1822">
          <cell r="A1822" t="str">
            <v>891300237</v>
          </cell>
          <cell r="B1822" t="str">
            <v>9</v>
          </cell>
          <cell r="C1822" t="str">
            <v>INGENIO DEL CAUCA S.A.S</v>
          </cell>
          <cell r="D1822" t="str">
            <v>4183000</v>
          </cell>
          <cell r="E1822" t="str">
            <v>facturaelectronica@incauca.com</v>
          </cell>
          <cell r="F1822" t="str">
            <v>CARRERA 9  28  103</v>
          </cell>
          <cell r="G1822">
            <v>11001</v>
          </cell>
        </row>
        <row r="1823">
          <cell r="A1823" t="str">
            <v>891701522</v>
          </cell>
          <cell r="B1823" t="str">
            <v>4</v>
          </cell>
          <cell r="C1823" t="str">
            <v>FONDO COMUN LOS ALCATRACES</v>
          </cell>
          <cell r="D1823" t="str">
            <v>4380251</v>
          </cell>
          <cell r="E1823" t="str">
            <v>injodile@hotmail.com</v>
          </cell>
          <cell r="F1823" t="str">
            <v>km 17 via cienega</v>
          </cell>
          <cell r="G1823">
            <v>11001</v>
          </cell>
        </row>
        <row r="1824">
          <cell r="A1824" t="str">
            <v>891780093</v>
          </cell>
          <cell r="B1824" t="str">
            <v>3</v>
          </cell>
          <cell r="C1824" t="str">
            <v>CAJA DE COMPENSACION FAMILIAR DEL MAGDALENA</v>
          </cell>
          <cell r="D1824" t="str">
            <v>4217900</v>
          </cell>
          <cell r="E1824" t="str">
            <v>891780093@recepciondefacturas.co</v>
          </cell>
          <cell r="F1824" t="str">
            <v>CALLE 23 N. 7 - 78</v>
          </cell>
          <cell r="G1824">
            <v>11001</v>
          </cell>
        </row>
        <row r="1825">
          <cell r="A1825" t="str">
            <v>891855847</v>
          </cell>
          <cell r="B1825" t="str">
            <v>3</v>
          </cell>
          <cell r="C1825" t="str">
            <v>CLINICA CASANARE S.A.</v>
          </cell>
          <cell r="D1825" t="str">
            <v>6356021</v>
          </cell>
          <cell r="E1825" t="str">
            <v>facturasclinicacasanare@gmail.com</v>
          </cell>
          <cell r="F1825" t="str">
            <v>CL 13 N 29 36 BRR LA PRADERA</v>
          </cell>
          <cell r="G1825">
            <v>11001</v>
          </cell>
        </row>
        <row r="1826">
          <cell r="A1826" t="str">
            <v>892301291</v>
          </cell>
          <cell r="B1826" t="str">
            <v>5</v>
          </cell>
          <cell r="C1826" t="str">
            <v>VIVA MAYALES S.A.S</v>
          </cell>
          <cell r="D1826" t="str">
            <v>5743600</v>
          </cell>
          <cell r="E1826" t="str">
            <v>intercambio-piloto@getfel.co</v>
          </cell>
          <cell r="F1826" t="str">
            <v>CR 10 CL 16 B 43 BRR CENTRO</v>
          </cell>
          <cell r="G1826">
            <v>11001</v>
          </cell>
        </row>
        <row r="1827">
          <cell r="A1827" t="str">
            <v>899999003</v>
          </cell>
          <cell r="B1827" t="str">
            <v>1</v>
          </cell>
          <cell r="C1827" t="str">
            <v>MINISTERIO DE DEFENSA NACIONAL</v>
          </cell>
          <cell r="D1827" t="str">
            <v>2660175</v>
          </cell>
          <cell r="E1827" t="str">
            <v>siifnacion.facturaelectronica@minhacienda.gov.co</v>
          </cell>
          <cell r="F1827" t="str">
            <v>CRA 54 26 25</v>
          </cell>
          <cell r="G1827">
            <v>11001</v>
          </cell>
        </row>
        <row r="1828">
          <cell r="A1828" t="str">
            <v>899999003</v>
          </cell>
          <cell r="B1828" t="str">
            <v>1</v>
          </cell>
          <cell r="C1828" t="str">
            <v>MINISTERIO DE DEFENSA NACIONAL</v>
          </cell>
          <cell r="D1828" t="str">
            <v>2660175</v>
          </cell>
          <cell r="E1828" t="str">
            <v>siifnacion.facturaelectronica@minhacienda.gov.co</v>
          </cell>
          <cell r="F1828" t="str">
            <v>CRA 54 26 25</v>
          </cell>
          <cell r="G1828">
            <v>11001</v>
          </cell>
        </row>
        <row r="1829">
          <cell r="A1829" t="str">
            <v>899999061</v>
          </cell>
          <cell r="B1829" t="str">
            <v>9</v>
          </cell>
          <cell r="C1829" t="str">
            <v>BOGOTA DISTRITO CAPITAL</v>
          </cell>
          <cell r="D1829" t="str">
            <v>3820450</v>
          </cell>
          <cell r="E1829" t="str">
            <v>facturacion@estiloingenieria.com</v>
          </cell>
          <cell r="F1829" t="str">
            <v>CARRERA 7  21  24</v>
          </cell>
          <cell r="G1829">
            <v>11001</v>
          </cell>
        </row>
        <row r="1830">
          <cell r="A1830" t="str">
            <v>899999061</v>
          </cell>
          <cell r="B1830" t="str">
            <v>9</v>
          </cell>
          <cell r="C1830" t="str">
            <v>BOGOTA DISTRITO CAPITAL</v>
          </cell>
          <cell r="D1830" t="str">
            <v>3820450</v>
          </cell>
          <cell r="E1830" t="str">
            <v>facturacion@estiloingenieria.com</v>
          </cell>
          <cell r="F1830" t="str">
            <v>CARRERA 7  21  24</v>
          </cell>
          <cell r="G1830">
            <v>11001</v>
          </cell>
        </row>
        <row r="1831">
          <cell r="A1831" t="str">
            <v>900000680</v>
          </cell>
          <cell r="B1831" t="str">
            <v>3</v>
          </cell>
          <cell r="C1831" t="str">
            <v>EDIFICIO TORRE DE ALCALA PROPIEDAD HORIZONTAL</v>
          </cell>
          <cell r="D1831" t="str">
            <v>3134275689</v>
          </cell>
          <cell r="E1831" t="str">
            <v>torredealcala127ph@gmail.com</v>
          </cell>
          <cell r="F1831" t="str">
            <v>CARRERA 14  127  10</v>
          </cell>
          <cell r="G1831">
            <v>11001</v>
          </cell>
        </row>
        <row r="1832">
          <cell r="A1832" t="str">
            <v>900000916</v>
          </cell>
          <cell r="B1832" t="str">
            <v>6</v>
          </cell>
          <cell r="C1832" t="str">
            <v>EDIFICIO CALLEJA PARK II PROPIEDAD HORIZONTAL</v>
          </cell>
          <cell r="D1832" t="str">
            <v>6204060</v>
          </cell>
          <cell r="E1832" t="str">
            <v>adymprho@gmail.com</v>
          </cell>
          <cell r="F1832" t="str">
            <v>CALLE 122  7 A  18  OFICINA 302</v>
          </cell>
          <cell r="G1832">
            <v>11001</v>
          </cell>
        </row>
        <row r="1833">
          <cell r="A1833" t="str">
            <v>900001170</v>
          </cell>
          <cell r="B1833" t="str">
            <v>3</v>
          </cell>
          <cell r="C1833" t="str">
            <v>CONJUNTO RESIDENCIAL SIERRAS DEL MORAL MANZANA 4 ETAPA 5 TORRE 9 - PROPIEDAD HORIZONTAL</v>
          </cell>
          <cell r="D1833" t="str">
            <v>9370344</v>
          </cell>
          <cell r="E1833" t="str">
            <v>etapa5sierrasdelmoral@hotmail.com</v>
          </cell>
          <cell r="F1833" t="str">
            <v>CL 146 6 24</v>
          </cell>
          <cell r="G1833">
            <v>11001</v>
          </cell>
        </row>
        <row r="1834">
          <cell r="A1834" t="str">
            <v>900001665</v>
          </cell>
          <cell r="B1834" t="str">
            <v>7</v>
          </cell>
          <cell r="C1834" t="str">
            <v>EDIFICIO MIRADORES DE ROSALES PROPIEDAD HORIZONTAL</v>
          </cell>
          <cell r="D1834" t="str">
            <v>3118742340</v>
          </cell>
          <cell r="E1834" t="str">
            <v>buzonfacturasmiradoresderosales@conefort.com</v>
          </cell>
          <cell r="F1834" t="str">
            <v>TRANSVERSAL 2 A  68  54</v>
          </cell>
          <cell r="G1834">
            <v>11001</v>
          </cell>
        </row>
        <row r="1835">
          <cell r="A1835" t="str">
            <v>900001789</v>
          </cell>
          <cell r="B1835" t="str">
            <v>1</v>
          </cell>
          <cell r="C1835" t="str">
            <v>EL RINCON DEL NOGAL PROPIEDAD HORIZONTAL</v>
          </cell>
          <cell r="D1835" t="str">
            <v>6125166</v>
          </cell>
          <cell r="E1835" t="str">
            <v>facturasadmipardo@hotmail.com</v>
          </cell>
          <cell r="F1835" t="str">
            <v>CALLE 80  8  41</v>
          </cell>
          <cell r="G1835">
            <v>11001</v>
          </cell>
        </row>
        <row r="1836">
          <cell r="A1836" t="str">
            <v>900004092</v>
          </cell>
          <cell r="B1836" t="str">
            <v>0</v>
          </cell>
          <cell r="C1836" t="str">
            <v>EDIFICIO EL BREZO</v>
          </cell>
          <cell r="D1836" t="str">
            <v>2352500</v>
          </cell>
          <cell r="E1836" t="str">
            <v>adarcoltda@outlook.com</v>
          </cell>
          <cell r="F1836" t="str">
            <v>CR 2 A 72 03</v>
          </cell>
          <cell r="G1836">
            <v>11001</v>
          </cell>
        </row>
        <row r="1837">
          <cell r="A1837" t="str">
            <v>900008187</v>
          </cell>
          <cell r="B1837" t="str">
            <v>1</v>
          </cell>
          <cell r="C1837" t="str">
            <v>URBANIZACION TERRAVERDE P.H.</v>
          </cell>
          <cell r="D1837" t="str">
            <v>5791499</v>
          </cell>
          <cell r="E1837" t="str">
            <v>urbanizacionterraverde@gmail.com</v>
          </cell>
          <cell r="F1837" t="str">
            <v>CARRERA 43 A  17  240</v>
          </cell>
          <cell r="G1837">
            <v>11001</v>
          </cell>
        </row>
        <row r="1838">
          <cell r="A1838" t="str">
            <v>900010413</v>
          </cell>
          <cell r="B1838" t="str">
            <v>6</v>
          </cell>
          <cell r="C1838" t="str">
            <v>EDIFICIO QUINTA AVENIDA PROPIEDAD HORIZONTAL</v>
          </cell>
          <cell r="D1838" t="str">
            <v>6919606</v>
          </cell>
          <cell r="E1838" t="str">
            <v>edquintaavfacturacion@gmail.com</v>
          </cell>
          <cell r="F1838" t="str">
            <v>CARRERA 15  77  50  OFICINA 502</v>
          </cell>
          <cell r="G1838">
            <v>11001</v>
          </cell>
        </row>
        <row r="1839">
          <cell r="A1839" t="str">
            <v>900010413</v>
          </cell>
          <cell r="B1839" t="str">
            <v>6</v>
          </cell>
          <cell r="C1839" t="str">
            <v>EDIFICIO QUINTA AVENIDA PROPIEDAD HORIZONTAL</v>
          </cell>
          <cell r="D1839" t="str">
            <v>6919606</v>
          </cell>
          <cell r="E1839" t="str">
            <v>edquintaavfacturacion@gmail.com</v>
          </cell>
          <cell r="F1839" t="str">
            <v>CARRERA 15  77  50  OFICINA 502</v>
          </cell>
          <cell r="G1839">
            <v>11001</v>
          </cell>
        </row>
        <row r="1840">
          <cell r="A1840" t="str">
            <v>900011395</v>
          </cell>
          <cell r="B1840" t="str">
            <v>6</v>
          </cell>
          <cell r="C1840" t="str">
            <v>BPM CONSULTING SAS - BUSINESS PROCESS MANAGEMENT CONSULTING SAS</v>
          </cell>
          <cell r="D1840" t="str">
            <v>3156066269</v>
          </cell>
          <cell r="E1840" t="str">
            <v>recepcionfacturasbpm@bpmconsulting.com.co</v>
          </cell>
          <cell r="F1840" t="str">
            <v>CR 17 164 25</v>
          </cell>
          <cell r="G1840">
            <v>11001</v>
          </cell>
        </row>
        <row r="1841">
          <cell r="A1841" t="str">
            <v>900015081</v>
          </cell>
          <cell r="B1841" t="str">
            <v>7</v>
          </cell>
          <cell r="C1841" t="str">
            <v>EDIFICIO CHICO 97 - PROPIEDAD HORIZONTAL</v>
          </cell>
          <cell r="D1841" t="str">
            <v>8113625</v>
          </cell>
          <cell r="E1841" t="str">
            <v>chico97ph@gmail.com</v>
          </cell>
          <cell r="F1841" t="str">
            <v>CALLE 97  16  50</v>
          </cell>
          <cell r="G1841">
            <v>11001</v>
          </cell>
        </row>
        <row r="1842">
          <cell r="A1842" t="str">
            <v>900015081</v>
          </cell>
          <cell r="B1842" t="str">
            <v>7</v>
          </cell>
          <cell r="C1842" t="str">
            <v>EDIFICIO CHICO 97 - PROPIEDAD HORIZONTAL</v>
          </cell>
          <cell r="D1842" t="str">
            <v>8113625</v>
          </cell>
          <cell r="E1842" t="str">
            <v>chico97ph@gmail.com</v>
          </cell>
          <cell r="F1842" t="str">
            <v>CALLE 97  16  50</v>
          </cell>
          <cell r="G1842">
            <v>11001</v>
          </cell>
        </row>
        <row r="1843">
          <cell r="A1843" t="str">
            <v>900017447</v>
          </cell>
          <cell r="B1843" t="str">
            <v>8</v>
          </cell>
          <cell r="C1843" t="str">
            <v>FALABELLA DE COLOMBIA S A</v>
          </cell>
          <cell r="D1843" t="str">
            <v>3133988786</v>
          </cell>
          <cell r="E1843" t="str">
            <v>dte_9000174478@dte.paperless.com.co</v>
          </cell>
          <cell r="F1843" t="str">
            <v>CALLE 99 No. 11 A – 32 BOGOTÁ D.C</v>
          </cell>
          <cell r="G1843">
            <v>11001</v>
          </cell>
        </row>
        <row r="1844">
          <cell r="A1844" t="str">
            <v>900017447</v>
          </cell>
          <cell r="B1844" t="str">
            <v>8</v>
          </cell>
          <cell r="C1844" t="str">
            <v>FALABELLA DE COLOMBIA S A</v>
          </cell>
          <cell r="D1844" t="str">
            <v>3133988786</v>
          </cell>
          <cell r="E1844" t="str">
            <v>dte_9000174478@dte.paperless.com.co</v>
          </cell>
          <cell r="F1844" t="str">
            <v>CALLE 99 No. 11 A – 32 BOGOTÁ D.C</v>
          </cell>
          <cell r="G1844">
            <v>11001</v>
          </cell>
        </row>
        <row r="1845">
          <cell r="A1845" t="str">
            <v>900018934</v>
          </cell>
          <cell r="B1845" t="str">
            <v>8</v>
          </cell>
          <cell r="C1845" t="str">
            <v>CONSTRUCTORA URBANO S.A.S.</v>
          </cell>
          <cell r="D1845" t="str">
            <v>8862040</v>
          </cell>
          <cell r="E1845" t="str">
            <v>facturacion@constructoraurbano.com</v>
          </cell>
          <cell r="F1845" t="str">
            <v>CR 23 C 62 06 OF 901 ED FORUM</v>
          </cell>
          <cell r="G1845">
            <v>11001</v>
          </cell>
        </row>
        <row r="1846">
          <cell r="A1846" t="str">
            <v>900022943</v>
          </cell>
          <cell r="B1846" t="str">
            <v>1</v>
          </cell>
          <cell r="C1846" t="str">
            <v>CONSTRUCTORA INFANTE VIVES S.A.S</v>
          </cell>
          <cell r="D1846">
            <v>3219664011</v>
          </cell>
          <cell r="E1846" t="str">
            <v>facturaciv@cinfantevives.com</v>
          </cell>
          <cell r="F1846" t="str">
            <v>CARRERA 2 B  26  49</v>
          </cell>
          <cell r="G1846">
            <v>11001</v>
          </cell>
        </row>
        <row r="1847">
          <cell r="A1847" t="str">
            <v>900025128</v>
          </cell>
          <cell r="B1847" t="str">
            <v>7</v>
          </cell>
          <cell r="C1847" t="str">
            <v>EDIFICIO CALLEJA PARK III P. H.</v>
          </cell>
          <cell r="D1847" t="str">
            <v>3167426577</v>
          </cell>
          <cell r="E1847" t="str">
            <v>admonedificiocallejapark@gmail.com</v>
          </cell>
          <cell r="F1847" t="str">
            <v>CARRERA 20  127  41</v>
          </cell>
          <cell r="G1847">
            <v>11001</v>
          </cell>
        </row>
        <row r="1848">
          <cell r="A1848" t="str">
            <v>900025676</v>
          </cell>
          <cell r="B1848" t="str">
            <v>1</v>
          </cell>
          <cell r="C1848" t="str">
            <v>EDIFICIO SANTA HELENA PROPIEDAD HORIZONTAL</v>
          </cell>
          <cell r="D1848" t="str">
            <v>6473502</v>
          </cell>
          <cell r="E1848" t="str">
            <v>facturacion@estiloingenieria.com</v>
          </cell>
          <cell r="F1848" t="str">
            <v>TRANSVERSAL 23  93  30</v>
          </cell>
          <cell r="G1848">
            <v>11001</v>
          </cell>
        </row>
        <row r="1849">
          <cell r="A1849" t="str">
            <v>900029311</v>
          </cell>
          <cell r="B1849" t="str">
            <v>7</v>
          </cell>
          <cell r="C1849" t="str">
            <v>EDIFICIO LORETO PROPIEDAD HORIZONTAL</v>
          </cell>
          <cell r="D1849" t="str">
            <v>3114888373</v>
          </cell>
          <cell r="E1849" t="str">
            <v>edificioloreto144@gmail.com</v>
          </cell>
          <cell r="F1849" t="str">
            <v>CL 144 11 A 95</v>
          </cell>
          <cell r="G1849">
            <v>11001</v>
          </cell>
        </row>
        <row r="1850">
          <cell r="A1850" t="str">
            <v>900035438</v>
          </cell>
          <cell r="B1850" t="str">
            <v>8</v>
          </cell>
          <cell r="C1850" t="str">
            <v>EDIFICIO BOCA BAHIA PROPIEDAD HORIZONTAL</v>
          </cell>
          <cell r="D1850">
            <v>3219664011</v>
          </cell>
          <cell r="E1850" t="str">
            <v>edificiobocabahia@gmail.com</v>
          </cell>
          <cell r="F1850" t="str">
            <v>CARRERA 5  6  21</v>
          </cell>
          <cell r="G1850">
            <v>11001</v>
          </cell>
        </row>
        <row r="1851">
          <cell r="A1851" t="str">
            <v>900035490</v>
          </cell>
          <cell r="B1851" t="str">
            <v>1</v>
          </cell>
          <cell r="C1851" t="str">
            <v>EDIFICIO PORTAL ARCANGEL - PROPIEDAD HORIZONTAL</v>
          </cell>
          <cell r="D1851" t="str">
            <v>3108614396</v>
          </cell>
          <cell r="E1851" t="str">
            <v>edificioportalarcangel@gmail.com</v>
          </cell>
          <cell r="F1851" t="str">
            <v>CALLE 146  13  91</v>
          </cell>
          <cell r="G1851">
            <v>11001</v>
          </cell>
        </row>
        <row r="1852">
          <cell r="A1852" t="str">
            <v>900035490</v>
          </cell>
          <cell r="B1852" t="str">
            <v>1</v>
          </cell>
          <cell r="C1852" t="str">
            <v>EDIFICIO PORTAL ARCANGEL - PROPIEDAD HORIZONTAL</v>
          </cell>
          <cell r="D1852" t="str">
            <v>3108614396</v>
          </cell>
          <cell r="E1852" t="str">
            <v>edificioportalarcangel@gmail.com</v>
          </cell>
          <cell r="F1852" t="str">
            <v>CALLE 146  13  91</v>
          </cell>
          <cell r="G1852">
            <v>11001</v>
          </cell>
        </row>
        <row r="1853">
          <cell r="A1853" t="str">
            <v>900036646</v>
          </cell>
          <cell r="B1853" t="str">
            <v>8</v>
          </cell>
          <cell r="C1853" t="str">
            <v>EDIFICIO SAN LUIS PROPIEDAD HORIZONTAL</v>
          </cell>
          <cell r="D1853" t="str">
            <v>3108020838</v>
          </cell>
          <cell r="E1853" t="str">
            <v>facturacion@estiloingenieria.com</v>
          </cell>
          <cell r="F1853" t="str">
            <v>CALLE 130 A  7 B  44</v>
          </cell>
          <cell r="G1853">
            <v>11001</v>
          </cell>
        </row>
        <row r="1854">
          <cell r="A1854" t="str">
            <v>900038194</v>
          </cell>
          <cell r="B1854" t="str">
            <v>1</v>
          </cell>
          <cell r="C1854" t="str">
            <v>CONJUNTO RESIDENCIAL PADUA PROPIEDAD HORIZONTAL</v>
          </cell>
          <cell r="D1854" t="str">
            <v>6260767</v>
          </cell>
          <cell r="E1854" t="str">
            <v>cr.padua@hotmail.com</v>
          </cell>
          <cell r="F1854" t="str">
            <v>CR 21 128 D 50</v>
          </cell>
          <cell r="G1854">
            <v>11001</v>
          </cell>
        </row>
        <row r="1855">
          <cell r="A1855" t="str">
            <v>900038194</v>
          </cell>
          <cell r="B1855" t="str">
            <v>1</v>
          </cell>
          <cell r="C1855" t="str">
            <v>CONJUNTO RESIDENCIAL PADUA PROPIEDAD HORIZONTAL</v>
          </cell>
          <cell r="D1855" t="str">
            <v>6260767</v>
          </cell>
          <cell r="E1855" t="str">
            <v>cr.padua@hotmail.com</v>
          </cell>
          <cell r="F1855" t="str">
            <v>CR 21 128 D 50</v>
          </cell>
          <cell r="G1855">
            <v>11001</v>
          </cell>
        </row>
        <row r="1856">
          <cell r="A1856" t="str">
            <v>900038458</v>
          </cell>
          <cell r="B1856" t="str">
            <v>9</v>
          </cell>
          <cell r="C1856" t="str">
            <v>EDIFICIO CELTA P.H.</v>
          </cell>
          <cell r="D1856" t="str">
            <v>7033779</v>
          </cell>
          <cell r="E1856" t="str">
            <v>contabilidadcastroardilaph@gmail.com</v>
          </cell>
          <cell r="F1856" t="str">
            <v>CALLE 127  18 A  39  OFICINA 303</v>
          </cell>
          <cell r="G1856">
            <v>11001</v>
          </cell>
        </row>
        <row r="1857">
          <cell r="A1857" t="str">
            <v>900039606</v>
          </cell>
          <cell r="B1857" t="str">
            <v>7</v>
          </cell>
          <cell r="C1857" t="str">
            <v>UNIBANK S A S</v>
          </cell>
          <cell r="D1857" t="str">
            <v>3003062916</v>
          </cell>
          <cell r="E1857" t="str">
            <v>henao.silvia@gmail.com</v>
          </cell>
          <cell r="F1857" t="str">
            <v>CARRERA 33 BIS  25 B  68</v>
          </cell>
          <cell r="G1857">
            <v>11001</v>
          </cell>
        </row>
        <row r="1858">
          <cell r="A1858" t="str">
            <v>900040770</v>
          </cell>
          <cell r="B1858" t="str">
            <v>9</v>
          </cell>
          <cell r="C1858" t="str">
            <v>EDIFICIO TORRE SAN MARCOS - PROPIEDAD HORIZONTAL</v>
          </cell>
          <cell r="D1858" t="str">
            <v>3471154</v>
          </cell>
          <cell r="E1858" t="str">
            <v>edificiotorresanmarcosph236@gmail.com</v>
          </cell>
          <cell r="F1858" t="str">
            <v>CARRERA 16 A  79  95  OFICINA 303</v>
          </cell>
          <cell r="G1858">
            <v>11001</v>
          </cell>
        </row>
        <row r="1859">
          <cell r="A1859" t="str">
            <v>900040770</v>
          </cell>
          <cell r="B1859" t="str">
            <v>9</v>
          </cell>
          <cell r="C1859" t="str">
            <v>EDIFICIO TORRE SAN MARCOS - PROPIEDAD HORIZONTAL</v>
          </cell>
          <cell r="D1859" t="str">
            <v>3471154</v>
          </cell>
          <cell r="E1859" t="str">
            <v>edificiotorresanmarcosph236@gmail.com</v>
          </cell>
          <cell r="F1859" t="str">
            <v>CARRERA 16 A  79  95  OFICINA 303</v>
          </cell>
          <cell r="G1859">
            <v>11001</v>
          </cell>
        </row>
        <row r="1860">
          <cell r="A1860" t="str">
            <v>900041410</v>
          </cell>
          <cell r="B1860" t="str">
            <v>7</v>
          </cell>
          <cell r="C1860" t="str">
            <v>EDIFICIO GOLF COUNTRY</v>
          </cell>
          <cell r="D1860" t="str">
            <v>3138908501</v>
          </cell>
          <cell r="E1860" t="str">
            <v>facturacion@estiloingenieria.com</v>
          </cell>
          <cell r="F1860" t="str">
            <v>CARRERA 14  127 B  98</v>
          </cell>
          <cell r="G1860">
            <v>11001</v>
          </cell>
        </row>
        <row r="1861">
          <cell r="A1861" t="str">
            <v>900043342</v>
          </cell>
          <cell r="B1861" t="str">
            <v>3</v>
          </cell>
          <cell r="C1861" t="str">
            <v>EDIFICIO RETIRO PARQUE 83- PROPIEDAD HORIZONTAL</v>
          </cell>
          <cell r="D1861" t="str">
            <v>4 7 8 2 9 2 9</v>
          </cell>
          <cell r="E1861" t="str">
            <v>retiroparque83@yahoo.com</v>
          </cell>
          <cell r="F1861" t="str">
            <v>TV 3 A 83 11 21</v>
          </cell>
          <cell r="G1861">
            <v>11001</v>
          </cell>
        </row>
        <row r="1862">
          <cell r="A1862" t="str">
            <v>900045611</v>
          </cell>
          <cell r="B1862" t="str">
            <v>9</v>
          </cell>
          <cell r="C1862" t="str">
            <v>EDIFICIO PORTOBELLO VILLAGE - PROPIEDAD HORIZONTAL</v>
          </cell>
          <cell r="D1862" t="str">
            <v>3112973269</v>
          </cell>
          <cell r="E1862" t="str">
            <v>edificioportobellovillage@gmail.com</v>
          </cell>
          <cell r="F1862" t="str">
            <v>CALLE 118  12  25</v>
          </cell>
          <cell r="G1862">
            <v>11001</v>
          </cell>
        </row>
        <row r="1863">
          <cell r="A1863" t="str">
            <v>900045832</v>
          </cell>
          <cell r="B1863" t="str">
            <v>1</v>
          </cell>
          <cell r="C1863" t="str">
            <v>EDIFICIO PTOLOMEO - PROPIEDAD HORIZONTAL</v>
          </cell>
          <cell r="D1863" t="str">
            <v>2168829</v>
          </cell>
          <cell r="E1863" t="str">
            <v>facturacion@estiloingenieria.com</v>
          </cell>
          <cell r="F1863" t="str">
            <v>CALLE 134 A  21  54</v>
          </cell>
          <cell r="G1863">
            <v>11001</v>
          </cell>
        </row>
        <row r="1864">
          <cell r="A1864" t="str">
            <v>900045833</v>
          </cell>
          <cell r="B1864" t="str">
            <v>7</v>
          </cell>
          <cell r="C1864" t="str">
            <v>EDIFICIO COPERNICO</v>
          </cell>
          <cell r="D1864" t="str">
            <v>3183877313</v>
          </cell>
          <cell r="E1864" t="str">
            <v>edcopernicoph@gmail.com</v>
          </cell>
          <cell r="F1864" t="str">
            <v>TRANSVERSAL 1 ESTE  57  88</v>
          </cell>
          <cell r="G1864">
            <v>11001</v>
          </cell>
        </row>
        <row r="1865">
          <cell r="A1865" t="str">
            <v>900049779</v>
          </cell>
          <cell r="B1865" t="str">
            <v>5</v>
          </cell>
          <cell r="C1865" t="str">
            <v>CENTRO EMPRESARIAL CORPORATIVO PROPIEDAD HORIZONTAL</v>
          </cell>
          <cell r="D1865" t="str">
            <v>6359698</v>
          </cell>
          <cell r="E1865" t="str">
            <v>edifiempresa@gmail.com</v>
          </cell>
          <cell r="F1865" t="str">
            <v>DIAGONAL 97  17  60</v>
          </cell>
          <cell r="G1865">
            <v>11001</v>
          </cell>
        </row>
        <row r="1866">
          <cell r="A1866" t="str">
            <v>900049779</v>
          </cell>
          <cell r="B1866" t="str">
            <v>5</v>
          </cell>
          <cell r="C1866" t="str">
            <v>CENTRO EMPRESARIAL CORPORATIVO PROPIEDAD HORIZONTAL</v>
          </cell>
          <cell r="D1866" t="str">
            <v>6359698</v>
          </cell>
          <cell r="E1866" t="str">
            <v>edifiempresa@gmail.com</v>
          </cell>
          <cell r="F1866" t="str">
            <v>DIAGONAL 97  17  60</v>
          </cell>
          <cell r="G1866">
            <v>11001</v>
          </cell>
        </row>
        <row r="1867">
          <cell r="A1867" t="str">
            <v>900050188</v>
          </cell>
          <cell r="B1867" t="str">
            <v>4</v>
          </cell>
          <cell r="C1867" t="str">
            <v>EDIFICIO TORRE DE SAN JOSE - PROPIEDAD HORIZONTAL</v>
          </cell>
          <cell r="D1867" t="str">
            <v>6200156</v>
          </cell>
          <cell r="E1867" t="str">
            <v>lucilacontrerasg@hotmail.com</v>
          </cell>
          <cell r="F1867" t="str">
            <v>CALLE 125  11 B  31</v>
          </cell>
          <cell r="G1867">
            <v>11001</v>
          </cell>
        </row>
        <row r="1868">
          <cell r="A1868" t="str">
            <v>900050903</v>
          </cell>
          <cell r="B1868" t="str">
            <v>4</v>
          </cell>
          <cell r="C1868" t="str">
            <v>EDIFICIO CALLEJA RESORT - PROPIEDAD HORIZONTAL</v>
          </cell>
          <cell r="D1868" t="str">
            <v>6 0 1 6 1 5 4 4 0 1</v>
          </cell>
          <cell r="E1868" t="str">
            <v>facturacionedificios@administrando.com.co</v>
          </cell>
          <cell r="F1868" t="str">
            <v>CL 127 D 19 93 BRR LA CALLEJA</v>
          </cell>
          <cell r="G1868">
            <v>11001</v>
          </cell>
        </row>
        <row r="1869">
          <cell r="A1869" t="str">
            <v>900051019</v>
          </cell>
          <cell r="B1869" t="str">
            <v>2</v>
          </cell>
          <cell r="C1869" t="str">
            <v>EDIFICIO VIAREGGI - PROPIEDAD HORIZONTAL</v>
          </cell>
          <cell r="D1869" t="str">
            <v>3102439585</v>
          </cell>
          <cell r="E1869" t="str">
            <v>edificioviareggi@yahoo.com</v>
          </cell>
          <cell r="F1869" t="str">
            <v>AV CR 7 111 64 BRR SANTA ANA ORIENTAL</v>
          </cell>
          <cell r="G1869">
            <v>11001</v>
          </cell>
        </row>
        <row r="1870">
          <cell r="A1870" t="str">
            <v>900052229</v>
          </cell>
          <cell r="B1870" t="str">
            <v>7</v>
          </cell>
          <cell r="C1870" t="str">
            <v>EDIFICIO PARQUE EL VIRREY PROPIEDAD HORIZONTAL</v>
          </cell>
          <cell r="D1870" t="str">
            <v>6348921</v>
          </cell>
          <cell r="E1870" t="str">
            <v>edificioparqueelvirrey@gmail.com</v>
          </cell>
          <cell r="F1870" t="str">
            <v>CARRERA 16 A  86 A  90</v>
          </cell>
          <cell r="G1870">
            <v>11001</v>
          </cell>
        </row>
        <row r="1871">
          <cell r="A1871" t="str">
            <v>900052229</v>
          </cell>
          <cell r="B1871" t="str">
            <v>7</v>
          </cell>
          <cell r="C1871" t="str">
            <v>EDIFICIO PARQUE EL VIRREY PROPIEDAD HORIZONTAL</v>
          </cell>
          <cell r="D1871" t="str">
            <v>6348921</v>
          </cell>
          <cell r="E1871" t="str">
            <v>edificioparqueelvirrey@gmail.com</v>
          </cell>
          <cell r="F1871" t="str">
            <v>CARRERA 16 A  86 A  90</v>
          </cell>
          <cell r="G1871">
            <v>11001</v>
          </cell>
        </row>
        <row r="1872">
          <cell r="A1872" t="str">
            <v>900053139</v>
          </cell>
          <cell r="B1872" t="str">
            <v>7</v>
          </cell>
          <cell r="C1872" t="str">
            <v>EMPRO - EMPRENDIMIENTO Y PROSPERIDAD S.A.S.</v>
          </cell>
          <cell r="D1872" t="str">
            <v>3579562</v>
          </cell>
          <cell r="E1872" t="str">
            <v>mag@siesa.com</v>
          </cell>
          <cell r="F1872" t="str">
            <v>AVENIDA 3 N  26 N  83</v>
          </cell>
          <cell r="G1872">
            <v>11001</v>
          </cell>
        </row>
        <row r="1873">
          <cell r="A1873" t="str">
            <v>900055806</v>
          </cell>
          <cell r="B1873" t="str">
            <v>0</v>
          </cell>
          <cell r="C1873" t="str">
            <v>EDIFICIO VERDECCHIA PROPIEDAD HORIZONTAL</v>
          </cell>
          <cell r="D1873" t="str">
            <v>2138053</v>
          </cell>
          <cell r="E1873" t="str">
            <v>info@managerelite.net</v>
          </cell>
          <cell r="F1873" t="str">
            <v>CARRERA 13 A  111  49</v>
          </cell>
          <cell r="G1873">
            <v>11001</v>
          </cell>
        </row>
        <row r="1874">
          <cell r="A1874" t="str">
            <v>900055806</v>
          </cell>
          <cell r="B1874" t="str">
            <v>0</v>
          </cell>
          <cell r="C1874" t="str">
            <v>EDIFICIO VERDECCHIA PROPIEDAD HORIZONTAL</v>
          </cell>
          <cell r="D1874" t="str">
            <v>2138053</v>
          </cell>
          <cell r="E1874" t="str">
            <v>info@managerelite.net</v>
          </cell>
          <cell r="F1874" t="str">
            <v>CARRERA 13 A  111  49</v>
          </cell>
          <cell r="G1874">
            <v>11001</v>
          </cell>
        </row>
        <row r="1875">
          <cell r="A1875" t="str">
            <v>900055900</v>
          </cell>
          <cell r="B1875" t="str">
            <v>5</v>
          </cell>
          <cell r="C1875" t="str">
            <v>CONJUNTO RESIDENCIAL PARQUE CENTRAL SALITRE ETAPA IV- PROPIEDAD HORIZONTAL</v>
          </cell>
          <cell r="D1875" t="str">
            <v>6600243</v>
          </cell>
          <cell r="E1875" t="str">
            <v>parquecentralsalitre@gmail.com</v>
          </cell>
          <cell r="F1875" t="str">
            <v>CALLE 64 A  57  23</v>
          </cell>
          <cell r="G1875">
            <v>11001</v>
          </cell>
        </row>
        <row r="1876">
          <cell r="A1876" t="str">
            <v>900055900</v>
          </cell>
          <cell r="B1876" t="str">
            <v>5</v>
          </cell>
          <cell r="C1876" t="str">
            <v>CONJUNTO RESIDENCIAL PARQUE CENTRAL SALITRE ETAPA IV- PROPIEDAD HORIZONTAL</v>
          </cell>
          <cell r="D1876" t="str">
            <v>6600243</v>
          </cell>
          <cell r="E1876" t="str">
            <v>parquecentralsalitre@gmail.com</v>
          </cell>
          <cell r="F1876" t="str">
            <v>CALLE 64 A  57  23</v>
          </cell>
          <cell r="G1876">
            <v>11001</v>
          </cell>
        </row>
        <row r="1877">
          <cell r="A1877" t="str">
            <v>900058019</v>
          </cell>
          <cell r="B1877" t="str">
            <v>4</v>
          </cell>
          <cell r="C1877" t="str">
            <v>EDIFICIO VIAREGGI PROPIEDAD HORIZONTAL</v>
          </cell>
          <cell r="D1877" t="str">
            <v>3102439585</v>
          </cell>
          <cell r="E1877" t="str">
            <v>facturacion@estiloingenieria.com</v>
          </cell>
          <cell r="F1877" t="str">
            <v>CARRERA 7  111  64</v>
          </cell>
          <cell r="G1877">
            <v>11001</v>
          </cell>
        </row>
        <row r="1878">
          <cell r="A1878" t="str">
            <v>900061516</v>
          </cell>
          <cell r="B1878" t="str">
            <v>4</v>
          </cell>
          <cell r="C1878" t="str">
            <v>MUEBLES JAMAR S A</v>
          </cell>
          <cell r="D1878" t="str">
            <v>3791995</v>
          </cell>
          <cell r="E1878" t="str">
            <v>facturamj@jamar.com</v>
          </cell>
          <cell r="F1878" t="str">
            <v>CL 34 39 66</v>
          </cell>
          <cell r="G1878">
            <v>11001</v>
          </cell>
        </row>
        <row r="1879">
          <cell r="A1879" t="str">
            <v>900061932</v>
          </cell>
          <cell r="B1879" t="str">
            <v>5</v>
          </cell>
          <cell r="C1879" t="str">
            <v>EDIFICIO PINAR 54 - PROPIEDAD HORIZONTAL</v>
          </cell>
          <cell r="D1879" t="str">
            <v>2484870</v>
          </cell>
          <cell r="E1879" t="str">
            <v>ed_pinar_54@yahoo.com.ar</v>
          </cell>
          <cell r="F1879" t="str">
            <v>CALLE 54 A  6  38</v>
          </cell>
          <cell r="G1879">
            <v>11001</v>
          </cell>
        </row>
        <row r="1880">
          <cell r="A1880" t="str">
            <v>900062601</v>
          </cell>
          <cell r="B1880" t="str">
            <v>7</v>
          </cell>
          <cell r="C1880" t="str">
            <v>EDIFICIO CAMINO DE SANTA CLARA III PH</v>
          </cell>
          <cell r="D1880">
            <v>3219664011</v>
          </cell>
          <cell r="E1880" t="str">
            <v>recepcion@admejores.co</v>
          </cell>
          <cell r="F1880" t="str">
            <v>CARRERA 8 A  96  21</v>
          </cell>
          <cell r="G1880">
            <v>11001</v>
          </cell>
        </row>
        <row r="1881">
          <cell r="A1881" t="str">
            <v>900062677</v>
          </cell>
          <cell r="B1881" t="str">
            <v>6</v>
          </cell>
          <cell r="C1881" t="str">
            <v>EDIFICIO RETIRO 82</v>
          </cell>
          <cell r="D1881" t="str">
            <v>3 1 2 5 0 7 1 1 0 8</v>
          </cell>
          <cell r="E1881" t="str">
            <v>marlenvilla8@hotmail.com</v>
          </cell>
          <cell r="F1881" t="str">
            <v>CL 84 A 8 43</v>
          </cell>
          <cell r="G1881">
            <v>11001</v>
          </cell>
        </row>
        <row r="1882">
          <cell r="A1882" t="str">
            <v>900063061</v>
          </cell>
          <cell r="B1882" t="str">
            <v>4</v>
          </cell>
          <cell r="C1882" t="str">
            <v>EDIFICIO RINCON DEL CHICO PLAZA - PROPIEDAD HORIZONTAL</v>
          </cell>
          <cell r="D1882" t="str">
            <v>2998455</v>
          </cell>
          <cell r="E1882" t="str">
            <v>edificiorincondelchicoplaza1@gmail.com</v>
          </cell>
          <cell r="F1882" t="str">
            <v>CARRERA 12  102 A  46</v>
          </cell>
          <cell r="G1882">
            <v>11001</v>
          </cell>
        </row>
        <row r="1883">
          <cell r="A1883" t="str">
            <v>900063061</v>
          </cell>
          <cell r="B1883" t="str">
            <v>4</v>
          </cell>
          <cell r="C1883" t="str">
            <v>EDIFICIO RINCON DEL CHICO PLAZA - PROPIEDAD HORIZONTAL</v>
          </cell>
          <cell r="D1883" t="str">
            <v>2998455</v>
          </cell>
          <cell r="E1883" t="str">
            <v>edificiorincondelchicoplaza1@gmail.com</v>
          </cell>
          <cell r="F1883" t="str">
            <v>CARRERA 12  102 A  46</v>
          </cell>
          <cell r="G1883">
            <v>11001</v>
          </cell>
        </row>
        <row r="1884">
          <cell r="A1884" t="str">
            <v>900065043</v>
          </cell>
          <cell r="B1884" t="str">
            <v>0</v>
          </cell>
          <cell r="C1884" t="str">
            <v>EDIFICIO PASYMAR PROPIEDAD HORIZONTAL</v>
          </cell>
          <cell r="D1884" t="str">
            <v>6360770</v>
          </cell>
          <cell r="E1884" t="str">
            <v>proveedores@aedyco.com.co</v>
          </cell>
          <cell r="F1884" t="str">
            <v>CALLE 102 A  49 C  10</v>
          </cell>
          <cell r="G1884">
            <v>11001</v>
          </cell>
        </row>
        <row r="1885">
          <cell r="A1885" t="str">
            <v>900065618</v>
          </cell>
          <cell r="B1885" t="str">
            <v>5</v>
          </cell>
          <cell r="C1885" t="str">
            <v>EDIFICIO CALIFORNIA ANTIGUA - PROPIEDAD HORIZONTAL</v>
          </cell>
          <cell r="D1885" t="str">
            <v>3153481183</v>
          </cell>
          <cell r="E1885" t="str">
            <v>edificiocaliforniaantigua1@hotmail.com</v>
          </cell>
          <cell r="F1885" t="str">
            <v>CALLE 135 C  10 B  67</v>
          </cell>
          <cell r="G1885">
            <v>11001</v>
          </cell>
        </row>
        <row r="1886">
          <cell r="A1886" t="str">
            <v>900065618</v>
          </cell>
          <cell r="B1886" t="str">
            <v>5</v>
          </cell>
          <cell r="C1886" t="str">
            <v>EDIFICIO CALIFORNIA ANTIGUA - PROPIEDAD HORIZONTAL</v>
          </cell>
          <cell r="D1886" t="str">
            <v>3153481183</v>
          </cell>
          <cell r="E1886" t="str">
            <v>edificiocaliforniaantigua1@hotmail.com</v>
          </cell>
          <cell r="F1886" t="str">
            <v>CALLE 135 C  10 B  67</v>
          </cell>
          <cell r="G1886">
            <v>11001</v>
          </cell>
        </row>
        <row r="1887">
          <cell r="A1887" t="str">
            <v>900066319</v>
          </cell>
          <cell r="B1887" t="str">
            <v>2</v>
          </cell>
          <cell r="C1887" t="str">
            <v>EDIFICIO BALCONY PROPIEDAD HORIZONTAL</v>
          </cell>
          <cell r="D1887" t="str">
            <v>4631222</v>
          </cell>
          <cell r="E1887" t="str">
            <v>facturacion@estiloingenieria.com</v>
          </cell>
          <cell r="F1887" t="str">
            <v>CALLE 79 A  8  44</v>
          </cell>
          <cell r="G1887">
            <v>11001</v>
          </cell>
        </row>
        <row r="1888">
          <cell r="A1888" t="str">
            <v>900066319</v>
          </cell>
          <cell r="B1888" t="str">
            <v>2</v>
          </cell>
          <cell r="C1888" t="str">
            <v>EDIFICIO BALCONY PROPIEDAD HORIZONTAL</v>
          </cell>
          <cell r="D1888" t="str">
            <v>4631222</v>
          </cell>
          <cell r="E1888" t="str">
            <v>facturacion@estiloingenieria.com</v>
          </cell>
          <cell r="F1888" t="str">
            <v>CALLE 79 A  8  44</v>
          </cell>
          <cell r="G1888">
            <v>11001</v>
          </cell>
        </row>
        <row r="1889">
          <cell r="A1889" t="str">
            <v>900069282</v>
          </cell>
          <cell r="B1889" t="str">
            <v>2</v>
          </cell>
          <cell r="C1889" t="str">
            <v>CAMINOS DEL CERRO P.H.</v>
          </cell>
          <cell r="D1889" t="str">
            <v>3153499578</v>
          </cell>
          <cell r="E1889" t="str">
            <v>admcaminosdelcerro@gmail.com</v>
          </cell>
          <cell r="F1889" t="str">
            <v>CALLE 57  13  48 OFICINA 402</v>
          </cell>
          <cell r="G1889">
            <v>11001</v>
          </cell>
        </row>
        <row r="1890">
          <cell r="A1890" t="str">
            <v>900069282</v>
          </cell>
          <cell r="B1890" t="str">
            <v>2</v>
          </cell>
          <cell r="C1890" t="str">
            <v>CAMINOS DEL CERRO P.H.</v>
          </cell>
          <cell r="D1890" t="str">
            <v>3153499578</v>
          </cell>
          <cell r="E1890" t="str">
            <v>admcaminosdelcerro@gmail.com</v>
          </cell>
          <cell r="F1890" t="str">
            <v>CALLE 57  13  48 OFICINA 402</v>
          </cell>
          <cell r="G1890">
            <v>11001</v>
          </cell>
        </row>
        <row r="1891">
          <cell r="A1891" t="str">
            <v>900070183</v>
          </cell>
          <cell r="B1891" t="str">
            <v>3</v>
          </cell>
          <cell r="C1891" t="str">
            <v>EDIFICIO CALLE NOVENTA Y UNA (91) - PROPIEDAD HORIZONTAL</v>
          </cell>
          <cell r="D1891" t="str">
            <v>6105149</v>
          </cell>
          <cell r="E1891" t="str">
            <v>abondano.solucionesintegrales@gmail.com</v>
          </cell>
          <cell r="F1891" t="str">
            <v>CR 9A # 91- 10 BOGOTA, D.C.</v>
          </cell>
          <cell r="G1891">
            <v>11001</v>
          </cell>
        </row>
        <row r="1892">
          <cell r="A1892" t="str">
            <v>900071596</v>
          </cell>
          <cell r="B1892" t="str">
            <v>6</v>
          </cell>
          <cell r="C1892" t="str">
            <v>EDIFICIO BALCONES DEL CHICO ALTO</v>
          </cell>
          <cell r="D1892" t="str">
            <v>2575370</v>
          </cell>
          <cell r="E1892" t="str">
            <v>proveedoremf@gmail.com</v>
          </cell>
          <cell r="F1892" t="str">
            <v>TRANSVERSAL 4 C  89  55</v>
          </cell>
          <cell r="G1892">
            <v>11001</v>
          </cell>
        </row>
        <row r="1893">
          <cell r="A1893" t="str">
            <v>900071659</v>
          </cell>
          <cell r="B1893" t="str">
            <v>1</v>
          </cell>
          <cell r="C1893" t="str">
            <v>EDIFICIO TORRE GALATEA PROPIEDAD HORIZONTAL</v>
          </cell>
          <cell r="D1893" t="str">
            <v>3 1 1 2 5 9 4 6 3 0</v>
          </cell>
          <cell r="E1893" t="str">
            <v>edificiotorregalatea@gmail.com</v>
          </cell>
          <cell r="F1893" t="str">
            <v>CL 118 18 22 BRR SANTA BARBARA OCCIDENTAL</v>
          </cell>
          <cell r="G1893">
            <v>11001</v>
          </cell>
        </row>
        <row r="1894">
          <cell r="A1894" t="str">
            <v>900071659</v>
          </cell>
          <cell r="B1894" t="str">
            <v>1</v>
          </cell>
          <cell r="C1894" t="str">
            <v>EDIFICIO TORRE GALATEA PROPIEDAD HORIZONTAL</v>
          </cell>
          <cell r="D1894" t="str">
            <v>3 1 1 2 5 9 4 6 3 0</v>
          </cell>
          <cell r="E1894" t="str">
            <v>edificiotorregalatea@gmail.com</v>
          </cell>
          <cell r="F1894" t="str">
            <v>CL 118 18 22 BRR SANTA BARBARA OCCIDENTAL</v>
          </cell>
          <cell r="G1894">
            <v>11001</v>
          </cell>
        </row>
        <row r="1895">
          <cell r="A1895" t="str">
            <v>900074582</v>
          </cell>
          <cell r="B1895" t="str">
            <v>7</v>
          </cell>
          <cell r="C1895" t="str">
            <v>EDIFICIO BELLA SUIZA PARK - PROPIEDAD HORIZONTAL</v>
          </cell>
          <cell r="D1895" t="str">
            <v>6204060</v>
          </cell>
          <cell r="E1895" t="str">
            <v>BELLASUIZAPARKPH@gmail.com</v>
          </cell>
          <cell r="F1895" t="str">
            <v>CALLE 127 A  7 C  63</v>
          </cell>
          <cell r="G1895">
            <v>11001</v>
          </cell>
        </row>
        <row r="1896">
          <cell r="A1896" t="str">
            <v>900075471</v>
          </cell>
          <cell r="B1896" t="str">
            <v>2</v>
          </cell>
          <cell r="C1896" t="str">
            <v>EDIFICIO CATALINA I - PROPIEDAD HORIZONTAL</v>
          </cell>
          <cell r="D1896">
            <v>3219664011</v>
          </cell>
          <cell r="E1896" t="str">
            <v>catalinauno1@gmail.com</v>
          </cell>
          <cell r="F1896" t="str">
            <v>CARRERA 13 A  38  39</v>
          </cell>
          <cell r="G1896">
            <v>11001</v>
          </cell>
        </row>
        <row r="1897">
          <cell r="A1897" t="str">
            <v>900081534</v>
          </cell>
          <cell r="B1897" t="str">
            <v>2</v>
          </cell>
          <cell r="C1897" t="str">
            <v>EDIFICIO CANTON DE BERNA PROPIEDAD HORIZONTAL</v>
          </cell>
          <cell r="D1897" t="str">
            <v>4731560</v>
          </cell>
          <cell r="E1897" t="str">
            <v>facturacionadmisol@gmail.com</v>
          </cell>
          <cell r="F1897" t="str">
            <v>CARRERA 11 B BIS  118  27</v>
          </cell>
          <cell r="G1897">
            <v>11001</v>
          </cell>
        </row>
        <row r="1898">
          <cell r="A1898" t="str">
            <v>900082077</v>
          </cell>
          <cell r="B1898" t="str">
            <v>2</v>
          </cell>
          <cell r="C1898" t="str">
            <v>CONSTRUCTORA J Y P S.A.S.</v>
          </cell>
          <cell r="D1898" t="str">
            <v>8867880</v>
          </cell>
          <cell r="E1898" t="str">
            <v>fe.recibido@constructorajyp.com</v>
          </cell>
          <cell r="F1898" t="str">
            <v>CARRERA 23  70 B  57  LOCAL 17</v>
          </cell>
          <cell r="G1898">
            <v>11001</v>
          </cell>
        </row>
        <row r="1899">
          <cell r="A1899" t="str">
            <v>900082107</v>
          </cell>
          <cell r="B1899" t="str">
            <v>5</v>
          </cell>
          <cell r="C1899" t="str">
            <v>CONSTRUCTORA CONTEX S.A.S BIC</v>
          </cell>
          <cell r="D1899" t="str">
            <v>5555555</v>
          </cell>
          <cell r="E1899" t="str">
            <v>facturas@contex.com.co</v>
          </cell>
          <cell r="F1899" t="str">
            <v>KM 3 VIA DON DIEGO LLANOGRANDE</v>
          </cell>
          <cell r="G1899">
            <v>11001</v>
          </cell>
        </row>
        <row r="1900">
          <cell r="A1900" t="str">
            <v>900084747</v>
          </cell>
          <cell r="B1900" t="str">
            <v>8</v>
          </cell>
          <cell r="C1900" t="str">
            <v>COPROPIEDAD PARQUES DE LA FLORESTA CLUB RESIDENCIAL - PROPIEDAD HORIZONTAL</v>
          </cell>
          <cell r="D1900" t="str">
            <v>7188337</v>
          </cell>
          <cell r="E1900" t="str">
            <v>parquesdelaflorestaetapa1@gmail.com</v>
          </cell>
          <cell r="F1900" t="str">
            <v>CARRERA 68 B  95  80</v>
          </cell>
          <cell r="G1900">
            <v>11001</v>
          </cell>
        </row>
        <row r="1901">
          <cell r="A1901" t="str">
            <v>900084747</v>
          </cell>
          <cell r="B1901" t="str">
            <v>8</v>
          </cell>
          <cell r="C1901" t="str">
            <v>COPROPIEDAD PARQUES DE LA FLORESTA CLUB RESIDENCIAL - PROPIEDAD HORIZONTAL</v>
          </cell>
          <cell r="D1901" t="str">
            <v>7188337</v>
          </cell>
          <cell r="E1901" t="str">
            <v>parquesdelaflorestaetapa1@gmail.com</v>
          </cell>
          <cell r="F1901" t="str">
            <v>CARRERA 68 B  95  80</v>
          </cell>
          <cell r="G1901">
            <v>11001</v>
          </cell>
        </row>
        <row r="1902">
          <cell r="A1902" t="str">
            <v>900085267</v>
          </cell>
          <cell r="B1902" t="str">
            <v>9</v>
          </cell>
          <cell r="C1902" t="str">
            <v>EDIFICIO OIKOS BATAN -PROPIEDAD HORIZONTAL</v>
          </cell>
          <cell r="D1902" t="str">
            <v>6058905</v>
          </cell>
          <cell r="E1902" t="str">
            <v>oikosbatan@gmail.com</v>
          </cell>
          <cell r="F1902" t="str">
            <v>CARRERA 50  122  91</v>
          </cell>
          <cell r="G1902">
            <v>11001</v>
          </cell>
        </row>
        <row r="1903">
          <cell r="A1903" t="str">
            <v>900085569</v>
          </cell>
          <cell r="B1903" t="str">
            <v>8</v>
          </cell>
          <cell r="C1903" t="str">
            <v>CENTRO COMERCIAL Y DE NEGOCIOS TORRE CENTRAL PROPIEDAD HORIZONTAL</v>
          </cell>
          <cell r="D1903" t="str">
            <v>4273052</v>
          </cell>
          <cell r="E1903" t="str">
            <v>facturaciontorrecentral1@gmail.com</v>
          </cell>
          <cell r="F1903" t="str">
            <v>CR 68 D 25 B 86</v>
          </cell>
          <cell r="G1903">
            <v>11001</v>
          </cell>
        </row>
        <row r="1904">
          <cell r="A1904" t="str">
            <v>900085569</v>
          </cell>
          <cell r="B1904" t="str">
            <v>8</v>
          </cell>
          <cell r="C1904" t="str">
            <v>CENTRO COMERCIAL Y DE NEGOCIOS TORRE CENTRAL PROPIEDAD HORIZONTAL</v>
          </cell>
          <cell r="D1904" t="str">
            <v>4273052</v>
          </cell>
          <cell r="E1904" t="str">
            <v>facturaciontorrecentral1@gmail.com</v>
          </cell>
          <cell r="F1904" t="str">
            <v>CR 68 D 25 B 86</v>
          </cell>
          <cell r="G1904">
            <v>11001</v>
          </cell>
        </row>
        <row r="1905">
          <cell r="A1905" t="str">
            <v>900085852</v>
          </cell>
          <cell r="B1905" t="str">
            <v>8</v>
          </cell>
          <cell r="C1905" t="str">
            <v>CONSTRUGEN S.A.S.</v>
          </cell>
          <cell r="D1905">
            <v>3219664011</v>
          </cell>
          <cell r="E1905" t="str">
            <v>facturacion@construgen.com</v>
          </cell>
          <cell r="F1905" t="str">
            <v>CARRERA 38  38 SUR  34</v>
          </cell>
          <cell r="G1905">
            <v>11001</v>
          </cell>
        </row>
        <row r="1906">
          <cell r="A1906" t="str">
            <v>900087990</v>
          </cell>
          <cell r="B1906" t="str">
            <v>5</v>
          </cell>
          <cell r="C1906" t="str">
            <v>EDIFICIO BELLA SUIZA PARK II - PROPIEDAD HORIZONTAL</v>
          </cell>
          <cell r="D1906" t="str">
            <v>3114888652</v>
          </cell>
          <cell r="E1906" t="str">
            <v>admonbellasuizapark2@gmail.com</v>
          </cell>
          <cell r="F1906" t="str">
            <v>TRANSVERSAL 101  29 A  12</v>
          </cell>
          <cell r="G1906">
            <v>11001</v>
          </cell>
        </row>
        <row r="1907">
          <cell r="A1907" t="str">
            <v>900091742</v>
          </cell>
          <cell r="B1907" t="str">
            <v>0</v>
          </cell>
          <cell r="C1907" t="str">
            <v>VISION PLANNING GROUP SAS</v>
          </cell>
          <cell r="D1907" t="str">
            <v>3 2 0 8 7 0 1 1 9 4</v>
          </cell>
          <cell r="E1907" t="str">
            <v>facturacion@visionpg.com</v>
          </cell>
          <cell r="F1907" t="str">
            <v>CL 79 9 10 OF 601 ED 9 79</v>
          </cell>
          <cell r="G1907">
            <v>11001</v>
          </cell>
        </row>
        <row r="1908">
          <cell r="A1908" t="str">
            <v>900093411</v>
          </cell>
          <cell r="B1908" t="str">
            <v>7</v>
          </cell>
          <cell r="C1908" t="str">
            <v>URBANIZADORA MARTINEZ ESPARZA SAS</v>
          </cell>
          <cell r="D1908">
            <v>3219664011</v>
          </cell>
          <cell r="E1908" t="str">
            <v>recepcion@urbamares.com</v>
          </cell>
          <cell r="F1908" t="str">
            <v>CALLE 36  20  28  OFICINA 207</v>
          </cell>
          <cell r="G1908">
            <v>11001</v>
          </cell>
        </row>
        <row r="1909">
          <cell r="A1909" t="str">
            <v>900094020</v>
          </cell>
          <cell r="B1909" t="str">
            <v>5</v>
          </cell>
          <cell r="C1909" t="str">
            <v>CENTRO COMERCIAL PANAMA</v>
          </cell>
          <cell r="D1909" t="str">
            <v>6304985</v>
          </cell>
          <cell r="E1909" t="str">
            <v>centrocomercialpanama@yahoo.es</v>
          </cell>
          <cell r="F1909" t="str">
            <v>CALLE 37  16  02</v>
          </cell>
          <cell r="G1909">
            <v>11001</v>
          </cell>
        </row>
        <row r="1910">
          <cell r="A1910" t="str">
            <v>900097642</v>
          </cell>
          <cell r="B1910" t="str">
            <v>1</v>
          </cell>
          <cell r="C1910" t="str">
            <v>EDIFICIO REFUGIO 86 PROPIEDAD HORIZONTAL</v>
          </cell>
          <cell r="D1910" t="str">
            <v>3120302</v>
          </cell>
          <cell r="E1910" t="str">
            <v>yelitza.mesa@crearsoluciones.co</v>
          </cell>
          <cell r="F1910" t="str">
            <v>TV 5 86 33</v>
          </cell>
          <cell r="G1910">
            <v>11001</v>
          </cell>
        </row>
        <row r="1911">
          <cell r="A1911" t="str">
            <v>900097642</v>
          </cell>
          <cell r="B1911" t="str">
            <v>1</v>
          </cell>
          <cell r="C1911" t="str">
            <v>EDIFICIO REFUGIO 86 PROPIEDAD HORIZONTAL</v>
          </cell>
          <cell r="D1911" t="str">
            <v>3120302</v>
          </cell>
          <cell r="E1911" t="str">
            <v>yelitza.mesa@crearsoluciones.co</v>
          </cell>
          <cell r="F1911" t="str">
            <v>TV 5 86 33</v>
          </cell>
          <cell r="G1911">
            <v>11001</v>
          </cell>
        </row>
        <row r="1912">
          <cell r="A1912" t="str">
            <v>900098143</v>
          </cell>
          <cell r="B1912" t="str">
            <v>0</v>
          </cell>
          <cell r="C1912" t="str">
            <v>ORGANIZACIÓN EDYFICA SA</v>
          </cell>
          <cell r="D1912" t="str">
            <v>3148312009</v>
          </cell>
          <cell r="E1912" t="str">
            <v>administrativa@constructoragisaico.com</v>
          </cell>
          <cell r="F1912" t="str">
            <v>CARRERA 42 D  45 B SUR  176</v>
          </cell>
          <cell r="G1912">
            <v>11001</v>
          </cell>
        </row>
        <row r="1913">
          <cell r="A1913" t="str">
            <v>900099641</v>
          </cell>
          <cell r="B1913" t="str">
            <v>1</v>
          </cell>
          <cell r="C1913" t="str">
            <v>CONSUBER S.A.S.</v>
          </cell>
          <cell r="D1913" t="str">
            <v>3106888168</v>
          </cell>
          <cell r="E1913" t="str">
            <v>consuber@hotmail.com</v>
          </cell>
          <cell r="F1913" t="str">
            <v>CARRERA 13 B  148  73</v>
          </cell>
          <cell r="G1913">
            <v>11001</v>
          </cell>
        </row>
        <row r="1914">
          <cell r="A1914" t="str">
            <v>900099810</v>
          </cell>
          <cell r="B1914" t="str">
            <v>1</v>
          </cell>
          <cell r="C1914" t="str">
            <v>EDIFICIO VILLA DE PARIS - PROPIEDAD HORIZONTAL</v>
          </cell>
          <cell r="D1914" t="str">
            <v>3133598095</v>
          </cell>
          <cell r="E1914" t="str">
            <v>edificiovilladeparis@gmail.com</v>
          </cell>
          <cell r="F1914" t="str">
            <v>CALLE 105  15  95</v>
          </cell>
          <cell r="G1914">
            <v>11001</v>
          </cell>
        </row>
        <row r="1915">
          <cell r="A1915" t="str">
            <v>900100549</v>
          </cell>
          <cell r="B1915" t="str">
            <v>5</v>
          </cell>
          <cell r="C1915" t="str">
            <v>MAFER REAL STATE DE COLOMBIA S.A.S</v>
          </cell>
          <cell r="D1915" t="str">
            <v>6348533</v>
          </cell>
          <cell r="E1915" t="str">
            <v>facturacion@mafer.com</v>
          </cell>
          <cell r="F1915" t="str">
            <v>CR 14 94 44 TO B PISO 6</v>
          </cell>
          <cell r="G1915">
            <v>11001</v>
          </cell>
        </row>
        <row r="1916">
          <cell r="A1916" t="str">
            <v>900101764</v>
          </cell>
          <cell r="B1916" t="str">
            <v>7</v>
          </cell>
          <cell r="C1916" t="str">
            <v>EDIFICIO TORRE 74 PROPIEDAD HORIZONTAL</v>
          </cell>
          <cell r="D1916" t="str">
            <v>2104466</v>
          </cell>
          <cell r="E1916" t="str">
            <v>edificiotorre74ph@gmail.com</v>
          </cell>
          <cell r="F1916" t="str">
            <v>CARRERA 22 A  87  51</v>
          </cell>
          <cell r="G1916">
            <v>11001</v>
          </cell>
        </row>
        <row r="1917">
          <cell r="A1917" t="str">
            <v>900102608</v>
          </cell>
          <cell r="B1917" t="str">
            <v>0</v>
          </cell>
          <cell r="C1917" t="str">
            <v>EDIFICIO SEPTIMO ARTE - PROPIEDAD HORIZONTAL</v>
          </cell>
          <cell r="D1917" t="str">
            <v>2744337</v>
          </cell>
          <cell r="E1917" t="str">
            <v>septarte@hotmail.com</v>
          </cell>
          <cell r="F1917" t="str">
            <v>CARRERA 11 A  144  30</v>
          </cell>
          <cell r="G1917">
            <v>11001</v>
          </cell>
        </row>
        <row r="1918">
          <cell r="A1918" t="str">
            <v>900103513</v>
          </cell>
          <cell r="B1918" t="str">
            <v>4</v>
          </cell>
          <cell r="C1918" t="str">
            <v>CONSTRULEC S.A.S.</v>
          </cell>
          <cell r="D1918" t="str">
            <v>3562243</v>
          </cell>
          <cell r="E1918" t="str">
            <v>contabilidad@construlec.co</v>
          </cell>
          <cell r="F1918" t="str">
            <v>AVENIDA 19  118  30  OFICINA 308</v>
          </cell>
          <cell r="G1918">
            <v>11001</v>
          </cell>
        </row>
        <row r="1919">
          <cell r="A1919" t="str">
            <v>900104697</v>
          </cell>
          <cell r="B1919" t="str">
            <v>5</v>
          </cell>
          <cell r="C1919" t="str">
            <v>EDIFICIO BELAIR PLAZA</v>
          </cell>
          <cell r="D1919" t="str">
            <v>2747872</v>
          </cell>
          <cell r="E1919" t="str">
            <v>contabilidadbelairplaza@gmail.com</v>
          </cell>
          <cell r="F1919" t="str">
            <v>CR 7 88 06</v>
          </cell>
          <cell r="G1919">
            <v>11001</v>
          </cell>
        </row>
        <row r="1920">
          <cell r="A1920" t="str">
            <v>900104697</v>
          </cell>
          <cell r="B1920" t="str">
            <v>5</v>
          </cell>
          <cell r="C1920" t="str">
            <v>EDIFICIO BELAIR PLAZA</v>
          </cell>
          <cell r="D1920" t="str">
            <v>2747872</v>
          </cell>
          <cell r="E1920" t="str">
            <v>contabilidadbelairplaza@gmail.com</v>
          </cell>
          <cell r="F1920" t="str">
            <v>CR 7 88 06</v>
          </cell>
          <cell r="G1920">
            <v>11001</v>
          </cell>
        </row>
        <row r="1921">
          <cell r="A1921" t="str">
            <v>900106364</v>
          </cell>
          <cell r="B1921" t="str">
            <v>7</v>
          </cell>
          <cell r="C1921" t="str">
            <v>TELECENTER PANAMERICANA LTDA</v>
          </cell>
          <cell r="D1921" t="str">
            <v>4897777</v>
          </cell>
          <cell r="E1921" t="str">
            <v>centroradicacionfacturas@directvla.com.co</v>
          </cell>
          <cell r="F1921" t="str">
            <v>CALLE 67 N  7 N  59</v>
          </cell>
          <cell r="G1921">
            <v>11001</v>
          </cell>
        </row>
        <row r="1922">
          <cell r="A1922" t="str">
            <v>900107489</v>
          </cell>
          <cell r="B1922" t="str">
            <v>3</v>
          </cell>
          <cell r="C1922" t="str">
            <v>EDIFICIO PORTAL DE LA QUEBRADA - PROPIEDAD HORIZONTAL</v>
          </cell>
          <cell r="D1922" t="str">
            <v>4661198</v>
          </cell>
          <cell r="E1922" t="str">
            <v>portaldelaquebrada1@gmail.com</v>
          </cell>
          <cell r="F1922" t="str">
            <v>CALLE 75  13  51  OFICINA 501</v>
          </cell>
          <cell r="G1922">
            <v>11001</v>
          </cell>
        </row>
        <row r="1923">
          <cell r="A1923" t="str">
            <v>900109568</v>
          </cell>
          <cell r="B1923" t="str">
            <v>6</v>
          </cell>
          <cell r="C1923" t="str">
            <v>EDIFICIO ORION 96 - PROPIEDAD HORIZONTAL</v>
          </cell>
          <cell r="D1923" t="str">
            <v>6105053</v>
          </cell>
          <cell r="E1923" t="str">
            <v>edificioorion96@gmail.com</v>
          </cell>
          <cell r="F1923" t="str">
            <v>CALLE 96  17  69</v>
          </cell>
          <cell r="G1923">
            <v>11001</v>
          </cell>
        </row>
        <row r="1924">
          <cell r="A1924" t="str">
            <v>900109928</v>
          </cell>
          <cell r="B1924" t="str">
            <v>4</v>
          </cell>
          <cell r="C1924" t="str">
            <v>UNIDAD RESIDENCIAL MIRADOR DE LAS FLORES P.H.</v>
          </cell>
          <cell r="D1924" t="str">
            <v>5795009</v>
          </cell>
          <cell r="E1924" t="str">
            <v>unidadmiradordelasflores@gmail.com</v>
          </cell>
          <cell r="F1924" t="str">
            <v>CALLE 43 C SUR  40 B  80</v>
          </cell>
          <cell r="G1924">
            <v>11001</v>
          </cell>
        </row>
        <row r="1925">
          <cell r="A1925" t="str">
            <v>900115045</v>
          </cell>
          <cell r="B1925" t="str">
            <v>0</v>
          </cell>
          <cell r="C1925" t="str">
            <v>EDIFICIO TORRE 95</v>
          </cell>
          <cell r="D1925" t="str">
            <v>2362160</v>
          </cell>
          <cell r="E1925" t="str">
            <v>radicacionfacturas.phsas@gmail.com</v>
          </cell>
          <cell r="F1925" t="str">
            <v>CALLE 95  21  34</v>
          </cell>
          <cell r="G1925">
            <v>11001</v>
          </cell>
        </row>
        <row r="1926">
          <cell r="A1926" t="str">
            <v>900117796</v>
          </cell>
          <cell r="B1926" t="str">
            <v>2</v>
          </cell>
          <cell r="C1926" t="str">
            <v>EDIFICIO PORTAL DE LOS ALPES - PROPIEDAD HORIZONTAL</v>
          </cell>
          <cell r="D1926" t="str">
            <v>3250703</v>
          </cell>
          <cell r="E1926" t="str">
            <v>portaldelosalpespereira@gmail.com</v>
          </cell>
          <cell r="F1926" t="str">
            <v>CL 8 BIS 15 33</v>
          </cell>
          <cell r="G1926">
            <v>11001</v>
          </cell>
        </row>
        <row r="1927">
          <cell r="A1927" t="str">
            <v>900118546</v>
          </cell>
          <cell r="B1927" t="str">
            <v>2</v>
          </cell>
          <cell r="C1927" t="str">
            <v>EDIFICIO ALTOS DEL CASTILLO PROPIEDAD HORIZONTAL</v>
          </cell>
          <cell r="D1927" t="str">
            <v>6105362</v>
          </cell>
          <cell r="E1927" t="str">
            <v>delegado1@iwanaph.com</v>
          </cell>
          <cell r="F1927" t="str">
            <v>CALLE 72  1  10</v>
          </cell>
          <cell r="G1927">
            <v>11001</v>
          </cell>
        </row>
        <row r="1928">
          <cell r="A1928" t="str">
            <v>900118760</v>
          </cell>
          <cell r="B1928" t="str">
            <v>2</v>
          </cell>
          <cell r="C1928" t="str">
            <v>EDIFICIO MONTE FERRATO</v>
          </cell>
          <cell r="D1928" t="str">
            <v>3113810</v>
          </cell>
          <cell r="E1928" t="str">
            <v>Monteferratoph@hotmail.com</v>
          </cell>
          <cell r="F1928" t="str">
            <v>CARRERA 3  74 A  50</v>
          </cell>
          <cell r="G1928">
            <v>11001</v>
          </cell>
        </row>
        <row r="1929">
          <cell r="A1929" t="str">
            <v>900119072</v>
          </cell>
          <cell r="B1929" t="str">
            <v>8</v>
          </cell>
          <cell r="C1929" t="str">
            <v>SUPERMERCADOS MAS POR MENOS S.A.</v>
          </cell>
          <cell r="D1929" t="str">
            <v>6370099</v>
          </cell>
          <cell r="E1929" t="str">
            <v>facturaelectronica@mxm.com.co</v>
          </cell>
          <cell r="F1929" t="str">
            <v>CALLE 70  44 W  156</v>
          </cell>
          <cell r="G1929">
            <v>11001</v>
          </cell>
        </row>
        <row r="1930">
          <cell r="A1930" t="str">
            <v>900119526</v>
          </cell>
          <cell r="B1930" t="str">
            <v>1</v>
          </cell>
          <cell r="C1930" t="str">
            <v>CONJUNTO RESIDENCIAL PARQUE ARAGON PRIMERA ETAPA-PROPIEDAD HORIZONTAL</v>
          </cell>
          <cell r="D1930" t="str">
            <v>5103702</v>
          </cell>
          <cell r="E1930" t="str">
            <v>crparquearagon@gmail.com</v>
          </cell>
          <cell r="F1930" t="str">
            <v>CALLE 152  54  39</v>
          </cell>
          <cell r="G1930">
            <v>11001</v>
          </cell>
        </row>
        <row r="1931">
          <cell r="A1931" t="str">
            <v>900119526</v>
          </cell>
          <cell r="B1931" t="str">
            <v>1</v>
          </cell>
          <cell r="C1931" t="str">
            <v>CONJUNTO RESIDENCIAL PARQUE ARAGON PRIMERA ETAPA-PROPIEDAD HORIZONTAL</v>
          </cell>
          <cell r="D1931" t="str">
            <v>5103702</v>
          </cell>
          <cell r="E1931" t="str">
            <v>crparquearagon@gmail.com</v>
          </cell>
          <cell r="F1931" t="str">
            <v>CALLE 152  54  39</v>
          </cell>
          <cell r="G1931">
            <v>11001</v>
          </cell>
        </row>
        <row r="1932">
          <cell r="A1932" t="str">
            <v>900119565</v>
          </cell>
          <cell r="B1932" t="str">
            <v>7</v>
          </cell>
          <cell r="C1932" t="str">
            <v>EDIFICIO MEGATOWER CONJUNTO EMPRESARIAL - PROPIEDAD HORIZONTAL</v>
          </cell>
          <cell r="D1932" t="str">
            <v>6160940</v>
          </cell>
          <cell r="E1932" t="str">
            <v>facturacionmegatower@gmail.com</v>
          </cell>
          <cell r="F1932" t="str">
            <v>CALLE 100  13  21</v>
          </cell>
          <cell r="G1932">
            <v>11001</v>
          </cell>
        </row>
        <row r="1933">
          <cell r="A1933" t="str">
            <v>900120347</v>
          </cell>
          <cell r="B1933" t="str">
            <v>1</v>
          </cell>
          <cell r="C1933" t="str">
            <v>EDIFICIO CHICO LOUNGE - PROPIEDAD HORIZONTAL</v>
          </cell>
          <cell r="D1933" t="str">
            <v>3107942662</v>
          </cell>
          <cell r="E1933" t="str">
            <v>chico10421@gmail.com</v>
          </cell>
          <cell r="F1933" t="str">
            <v>CALLE 104  21  05</v>
          </cell>
          <cell r="G1933">
            <v>11001</v>
          </cell>
        </row>
        <row r="1934">
          <cell r="A1934" t="str">
            <v>900122090</v>
          </cell>
          <cell r="B1934" t="str">
            <v>1</v>
          </cell>
          <cell r="C1934" t="str">
            <v>EDIFICIO 90-19</v>
          </cell>
          <cell r="D1934" t="str">
            <v>7495178</v>
          </cell>
          <cell r="E1934" t="str">
            <v>edificio9019@gmail.com</v>
          </cell>
          <cell r="F1934" t="str">
            <v>CARRERA 19  90  56</v>
          </cell>
          <cell r="G1934">
            <v>11001</v>
          </cell>
        </row>
        <row r="1935">
          <cell r="A1935" t="str">
            <v>900123126</v>
          </cell>
          <cell r="B1935" t="str">
            <v>2</v>
          </cell>
          <cell r="C1935" t="str">
            <v>EMV CONSTRUCTORA S.A.S.</v>
          </cell>
          <cell r="D1935" t="str">
            <v>3134184864</v>
          </cell>
          <cell r="E1935" t="str">
            <v>juridica@emvconstructora.com</v>
          </cell>
          <cell r="F1935" t="str">
            <v>CR 9 115 06 OF 603</v>
          </cell>
          <cell r="G1935">
            <v>11001</v>
          </cell>
        </row>
        <row r="1936">
          <cell r="A1936" t="str">
            <v>900123126</v>
          </cell>
          <cell r="B1936" t="str">
            <v>2</v>
          </cell>
          <cell r="C1936" t="str">
            <v>EMV CONSTRUCTORA S.A.S.</v>
          </cell>
          <cell r="D1936" t="str">
            <v>3134184864</v>
          </cell>
          <cell r="E1936" t="str">
            <v>juridica@emvconstructora.com</v>
          </cell>
          <cell r="F1936" t="str">
            <v>CR 9 115 06 OF 603</v>
          </cell>
          <cell r="G1936">
            <v>11001</v>
          </cell>
        </row>
        <row r="1937">
          <cell r="A1937" t="str">
            <v>900123408</v>
          </cell>
          <cell r="B1937" t="str">
            <v>4</v>
          </cell>
          <cell r="C1937" t="str">
            <v>COMPAÑIA DE INVERSIONES TEXTILES DE MODA S.A.S. - TEXMODA S.A.S</v>
          </cell>
          <cell r="D1937" t="str">
            <v>6672200</v>
          </cell>
          <cell r="E1937" t="str">
            <v>facturacion.electronica@texmoda.com.co</v>
          </cell>
          <cell r="F1937" t="str">
            <v>VEREDA FUSCA AUTOPISTA NORTE KILOMETRO 21</v>
          </cell>
          <cell r="G1937">
            <v>11001</v>
          </cell>
        </row>
        <row r="1938">
          <cell r="A1938" t="str">
            <v>900123408</v>
          </cell>
          <cell r="B1938" t="str">
            <v>4</v>
          </cell>
          <cell r="C1938" t="str">
            <v>COMPAÑIA DE INVERSIONES TEXTILES DE MODA S.A.S. - TEXMODA S.A.S</v>
          </cell>
          <cell r="D1938" t="str">
            <v>6672200</v>
          </cell>
          <cell r="E1938" t="str">
            <v>facturacion.electronica@texmoda.com.co</v>
          </cell>
          <cell r="F1938" t="str">
            <v>VEREDA FUSCA AUTOPISTA NORTE KILOMETRO 21</v>
          </cell>
          <cell r="G1938">
            <v>11001</v>
          </cell>
        </row>
        <row r="1939">
          <cell r="A1939" t="str">
            <v>900126497</v>
          </cell>
          <cell r="B1939" t="str">
            <v>3</v>
          </cell>
          <cell r="C1939" t="str">
            <v>EDIFICIO MONTEGO VILLAGE - PROPIEDAD HORIZONTAL</v>
          </cell>
          <cell r="D1939" t="str">
            <v>6200156</v>
          </cell>
          <cell r="E1939" t="str">
            <v>facturacionedificios@administrando.com.co</v>
          </cell>
          <cell r="F1939" t="str">
            <v>CALLE 120  9 B  81</v>
          </cell>
          <cell r="G1939">
            <v>11001</v>
          </cell>
        </row>
        <row r="1940">
          <cell r="A1940" t="str">
            <v>900126565</v>
          </cell>
          <cell r="B1940" t="str">
            <v>6</v>
          </cell>
          <cell r="C1940" t="str">
            <v>EDIFICIO ALTOS DE GRANADA</v>
          </cell>
          <cell r="D1940" t="str">
            <v>3133773860</v>
          </cell>
          <cell r="E1940" t="str">
            <v>edificioaltosdegranada@hotmail.com</v>
          </cell>
          <cell r="F1940" t="str">
            <v>CARRERA 2 B  66  09</v>
          </cell>
          <cell r="G1940">
            <v>11001</v>
          </cell>
        </row>
        <row r="1941">
          <cell r="A1941" t="str">
            <v>900127767</v>
          </cell>
          <cell r="B1941" t="str">
            <v>1</v>
          </cell>
          <cell r="C1941" t="str">
            <v>CONJUNTO RESIDENCIAL SANTA MARIA DE LOS FARALLONES II PROPIEDAD HORIZONTAL</v>
          </cell>
          <cell r="D1941" t="str">
            <v>6673333</v>
          </cell>
          <cell r="E1941" t="str">
            <v>facturacion@estiloingenieria.com</v>
          </cell>
          <cell r="F1941" t="str">
            <v>CARRERA 37  1  25</v>
          </cell>
          <cell r="G1941">
            <v>11001</v>
          </cell>
        </row>
        <row r="1942">
          <cell r="A1942" t="str">
            <v>900130340</v>
          </cell>
          <cell r="B1942" t="str">
            <v>1</v>
          </cell>
          <cell r="C1942" t="str">
            <v>EDIFICIO CENTRO DE NEGOCIOS EL NOGAL - PROPIEDAD HORIZONTAL</v>
          </cell>
          <cell r="D1942" t="str">
            <v>316 802 6256</v>
          </cell>
          <cell r="E1942" t="str">
            <v>centronegocioselnogal@gmail.com</v>
          </cell>
          <cell r="F1942" t="str">
            <v>CARRERA 7  80  49</v>
          </cell>
          <cell r="G1942">
            <v>11001</v>
          </cell>
        </row>
        <row r="1943">
          <cell r="A1943" t="str">
            <v>900130340</v>
          </cell>
          <cell r="B1943" t="str">
            <v>1</v>
          </cell>
          <cell r="C1943" t="str">
            <v>EDIFICIO CENTRO DE NEGOCIOS EL NOGAL - PROPIEDAD HORIZONTAL</v>
          </cell>
          <cell r="D1943" t="str">
            <v>316 802 6256</v>
          </cell>
          <cell r="E1943" t="str">
            <v>centronegocioselnogal@gmail.com</v>
          </cell>
          <cell r="F1943" t="str">
            <v>CARRERA 7  80  49</v>
          </cell>
          <cell r="G1943">
            <v>11001</v>
          </cell>
        </row>
        <row r="1944">
          <cell r="A1944" t="str">
            <v>900131623</v>
          </cell>
          <cell r="B1944" t="str">
            <v>5</v>
          </cell>
          <cell r="C1944" t="str">
            <v>DINAMIC INVERSIONES S A</v>
          </cell>
          <cell r="D1944" t="str">
            <v>6292932</v>
          </cell>
          <cell r="E1944" t="str">
            <v>mildrethl@orbimundo.com.co</v>
          </cell>
          <cell r="F1944" t="str">
            <v>CARRERA 29 C  10 C  100</v>
          </cell>
          <cell r="G1944">
            <v>11001</v>
          </cell>
        </row>
        <row r="1945">
          <cell r="A1945" t="str">
            <v>900132559</v>
          </cell>
          <cell r="B1945" t="str">
            <v>6</v>
          </cell>
          <cell r="C1945" t="str">
            <v>ALCIELO CONSTRUCTORA S.A.S.</v>
          </cell>
          <cell r="D1945" t="str">
            <v>7890210</v>
          </cell>
          <cell r="E1945" t="str">
            <v>contabilidad@alcieloconstructora.com</v>
          </cell>
          <cell r="F1945" t="str">
            <v>CL 61 7 75 BRR LA CASTELLANA</v>
          </cell>
          <cell r="G1945">
            <v>11001</v>
          </cell>
        </row>
        <row r="1946">
          <cell r="A1946" t="str">
            <v>900134850</v>
          </cell>
          <cell r="B1946" t="str">
            <v>4</v>
          </cell>
          <cell r="C1946" t="str">
            <v>CONJUNTO RESIDENCIAL MIRADOR DEL CARIBE</v>
          </cell>
          <cell r="D1946" t="str">
            <v>3195604</v>
          </cell>
          <cell r="E1946" t="str">
            <v>miradordelcaribeoficina@gmail.com</v>
          </cell>
          <cell r="F1946" t="str">
            <v>CALLE 96  44  45</v>
          </cell>
          <cell r="G1946">
            <v>11001</v>
          </cell>
        </row>
        <row r="1947">
          <cell r="A1947" t="str">
            <v>900136206</v>
          </cell>
          <cell r="B1947" t="str">
            <v>1</v>
          </cell>
          <cell r="C1947" t="str">
            <v>PARQUE CENTRAL PONTEVEDRA PRIMERA ETAPA - PROPIEDAD HORIZONTAL</v>
          </cell>
          <cell r="D1947" t="str">
            <v>5363085</v>
          </cell>
          <cell r="E1947" t="str">
            <v>admonpcp@yahoo.es</v>
          </cell>
          <cell r="F1947" t="str">
            <v>CALLE 95  71  45</v>
          </cell>
          <cell r="G1947">
            <v>11001</v>
          </cell>
        </row>
        <row r="1948">
          <cell r="A1948" t="str">
            <v>900136206</v>
          </cell>
          <cell r="B1948" t="str">
            <v>1</v>
          </cell>
          <cell r="C1948" t="str">
            <v>PARQUE CENTRAL PONTEVEDRA PRIMERA ETAPA - PROPIEDAD HORIZONTAL</v>
          </cell>
          <cell r="D1948" t="str">
            <v>5363085</v>
          </cell>
          <cell r="E1948" t="str">
            <v>admonpcp@yahoo.es</v>
          </cell>
          <cell r="F1948" t="str">
            <v>CALLE 95  71  45</v>
          </cell>
          <cell r="G1948">
            <v>11001</v>
          </cell>
        </row>
        <row r="1949">
          <cell r="A1949" t="str">
            <v>900140743</v>
          </cell>
          <cell r="B1949" t="str">
            <v>9</v>
          </cell>
          <cell r="C1949" t="str">
            <v>CONJUNTO RESIDENCIAL COLORES DE SANTA SOFIA</v>
          </cell>
          <cell r="D1949" t="str">
            <v>3126220</v>
          </cell>
          <cell r="E1949" t="str">
            <v>crcolores@hotmail.com</v>
          </cell>
          <cell r="F1949" t="str">
            <v>CARRERA 85 D  48  56</v>
          </cell>
          <cell r="G1949">
            <v>11001</v>
          </cell>
        </row>
        <row r="1950">
          <cell r="A1950" t="str">
            <v>900144577</v>
          </cell>
          <cell r="B1950" t="str">
            <v>0</v>
          </cell>
          <cell r="C1950" t="str">
            <v>CONJUNTO RESIDENCIAL MODELIA PRADO PROPIEDAD HORIZONTAL</v>
          </cell>
          <cell r="D1950" t="str">
            <v>2943460</v>
          </cell>
          <cell r="E1950" t="str">
            <v>cr.modeliaprado2016@gmail.com</v>
          </cell>
          <cell r="F1950" t="str">
            <v>CALLE 23 I BIS  93 20 TO 2 AD 1</v>
          </cell>
          <cell r="G1950">
            <v>11001</v>
          </cell>
        </row>
        <row r="1951">
          <cell r="A1951" t="str">
            <v>900144577</v>
          </cell>
          <cell r="B1951" t="str">
            <v>0</v>
          </cell>
          <cell r="C1951" t="str">
            <v>CONJUNTO RESIDENCIAL MODELIA PRADO PROPIEDAD HORIZONTAL</v>
          </cell>
          <cell r="D1951" t="str">
            <v>2943460</v>
          </cell>
          <cell r="E1951" t="str">
            <v>cr.modeliaprado2016@gmail.com</v>
          </cell>
          <cell r="F1951" t="str">
            <v>CALLE 23 I BIS  93 20 TO 2 AD 1</v>
          </cell>
          <cell r="G1951">
            <v>11001</v>
          </cell>
        </row>
        <row r="1952">
          <cell r="A1952" t="str">
            <v>900144581</v>
          </cell>
          <cell r="B1952" t="str">
            <v>0</v>
          </cell>
          <cell r="C1952" t="str">
            <v>CONJUNTO RESIDENCIAL SENDEROS DEL CARMEL - PROPIEDAD HORIZONTAL</v>
          </cell>
          <cell r="D1952" t="str">
            <v>8032873</v>
          </cell>
          <cell r="E1952" t="str">
            <v>senderosdelcarmel@gmail.com</v>
          </cell>
          <cell r="F1952" t="str">
            <v>CALLE 161  54  18</v>
          </cell>
          <cell r="G1952">
            <v>11001</v>
          </cell>
        </row>
        <row r="1953">
          <cell r="A1953" t="str">
            <v>900144581</v>
          </cell>
          <cell r="B1953" t="str">
            <v>0</v>
          </cell>
          <cell r="C1953" t="str">
            <v>CONJUNTO RESIDENCIAL SENDEROS DEL CARMEL - PROPIEDAD HORIZONTAL</v>
          </cell>
          <cell r="D1953" t="str">
            <v>8032873</v>
          </cell>
          <cell r="E1953" t="str">
            <v>senderosdelcarmel@gmail.com</v>
          </cell>
          <cell r="F1953" t="str">
            <v>CALLE 161  54  18</v>
          </cell>
          <cell r="G1953">
            <v>11001</v>
          </cell>
        </row>
        <row r="1954">
          <cell r="A1954" t="str">
            <v>900145460</v>
          </cell>
          <cell r="B1954" t="str">
            <v>2</v>
          </cell>
          <cell r="C1954" t="str">
            <v>EDIFICIO PARQUE DE LOS CIPRESES</v>
          </cell>
          <cell r="D1954" t="str">
            <v>6105347</v>
          </cell>
          <cell r="E1954" t="str">
            <v>bettyalvaradomontanez@gmail.com</v>
          </cell>
          <cell r="F1954" t="str">
            <v>CALLE 97  19  60</v>
          </cell>
          <cell r="G1954">
            <v>11001</v>
          </cell>
        </row>
        <row r="1955">
          <cell r="A1955" t="str">
            <v>900146389</v>
          </cell>
          <cell r="B1955" t="str">
            <v>1</v>
          </cell>
          <cell r="C1955" t="str">
            <v>CONJUNTO RESIDENCIAL TORRES DEL ALFEREZ I - PROPIEDAD HORIZONTAL</v>
          </cell>
          <cell r="D1955" t="str">
            <v>5558316</v>
          </cell>
          <cell r="E1955" t="str">
            <v>torresdelalferez1@gmail.com</v>
          </cell>
          <cell r="F1955" t="str">
            <v>CARRERA 116  18  15</v>
          </cell>
          <cell r="G1955">
            <v>11001</v>
          </cell>
        </row>
        <row r="1956">
          <cell r="A1956" t="str">
            <v>900146765</v>
          </cell>
          <cell r="B1956" t="str">
            <v>8</v>
          </cell>
          <cell r="C1956" t="str">
            <v>EDIFICIO CAMINOS DEL CAMPESTRE</v>
          </cell>
          <cell r="D1956" t="str">
            <v>6393694</v>
          </cell>
          <cell r="E1956" t="str">
            <v>caminosdelcampestreph@gmail.com</v>
          </cell>
          <cell r="F1956" t="str">
            <v>CALLE 29  22  70</v>
          </cell>
          <cell r="G1956">
            <v>11001</v>
          </cell>
        </row>
        <row r="1957">
          <cell r="A1957" t="str">
            <v>900146799</v>
          </cell>
          <cell r="B1957" t="str">
            <v>8</v>
          </cell>
          <cell r="C1957" t="str">
            <v>EDIFICIO APARTAMENTOS SAN JOSE - PROPIEDAD HORIZONTAL</v>
          </cell>
          <cell r="D1957" t="str">
            <v>3212324462</v>
          </cell>
          <cell r="E1957" t="str">
            <v>globalms.sas@gmail.com</v>
          </cell>
          <cell r="F1957" t="str">
            <v>CARRERA 19 A  122  85</v>
          </cell>
          <cell r="G1957">
            <v>11001</v>
          </cell>
        </row>
        <row r="1958">
          <cell r="A1958" t="str">
            <v>900147167</v>
          </cell>
          <cell r="B1958" t="str">
            <v>8</v>
          </cell>
          <cell r="C1958" t="str">
            <v>EDIFICIO UMBRALES DE BOSTON P-H</v>
          </cell>
          <cell r="D1958" t="str">
            <v>5575921</v>
          </cell>
          <cell r="E1958" t="str">
            <v>umbralesph@gmail.com</v>
          </cell>
          <cell r="F1958" t="str">
            <v>CARRERA 43  57  66</v>
          </cell>
          <cell r="G1958">
            <v>11001</v>
          </cell>
        </row>
        <row r="1959">
          <cell r="A1959" t="str">
            <v>900147540</v>
          </cell>
          <cell r="B1959" t="str">
            <v>2</v>
          </cell>
          <cell r="C1959" t="str">
            <v>CONDOMINIO MIRADOR DEL SOCHAGOTA</v>
          </cell>
          <cell r="D1959" t="str">
            <v>3125547559</v>
          </cell>
          <cell r="E1959" t="str">
            <v>edificiomiradorsochagotapaipa@gmail.com</v>
          </cell>
          <cell r="F1959" t="str">
            <v>CARRERA 19  27  97</v>
          </cell>
          <cell r="G1959">
            <v>11001</v>
          </cell>
        </row>
        <row r="1960">
          <cell r="A1960" t="str">
            <v>900147556</v>
          </cell>
          <cell r="B1960" t="str">
            <v>1</v>
          </cell>
          <cell r="C1960" t="str">
            <v>SOCIEDAD EDUCATIVA SAN LUIS SAS</v>
          </cell>
          <cell r="D1960" t="str">
            <v>6760203</v>
          </cell>
          <cell r="E1960" t="str">
            <v>contabilidad@gla.edu.co</v>
          </cell>
          <cell r="F1960" t="str">
            <v>CL 219 50 10</v>
          </cell>
          <cell r="G1960">
            <v>11001</v>
          </cell>
        </row>
        <row r="1961">
          <cell r="A1961" t="str">
            <v>900147844</v>
          </cell>
          <cell r="B1961" t="str">
            <v>6</v>
          </cell>
          <cell r="C1961" t="str">
            <v>CONJUNTO RESIDENCIAL MIRADOR DE LA COLINA PROPIEDAD HORIZONTAL</v>
          </cell>
          <cell r="D1961" t="str">
            <v>8850044</v>
          </cell>
          <cell r="E1961" t="str">
            <v>rodriguezmoni1@hotmail.com</v>
          </cell>
          <cell r="F1961" t="str">
            <v>CALLE 72 A  27 A  60</v>
          </cell>
          <cell r="G1961">
            <v>11001</v>
          </cell>
        </row>
        <row r="1962">
          <cell r="A1962" t="str">
            <v>900148744</v>
          </cell>
          <cell r="B1962" t="str">
            <v>2</v>
          </cell>
          <cell r="C1962" t="str">
            <v>EDIFICIO CAMINOS DEL CERRO 2 P H</v>
          </cell>
          <cell r="D1962" t="str">
            <v>3153499578</v>
          </cell>
          <cell r="E1962" t="str">
            <v>edificiocaminos2@gmail.com</v>
          </cell>
          <cell r="F1962" t="str">
            <v>CALLE 64  3 B  52</v>
          </cell>
          <cell r="G1962">
            <v>11001</v>
          </cell>
        </row>
        <row r="1963">
          <cell r="A1963" t="str">
            <v>900148744</v>
          </cell>
          <cell r="B1963" t="str">
            <v>2</v>
          </cell>
          <cell r="C1963" t="str">
            <v>EDIFICIO CAMINOS DEL CERRO 2 P H</v>
          </cell>
          <cell r="D1963" t="str">
            <v>3153499578</v>
          </cell>
          <cell r="E1963" t="str">
            <v>edificiocaminos2@gmail.com</v>
          </cell>
          <cell r="F1963" t="str">
            <v>CALLE 64  3 B  52</v>
          </cell>
          <cell r="G1963">
            <v>11001</v>
          </cell>
        </row>
        <row r="1964">
          <cell r="A1964" t="str">
            <v>900148948</v>
          </cell>
          <cell r="B1964" t="str">
            <v>8</v>
          </cell>
          <cell r="C1964" t="str">
            <v>EDIFICIO BALCONY 95 - PROPIEDAD HORIZONTAL</v>
          </cell>
          <cell r="D1964">
            <v>3219664011</v>
          </cell>
          <cell r="E1964" t="str">
            <v>facturacion@estiloingenieria.com</v>
          </cell>
          <cell r="F1964" t="str">
            <v>TRANSVERSAL 19 A  95  19</v>
          </cell>
          <cell r="G1964">
            <v>11001</v>
          </cell>
        </row>
        <row r="1965">
          <cell r="A1965" t="str">
            <v>900148948</v>
          </cell>
          <cell r="B1965" t="str">
            <v>8</v>
          </cell>
          <cell r="C1965" t="str">
            <v>EDIFICIO BALCONY 95 - PROPIEDAD HORIZONTAL</v>
          </cell>
          <cell r="D1965">
            <v>3219664011</v>
          </cell>
          <cell r="E1965" t="str">
            <v>facturacion@estiloingenieria.com</v>
          </cell>
          <cell r="F1965" t="str">
            <v>TRANSVERSAL 19 A  95  19</v>
          </cell>
          <cell r="G1965">
            <v>11001</v>
          </cell>
        </row>
        <row r="1966">
          <cell r="A1966" t="str">
            <v>900149470</v>
          </cell>
          <cell r="B1966" t="str">
            <v>4</v>
          </cell>
          <cell r="C1966" t="str">
            <v>INVERSIONES DEL VIRREY S A</v>
          </cell>
          <cell r="D1966" t="str">
            <v>6467777</v>
          </cell>
          <cell r="E1966" t="str">
            <v>auxiliar_contable@citehotel.com</v>
          </cell>
          <cell r="F1966" t="str">
            <v>CARRERA 15  88  10</v>
          </cell>
          <cell r="G1966">
            <v>11001</v>
          </cell>
        </row>
        <row r="1967">
          <cell r="A1967" t="str">
            <v>900149470</v>
          </cell>
          <cell r="B1967" t="str">
            <v>4</v>
          </cell>
          <cell r="C1967" t="str">
            <v>INVERSIONES DEL VIRREY S A</v>
          </cell>
          <cell r="D1967" t="str">
            <v>6467777</v>
          </cell>
          <cell r="E1967" t="str">
            <v>auxiliar_contable@citehotel.com</v>
          </cell>
          <cell r="F1967" t="str">
            <v>CARRERA 15  88  10</v>
          </cell>
          <cell r="G1967">
            <v>11001</v>
          </cell>
        </row>
        <row r="1968">
          <cell r="A1968" t="str">
            <v>900149832</v>
          </cell>
          <cell r="B1968" t="str">
            <v>7</v>
          </cell>
          <cell r="C1968" t="str">
            <v>EDIFICIO MULTIFAMILIAR SAMANES DE LA MARTINA</v>
          </cell>
          <cell r="D1968" t="str">
            <v>3397547</v>
          </cell>
          <cell r="E1968" t="str">
            <v>edsamanesdelamartina@gmail.com</v>
          </cell>
          <cell r="F1968" t="str">
            <v>CALLE 13 B  70  105</v>
          </cell>
          <cell r="G1968">
            <v>11001</v>
          </cell>
        </row>
        <row r="1969">
          <cell r="A1969" t="str">
            <v>900150278</v>
          </cell>
          <cell r="B1969" t="str">
            <v>8</v>
          </cell>
          <cell r="C1969" t="str">
            <v>CONJUNTO RESIDENCIAL PARQUES DE LA FLORESTA SEGUNDA ETAPA - PROPIEDAD HORIZONTAL</v>
          </cell>
          <cell r="D1969" t="str">
            <v>6750081</v>
          </cell>
          <cell r="E1969" t="str">
            <v>parquesfloresta2@yahoo.es</v>
          </cell>
          <cell r="F1969" t="str">
            <v>CARRERA 68 B  96  16</v>
          </cell>
          <cell r="G1969">
            <v>11001</v>
          </cell>
        </row>
        <row r="1970">
          <cell r="A1970" t="str">
            <v>900150278</v>
          </cell>
          <cell r="B1970" t="str">
            <v>8</v>
          </cell>
          <cell r="C1970" t="str">
            <v>CONJUNTO RESIDENCIAL PARQUES DE LA FLORESTA SEGUNDA ETAPA - PROPIEDAD HORIZONTAL</v>
          </cell>
          <cell r="D1970" t="str">
            <v>6750081</v>
          </cell>
          <cell r="E1970" t="str">
            <v>parquesfloresta2@yahoo.es</v>
          </cell>
          <cell r="F1970" t="str">
            <v>CARRERA 68 B  96  16</v>
          </cell>
          <cell r="G1970">
            <v>11001</v>
          </cell>
        </row>
        <row r="1971">
          <cell r="A1971" t="str">
            <v>900150843</v>
          </cell>
          <cell r="B1971" t="str">
            <v>1</v>
          </cell>
          <cell r="C1971" t="str">
            <v>EDIFICIO L'ANGOLO - PROPIEDAD HORIZONTAL</v>
          </cell>
          <cell r="D1971" t="str">
            <v>6209267</v>
          </cell>
          <cell r="E1971" t="str">
            <v>edificiolangolo@hotmail.com</v>
          </cell>
          <cell r="F1971" t="str">
            <v>CARRERA 17 A  106  09</v>
          </cell>
          <cell r="G1971">
            <v>11001</v>
          </cell>
        </row>
        <row r="1972">
          <cell r="A1972" t="str">
            <v>900150843</v>
          </cell>
          <cell r="B1972" t="str">
            <v>1</v>
          </cell>
          <cell r="C1972" t="str">
            <v>EDIFICIO L'ANGOLO - PROPIEDAD HORIZONTAL</v>
          </cell>
          <cell r="D1972" t="str">
            <v>6209267</v>
          </cell>
          <cell r="E1972" t="str">
            <v>edificiolangolo@hotmail.com</v>
          </cell>
          <cell r="F1972" t="str">
            <v>CARRERA 17 A  106  09</v>
          </cell>
          <cell r="G1972">
            <v>11001</v>
          </cell>
        </row>
        <row r="1973">
          <cell r="A1973" t="str">
            <v>900150878</v>
          </cell>
          <cell r="B1973" t="str">
            <v>7</v>
          </cell>
          <cell r="C1973" t="str">
            <v>EDIFICIO CERROS DE MEDINA PROPIEDAD HORIZONTAL</v>
          </cell>
          <cell r="D1973" t="str">
            <v>2741058</v>
          </cell>
          <cell r="E1973" t="str">
            <v>edcerrosdemedina@gmail.com</v>
          </cell>
          <cell r="F1973" t="str">
            <v>CALLE 122  7 A  18</v>
          </cell>
          <cell r="G1973">
            <v>11001</v>
          </cell>
        </row>
        <row r="1974">
          <cell r="A1974" t="str">
            <v>900150878</v>
          </cell>
          <cell r="B1974" t="str">
            <v>7</v>
          </cell>
          <cell r="C1974" t="str">
            <v>EDIFICIO CERROS DE MEDINA PROPIEDAD HORIZONTAL</v>
          </cell>
          <cell r="D1974" t="str">
            <v>2741058</v>
          </cell>
          <cell r="E1974" t="str">
            <v>edcerrosdemedina@gmail.com</v>
          </cell>
          <cell r="F1974" t="str">
            <v>CALLE 122  7 A  18</v>
          </cell>
          <cell r="G1974">
            <v>11001</v>
          </cell>
        </row>
        <row r="1975">
          <cell r="A1975" t="str">
            <v>900151246</v>
          </cell>
          <cell r="B1975" t="str">
            <v>7</v>
          </cell>
          <cell r="C1975" t="str">
            <v>EDIFICIO VERDECCHIA II PROPIEDAD HORIZONTAL</v>
          </cell>
          <cell r="D1975" t="str">
            <v>6207822</v>
          </cell>
          <cell r="E1975" t="str">
            <v>buzonfacturasverdecchia@conefort.com</v>
          </cell>
          <cell r="F1975" t="str">
            <v>CALLE 111  13 A  44</v>
          </cell>
          <cell r="G1975">
            <v>11001</v>
          </cell>
        </row>
        <row r="1976">
          <cell r="A1976" t="str">
            <v>900153610</v>
          </cell>
          <cell r="B1976" t="str">
            <v>4</v>
          </cell>
          <cell r="C1976" t="str">
            <v>EDIFICIO CALICANTO</v>
          </cell>
          <cell r="D1976" t="str">
            <v>6840046</v>
          </cell>
          <cell r="E1976" t="str">
            <v>mlgctv@outlook.com</v>
          </cell>
          <cell r="F1976" t="str">
            <v>CALLE 93 A  9 A  29</v>
          </cell>
          <cell r="G1976">
            <v>11001</v>
          </cell>
        </row>
        <row r="1977">
          <cell r="A1977" t="str">
            <v>900155103</v>
          </cell>
          <cell r="B1977" t="str">
            <v>0</v>
          </cell>
          <cell r="C1977" t="str">
            <v>INVERSIONES VARUNA S.A.</v>
          </cell>
          <cell r="D1977" t="str">
            <v>8811122</v>
          </cell>
          <cell r="E1977" t="str">
            <v>contabilidad@varunahotel.com</v>
          </cell>
          <cell r="F1977" t="str">
            <v>CALLE 62  23  34</v>
          </cell>
          <cell r="G1977">
            <v>11001</v>
          </cell>
        </row>
        <row r="1978">
          <cell r="A1978" t="str">
            <v>900156200</v>
          </cell>
          <cell r="B1978" t="str">
            <v>1</v>
          </cell>
          <cell r="C1978" t="str">
            <v>CONSTRUCTORA GARCIA E HIJOS S.A.S</v>
          </cell>
          <cell r="D1978" t="str">
            <v>6 0 8 6 7 1 3 0 4 8</v>
          </cell>
          <cell r="E1978" t="str">
            <v>garvasec@hotmail.com</v>
          </cell>
          <cell r="F1978" t="str">
            <v>CR 39 C 29 C 15 OF 402 CC LLANOCENTRO</v>
          </cell>
          <cell r="G1978">
            <v>11001</v>
          </cell>
        </row>
        <row r="1979">
          <cell r="A1979" t="str">
            <v>900158685</v>
          </cell>
          <cell r="B1979" t="str">
            <v>9</v>
          </cell>
          <cell r="C1979" t="str">
            <v>CENTURY SPORTS S.A.S</v>
          </cell>
          <cell r="D1979" t="str">
            <v>3175244736</v>
          </cell>
          <cell r="E1979" t="str">
            <v>f.electronica@sportline.com.co</v>
          </cell>
          <cell r="F1979" t="str">
            <v>AUTOPISTA NORTE KM 21 VEREDA FUSCA</v>
          </cell>
          <cell r="G1979">
            <v>11001</v>
          </cell>
        </row>
        <row r="1980">
          <cell r="A1980" t="str">
            <v>900158685</v>
          </cell>
          <cell r="B1980" t="str">
            <v>9</v>
          </cell>
          <cell r="C1980" t="str">
            <v>CENTURY SPORTS S.A.S</v>
          </cell>
          <cell r="D1980" t="str">
            <v>3175244736</v>
          </cell>
          <cell r="E1980" t="str">
            <v>f.electronica@sportline.com.co</v>
          </cell>
          <cell r="F1980" t="str">
            <v>AUTOPISTA NORTE KM 21 VEREDA FUSCA</v>
          </cell>
          <cell r="G1980">
            <v>11001</v>
          </cell>
        </row>
        <row r="1981">
          <cell r="A1981" t="str">
            <v>900161580</v>
          </cell>
          <cell r="B1981" t="str">
            <v>5</v>
          </cell>
          <cell r="C1981" t="str">
            <v>ORGANIZACION SANTA MARIA SAS</v>
          </cell>
          <cell r="D1981" t="str">
            <v>3099077</v>
          </cell>
          <cell r="E1981" t="str">
            <v>facturacion@santamariaorg.com</v>
          </cell>
          <cell r="F1981" t="str">
            <v>CLL 110 A 7C 76</v>
          </cell>
          <cell r="G1981">
            <v>11001</v>
          </cell>
        </row>
        <row r="1982">
          <cell r="A1982" t="str">
            <v>900163185</v>
          </cell>
          <cell r="B1982" t="str">
            <v>8</v>
          </cell>
          <cell r="C1982" t="str">
            <v>EDIFICIO 3 PARK - PROPIEDAD HORIZONTAL</v>
          </cell>
          <cell r="D1982" t="str">
            <v>3210762</v>
          </cell>
          <cell r="E1982" t="str">
            <v>3parkph@gmail.com</v>
          </cell>
          <cell r="F1982" t="str">
            <v>CARRERA 10  93  42</v>
          </cell>
          <cell r="G1982">
            <v>11001</v>
          </cell>
        </row>
        <row r="1983">
          <cell r="A1983" t="str">
            <v>900166095</v>
          </cell>
          <cell r="B1983" t="str">
            <v>7</v>
          </cell>
          <cell r="C1983" t="str">
            <v>EDIFICIO RECINTOS DE LA ABADIA P.H.</v>
          </cell>
          <cell r="D1983" t="str">
            <v>6 0 4 4 4 4 3 2 1 9</v>
          </cell>
          <cell r="E1983" t="str">
            <v>recintosabadiaph@gmail.com</v>
          </cell>
          <cell r="F1983" t="str">
            <v>CL 27 SUR 28 121</v>
          </cell>
          <cell r="G1983">
            <v>11001</v>
          </cell>
        </row>
        <row r="1984">
          <cell r="A1984" t="str">
            <v>900166535</v>
          </cell>
          <cell r="B1984" t="str">
            <v>6</v>
          </cell>
          <cell r="C1984" t="str">
            <v>EDIFICIO MIRADOR DEL MODERNO</v>
          </cell>
          <cell r="D1984" t="str">
            <v>6011414</v>
          </cell>
          <cell r="E1984" t="str">
            <v>edificiomiradordelmoderno@gmail.com</v>
          </cell>
          <cell r="F1984" t="str">
            <v>CALLE 74  10  33</v>
          </cell>
          <cell r="G1984">
            <v>11001</v>
          </cell>
        </row>
        <row r="1985">
          <cell r="A1985" t="str">
            <v>900167407</v>
          </cell>
          <cell r="B1985" t="str">
            <v>6</v>
          </cell>
          <cell r="C1985" t="str">
            <v>CONJUNTO RESIDENCIAL EL BOSQUE</v>
          </cell>
          <cell r="D1985" t="str">
            <v>4053840</v>
          </cell>
          <cell r="E1985" t="str">
            <v>conjuntoresidencialelbosque@gmail.com</v>
          </cell>
          <cell r="F1985" t="str">
            <v>CALLE 28  85 C  30</v>
          </cell>
          <cell r="G1985">
            <v>11001</v>
          </cell>
        </row>
        <row r="1986">
          <cell r="A1986" t="str">
            <v>900167734</v>
          </cell>
          <cell r="B1986" t="str">
            <v>1</v>
          </cell>
          <cell r="C1986" t="str">
            <v>EDIFICIO PARQUE 120 - PROPIEDAD HORIZONTAL</v>
          </cell>
          <cell r="D1986" t="str">
            <v>6203578</v>
          </cell>
          <cell r="E1986" t="str">
            <v>edificioparque120bogota@gmail.com</v>
          </cell>
          <cell r="F1986" t="str">
            <v>CALLE 120  15 A  45</v>
          </cell>
          <cell r="G1986">
            <v>11001</v>
          </cell>
        </row>
        <row r="1987">
          <cell r="A1987" t="str">
            <v>900168255</v>
          </cell>
          <cell r="B1987" t="str">
            <v>8</v>
          </cell>
          <cell r="C1987" t="str">
            <v>EDIFICIO SAN LUIS P.H.</v>
          </cell>
          <cell r="D1987" t="str">
            <v>3045811203</v>
          </cell>
          <cell r="E1987" t="str">
            <v>esanluisph@gmail.com</v>
          </cell>
          <cell r="F1987" t="str">
            <v>CALLE 59  42  26</v>
          </cell>
          <cell r="G1987">
            <v>11001</v>
          </cell>
        </row>
        <row r="1988">
          <cell r="A1988" t="str">
            <v>900168346</v>
          </cell>
          <cell r="B1988" t="str">
            <v>1</v>
          </cell>
          <cell r="C1988" t="str">
            <v>CONJUNTO RESIDENCIAL PROYECTO TINAMU -PROPIEDAD HORIZONTAL-</v>
          </cell>
          <cell r="D1988" t="str">
            <v>3188311796</v>
          </cell>
          <cell r="E1988" t="str">
            <v>conjuntotinamu@gmail.com</v>
          </cell>
          <cell r="F1988" t="str">
            <v>CALLE 151  9  26</v>
          </cell>
          <cell r="G1988">
            <v>11001</v>
          </cell>
        </row>
        <row r="1989">
          <cell r="A1989" t="str">
            <v>900168346</v>
          </cell>
          <cell r="B1989" t="str">
            <v>1</v>
          </cell>
          <cell r="C1989" t="str">
            <v>CONJUNTO RESIDENCIAL PROYECTO TINAMU -PROPIEDAD HORIZONTAL-</v>
          </cell>
          <cell r="D1989" t="str">
            <v>3188311796</v>
          </cell>
          <cell r="E1989" t="str">
            <v>conjuntotinamu@gmail.com</v>
          </cell>
          <cell r="F1989" t="str">
            <v>CALLE 151  9  26</v>
          </cell>
          <cell r="G1989">
            <v>11001</v>
          </cell>
        </row>
        <row r="1990">
          <cell r="A1990" t="str">
            <v>900168758</v>
          </cell>
          <cell r="B1990" t="str">
            <v>0</v>
          </cell>
          <cell r="C1990" t="str">
            <v>COPROPIEDAD EDIFICIO BELLAMARE</v>
          </cell>
          <cell r="D1990" t="str">
            <v>6 6 0 5 6 5 2</v>
          </cell>
          <cell r="E1990" t="str">
            <v>edificiobellamare@gmail.com</v>
          </cell>
          <cell r="F1990" t="str">
            <v>BRR MANGA AV MIRAMAR CL 24 18 63</v>
          </cell>
          <cell r="G1990">
            <v>11001</v>
          </cell>
        </row>
        <row r="1991">
          <cell r="A1991" t="str">
            <v>900168789</v>
          </cell>
          <cell r="B1991" t="str">
            <v>9</v>
          </cell>
          <cell r="C1991" t="str">
            <v>EDIFICIO THE POINT - PROPIEDAD HORIZONTAL</v>
          </cell>
          <cell r="D1991" t="str">
            <v>2143831</v>
          </cell>
          <cell r="E1991" t="str">
            <v>facturacion@estiloingenieria.com</v>
          </cell>
          <cell r="F1991" t="str">
            <v>CARRERA 9 A  113  87</v>
          </cell>
          <cell r="G1991">
            <v>11001</v>
          </cell>
        </row>
        <row r="1992">
          <cell r="A1992" t="str">
            <v>900169905</v>
          </cell>
          <cell r="B1992" t="str">
            <v>1</v>
          </cell>
          <cell r="C1992" t="str">
            <v>EDIFICIO CAMPESTRE TOWERS - PROPIEDAD HORIZONTAL</v>
          </cell>
          <cell r="D1992" t="str">
            <v>3127593</v>
          </cell>
          <cell r="E1992" t="str">
            <v>900169905@recepciondefacturas.co</v>
          </cell>
          <cell r="F1992" t="str">
            <v>CALLE 11  100  121</v>
          </cell>
          <cell r="G1992">
            <v>11001</v>
          </cell>
        </row>
        <row r="1993">
          <cell r="A1993" t="str">
            <v>900170870</v>
          </cell>
          <cell r="B1993" t="str">
            <v>4</v>
          </cell>
          <cell r="C1993" t="str">
            <v>CONJUNTO RESIDENCIAL TIERRA GRATA ETAPAS 1 Y 2 P.H.</v>
          </cell>
          <cell r="D1993" t="str">
            <v>5700319</v>
          </cell>
          <cell r="E1993" t="str">
            <v>tierragrataadm@gmail.com</v>
          </cell>
          <cell r="F1993" t="str">
            <v>CALLE 27 D SUR  27 C  150</v>
          </cell>
          <cell r="G1993">
            <v>11001</v>
          </cell>
        </row>
        <row r="1994">
          <cell r="A1994" t="str">
            <v>900170988</v>
          </cell>
          <cell r="B1994" t="str">
            <v>4</v>
          </cell>
          <cell r="C1994" t="str">
            <v>CONJUNTO RESIDENCIAL OIKOS COLINA RESERVADO - PROPIEDAD HORIZONTAL</v>
          </cell>
          <cell r="D1994" t="str">
            <v>2266764</v>
          </cell>
          <cell r="E1994" t="str">
            <v>oikoscolinareservado@gmail.com</v>
          </cell>
          <cell r="F1994" t="str">
            <v>CALLE 137  55 A  52 BRR COLINA CAMPESTRE</v>
          </cell>
          <cell r="G1994">
            <v>11001</v>
          </cell>
        </row>
        <row r="1995">
          <cell r="A1995" t="str">
            <v>900172584</v>
          </cell>
          <cell r="B1995" t="str">
            <v>1</v>
          </cell>
          <cell r="C1995" t="str">
            <v>INVERSIONES BIBO S A S</v>
          </cell>
          <cell r="D1995" t="str">
            <v>6913256</v>
          </cell>
          <cell r="E1995" t="str">
            <v>info@biboinversiones.com</v>
          </cell>
          <cell r="F1995" t="str">
            <v>CALLE 79 A  18  41  OFICINA 503</v>
          </cell>
          <cell r="G1995">
            <v>11001</v>
          </cell>
        </row>
        <row r="1996">
          <cell r="A1996" t="str">
            <v>900173931</v>
          </cell>
          <cell r="B1996" t="str">
            <v>9</v>
          </cell>
          <cell r="C1996" t="str">
            <v>EDIFICIO SOLARIS</v>
          </cell>
          <cell r="D1996" t="str">
            <v>3157831184</v>
          </cell>
          <cell r="E1996" t="str">
            <v>edificiosolarispha@gmail.com</v>
          </cell>
          <cell r="F1996" t="str">
            <v>CARRERA 13  8 NORTE  40</v>
          </cell>
          <cell r="G1996">
            <v>11001</v>
          </cell>
        </row>
        <row r="1997">
          <cell r="A1997" t="str">
            <v>900173989</v>
          </cell>
          <cell r="B1997" t="str">
            <v>5</v>
          </cell>
          <cell r="C1997" t="str">
            <v>LAS TRES H S.A.S.</v>
          </cell>
          <cell r="D1997" t="str">
            <v>3 0 1 7 4 2 8 7 2 8</v>
          </cell>
          <cell r="E1997" t="str">
            <v>LINA.AVENDANO@ORDUZASOCIADOS.COM</v>
          </cell>
          <cell r="F1997" t="str">
            <v>CR 11 A 93 A 62 OF 403 Y 404</v>
          </cell>
          <cell r="G1997">
            <v>11001</v>
          </cell>
        </row>
        <row r="1998">
          <cell r="A1998" t="str">
            <v>900174728</v>
          </cell>
          <cell r="B1998" t="str">
            <v>4</v>
          </cell>
          <cell r="C1998" t="str">
            <v>EDIFICIO PARQUE 138 P H</v>
          </cell>
          <cell r="D1998" t="str">
            <v>3178857792</v>
          </cell>
          <cell r="E1998" t="str">
            <v>edificioparque138@gmail.com</v>
          </cell>
          <cell r="F1998" t="str">
            <v>CALLE 136 No. 22-25</v>
          </cell>
          <cell r="G1998">
            <v>11001</v>
          </cell>
        </row>
        <row r="1999">
          <cell r="A1999" t="str">
            <v>900175232</v>
          </cell>
          <cell r="B1999" t="str">
            <v>8</v>
          </cell>
          <cell r="C1999" t="str">
            <v>CONJUNTO RESIDENCIAL LOS PINOS DEL CHICO - PROPIEDAD HORIZONTAL</v>
          </cell>
          <cell r="D1999" t="str">
            <v>2366548</v>
          </cell>
          <cell r="E1999" t="str">
            <v>facturacionjhss@gmail.com</v>
          </cell>
          <cell r="F1999" t="str">
            <v>CALLE 104  21  10</v>
          </cell>
          <cell r="G1999">
            <v>11001</v>
          </cell>
        </row>
        <row r="2000">
          <cell r="A2000" t="str">
            <v>900175545</v>
          </cell>
          <cell r="B2000" t="str">
            <v>8</v>
          </cell>
          <cell r="C2000" t="str">
            <v>CONJUNTO RESIDENCIAL PORTAL DE PONTEVEDRA ETAPAS I Y II</v>
          </cell>
          <cell r="D2000" t="str">
            <v>7551941</v>
          </cell>
          <cell r="E2000" t="str">
            <v>admonpontevedra1@gmail.com</v>
          </cell>
          <cell r="F2000" t="str">
            <v>CALLE 97  70 C  69</v>
          </cell>
          <cell r="G2000">
            <v>11001</v>
          </cell>
        </row>
        <row r="2001">
          <cell r="A2001" t="str">
            <v>900175545</v>
          </cell>
          <cell r="B2001" t="str">
            <v>8</v>
          </cell>
          <cell r="C2001" t="str">
            <v>CONJUNTO RESIDENCIAL PORTAL DE PONTEVEDRA ETAPAS I Y II</v>
          </cell>
          <cell r="D2001" t="str">
            <v>7551941</v>
          </cell>
          <cell r="E2001" t="str">
            <v>admonpontevedra1@gmail.com</v>
          </cell>
          <cell r="F2001" t="str">
            <v>CALLE 97  70 C  69</v>
          </cell>
          <cell r="G2001">
            <v>11001</v>
          </cell>
        </row>
        <row r="2002">
          <cell r="A2002" t="str">
            <v>900176201</v>
          </cell>
          <cell r="B2002" t="str">
            <v>4</v>
          </cell>
          <cell r="C2002" t="str">
            <v>EDIFICIO BALCONES DE SANTIAGO P-H.</v>
          </cell>
          <cell r="D2002" t="str">
            <v>3514132</v>
          </cell>
          <cell r="E2002" t="str">
            <v>edificiobalconesdesantiago@gmail.com</v>
          </cell>
          <cell r="F2002" t="str">
            <v>CARRERA 66  35  04</v>
          </cell>
          <cell r="G2002">
            <v>11001</v>
          </cell>
        </row>
        <row r="2003">
          <cell r="A2003" t="str">
            <v>900176920</v>
          </cell>
          <cell r="B2003" t="str">
            <v>1</v>
          </cell>
          <cell r="C2003" t="str">
            <v>EDIFICIO SANTA LUMA - PROPIEDAD HORIZONTAL</v>
          </cell>
          <cell r="D2003" t="str">
            <v>3173807563</v>
          </cell>
          <cell r="E2003" t="str">
            <v>edif.santaluma@hotmail.com</v>
          </cell>
          <cell r="F2003" t="str">
            <v>CALLE 45  5  55</v>
          </cell>
          <cell r="G2003">
            <v>11001</v>
          </cell>
        </row>
        <row r="2004">
          <cell r="A2004" t="str">
            <v>900176968</v>
          </cell>
          <cell r="B2004" t="str">
            <v>4</v>
          </cell>
          <cell r="C2004" t="str">
            <v>QUINTOSPAZIO LTDA</v>
          </cell>
          <cell r="D2004">
            <v>3219664011</v>
          </cell>
          <cell r="E2004" t="str">
            <v>contabilidad@quintospazio.com</v>
          </cell>
          <cell r="F2004" t="str">
            <v>CR 71 D 12 C 60 TO 4 AP 1001</v>
          </cell>
          <cell r="G2004">
            <v>11001</v>
          </cell>
        </row>
        <row r="2005">
          <cell r="A2005" t="str">
            <v>900176968</v>
          </cell>
          <cell r="B2005" t="str">
            <v>4</v>
          </cell>
          <cell r="C2005" t="str">
            <v>QUINTOSPAZIO LTDA</v>
          </cell>
          <cell r="D2005">
            <v>3219664011</v>
          </cell>
          <cell r="E2005" t="str">
            <v>contabilidad@quintospazio.com</v>
          </cell>
          <cell r="F2005" t="str">
            <v>CR 71 D 12 C 60 TO 4 AP 1001</v>
          </cell>
          <cell r="G2005">
            <v>11001</v>
          </cell>
        </row>
        <row r="2006">
          <cell r="A2006" t="str">
            <v>900177384</v>
          </cell>
          <cell r="B2006" t="str">
            <v>8</v>
          </cell>
          <cell r="C2006" t="str">
            <v>EDIFICIO MULTIFAMILIAR SAN FERNANDO DEL TABOR</v>
          </cell>
          <cell r="D2006" t="str">
            <v>3195620</v>
          </cell>
          <cell r="E2006" t="str">
            <v>sanfernandodeltabor05@gmail.com</v>
          </cell>
          <cell r="F2006" t="str">
            <v>CALLE 96  42 C  29</v>
          </cell>
          <cell r="G2006">
            <v>11001</v>
          </cell>
        </row>
        <row r="2007">
          <cell r="A2007" t="str">
            <v>900177525</v>
          </cell>
          <cell r="B2007" t="str">
            <v>1</v>
          </cell>
          <cell r="C2007" t="str">
            <v>EDIFICIO JARDINES DE SANTA BARBARA - PROPIEDAD HORIZONTAL</v>
          </cell>
          <cell r="D2007" t="str">
            <v>3124828923</v>
          </cell>
          <cell r="E2007" t="str">
            <v>facturacion@estiloingenieria.com</v>
          </cell>
          <cell r="F2007" t="str">
            <v>CARRERA 18  124  21</v>
          </cell>
          <cell r="G2007">
            <v>11001</v>
          </cell>
        </row>
        <row r="2008">
          <cell r="A2008" t="str">
            <v>900178403</v>
          </cell>
          <cell r="B2008" t="str">
            <v>4</v>
          </cell>
          <cell r="C2008" t="str">
            <v>PARQUES DE LA FLORESTA TERCERA ETAPA - PROPIEDAD HORIZONTAL</v>
          </cell>
          <cell r="D2008" t="str">
            <v>3142230499</v>
          </cell>
          <cell r="E2008" t="str">
            <v>parquesdelafloresta3@hotmail.com</v>
          </cell>
          <cell r="F2008" t="str">
            <v>CARRERA 68 B  96  76</v>
          </cell>
          <cell r="G2008">
            <v>11001</v>
          </cell>
        </row>
        <row r="2009">
          <cell r="A2009" t="str">
            <v>900179512</v>
          </cell>
          <cell r="B2009" t="str">
            <v>3</v>
          </cell>
          <cell r="C2009" t="str">
            <v>EDIFICIO KUBIK 69 PROPIEDAD HORIZONTAL</v>
          </cell>
          <cell r="D2009" t="str">
            <v>4661198</v>
          </cell>
          <cell r="E2009" t="str">
            <v>admiintegralfacturacion@gmail.com</v>
          </cell>
          <cell r="F2009" t="str">
            <v>CARRERA 1  68  15</v>
          </cell>
          <cell r="G2009">
            <v>11001</v>
          </cell>
        </row>
        <row r="2010">
          <cell r="A2010" t="str">
            <v>900180381</v>
          </cell>
          <cell r="B2010" t="str">
            <v>7</v>
          </cell>
          <cell r="C2010" t="str">
            <v>EDIFICIO BELLAVISTA 76 PROPIEDAD HORIZONTAL</v>
          </cell>
          <cell r="D2010" t="str">
            <v>5188777</v>
          </cell>
          <cell r="E2010" t="str">
            <v>edificiobellavista76@gmail.com</v>
          </cell>
          <cell r="F2010" t="str">
            <v>TRANSVERSAL 1 A  76  17</v>
          </cell>
          <cell r="G2010">
            <v>11001</v>
          </cell>
        </row>
        <row r="2011">
          <cell r="A2011" t="str">
            <v>900180530</v>
          </cell>
          <cell r="B2011" t="str">
            <v>8</v>
          </cell>
          <cell r="C2011" t="str">
            <v>EDIFICIO JARDINES DE LA ABADIA P.H.</v>
          </cell>
          <cell r="D2011" t="str">
            <v>3346001</v>
          </cell>
          <cell r="E2011" t="str">
            <v>jardinesabadia@gmail.com</v>
          </cell>
          <cell r="F2011" t="str">
            <v>CARRERA 28  27 SUR  39</v>
          </cell>
          <cell r="G2011">
            <v>11001</v>
          </cell>
        </row>
        <row r="2012">
          <cell r="A2012" t="str">
            <v>900180533</v>
          </cell>
          <cell r="B2012" t="str">
            <v>1</v>
          </cell>
          <cell r="C2012" t="str">
            <v>URBANIZACION ROSEDAL LOMA DE LAS BRUJAS-TORRE 1 P.H</v>
          </cell>
          <cell r="D2012" t="str">
            <v>3336389</v>
          </cell>
          <cell r="E2012" t="str">
            <v>rosedallomadelasbrujas@yahoo.com</v>
          </cell>
          <cell r="F2012" t="str">
            <v>CALLE 37 B SUR  27 D  44</v>
          </cell>
          <cell r="G2012">
            <v>11001</v>
          </cell>
        </row>
        <row r="2013">
          <cell r="A2013" t="str">
            <v>900181419</v>
          </cell>
          <cell r="B2013" t="str">
            <v>2</v>
          </cell>
          <cell r="C2013" t="str">
            <v>MEINTEGRAL SAS</v>
          </cell>
          <cell r="D2013" t="str">
            <v>4634625</v>
          </cell>
          <cell r="E2013" t="str">
            <v>facturacion@estiloingenieria.com</v>
          </cell>
          <cell r="F2013" t="str">
            <v>CARRERA 32  25 B  34</v>
          </cell>
          <cell r="G2013">
            <v>11001</v>
          </cell>
        </row>
        <row r="2014">
          <cell r="A2014" t="str">
            <v>900181798</v>
          </cell>
          <cell r="B2014" t="str">
            <v>9</v>
          </cell>
          <cell r="C2014" t="str">
            <v>EDIFICIO TARRANOVA PROPIEDAD HORIZONTAL</v>
          </cell>
          <cell r="D2014" t="str">
            <v>6377614</v>
          </cell>
          <cell r="E2014" t="str">
            <v>edificioterranovaph@gmail.com</v>
          </cell>
          <cell r="F2014" t="str">
            <v>CALLE 120  15 A  78</v>
          </cell>
          <cell r="G2014">
            <v>11001</v>
          </cell>
        </row>
        <row r="2015">
          <cell r="A2015" t="str">
            <v>900183668</v>
          </cell>
          <cell r="B2015" t="str">
            <v>9</v>
          </cell>
          <cell r="C2015" t="str">
            <v>EDIFICIO LOFT DE LA 93 PIJAO PH - PROPIEDAD HORIZONTAL</v>
          </cell>
          <cell r="D2015" t="str">
            <v>2577755</v>
          </cell>
          <cell r="E2015" t="str">
            <v>facturacionedificios@administrando.com.co</v>
          </cell>
          <cell r="F2015" t="str">
            <v>CL 93 BIS 19 45</v>
          </cell>
          <cell r="G2015">
            <v>11001</v>
          </cell>
        </row>
        <row r="2016">
          <cell r="A2016" t="str">
            <v>900183736</v>
          </cell>
          <cell r="B2016" t="str">
            <v>1</v>
          </cell>
          <cell r="C2016" t="str">
            <v>EDIFICIO LOS SAUCOS PROPIEDAD HORIZONTAL</v>
          </cell>
          <cell r="D2016" t="str">
            <v>3143288006</v>
          </cell>
          <cell r="E2016" t="str">
            <v>administracion.lossaucosph@integralph.com</v>
          </cell>
          <cell r="F2016" t="str">
            <v>CALLE 104  14  86 BRR MOLINOS DEL NORTE</v>
          </cell>
          <cell r="G2016">
            <v>11001</v>
          </cell>
        </row>
        <row r="2017">
          <cell r="A2017" t="str">
            <v>900184106</v>
          </cell>
          <cell r="B2017" t="str">
            <v>6</v>
          </cell>
          <cell r="C2017" t="str">
            <v>EDIFICIO 90-17 PROPIEDAD HORIZONTAL</v>
          </cell>
          <cell r="D2017" t="str">
            <v>6910925</v>
          </cell>
          <cell r="E2017" t="str">
            <v>admon.9017@invermetros.com.co</v>
          </cell>
          <cell r="F2017" t="str">
            <v>CARRERA 10  60  91  OFICINA 601</v>
          </cell>
          <cell r="G2017">
            <v>11001</v>
          </cell>
        </row>
        <row r="2018">
          <cell r="A2018" t="str">
            <v>900184212</v>
          </cell>
          <cell r="B2018" t="str">
            <v>9</v>
          </cell>
          <cell r="C2018" t="str">
            <v>EDIFICIO ALCAZAR DEL VIRREY - PROPIEDAD HORIZONTAL</v>
          </cell>
          <cell r="D2018" t="str">
            <v>6432757</v>
          </cell>
          <cell r="E2018" t="str">
            <v>omargallego@hotmail.com</v>
          </cell>
          <cell r="F2018" t="str">
            <v>CR 54  104 B  18</v>
          </cell>
          <cell r="G2018">
            <v>11001</v>
          </cell>
        </row>
        <row r="2019">
          <cell r="A2019" t="str">
            <v>900185930</v>
          </cell>
          <cell r="B2019" t="str">
            <v>3</v>
          </cell>
          <cell r="C2019" t="str">
            <v>EDIFICIO ARKGO 1 PROPIEDAD HORIZONTAL</v>
          </cell>
          <cell r="D2019" t="str">
            <v>32028116204</v>
          </cell>
          <cell r="E2019" t="str">
            <v>edificioarkgo1@gmail.com</v>
          </cell>
          <cell r="F2019" t="str">
            <v>CALLE 22A 24A-54</v>
          </cell>
          <cell r="G2019">
            <v>11001</v>
          </cell>
        </row>
        <row r="2020">
          <cell r="A2020" t="str">
            <v>900186276</v>
          </cell>
          <cell r="B2020" t="str">
            <v>9</v>
          </cell>
          <cell r="C2020" t="str">
            <v>EDIFICIO INTERLAGOS CONDOMINIO</v>
          </cell>
          <cell r="D2020" t="str">
            <v>6433311</v>
          </cell>
          <cell r="E2020" t="str">
            <v>interlagos20@gmail.com</v>
          </cell>
          <cell r="F2020" t="str">
            <v>CALLE 55 A  29  14</v>
          </cell>
          <cell r="G2020">
            <v>11001</v>
          </cell>
        </row>
        <row r="2021">
          <cell r="A2021" t="str">
            <v>900187229</v>
          </cell>
          <cell r="B2021" t="str">
            <v>7</v>
          </cell>
          <cell r="C2021" t="str">
            <v>LA IGLESIA DE JESUCRISTO DE LOS SANTOS DE LOS ULTIMOS DIAS EN COLOMBIA</v>
          </cell>
          <cell r="D2021" t="str">
            <v>3266500</v>
          </cell>
          <cell r="E2021" t="str">
            <v>felectronicacol@churchofjesuschrist.org</v>
          </cell>
          <cell r="F2021" t="str">
            <v>CARRERA 18 A N 151 06</v>
          </cell>
          <cell r="G2021">
            <v>11001</v>
          </cell>
        </row>
        <row r="2022">
          <cell r="A2022" t="str">
            <v>900187229</v>
          </cell>
          <cell r="B2022" t="str">
            <v>7</v>
          </cell>
          <cell r="C2022" t="str">
            <v>LA IGLESIA DE JESUCRISTO DE LOS SANTOS DE LOS ULTIMOS DIAS EN COLOMBIA</v>
          </cell>
          <cell r="D2022" t="str">
            <v>3266500</v>
          </cell>
          <cell r="E2022" t="str">
            <v>felectronicacol@churchofjesuschrist.org</v>
          </cell>
          <cell r="F2022" t="str">
            <v>CARRERA 18 A N 151 06</v>
          </cell>
          <cell r="G2022">
            <v>11001</v>
          </cell>
        </row>
        <row r="2023">
          <cell r="A2023" t="str">
            <v>900188530</v>
          </cell>
          <cell r="B2023" t="str">
            <v>4</v>
          </cell>
          <cell r="C2023" t="str">
            <v>CONJUNTO RESIDENCIAL TORRES DE LA COLINA II - PROPIEDAD HORIZONTAL</v>
          </cell>
          <cell r="D2023" t="str">
            <v>4660775</v>
          </cell>
          <cell r="E2023" t="str">
            <v>tdelacolinados@gmail.com</v>
          </cell>
          <cell r="F2023" t="str">
            <v>CALLE 152  58  50</v>
          </cell>
          <cell r="G2023">
            <v>11001</v>
          </cell>
        </row>
        <row r="2024">
          <cell r="A2024" t="str">
            <v>900188530</v>
          </cell>
          <cell r="B2024" t="str">
            <v>4</v>
          </cell>
          <cell r="C2024" t="str">
            <v>CONJUNTO RESIDENCIAL TORRES DE LA COLINA II - PROPIEDAD HORIZONTAL</v>
          </cell>
          <cell r="D2024" t="str">
            <v>4660775</v>
          </cell>
          <cell r="E2024" t="str">
            <v>tdelacolinados@gmail.com</v>
          </cell>
          <cell r="F2024" t="str">
            <v>CALLE 152  58  50</v>
          </cell>
          <cell r="G2024">
            <v>11001</v>
          </cell>
        </row>
        <row r="2025">
          <cell r="A2025" t="str">
            <v>900188985</v>
          </cell>
          <cell r="B2025" t="str">
            <v>1</v>
          </cell>
          <cell r="C2025" t="str">
            <v>EDIFICIO MONTE CAPIRO P.H.</v>
          </cell>
          <cell r="D2025" t="str">
            <v>3144118240</v>
          </cell>
          <cell r="E2025" t="str">
            <v>yelitza.mesa@crearsoluciones.co</v>
          </cell>
          <cell r="F2025" t="str">
            <v>CARRERA 7  71  52  TORRE A OFICINA 703</v>
          </cell>
          <cell r="G2025">
            <v>11001</v>
          </cell>
        </row>
        <row r="2026">
          <cell r="A2026" t="str">
            <v>900188985</v>
          </cell>
          <cell r="B2026" t="str">
            <v>1</v>
          </cell>
          <cell r="C2026" t="str">
            <v>EDIFICIO MONTE CAPIRO P.H.</v>
          </cell>
          <cell r="D2026" t="str">
            <v>3144118240</v>
          </cell>
          <cell r="E2026" t="str">
            <v>yelitza.mesa@crearsoluciones.co</v>
          </cell>
          <cell r="F2026" t="str">
            <v>CARRERA 7  71  52  TORRE A OFICINA 703</v>
          </cell>
          <cell r="G2026">
            <v>11001</v>
          </cell>
        </row>
        <row r="2027">
          <cell r="A2027" t="str">
            <v>900190264</v>
          </cell>
          <cell r="B2027" t="str">
            <v>6</v>
          </cell>
          <cell r="C2027" t="str">
            <v>VINSA INVERSIONES S A S</v>
          </cell>
          <cell r="D2027" t="str">
            <v>6227802</v>
          </cell>
          <cell r="E2027" t="str">
            <v>facturacion@aktivos.la</v>
          </cell>
          <cell r="F2027" t="str">
            <v>CR 7 83 29 OF 603</v>
          </cell>
          <cell r="G2027">
            <v>11001</v>
          </cell>
        </row>
        <row r="2028">
          <cell r="A2028" t="str">
            <v>900190554</v>
          </cell>
          <cell r="B2028" t="str">
            <v>7</v>
          </cell>
          <cell r="C2028" t="str">
            <v>GRUPO HOTELERO Y TURISTICO AMBAR S.A.</v>
          </cell>
          <cell r="D2028" t="str">
            <v>4443338</v>
          </cell>
          <cell r="E2028" t="str">
            <v>administracion@trypmedellin.com</v>
          </cell>
          <cell r="F2028" t="str">
            <v>CALLE 50  70  108</v>
          </cell>
          <cell r="G2028">
            <v>11001</v>
          </cell>
        </row>
        <row r="2029">
          <cell r="A2029" t="str">
            <v>900191119</v>
          </cell>
          <cell r="B2029" t="str">
            <v>0</v>
          </cell>
          <cell r="C2029" t="str">
            <v>AVES MARIA PARQUE COMERCIAL P.H.</v>
          </cell>
          <cell r="D2029" t="str">
            <v>4035370</v>
          </cell>
          <cell r="E2029" t="str">
            <v>gestioncontable@avesmaria.com</v>
          </cell>
          <cell r="F2029" t="str">
            <v>CALLE 75 SUR  43 A  202</v>
          </cell>
          <cell r="G2029">
            <v>11001</v>
          </cell>
        </row>
        <row r="2030">
          <cell r="A2030" t="str">
            <v>900192711</v>
          </cell>
          <cell r="B2030" t="str">
            <v>6</v>
          </cell>
          <cell r="C2030" t="str">
            <v>CONSTRUCTORA CAPITAL BOGOTA S.A.S</v>
          </cell>
          <cell r="D2030" t="str">
            <v>6417033</v>
          </cell>
          <cell r="E2030" t="str">
            <v>facturacionelectronica@constructoracapital.com</v>
          </cell>
          <cell r="F2030" t="str">
            <v>CARRERA 80 C  8 D  60</v>
          </cell>
          <cell r="G2030">
            <v>11001</v>
          </cell>
        </row>
        <row r="2031">
          <cell r="A2031" t="str">
            <v>900192711</v>
          </cell>
          <cell r="B2031" t="str">
            <v>6</v>
          </cell>
          <cell r="C2031" t="str">
            <v>CONSTRUCTORA CAPITAL BOGOTA S.A.S</v>
          </cell>
          <cell r="D2031" t="str">
            <v>6417033</v>
          </cell>
          <cell r="E2031" t="str">
            <v>facturacionelectronica@constructoracapital.com</v>
          </cell>
          <cell r="F2031" t="str">
            <v>CARRERA 80 C  8 D  60</v>
          </cell>
          <cell r="G2031">
            <v>11001</v>
          </cell>
        </row>
        <row r="2032">
          <cell r="A2032" t="str">
            <v>900193392</v>
          </cell>
          <cell r="B2032" t="str">
            <v>4</v>
          </cell>
          <cell r="C2032" t="str">
            <v>EDIFICIO CEREZO ROSALES PROPIEDAD HORIZONTAL</v>
          </cell>
          <cell r="D2032" t="str">
            <v>3154347956</v>
          </cell>
          <cell r="E2032" t="str">
            <v>facturacion@estiloingenieria.com</v>
          </cell>
          <cell r="F2032" t="str">
            <v>CARRERA 2 ESTE  70 A  56</v>
          </cell>
          <cell r="G2032">
            <v>11001</v>
          </cell>
        </row>
        <row r="2033">
          <cell r="A2033" t="str">
            <v>900196618</v>
          </cell>
          <cell r="B2033" t="str">
            <v>7</v>
          </cell>
          <cell r="C2033" t="str">
            <v>EDIFICIO BEST POINT P. H</v>
          </cell>
          <cell r="D2033" t="str">
            <v>2180207</v>
          </cell>
          <cell r="E2033" t="str">
            <v>contabilidad@vilasas.com</v>
          </cell>
          <cell r="F2033" t="str">
            <v>CARRERA 23  103  17</v>
          </cell>
          <cell r="G2033">
            <v>11001</v>
          </cell>
        </row>
        <row r="2034">
          <cell r="A2034" t="str">
            <v>900197433</v>
          </cell>
          <cell r="B2034" t="str">
            <v>6</v>
          </cell>
          <cell r="C2034" t="str">
            <v>CONJUNTO RESIDENCIAL PASEO REAL - PROPIEDAD HORIZONTAL</v>
          </cell>
          <cell r="D2034" t="str">
            <v>6661401</v>
          </cell>
          <cell r="E2034" t="str">
            <v>paseo.real1@yahoo.com</v>
          </cell>
          <cell r="F2034" t="str">
            <v>AVENIDA 4 B N  58 N  60</v>
          </cell>
          <cell r="G2034">
            <v>11001</v>
          </cell>
        </row>
        <row r="2035">
          <cell r="A2035" t="str">
            <v>900202064</v>
          </cell>
          <cell r="B2035" t="str">
            <v>3</v>
          </cell>
          <cell r="C2035" t="str">
            <v>EDIFICIO CALLE 96 - PROPIEDAD HORIZONTAL</v>
          </cell>
          <cell r="D2035" t="str">
            <v>6752287</v>
          </cell>
          <cell r="E2035" t="str">
            <v>calle96ph@gmail.com</v>
          </cell>
          <cell r="F2035" t="str">
            <v>CALLE 96  9  69</v>
          </cell>
          <cell r="G2035">
            <v>11001</v>
          </cell>
        </row>
        <row r="2036">
          <cell r="A2036" t="str">
            <v>900206048</v>
          </cell>
          <cell r="B2036" t="str">
            <v>3</v>
          </cell>
          <cell r="C2036" t="str">
            <v>EDIFICIO SANTA ANITA REAL PROPIEDAD HORIZONTAL</v>
          </cell>
          <cell r="D2036" t="str">
            <v>3174325117</v>
          </cell>
          <cell r="E2036" t="str">
            <v>santaanitareal2007@gmail.com</v>
          </cell>
          <cell r="F2036" t="str">
            <v>CARRERA 53  11 A  71</v>
          </cell>
          <cell r="G2036">
            <v>11001</v>
          </cell>
        </row>
        <row r="2037">
          <cell r="A2037" t="str">
            <v>900206401</v>
          </cell>
          <cell r="B2037" t="str">
            <v>0</v>
          </cell>
          <cell r="C2037" t="str">
            <v>EDIFICIO CONTI PROPIEDAD HORIZONTAL</v>
          </cell>
          <cell r="D2037" t="str">
            <v>5453847</v>
          </cell>
          <cell r="E2037" t="str">
            <v>facturacion@estiloingenieria.com</v>
          </cell>
          <cell r="F2037" t="str">
            <v>CARRERA 8 A  69  11</v>
          </cell>
          <cell r="G2037">
            <v>11001</v>
          </cell>
        </row>
        <row r="2038">
          <cell r="A2038" t="str">
            <v>900207065</v>
          </cell>
          <cell r="B2038" t="str">
            <v>3</v>
          </cell>
          <cell r="C2038" t="str">
            <v>IBEROMODA S.A.S</v>
          </cell>
          <cell r="D2038" t="str">
            <v>3154623317</v>
          </cell>
          <cell r="E2038" t="str">
            <v>facturacion.electronica@iberomoda.com.co</v>
          </cell>
          <cell r="F2038" t="str">
            <v>CALLE 185  45  03</v>
          </cell>
          <cell r="G2038">
            <v>11001</v>
          </cell>
        </row>
        <row r="2039">
          <cell r="A2039" t="str">
            <v>900207085</v>
          </cell>
          <cell r="B2039" t="str">
            <v>0</v>
          </cell>
          <cell r="C2039" t="str">
            <v>TEXART SAS</v>
          </cell>
          <cell r="D2039" t="str">
            <v>6672200</v>
          </cell>
          <cell r="E2039" t="str">
            <v>facturacion.electronica@texart.com.co</v>
          </cell>
          <cell r="F2039" t="str">
            <v>CALLE 82  12  54</v>
          </cell>
          <cell r="G2039">
            <v>11001</v>
          </cell>
        </row>
        <row r="2040">
          <cell r="A2040" t="str">
            <v>900207480</v>
          </cell>
          <cell r="B2040" t="str">
            <v>7</v>
          </cell>
          <cell r="C2040" t="str">
            <v>EDIFICIO COUNTRY VIRREY PROPIEDAD HORIZONTAL</v>
          </cell>
          <cell r="D2040" t="str">
            <v>6952256</v>
          </cell>
          <cell r="E2040" t="str">
            <v>edificiocountryvirrey@gmail.com</v>
          </cell>
          <cell r="F2040" t="str">
            <v>CARRERA 16 A  86 A  02  OFICINA 104</v>
          </cell>
          <cell r="G2040">
            <v>11001</v>
          </cell>
        </row>
        <row r="2041">
          <cell r="A2041" t="str">
            <v>900207959</v>
          </cell>
          <cell r="B2041" t="str">
            <v>2</v>
          </cell>
          <cell r="C2041" t="str">
            <v>CONJUNTO RESIDENCIAL MIRADOR DE AVALON - PROPIEDAD HORIZONTAL</v>
          </cell>
          <cell r="D2041" t="str">
            <v>5544065</v>
          </cell>
          <cell r="E2041" t="str">
            <v>facturacion@estiloingenieria.com</v>
          </cell>
          <cell r="F2041" t="str">
            <v>CARRERA 37  1 OESTE  45</v>
          </cell>
          <cell r="G2041">
            <v>11001</v>
          </cell>
        </row>
        <row r="2042">
          <cell r="A2042" t="str">
            <v>900209052</v>
          </cell>
          <cell r="B2042" t="str">
            <v>7</v>
          </cell>
          <cell r="C2042" t="str">
            <v>CONJUNTO RESIDENCIAL LA HACIENDA - PROPIEDAD HORIZONTAL</v>
          </cell>
          <cell r="D2042" t="str">
            <v>7024219</v>
          </cell>
          <cell r="E2042" t="str">
            <v>conjuntolahaciendaph@gmail.com</v>
          </cell>
          <cell r="F2042" t="str">
            <v>CALLE 152 A  14 A  36</v>
          </cell>
          <cell r="G2042">
            <v>11001</v>
          </cell>
        </row>
        <row r="2043">
          <cell r="A2043" t="str">
            <v>900209052</v>
          </cell>
          <cell r="B2043" t="str">
            <v>7</v>
          </cell>
          <cell r="C2043" t="str">
            <v>CONJUNTO RESIDENCIAL LA HACIENDA - PROPIEDAD HORIZONTAL</v>
          </cell>
          <cell r="D2043" t="str">
            <v>7024219</v>
          </cell>
          <cell r="E2043" t="str">
            <v>conjuntolahaciendaph@gmail.com</v>
          </cell>
          <cell r="F2043" t="str">
            <v>CALLE 152 A  14 A  36</v>
          </cell>
          <cell r="G2043">
            <v>11001</v>
          </cell>
        </row>
        <row r="2044">
          <cell r="A2044" t="str">
            <v>900209545</v>
          </cell>
          <cell r="B2044" t="str">
            <v>6</v>
          </cell>
          <cell r="C2044" t="str">
            <v>CONDOMINIO LAGO CLUB - PROPIEDAD HORIZONTAL</v>
          </cell>
          <cell r="D2044" t="str">
            <v>3991337</v>
          </cell>
          <cell r="E2044" t="str">
            <v>condominiolagoclub@gmail.com</v>
          </cell>
          <cell r="F2044" t="str">
            <v>CARRERA 121  18  81</v>
          </cell>
          <cell r="G2044">
            <v>11001</v>
          </cell>
        </row>
        <row r="2045">
          <cell r="A2045" t="str">
            <v>900210625</v>
          </cell>
          <cell r="B2045" t="str">
            <v>9</v>
          </cell>
          <cell r="C2045" t="str">
            <v>EDIFICIO AVANTIS PROPIEDAD HORIZONTAL</v>
          </cell>
          <cell r="D2045" t="str">
            <v>3104255670</v>
          </cell>
          <cell r="E2045" t="str">
            <v>edificioavantis@gmail.com</v>
          </cell>
          <cell r="F2045" t="str">
            <v>TRANSVERSAL 3  54  26</v>
          </cell>
          <cell r="G2045">
            <v>11001</v>
          </cell>
        </row>
        <row r="2046">
          <cell r="A2046" t="str">
            <v>900210705</v>
          </cell>
          <cell r="B2046" t="str">
            <v>1</v>
          </cell>
          <cell r="C2046" t="str">
            <v>EDIFICIO TORRE CONQUISTADORES P.H.</v>
          </cell>
          <cell r="D2046" t="str">
            <v>3157464127</v>
          </cell>
          <cell r="E2046" t="str">
            <v>edtorreconquistadores.ph@gmail.com</v>
          </cell>
          <cell r="F2046" t="str">
            <v>CALLE 35 A  66 A  76</v>
          </cell>
          <cell r="G2046">
            <v>11001</v>
          </cell>
        </row>
        <row r="2047">
          <cell r="A2047" t="str">
            <v>900211245</v>
          </cell>
          <cell r="B2047" t="str">
            <v>8</v>
          </cell>
          <cell r="C2047" t="str">
            <v>EDIFICIO POLIDORO PINTO ESCOBAR - PROPIEDAD HORIZONTAL</v>
          </cell>
          <cell r="D2047" t="str">
            <v>3174336551</v>
          </cell>
          <cell r="E2047" t="str">
            <v>facturacion@estiloingenieria.com</v>
          </cell>
          <cell r="F2047" t="str">
            <v>AVENIDA CARRERA 24  39  67</v>
          </cell>
          <cell r="G2047">
            <v>11001</v>
          </cell>
        </row>
        <row r="2048">
          <cell r="A2048" t="str">
            <v>900211245</v>
          </cell>
          <cell r="B2048" t="str">
            <v>8</v>
          </cell>
          <cell r="C2048" t="str">
            <v>EDIFICIO POLIDORO PINTO ESCOBAR - PROPIEDAD HORIZONTAL</v>
          </cell>
          <cell r="D2048" t="str">
            <v>3174336551</v>
          </cell>
          <cell r="E2048" t="str">
            <v>facturacion@estiloingenieria.com</v>
          </cell>
          <cell r="F2048" t="str">
            <v>AVENIDA CARRERA 24  39  67</v>
          </cell>
          <cell r="G2048">
            <v>11001</v>
          </cell>
        </row>
        <row r="2049">
          <cell r="A2049" t="str">
            <v>900211816</v>
          </cell>
          <cell r="B2049" t="str">
            <v>3</v>
          </cell>
          <cell r="C2049" t="str">
            <v>EDIFICIO SOL DEL ESTE PH</v>
          </cell>
          <cell r="D2049" t="str">
            <v>3240770</v>
          </cell>
          <cell r="E2049" t="str">
            <v>soldelesteadmon@gmail.com</v>
          </cell>
          <cell r="F2049" t="str">
            <v>CARRERA 17  9  50</v>
          </cell>
          <cell r="G2049">
            <v>11001</v>
          </cell>
        </row>
        <row r="2050">
          <cell r="A2050" t="str">
            <v>900212260</v>
          </cell>
          <cell r="B2050" t="str">
            <v>3</v>
          </cell>
          <cell r="C2050" t="str">
            <v>CENTRO DE SALUD Y NEGOCIOS RONDA REAL 2 ETAPA</v>
          </cell>
          <cell r="D2050" t="str">
            <v>3205688794</v>
          </cell>
          <cell r="E2050" t="str">
            <v>centrorondareal2@yahoo.com</v>
          </cell>
          <cell r="F2050" t="str">
            <v>CARRERA 69  31  139</v>
          </cell>
          <cell r="G2050">
            <v>11001</v>
          </cell>
        </row>
        <row r="2051">
          <cell r="A2051" t="str">
            <v>900212365</v>
          </cell>
          <cell r="B2051" t="str">
            <v>8</v>
          </cell>
          <cell r="C2051" t="str">
            <v>SOCIEDAD ADMINISTRADORA DE RECURSOS INMOBILIARIOS S A S</v>
          </cell>
          <cell r="D2051" t="str">
            <v>3112032617</v>
          </cell>
          <cell r="E2051" t="str">
            <v>s900212365@gmail.com</v>
          </cell>
          <cell r="F2051" t="str">
            <v>CARRERA 12  90  19  OFICINA 401</v>
          </cell>
          <cell r="G2051">
            <v>11001</v>
          </cell>
        </row>
        <row r="2052">
          <cell r="A2052" t="str">
            <v>900212563</v>
          </cell>
          <cell r="B2052" t="str">
            <v>1</v>
          </cell>
          <cell r="C2052" t="str">
            <v>EDIFICIO CORAL VILLAGE- PROPIEDAD HORIZONTAL</v>
          </cell>
          <cell r="D2052" t="str">
            <v>7033779</v>
          </cell>
          <cell r="E2052" t="str">
            <v>coralvillageph@gmail.com</v>
          </cell>
          <cell r="F2052" t="str">
            <v>CALLE 123  11  33</v>
          </cell>
          <cell r="G2052">
            <v>11001</v>
          </cell>
        </row>
        <row r="2053">
          <cell r="A2053" t="str">
            <v>900212563</v>
          </cell>
          <cell r="B2053" t="str">
            <v>1</v>
          </cell>
          <cell r="C2053" t="str">
            <v>EDIFICIO CORAL VILLAGE- PROPIEDAD HORIZONTAL</v>
          </cell>
          <cell r="D2053" t="str">
            <v>7033779</v>
          </cell>
          <cell r="E2053" t="str">
            <v>coralvillageph@gmail.com</v>
          </cell>
          <cell r="F2053" t="str">
            <v>CALLE 123  11  33</v>
          </cell>
          <cell r="G2053">
            <v>11001</v>
          </cell>
        </row>
        <row r="2054">
          <cell r="A2054" t="str">
            <v>900214510</v>
          </cell>
          <cell r="B2054" t="str">
            <v>9</v>
          </cell>
          <cell r="C2054" t="str">
            <v>CONJUNTO RESIDENCIAL LA JULIA - PROPIEDAD HORIZONTAL</v>
          </cell>
          <cell r="D2054" t="str">
            <v>3214470</v>
          </cell>
          <cell r="E2054" t="str">
            <v>contabilidadlajulia@gmail.com</v>
          </cell>
          <cell r="F2054" t="str">
            <v>CARRERA 20  9  63</v>
          </cell>
          <cell r="G2054">
            <v>11001</v>
          </cell>
        </row>
        <row r="2055">
          <cell r="A2055" t="str">
            <v>900214874</v>
          </cell>
          <cell r="B2055" t="str">
            <v>4</v>
          </cell>
          <cell r="C2055" t="str">
            <v>EDIFICIO SANTA MARIA DEL PARQUE - PROPIEDAD HORIZONTAL</v>
          </cell>
          <cell r="D2055" t="str">
            <v>6470890</v>
          </cell>
          <cell r="E2055" t="str">
            <v>mcanjel@hotmail.com</v>
          </cell>
          <cell r="F2055" t="str">
            <v>CALLE 103 A  16  70</v>
          </cell>
          <cell r="G2055">
            <v>11001</v>
          </cell>
        </row>
        <row r="2056">
          <cell r="A2056" t="str">
            <v>900215176</v>
          </cell>
          <cell r="B2056" t="str">
            <v>6</v>
          </cell>
          <cell r="C2056" t="str">
            <v>EDIFICIO CENTRO MEDICO CALLE 91 -PROPIEDAD HORIZONTAL</v>
          </cell>
          <cell r="D2056" t="str">
            <v>6185034</v>
          </cell>
          <cell r="E2056" t="str">
            <v>facturacionelectronica@administracionmarca.com</v>
          </cell>
          <cell r="F2056" t="str">
            <v>CL 91 19 C 55</v>
          </cell>
          <cell r="G2056">
            <v>11001</v>
          </cell>
        </row>
        <row r="2057">
          <cell r="A2057" t="str">
            <v>900216430</v>
          </cell>
          <cell r="B2057" t="str">
            <v>7</v>
          </cell>
          <cell r="C2057" t="str">
            <v>EDIFICIO VIRREY CITY FLATS- PROPIEDAD HORIZONTAL</v>
          </cell>
          <cell r="D2057" t="str">
            <v>2260254</v>
          </cell>
          <cell r="E2057" t="str">
            <v>edificiovirrey@hotmail.com</v>
          </cell>
          <cell r="F2057" t="str">
            <v>CARRERA 16  86 A  76</v>
          </cell>
          <cell r="G2057">
            <v>11001</v>
          </cell>
        </row>
        <row r="2058">
          <cell r="A2058" t="str">
            <v>900216430</v>
          </cell>
          <cell r="B2058" t="str">
            <v>7</v>
          </cell>
          <cell r="C2058" t="str">
            <v>EDIFICIO VIRREY CITY FLATS- PROPIEDAD HORIZONTAL</v>
          </cell>
          <cell r="D2058" t="str">
            <v>2260254</v>
          </cell>
          <cell r="E2058" t="str">
            <v>edificiovirrey@hotmail.com</v>
          </cell>
          <cell r="F2058" t="str">
            <v>CARRERA 16  86 A  76</v>
          </cell>
          <cell r="G2058">
            <v>11001</v>
          </cell>
        </row>
        <row r="2059">
          <cell r="A2059" t="str">
            <v>900217306</v>
          </cell>
          <cell r="B2059" t="str">
            <v>6</v>
          </cell>
          <cell r="C2059" t="str">
            <v>EDIFICIO SENDEROS DEL PARQUE - PROPIEDAD HORIZONTAL</v>
          </cell>
          <cell r="D2059" t="str">
            <v>3123832184</v>
          </cell>
          <cell r="E2059" t="str">
            <v>edificiosenderos@hotmail.com</v>
          </cell>
          <cell r="F2059" t="str">
            <v>CARRERA 7  57  05  OFICINA 1402</v>
          </cell>
          <cell r="G2059">
            <v>11001</v>
          </cell>
        </row>
        <row r="2060">
          <cell r="A2060" t="str">
            <v>900217859</v>
          </cell>
          <cell r="B2060" t="str">
            <v>7</v>
          </cell>
          <cell r="C2060" t="str">
            <v>CONDOMINIO PIE DEL CERRO PH.</v>
          </cell>
          <cell r="D2060" t="str">
            <v>2356044</v>
          </cell>
          <cell r="E2060" t="str">
            <v>admonpiedelcerro@gmail.com</v>
          </cell>
          <cell r="F2060" t="str">
            <v>CARRERA 63  32 E  39</v>
          </cell>
          <cell r="G2060">
            <v>11001</v>
          </cell>
        </row>
        <row r="2061">
          <cell r="A2061" t="str">
            <v>900218730</v>
          </cell>
          <cell r="B2061" t="str">
            <v>0</v>
          </cell>
          <cell r="C2061" t="str">
            <v>EDIFICIO TORRE PLAZA 54 PROPIEDAD HORIZONTAL</v>
          </cell>
          <cell r="D2061" t="str">
            <v>6963923</v>
          </cell>
          <cell r="E2061" t="str">
            <v>editorreplaza54@gmail.com</v>
          </cell>
          <cell r="F2061" t="str">
            <v>CALLE 54  10  66</v>
          </cell>
          <cell r="G2061">
            <v>11001</v>
          </cell>
        </row>
        <row r="2062">
          <cell r="A2062" t="str">
            <v>900218730</v>
          </cell>
          <cell r="B2062" t="str">
            <v>0</v>
          </cell>
          <cell r="C2062" t="str">
            <v>EDIFICIO TORRE PLAZA 54 PROPIEDAD HORIZONTAL</v>
          </cell>
          <cell r="D2062" t="str">
            <v>6963923</v>
          </cell>
          <cell r="E2062" t="str">
            <v>editorreplaza54@gmail.com</v>
          </cell>
          <cell r="F2062" t="str">
            <v>CALLE 54  10  66</v>
          </cell>
          <cell r="G2062">
            <v>11001</v>
          </cell>
        </row>
        <row r="2063">
          <cell r="A2063" t="str">
            <v>900218930</v>
          </cell>
          <cell r="B2063" t="str">
            <v>7</v>
          </cell>
          <cell r="C2063" t="str">
            <v>CENTRO COMERCIAL SUPEROUTLET LA 80 PROPIEDAD HORIZONTAL</v>
          </cell>
          <cell r="D2063" t="str">
            <v>3155798</v>
          </cell>
          <cell r="E2063" t="str">
            <v>facturacion@aquarelacc.com</v>
          </cell>
          <cell r="F2063" t="str">
            <v>CARRERA 80  132  61</v>
          </cell>
          <cell r="G2063">
            <v>11001</v>
          </cell>
        </row>
        <row r="2064">
          <cell r="A2064" t="str">
            <v>900219120</v>
          </cell>
          <cell r="B2064" t="str">
            <v>2</v>
          </cell>
          <cell r="C2064" t="str">
            <v>VIVA 1A IPS S.A.</v>
          </cell>
          <cell r="D2064" t="str">
            <v>3679600</v>
          </cell>
          <cell r="E2064" t="str">
            <v>facturacionelectronica@viva1a.com.co</v>
          </cell>
          <cell r="F2064" t="str">
            <v>CARRERA 52 76-112 C.C. ATLANTIC CENTER</v>
          </cell>
          <cell r="G2064">
            <v>11001</v>
          </cell>
        </row>
        <row r="2065">
          <cell r="A2065" t="str">
            <v>900220355</v>
          </cell>
          <cell r="B2065" t="str">
            <v>8</v>
          </cell>
          <cell r="C2065" t="str">
            <v>EDIFICO 94-44 - PROPIEDAD HORIZONTAL</v>
          </cell>
          <cell r="D2065" t="str">
            <v>2741222</v>
          </cell>
          <cell r="E2065" t="str">
            <v>facturacion@estiloingenieria.com</v>
          </cell>
          <cell r="F2065" t="str">
            <v>CARRERA 18 A  143  61</v>
          </cell>
          <cell r="G2065">
            <v>11001</v>
          </cell>
        </row>
        <row r="2066">
          <cell r="A2066" t="str">
            <v>900220909</v>
          </cell>
          <cell r="B2066" t="str">
            <v>8</v>
          </cell>
          <cell r="C2066" t="str">
            <v>CONJUNTO RESIDENCIAL MULTIFAMILIAR GUALANDAY PLAZA ETAPA I</v>
          </cell>
          <cell r="D2066" t="str">
            <v>3196558</v>
          </cell>
          <cell r="E2066" t="str">
            <v>crgualanday@gmail.com</v>
          </cell>
          <cell r="F2066" t="str">
            <v>CALLE 34  98 B  35</v>
          </cell>
          <cell r="G2066">
            <v>11001</v>
          </cell>
        </row>
        <row r="2067">
          <cell r="A2067" t="str">
            <v>900220974</v>
          </cell>
          <cell r="B2067" t="str">
            <v>7</v>
          </cell>
          <cell r="C2067" t="str">
            <v>EDIFICIO ANDORRA PROPIEDAD HORIZONTAL</v>
          </cell>
          <cell r="D2067" t="str">
            <v>6451258</v>
          </cell>
          <cell r="E2067" t="str">
            <v>edificioandorra2021@gmail.com</v>
          </cell>
          <cell r="F2067" t="str">
            <v>CARRERA 24  31  74</v>
          </cell>
          <cell r="G2067">
            <v>11001</v>
          </cell>
        </row>
        <row r="2068">
          <cell r="A2068" t="str">
            <v>900221212</v>
          </cell>
          <cell r="B2068" t="str">
            <v>8</v>
          </cell>
          <cell r="C2068" t="str">
            <v>CONJUNTO RESIDENCIAL OVIEDO APARTAMENTOS - PROPIEDAD HORIZONTAL</v>
          </cell>
          <cell r="D2068" t="str">
            <v>4123490</v>
          </cell>
          <cell r="E2068" t="str">
            <v>facturasoviedo2024@gmail.com</v>
          </cell>
          <cell r="F2068" t="str">
            <v>CALLE 12 A  71 C  20</v>
          </cell>
          <cell r="G2068">
            <v>11001</v>
          </cell>
        </row>
        <row r="2069">
          <cell r="A2069" t="str">
            <v>900221212</v>
          </cell>
          <cell r="B2069" t="str">
            <v>8</v>
          </cell>
          <cell r="C2069" t="str">
            <v>CONJUNTO RESIDENCIAL OVIEDO APARTAMENTOS - PROPIEDAD HORIZONTAL</v>
          </cell>
          <cell r="D2069" t="str">
            <v>4123490</v>
          </cell>
          <cell r="E2069" t="str">
            <v>facturasoviedo2024@gmail.com</v>
          </cell>
          <cell r="F2069" t="str">
            <v>CALLE 12 A  71 C  20</v>
          </cell>
          <cell r="G2069">
            <v>11001</v>
          </cell>
        </row>
        <row r="2070">
          <cell r="A2070" t="str">
            <v>900222174</v>
          </cell>
          <cell r="B2070" t="str">
            <v>0</v>
          </cell>
          <cell r="C2070" t="str">
            <v>EDIFICIO AVANTE - PROPIEDAD HORIZONTAL</v>
          </cell>
          <cell r="D2070" t="str">
            <v>7495929</v>
          </cell>
          <cell r="E2070" t="str">
            <v>facturasavanteph@gmail.com</v>
          </cell>
          <cell r="F2070" t="str">
            <v>AVENIDA CARRERA 9  147  46</v>
          </cell>
          <cell r="G2070">
            <v>11001</v>
          </cell>
        </row>
        <row r="2071">
          <cell r="A2071" t="str">
            <v>900222382</v>
          </cell>
          <cell r="B2071" t="str">
            <v>6</v>
          </cell>
          <cell r="C2071" t="str">
            <v>CONJUNTO RESIDENCIAL BELLO HORIZONTE - PROPIEDAD HORIZONTAL</v>
          </cell>
          <cell r="D2071" t="str">
            <v>3221256</v>
          </cell>
          <cell r="E2071" t="str">
            <v>bellohorizonteph11@hotmail.com</v>
          </cell>
          <cell r="F2071" t="str">
            <v>CARRERA 1 A  68  79</v>
          </cell>
          <cell r="G2071">
            <v>11001</v>
          </cell>
        </row>
        <row r="2072">
          <cell r="A2072" t="str">
            <v>900223667</v>
          </cell>
          <cell r="B2072" t="str">
            <v>4</v>
          </cell>
          <cell r="C2072" t="str">
            <v>PERFECT BODY MEDICAL CENTER LTDA</v>
          </cell>
          <cell r="D2072" t="str">
            <v>4217901</v>
          </cell>
          <cell r="E2072" t="str">
            <v>contabilidad.perfectbody@gmail.com</v>
          </cell>
          <cell r="F2072" t="str">
            <v>CARRERA 20  151  10</v>
          </cell>
          <cell r="G2072">
            <v>11001</v>
          </cell>
        </row>
        <row r="2073">
          <cell r="A2073" t="str">
            <v>900225318</v>
          </cell>
          <cell r="B2073" t="str">
            <v>8</v>
          </cell>
          <cell r="C2073" t="str">
            <v>URBANIZACIÓN PALO DE ROSA P.H</v>
          </cell>
          <cell r="D2073" t="str">
            <v>3348374</v>
          </cell>
          <cell r="E2073" t="str">
            <v>paloderosajardines@gmail.com</v>
          </cell>
          <cell r="F2073" t="str">
            <v>CARRERA 46 A  29 SUR  20</v>
          </cell>
          <cell r="G2073">
            <v>11001</v>
          </cell>
        </row>
        <row r="2074">
          <cell r="A2074" t="str">
            <v>900225828</v>
          </cell>
          <cell r="B2074" t="str">
            <v>2</v>
          </cell>
          <cell r="C2074" t="str">
            <v>EDIFICIO MIRADOR DE LOS ALPES PROPIEDAD HORIZONTAL</v>
          </cell>
          <cell r="D2074" t="str">
            <v>3252361</v>
          </cell>
          <cell r="E2074" t="str">
            <v>edificiomiradordelosalpes@gmail.com</v>
          </cell>
          <cell r="F2074" t="str">
            <v>CALLE 10  15 B  40</v>
          </cell>
          <cell r="G2074">
            <v>11001</v>
          </cell>
        </row>
        <row r="2075">
          <cell r="A2075" t="str">
            <v>900226103</v>
          </cell>
          <cell r="B2075" t="str">
            <v>6</v>
          </cell>
          <cell r="C2075" t="str">
            <v>CONJUNTO RESIDENCIAL ENTRECEDROS - PROPIEDAD HORIZONTAL</v>
          </cell>
          <cell r="D2075" t="str">
            <v>5262520</v>
          </cell>
          <cell r="E2075" t="str">
            <v>entrecedrosph@gmail.com</v>
          </cell>
          <cell r="F2075" t="str">
            <v>CALLE 152  12 C  12</v>
          </cell>
          <cell r="G2075">
            <v>11001</v>
          </cell>
        </row>
        <row r="2076">
          <cell r="A2076" t="str">
            <v>900226186</v>
          </cell>
          <cell r="B2076" t="str">
            <v>7</v>
          </cell>
          <cell r="C2076" t="str">
            <v>URBANIZACION BIZET 2 - P.H</v>
          </cell>
          <cell r="D2076" t="str">
            <v>3413575</v>
          </cell>
          <cell r="E2076" t="str">
            <v>urbanizacionbizet2@hotmail.com</v>
          </cell>
          <cell r="F2076" t="str">
            <v>CALLE 73  9  50</v>
          </cell>
          <cell r="G2076">
            <v>11001</v>
          </cell>
        </row>
        <row r="2077">
          <cell r="A2077" t="str">
            <v>900227508</v>
          </cell>
          <cell r="B2077" t="str">
            <v>1</v>
          </cell>
          <cell r="C2077" t="str">
            <v>EDIFICIO TORRE PLAZA DE LA 70 - PROPIEDAD HORIZONTAL</v>
          </cell>
          <cell r="D2077" t="str">
            <v>3212281920</v>
          </cell>
          <cell r="E2077" t="str">
            <v>facturacion@estiloingenieria.com</v>
          </cell>
          <cell r="F2077" t="str">
            <v>CARRERA 23  70 B  57</v>
          </cell>
          <cell r="G2077">
            <v>11001</v>
          </cell>
        </row>
        <row r="2078">
          <cell r="A2078" t="str">
            <v>900228640</v>
          </cell>
          <cell r="B2078" t="str">
            <v>9</v>
          </cell>
          <cell r="C2078" t="str">
            <v>CONJUNTO RESIDENCIAL ALTOS DEL PARQUE - PROPIEDAD HORIZONTAL</v>
          </cell>
          <cell r="D2078" t="str">
            <v>4464623</v>
          </cell>
          <cell r="E2078" t="str">
            <v>cr.altosdelparque@hotmail.com</v>
          </cell>
          <cell r="F2078" t="str">
            <v>CALLE 66  1  30</v>
          </cell>
          <cell r="G2078">
            <v>11001</v>
          </cell>
        </row>
        <row r="2079">
          <cell r="A2079" t="str">
            <v>900230163</v>
          </cell>
          <cell r="B2079" t="str">
            <v>3</v>
          </cell>
          <cell r="C2079" t="str">
            <v>CONJUNTO RESIDENCIAL PORTAL DE LA QUEBRADA PROPIEDAD HORIZONTAL</v>
          </cell>
          <cell r="D2079" t="str">
            <v>8931628</v>
          </cell>
          <cell r="E2079" t="str">
            <v>portaldelaquebrada@gmail.com</v>
          </cell>
          <cell r="F2079" t="str">
            <v>CALLE 18  7 N  17</v>
          </cell>
          <cell r="G2079">
            <v>11001</v>
          </cell>
        </row>
        <row r="2080">
          <cell r="A2080" t="str">
            <v>900231049</v>
          </cell>
          <cell r="B2080" t="str">
            <v>6</v>
          </cell>
          <cell r="C2080" t="str">
            <v>CONJUNTO RESIDENCIAL VERSALLES RESERVADO PROPIEDAD HORIZONTAL</v>
          </cell>
          <cell r="D2080" t="str">
            <v>4605576</v>
          </cell>
          <cell r="E2080" t="str">
            <v>contabilidadversalles43@gmail.com</v>
          </cell>
          <cell r="F2080" t="str">
            <v>CARRERA 56  152 B  60</v>
          </cell>
          <cell r="G2080">
            <v>11001</v>
          </cell>
        </row>
        <row r="2081">
          <cell r="A2081" t="str">
            <v>900231049</v>
          </cell>
          <cell r="B2081" t="str">
            <v>6</v>
          </cell>
          <cell r="C2081" t="str">
            <v>CONJUNTO RESIDENCIAL VERSALLES RESERVADO PROPIEDAD HORIZONTAL</v>
          </cell>
          <cell r="D2081" t="str">
            <v>4605576</v>
          </cell>
          <cell r="E2081" t="str">
            <v>contabilidadversalles43@gmail.com</v>
          </cell>
          <cell r="F2081" t="str">
            <v>CARRERA 56  152 B  60</v>
          </cell>
          <cell r="G2081">
            <v>11001</v>
          </cell>
        </row>
        <row r="2082">
          <cell r="A2082" t="str">
            <v>900231186</v>
          </cell>
          <cell r="B2082" t="str">
            <v>7</v>
          </cell>
          <cell r="C2082" t="str">
            <v>EDIFICIO 123 PARK-PROPIEDAD HORIZONTAL</v>
          </cell>
          <cell r="D2082" t="str">
            <v>312 5648995</v>
          </cell>
          <cell r="E2082" t="str">
            <v>edificio123park@gmail.com</v>
          </cell>
          <cell r="F2082" t="str">
            <v>CALLE 123  15 A  46</v>
          </cell>
          <cell r="G2082">
            <v>11001</v>
          </cell>
        </row>
        <row r="2083">
          <cell r="A2083" t="str">
            <v>900231337</v>
          </cell>
          <cell r="B2083" t="str">
            <v>2</v>
          </cell>
          <cell r="C2083" t="str">
            <v>EDIFICIO CHICALA - PROPIEDAD HORIZONTAL</v>
          </cell>
          <cell r="D2083" t="str">
            <v>4751918</v>
          </cell>
          <cell r="E2083" t="str">
            <v>chicalaph@hotmail.com</v>
          </cell>
          <cell r="F2083" t="str">
            <v>CARRERA 15  135  25</v>
          </cell>
          <cell r="G2083">
            <v>11001</v>
          </cell>
        </row>
        <row r="2084">
          <cell r="A2084" t="str">
            <v>900231624</v>
          </cell>
          <cell r="B2084" t="str">
            <v>1</v>
          </cell>
          <cell r="C2084" t="str">
            <v>EDIFICIO BERNALEJAS PH.</v>
          </cell>
          <cell r="D2084" t="str">
            <v>3023395648</v>
          </cell>
          <cell r="E2084" t="str">
            <v>garciapraezadmon@hotmail.com</v>
          </cell>
          <cell r="F2084" t="str">
            <v>CALLE 15  80  161</v>
          </cell>
          <cell r="G2084">
            <v>11001</v>
          </cell>
        </row>
        <row r="2085">
          <cell r="A2085" t="str">
            <v>900232060</v>
          </cell>
          <cell r="B2085" t="str">
            <v>2</v>
          </cell>
          <cell r="C2085" t="str">
            <v>CONDOMINIO EDIFICIO GANVI</v>
          </cell>
          <cell r="D2085" t="str">
            <v>3166919575</v>
          </cell>
          <cell r="E2085" t="str">
            <v>danielfaria999@hotmail.com</v>
          </cell>
          <cell r="F2085" t="str">
            <v>CALLE 17  0 E  06</v>
          </cell>
          <cell r="G2085">
            <v>11001</v>
          </cell>
        </row>
        <row r="2086">
          <cell r="A2086" t="str">
            <v>900232961</v>
          </cell>
          <cell r="B2086" t="str">
            <v>3</v>
          </cell>
          <cell r="C2086" t="str">
            <v>TENDENZA NOVA S.A.S</v>
          </cell>
          <cell r="D2086">
            <v>3219664011</v>
          </cell>
          <cell r="E2086" t="str">
            <v>facturacion.electronica@tendenzanova.com.co</v>
          </cell>
          <cell r="F2086" t="str">
            <v>AUTOPISTA NORTE KILOMETRO 21 VEREDA FUSCA BODEGA GUADALETE</v>
          </cell>
          <cell r="G2086">
            <v>11001</v>
          </cell>
        </row>
        <row r="2087">
          <cell r="A2087" t="str">
            <v>900233215</v>
          </cell>
          <cell r="B2087" t="str">
            <v>1</v>
          </cell>
          <cell r="C2087" t="str">
            <v>CONJUNTO RESIDENCIAL KIMBAYA PROPIEDAD HORIZONTAL</v>
          </cell>
          <cell r="D2087" t="str">
            <v>5136935</v>
          </cell>
          <cell r="E2087" t="str">
            <v>leadmon@hotmail.com</v>
          </cell>
          <cell r="F2087" t="str">
            <v>CARRERA 61  92  30</v>
          </cell>
          <cell r="G2087">
            <v>11001</v>
          </cell>
        </row>
        <row r="2088">
          <cell r="A2088" t="str">
            <v>900233227</v>
          </cell>
          <cell r="B2088" t="str">
            <v>1</v>
          </cell>
          <cell r="C2088" t="str">
            <v>EDIFICIO REFUGIO REAL PROPIEDAD HORIZONTAL</v>
          </cell>
          <cell r="D2088" t="str">
            <v>3107725264</v>
          </cell>
          <cell r="E2088" t="str">
            <v>facturacion@estiloingenieria.com</v>
          </cell>
          <cell r="F2088" t="str">
            <v>TRANSVERSAL 5  87  41</v>
          </cell>
          <cell r="G2088">
            <v>11001</v>
          </cell>
        </row>
        <row r="2089">
          <cell r="A2089" t="str">
            <v>900233968</v>
          </cell>
          <cell r="B2089" t="str">
            <v>9</v>
          </cell>
          <cell r="C2089" t="str">
            <v>CARIBE PLAZA CENTRO COMERCIAL</v>
          </cell>
          <cell r="D2089" t="str">
            <v>3004913631</v>
          </cell>
          <cell r="E2089" t="str">
            <v>900233968@factureinbox.co</v>
          </cell>
          <cell r="F2089" t="str">
            <v>CALLE 29 D  22  108</v>
          </cell>
          <cell r="G2089">
            <v>11001</v>
          </cell>
        </row>
        <row r="2090">
          <cell r="A2090" t="str">
            <v>900236485</v>
          </cell>
          <cell r="B2090" t="str">
            <v>7</v>
          </cell>
          <cell r="C2090" t="str">
            <v>BIENES Y NEGOCIOS ESTRATEGICOS S.A.S.</v>
          </cell>
          <cell r="D2090" t="str">
            <v>3741155</v>
          </cell>
          <cell r="E2090" t="str">
            <v>carmenhuertas@bynesa.com</v>
          </cell>
          <cell r="F2090" t="str">
            <v>CARRERA 6  115  65 OFICINA 506</v>
          </cell>
          <cell r="G2090">
            <v>11001</v>
          </cell>
        </row>
        <row r="2091">
          <cell r="A2091" t="str">
            <v>900236599</v>
          </cell>
          <cell r="B2091" t="str">
            <v>8</v>
          </cell>
          <cell r="C2091" t="str">
            <v>INVERSIONES MUÑOZ ORDOÑEZ &amp; CIA SAS</v>
          </cell>
          <cell r="D2091" t="str">
            <v>5277814</v>
          </cell>
          <cell r="E2091" t="str">
            <v>mariateresa.wilches@serviconfor.com</v>
          </cell>
          <cell r="F2091" t="str">
            <v>CR 7  153 A 03</v>
          </cell>
          <cell r="G2091">
            <v>11001</v>
          </cell>
        </row>
        <row r="2092">
          <cell r="A2092" t="str">
            <v>900237387</v>
          </cell>
          <cell r="B2092" t="str">
            <v>8</v>
          </cell>
          <cell r="C2092" t="str">
            <v>CONJUNTO MULTIFAMILIAR TAINO PROPIEDAD HORIZONTAL</v>
          </cell>
          <cell r="D2092" t="str">
            <v>3904396</v>
          </cell>
          <cell r="E2092" t="str">
            <v>multitaino@gmail.com</v>
          </cell>
          <cell r="F2092" t="str">
            <v>CALLE 19  109  36</v>
          </cell>
          <cell r="G2092">
            <v>11001</v>
          </cell>
        </row>
        <row r="2093">
          <cell r="A2093" t="str">
            <v>900237609</v>
          </cell>
          <cell r="B2093" t="str">
            <v>8</v>
          </cell>
          <cell r="C2093" t="str">
            <v>CONJUNTO RESIDENCIAL LA CEIBA CONDOMINIO CLUB</v>
          </cell>
          <cell r="D2093" t="str">
            <v>6442333</v>
          </cell>
          <cell r="E2093" t="str">
            <v>laceibacondominioclub@gmail.com</v>
          </cell>
          <cell r="F2093" t="str">
            <v>CARRERA 17 A  64  08 BRR CEIBA</v>
          </cell>
          <cell r="G2093">
            <v>11001</v>
          </cell>
        </row>
        <row r="2094">
          <cell r="A2094" t="str">
            <v>900238900</v>
          </cell>
          <cell r="B2094" t="str">
            <v>1</v>
          </cell>
          <cell r="C2094" t="str">
            <v>EDIFICIO PORTUGAL P.H.</v>
          </cell>
          <cell r="D2094" t="str">
            <v>3215469</v>
          </cell>
          <cell r="E2094" t="str">
            <v>edificioportugalph@gmail.com</v>
          </cell>
          <cell r="F2094" t="str">
            <v>CARRERA 48  17 A SUR  47</v>
          </cell>
          <cell r="G2094">
            <v>11001</v>
          </cell>
        </row>
        <row r="2095">
          <cell r="A2095" t="str">
            <v>900239395</v>
          </cell>
          <cell r="B2095" t="str">
            <v>6</v>
          </cell>
          <cell r="C2095" t="str">
            <v>CONJUNTO CAMINO DE MORAJI TORRE 5 - PROPIEDAD HORIZONTAL</v>
          </cell>
          <cell r="D2095" t="str">
            <v>6570904</v>
          </cell>
          <cell r="E2095" t="str">
            <v>rodrigo.cerinza@estiloingea.co</v>
          </cell>
          <cell r="F2095" t="str">
            <v>CALLE 112  110  26 ESTE</v>
          </cell>
          <cell r="G2095">
            <v>11001</v>
          </cell>
        </row>
        <row r="2096">
          <cell r="A2096" t="str">
            <v>900239395</v>
          </cell>
          <cell r="B2096" t="str">
            <v>6</v>
          </cell>
          <cell r="C2096" t="str">
            <v>CONJUNTO CAMINO DE MORAJI TORRE 5 - PROPIEDAD HORIZONTAL</v>
          </cell>
          <cell r="D2096" t="str">
            <v>6570904</v>
          </cell>
          <cell r="E2096" t="str">
            <v>rodrigo.cerinza@estiloingea.co</v>
          </cell>
          <cell r="F2096" t="str">
            <v>CALLE 112  110  26 ESTE</v>
          </cell>
          <cell r="G2096">
            <v>11001</v>
          </cell>
        </row>
        <row r="2097">
          <cell r="A2097" t="str">
            <v>900239499</v>
          </cell>
          <cell r="B2097" t="str">
            <v>3</v>
          </cell>
          <cell r="C2097" t="str">
            <v>CONJUNTO RESIDENCIAL TORRE PICASSO</v>
          </cell>
          <cell r="D2097" t="str">
            <v>3186239449</v>
          </cell>
          <cell r="E2097" t="str">
            <v>torre_picasso@hotmail.com</v>
          </cell>
          <cell r="F2097" t="str">
            <v>calle 106 N°26a-05 BRR</v>
          </cell>
          <cell r="G2097">
            <v>11001</v>
          </cell>
        </row>
        <row r="2098">
          <cell r="A2098" t="str">
            <v>900239840</v>
          </cell>
          <cell r="B2098" t="str">
            <v>2</v>
          </cell>
          <cell r="C2098" t="str">
            <v>EDIFICIO BALCONES DE VENECIA II - P.H</v>
          </cell>
          <cell r="D2098" t="str">
            <v>3127609265</v>
          </cell>
          <cell r="E2098" t="str">
            <v>nidiadegomez@hotmail.com</v>
          </cell>
          <cell r="F2098" t="str">
            <v>CALLE 38  77  19</v>
          </cell>
          <cell r="G2098">
            <v>11001</v>
          </cell>
        </row>
        <row r="2099">
          <cell r="A2099" t="str">
            <v>900240251</v>
          </cell>
          <cell r="B2099" t="str">
            <v>6</v>
          </cell>
          <cell r="C2099" t="str">
            <v>EDIFICIO ALCAZAR DE LA COLINA PROPIEDAD HORIZONTAL</v>
          </cell>
          <cell r="D2099">
            <v>3219664011</v>
          </cell>
          <cell r="E2099" t="str">
            <v>alcazardelacolina@gmail.com</v>
          </cell>
          <cell r="F2099" t="str">
            <v>CARRERA 56 A  148  87</v>
          </cell>
          <cell r="G2099">
            <v>11001</v>
          </cell>
        </row>
        <row r="2100">
          <cell r="A2100" t="str">
            <v>900240251</v>
          </cell>
          <cell r="B2100" t="str">
            <v>6</v>
          </cell>
          <cell r="C2100" t="str">
            <v>EDIFICIO ALCAZAR DE LA COLINA PROPIEDAD HORIZONTAL</v>
          </cell>
          <cell r="D2100">
            <v>3219664011</v>
          </cell>
          <cell r="E2100" t="str">
            <v>alcazardelacolina@gmail.com</v>
          </cell>
          <cell r="F2100" t="str">
            <v>CARRERA 56 A  148  87</v>
          </cell>
          <cell r="G2100">
            <v>11001</v>
          </cell>
        </row>
        <row r="2101">
          <cell r="A2101" t="str">
            <v>900240956</v>
          </cell>
          <cell r="B2101" t="str">
            <v>1</v>
          </cell>
          <cell r="C2101" t="str">
            <v>PARQUE RESIDENCIAL PLAZUELA 21</v>
          </cell>
          <cell r="D2101" t="str">
            <v>6510076</v>
          </cell>
          <cell r="E2101" t="str">
            <v>prplazuela21@hotmail.com</v>
          </cell>
          <cell r="F2101" t="str">
            <v>CARRERA 71  31  129  LOTE 7</v>
          </cell>
          <cell r="G2101">
            <v>11001</v>
          </cell>
        </row>
        <row r="2102">
          <cell r="A2102" t="str">
            <v>900245172</v>
          </cell>
          <cell r="B2102" t="str">
            <v>5</v>
          </cell>
          <cell r="C2102" t="str">
            <v>EDIFICIO PUERTO MADERO - PROPIEDAD HORIZONTAL</v>
          </cell>
          <cell r="D2102" t="str">
            <v>5555555</v>
          </cell>
          <cell r="E2102" t="str">
            <v>edificiopuertomaderoph@gmail.com</v>
          </cell>
          <cell r="F2102" t="str">
            <v>CARRERA 18  113  52</v>
          </cell>
          <cell r="G2102">
            <v>11001</v>
          </cell>
        </row>
        <row r="2103">
          <cell r="A2103" t="str">
            <v>900245386</v>
          </cell>
          <cell r="B2103" t="str">
            <v>4</v>
          </cell>
          <cell r="C2103" t="str">
            <v>EDIFICIO BAHIA LINDA</v>
          </cell>
          <cell r="D2103" t="str">
            <v>4312923</v>
          </cell>
          <cell r="E2103" t="str">
            <v>edbahialinda@gmail.com</v>
          </cell>
          <cell r="F2103" t="str">
            <v>CARRERA 1  28  70</v>
          </cell>
          <cell r="G2103">
            <v>11001</v>
          </cell>
        </row>
        <row r="2104">
          <cell r="A2104" t="str">
            <v>900245583</v>
          </cell>
          <cell r="B2104" t="str">
            <v>9</v>
          </cell>
          <cell r="C2104" t="str">
            <v>CONJUNTO RESIDENCIAL MALBEC - PROPIEDAD HORIZONTAL</v>
          </cell>
          <cell r="D2104" t="str">
            <v>3004855</v>
          </cell>
          <cell r="E2104" t="str">
            <v>conjuntomalbec@gmail.com</v>
          </cell>
          <cell r="F2104" t="str">
            <v>CALLE 143 A  54  80</v>
          </cell>
          <cell r="G2104">
            <v>11001</v>
          </cell>
        </row>
        <row r="2105">
          <cell r="A2105" t="str">
            <v>900245777</v>
          </cell>
          <cell r="B2105" t="str">
            <v>0</v>
          </cell>
          <cell r="C2105" t="str">
            <v>CONJUNTO RESIDENCIAL PARQUE IMPERIAL - PROPIEDAD HORIZONTAL</v>
          </cell>
          <cell r="D2105" t="str">
            <v>7819474</v>
          </cell>
          <cell r="E2105" t="str">
            <v>imperial1ph@gmail.com</v>
          </cell>
          <cell r="F2105" t="str">
            <v>CALLE 151 C  107  10</v>
          </cell>
          <cell r="G2105">
            <v>11001</v>
          </cell>
        </row>
        <row r="2106">
          <cell r="A2106" t="str">
            <v>900246222</v>
          </cell>
          <cell r="B2106" t="str">
            <v>1</v>
          </cell>
          <cell r="C2106" t="str">
            <v>CENTRO COMERCIAL BRISAS PLAZA SHOPPING - PROPIEDAD HORIZONTAL</v>
          </cell>
          <cell r="D2106" t="str">
            <v>922400831</v>
          </cell>
          <cell r="E2106" t="str">
            <v>proveedores.vivabuena@outlook.com</v>
          </cell>
          <cell r="F2106" t="str">
            <v>CALLE 2  66  86</v>
          </cell>
          <cell r="G2106">
            <v>11001</v>
          </cell>
        </row>
        <row r="2107">
          <cell r="A2107" t="str">
            <v>900247427</v>
          </cell>
          <cell r="B2107" t="str">
            <v>7</v>
          </cell>
          <cell r="C2107" t="str">
            <v>CONJUNTO RESIDENCIAL DA VINCI III - PROPIEDAD HORIZONTAL-</v>
          </cell>
          <cell r="D2107" t="str">
            <v>4121193</v>
          </cell>
          <cell r="E2107" t="str">
            <v>contabilidad@davinci3.com.co</v>
          </cell>
          <cell r="F2107" t="str">
            <v>CARRERA 71 B BIS  12 A  40</v>
          </cell>
          <cell r="G2107">
            <v>11001</v>
          </cell>
        </row>
        <row r="2108">
          <cell r="A2108" t="str">
            <v>900247427</v>
          </cell>
          <cell r="B2108" t="str">
            <v>7</v>
          </cell>
          <cell r="C2108" t="str">
            <v>CONJUNTO RESIDENCIAL DA VINCI III - PROPIEDAD HORIZONTAL-</v>
          </cell>
          <cell r="D2108" t="str">
            <v>4121193</v>
          </cell>
          <cell r="E2108" t="str">
            <v>contabilidad@davinci3.com.co</v>
          </cell>
          <cell r="F2108" t="str">
            <v>CARRERA 71 B BIS  12 A  40</v>
          </cell>
          <cell r="G2108">
            <v>11001</v>
          </cell>
        </row>
        <row r="2109">
          <cell r="A2109" t="str">
            <v>900248195</v>
          </cell>
          <cell r="B2109" t="str">
            <v>8</v>
          </cell>
          <cell r="C2109" t="str">
            <v>TORRE 93 SAS</v>
          </cell>
          <cell r="D2109" t="str">
            <v>3138384885</v>
          </cell>
          <cell r="E2109" t="str">
            <v>torre93sas@gmail.com</v>
          </cell>
          <cell r="F2109" t="str">
            <v>AV CL 127 7 A 47 OF 101</v>
          </cell>
          <cell r="G2109">
            <v>11001</v>
          </cell>
        </row>
        <row r="2110">
          <cell r="A2110" t="str">
            <v>900248725</v>
          </cell>
          <cell r="B2110" t="str">
            <v>1</v>
          </cell>
          <cell r="C2110" t="str">
            <v>PARQUE RESIDENCIAL LAS RAMBLAS</v>
          </cell>
          <cell r="D2110" t="str">
            <v>3166176770</v>
          </cell>
          <cell r="E2110" t="str">
            <v>lasramblasph@gmail.com</v>
          </cell>
          <cell r="F2110" t="str">
            <v>CARRERA 19  10 N  89</v>
          </cell>
          <cell r="G2110">
            <v>11001</v>
          </cell>
        </row>
        <row r="2111">
          <cell r="A2111" t="str">
            <v>900250818</v>
          </cell>
          <cell r="B2111" t="str">
            <v>4</v>
          </cell>
          <cell r="C2111" t="str">
            <v>EDIFICIO VISION 72 PROPIEDAD HORIZONTAL</v>
          </cell>
          <cell r="D2111" t="str">
            <v>3178042</v>
          </cell>
          <cell r="E2111" t="str">
            <v>proyectoedificiovision72@gmail.com</v>
          </cell>
          <cell r="F2111" t="str">
            <v>CALLE 72  8  56</v>
          </cell>
          <cell r="G2111">
            <v>11001</v>
          </cell>
        </row>
        <row r="2112">
          <cell r="A2112" t="str">
            <v>900250835</v>
          </cell>
          <cell r="B2112" t="str">
            <v>1</v>
          </cell>
          <cell r="C2112" t="str">
            <v>CONJUNTO RESIDENCIAL SANTIAGO DE COMPOSTELA</v>
          </cell>
          <cell r="D2112" t="str">
            <v>7700389</v>
          </cell>
          <cell r="E2112" t="str">
            <v>cr.santiagodecompostela@gmail.com</v>
          </cell>
          <cell r="F2112" t="str">
            <v>CARRERA 9 A  14  55</v>
          </cell>
          <cell r="G2112">
            <v>11001</v>
          </cell>
        </row>
        <row r="2113">
          <cell r="A2113" t="str">
            <v>900250846</v>
          </cell>
          <cell r="B2113" t="str">
            <v>0</v>
          </cell>
          <cell r="C2113" t="str">
            <v>SIERRALAGUNA CONDOMINIO MARINO</v>
          </cell>
          <cell r="D2113" t="str">
            <v>3 1 0 3 6 6 0 6 9 2</v>
          </cell>
          <cell r="E2113" t="str">
            <v>contablesierralaguna@hotmail.com</v>
          </cell>
          <cell r="F2113" t="str">
            <v>CL 74 A 1 107 SEC LAGOS DEL DULCINO</v>
          </cell>
          <cell r="G2113">
            <v>11001</v>
          </cell>
        </row>
        <row r="2114">
          <cell r="A2114" t="str">
            <v>900251442</v>
          </cell>
          <cell r="B2114" t="str">
            <v>3</v>
          </cell>
          <cell r="C2114" t="str">
            <v>EDIFICIO OIKOS CEDRO GOLF - PROPIEDAD HORIZONTAL</v>
          </cell>
          <cell r="D2114" t="str">
            <v>5241006</v>
          </cell>
          <cell r="E2114" t="str">
            <v>adinprholtda@gmail.com</v>
          </cell>
          <cell r="F2114" t="str">
            <v>CARRERA 15  116  36  OFICINA 604</v>
          </cell>
          <cell r="G2114">
            <v>11001</v>
          </cell>
        </row>
        <row r="2115">
          <cell r="A2115" t="str">
            <v>900252072</v>
          </cell>
          <cell r="B2115" t="str">
            <v>6</v>
          </cell>
          <cell r="C2115" t="str">
            <v>EDIFICIO AKASHI</v>
          </cell>
          <cell r="D2115" t="str">
            <v>6552656</v>
          </cell>
          <cell r="E2115" t="str">
            <v>edificioakashi@gmail.com</v>
          </cell>
          <cell r="F2115" t="str">
            <v>CARRERA 7  5  71</v>
          </cell>
          <cell r="G2115">
            <v>11001</v>
          </cell>
        </row>
        <row r="2116">
          <cell r="A2116" t="str">
            <v>900252401</v>
          </cell>
          <cell r="B2116" t="str">
            <v>6</v>
          </cell>
          <cell r="C2116" t="str">
            <v>CONJUNTO BIFAMILIAR KUBIK 68 - PROPIEDAD HORIZONTAL</v>
          </cell>
          <cell r="D2116" t="str">
            <v>3138456595</v>
          </cell>
          <cell r="E2116" t="str">
            <v>edificiokubik68@gmail.com</v>
          </cell>
          <cell r="F2116" t="str">
            <v>CARRERA 15  77  50 OFICINA 502</v>
          </cell>
          <cell r="G2116">
            <v>11001</v>
          </cell>
        </row>
        <row r="2117">
          <cell r="A2117" t="str">
            <v>900253270</v>
          </cell>
          <cell r="B2117" t="str">
            <v>2</v>
          </cell>
          <cell r="C2117" t="str">
            <v>EDIFICIO SANANDRESITO CENTRO</v>
          </cell>
          <cell r="D2117" t="str">
            <v>6705447</v>
          </cell>
          <cell r="E2117" t="str">
            <v>contabilidad.sanandresitocentro@hotmail.com</v>
          </cell>
          <cell r="F2117" t="str">
            <v>CARRERA 15  37  12</v>
          </cell>
          <cell r="G2117">
            <v>11001</v>
          </cell>
        </row>
        <row r="2118">
          <cell r="A2118" t="str">
            <v>900253687</v>
          </cell>
          <cell r="B2118" t="str">
            <v>1</v>
          </cell>
          <cell r="C2118" t="str">
            <v>CONJUNTO RESIDENCIAL ALTOS DE LA PRADERA ETAPAS I, II, III - PROPIEDAD HORIZONTAL</v>
          </cell>
          <cell r="D2118" t="str">
            <v>7027830</v>
          </cell>
          <cell r="E2118" t="str">
            <v>administracion@altosdelapradera.com</v>
          </cell>
          <cell r="F2118" t="str">
            <v>CALLE 166  9  70</v>
          </cell>
          <cell r="G2118">
            <v>11001</v>
          </cell>
        </row>
        <row r="2119">
          <cell r="A2119" t="str">
            <v>900253687</v>
          </cell>
          <cell r="B2119" t="str">
            <v>1</v>
          </cell>
          <cell r="C2119" t="str">
            <v>CONJUNTO RESIDENCIAL ALTOS DE LA PRADERA ETAPAS I, II, III - PROPIEDAD HORIZONTAL</v>
          </cell>
          <cell r="D2119" t="str">
            <v>7027830</v>
          </cell>
          <cell r="E2119" t="str">
            <v>administracion@altosdelapradera.com</v>
          </cell>
          <cell r="F2119" t="str">
            <v>CALLE 166  9  70</v>
          </cell>
          <cell r="G2119">
            <v>11001</v>
          </cell>
        </row>
        <row r="2120">
          <cell r="A2120" t="str">
            <v>900253884</v>
          </cell>
          <cell r="B2120" t="str">
            <v>4</v>
          </cell>
          <cell r="C2120" t="str">
            <v>EDIFICIO ZAFIRO</v>
          </cell>
          <cell r="D2120" t="str">
            <v>6564235</v>
          </cell>
          <cell r="E2120" t="str">
            <v>edificio.zafiro@hotmail.com</v>
          </cell>
          <cell r="F2120" t="str">
            <v>BRR EL CABRERO SEC MARBELLA CR 1 43 18</v>
          </cell>
          <cell r="G2120">
            <v>11001</v>
          </cell>
        </row>
        <row r="2121">
          <cell r="A2121" t="str">
            <v>900253909</v>
          </cell>
          <cell r="B2121" t="str">
            <v>1</v>
          </cell>
          <cell r="C2121" t="str">
            <v>CONJUNTO RESIDENCIAL BRISAS DE SAN LORENZO TORRES 1, 2 Y 3</v>
          </cell>
          <cell r="D2121" t="str">
            <v>4036915</v>
          </cell>
          <cell r="E2121" t="str">
            <v>crbrisasdesanlorenzo@gmail.com</v>
          </cell>
          <cell r="F2121" t="str">
            <v>CARRERA 85 E  45  66</v>
          </cell>
          <cell r="G2121">
            <v>11001</v>
          </cell>
        </row>
        <row r="2122">
          <cell r="A2122" t="str">
            <v>900253913</v>
          </cell>
          <cell r="B2122" t="str">
            <v>1</v>
          </cell>
          <cell r="C2122" t="str">
            <v>CONJUNTO RESIDENCIAL RESERVA DE LA FLORA ETAPA 1A Y 1B</v>
          </cell>
          <cell r="D2122" t="str">
            <v>3781559</v>
          </cell>
          <cell r="E2122" t="str">
            <v>admonreservadelaflora@gmail.com</v>
          </cell>
          <cell r="F2122" t="str">
            <v>CALLE 64  5 B  41</v>
          </cell>
          <cell r="G2122">
            <v>11001</v>
          </cell>
        </row>
        <row r="2123">
          <cell r="A2123" t="str">
            <v>900253958</v>
          </cell>
          <cell r="B2123" t="str">
            <v>0</v>
          </cell>
          <cell r="C2123" t="str">
            <v>CONJUNTO RESIDENCIAL TORRES DE ANDALUCIA PROPIEDAD HORIZONTAL</v>
          </cell>
          <cell r="D2123" t="str">
            <v>3164920158</v>
          </cell>
          <cell r="E2123" t="str">
            <v>torresdeandaluciajj@gmail.com</v>
          </cell>
          <cell r="F2123" t="str">
            <v>CALLE 180  12 A  16</v>
          </cell>
          <cell r="G2123">
            <v>11001</v>
          </cell>
        </row>
        <row r="2124">
          <cell r="A2124" t="str">
            <v>900253958</v>
          </cell>
          <cell r="B2124" t="str">
            <v>0</v>
          </cell>
          <cell r="C2124" t="str">
            <v>CONJUNTO RESIDENCIAL TORRES DE ANDALUCIA PROPIEDAD HORIZONTAL</v>
          </cell>
          <cell r="D2124" t="str">
            <v>3164920158</v>
          </cell>
          <cell r="E2124" t="str">
            <v>torresdeandaluciajj@gmail.com</v>
          </cell>
          <cell r="F2124" t="str">
            <v>CALLE 180  12 A  16</v>
          </cell>
          <cell r="G2124">
            <v>11001</v>
          </cell>
        </row>
        <row r="2125">
          <cell r="A2125" t="str">
            <v>900254248</v>
          </cell>
          <cell r="B2125" t="str">
            <v>4</v>
          </cell>
          <cell r="C2125" t="str">
            <v>EDIFICIO NAVARRA VILLAGE PROPIEDAD HORIZONTAL</v>
          </cell>
          <cell r="D2125" t="str">
            <v>3125031949</v>
          </cell>
          <cell r="E2125" t="str">
            <v>contabilidadcastroardilaph@gmail.com</v>
          </cell>
          <cell r="F2125" t="str">
            <v>CALLE 106 A  19 A  64</v>
          </cell>
          <cell r="G2125">
            <v>11001</v>
          </cell>
        </row>
        <row r="2126">
          <cell r="A2126" t="str">
            <v>900254327</v>
          </cell>
          <cell r="B2126" t="str">
            <v>8</v>
          </cell>
          <cell r="C2126" t="str">
            <v>CONDOMINIO TERRA ALTA</v>
          </cell>
          <cell r="D2126" t="str">
            <v>6429441</v>
          </cell>
          <cell r="E2126" t="str">
            <v>condominioterraalta20@hotmail.com</v>
          </cell>
          <cell r="F2126" t="str">
            <v>CARRERA 20  51 A  25</v>
          </cell>
          <cell r="G2126">
            <v>11001</v>
          </cell>
        </row>
        <row r="2127">
          <cell r="A2127" t="str">
            <v>900255079</v>
          </cell>
          <cell r="B2127" t="str">
            <v>0</v>
          </cell>
          <cell r="C2127" t="str">
            <v>EDIFICIO AREZZO 60 PROPIEDAD HORIZONTAL</v>
          </cell>
          <cell r="D2127" t="str">
            <v>3458464</v>
          </cell>
          <cell r="E2127" t="str">
            <v>edificioarezzo60@gmail.com</v>
          </cell>
          <cell r="F2127" t="str">
            <v>CARRERA 4  60 A  60</v>
          </cell>
          <cell r="G2127">
            <v>11001</v>
          </cell>
        </row>
        <row r="2128">
          <cell r="A2128" t="str">
            <v>900255079</v>
          </cell>
          <cell r="B2128" t="str">
            <v>0</v>
          </cell>
          <cell r="C2128" t="str">
            <v>EDIFICIO AREZZO 60 PROPIEDAD HORIZONTAL</v>
          </cell>
          <cell r="D2128" t="str">
            <v>3458464</v>
          </cell>
          <cell r="E2128" t="str">
            <v>edificioarezzo60@gmail.com</v>
          </cell>
          <cell r="F2128" t="str">
            <v>CARRERA 4  60 A  60</v>
          </cell>
          <cell r="G2128">
            <v>11001</v>
          </cell>
        </row>
        <row r="2129">
          <cell r="A2129" t="str">
            <v>900255458</v>
          </cell>
          <cell r="B2129" t="str">
            <v>9</v>
          </cell>
          <cell r="C2129" t="str">
            <v>EDIFICIO BIELA - PROPIEDAD HORIZONTAL</v>
          </cell>
          <cell r="D2129" t="str">
            <v>3808890</v>
          </cell>
          <cell r="E2129" t="str">
            <v>edificiobiela@gmail.com</v>
          </cell>
          <cell r="F2129" t="str">
            <v>TRANSVERSAL 6  27  10  OFICINA 102</v>
          </cell>
          <cell r="G2129">
            <v>11001</v>
          </cell>
        </row>
        <row r="2130">
          <cell r="A2130" t="str">
            <v>900256727</v>
          </cell>
          <cell r="B2130" t="str">
            <v>1</v>
          </cell>
          <cell r="C2130" t="str">
            <v>URBANIZACION CAJASAN PARQUE CONDOMINIO</v>
          </cell>
          <cell r="D2130" t="str">
            <v>6452277</v>
          </cell>
          <cell r="E2130" t="str">
            <v>condominiocajasanparque2021@gmail.com</v>
          </cell>
          <cell r="F2130" t="str">
            <v>CARRERA 23  30  25</v>
          </cell>
          <cell r="G2130">
            <v>11001</v>
          </cell>
        </row>
        <row r="2131">
          <cell r="A2131" t="str">
            <v>900256838</v>
          </cell>
          <cell r="B2131" t="str">
            <v>9</v>
          </cell>
          <cell r="C2131" t="str">
            <v>CEDRO SAS</v>
          </cell>
          <cell r="D2131">
            <v>3219664011</v>
          </cell>
          <cell r="E2131" t="str">
            <v>financieracedro@gmail.com</v>
          </cell>
          <cell r="F2131" t="str">
            <v>AUTOPISTA NORTE  122  56</v>
          </cell>
          <cell r="G2131">
            <v>11001</v>
          </cell>
        </row>
        <row r="2132">
          <cell r="A2132" t="str">
            <v>900256940</v>
          </cell>
          <cell r="B2132" t="str">
            <v>2</v>
          </cell>
          <cell r="C2132" t="str">
            <v>CONSTRUCTORA INNOVA S.A.S.</v>
          </cell>
          <cell r="D2132" t="str">
            <v>3123880219</v>
          </cell>
          <cell r="E2132" t="str">
            <v>facturacionconstructorainnova@gmail.com</v>
          </cell>
          <cell r="F2132" t="str">
            <v>CARRERA 32  20  26  LOCAL 2</v>
          </cell>
          <cell r="G2132">
            <v>11001</v>
          </cell>
        </row>
        <row r="2133">
          <cell r="A2133" t="str">
            <v>900256955</v>
          </cell>
          <cell r="B2133" t="str">
            <v>2</v>
          </cell>
          <cell r="C2133" t="str">
            <v>EDIFICIO CERRO 72 - PROPIEDAD HORIZONTAL</v>
          </cell>
          <cell r="D2133" t="str">
            <v>3016359969</v>
          </cell>
          <cell r="E2133" t="str">
            <v>hectorhmurillo@gmail.com</v>
          </cell>
          <cell r="F2133" t="str">
            <v>CALLE 72 A  00  53 ESTE</v>
          </cell>
          <cell r="G2133">
            <v>11001</v>
          </cell>
        </row>
        <row r="2134">
          <cell r="A2134" t="str">
            <v>900256955</v>
          </cell>
          <cell r="B2134" t="str">
            <v>2</v>
          </cell>
          <cell r="C2134" t="str">
            <v>EDIFICIO CERRO 72 - PROPIEDAD HORIZONTAL</v>
          </cell>
          <cell r="D2134" t="str">
            <v>3016359969</v>
          </cell>
          <cell r="E2134" t="str">
            <v>hectorhmurillo@gmail.com</v>
          </cell>
          <cell r="F2134" t="str">
            <v>CALLE 72 A  00  53 ESTE</v>
          </cell>
          <cell r="G2134">
            <v>11001</v>
          </cell>
        </row>
        <row r="2135">
          <cell r="A2135" t="str">
            <v>900257103</v>
          </cell>
          <cell r="B2135" t="str">
            <v>9</v>
          </cell>
          <cell r="C2135" t="str">
            <v>TORRE 73 S.A.S.</v>
          </cell>
          <cell r="D2135">
            <v>3219664011</v>
          </cell>
          <cell r="E2135" t="str">
            <v>torre73sas@gmail.com</v>
          </cell>
          <cell r="F2135" t="str">
            <v>CALLE 127  13  96 OFICINA 404</v>
          </cell>
          <cell r="G2135">
            <v>11001</v>
          </cell>
        </row>
        <row r="2136">
          <cell r="A2136" t="str">
            <v>900257167</v>
          </cell>
          <cell r="B2136" t="str">
            <v>1</v>
          </cell>
          <cell r="C2136" t="str">
            <v>CONJUNTO RESIDENCIAL PALMA DE MALLORCA</v>
          </cell>
          <cell r="D2136" t="str">
            <v>3003968676</v>
          </cell>
          <cell r="E2136" t="str">
            <v>conpalmademallorca@gmail.com</v>
          </cell>
          <cell r="F2136" t="str">
            <v>CARRERA 52  86  57</v>
          </cell>
          <cell r="G2136">
            <v>11001</v>
          </cell>
        </row>
        <row r="2137">
          <cell r="A2137" t="str">
            <v>900257327</v>
          </cell>
          <cell r="B2137" t="str">
            <v>1</v>
          </cell>
          <cell r="C2137" t="str">
            <v>CONJUNTO RESIDENCIAL COLINA CLUB RESIDENCIAL - PROPIEDAD HORIZONTAL</v>
          </cell>
          <cell r="D2137" t="str">
            <v>5165564</v>
          </cell>
          <cell r="E2137" t="str">
            <v>contabilidadcolinaclub@gmail.com</v>
          </cell>
          <cell r="F2137" t="str">
            <v>AVENIDA BOYACA  152 B  90</v>
          </cell>
          <cell r="G2137">
            <v>11001</v>
          </cell>
        </row>
        <row r="2138">
          <cell r="A2138" t="str">
            <v>900257327</v>
          </cell>
          <cell r="B2138" t="str">
            <v>1</v>
          </cell>
          <cell r="C2138" t="str">
            <v>CONJUNTO RESIDENCIAL COLINA CLUB RESIDENCIAL - PROPIEDAD HORIZONTAL</v>
          </cell>
          <cell r="D2138" t="str">
            <v>5165564</v>
          </cell>
          <cell r="E2138" t="str">
            <v>contabilidadcolinaclub@gmail.com</v>
          </cell>
          <cell r="F2138" t="str">
            <v>AVENIDA BOYACA  152 B  90</v>
          </cell>
          <cell r="G2138">
            <v>11001</v>
          </cell>
        </row>
        <row r="2139">
          <cell r="A2139" t="str">
            <v>900257810</v>
          </cell>
          <cell r="B2139" t="str">
            <v>8</v>
          </cell>
          <cell r="C2139" t="str">
            <v>EDIFICIO ACQUALINA</v>
          </cell>
          <cell r="D2139" t="str">
            <v>3687721</v>
          </cell>
          <cell r="E2139" t="str">
            <v>bernalesoficina@hotmail.com</v>
          </cell>
          <cell r="F2139" t="str">
            <v>CR 58 79 295</v>
          </cell>
          <cell r="G2139">
            <v>11001</v>
          </cell>
        </row>
        <row r="2140">
          <cell r="A2140" t="str">
            <v>900257823</v>
          </cell>
          <cell r="B2140" t="str">
            <v>3</v>
          </cell>
          <cell r="C2140" t="str">
            <v>URBANIZACION VITENZA P.H.</v>
          </cell>
          <cell r="D2140" t="str">
            <v>3012088341</v>
          </cell>
          <cell r="E2140" t="str">
            <v>admonvitenza@gmail.com</v>
          </cell>
          <cell r="F2140" t="str">
            <v>CALLE 5 SUR  76  150</v>
          </cell>
          <cell r="G2140">
            <v>11001</v>
          </cell>
        </row>
        <row r="2141">
          <cell r="A2141" t="str">
            <v>900258033</v>
          </cell>
          <cell r="B2141" t="str">
            <v>6</v>
          </cell>
          <cell r="C2141" t="str">
            <v>EDIFICIO MIRADOR DEL COUNTRY - PROPIEDAD HORIZONTAL</v>
          </cell>
          <cell r="D2141" t="str">
            <v>6204060</v>
          </cell>
          <cell r="E2141" t="str">
            <v>miradordelcountry134@gmail.com</v>
          </cell>
          <cell r="F2141" t="str">
            <v>CALLE 134  12 B  56</v>
          </cell>
          <cell r="G2141">
            <v>11001</v>
          </cell>
        </row>
        <row r="2142">
          <cell r="A2142" t="str">
            <v>900258033</v>
          </cell>
          <cell r="B2142" t="str">
            <v>6</v>
          </cell>
          <cell r="C2142" t="str">
            <v>EDIFICIO MIRADOR DEL COUNTRY - PROPIEDAD HORIZONTAL</v>
          </cell>
          <cell r="D2142" t="str">
            <v>6204060</v>
          </cell>
          <cell r="E2142" t="str">
            <v>miradordelcountry134@gmail.com</v>
          </cell>
          <cell r="F2142" t="str">
            <v>CALLE 134  12 B  56</v>
          </cell>
          <cell r="G2142">
            <v>11001</v>
          </cell>
        </row>
        <row r="2143">
          <cell r="A2143" t="str">
            <v>900259208</v>
          </cell>
          <cell r="B2143" t="str">
            <v>2</v>
          </cell>
          <cell r="C2143" t="str">
            <v>EDIFICIO REFUGIO 87 - PROPIEDAD HORIZONTAL</v>
          </cell>
          <cell r="D2143" t="str">
            <v>2189460</v>
          </cell>
          <cell r="E2143" t="str">
            <v>facturacion@estiloingenieria.com</v>
          </cell>
          <cell r="F2143" t="str">
            <v>TRANSVERSAL 5  87  06</v>
          </cell>
          <cell r="G2143">
            <v>11001</v>
          </cell>
        </row>
        <row r="2144">
          <cell r="A2144" t="str">
            <v>900259210</v>
          </cell>
          <cell r="B2144" t="str">
            <v>8</v>
          </cell>
          <cell r="C2144" t="str">
            <v>EDIFICIO EL ROBLE 93 - PROPIEDAD HORIZONTAL</v>
          </cell>
          <cell r="D2144" t="str">
            <v>2360131</v>
          </cell>
          <cell r="E2144" t="str">
            <v>facturacion@estiloingenieria.com</v>
          </cell>
          <cell r="F2144" t="str">
            <v>CARRERA 17  93 A  05</v>
          </cell>
          <cell r="G2144">
            <v>11001</v>
          </cell>
        </row>
        <row r="2145">
          <cell r="A2145" t="str">
            <v>900259520</v>
          </cell>
          <cell r="B2145" t="str">
            <v>6</v>
          </cell>
          <cell r="C2145" t="str">
            <v>EDIFICIO ZAFIRO P.H.</v>
          </cell>
          <cell r="D2145">
            <v>3219664011</v>
          </cell>
          <cell r="E2145" t="str">
            <v>edzafiroph@gmail.com</v>
          </cell>
          <cell r="F2145" t="str">
            <v>CALLE 39  66 A  70</v>
          </cell>
          <cell r="G2145">
            <v>11001</v>
          </cell>
        </row>
        <row r="2146">
          <cell r="A2146" t="str">
            <v>900261419</v>
          </cell>
          <cell r="B2146" t="str">
            <v>6</v>
          </cell>
          <cell r="C2146" t="str">
            <v>EDIFICIO RINCON DE LA CALLEJA PROPIEDAD HORIZONTAL</v>
          </cell>
          <cell r="D2146" t="str">
            <v>2748521</v>
          </cell>
          <cell r="E2146" t="str">
            <v>contabilidad.consergerie@gmail.com</v>
          </cell>
          <cell r="F2146" t="str">
            <v>AVENIDA 15  127  66</v>
          </cell>
          <cell r="G2146">
            <v>11001</v>
          </cell>
        </row>
        <row r="2147">
          <cell r="A2147" t="str">
            <v>900261756</v>
          </cell>
          <cell r="B2147" t="str">
            <v>3</v>
          </cell>
          <cell r="C2147" t="str">
            <v>EDIFICIO VIRREY DEL COUNTRY-PROPIEDAD HORIZONTAL</v>
          </cell>
          <cell r="D2147" t="str">
            <v>3164553378</v>
          </cell>
          <cell r="E2147" t="str">
            <v>edificiovirreydelcountry@gmail.com</v>
          </cell>
          <cell r="F2147" t="str">
            <v>CARRERA 19 A  86 A  70</v>
          </cell>
          <cell r="G2147">
            <v>11001</v>
          </cell>
        </row>
        <row r="2148">
          <cell r="A2148" t="str">
            <v>900261993</v>
          </cell>
          <cell r="B2148" t="str">
            <v>2</v>
          </cell>
          <cell r="C2148" t="str">
            <v>EDIFICIO AKORI</v>
          </cell>
          <cell r="D2148" t="str">
            <v>3012730338</v>
          </cell>
          <cell r="E2148" t="str">
            <v>edificioakoriph@grupovalcas.co</v>
          </cell>
          <cell r="F2148" t="str">
            <v>CARRERA 13  96  67</v>
          </cell>
          <cell r="G2148">
            <v>11001</v>
          </cell>
        </row>
        <row r="2149">
          <cell r="A2149" t="str">
            <v>900262734</v>
          </cell>
          <cell r="B2149" t="str">
            <v>6</v>
          </cell>
          <cell r="C2149" t="str">
            <v>EDIFICIO 88-17</v>
          </cell>
          <cell r="D2149" t="str">
            <v>4672414</v>
          </cell>
          <cell r="E2149" t="str">
            <v>edificio8817@gmail.com</v>
          </cell>
          <cell r="F2149" t="str">
            <v>CARRERA 13 A  89  38  OFICINA 218</v>
          </cell>
          <cell r="G2149">
            <v>11001</v>
          </cell>
        </row>
        <row r="2150">
          <cell r="A2150" t="str">
            <v>900262982</v>
          </cell>
          <cell r="B2150" t="str">
            <v>6</v>
          </cell>
          <cell r="C2150" t="str">
            <v>EDIFICIO VILLAGGIO PROPIEDAD HORIZONTAL</v>
          </cell>
          <cell r="D2150">
            <v>3219664011</v>
          </cell>
          <cell r="E2150" t="str">
            <v>admonedificiovillaggio@gmail.com</v>
          </cell>
          <cell r="F2150" t="str">
            <v>CARRERA 14  117  65</v>
          </cell>
          <cell r="G2150">
            <v>11001</v>
          </cell>
        </row>
        <row r="2151">
          <cell r="A2151" t="str">
            <v>900263081</v>
          </cell>
          <cell r="B2151" t="str">
            <v>1</v>
          </cell>
          <cell r="C2151" t="str">
            <v>CHICO 97 PROPIEDAD HORIZONTAL</v>
          </cell>
          <cell r="D2151" t="str">
            <v>5202161</v>
          </cell>
          <cell r="E2151" t="str">
            <v>facturacion@estiloingenieria.com</v>
          </cell>
          <cell r="F2151" t="str">
            <v>CARRERA 8  97  47</v>
          </cell>
          <cell r="G2151">
            <v>11001</v>
          </cell>
        </row>
        <row r="2152">
          <cell r="A2152" t="str">
            <v>900264124</v>
          </cell>
          <cell r="B2152" t="str">
            <v>2</v>
          </cell>
          <cell r="C2152" t="str">
            <v>CONJUNTO RESIDENCIAL SOLARIUM DE PONTEVEDRA - PROPIEDAD HORIZONTAL</v>
          </cell>
          <cell r="D2152" t="str">
            <v>4587657</v>
          </cell>
          <cell r="E2152" t="str">
            <v>solariumdepontevedra88@gmail.com</v>
          </cell>
          <cell r="F2152" t="str">
            <v>CALLE 86 A  69 T  81</v>
          </cell>
          <cell r="G2152">
            <v>11001</v>
          </cell>
        </row>
        <row r="2153">
          <cell r="A2153" t="str">
            <v>900264124</v>
          </cell>
          <cell r="B2153" t="str">
            <v>2</v>
          </cell>
          <cell r="C2153" t="str">
            <v>CONJUNTO RESIDENCIAL SOLARIUM DE PONTEVEDRA - PROPIEDAD HORIZONTAL</v>
          </cell>
          <cell r="D2153" t="str">
            <v>4587657</v>
          </cell>
          <cell r="E2153" t="str">
            <v>solariumdepontevedra88@gmail.com</v>
          </cell>
          <cell r="F2153" t="str">
            <v>CALLE 86 A  69 T  81</v>
          </cell>
          <cell r="G2153">
            <v>11001</v>
          </cell>
        </row>
        <row r="2154">
          <cell r="A2154" t="str">
            <v>900265052</v>
          </cell>
          <cell r="B2154" t="str">
            <v>5</v>
          </cell>
          <cell r="C2154" t="str">
            <v>EDIFICIO VERONA - PROPIEDAD HORIZONTAL</v>
          </cell>
          <cell r="D2154" t="str">
            <v>6371235</v>
          </cell>
          <cell r="E2154" t="str">
            <v>admonverona@hotmail.com</v>
          </cell>
          <cell r="F2154" t="str">
            <v>CARRERA 45 A  123  34</v>
          </cell>
          <cell r="G2154">
            <v>11001</v>
          </cell>
        </row>
        <row r="2155">
          <cell r="A2155" t="str">
            <v>900265052</v>
          </cell>
          <cell r="B2155" t="str">
            <v>5</v>
          </cell>
          <cell r="C2155" t="str">
            <v>EDIFICIO VERONA - PROPIEDAD HORIZONTAL</v>
          </cell>
          <cell r="D2155" t="str">
            <v>6371235</v>
          </cell>
          <cell r="E2155" t="str">
            <v>admonverona@hotmail.com</v>
          </cell>
          <cell r="F2155" t="str">
            <v>CARRERA 45 A  123  34</v>
          </cell>
          <cell r="G2155">
            <v>11001</v>
          </cell>
        </row>
        <row r="2156">
          <cell r="A2156" t="str">
            <v>900265057</v>
          </cell>
          <cell r="B2156" t="str">
            <v>1</v>
          </cell>
          <cell r="C2156" t="str">
            <v>CONJUNTO RESIDENCIAL ARBOLEDA DE SOTILEZA I ETAPA - PROPIEDAD HORIZONTAL</v>
          </cell>
          <cell r="D2156" t="str">
            <v>3000151</v>
          </cell>
          <cell r="E2156" t="str">
            <v>arboledadesotileza2016@gmail.com</v>
          </cell>
          <cell r="F2156" t="str">
            <v>CALLE 128  60  57</v>
          </cell>
          <cell r="G2156">
            <v>11001</v>
          </cell>
        </row>
        <row r="2157">
          <cell r="A2157" t="str">
            <v>900265057</v>
          </cell>
          <cell r="B2157" t="str">
            <v>1</v>
          </cell>
          <cell r="C2157" t="str">
            <v>CONJUNTO RESIDENCIAL ARBOLEDA DE SOTILEZA I ETAPA - PROPIEDAD HORIZONTAL</v>
          </cell>
          <cell r="D2157" t="str">
            <v>3000151</v>
          </cell>
          <cell r="E2157" t="str">
            <v>arboledadesotileza2016@gmail.com</v>
          </cell>
          <cell r="F2157" t="str">
            <v>CALLE 128  60  57</v>
          </cell>
          <cell r="G2157">
            <v>11001</v>
          </cell>
        </row>
        <row r="2158">
          <cell r="A2158" t="str">
            <v>900265131</v>
          </cell>
          <cell r="B2158" t="str">
            <v>9</v>
          </cell>
          <cell r="C2158" t="str">
            <v>CONJUNTO MULTIFAMILIAR PALMAR DE LILI</v>
          </cell>
          <cell r="D2158" t="str">
            <v>5555248</v>
          </cell>
          <cell r="E2158" t="str">
            <v>palmardellili@yahoo.com</v>
          </cell>
          <cell r="F2158" t="str">
            <v>CARRERA 98 A  45  51</v>
          </cell>
          <cell r="G2158">
            <v>11001</v>
          </cell>
        </row>
        <row r="2159">
          <cell r="A2159" t="str">
            <v>900265281</v>
          </cell>
          <cell r="B2159" t="str">
            <v>5</v>
          </cell>
          <cell r="C2159" t="str">
            <v>EDIFICIO MARLY 50 - 15 -PROPIEDAD HORIZONTAL</v>
          </cell>
          <cell r="D2159" t="str">
            <v>2882405</v>
          </cell>
          <cell r="E2159" t="str">
            <v>facturacion@estiloingenieria.com</v>
          </cell>
          <cell r="F2159" t="str">
            <v>CALLE 50  15  45</v>
          </cell>
          <cell r="G2159">
            <v>11001</v>
          </cell>
        </row>
        <row r="2160">
          <cell r="A2160" t="str">
            <v>900267029</v>
          </cell>
          <cell r="B2160" t="str">
            <v>4</v>
          </cell>
          <cell r="C2160" t="str">
            <v>EDIFICIO MANTRA - PROPIEDAD HORIZONTAL</v>
          </cell>
          <cell r="D2160" t="str">
            <v>6947704</v>
          </cell>
          <cell r="E2160" t="str">
            <v>serviciosph@gmail.com</v>
          </cell>
          <cell r="F2160" t="str">
            <v>CARRERA 17 A  103  61</v>
          </cell>
          <cell r="G2160">
            <v>11001</v>
          </cell>
        </row>
        <row r="2161">
          <cell r="A2161" t="str">
            <v>900268306</v>
          </cell>
          <cell r="B2161" t="str">
            <v>4</v>
          </cell>
          <cell r="C2161" t="str">
            <v>CONJUNTO BALCONES DE MANZANEDA 2 - PROPIEDAD HORIZONTAL</v>
          </cell>
          <cell r="D2161" t="str">
            <v>4758671</v>
          </cell>
          <cell r="E2161" t="str">
            <v>balconesdemanzaneda2.ph@gmail.com</v>
          </cell>
          <cell r="F2161" t="str">
            <v>CARRERA 56  161  71</v>
          </cell>
          <cell r="G2161">
            <v>11001</v>
          </cell>
        </row>
        <row r="2162">
          <cell r="A2162" t="str">
            <v>900269315</v>
          </cell>
          <cell r="B2162" t="str">
            <v>5</v>
          </cell>
          <cell r="C2162" t="str">
            <v>CONJUNTO RESIDENCIAL PASEO REAL II</v>
          </cell>
          <cell r="D2162" t="str">
            <v>6640724</v>
          </cell>
          <cell r="E2162" t="str">
            <v>paseoreal2@hotmail.com</v>
          </cell>
          <cell r="F2162" t="str">
            <v>AVENIDA 4 B  58 N  62</v>
          </cell>
          <cell r="G2162">
            <v>11001</v>
          </cell>
        </row>
        <row r="2163">
          <cell r="A2163" t="str">
            <v>900270380</v>
          </cell>
          <cell r="B2163" t="str">
            <v>6</v>
          </cell>
          <cell r="C2163" t="str">
            <v>EDIFICIO VIOLONCELLO - PROPIEDAD HORIZONTAL.</v>
          </cell>
          <cell r="D2163" t="str">
            <v>2138340</v>
          </cell>
          <cell r="E2163" t="str">
            <v>violoncello122@gmail.com</v>
          </cell>
          <cell r="F2163" t="str">
            <v>CARRERA 17  122  58</v>
          </cell>
          <cell r="G2163">
            <v>11001</v>
          </cell>
        </row>
        <row r="2164">
          <cell r="A2164" t="str">
            <v>900272873</v>
          </cell>
          <cell r="B2164" t="str">
            <v>4</v>
          </cell>
          <cell r="C2164" t="str">
            <v>EDIFICIO CAMINOS DE BELLA SUIZA PROPIEDAD HORIZONTAL</v>
          </cell>
          <cell r="D2164" t="str">
            <v>3103295614</v>
          </cell>
          <cell r="E2164" t="str">
            <v>edificiocaminosdebellasuiza@gmail.com</v>
          </cell>
          <cell r="F2164" t="str">
            <v>CALLE 128  7 C  22</v>
          </cell>
          <cell r="G2164">
            <v>11001</v>
          </cell>
        </row>
        <row r="2165">
          <cell r="A2165" t="str">
            <v>900273967</v>
          </cell>
          <cell r="B2165" t="str">
            <v>2</v>
          </cell>
          <cell r="C2165" t="str">
            <v>EDIFICIO AREA 91 PH</v>
          </cell>
          <cell r="D2165" t="str">
            <v>8050020</v>
          </cell>
          <cell r="E2165" t="str">
            <v>admon.area91@invermetros.com.co</v>
          </cell>
          <cell r="F2165" t="str">
            <v>CARRERA 17  90  57</v>
          </cell>
          <cell r="G2165">
            <v>11001</v>
          </cell>
        </row>
        <row r="2166">
          <cell r="A2166" t="str">
            <v>900273967</v>
          </cell>
          <cell r="B2166" t="str">
            <v>2</v>
          </cell>
          <cell r="C2166" t="str">
            <v>EDIFICIO AREA 91 PH</v>
          </cell>
          <cell r="D2166" t="str">
            <v>8050020</v>
          </cell>
          <cell r="E2166" t="str">
            <v>admon.area91@invermetros.com.co</v>
          </cell>
          <cell r="F2166" t="str">
            <v>CARRERA 17  90  57</v>
          </cell>
          <cell r="G2166">
            <v>11001</v>
          </cell>
        </row>
        <row r="2167">
          <cell r="A2167" t="str">
            <v>900275410</v>
          </cell>
          <cell r="B2167" t="str">
            <v>1</v>
          </cell>
          <cell r="C2167" t="str">
            <v>EDIFICIO KYRIOS P H</v>
          </cell>
          <cell r="D2167" t="str">
            <v>3208022358</v>
          </cell>
          <cell r="E2167" t="str">
            <v>edificiokyrios@hotmail.com</v>
          </cell>
          <cell r="F2167" t="str">
            <v>CARRERA 8  86  79</v>
          </cell>
          <cell r="G2167">
            <v>11001</v>
          </cell>
        </row>
        <row r="2168">
          <cell r="A2168" t="str">
            <v>900275417</v>
          </cell>
          <cell r="B2168" t="str">
            <v>2</v>
          </cell>
          <cell r="C2168" t="str">
            <v>EDIFICIO CARIARI - PROPIEDAD HORIZONTAL</v>
          </cell>
          <cell r="D2168" t="str">
            <v>3214781090</v>
          </cell>
          <cell r="E2168" t="str">
            <v>facturacion@estiloingenieria.com</v>
          </cell>
          <cell r="F2168" t="str">
            <v>CARRERA 17 A  103  27</v>
          </cell>
          <cell r="G2168">
            <v>11001</v>
          </cell>
        </row>
        <row r="2169">
          <cell r="A2169" t="str">
            <v>900275452</v>
          </cell>
          <cell r="B2169" t="str">
            <v>0</v>
          </cell>
          <cell r="C2169" t="str">
            <v>EDIFICIO SEVILLA PROPIEDAD HORIZONTAL</v>
          </cell>
          <cell r="D2169" t="str">
            <v>7423294</v>
          </cell>
          <cell r="E2169" t="str">
            <v>facturacion@estiloingenieria.com</v>
          </cell>
          <cell r="F2169" t="str">
            <v>CARRERA 9  50  54</v>
          </cell>
          <cell r="G2169">
            <v>11001</v>
          </cell>
        </row>
        <row r="2170">
          <cell r="A2170" t="str">
            <v>900277003</v>
          </cell>
          <cell r="B2170" t="str">
            <v>6</v>
          </cell>
          <cell r="C2170" t="str">
            <v>EDIFICIO THE POINT II PROPIEDAD HORIZONTAL</v>
          </cell>
          <cell r="D2170" t="str">
            <v>2577755</v>
          </cell>
          <cell r="E2170" t="str">
            <v>facturacion@estiloingenieria.com</v>
          </cell>
          <cell r="F2170" t="str">
            <v>CARRERA 9 BIS  119  07</v>
          </cell>
          <cell r="G2170">
            <v>11001</v>
          </cell>
        </row>
        <row r="2171">
          <cell r="A2171" t="str">
            <v>900279246</v>
          </cell>
          <cell r="B2171" t="str">
            <v>8</v>
          </cell>
          <cell r="C2171" t="str">
            <v>EDIFICIO TATAMI PROPIEDAD HORIZONTAL</v>
          </cell>
          <cell r="D2171" t="str">
            <v>6299258</v>
          </cell>
          <cell r="E2171" t="str">
            <v>edificiotatamiph@gmail.com</v>
          </cell>
          <cell r="F2171" t="str">
            <v>TRANSVERSAL 4  52 A  33</v>
          </cell>
          <cell r="G2171">
            <v>11001</v>
          </cell>
        </row>
        <row r="2172">
          <cell r="A2172" t="str">
            <v>900279258</v>
          </cell>
          <cell r="B2172" t="str">
            <v>6</v>
          </cell>
          <cell r="C2172" t="str">
            <v>CONJUNTO RESIDENCIAL CONDADO DE LA COLINA ETAPA I - PROPIEDAD HORIZONTAL</v>
          </cell>
          <cell r="D2172" t="str">
            <v>4720647</v>
          </cell>
          <cell r="E2172" t="str">
            <v>conjuntoelcondado@gmail.com</v>
          </cell>
          <cell r="F2172" t="str">
            <v>CARRERA 54 D  135  34</v>
          </cell>
          <cell r="G2172">
            <v>11001</v>
          </cell>
        </row>
        <row r="2173">
          <cell r="A2173" t="str">
            <v>900279342</v>
          </cell>
          <cell r="B2173" t="str">
            <v>7</v>
          </cell>
          <cell r="C2173" t="str">
            <v>EDIFICIO SKORPIO</v>
          </cell>
          <cell r="D2173" t="str">
            <v>3106830898</v>
          </cell>
          <cell r="E2173" t="str">
            <v>edificioskorpio.1@hotmail.com</v>
          </cell>
          <cell r="F2173" t="str">
            <v>CR 49 C 99 30</v>
          </cell>
          <cell r="G2173">
            <v>11001</v>
          </cell>
        </row>
        <row r="2174">
          <cell r="A2174" t="str">
            <v>900280245</v>
          </cell>
          <cell r="B2174" t="str">
            <v>2</v>
          </cell>
          <cell r="C2174" t="str">
            <v>REFUGIO DEL VIRREY - PROPIEDAD HORIZONTAL</v>
          </cell>
          <cell r="D2174" t="str">
            <v>3043319662</v>
          </cell>
          <cell r="E2174" t="str">
            <v>refugiodelvirrey@hotmail.com</v>
          </cell>
          <cell r="F2174" t="str">
            <v>AVENIDA CARRERA 20  88  32</v>
          </cell>
          <cell r="G2174">
            <v>11001</v>
          </cell>
        </row>
        <row r="2175">
          <cell r="A2175" t="str">
            <v>900280551</v>
          </cell>
          <cell r="B2175" t="str">
            <v>1</v>
          </cell>
          <cell r="C2175" t="str">
            <v>CENTRO COMERCIAL BUENAVISTA II</v>
          </cell>
          <cell r="D2175" t="str">
            <v>3 0 9 1 8 1 5</v>
          </cell>
          <cell r="E2175" t="str">
            <v>recepcion@ccbuenavista.com</v>
          </cell>
          <cell r="F2175" t="str">
            <v>CL 99 52 53</v>
          </cell>
          <cell r="G2175">
            <v>11001</v>
          </cell>
        </row>
        <row r="2176">
          <cell r="A2176" t="str">
            <v>900280831</v>
          </cell>
          <cell r="B2176" t="str">
            <v>9</v>
          </cell>
          <cell r="C2176" t="str">
            <v>EDIFICIO 17-103</v>
          </cell>
          <cell r="D2176" t="str">
            <v>7270681</v>
          </cell>
          <cell r="E2176" t="str">
            <v>edificio17.103ph@gmail.com</v>
          </cell>
          <cell r="F2176" t="str">
            <v>CARRERA 17  103  43</v>
          </cell>
          <cell r="G2176">
            <v>11001</v>
          </cell>
        </row>
        <row r="2177">
          <cell r="A2177" t="str">
            <v>900281538</v>
          </cell>
          <cell r="B2177" t="str">
            <v>1</v>
          </cell>
          <cell r="C2177" t="str">
            <v>CONJUNTO RESIDENCIAL MONTREAL - PROPIEDAD HORIZONTAL</v>
          </cell>
          <cell r="D2177" t="str">
            <v>3563103</v>
          </cell>
          <cell r="E2177" t="str">
            <v>conjuntomontreal@hotmail.com</v>
          </cell>
          <cell r="F2177" t="str">
            <v>CALLE 152 B  72  52</v>
          </cell>
          <cell r="G2177">
            <v>11001</v>
          </cell>
        </row>
        <row r="2178">
          <cell r="A2178" t="str">
            <v>900281538</v>
          </cell>
          <cell r="B2178" t="str">
            <v>1</v>
          </cell>
          <cell r="C2178" t="str">
            <v>CONJUNTO RESIDENCIAL MONTREAL - PROPIEDAD HORIZONTAL</v>
          </cell>
          <cell r="D2178" t="str">
            <v>3563103</v>
          </cell>
          <cell r="E2178" t="str">
            <v>conjuntomontreal@hotmail.com</v>
          </cell>
          <cell r="F2178" t="str">
            <v>CALLE 152 B  72  52</v>
          </cell>
          <cell r="G2178">
            <v>11001</v>
          </cell>
        </row>
        <row r="2179">
          <cell r="A2179" t="str">
            <v>900283218</v>
          </cell>
          <cell r="B2179" t="str">
            <v>7</v>
          </cell>
          <cell r="C2179" t="str">
            <v>CONJUNTO RESIDENCIAL TORRES DE SAN ISIDRO PROPIEDAD HORIZONTAL</v>
          </cell>
          <cell r="D2179" t="str">
            <v>4139101</v>
          </cell>
          <cell r="E2179" t="str">
            <v>admontorresdesanisidro@gmail.com</v>
          </cell>
          <cell r="F2179" t="str">
            <v>CARRERA 69 D  1 51 SUR</v>
          </cell>
          <cell r="G2179">
            <v>11001</v>
          </cell>
        </row>
        <row r="2180">
          <cell r="A2180" t="str">
            <v>900283218</v>
          </cell>
          <cell r="B2180" t="str">
            <v>7</v>
          </cell>
          <cell r="C2180" t="str">
            <v>CONJUNTO RESIDENCIAL TORRES DE SAN ISIDRO PROPIEDAD HORIZONTAL</v>
          </cell>
          <cell r="D2180" t="str">
            <v>4139101</v>
          </cell>
          <cell r="E2180" t="str">
            <v>admontorresdesanisidro@gmail.com</v>
          </cell>
          <cell r="F2180" t="str">
            <v>CARRERA 69 D  1 51 SUR</v>
          </cell>
          <cell r="G2180">
            <v>11001</v>
          </cell>
        </row>
        <row r="2181">
          <cell r="A2181" t="str">
            <v>900284437</v>
          </cell>
          <cell r="B2181" t="str">
            <v>8</v>
          </cell>
          <cell r="C2181" t="str">
            <v>EDIFICIO BRESCIA PROPIEDAD HORIZONTAL</v>
          </cell>
          <cell r="D2181" t="str">
            <v>3123176458</v>
          </cell>
          <cell r="E2181" t="str">
            <v>facturacionjhss@gmail.com</v>
          </cell>
          <cell r="F2181" t="str">
            <v>CARRERA 18 A  103  35</v>
          </cell>
          <cell r="G2181">
            <v>11001</v>
          </cell>
        </row>
        <row r="2182">
          <cell r="A2182" t="str">
            <v>900284483</v>
          </cell>
          <cell r="B2182" t="str">
            <v>7</v>
          </cell>
          <cell r="C2182" t="str">
            <v>EDIFICIO MILANO PROPIEDAD HORIZONTAL</v>
          </cell>
          <cell r="D2182" t="str">
            <v>6154648</v>
          </cell>
          <cell r="E2182" t="str">
            <v>ciaadmon@yahoo.com</v>
          </cell>
          <cell r="F2182" t="str">
            <v>AVENIDA CARRERA 45  128 C  45  OFICINA 301</v>
          </cell>
          <cell r="G2182">
            <v>11001</v>
          </cell>
        </row>
        <row r="2183">
          <cell r="A2183" t="str">
            <v>900291923</v>
          </cell>
          <cell r="B2183" t="str">
            <v>5</v>
          </cell>
          <cell r="C2183" t="str">
            <v>EDIFICIO TORRE CUSEZAR PROPIEDAD HORIZONTAL</v>
          </cell>
          <cell r="D2183" t="str">
            <v>3012524565</v>
          </cell>
          <cell r="E2183" t="str">
            <v>diana.cruz@grupoqcsas.com</v>
          </cell>
          <cell r="F2183" t="str">
            <v>CL 116 7 15</v>
          </cell>
          <cell r="G2183">
            <v>11001</v>
          </cell>
        </row>
        <row r="2184">
          <cell r="A2184" t="str">
            <v>900291923</v>
          </cell>
          <cell r="B2184" t="str">
            <v>5</v>
          </cell>
          <cell r="C2184" t="str">
            <v>EDIFICIO TORRE CUSEZAR PROPIEDAD HORIZONTAL</v>
          </cell>
          <cell r="D2184" t="str">
            <v>3012524565</v>
          </cell>
          <cell r="E2184" t="str">
            <v>diana.cruz@grupoqcsas.com</v>
          </cell>
          <cell r="F2184" t="str">
            <v>CL 116 7 15</v>
          </cell>
          <cell r="G2184">
            <v>11001</v>
          </cell>
        </row>
        <row r="2185">
          <cell r="A2185" t="str">
            <v>900292709</v>
          </cell>
          <cell r="B2185" t="str">
            <v>1</v>
          </cell>
          <cell r="C2185" t="str">
            <v>CONJUNTO RESIDENCIAL MIRADOR DE SAN LUIS PROPIEDAD HORIZONTAL</v>
          </cell>
          <cell r="D2185" t="str">
            <v>7534668</v>
          </cell>
          <cell r="E2185" t="str">
            <v>miradordesanluis@hotmail.com</v>
          </cell>
          <cell r="F2185" t="str">
            <v>CALLE 146 A  58 C  56</v>
          </cell>
          <cell r="G2185">
            <v>11001</v>
          </cell>
        </row>
        <row r="2186">
          <cell r="A2186" t="str">
            <v>900292709</v>
          </cell>
          <cell r="B2186" t="str">
            <v>1</v>
          </cell>
          <cell r="C2186" t="str">
            <v>CONJUNTO RESIDENCIAL MIRADOR DE SAN LUIS PROPIEDAD HORIZONTAL</v>
          </cell>
          <cell r="D2186" t="str">
            <v>7534668</v>
          </cell>
          <cell r="E2186" t="str">
            <v>miradordesanluis@hotmail.com</v>
          </cell>
          <cell r="F2186" t="str">
            <v>CALLE 146 A  58 C  56</v>
          </cell>
          <cell r="G2186">
            <v>11001</v>
          </cell>
        </row>
        <row r="2187">
          <cell r="A2187" t="str">
            <v>900293380</v>
          </cell>
          <cell r="B2187" t="str">
            <v>5</v>
          </cell>
          <cell r="C2187" t="str">
            <v>EDIFICIO MILLENIA PROPIEDAD HORIZONTAL</v>
          </cell>
          <cell r="D2187" t="str">
            <v>6234144</v>
          </cell>
          <cell r="E2187" t="str">
            <v>edificiomillenia104@gmail.com</v>
          </cell>
          <cell r="F2187" t="str">
            <v>CALLE 93 A  11  07  OFICINA 302</v>
          </cell>
          <cell r="G2187">
            <v>11001</v>
          </cell>
        </row>
        <row r="2188">
          <cell r="A2188" t="str">
            <v>900295077</v>
          </cell>
          <cell r="B2188" t="str">
            <v>7</v>
          </cell>
          <cell r="C2188" t="str">
            <v>RESERVA DEL CAMPESTRE LOFT RESORT - PROPIEDAD HORIZONTAL</v>
          </cell>
          <cell r="D2188" t="str">
            <v>3132550</v>
          </cell>
          <cell r="E2188" t="str">
            <v>reservadelcampestreloft@gmail.com</v>
          </cell>
          <cell r="F2188" t="str">
            <v>KILOMETRO 11 VIA CERRITO CARTAGO</v>
          </cell>
          <cell r="G2188">
            <v>11001</v>
          </cell>
        </row>
        <row r="2189">
          <cell r="A2189" t="str">
            <v>900296061</v>
          </cell>
          <cell r="B2189" t="str">
            <v>4</v>
          </cell>
          <cell r="C2189" t="str">
            <v>CONJUNTO RESIDENCIAL CAMINO DE SAN ROQUE - PROPIEDAD HORIZONTAL</v>
          </cell>
          <cell r="D2189">
            <v>3219664011</v>
          </cell>
          <cell r="E2189" t="str">
            <v>conjuntosanroque2023@gmail.com</v>
          </cell>
          <cell r="F2189" t="str">
            <v>CALLE 165 B  13 C  55</v>
          </cell>
          <cell r="G2189">
            <v>11001</v>
          </cell>
        </row>
        <row r="2190">
          <cell r="A2190" t="str">
            <v>900296061</v>
          </cell>
          <cell r="B2190" t="str">
            <v>4</v>
          </cell>
          <cell r="C2190" t="str">
            <v>CONJUNTO RESIDENCIAL CAMINO DE SAN ROQUE - PROPIEDAD HORIZONTAL</v>
          </cell>
          <cell r="D2190">
            <v>3219664011</v>
          </cell>
          <cell r="E2190" t="str">
            <v>conjuntosanroque2023@gmail.com</v>
          </cell>
          <cell r="F2190" t="str">
            <v>CALLE 165 B  13 C  55</v>
          </cell>
          <cell r="G2190">
            <v>11001</v>
          </cell>
        </row>
        <row r="2191">
          <cell r="A2191" t="str">
            <v>900296454</v>
          </cell>
          <cell r="B2191" t="str">
            <v>5</v>
          </cell>
          <cell r="C2191" t="str">
            <v>LA URBANIZACION AGUA DULCE P.H</v>
          </cell>
          <cell r="D2191" t="str">
            <v>6010428</v>
          </cell>
          <cell r="E2191" t="str">
            <v>admonaguadulce1@gmail.com</v>
          </cell>
          <cell r="F2191" t="str">
            <v>CALLE 46 D SUR  42 D  80</v>
          </cell>
          <cell r="G2191">
            <v>11001</v>
          </cell>
        </row>
        <row r="2192">
          <cell r="A2192" t="str">
            <v>900296866</v>
          </cell>
          <cell r="B2192" t="str">
            <v>6</v>
          </cell>
          <cell r="C2192" t="str">
            <v>CONJUNTO RESIDENCIAL RESERVA DE LAS AMERICAS ETAPA 1 PROPIEDAD HORIZONTAL</v>
          </cell>
          <cell r="D2192" t="str">
            <v>3176808797</v>
          </cell>
          <cell r="E2192" t="str">
            <v>crreservadelasamericas@gmail.com</v>
          </cell>
          <cell r="F2192" t="str">
            <v>CL 9 C BIS 68 G 85</v>
          </cell>
          <cell r="G2192">
            <v>11001</v>
          </cell>
        </row>
        <row r="2193">
          <cell r="A2193" t="str">
            <v>900296866</v>
          </cell>
          <cell r="B2193" t="str">
            <v>6</v>
          </cell>
          <cell r="C2193" t="str">
            <v>CONJUNTO RESIDENCIAL RESERVA DE LAS AMERICAS ETAPA 1 PROPIEDAD HORIZONTAL</v>
          </cell>
          <cell r="D2193" t="str">
            <v>3176808797</v>
          </cell>
          <cell r="E2193" t="str">
            <v>crreservadelasamericas@gmail.com</v>
          </cell>
          <cell r="F2193" t="str">
            <v>CL 9 C BIS 68 G 85</v>
          </cell>
          <cell r="G2193">
            <v>11001</v>
          </cell>
        </row>
        <row r="2194">
          <cell r="A2194" t="str">
            <v>900296870</v>
          </cell>
          <cell r="B2194" t="str">
            <v>6</v>
          </cell>
          <cell r="C2194" t="str">
            <v>CONJUNTO RESIDENCIAL RESERVA DE LAS AMERICAS ETAPA 2 PROPIEDAD HORIZONTAL</v>
          </cell>
          <cell r="D2194" t="str">
            <v>3176808797</v>
          </cell>
          <cell r="E2194" t="str">
            <v>crreservadelasamericas@gmail.com</v>
          </cell>
          <cell r="F2194" t="str">
            <v>CL 9 C BIS 68 G 29</v>
          </cell>
          <cell r="G2194">
            <v>11001</v>
          </cell>
        </row>
        <row r="2195">
          <cell r="A2195" t="str">
            <v>900296870</v>
          </cell>
          <cell r="B2195" t="str">
            <v>6</v>
          </cell>
          <cell r="C2195" t="str">
            <v>CONJUNTO RESIDENCIAL RESERVA DE LAS AMERICAS ETAPA 2 PROPIEDAD HORIZONTAL</v>
          </cell>
          <cell r="D2195" t="str">
            <v>3176808797</v>
          </cell>
          <cell r="E2195" t="str">
            <v>crreservadelasamericas@gmail.com</v>
          </cell>
          <cell r="F2195" t="str">
            <v>CL 9 C BIS 68 G 29</v>
          </cell>
          <cell r="G2195">
            <v>11001</v>
          </cell>
        </row>
        <row r="2196">
          <cell r="A2196" t="str">
            <v>900296991</v>
          </cell>
          <cell r="B2196" t="str">
            <v>9</v>
          </cell>
          <cell r="C2196" t="str">
            <v>EDIFICIO MULTIFAMILIAR MONTEVEDRA-PROPIEDAD HORIZONTAL</v>
          </cell>
          <cell r="D2196" t="str">
            <v>8873226</v>
          </cell>
          <cell r="E2196" t="str">
            <v>teretrujillo237@hotmail.com</v>
          </cell>
          <cell r="F2196" t="str">
            <v>CARRERA 20 BIS  65 A  101</v>
          </cell>
          <cell r="G2196">
            <v>11001</v>
          </cell>
        </row>
        <row r="2197">
          <cell r="A2197" t="str">
            <v>900297016</v>
          </cell>
          <cell r="B2197" t="str">
            <v>7</v>
          </cell>
          <cell r="C2197" t="str">
            <v>CONJUNTO RESIDENCIAL ARBOLEDA DE LILI ETAPA I</v>
          </cell>
          <cell r="D2197" t="str">
            <v>3709280</v>
          </cell>
          <cell r="E2197" t="str">
            <v>arboledadellili.ph@gmail.com</v>
          </cell>
          <cell r="F2197" t="str">
            <v>CARRERA 92  25  40</v>
          </cell>
          <cell r="G2197">
            <v>11001</v>
          </cell>
        </row>
        <row r="2198">
          <cell r="A2198" t="str">
            <v>900297030</v>
          </cell>
          <cell r="B2198" t="str">
            <v>0</v>
          </cell>
          <cell r="C2198" t="str">
            <v>EDIFICIO TORRE 93 PROPIEDAD HORIZONTAL</v>
          </cell>
          <cell r="D2198" t="str">
            <v>7048330</v>
          </cell>
          <cell r="E2198" t="str">
            <v>900297030@recepciondefacturas.co</v>
          </cell>
          <cell r="F2198" t="str">
            <v>CARRERA 13 A  28  58  OFICINA 247</v>
          </cell>
          <cell r="G2198">
            <v>11001</v>
          </cell>
        </row>
        <row r="2199">
          <cell r="A2199" t="str">
            <v>900297030</v>
          </cell>
          <cell r="B2199" t="str">
            <v>0</v>
          </cell>
          <cell r="C2199" t="str">
            <v>EDIFICIO TORRE 93 PROPIEDAD HORIZONTAL</v>
          </cell>
          <cell r="D2199" t="str">
            <v>7048330</v>
          </cell>
          <cell r="E2199" t="str">
            <v>900297030@recepciondefacturas.co</v>
          </cell>
          <cell r="F2199" t="str">
            <v>CARRERA 13 A  28  58  OFICINA 247</v>
          </cell>
          <cell r="G2199">
            <v>11001</v>
          </cell>
        </row>
        <row r="2200">
          <cell r="A2200" t="str">
            <v>900297183</v>
          </cell>
          <cell r="B2200" t="str">
            <v>9</v>
          </cell>
          <cell r="C2200" t="str">
            <v>EDIFICIO SKY II PROPIEDAD HORIZONTAL</v>
          </cell>
          <cell r="D2200" t="str">
            <v>6552800</v>
          </cell>
          <cell r="E2200" t="str">
            <v>edificiosky2@hotmail.com</v>
          </cell>
          <cell r="F2200" t="str">
            <v>CARRERA 2  10  59</v>
          </cell>
          <cell r="G2200">
            <v>11001</v>
          </cell>
        </row>
        <row r="2201">
          <cell r="A2201" t="str">
            <v>900297601</v>
          </cell>
          <cell r="B2201" t="str">
            <v>6</v>
          </cell>
          <cell r="C2201" t="str">
            <v>CONJUNTO RESIDENCIAL OASIS DE CRISTALES PH</v>
          </cell>
          <cell r="D2201" t="str">
            <v>3217582582</v>
          </cell>
          <cell r="E2201" t="str">
            <v>elcondominio@hotmail.com</v>
          </cell>
          <cell r="F2201" t="str">
            <v>CARRERA 37  1  82</v>
          </cell>
          <cell r="G2201">
            <v>11001</v>
          </cell>
        </row>
        <row r="2202">
          <cell r="A2202" t="str">
            <v>900298503</v>
          </cell>
          <cell r="B2202" t="str">
            <v>7</v>
          </cell>
          <cell r="C2202" t="str">
            <v>EDIFICIO RIVERA DEL PRADO</v>
          </cell>
          <cell r="D2202" t="str">
            <v>3158662736</v>
          </cell>
          <cell r="E2202" t="str">
            <v>edf.riveradelprado@gmail.com</v>
          </cell>
          <cell r="F2202" t="str">
            <v>CARRERA 34  34  41</v>
          </cell>
          <cell r="G2202">
            <v>11001</v>
          </cell>
        </row>
        <row r="2203">
          <cell r="A2203" t="str">
            <v>900298569</v>
          </cell>
          <cell r="B2203" t="str">
            <v>2</v>
          </cell>
          <cell r="C2203" t="str">
            <v>CREAR CALLE 81 S.A.S</v>
          </cell>
          <cell r="D2203" t="str">
            <v>3208362905</v>
          </cell>
          <cell r="E2203" t="str">
            <v>a.contable@adcolombia.net</v>
          </cell>
          <cell r="F2203" t="str">
            <v>CL 126 A 7 C 87 P 5 OF 504</v>
          </cell>
          <cell r="G2203">
            <v>11001</v>
          </cell>
        </row>
        <row r="2204">
          <cell r="A2204" t="str">
            <v>900300055</v>
          </cell>
          <cell r="B2204" t="str">
            <v>7</v>
          </cell>
          <cell r="C2204" t="str">
            <v>GESTION DE ACTIVOS TECNI S A S</v>
          </cell>
          <cell r="D2204" t="str">
            <v>2568708</v>
          </cell>
          <cell r="E2204" t="str">
            <v>fetecnisas@gmail.com</v>
          </cell>
          <cell r="F2204" t="str">
            <v>CL 100 19 54</v>
          </cell>
          <cell r="G2204">
            <v>11001</v>
          </cell>
        </row>
        <row r="2205">
          <cell r="A2205" t="str">
            <v>900300531</v>
          </cell>
          <cell r="B2205" t="str">
            <v>1</v>
          </cell>
          <cell r="C2205" t="str">
            <v>EDIFICIO NIKO PROPIEDAD HORIZONTAL</v>
          </cell>
          <cell r="D2205" t="str">
            <v>3006197445</v>
          </cell>
          <cell r="E2205" t="str">
            <v>admonniko61@gmail.com</v>
          </cell>
          <cell r="F2205" t="str">
            <v>CALLE 61  231  37</v>
          </cell>
          <cell r="G2205">
            <v>11001</v>
          </cell>
        </row>
        <row r="2206">
          <cell r="A2206" t="str">
            <v>900303011</v>
          </cell>
          <cell r="B2206" t="str">
            <v>7</v>
          </cell>
          <cell r="C2206" t="str">
            <v>INGENIERIA EN CONSTRUCCIONES CIVILES S.A.S</v>
          </cell>
          <cell r="D2206" t="str">
            <v>2683620</v>
          </cell>
          <cell r="E2206" t="str">
            <v>facturacion@inge.com.co</v>
          </cell>
          <cell r="F2206" t="str">
            <v>CALLE 7 D #43A 99</v>
          </cell>
          <cell r="G2206">
            <v>11001</v>
          </cell>
        </row>
        <row r="2207">
          <cell r="A2207" t="str">
            <v>900303331</v>
          </cell>
          <cell r="B2207" t="str">
            <v>9</v>
          </cell>
          <cell r="C2207" t="str">
            <v>CONJUNTO RESIDENCIAL TORRES DE LA GIRALDA P.H</v>
          </cell>
          <cell r="D2207" t="str">
            <v>3328506</v>
          </cell>
          <cell r="E2207" t="str">
            <v>torresdelagiralda1@gmail.com</v>
          </cell>
          <cell r="F2207" t="str">
            <v>CALLE 48  39  57</v>
          </cell>
          <cell r="G2207">
            <v>11001</v>
          </cell>
        </row>
        <row r="2208">
          <cell r="A2208" t="str">
            <v>900303707</v>
          </cell>
          <cell r="B2208" t="str">
            <v>4</v>
          </cell>
          <cell r="C2208" t="str">
            <v>PARQUE IMPERIAL II  PROPIEDAD HORIZONTAL</v>
          </cell>
          <cell r="D2208" t="str">
            <v>6312949</v>
          </cell>
          <cell r="E2208" t="str">
            <v>parqueimperialdos@gmail.com</v>
          </cell>
          <cell r="F2208" t="str">
            <v>CALLE 151 C  104  50</v>
          </cell>
          <cell r="G2208">
            <v>11001</v>
          </cell>
        </row>
        <row r="2209">
          <cell r="A2209" t="str">
            <v>900303707</v>
          </cell>
          <cell r="B2209" t="str">
            <v>4</v>
          </cell>
          <cell r="C2209" t="str">
            <v>PARQUE IMPERIAL II  PROPIEDAD HORIZONTAL</v>
          </cell>
          <cell r="D2209" t="str">
            <v>6312949</v>
          </cell>
          <cell r="E2209" t="str">
            <v>parqueimperialdos@gmail.com</v>
          </cell>
          <cell r="F2209" t="str">
            <v>CALLE 151 C  104  50</v>
          </cell>
          <cell r="G2209">
            <v>11001</v>
          </cell>
        </row>
        <row r="2210">
          <cell r="A2210" t="str">
            <v>900303821</v>
          </cell>
          <cell r="B2210" t="str">
            <v>6</v>
          </cell>
          <cell r="C2210" t="str">
            <v>PARQUE DEL CHICO 99- PROPIEDAD HORIZONTAL</v>
          </cell>
          <cell r="D2210">
            <v>3219664011</v>
          </cell>
          <cell r="E2210" t="str">
            <v>director.chico99@colliers.com</v>
          </cell>
          <cell r="F2210" t="str">
            <v>CALLE 99  9 A  45</v>
          </cell>
          <cell r="G2210">
            <v>11001</v>
          </cell>
        </row>
        <row r="2211">
          <cell r="A2211" t="str">
            <v>900304954</v>
          </cell>
          <cell r="B2211" t="str">
            <v>1</v>
          </cell>
          <cell r="C2211" t="str">
            <v>TERRACOTA 93 PH</v>
          </cell>
          <cell r="D2211" t="str">
            <v>6206407</v>
          </cell>
          <cell r="E2211" t="str">
            <v>edifterracota93@gmail.com</v>
          </cell>
          <cell r="F2211" t="str">
            <v>CARRERA 19 A  120  32</v>
          </cell>
          <cell r="G2211">
            <v>11001</v>
          </cell>
        </row>
        <row r="2212">
          <cell r="A2212" t="str">
            <v>900305252</v>
          </cell>
          <cell r="B2212" t="str">
            <v>4</v>
          </cell>
          <cell r="C2212" t="str">
            <v>EDIFICIO RIO MOLINO  PROPIEDAD HORIZONTAL</v>
          </cell>
          <cell r="D2212" t="str">
            <v>2362160</v>
          </cell>
          <cell r="E2212" t="str">
            <v>riomolino67@gmail.com</v>
          </cell>
          <cell r="F2212" t="str">
            <v>CARRERA 15  77  50  OFICINA 502</v>
          </cell>
          <cell r="G2212">
            <v>11001</v>
          </cell>
        </row>
        <row r="2213">
          <cell r="A2213" t="str">
            <v>900307343</v>
          </cell>
          <cell r="B2213" t="str">
            <v>5</v>
          </cell>
          <cell r="C2213" t="str">
            <v>CONJUNTO RESIDENCIAL CASA DEL VIRREY ESLAVA</v>
          </cell>
          <cell r="D2213" t="str">
            <v>6791374</v>
          </cell>
          <cell r="E2213" t="str">
            <v>casadelvirrey@gmail.com</v>
          </cell>
          <cell r="F2213" t="str">
            <v>CARRERA 6  38  68</v>
          </cell>
          <cell r="G2213">
            <v>11001</v>
          </cell>
        </row>
        <row r="2214">
          <cell r="A2214" t="str">
            <v>900307389</v>
          </cell>
          <cell r="B2214" t="str">
            <v>3</v>
          </cell>
          <cell r="C2214" t="str">
            <v>CONJUNTO RESIDENCIAL URBANIZACION PARQUE DE LOS BERNAL P.H</v>
          </cell>
          <cell r="D2214" t="str">
            <v>3123524485</v>
          </cell>
          <cell r="E2214" t="str">
            <v>info@parquedelosbernal.com</v>
          </cell>
          <cell r="F2214" t="str">
            <v>CARRERA 84 B  7  95</v>
          </cell>
          <cell r="G2214">
            <v>11001</v>
          </cell>
        </row>
        <row r="2215">
          <cell r="A2215" t="str">
            <v>900308942</v>
          </cell>
          <cell r="B2215" t="str">
            <v>1</v>
          </cell>
          <cell r="C2215" t="str">
            <v>PROMOTORA INMOBILIARIA LA CUENCA S.A.S.</v>
          </cell>
          <cell r="D2215" t="str">
            <v>313 63 43</v>
          </cell>
          <cell r="E2215" t="str">
            <v>cvascos@acierto.com.co</v>
          </cell>
          <cell r="F2215" t="str">
            <v>Carrera 39 E Calle 48F sur</v>
          </cell>
          <cell r="G2215">
            <v>11001</v>
          </cell>
        </row>
        <row r="2216">
          <cell r="A2216" t="str">
            <v>900309049</v>
          </cell>
          <cell r="B2216" t="str">
            <v>3</v>
          </cell>
          <cell r="C2216" t="str">
            <v>CONJUNTO RESIDENCIAL FLOR DE CAÑA</v>
          </cell>
          <cell r="D2216" t="str">
            <v>3767618</v>
          </cell>
          <cell r="E2216" t="str">
            <v>cr.flordecana@hotmail.com</v>
          </cell>
          <cell r="F2216" t="str">
            <v>CALLE 53  19  66</v>
          </cell>
          <cell r="G2216">
            <v>11001</v>
          </cell>
        </row>
        <row r="2217">
          <cell r="A2217" t="str">
            <v>900310631</v>
          </cell>
          <cell r="B2217" t="str">
            <v>2</v>
          </cell>
          <cell r="C2217" t="str">
            <v>EDIFICIO CHATEL BELLA SUIZA</v>
          </cell>
          <cell r="D2217" t="str">
            <v>3108813276</v>
          </cell>
          <cell r="E2217" t="str">
            <v>edificiochatel@gmail.com</v>
          </cell>
          <cell r="F2217" t="str">
            <v>CARRERA 7 C  127  79</v>
          </cell>
          <cell r="G2217">
            <v>11001</v>
          </cell>
        </row>
        <row r="2218">
          <cell r="A2218" t="str">
            <v>900311370</v>
          </cell>
          <cell r="B2218" t="str">
            <v>1</v>
          </cell>
          <cell r="C2218" t="str">
            <v>EDIFICIO BONAVISTA PROPIEDAD HORIZONTAL</v>
          </cell>
          <cell r="D2218" t="str">
            <v>3112500375</v>
          </cell>
          <cell r="E2218" t="str">
            <v>edificiobonavistaph@gmail.com</v>
          </cell>
          <cell r="F2218" t="str">
            <v>CARRERA 20 C  77  19</v>
          </cell>
          <cell r="G2218">
            <v>11001</v>
          </cell>
        </row>
        <row r="2219">
          <cell r="A2219" t="str">
            <v>900312310</v>
          </cell>
          <cell r="B2219" t="str">
            <v>2</v>
          </cell>
          <cell r="C2219" t="str">
            <v>EDIFICIO 3 PARQUES PROPIEDAD HORIZONTAL</v>
          </cell>
          <cell r="D2219" t="str">
            <v>6730958</v>
          </cell>
          <cell r="E2219" t="str">
            <v>admon3parques@gmail.com</v>
          </cell>
          <cell r="F2219" t="str">
            <v>CALLE 129  7  63</v>
          </cell>
          <cell r="G2219">
            <v>11001</v>
          </cell>
        </row>
        <row r="2220">
          <cell r="A2220" t="str">
            <v>900312419</v>
          </cell>
          <cell r="B2220" t="str">
            <v>6</v>
          </cell>
          <cell r="C2220" t="str">
            <v>EDIFICIO OLIVARA</v>
          </cell>
          <cell r="D2220" t="str">
            <v>3174029136</v>
          </cell>
          <cell r="E2220" t="str">
            <v>edf.olivara@gmail.com</v>
          </cell>
          <cell r="F2220" t="str">
            <v>CALLE 35  27  79</v>
          </cell>
          <cell r="G2220">
            <v>11001</v>
          </cell>
        </row>
        <row r="2221">
          <cell r="A2221" t="str">
            <v>900312472</v>
          </cell>
          <cell r="B2221" t="str">
            <v>7</v>
          </cell>
          <cell r="C2221" t="str">
            <v>CONJUNTO RESIDENCIAL ATIKA P.H</v>
          </cell>
          <cell r="D2221" t="str">
            <v>4673394</v>
          </cell>
          <cell r="E2221" t="str">
            <v>atikaph.gerencia@gmail.com</v>
          </cell>
          <cell r="F2221" t="str">
            <v>CALLE 23  66  39</v>
          </cell>
          <cell r="G2221">
            <v>11001</v>
          </cell>
        </row>
        <row r="2222">
          <cell r="A2222" t="str">
            <v>900312472</v>
          </cell>
          <cell r="B2222" t="str">
            <v>7</v>
          </cell>
          <cell r="C2222" t="str">
            <v>CONJUNTO RESIDENCIAL ATIKA P.H</v>
          </cell>
          <cell r="D2222" t="str">
            <v>4673394</v>
          </cell>
          <cell r="E2222" t="str">
            <v>atikaph.gerencia@gmail.com</v>
          </cell>
          <cell r="F2222" t="str">
            <v>CALLE 23  66  39</v>
          </cell>
          <cell r="G2222">
            <v>11001</v>
          </cell>
        </row>
        <row r="2223">
          <cell r="A2223" t="str">
            <v>900313373</v>
          </cell>
          <cell r="B2223" t="str">
            <v>0</v>
          </cell>
          <cell r="C2223" t="str">
            <v>EDIFICIO PARQUE MEDITERRANEO TORRE 4 P.H</v>
          </cell>
          <cell r="D2223" t="str">
            <v>2067780</v>
          </cell>
          <cell r="E2223" t="str">
            <v>parque_mediterraneo@hotmail.com</v>
          </cell>
          <cell r="F2223" t="str">
            <v>CALLE 44 SUR  38  125</v>
          </cell>
          <cell r="G2223">
            <v>11001</v>
          </cell>
        </row>
        <row r="2224">
          <cell r="A2224" t="str">
            <v>900313904</v>
          </cell>
          <cell r="B2224" t="str">
            <v>1</v>
          </cell>
          <cell r="C2224" t="str">
            <v>EDIFICIO EL RINCON DE SAN PATRICIO PROPIEDAD HORIZONTAL</v>
          </cell>
          <cell r="D2224" t="str">
            <v>6207212</v>
          </cell>
          <cell r="E2224" t="str">
            <v>sanpatricioadm@yahoo.es</v>
          </cell>
          <cell r="F2224" t="str">
            <v>CALLE 108  17 A  65</v>
          </cell>
          <cell r="G2224">
            <v>11001</v>
          </cell>
        </row>
        <row r="2225">
          <cell r="A2225" t="str">
            <v>900313904</v>
          </cell>
          <cell r="B2225" t="str">
            <v>1</v>
          </cell>
          <cell r="C2225" t="str">
            <v>EDIFICIO EL RINCON DE SAN PATRICIO PROPIEDAD HORIZONTAL</v>
          </cell>
          <cell r="D2225" t="str">
            <v>6207212</v>
          </cell>
          <cell r="E2225" t="str">
            <v>sanpatricioadm@yahoo.es</v>
          </cell>
          <cell r="F2225" t="str">
            <v>CALLE 108  17 A  65</v>
          </cell>
          <cell r="G2225">
            <v>11001</v>
          </cell>
        </row>
        <row r="2226">
          <cell r="A2226" t="str">
            <v>900314196</v>
          </cell>
          <cell r="B2226" t="str">
            <v>8</v>
          </cell>
          <cell r="C2226" t="str">
            <v>EDIFICIO BAUHAUS PROPIEDAD HORIZONTAL</v>
          </cell>
          <cell r="D2226" t="str">
            <v>3104672</v>
          </cell>
          <cell r="E2226" t="str">
            <v>EDIFICIOBAUHAUSPH@GMAIL.COM</v>
          </cell>
          <cell r="F2226" t="str">
            <v>CALLE 75  13  51</v>
          </cell>
          <cell r="G2226">
            <v>11001</v>
          </cell>
        </row>
        <row r="2227">
          <cell r="A2227" t="str">
            <v>900314196</v>
          </cell>
          <cell r="B2227" t="str">
            <v>8</v>
          </cell>
          <cell r="C2227" t="str">
            <v>EDIFICIO BAUHAUS PROPIEDAD HORIZONTAL</v>
          </cell>
          <cell r="D2227" t="str">
            <v>3104672</v>
          </cell>
          <cell r="E2227" t="str">
            <v>EDIFICIOBAUHAUSPH@GMAIL.COM</v>
          </cell>
          <cell r="F2227" t="str">
            <v>CALLE 75  13  51</v>
          </cell>
          <cell r="G2227">
            <v>11001</v>
          </cell>
        </row>
        <row r="2228">
          <cell r="A2228" t="str">
            <v>900314958</v>
          </cell>
          <cell r="B2228" t="str">
            <v>3</v>
          </cell>
          <cell r="C2228" t="str">
            <v>EDIFICIO BARAGGIA-PROPIEDAD HORIZONTAL</v>
          </cell>
          <cell r="D2228" t="str">
            <v>7594018</v>
          </cell>
          <cell r="E2228" t="str">
            <v>admon.baraggia@invermetros.co</v>
          </cell>
          <cell r="F2228" t="str">
            <v>CALLE 108  17  11</v>
          </cell>
          <cell r="G2228">
            <v>11001</v>
          </cell>
        </row>
        <row r="2229">
          <cell r="A2229" t="str">
            <v>900314995</v>
          </cell>
          <cell r="B2229" t="str">
            <v>6</v>
          </cell>
          <cell r="C2229" t="str">
            <v>CONSTRUBIENES J.G. S.A.S</v>
          </cell>
          <cell r="D2229" t="str">
            <v>3669096</v>
          </cell>
          <cell r="E2229" t="str">
            <v>contabilidad@construbienesjg.com</v>
          </cell>
          <cell r="F2229" t="str">
            <v>CR 46 74 SUR 48 LC 101 ED BOREAL</v>
          </cell>
          <cell r="G2229">
            <v>11001</v>
          </cell>
        </row>
        <row r="2230">
          <cell r="A2230" t="str">
            <v>900315057</v>
          </cell>
          <cell r="B2230" t="str">
            <v>7</v>
          </cell>
          <cell r="C2230" t="str">
            <v>CONSTRUCTORA CONARTE S.A.S</v>
          </cell>
          <cell r="D2230" t="str">
            <v>2728054</v>
          </cell>
          <cell r="E2230" t="str">
            <v>radicacion@constructoraconarte.com</v>
          </cell>
          <cell r="F2230" t="str">
            <v>CARRERA 82 A  32 E E  45</v>
          </cell>
          <cell r="G2230">
            <v>11001</v>
          </cell>
        </row>
        <row r="2231">
          <cell r="A2231" t="str">
            <v>900316184</v>
          </cell>
          <cell r="B2231" t="str">
            <v>9</v>
          </cell>
          <cell r="C2231" t="str">
            <v>CONJUNTO RESIDENCIAL URBANIZACION TIERRA DEL SOL P. H. ETAPA 1 Y ETAPA 2</v>
          </cell>
          <cell r="D2231" t="str">
            <v>3103403729</v>
          </cell>
          <cell r="E2231" t="str">
            <v>cr.tierradelsol2022@gmail.com</v>
          </cell>
          <cell r="F2231" t="str">
            <v>CARRERA 82 A  6  78</v>
          </cell>
          <cell r="G2231">
            <v>11001</v>
          </cell>
        </row>
        <row r="2232">
          <cell r="A2232" t="str">
            <v>900316184</v>
          </cell>
          <cell r="B2232" t="str">
            <v>9</v>
          </cell>
          <cell r="C2232" t="str">
            <v>CONJUNTO RESIDENCIAL URBANIZACION TIERRA DEL SOL P. H. ETAPA 1 Y ETAPA 2</v>
          </cell>
          <cell r="D2232" t="str">
            <v>3103403729</v>
          </cell>
          <cell r="E2232" t="str">
            <v>cr.tierradelsol2022@gmail.com</v>
          </cell>
          <cell r="F2232" t="str">
            <v>CARRERA 82 A  6  78</v>
          </cell>
          <cell r="G2232">
            <v>11001</v>
          </cell>
        </row>
        <row r="2233">
          <cell r="A2233" t="str">
            <v>900316871</v>
          </cell>
          <cell r="B2233" t="str">
            <v>0</v>
          </cell>
          <cell r="C2233" t="str">
            <v>CONJUNTO RESIDENCIAL ALTOS DE TIERRA SANTA - PROPIEDAD HORIZONTAL</v>
          </cell>
          <cell r="D2233" t="str">
            <v>4972907</v>
          </cell>
          <cell r="E2233" t="str">
            <v>altostierrasanta.admi@gmail.com</v>
          </cell>
          <cell r="F2233" t="str">
            <v>CALLE 166  8 D  44</v>
          </cell>
          <cell r="G2233">
            <v>11001</v>
          </cell>
        </row>
        <row r="2234">
          <cell r="A2234" t="str">
            <v>900316871</v>
          </cell>
          <cell r="B2234" t="str">
            <v>0</v>
          </cell>
          <cell r="C2234" t="str">
            <v>CONJUNTO RESIDENCIAL ALTOS DE TIERRA SANTA - PROPIEDAD HORIZONTAL</v>
          </cell>
          <cell r="D2234" t="str">
            <v>4972907</v>
          </cell>
          <cell r="E2234" t="str">
            <v>altostierrasanta.admi@gmail.com</v>
          </cell>
          <cell r="F2234" t="str">
            <v>CALLE 166  8 D  44</v>
          </cell>
          <cell r="G2234">
            <v>11001</v>
          </cell>
        </row>
        <row r="2235">
          <cell r="A2235" t="str">
            <v>900316995</v>
          </cell>
          <cell r="B2235" t="str">
            <v>5</v>
          </cell>
          <cell r="C2235" t="str">
            <v>CONVALLE CONSTRUCTORA S.A.S</v>
          </cell>
          <cell r="D2235" t="str">
            <v>3120707</v>
          </cell>
          <cell r="E2235" t="str">
            <v>facturaselectronicas@convalle.com.co</v>
          </cell>
          <cell r="F2235" t="str">
            <v>CL 5 66 B 75 OF 220B</v>
          </cell>
          <cell r="G2235">
            <v>11001</v>
          </cell>
        </row>
        <row r="2236">
          <cell r="A2236" t="str">
            <v>900317084</v>
          </cell>
          <cell r="B2236" t="str">
            <v>5</v>
          </cell>
          <cell r="C2236" t="str">
            <v>CONJUNTO RESIDENCIAL TORRES DE ANDALUCIA-PROPIEDAD HORIZONTAL</v>
          </cell>
          <cell r="D2236" t="str">
            <v>3560132</v>
          </cell>
          <cell r="E2236" t="str">
            <v>conjuntotorresdeandalucia2023@gmail.com</v>
          </cell>
          <cell r="F2236" t="str">
            <v>CARRERA 14 A  151 A  90 TORRE 1</v>
          </cell>
          <cell r="G2236">
            <v>11001</v>
          </cell>
        </row>
        <row r="2237">
          <cell r="A2237" t="str">
            <v>900317107</v>
          </cell>
          <cell r="B2237" t="str">
            <v>6</v>
          </cell>
          <cell r="C2237" t="str">
            <v>EDIFICIO ATARDEZZER PROPIEDAD HORIZONTAL</v>
          </cell>
          <cell r="D2237" t="str">
            <v>3006831286</v>
          </cell>
          <cell r="E2237" t="str">
            <v>tesoreria@admonbuenvivir.com</v>
          </cell>
          <cell r="F2237" t="str">
            <v>CALLE 114  15 A  70</v>
          </cell>
          <cell r="G2237">
            <v>11001</v>
          </cell>
        </row>
        <row r="2238">
          <cell r="A2238" t="str">
            <v>900317869</v>
          </cell>
          <cell r="B2238" t="str">
            <v>1</v>
          </cell>
          <cell r="C2238" t="str">
            <v>EDIFICIO BARCELONA</v>
          </cell>
          <cell r="D2238" t="str">
            <v>6065135</v>
          </cell>
          <cell r="E2238" t="str">
            <v>adminurbanitas@gmail.com</v>
          </cell>
          <cell r="F2238" t="str">
            <v>CALLE 108  16  55</v>
          </cell>
          <cell r="G2238">
            <v>11001</v>
          </cell>
        </row>
        <row r="2239">
          <cell r="A2239" t="str">
            <v>900318590</v>
          </cell>
          <cell r="B2239" t="str">
            <v>5</v>
          </cell>
          <cell r="C2239" t="str">
            <v>EDIFICIO CHICO GARDEN-PROPIEDAD HORIZONTAL</v>
          </cell>
          <cell r="D2239" t="str">
            <v>2566358</v>
          </cell>
          <cell r="E2239" t="str">
            <v>facturacion@estiloingenieria.com</v>
          </cell>
          <cell r="F2239" t="str">
            <v>CALLE 103 A  19 A  88</v>
          </cell>
          <cell r="G2239">
            <v>11001</v>
          </cell>
        </row>
        <row r="2240">
          <cell r="A2240" t="str">
            <v>900319398</v>
          </cell>
          <cell r="B2240" t="str">
            <v>1</v>
          </cell>
          <cell r="C2240" t="str">
            <v>EDIFICIO BALCONY 86 PROPIEDAD HORIZONTAL</v>
          </cell>
          <cell r="D2240" t="str">
            <v>6065135</v>
          </cell>
          <cell r="E2240" t="str">
            <v>adminurbanitas@gmail.com</v>
          </cell>
          <cell r="F2240" t="str">
            <v>CARRERA 15  79  84  OFICINA 303</v>
          </cell>
          <cell r="G2240">
            <v>11001</v>
          </cell>
        </row>
        <row r="2241">
          <cell r="A2241" t="str">
            <v>900321227</v>
          </cell>
          <cell r="B2241" t="str">
            <v>7</v>
          </cell>
          <cell r="C2241" t="str">
            <v>OFICHIA P.H.</v>
          </cell>
          <cell r="D2241" t="str">
            <v>8708537</v>
          </cell>
          <cell r="E2241" t="str">
            <v>ofichia@gmail.com</v>
          </cell>
          <cell r="F2241" t="str">
            <v>CARRERA 1 A  111  30</v>
          </cell>
          <cell r="G2241">
            <v>11001</v>
          </cell>
        </row>
        <row r="2242">
          <cell r="A2242" t="str">
            <v>900322879</v>
          </cell>
          <cell r="B2242" t="str">
            <v>3</v>
          </cell>
          <cell r="C2242" t="str">
            <v>CONJUNTO RESIDENCIAL PORTAL DE LA PRADERA P.H.</v>
          </cell>
          <cell r="D2242" t="str">
            <v>3113127514</v>
          </cell>
          <cell r="E2242" t="str">
            <v>juanuribe1973@hotmail.com</v>
          </cell>
          <cell r="F2242" t="str">
            <v>CARRERA 16  20 A  41</v>
          </cell>
          <cell r="G2242">
            <v>11001</v>
          </cell>
        </row>
        <row r="2243">
          <cell r="A2243" t="str">
            <v>900322981</v>
          </cell>
          <cell r="B2243" t="str">
            <v>7</v>
          </cell>
          <cell r="C2243" t="str">
            <v>MERCADEO Y GESTION INMOBILIARIA S.A.S</v>
          </cell>
          <cell r="D2243" t="str">
            <v>2180606</v>
          </cell>
          <cell r="E2243" t="str">
            <v>900322981@recepciondefacturas.co</v>
          </cell>
          <cell r="F2243" t="str">
            <v>CARRERA 12  90  19  PISO 4</v>
          </cell>
          <cell r="G2243">
            <v>11001</v>
          </cell>
        </row>
        <row r="2244">
          <cell r="A2244" t="str">
            <v>900322981</v>
          </cell>
          <cell r="B2244" t="str">
            <v>7</v>
          </cell>
          <cell r="C2244" t="str">
            <v>MERCADEO Y GESTION INMOBILIARIA S.A.S</v>
          </cell>
          <cell r="D2244" t="str">
            <v>2180606</v>
          </cell>
          <cell r="E2244" t="str">
            <v>900322981@recepciondefacturas.co</v>
          </cell>
          <cell r="F2244" t="str">
            <v>CARRERA 12  90  19  PISO 4</v>
          </cell>
          <cell r="G2244">
            <v>11001</v>
          </cell>
        </row>
        <row r="2245">
          <cell r="A2245" t="str">
            <v>900324228</v>
          </cell>
          <cell r="B2245" t="str">
            <v>8</v>
          </cell>
          <cell r="C2245" t="str">
            <v>INMOBILIARIA 90 S.A.S.</v>
          </cell>
          <cell r="D2245" t="str">
            <v>2368167</v>
          </cell>
          <cell r="E2245" t="str">
            <v>administracion90@emprendu.com</v>
          </cell>
          <cell r="F2245" t="str">
            <v>CARRERA 12  90  19  PISO 4</v>
          </cell>
          <cell r="G2245">
            <v>11001</v>
          </cell>
        </row>
        <row r="2246">
          <cell r="A2246" t="str">
            <v>900324235</v>
          </cell>
          <cell r="B2246" t="str">
            <v>1</v>
          </cell>
          <cell r="C2246" t="str">
            <v>EDIFICIO NEFERETH PROPIEDAD HORIZONTAL</v>
          </cell>
          <cell r="D2246" t="str">
            <v>3183877313</v>
          </cell>
          <cell r="E2246" t="str">
            <v>facturacion@estiloingenieria.com</v>
          </cell>
          <cell r="F2246" t="str">
            <v>CALLE 105  19 A  42</v>
          </cell>
          <cell r="G2246">
            <v>11001</v>
          </cell>
        </row>
        <row r="2247">
          <cell r="A2247" t="str">
            <v>900326683</v>
          </cell>
          <cell r="B2247" t="str">
            <v>5</v>
          </cell>
          <cell r="C2247" t="str">
            <v>EDIFICIO SANTA BARBARA REAL PROPIEDAD HORIZONTAL</v>
          </cell>
          <cell r="D2247" t="str">
            <v>6947704</v>
          </cell>
          <cell r="E2247" t="str">
            <v>edisantabarbarareal@gmail.com</v>
          </cell>
          <cell r="F2247" t="str">
            <v>CARRERA 17 A  123  60</v>
          </cell>
          <cell r="G2247">
            <v>11001</v>
          </cell>
        </row>
        <row r="2248">
          <cell r="A2248" t="str">
            <v>900326814</v>
          </cell>
          <cell r="B2248" t="str">
            <v>3</v>
          </cell>
          <cell r="C2248" t="str">
            <v>EDIFICIO PALMAR DE LA FLORA PROPIEDAD HORIZONTAL</v>
          </cell>
          <cell r="D2248" t="str">
            <v>3154822708</v>
          </cell>
          <cell r="E2248" t="str">
            <v>palmardelaflora1@gmail.com</v>
          </cell>
          <cell r="F2248" t="str">
            <v>AVENIDA 3 F  55 N  72</v>
          </cell>
          <cell r="G2248">
            <v>11001</v>
          </cell>
        </row>
        <row r="2249">
          <cell r="A2249" t="str">
            <v>900327261</v>
          </cell>
          <cell r="B2249" t="str">
            <v>5</v>
          </cell>
          <cell r="C2249" t="str">
            <v>CONJUNTO DE USO MIXTO TORRES DEL RIO P.H</v>
          </cell>
          <cell r="D2249" t="str">
            <v>3187398922</v>
          </cell>
          <cell r="E2249" t="str">
            <v>ctorresdelrio@gmail.com</v>
          </cell>
          <cell r="F2249" t="str">
            <v>CALLE 19  43 G  155</v>
          </cell>
          <cell r="G2249">
            <v>11001</v>
          </cell>
        </row>
        <row r="2250">
          <cell r="A2250" t="str">
            <v>900327281</v>
          </cell>
          <cell r="B2250" t="str">
            <v>2</v>
          </cell>
          <cell r="C2250" t="str">
            <v>EDIFICIO REFUGIO DE LISBOA PROPIEDAD HORIZONTAL</v>
          </cell>
          <cell r="D2250" t="str">
            <v>6148825</v>
          </cell>
          <cell r="E2250" t="str">
            <v>refugiodelisboa134@gmail.com</v>
          </cell>
          <cell r="F2250" t="str">
            <v>CARRERA 10 A  134 B  55</v>
          </cell>
          <cell r="G2250">
            <v>11001</v>
          </cell>
        </row>
        <row r="2251">
          <cell r="A2251" t="str">
            <v>900327285</v>
          </cell>
          <cell r="B2251" t="str">
            <v>1</v>
          </cell>
          <cell r="C2251" t="str">
            <v>EDIFICIO RINCON DEL VIRREY PROPIEDAD HORIZONTAL</v>
          </cell>
          <cell r="D2251" t="str">
            <v>3925023</v>
          </cell>
          <cell r="E2251" t="str">
            <v>admisasfacturaselectronicas@hotmail.com</v>
          </cell>
          <cell r="F2251" t="str">
            <v>CARRERA 12  88  26</v>
          </cell>
          <cell r="G2251">
            <v>11001</v>
          </cell>
        </row>
        <row r="2252">
          <cell r="A2252" t="str">
            <v>900327534</v>
          </cell>
          <cell r="B2252" t="str">
            <v>0</v>
          </cell>
          <cell r="C2252" t="str">
            <v>EDIFICIO NOGALES DEL PARQUE</v>
          </cell>
          <cell r="D2252" t="str">
            <v>3206734685</v>
          </cell>
          <cell r="E2252" t="str">
            <v>facturacion@estiloingenieria.com</v>
          </cell>
          <cell r="F2252" t="str">
            <v>CALLE 17 N  11  70</v>
          </cell>
          <cell r="G2252">
            <v>11001</v>
          </cell>
        </row>
        <row r="2253">
          <cell r="A2253" t="str">
            <v>900327919</v>
          </cell>
          <cell r="B2253" t="str">
            <v>2</v>
          </cell>
          <cell r="C2253" t="str">
            <v>EDIFICIO MARTHA LILIANA PROPIEDAD HORIZONTAL</v>
          </cell>
          <cell r="D2253" t="str">
            <v>6208852</v>
          </cell>
          <cell r="E2253" t="str">
            <v>contabilidadmmotta@gmail.com</v>
          </cell>
          <cell r="F2253" t="str">
            <v>CARRERA 7 B  146  25</v>
          </cell>
          <cell r="G2253">
            <v>11001</v>
          </cell>
        </row>
        <row r="2254">
          <cell r="A2254" t="str">
            <v>900328260</v>
          </cell>
          <cell r="B2254" t="str">
            <v>2</v>
          </cell>
          <cell r="C2254" t="str">
            <v>EDIFICIO PRADELLO PROPIEDAD HORIZONTAL</v>
          </cell>
          <cell r="D2254" t="str">
            <v>3103040204</v>
          </cell>
          <cell r="E2254" t="str">
            <v>admonpradello@yahoo.com.co</v>
          </cell>
          <cell r="F2254" t="str">
            <v>CALLE 48  28  67</v>
          </cell>
          <cell r="G2254">
            <v>11001</v>
          </cell>
        </row>
        <row r="2255">
          <cell r="A2255" t="str">
            <v>900328260</v>
          </cell>
          <cell r="B2255" t="str">
            <v>2</v>
          </cell>
          <cell r="C2255" t="str">
            <v>EDIFICIO PRADELLO PROPIEDAD HORIZONTAL</v>
          </cell>
          <cell r="D2255" t="str">
            <v>3103040204</v>
          </cell>
          <cell r="E2255" t="str">
            <v>admonpradello@yahoo.com.co</v>
          </cell>
          <cell r="F2255" t="str">
            <v>CALLE 48  28  67</v>
          </cell>
          <cell r="G2255">
            <v>11001</v>
          </cell>
        </row>
        <row r="2256">
          <cell r="A2256" t="str">
            <v>900329163</v>
          </cell>
          <cell r="B2256" t="str">
            <v>0</v>
          </cell>
          <cell r="C2256" t="str">
            <v>EDIFICIO QATAR - PROPIEDAD HORIZONTAL</v>
          </cell>
          <cell r="D2256" t="str">
            <v>3153441359</v>
          </cell>
          <cell r="E2256" t="str">
            <v>facturacion@estiloingenieria.com</v>
          </cell>
          <cell r="F2256" t="str">
            <v>CALLE 125  18 A  05</v>
          </cell>
          <cell r="G2256">
            <v>11001</v>
          </cell>
        </row>
        <row r="2257">
          <cell r="A2257" t="str">
            <v>900329215</v>
          </cell>
          <cell r="B2257" t="str">
            <v>5</v>
          </cell>
          <cell r="C2257" t="str">
            <v>CONJUNTO RESIDENCIAL TORRES DE SANTA LUCIA PROPIEDAD HORIZONTAL</v>
          </cell>
          <cell r="D2257" t="str">
            <v>3178188635</v>
          </cell>
          <cell r="E2257" t="str">
            <v>admontorresdesantalucia@gmail.com</v>
          </cell>
          <cell r="F2257" t="str">
            <v>CALLE 191 A  11 A  25</v>
          </cell>
          <cell r="G2257">
            <v>11001</v>
          </cell>
        </row>
        <row r="2258">
          <cell r="A2258" t="str">
            <v>900329216</v>
          </cell>
          <cell r="B2258" t="str">
            <v>2</v>
          </cell>
          <cell r="C2258" t="str">
            <v>EDIFICIO CITRUS PROPIEDAD HORIZONTAL</v>
          </cell>
          <cell r="D2258">
            <v>3219664011</v>
          </cell>
          <cell r="E2258" t="str">
            <v>facturacionelectronica@administracionmarca.com</v>
          </cell>
          <cell r="F2258" t="str">
            <v>TRANSVERSAL 1 ESTE  65 C  41</v>
          </cell>
          <cell r="G2258">
            <v>11001</v>
          </cell>
        </row>
        <row r="2259">
          <cell r="A2259" t="str">
            <v>900329217</v>
          </cell>
          <cell r="B2259" t="str">
            <v>1</v>
          </cell>
          <cell r="C2259" t="str">
            <v>CONJUNTO RESIDENCIAL PASEO DE SANTA CATALINA - PROPIEDAD HORIZONTAL</v>
          </cell>
          <cell r="D2259" t="str">
            <v>4660101</v>
          </cell>
          <cell r="E2259" t="str">
            <v>admonpaseodesantacatalina@gmail.com</v>
          </cell>
          <cell r="F2259" t="str">
            <v>CALLE 146  58 B  22</v>
          </cell>
          <cell r="G2259">
            <v>11001</v>
          </cell>
        </row>
        <row r="2260">
          <cell r="A2260" t="str">
            <v>900329217</v>
          </cell>
          <cell r="B2260" t="str">
            <v>1</v>
          </cell>
          <cell r="C2260" t="str">
            <v>CONJUNTO RESIDENCIAL PASEO DE SANTA CATALINA - PROPIEDAD HORIZONTAL</v>
          </cell>
          <cell r="D2260" t="str">
            <v>4660101</v>
          </cell>
          <cell r="E2260" t="str">
            <v>admonpaseodesantacatalina@gmail.com</v>
          </cell>
          <cell r="F2260" t="str">
            <v>CALLE 146  58 B  22</v>
          </cell>
          <cell r="G2260">
            <v>11001</v>
          </cell>
        </row>
        <row r="2261">
          <cell r="A2261" t="str">
            <v>900329574</v>
          </cell>
          <cell r="B2261" t="str">
            <v>4</v>
          </cell>
          <cell r="C2261" t="str">
            <v>CENTRO COMERCIAL EL PUNTO DE LA ORIENTAL - PROPIEDAD HORIZONTAL</v>
          </cell>
          <cell r="D2261" t="str">
            <v>3226200455</v>
          </cell>
          <cell r="E2261" t="str">
            <v>gerencia@elpuntodelaoriental.com.co</v>
          </cell>
          <cell r="F2261" t="str">
            <v>CARRERA 46  47  66</v>
          </cell>
          <cell r="G2261">
            <v>11001</v>
          </cell>
        </row>
        <row r="2262">
          <cell r="A2262" t="str">
            <v>900330486</v>
          </cell>
          <cell r="B2262" t="str">
            <v>6</v>
          </cell>
          <cell r="C2262" t="str">
            <v>NUEVA INVERSIONES GRATAMIRA S.A.S.</v>
          </cell>
          <cell r="D2262" t="str">
            <v>6471145</v>
          </cell>
          <cell r="E2262" t="str">
            <v>HIBERNIA.SALGADO@GMAIL.COM</v>
          </cell>
          <cell r="F2262" t="str">
            <v>CR 74 139 33</v>
          </cell>
          <cell r="G2262">
            <v>11001</v>
          </cell>
        </row>
        <row r="2263">
          <cell r="A2263" t="str">
            <v>900331283</v>
          </cell>
          <cell r="B2263" t="str">
            <v>2</v>
          </cell>
          <cell r="C2263" t="str">
            <v>CAPRIVAL S.A.S.</v>
          </cell>
          <cell r="D2263" t="str">
            <v>5 4 6 1 8 1 0</v>
          </cell>
          <cell r="E2263" t="str">
            <v>arubio@corredores.com</v>
          </cell>
          <cell r="F2263" t="str">
            <v>CR 7 74 09 P 6</v>
          </cell>
          <cell r="G2263">
            <v>11001</v>
          </cell>
        </row>
        <row r="2264">
          <cell r="A2264" t="str">
            <v>900331283</v>
          </cell>
          <cell r="B2264" t="str">
            <v>2</v>
          </cell>
          <cell r="C2264" t="str">
            <v>CAPRIVAL S.A.S.</v>
          </cell>
          <cell r="D2264" t="str">
            <v>5 4 6 1 8 1 0</v>
          </cell>
          <cell r="E2264" t="str">
            <v>arubio@corredores.com</v>
          </cell>
          <cell r="F2264" t="str">
            <v>CR 7 74 09 P 6</v>
          </cell>
          <cell r="G2264">
            <v>11001</v>
          </cell>
        </row>
        <row r="2265">
          <cell r="A2265" t="str">
            <v>900332192</v>
          </cell>
          <cell r="B2265" t="str">
            <v>5</v>
          </cell>
          <cell r="C2265" t="str">
            <v>EDIFICIO SHANKARA-PROPIEDAD HORIZONTAL</v>
          </cell>
          <cell r="D2265" t="str">
            <v>3158817136</v>
          </cell>
          <cell r="E2265" t="str">
            <v>edificioshankaraph@hotmail.com</v>
          </cell>
          <cell r="F2265" t="str">
            <v>CALLE 103  21  52 BRR CHICO NAVARRRA</v>
          </cell>
          <cell r="G2265">
            <v>11001</v>
          </cell>
        </row>
        <row r="2266">
          <cell r="A2266" t="str">
            <v>900333632</v>
          </cell>
          <cell r="B2266" t="str">
            <v>9</v>
          </cell>
          <cell r="C2266" t="str">
            <v>EDIFICIO MULTIFAMILIAR ZAPHIRO</v>
          </cell>
          <cell r="D2266" t="str">
            <v>3643054</v>
          </cell>
          <cell r="E2266" t="str">
            <v>facturasedificios.ph@gmail.com</v>
          </cell>
          <cell r="F2266" t="str">
            <v>CARRERA 56  79  138</v>
          </cell>
          <cell r="G2266">
            <v>11001</v>
          </cell>
        </row>
        <row r="2267">
          <cell r="A2267" t="str">
            <v>900333783</v>
          </cell>
          <cell r="B2267" t="str">
            <v>2</v>
          </cell>
          <cell r="C2267" t="str">
            <v>EDIFICIO BRUSELAS-PROPIEDAD HORIZONTAL</v>
          </cell>
          <cell r="D2267" t="str">
            <v>2157075</v>
          </cell>
          <cell r="E2267" t="str">
            <v>edificiobruselas@hotmail.com</v>
          </cell>
          <cell r="F2267" t="str">
            <v>CARRERA 17 A  116  57</v>
          </cell>
          <cell r="G2267">
            <v>11001</v>
          </cell>
        </row>
        <row r="2268">
          <cell r="A2268" t="str">
            <v>900334584</v>
          </cell>
          <cell r="B2268" t="str">
            <v>8</v>
          </cell>
          <cell r="C2268" t="str">
            <v>EDIFICIO PARQUE CARMEL 105- PROPIEDAD HORIZONTAL</v>
          </cell>
          <cell r="D2268" t="str">
            <v>6208061</v>
          </cell>
          <cell r="E2268" t="str">
            <v>gurltda@gmail.com</v>
          </cell>
          <cell r="F2268" t="str">
            <v>CALLE 105 A  14  92  OFICINA 610</v>
          </cell>
          <cell r="G2268">
            <v>11001</v>
          </cell>
        </row>
        <row r="2269">
          <cell r="A2269" t="str">
            <v>900337712</v>
          </cell>
          <cell r="B2269" t="str">
            <v>8</v>
          </cell>
          <cell r="C2269" t="str">
            <v>FERRETUBOS DE COLOMBIA S.A.S</v>
          </cell>
          <cell r="D2269">
            <v>3219664011</v>
          </cell>
          <cell r="E2269" t="str">
            <v>construcruz@gmail.com</v>
          </cell>
          <cell r="F2269" t="str">
            <v>CR 97 131 B 39</v>
          </cell>
          <cell r="G2269">
            <v>11001</v>
          </cell>
        </row>
        <row r="2270">
          <cell r="A2270" t="str">
            <v>900338573</v>
          </cell>
          <cell r="B2270" t="str">
            <v>5</v>
          </cell>
          <cell r="C2270" t="str">
            <v>CONJUNTO RESIDENCIAL PIAZZALE 23</v>
          </cell>
          <cell r="D2270" t="str">
            <v>6576364</v>
          </cell>
          <cell r="E2270" t="str">
            <v>conjuntopiazzale23@gmail.com</v>
          </cell>
          <cell r="F2270" t="str">
            <v>CARRERA 23  51  24</v>
          </cell>
          <cell r="G2270">
            <v>11001</v>
          </cell>
        </row>
        <row r="2271">
          <cell r="A2271" t="str">
            <v>900339444</v>
          </cell>
          <cell r="B2271" t="str">
            <v>8</v>
          </cell>
          <cell r="C2271" t="str">
            <v>TRENTO 66</v>
          </cell>
          <cell r="D2271" t="str">
            <v>2497396</v>
          </cell>
          <cell r="E2271" t="str">
            <v>edificiotrento66@hotmail.com</v>
          </cell>
          <cell r="F2271" t="str">
            <v>CALLE 66 BIS  4  17</v>
          </cell>
          <cell r="G2271">
            <v>11001</v>
          </cell>
        </row>
        <row r="2272">
          <cell r="A2272" t="str">
            <v>900341022</v>
          </cell>
          <cell r="B2272" t="str">
            <v>1</v>
          </cell>
          <cell r="C2272" t="str">
            <v>EDIFICIO VERSALLES IMPERIAL</v>
          </cell>
          <cell r="D2272" t="str">
            <v>6346946</v>
          </cell>
          <cell r="E2272" t="str">
            <v>olluperez@hotmail.com</v>
          </cell>
          <cell r="F2272" t="str">
            <v>CALLE 34  23  42</v>
          </cell>
          <cell r="G2272">
            <v>11001</v>
          </cell>
        </row>
        <row r="2273">
          <cell r="A2273" t="str">
            <v>900341322</v>
          </cell>
          <cell r="B2273" t="str">
            <v>4</v>
          </cell>
          <cell r="C2273" t="str">
            <v>METRO OPERACION INMOBILIARIA S A S</v>
          </cell>
          <cell r="D2273" t="str">
            <v>6194509</v>
          </cell>
          <cell r="E2273" t="str">
            <v>facturacionmetro@metro-op.com</v>
          </cell>
          <cell r="F2273" t="str">
            <v>CLL 119 6 A 47</v>
          </cell>
          <cell r="G2273">
            <v>11001</v>
          </cell>
        </row>
        <row r="2274">
          <cell r="A2274" t="str">
            <v>900341497</v>
          </cell>
          <cell r="B2274" t="str">
            <v>4</v>
          </cell>
          <cell r="C2274" t="str">
            <v>MEGACENTRO PINARES - PROPIEDAD HORIZONTAL</v>
          </cell>
          <cell r="D2274" t="str">
            <v>3213222</v>
          </cell>
          <cell r="E2274" t="str">
            <v>administrativa@megacentropinares.com</v>
          </cell>
          <cell r="F2274" t="str">
            <v>CARRERA 19  12  50</v>
          </cell>
          <cell r="G2274">
            <v>11001</v>
          </cell>
        </row>
        <row r="2275">
          <cell r="A2275" t="str">
            <v>900342373</v>
          </cell>
          <cell r="B2275" t="str">
            <v>4</v>
          </cell>
          <cell r="C2275" t="str">
            <v>LEGF CONSTRUCTORA S.A.S.</v>
          </cell>
          <cell r="D2275" t="str">
            <v>3 1 3 4 9 6 0 7 6 9</v>
          </cell>
          <cell r="E2275" t="str">
            <v>diradministrativo@legfconstructora.com</v>
          </cell>
          <cell r="F2275" t="str">
            <v>KM 2 PAR EMPRESARIAL NATURA TO 2 OF 325</v>
          </cell>
          <cell r="G2275">
            <v>11001</v>
          </cell>
        </row>
        <row r="2276">
          <cell r="A2276" t="str">
            <v>900343003</v>
          </cell>
          <cell r="B2276" t="str">
            <v>9</v>
          </cell>
          <cell r="C2276" t="str">
            <v>EDIFICIO 90 PROPIEDAD HORIZONTAL</v>
          </cell>
          <cell r="D2276" t="str">
            <v>6103190</v>
          </cell>
          <cell r="E2276" t="str">
            <v>ed90@sicre.co</v>
          </cell>
          <cell r="F2276" t="str">
            <v>CARRERA 19 A  90  13</v>
          </cell>
          <cell r="G2276">
            <v>11001</v>
          </cell>
        </row>
        <row r="2277">
          <cell r="A2277" t="str">
            <v>900343003</v>
          </cell>
          <cell r="B2277" t="str">
            <v>9</v>
          </cell>
          <cell r="C2277" t="str">
            <v>EDIFICIO 90 PROPIEDAD HORIZONTAL</v>
          </cell>
          <cell r="D2277" t="str">
            <v>6103190</v>
          </cell>
          <cell r="E2277" t="str">
            <v>ed90@sicre.co</v>
          </cell>
          <cell r="F2277" t="str">
            <v>CARRERA 19 A  90  13</v>
          </cell>
          <cell r="G2277">
            <v>11001</v>
          </cell>
        </row>
        <row r="2278">
          <cell r="A2278" t="str">
            <v>900343552</v>
          </cell>
          <cell r="B2278" t="str">
            <v>0</v>
          </cell>
          <cell r="C2278" t="str">
            <v>EDIFICIO CARLOS URIBE GARZON PROPIEDAD HORIZONTAL</v>
          </cell>
          <cell r="D2278" t="str">
            <v>3153326177</v>
          </cell>
          <cell r="E2278" t="str">
            <v>carlosuribeph@gmail.com</v>
          </cell>
          <cell r="F2278" t="str">
            <v>CARRERA 24  37  73</v>
          </cell>
          <cell r="G2278">
            <v>11001</v>
          </cell>
        </row>
        <row r="2279">
          <cell r="A2279" t="str">
            <v>900343819</v>
          </cell>
          <cell r="B2279" t="str">
            <v>1</v>
          </cell>
          <cell r="C2279" t="str">
            <v>CENTRO COMERCIAL UNIPLAZA</v>
          </cell>
          <cell r="D2279">
            <v>3219664011</v>
          </cell>
          <cell r="E2279" t="str">
            <v>admonuniplaza@gmail.com</v>
          </cell>
          <cell r="F2279" t="str">
            <v>CALLE 6  3  55</v>
          </cell>
          <cell r="G2279">
            <v>11001</v>
          </cell>
        </row>
        <row r="2280">
          <cell r="A2280" t="str">
            <v>900344385</v>
          </cell>
          <cell r="B2280" t="str">
            <v>1</v>
          </cell>
          <cell r="C2280" t="str">
            <v>CONJUNTO RESIDENCIAL ALAMEDA PLAZA ETAPA I - PROPIEDAD HORIZONTAL</v>
          </cell>
          <cell r="D2280" t="str">
            <v>7724042</v>
          </cell>
          <cell r="E2280" t="str">
            <v>conjuntoalamedaplaza@gmail.com</v>
          </cell>
          <cell r="F2280" t="str">
            <v>CARRERA 15  173  25</v>
          </cell>
          <cell r="G2280">
            <v>11001</v>
          </cell>
        </row>
        <row r="2281">
          <cell r="A2281" t="str">
            <v>900344385</v>
          </cell>
          <cell r="B2281" t="str">
            <v>1</v>
          </cell>
          <cell r="C2281" t="str">
            <v>CONJUNTO RESIDENCIAL ALAMEDA PLAZA ETAPA I - PROPIEDAD HORIZONTAL</v>
          </cell>
          <cell r="D2281" t="str">
            <v>7724042</v>
          </cell>
          <cell r="E2281" t="str">
            <v>conjuntoalamedaplaza@gmail.com</v>
          </cell>
          <cell r="F2281" t="str">
            <v>CARRERA 15  173  25</v>
          </cell>
          <cell r="G2281">
            <v>11001</v>
          </cell>
        </row>
        <row r="2282">
          <cell r="A2282" t="str">
            <v>900345056</v>
          </cell>
          <cell r="B2282" t="str">
            <v>8</v>
          </cell>
          <cell r="C2282" t="str">
            <v>OPORTO 93 PROPIEDAD HORIZONTAL</v>
          </cell>
          <cell r="D2282" t="str">
            <v>6234144</v>
          </cell>
          <cell r="E2282" t="str">
            <v>edf.oporto93@gmail.com</v>
          </cell>
          <cell r="F2282" t="str">
            <v>CALLE 93 A  11  07  OFICINA 302</v>
          </cell>
          <cell r="G2282">
            <v>11001</v>
          </cell>
        </row>
        <row r="2283">
          <cell r="A2283" t="str">
            <v>900345633</v>
          </cell>
          <cell r="B2283" t="str">
            <v>8</v>
          </cell>
          <cell r="C2283" t="str">
            <v>CONJUNTO RESIDENCIAL CERROS DE LOS ALPES- PROPIEDAD HORIZONTAL</v>
          </cell>
          <cell r="D2283" t="str">
            <v>8001104</v>
          </cell>
          <cell r="E2283" t="str">
            <v>Proveedores@cerrosdelosalpes.com</v>
          </cell>
          <cell r="F2283" t="str">
            <v>CALLE 121  3 A  20</v>
          </cell>
          <cell r="G2283">
            <v>11001</v>
          </cell>
        </row>
        <row r="2284">
          <cell r="A2284" t="str">
            <v>900346725</v>
          </cell>
          <cell r="B2284" t="str">
            <v>1</v>
          </cell>
          <cell r="C2284" t="str">
            <v>CONJUNTO RESIDENCIAL CAMINO DE SANTA ANA PROPIEDAD HORIZONTAL</v>
          </cell>
          <cell r="D2284" t="str">
            <v>6570576</v>
          </cell>
          <cell r="E2284" t="str">
            <v>facturacion@estiloingenieria.com</v>
          </cell>
          <cell r="F2284" t="str">
            <v>CALLE 107 A  7 C  50</v>
          </cell>
          <cell r="G2284">
            <v>11001</v>
          </cell>
        </row>
        <row r="2285">
          <cell r="A2285" t="str">
            <v>900347507</v>
          </cell>
          <cell r="B2285" t="str">
            <v>7</v>
          </cell>
          <cell r="C2285" t="str">
            <v>EDIFICIO SANTA PAULA VILLAGE- PROPIEDAD HORIZONTAL</v>
          </cell>
          <cell r="D2285" t="str">
            <v>6191205</v>
          </cell>
          <cell r="E2285" t="str">
            <v>edificio.stapaula@gmail.com</v>
          </cell>
          <cell r="F2285" t="str">
            <v>CARRERA 14 B  110  63</v>
          </cell>
          <cell r="G2285">
            <v>11001</v>
          </cell>
        </row>
        <row r="2286">
          <cell r="A2286" t="str">
            <v>900347525</v>
          </cell>
          <cell r="B2286" t="str">
            <v>1</v>
          </cell>
          <cell r="C2286" t="str">
            <v>EDIFICIO CHICO VILLAGE PROPIEDAD HORIZONTAL</v>
          </cell>
          <cell r="D2286" t="str">
            <v>6200156</v>
          </cell>
          <cell r="E2286" t="str">
            <v>edificiochicovillage94@gmail.com</v>
          </cell>
          <cell r="F2286" t="str">
            <v>CALLE 127  18 A  39  OFICINA 303</v>
          </cell>
          <cell r="G2286">
            <v>11001</v>
          </cell>
        </row>
        <row r="2287">
          <cell r="A2287" t="str">
            <v>900347725</v>
          </cell>
          <cell r="B2287" t="str">
            <v>6</v>
          </cell>
          <cell r="C2287" t="str">
            <v>CONJUNTO RESIDENCIAL RIVET PROPIEDAD HORIZONTAL</v>
          </cell>
          <cell r="D2287" t="str">
            <v>4731560</v>
          </cell>
          <cell r="E2287" t="str">
            <v>facturacionadmisol@gmail.com</v>
          </cell>
          <cell r="F2287" t="str">
            <v>CARRERA 14  116  45</v>
          </cell>
          <cell r="G2287">
            <v>11001</v>
          </cell>
        </row>
        <row r="2288">
          <cell r="A2288" t="str">
            <v>900348206</v>
          </cell>
          <cell r="B2288" t="str">
            <v>1</v>
          </cell>
          <cell r="C2288" t="str">
            <v>PROYECTOS DE INGENIERIA I &amp; D S.A.S</v>
          </cell>
          <cell r="D2288">
            <v>3219664011</v>
          </cell>
          <cell r="E2288" t="str">
            <v>obrasut09@gmail.com</v>
          </cell>
          <cell r="F2288" t="str">
            <v>CARRERA 47  22 A  85</v>
          </cell>
          <cell r="G2288">
            <v>11001</v>
          </cell>
        </row>
        <row r="2289">
          <cell r="A2289" t="str">
            <v>900348246</v>
          </cell>
          <cell r="B2289" t="str">
            <v>4</v>
          </cell>
          <cell r="C2289" t="str">
            <v>EDIFICIO KASAURY APARTAMENTOS-PRIMERA ETAPA-PROPIEDAD HORIZONTAL</v>
          </cell>
          <cell r="D2289" t="str">
            <v>6713625</v>
          </cell>
          <cell r="E2289" t="str">
            <v>edificiokasaury@gmail.com</v>
          </cell>
          <cell r="F2289" t="str">
            <v>CARRERA 58  169 A  25</v>
          </cell>
          <cell r="G2289">
            <v>11001</v>
          </cell>
        </row>
        <row r="2290">
          <cell r="A2290" t="str">
            <v>900348451</v>
          </cell>
          <cell r="B2290" t="str">
            <v>8</v>
          </cell>
          <cell r="C2290" t="str">
            <v>EDIFICIO ESTANCIA PROPIEDAD HORIZONTAL</v>
          </cell>
          <cell r="D2290" t="str">
            <v>6123705</v>
          </cell>
          <cell r="E2290" t="str">
            <v>facturacion@estiloingenieria.com</v>
          </cell>
          <cell r="F2290" t="str">
            <v>AVENIDA 15  119  32  OFICINA 308</v>
          </cell>
          <cell r="G2290">
            <v>11001</v>
          </cell>
        </row>
        <row r="2291">
          <cell r="A2291" t="str">
            <v>900348487</v>
          </cell>
          <cell r="B2291" t="str">
            <v>2</v>
          </cell>
          <cell r="C2291" t="str">
            <v>CENTRO COMERCIAL SAN ANDRESITO DEL SUR</v>
          </cell>
          <cell r="D2291" t="str">
            <v>3128740</v>
          </cell>
          <cell r="E2291" t="str">
            <v>contabilidad@sanandresitodelsur.com</v>
          </cell>
          <cell r="F2291" t="str">
            <v>CARRERA 80  11 A  51</v>
          </cell>
          <cell r="G2291">
            <v>11001</v>
          </cell>
        </row>
        <row r="2292">
          <cell r="A2292" t="str">
            <v>900349051</v>
          </cell>
          <cell r="B2292" t="str">
            <v>1</v>
          </cell>
          <cell r="C2292" t="str">
            <v>EDIFICIO LIFE PROPIEDAD HORIZONTAL</v>
          </cell>
          <cell r="D2292" t="str">
            <v>312 610 72 55</v>
          </cell>
          <cell r="E2292" t="str">
            <v>carlosqueve@hotmail.com</v>
          </cell>
          <cell r="F2292" t="str">
            <v>CALLE 6 No. 25-95</v>
          </cell>
          <cell r="G2292">
            <v>11001</v>
          </cell>
        </row>
        <row r="2293">
          <cell r="A2293" t="str">
            <v>900349596</v>
          </cell>
          <cell r="B2293" t="str">
            <v>1</v>
          </cell>
          <cell r="C2293" t="str">
            <v>CONJUNTO DE USO MIXTO URBANIZACION JARDIN DE COLORES PH</v>
          </cell>
          <cell r="D2293" t="str">
            <v>5898367</v>
          </cell>
          <cell r="E2293" t="str">
            <v>jardindecoloresph@gmail.com</v>
          </cell>
          <cell r="F2293" t="str">
            <v>CARRERA 76  53  35</v>
          </cell>
          <cell r="G2293">
            <v>11001</v>
          </cell>
        </row>
        <row r="2294">
          <cell r="A2294" t="str">
            <v>900349998</v>
          </cell>
          <cell r="B2294" t="str">
            <v>9</v>
          </cell>
          <cell r="C2294" t="str">
            <v>CONJUNTO RESIDENCIAL TERRAZAS DEL CARIBE</v>
          </cell>
          <cell r="D2294" t="str">
            <v>6056568847</v>
          </cell>
          <cell r="E2294" t="str">
            <v>EDIFICIOTERRAZASDELCARIBE@GMAIL.COM</v>
          </cell>
          <cell r="F2294" t="str">
            <v>CRESPO ED TERRAZAS DEL CARIBE 63 1 42 SEGE 1</v>
          </cell>
          <cell r="G2294">
            <v>11001</v>
          </cell>
        </row>
        <row r="2295">
          <cell r="A2295" t="str">
            <v>900351407</v>
          </cell>
          <cell r="B2295" t="str">
            <v>4</v>
          </cell>
          <cell r="C2295" t="str">
            <v>EDIFICIO EDIZIONE 2008 PROPIEDAD HORIZONTAL</v>
          </cell>
          <cell r="D2295" t="str">
            <v>3124346855</v>
          </cell>
          <cell r="E2295" t="str">
            <v>edificioedizione2008@gmail.com</v>
          </cell>
          <cell r="F2295" t="str">
            <v>CALLE 93 BIS  20  46</v>
          </cell>
          <cell r="G2295">
            <v>11001</v>
          </cell>
        </row>
        <row r="2296">
          <cell r="A2296" t="str">
            <v>900351870</v>
          </cell>
          <cell r="B2296" t="str">
            <v>1</v>
          </cell>
          <cell r="C2296" t="str">
            <v>CONJUNTO RESIDENCIAL FLORIDA DEL COUNTRY</v>
          </cell>
          <cell r="D2296" t="str">
            <v>6399991</v>
          </cell>
          <cell r="E2296" t="str">
            <v>crfloridadelcountry@hotmail.com</v>
          </cell>
          <cell r="F2296" t="str">
            <v>CALLE 47  29  33 OFICINA 501</v>
          </cell>
          <cell r="G2296">
            <v>11001</v>
          </cell>
        </row>
        <row r="2297">
          <cell r="A2297" t="str">
            <v>900352255</v>
          </cell>
          <cell r="B2297" t="str">
            <v>6</v>
          </cell>
          <cell r="C2297" t="str">
            <v>TORRE 26 CENTRO EMPRESARIAL PROPIEDAD HORIZONTAL</v>
          </cell>
          <cell r="D2297" t="str">
            <v>4271051</v>
          </cell>
          <cell r="E2297" t="str">
            <v>administracion@torre26.net</v>
          </cell>
          <cell r="F2297" t="str">
            <v>CALLE 26  69  43</v>
          </cell>
          <cell r="G2297">
            <v>11001</v>
          </cell>
        </row>
        <row r="2298">
          <cell r="A2298" t="str">
            <v>900352255</v>
          </cell>
          <cell r="B2298" t="str">
            <v>6</v>
          </cell>
          <cell r="C2298" t="str">
            <v>TORRE 26 CENTRO EMPRESARIAL PROPIEDAD HORIZONTAL</v>
          </cell>
          <cell r="D2298" t="str">
            <v>4271051</v>
          </cell>
          <cell r="E2298" t="str">
            <v>administracion@torre26.net</v>
          </cell>
          <cell r="F2298" t="str">
            <v>CALLE 26  69  43</v>
          </cell>
          <cell r="G2298">
            <v>11001</v>
          </cell>
        </row>
        <row r="2299">
          <cell r="A2299" t="str">
            <v>900352987</v>
          </cell>
          <cell r="B2299" t="str">
            <v>9</v>
          </cell>
          <cell r="C2299" t="str">
            <v>TERRAZAS DE EMAUS PROPIEDAD HORIZONTAL</v>
          </cell>
          <cell r="D2299" t="str">
            <v>2124178</v>
          </cell>
          <cell r="E2299" t="str">
            <v>terrazasdeemaus@gmail.com</v>
          </cell>
          <cell r="F2299" t="str">
            <v>TRANSVERSAL 2 A  68  50</v>
          </cell>
          <cell r="G2299">
            <v>11001</v>
          </cell>
        </row>
        <row r="2300">
          <cell r="A2300" t="str">
            <v>900353500</v>
          </cell>
          <cell r="B2300" t="str">
            <v>0</v>
          </cell>
          <cell r="C2300" t="str">
            <v>EDIFICIO OIKOS ARISTAS PRIMERA Y SEGUNDA ETAPA PROPIEDAD HORIZONTAL</v>
          </cell>
          <cell r="D2300" t="str">
            <v>6491466</v>
          </cell>
          <cell r="E2300" t="str">
            <v>admon.aristas@gmail.com</v>
          </cell>
          <cell r="F2300" t="str">
            <v>CARRERA 54 A  167 A  41</v>
          </cell>
          <cell r="G2300">
            <v>11001</v>
          </cell>
        </row>
        <row r="2301">
          <cell r="A2301" t="str">
            <v>900353500</v>
          </cell>
          <cell r="B2301" t="str">
            <v>0</v>
          </cell>
          <cell r="C2301" t="str">
            <v>EDIFICIO OIKOS ARISTAS PRIMERA Y SEGUNDA ETAPA PROPIEDAD HORIZONTAL</v>
          </cell>
          <cell r="D2301" t="str">
            <v>6491466</v>
          </cell>
          <cell r="E2301" t="str">
            <v>admon.aristas@gmail.com</v>
          </cell>
          <cell r="F2301" t="str">
            <v>CARRERA 54 A  167 A  41</v>
          </cell>
          <cell r="G2301">
            <v>11001</v>
          </cell>
        </row>
        <row r="2302">
          <cell r="A2302" t="str">
            <v>900354174</v>
          </cell>
          <cell r="B2302" t="str">
            <v>7</v>
          </cell>
          <cell r="C2302" t="str">
            <v>EDIFICIO MONTECANELO PROPIEDAD HORIZONTAL</v>
          </cell>
          <cell r="D2302" t="str">
            <v>3313476</v>
          </cell>
          <cell r="E2302" t="str">
            <v>edificiomontecanelo2018@gmail.com</v>
          </cell>
          <cell r="F2302" t="str">
            <v>CALLE 17  5  57</v>
          </cell>
          <cell r="G2302">
            <v>11001</v>
          </cell>
        </row>
        <row r="2303">
          <cell r="A2303" t="str">
            <v>900354300</v>
          </cell>
          <cell r="B2303" t="str">
            <v>9</v>
          </cell>
          <cell r="C2303" t="str">
            <v>EDIFICIO EMPRESARIAL CALLE 93 PROPIEDAD HORIZONTAL</v>
          </cell>
          <cell r="D2303" t="str">
            <v>6420854</v>
          </cell>
          <cell r="E2303" t="str">
            <v>admonempresarialcll93@gmail.com</v>
          </cell>
          <cell r="F2303" t="str">
            <v>CALLE 93  11 A  11</v>
          </cell>
          <cell r="G2303">
            <v>11001</v>
          </cell>
        </row>
        <row r="2304">
          <cell r="A2304" t="str">
            <v>900354339</v>
          </cell>
          <cell r="B2304" t="str">
            <v>5</v>
          </cell>
          <cell r="C2304" t="str">
            <v>CONJUNTO RESIDENCIAL SOL DE PLATA - PROPIEDAD HORIZONTAL</v>
          </cell>
          <cell r="D2304" t="str">
            <v>4717167</v>
          </cell>
          <cell r="E2304" t="str">
            <v>admonsoldeplata@gmail.com</v>
          </cell>
          <cell r="F2304" t="str">
            <v>CALLE 157 A  92  10</v>
          </cell>
          <cell r="G2304">
            <v>11001</v>
          </cell>
        </row>
        <row r="2305">
          <cell r="A2305" t="str">
            <v>900354717</v>
          </cell>
          <cell r="B2305" t="str">
            <v>6</v>
          </cell>
          <cell r="C2305" t="str">
            <v>EDIFICIO AUREA 97 P.H</v>
          </cell>
          <cell r="D2305" t="str">
            <v>3124498023</v>
          </cell>
          <cell r="E2305" t="str">
            <v>aurea97ph@hotmail.com</v>
          </cell>
          <cell r="F2305" t="str">
            <v>CARRERA 8  97  62</v>
          </cell>
          <cell r="G2305">
            <v>11001</v>
          </cell>
        </row>
        <row r="2306">
          <cell r="A2306" t="str">
            <v>900354717</v>
          </cell>
          <cell r="B2306" t="str">
            <v>6</v>
          </cell>
          <cell r="C2306" t="str">
            <v>EDIFICIO AUREA 97 P.H</v>
          </cell>
          <cell r="D2306" t="str">
            <v>3124498023</v>
          </cell>
          <cell r="E2306" t="str">
            <v>aurea97ph@hotmail.com</v>
          </cell>
          <cell r="F2306" t="str">
            <v>CARRERA 8  97  62</v>
          </cell>
          <cell r="G2306">
            <v>11001</v>
          </cell>
        </row>
        <row r="2307">
          <cell r="A2307" t="str">
            <v>900355316</v>
          </cell>
          <cell r="B2307" t="str">
            <v>0</v>
          </cell>
          <cell r="C2307" t="str">
            <v>CONJUNTO RESIDENCIAL LILI CAMPESTRE I ETAPA Y II ETAPA</v>
          </cell>
          <cell r="D2307" t="str">
            <v>3123761570</v>
          </cell>
          <cell r="E2307" t="str">
            <v>facturacion@estiloingenieria.com</v>
          </cell>
          <cell r="F2307" t="str">
            <v>CALLE 48  94  80</v>
          </cell>
          <cell r="G2307">
            <v>11001</v>
          </cell>
        </row>
        <row r="2308">
          <cell r="A2308" t="str">
            <v>900355608</v>
          </cell>
          <cell r="B2308" t="str">
            <v>6</v>
          </cell>
          <cell r="C2308" t="str">
            <v>EDIFICIO TORRE ZENTAI -PROPIEDAD HORIZONTAL</v>
          </cell>
          <cell r="D2308" t="str">
            <v>300 6795458</v>
          </cell>
          <cell r="E2308" t="str">
            <v>torreszentaiph@hotmail.com</v>
          </cell>
          <cell r="F2308" t="str">
            <v>CR 23 124 87 A D 1</v>
          </cell>
          <cell r="G2308">
            <v>11001</v>
          </cell>
        </row>
        <row r="2309">
          <cell r="A2309" t="str">
            <v>900355706</v>
          </cell>
          <cell r="B2309" t="str">
            <v>1</v>
          </cell>
          <cell r="C2309" t="str">
            <v>EDIFICIO PLATINUM</v>
          </cell>
          <cell r="D2309" t="str">
            <v>6575233</v>
          </cell>
          <cell r="E2309" t="str">
            <v>edificioplatinumcarrera38@gmail.com</v>
          </cell>
          <cell r="F2309" t="str">
            <v>CARRERA 38  48  140</v>
          </cell>
          <cell r="G2309">
            <v>11001</v>
          </cell>
        </row>
        <row r="2310">
          <cell r="A2310" t="str">
            <v>900355936</v>
          </cell>
          <cell r="B2310" t="str">
            <v>7</v>
          </cell>
          <cell r="C2310" t="str">
            <v>INVERSIONES PROXIMA CENTAURI S.A.S</v>
          </cell>
          <cell r="D2310" t="str">
            <v>3106077</v>
          </cell>
          <cell r="E2310" t="str">
            <v>eliana.rojas@estiloingenieria.com</v>
          </cell>
          <cell r="F2310" t="str">
            <v>CL 127 A 53 A 45 OF 1101</v>
          </cell>
          <cell r="G2310">
            <v>11001</v>
          </cell>
        </row>
        <row r="2311">
          <cell r="A2311" t="str">
            <v>900356952</v>
          </cell>
          <cell r="B2311" t="str">
            <v>1</v>
          </cell>
          <cell r="C2311" t="str">
            <v>EDIFICIO GALEON AZUL</v>
          </cell>
          <cell r="D2311" t="str">
            <v>6795411</v>
          </cell>
          <cell r="E2311" t="str">
            <v>edificiogaleonazul@gmail.com</v>
          </cell>
          <cell r="F2311" t="str">
            <v>AVENIDA SAN MARTIN  11  169</v>
          </cell>
          <cell r="G2311">
            <v>11001</v>
          </cell>
        </row>
        <row r="2312">
          <cell r="A2312" t="str">
            <v>900357592</v>
          </cell>
          <cell r="B2312" t="str">
            <v>6</v>
          </cell>
          <cell r="C2312" t="str">
            <v>EDIFICIO AMARANTO PROPIEDAD HORIZONTAL</v>
          </cell>
          <cell r="D2312">
            <v>3219664011</v>
          </cell>
          <cell r="E2312" t="str">
            <v>edificioamarantoph@gmail.com</v>
          </cell>
          <cell r="F2312" t="str">
            <v>CARRERA 9  127 B  90</v>
          </cell>
          <cell r="G2312">
            <v>11001</v>
          </cell>
        </row>
        <row r="2313">
          <cell r="A2313" t="str">
            <v>900357761</v>
          </cell>
          <cell r="B2313" t="str">
            <v>4</v>
          </cell>
          <cell r="C2313" t="str">
            <v>EDIFICIO FUTURO 51</v>
          </cell>
          <cell r="D2313" t="str">
            <v>3381776</v>
          </cell>
          <cell r="E2313" t="str">
            <v>edificiofuturo51@yahoo.com.co</v>
          </cell>
          <cell r="F2313" t="str">
            <v>TRANSVERSAL 4  51 A  43</v>
          </cell>
          <cell r="G2313">
            <v>11001</v>
          </cell>
        </row>
        <row r="2314">
          <cell r="A2314" t="str">
            <v>900357817</v>
          </cell>
          <cell r="B2314" t="str">
            <v>8</v>
          </cell>
          <cell r="C2314" t="str">
            <v>EDIFICIO ISHVARA-PROPIEDAD HORIZONTAL</v>
          </cell>
          <cell r="D2314" t="str">
            <v>6947704</v>
          </cell>
          <cell r="E2314" t="str">
            <v>serviciosph@gmail.com</v>
          </cell>
          <cell r="F2314" t="str">
            <v>CALLE 106 B  23  17</v>
          </cell>
          <cell r="G2314">
            <v>11001</v>
          </cell>
        </row>
        <row r="2315">
          <cell r="A2315" t="str">
            <v>900359688</v>
          </cell>
          <cell r="B2315" t="str">
            <v>3</v>
          </cell>
          <cell r="C2315" t="str">
            <v>CONJUNTO RESIDENCIAL SANTORINI</v>
          </cell>
          <cell r="D2315" t="str">
            <v>6384085</v>
          </cell>
          <cell r="E2315" t="str">
            <v>santorini_floridablanca@hotmail.com</v>
          </cell>
          <cell r="F2315" t="str">
            <v>CARRERA 12  20  01</v>
          </cell>
          <cell r="G2315">
            <v>11001</v>
          </cell>
        </row>
        <row r="2316">
          <cell r="A2316" t="str">
            <v>900359871</v>
          </cell>
          <cell r="B2316" t="str">
            <v>5</v>
          </cell>
          <cell r="C2316" t="str">
            <v>TRANSPORTES FARIAS SAS</v>
          </cell>
          <cell r="D2316" t="str">
            <v>2748624</v>
          </cell>
          <cell r="E2316" t="str">
            <v>transportesfariassas@gmail.com</v>
          </cell>
          <cell r="F2316" t="str">
            <v>CR 5 B 127 A 78 O F 303</v>
          </cell>
          <cell r="G2316">
            <v>11001</v>
          </cell>
        </row>
        <row r="2317">
          <cell r="A2317" t="str">
            <v>900359871</v>
          </cell>
          <cell r="B2317" t="str">
            <v>5</v>
          </cell>
          <cell r="C2317" t="str">
            <v>TRANSPORTES FARIAS SAS</v>
          </cell>
          <cell r="D2317" t="str">
            <v>2748624</v>
          </cell>
          <cell r="E2317" t="str">
            <v>transportesfariassas@gmail.com</v>
          </cell>
          <cell r="F2317" t="str">
            <v>CR 5 B 127 A 78 O F 303</v>
          </cell>
          <cell r="G2317">
            <v>11001</v>
          </cell>
        </row>
        <row r="2318">
          <cell r="A2318" t="str">
            <v>900360261</v>
          </cell>
          <cell r="B2318" t="str">
            <v>4</v>
          </cell>
          <cell r="C2318" t="str">
            <v>GRUPO HEROICAS SAS</v>
          </cell>
          <cell r="D2318">
            <v>3219664011</v>
          </cell>
          <cell r="E2318" t="str">
            <v>900360261@factureinbox.co</v>
          </cell>
          <cell r="F2318" t="str">
            <v>CL 24 8A 344 BRR GETSEMANI</v>
          </cell>
          <cell r="G2318">
            <v>11001</v>
          </cell>
        </row>
        <row r="2319">
          <cell r="A2319" t="str">
            <v>900360828</v>
          </cell>
          <cell r="B2319" t="str">
            <v>1</v>
          </cell>
          <cell r="C2319" t="str">
            <v>EDIFICIO ZAFIRO CONDOMINIO CENTER CLUB</v>
          </cell>
          <cell r="D2319" t="str">
            <v>6343452</v>
          </cell>
          <cell r="E2319" t="str">
            <v>admonzafiro@hotmail.com</v>
          </cell>
          <cell r="F2319" t="str">
            <v>CARRERA 23  33  32</v>
          </cell>
          <cell r="G2319">
            <v>11001</v>
          </cell>
        </row>
        <row r="2320">
          <cell r="A2320" t="str">
            <v>900361648</v>
          </cell>
          <cell r="B2320" t="str">
            <v>5</v>
          </cell>
          <cell r="C2320" t="str">
            <v>EDIFICIO ALTOS DEL BOSQUE PROPIEDAD HORIZONTAL</v>
          </cell>
          <cell r="D2320" t="str">
            <v>6333654</v>
          </cell>
          <cell r="E2320" t="str">
            <v>edificioaltosdelbosque@hotmail.com</v>
          </cell>
          <cell r="F2320" t="str">
            <v>CALLE 134  7  85</v>
          </cell>
          <cell r="G2320">
            <v>11001</v>
          </cell>
        </row>
        <row r="2321">
          <cell r="A2321" t="str">
            <v>900361648</v>
          </cell>
          <cell r="B2321" t="str">
            <v>5</v>
          </cell>
          <cell r="C2321" t="str">
            <v>EDIFICIO ALTOS DEL BOSQUE PROPIEDAD HORIZONTAL</v>
          </cell>
          <cell r="D2321" t="str">
            <v>6333654</v>
          </cell>
          <cell r="E2321" t="str">
            <v>edificioaltosdelbosque@hotmail.com</v>
          </cell>
          <cell r="F2321" t="str">
            <v>CALLE 134  7  85</v>
          </cell>
          <cell r="G2321">
            <v>11001</v>
          </cell>
        </row>
        <row r="2322">
          <cell r="A2322" t="str">
            <v>900363069</v>
          </cell>
          <cell r="B2322" t="str">
            <v>1</v>
          </cell>
          <cell r="C2322" t="str">
            <v>EDIFICIO BILBAO PROPIEDAD HORIZONTAL</v>
          </cell>
          <cell r="D2322" t="str">
            <v>3176459793</v>
          </cell>
          <cell r="E2322" t="str">
            <v>edificiobilbao106@gmail.com</v>
          </cell>
          <cell r="F2322" t="str">
            <v>CALLE 106 A  17 A  47</v>
          </cell>
          <cell r="G2322">
            <v>11001</v>
          </cell>
        </row>
        <row r="2323">
          <cell r="A2323" t="str">
            <v>900364637</v>
          </cell>
          <cell r="B2323" t="str">
            <v>8</v>
          </cell>
          <cell r="C2323" t="str">
            <v>CONJUNTO RESIDENCIAL PRADOS DE BAVIERA PROPIEDAD HORIZONTAL</v>
          </cell>
          <cell r="D2323" t="str">
            <v>3144535144</v>
          </cell>
          <cell r="E2323" t="str">
            <v>admonpradosbaviera@gmail.com</v>
          </cell>
          <cell r="F2323" t="str">
            <v>CARRERA 50 A  174 B  03</v>
          </cell>
          <cell r="G2323">
            <v>11001</v>
          </cell>
        </row>
        <row r="2324">
          <cell r="A2324" t="str">
            <v>900364637</v>
          </cell>
          <cell r="B2324" t="str">
            <v>8</v>
          </cell>
          <cell r="C2324" t="str">
            <v>CONJUNTO RESIDENCIAL PRADOS DE BAVIERA PROPIEDAD HORIZONTAL</v>
          </cell>
          <cell r="D2324" t="str">
            <v>3144535144</v>
          </cell>
          <cell r="E2324" t="str">
            <v>admonpradosbaviera@gmail.com</v>
          </cell>
          <cell r="F2324" t="str">
            <v>CARRERA 50 A  174 B  03</v>
          </cell>
          <cell r="G2324">
            <v>11001</v>
          </cell>
        </row>
        <row r="2325">
          <cell r="A2325" t="str">
            <v>900364760</v>
          </cell>
          <cell r="B2325" t="str">
            <v>6</v>
          </cell>
          <cell r="C2325" t="str">
            <v>EDIFICIO LIRA PROPIEDAD HORIZONTAL</v>
          </cell>
          <cell r="D2325">
            <v>3219664011</v>
          </cell>
          <cell r="E2325" t="str">
            <v>edificiolira78@gmail.com</v>
          </cell>
          <cell r="F2325" t="str">
            <v>CARRERA 51  102 A  29</v>
          </cell>
          <cell r="G2325">
            <v>11001</v>
          </cell>
        </row>
        <row r="2326">
          <cell r="A2326" t="str">
            <v>900367045</v>
          </cell>
          <cell r="B2326" t="str">
            <v>1</v>
          </cell>
          <cell r="C2326" t="str">
            <v>EDIFICIO CHICO 104 PROPIEDAD HORIZONTAL</v>
          </cell>
          <cell r="D2326" t="str">
            <v>6206407</v>
          </cell>
          <cell r="E2326" t="str">
            <v>mhv3.admon@gmail.com</v>
          </cell>
          <cell r="F2326" t="str">
            <v>CARRERA 19 A  120  32</v>
          </cell>
          <cell r="G2326">
            <v>11001</v>
          </cell>
        </row>
        <row r="2327">
          <cell r="A2327" t="str">
            <v>900367310</v>
          </cell>
          <cell r="B2327" t="str">
            <v>9</v>
          </cell>
          <cell r="C2327" t="str">
            <v>BELVENTO CONDOMINIO</v>
          </cell>
          <cell r="D2327" t="str">
            <v>6326979</v>
          </cell>
          <cell r="E2327" t="str">
            <v>edificiobelvento@gmail.com</v>
          </cell>
          <cell r="F2327" t="str">
            <v>CALLE 43  35  44</v>
          </cell>
          <cell r="G2327">
            <v>11001</v>
          </cell>
        </row>
        <row r="2328">
          <cell r="A2328" t="str">
            <v>900367416</v>
          </cell>
          <cell r="B2328" t="str">
            <v>0</v>
          </cell>
          <cell r="C2328" t="str">
            <v>EDIFICIO DANIELA PROPIEDAD HORIZONTAL</v>
          </cell>
          <cell r="D2328" t="str">
            <v>3114740822</v>
          </cell>
          <cell r="E2328" t="str">
            <v>edificiodaniela@yahoo.com</v>
          </cell>
          <cell r="F2328" t="str">
            <v>CALLE 106  54  32</v>
          </cell>
          <cell r="G2328">
            <v>11001</v>
          </cell>
        </row>
        <row r="2329">
          <cell r="A2329" t="str">
            <v>900367684</v>
          </cell>
          <cell r="B2329" t="str">
            <v>8</v>
          </cell>
          <cell r="C2329" t="str">
            <v>EDIFICIO SANTA MARIA - PROPIEDAD HORIZONTAL</v>
          </cell>
          <cell r="D2329" t="str">
            <v>3371692</v>
          </cell>
          <cell r="E2329" t="str">
            <v>edificiosantamaria123@gmail.com</v>
          </cell>
          <cell r="F2329" t="str">
            <v>CL 123 52 A 32</v>
          </cell>
          <cell r="G2329">
            <v>11001</v>
          </cell>
        </row>
        <row r="2330">
          <cell r="A2330" t="str">
            <v>900368894</v>
          </cell>
          <cell r="B2330" t="str">
            <v>2</v>
          </cell>
          <cell r="C2330" t="str">
            <v>CONJUNTO RESIDENCIAL Y COMERCIAL PORTAL DEL PARQUE - PROPIEDAD HORIZONTAL</v>
          </cell>
          <cell r="D2330" t="str">
            <v>3429855</v>
          </cell>
          <cell r="E2330" t="str">
            <v>portaldelparquep.h@gmail.com</v>
          </cell>
          <cell r="F2330" t="str">
            <v>CALLE 15  16  108 LOCAL 18</v>
          </cell>
          <cell r="G2330">
            <v>11001</v>
          </cell>
        </row>
        <row r="2331">
          <cell r="A2331" t="str">
            <v>900369330</v>
          </cell>
          <cell r="B2331" t="str">
            <v>5</v>
          </cell>
          <cell r="C2331" t="str">
            <v>EDIFICIO SOLEVENTO PROPIEDAD HORIZONTAL</v>
          </cell>
          <cell r="D2331" t="str">
            <v>6204060</v>
          </cell>
          <cell r="E2331" t="str">
            <v>facturacionelectronica@administracionmarca.com</v>
          </cell>
          <cell r="F2331" t="str">
            <v>CALLE 122  7 A  18  OFICINA 302</v>
          </cell>
          <cell r="G2331">
            <v>11001</v>
          </cell>
        </row>
        <row r="2332">
          <cell r="A2332" t="str">
            <v>900369572</v>
          </cell>
          <cell r="B2332" t="str">
            <v>0</v>
          </cell>
          <cell r="C2332" t="str">
            <v>EDIFICIO CYAN APARTAMENTOS P.H.</v>
          </cell>
          <cell r="D2332" t="str">
            <v>7559109</v>
          </cell>
          <cell r="E2332" t="str">
            <v>conjuntocyan.1@gmail.com</v>
          </cell>
          <cell r="F2332" t="str">
            <v>CARRERA 10 A  138  10</v>
          </cell>
          <cell r="G2332">
            <v>11001</v>
          </cell>
        </row>
        <row r="2333">
          <cell r="A2333" t="str">
            <v>900370771</v>
          </cell>
          <cell r="B2333" t="str">
            <v>1</v>
          </cell>
          <cell r="C2333" t="str">
            <v>CONJUNTO RESIDENCIAL RINCON DE LA COLINA - PROPIEDAD HORIZONTAL</v>
          </cell>
          <cell r="D2333" t="str">
            <v>3004612</v>
          </cell>
          <cell r="E2333" t="str">
            <v>rincondelacolina@hotmail.com</v>
          </cell>
          <cell r="F2333" t="str">
            <v>AVENIDA CARRERA 72  152 B  89</v>
          </cell>
          <cell r="G2333">
            <v>11001</v>
          </cell>
        </row>
        <row r="2334">
          <cell r="A2334" t="str">
            <v>900370771</v>
          </cell>
          <cell r="B2334" t="str">
            <v>1</v>
          </cell>
          <cell r="C2334" t="str">
            <v>CONJUNTO RESIDENCIAL RINCON DE LA COLINA - PROPIEDAD HORIZONTAL</v>
          </cell>
          <cell r="D2334" t="str">
            <v>3004612</v>
          </cell>
          <cell r="E2334" t="str">
            <v>rincondelacolina@hotmail.com</v>
          </cell>
          <cell r="F2334" t="str">
            <v>AVENIDA CARRERA 72  152 B  89</v>
          </cell>
          <cell r="G2334">
            <v>11001</v>
          </cell>
        </row>
        <row r="2335">
          <cell r="A2335" t="str">
            <v>900370930</v>
          </cell>
          <cell r="B2335" t="str">
            <v>6</v>
          </cell>
          <cell r="C2335" t="str">
            <v>UNIDAD RESIDENCIAL BONAPARTE</v>
          </cell>
          <cell r="D2335" t="str">
            <v>6486532</v>
          </cell>
          <cell r="E2335" t="str">
            <v>bonapartecomunicaciones@gmail.com</v>
          </cell>
          <cell r="F2335" t="str">
            <v>CALLE 5  2  51</v>
          </cell>
          <cell r="G2335">
            <v>11001</v>
          </cell>
        </row>
        <row r="2336">
          <cell r="A2336" t="str">
            <v>900370941</v>
          </cell>
          <cell r="B2336" t="str">
            <v>7</v>
          </cell>
          <cell r="C2336" t="str">
            <v>EDIFICIO BELAGUA PH.</v>
          </cell>
          <cell r="D2336" t="str">
            <v>3147738633</v>
          </cell>
          <cell r="E2336" t="str">
            <v>facturacion@estiloingenieria.com</v>
          </cell>
          <cell r="F2336" t="str">
            <v>CARRERA 42  23 SUR  126</v>
          </cell>
          <cell r="G2336">
            <v>11001</v>
          </cell>
        </row>
        <row r="2337">
          <cell r="A2337" t="str">
            <v>900371922</v>
          </cell>
          <cell r="B2337" t="str">
            <v>1</v>
          </cell>
          <cell r="C2337" t="str">
            <v>BELLOMONTE I ETAPA  PROPIEDAD HORIZONTAL</v>
          </cell>
          <cell r="D2337" t="str">
            <v>6204060</v>
          </cell>
          <cell r="E2337" t="str">
            <v>bellomonteph@gmail.com</v>
          </cell>
          <cell r="F2337" t="str">
            <v>CARRERA 79 C  129  51</v>
          </cell>
          <cell r="G2337">
            <v>11001</v>
          </cell>
        </row>
        <row r="2338">
          <cell r="A2338" t="str">
            <v>900372271</v>
          </cell>
          <cell r="B2338" t="str">
            <v>1</v>
          </cell>
          <cell r="C2338" t="str">
            <v>EDIFICIO MALBEC - PROPIEDAD HORIZONTAL</v>
          </cell>
          <cell r="D2338" t="str">
            <v>3002192</v>
          </cell>
          <cell r="E2338" t="str">
            <v>admonedimalbec@gmail.com</v>
          </cell>
          <cell r="F2338" t="str">
            <v>TRANSVERSAL 59  106 A  20</v>
          </cell>
          <cell r="G2338">
            <v>11001</v>
          </cell>
        </row>
        <row r="2339">
          <cell r="A2339" t="str">
            <v>900372463</v>
          </cell>
          <cell r="B2339" t="str">
            <v>7</v>
          </cell>
          <cell r="C2339" t="str">
            <v>CONJUNTO RESIDENCIAL TORRES DEL SOL</v>
          </cell>
          <cell r="D2339" t="str">
            <v>3564516</v>
          </cell>
          <cell r="E2339" t="str">
            <v>torresdelsol@outlook.com</v>
          </cell>
          <cell r="F2339" t="str">
            <v>CALLE 86 A  69  41</v>
          </cell>
          <cell r="G2339">
            <v>11001</v>
          </cell>
        </row>
        <row r="2340">
          <cell r="A2340" t="str">
            <v>900372463</v>
          </cell>
          <cell r="B2340" t="str">
            <v>7</v>
          </cell>
          <cell r="C2340" t="str">
            <v>CONJUNTO RESIDENCIAL TORRES DEL SOL</v>
          </cell>
          <cell r="D2340" t="str">
            <v>3564516</v>
          </cell>
          <cell r="E2340" t="str">
            <v>torresdelsol@outlook.com</v>
          </cell>
          <cell r="F2340" t="str">
            <v>CALLE 86 A  69  41</v>
          </cell>
          <cell r="G2340">
            <v>11001</v>
          </cell>
        </row>
        <row r="2341">
          <cell r="A2341" t="str">
            <v>900373438</v>
          </cell>
          <cell r="B2341" t="str">
            <v>7</v>
          </cell>
          <cell r="C2341" t="str">
            <v>EDIFICIO SANTIAGO PROPIEDAD HORIZONTAL</v>
          </cell>
          <cell r="D2341" t="str">
            <v>3138879554</v>
          </cell>
          <cell r="E2341" t="str">
            <v>guisifu@yahoo.com</v>
          </cell>
          <cell r="F2341" t="str">
            <v>CALLE 108  58  25  APARTAMENTO 502</v>
          </cell>
          <cell r="G2341">
            <v>11001</v>
          </cell>
        </row>
        <row r="2342">
          <cell r="A2342" t="str">
            <v>900373535</v>
          </cell>
          <cell r="B2342" t="str">
            <v>3</v>
          </cell>
          <cell r="C2342" t="str">
            <v>CONJUNTO RESIDENCIAL CAMPO REAL</v>
          </cell>
          <cell r="D2342">
            <v>3219664011</v>
          </cell>
          <cell r="E2342" t="str">
            <v>conjuntoresidencialcamporeal07@gmail.com</v>
          </cell>
          <cell r="F2342" t="str">
            <v>CARRERA 2  22 B N  115</v>
          </cell>
          <cell r="G2342">
            <v>11001</v>
          </cell>
        </row>
        <row r="2343">
          <cell r="A2343" t="str">
            <v>900373796</v>
          </cell>
          <cell r="B2343" t="str">
            <v>9</v>
          </cell>
          <cell r="C2343" t="str">
            <v>EDIFICIO RESIDENCIAL CAPRI PROPIEDAD HORIZONTAL</v>
          </cell>
          <cell r="D2343" t="str">
            <v>3115421760</v>
          </cell>
          <cell r="E2343" t="str">
            <v>capri2022.admon@gmail.com</v>
          </cell>
          <cell r="F2343" t="str">
            <v>CALLE 138  11 B  16</v>
          </cell>
          <cell r="G2343">
            <v>11001</v>
          </cell>
        </row>
        <row r="2344">
          <cell r="A2344" t="str">
            <v>900375429</v>
          </cell>
          <cell r="B2344" t="str">
            <v>1</v>
          </cell>
          <cell r="C2344" t="str">
            <v>PORTOBELLO ETAPA II- PROPIEDAD HORIZONTAL</v>
          </cell>
          <cell r="D2344" t="str">
            <v>5334673</v>
          </cell>
          <cell r="E2344" t="str">
            <v>conjuntoportobello2@gmail.com</v>
          </cell>
          <cell r="F2344" t="str">
            <v>CARRERA 65 B  103  52</v>
          </cell>
          <cell r="G2344">
            <v>11001</v>
          </cell>
        </row>
        <row r="2345">
          <cell r="A2345" t="str">
            <v>900375764</v>
          </cell>
          <cell r="B2345" t="str">
            <v>2</v>
          </cell>
          <cell r="C2345" t="str">
            <v>EDIFICIO DAVINCI 101 - PROPIEDAD HORIZONTAL</v>
          </cell>
          <cell r="D2345" t="str">
            <v>3166219411</v>
          </cell>
          <cell r="E2345" t="str">
            <v>admonedificiodavinci101@gmail.com</v>
          </cell>
          <cell r="F2345" t="str">
            <v>CALLE 101  16  50</v>
          </cell>
          <cell r="G2345">
            <v>11001</v>
          </cell>
        </row>
        <row r="2346">
          <cell r="A2346" t="str">
            <v>900377835</v>
          </cell>
          <cell r="B2346" t="str">
            <v>6</v>
          </cell>
          <cell r="C2346" t="str">
            <v>EDIFICIO MULTIFAMILIAR ESPACIO 118</v>
          </cell>
          <cell r="D2346" t="str">
            <v>3123721137</v>
          </cell>
          <cell r="E2346" t="str">
            <v>edificioespacio118ph@gmail.com</v>
          </cell>
          <cell r="F2346" t="str">
            <v>CARRERA 17  118  27</v>
          </cell>
          <cell r="G2346">
            <v>11001</v>
          </cell>
        </row>
        <row r="2347">
          <cell r="A2347" t="str">
            <v>900378003</v>
          </cell>
          <cell r="B2347" t="str">
            <v>1</v>
          </cell>
          <cell r="C2347" t="str">
            <v>CONJUNTO MULTIFAMILIAR ALTOBELLO</v>
          </cell>
          <cell r="D2347" t="str">
            <v>3746724</v>
          </cell>
          <cell r="E2347" t="str">
            <v>cmaltobello@gmail.com</v>
          </cell>
          <cell r="F2347" t="str">
            <v>CARRERA 85 E  33  20</v>
          </cell>
          <cell r="G2347">
            <v>11001</v>
          </cell>
        </row>
        <row r="2348">
          <cell r="A2348" t="str">
            <v>900380955</v>
          </cell>
          <cell r="B2348" t="str">
            <v>2</v>
          </cell>
          <cell r="C2348" t="str">
            <v>CONJUNTO RESIDENCIAL PARQUES DE TIMIZA I ETAPA - PH.</v>
          </cell>
          <cell r="D2348" t="str">
            <v>3132469970</v>
          </cell>
          <cell r="E2348" t="str">
            <v>parquesdetimiza2015@gmail.com</v>
          </cell>
          <cell r="F2348" t="str">
            <v>CARRERA 73 R  40 C  45 SUR</v>
          </cell>
          <cell r="G2348">
            <v>11001</v>
          </cell>
        </row>
        <row r="2349">
          <cell r="A2349" t="str">
            <v>900383721</v>
          </cell>
          <cell r="B2349" t="str">
            <v>1</v>
          </cell>
          <cell r="C2349" t="str">
            <v>EDIFICIO PORTAL DE LOS FUNDADORES II P.H.</v>
          </cell>
          <cell r="D2349" t="str">
            <v>3022769</v>
          </cell>
          <cell r="E2349" t="str">
            <v>portalfundadores2@gmail.com</v>
          </cell>
          <cell r="F2349" t="str">
            <v>CALLE 33 B SUR  45  36</v>
          </cell>
          <cell r="G2349">
            <v>11001</v>
          </cell>
        </row>
        <row r="2350">
          <cell r="A2350" t="str">
            <v>900384473</v>
          </cell>
          <cell r="B2350" t="str">
            <v>2</v>
          </cell>
          <cell r="C2350" t="str">
            <v>EDIFICIO SETAI PROPIEDAD HORIZONTAL</v>
          </cell>
          <cell r="D2350" t="str">
            <v>6123235</v>
          </cell>
          <cell r="E2350" t="str">
            <v>setaiedificio@gmail.com</v>
          </cell>
          <cell r="F2350" t="str">
            <v>CARRERA 20  116  37</v>
          </cell>
          <cell r="G2350">
            <v>11001</v>
          </cell>
        </row>
        <row r="2351">
          <cell r="A2351" t="str">
            <v>900384758</v>
          </cell>
          <cell r="B2351" t="str">
            <v>6</v>
          </cell>
          <cell r="C2351" t="str">
            <v>B 611 PROPIEDAD HORIZONTAL</v>
          </cell>
          <cell r="D2351" t="str">
            <v>5891000</v>
          </cell>
          <cell r="E2351" t="str">
            <v>b611ph@gmail.com</v>
          </cell>
          <cell r="F2351" t="str">
            <v>CARRERA 1 A  75  54</v>
          </cell>
          <cell r="G2351">
            <v>11001</v>
          </cell>
        </row>
        <row r="2352">
          <cell r="A2352" t="str">
            <v>900385277</v>
          </cell>
          <cell r="B2352" t="str">
            <v>1</v>
          </cell>
          <cell r="C2352" t="str">
            <v>EDIFICIO DIMONTI</v>
          </cell>
          <cell r="D2352" t="str">
            <v>6574259</v>
          </cell>
          <cell r="E2352" t="str">
            <v>edificiodimonti@hotmail.com</v>
          </cell>
          <cell r="F2352" t="str">
            <v>CALLE 49  27 A  39</v>
          </cell>
          <cell r="G2352">
            <v>11001</v>
          </cell>
        </row>
        <row r="2353">
          <cell r="A2353" t="str">
            <v>900385483</v>
          </cell>
          <cell r="B2353" t="str">
            <v>0</v>
          </cell>
          <cell r="C2353" t="str">
            <v>EDIFICIO ZEN APARTAMENTOS PROPIEDAD HORIZONTAL</v>
          </cell>
          <cell r="D2353" t="str">
            <v>3212201</v>
          </cell>
          <cell r="E2353" t="str">
            <v>proveedores@next-one.com.co</v>
          </cell>
          <cell r="F2353" t="str">
            <v>CALLE 17 C SUR  44  38</v>
          </cell>
          <cell r="G2353">
            <v>11001</v>
          </cell>
        </row>
        <row r="2354">
          <cell r="A2354" t="str">
            <v>900387152</v>
          </cell>
          <cell r="B2354" t="str">
            <v>7</v>
          </cell>
          <cell r="C2354" t="str">
            <v>CENTRO COMERCIAL EL HOBO</v>
          </cell>
          <cell r="D2354" t="str">
            <v>6334571</v>
          </cell>
          <cell r="E2354" t="str">
            <v>admhobo@gmail.com</v>
          </cell>
          <cell r="F2354" t="str">
            <v>CARRERA 29  17  59</v>
          </cell>
          <cell r="G2354">
            <v>11001</v>
          </cell>
        </row>
        <row r="2355">
          <cell r="A2355" t="str">
            <v>900389817</v>
          </cell>
          <cell r="B2355" t="str">
            <v>5</v>
          </cell>
          <cell r="C2355" t="str">
            <v>EDIFICIO BALCONES DE SAN MARCOS - PROPIEDAD HORIZONTAL</v>
          </cell>
          <cell r="D2355" t="str">
            <v>3209844240</v>
          </cell>
          <cell r="E2355" t="str">
            <v>balconesdesanmarcos2020@gmail.com</v>
          </cell>
          <cell r="F2355" t="str">
            <v>CR 53 106 29</v>
          </cell>
          <cell r="G2355">
            <v>11001</v>
          </cell>
        </row>
        <row r="2356">
          <cell r="A2356" t="str">
            <v>900391707</v>
          </cell>
          <cell r="B2356" t="str">
            <v>1</v>
          </cell>
          <cell r="C2356" t="str">
            <v>EDIFICIO PIANO 94 - PROPIEDAD HORIZONTAL</v>
          </cell>
          <cell r="D2356" t="str">
            <v>2492812</v>
          </cell>
          <cell r="E2356" t="str">
            <v>admon.edificiopiano94@gmail.com</v>
          </cell>
          <cell r="F2356" t="str">
            <v>CALLE 94 A  18  33</v>
          </cell>
          <cell r="G2356">
            <v>11001</v>
          </cell>
        </row>
        <row r="2357">
          <cell r="A2357" t="str">
            <v>900392204</v>
          </cell>
          <cell r="B2357" t="str">
            <v>1</v>
          </cell>
          <cell r="C2357" t="str">
            <v>CENTRO COMERCIAL REAL PLAZA</v>
          </cell>
          <cell r="D2357" t="str">
            <v>4813373</v>
          </cell>
          <cell r="E2357" t="str">
            <v>realplazacentrocomercial@yahoo.com.co</v>
          </cell>
          <cell r="F2357" t="str">
            <v>CARRERA 21  10  08 PISO 2</v>
          </cell>
          <cell r="G2357">
            <v>11001</v>
          </cell>
        </row>
        <row r="2358">
          <cell r="A2358" t="str">
            <v>900392211</v>
          </cell>
          <cell r="B2358" t="str">
            <v>3</v>
          </cell>
          <cell r="C2358" t="str">
            <v>CAFE DE SANTA BARBARA S.A.S.</v>
          </cell>
          <cell r="D2358">
            <v>3219664011</v>
          </cell>
          <cell r="E2358" t="str">
            <v>facturas@pergamino.co</v>
          </cell>
          <cell r="F2358" t="str">
            <v>CL 17 43 F 235</v>
          </cell>
          <cell r="G2358">
            <v>11001</v>
          </cell>
        </row>
        <row r="2359">
          <cell r="A2359" t="str">
            <v>900393369</v>
          </cell>
          <cell r="B2359" t="str">
            <v>2</v>
          </cell>
          <cell r="C2359" t="str">
            <v>CONJUNTO RESIDENCIAL SAN FERMIN II ETAPA I</v>
          </cell>
          <cell r="D2359" t="str">
            <v>6374525</v>
          </cell>
          <cell r="E2359" t="str">
            <v>crsanfermindos@gmail.com</v>
          </cell>
          <cell r="F2359" t="str">
            <v>CALLE 103  13  31</v>
          </cell>
          <cell r="G2359">
            <v>11001</v>
          </cell>
        </row>
        <row r="2360">
          <cell r="A2360" t="str">
            <v>900394560</v>
          </cell>
          <cell r="B2360" t="str">
            <v>8</v>
          </cell>
          <cell r="C2360" t="str">
            <v>EDIFICIO SENDEROS DE BELLA SUIZA</v>
          </cell>
          <cell r="D2360" t="str">
            <v>4661451</v>
          </cell>
          <cell r="E2360" t="str">
            <v>senderosdebellasuiza1@hotmail.com</v>
          </cell>
          <cell r="F2360" t="str">
            <v>CALLE 129  7 B  41</v>
          </cell>
          <cell r="G2360">
            <v>11001</v>
          </cell>
        </row>
        <row r="2361">
          <cell r="A2361" t="str">
            <v>900395762</v>
          </cell>
          <cell r="B2361" t="str">
            <v>3</v>
          </cell>
          <cell r="C2361" t="str">
            <v>INVERSIONES SALMERO S.A.S.</v>
          </cell>
          <cell r="D2361" t="str">
            <v>6720118</v>
          </cell>
          <cell r="E2361" t="str">
            <v>facturacion@ozhotel.com.co</v>
          </cell>
          <cell r="F2361" t="str">
            <v>CALLE 30  25  11</v>
          </cell>
          <cell r="G2361">
            <v>11001</v>
          </cell>
        </row>
        <row r="2362">
          <cell r="A2362" t="str">
            <v>900396713</v>
          </cell>
          <cell r="B2362" t="str">
            <v>7</v>
          </cell>
          <cell r="C2362" t="str">
            <v>CONJUNTO RESIDENCIAL GRAN RESERVA DE CHABLIS PROPIEDAD HORIZONTAL</v>
          </cell>
          <cell r="D2362" t="str">
            <v>4 1 6 0 0 8 5</v>
          </cell>
          <cell r="E2362" t="str">
            <v>granreservadechablis@gmail.com</v>
          </cell>
          <cell r="F2362" t="str">
            <v>CR 71 24 50</v>
          </cell>
          <cell r="G2362">
            <v>11001</v>
          </cell>
        </row>
        <row r="2363">
          <cell r="A2363" t="str">
            <v>900396713</v>
          </cell>
          <cell r="B2363" t="str">
            <v>7</v>
          </cell>
          <cell r="C2363" t="str">
            <v>CONJUNTO RESIDENCIAL GRAN RESERVA DE CHABLIS PROPIEDAD HORIZONTAL</v>
          </cell>
          <cell r="D2363" t="str">
            <v>4 1 6 0 0 8 5</v>
          </cell>
          <cell r="E2363" t="str">
            <v>granreservadechablis@gmail.com</v>
          </cell>
          <cell r="F2363" t="str">
            <v>CR 71 24 50</v>
          </cell>
          <cell r="G2363">
            <v>11001</v>
          </cell>
        </row>
        <row r="2364">
          <cell r="A2364" t="str">
            <v>900397244</v>
          </cell>
          <cell r="B2364" t="str">
            <v>9</v>
          </cell>
          <cell r="C2364" t="str">
            <v>CONSTRUCTORA ALTOS DE LA ABADIA S.A.S.</v>
          </cell>
          <cell r="D2364" t="str">
            <v>5555555</v>
          </cell>
          <cell r="E2364" t="str">
            <v>recepcionfacturas@altosdelaabadia.com</v>
          </cell>
          <cell r="F2364" t="str">
            <v>CALLE 17 A SUR  44  214</v>
          </cell>
          <cell r="G2364">
            <v>11001</v>
          </cell>
        </row>
        <row r="2365">
          <cell r="A2365" t="str">
            <v>900397613</v>
          </cell>
          <cell r="B2365" t="str">
            <v>3</v>
          </cell>
          <cell r="C2365" t="str">
            <v>INVERSIONES DATILES S.A.S.</v>
          </cell>
          <cell r="D2365" t="str">
            <v>3188278658</v>
          </cell>
          <cell r="E2365" t="str">
            <v>contabilidad@inversionesdatiles.com</v>
          </cell>
          <cell r="F2365" t="str">
            <v>CALLE 114  6 A  92  OFICINA D 404</v>
          </cell>
          <cell r="G2365">
            <v>11001</v>
          </cell>
        </row>
        <row r="2366">
          <cell r="A2366" t="str">
            <v>900398649</v>
          </cell>
          <cell r="B2366" t="str">
            <v>2</v>
          </cell>
          <cell r="C2366" t="str">
            <v>EDIFICIO VERSALLES PLAZA PROPIEDAD HORIZONTAL</v>
          </cell>
          <cell r="D2366">
            <v>3219664011</v>
          </cell>
          <cell r="E2366" t="str">
            <v>versallesplaza@gmail.com</v>
          </cell>
          <cell r="F2366" t="str">
            <v>CARRERA 25  52  30</v>
          </cell>
          <cell r="G2366">
            <v>11001</v>
          </cell>
        </row>
        <row r="2367">
          <cell r="A2367" t="str">
            <v>900398866</v>
          </cell>
          <cell r="B2367" t="str">
            <v>4</v>
          </cell>
          <cell r="C2367" t="str">
            <v>CONJUNTO RESIDENCIAL LA PLACE PROPIEDAD HORIZONTAL</v>
          </cell>
          <cell r="D2367" t="str">
            <v>6458329</v>
          </cell>
          <cell r="E2367" t="str">
            <v>crlaplaceph@gmail.com</v>
          </cell>
          <cell r="F2367" t="str">
            <v>CALLE 192  11 A  51</v>
          </cell>
          <cell r="G2367">
            <v>11001</v>
          </cell>
        </row>
        <row r="2368">
          <cell r="A2368" t="str">
            <v>900398866</v>
          </cell>
          <cell r="B2368" t="str">
            <v>4</v>
          </cell>
          <cell r="C2368" t="str">
            <v>CONJUNTO RESIDENCIAL LA PLACE PROPIEDAD HORIZONTAL</v>
          </cell>
          <cell r="D2368" t="str">
            <v>6458329</v>
          </cell>
          <cell r="E2368" t="str">
            <v>crlaplaceph@gmail.com</v>
          </cell>
          <cell r="F2368" t="str">
            <v>CALLE 192  11 A  51</v>
          </cell>
          <cell r="G2368">
            <v>11001</v>
          </cell>
        </row>
        <row r="2369">
          <cell r="A2369" t="str">
            <v>900398876</v>
          </cell>
          <cell r="B2369" t="str">
            <v>8</v>
          </cell>
          <cell r="C2369" t="str">
            <v>CONJUNTO RESIDENCIAL DARWIN - PROPIEDAD HORIZONTAL</v>
          </cell>
          <cell r="D2369" t="str">
            <v>6552851</v>
          </cell>
          <cell r="E2369" t="str">
            <v>conjuntodarwinph@gmail.com</v>
          </cell>
          <cell r="F2369" t="str">
            <v>CALLE 192  11 A  15</v>
          </cell>
          <cell r="G2369">
            <v>11001</v>
          </cell>
        </row>
        <row r="2370">
          <cell r="A2370" t="str">
            <v>900398876</v>
          </cell>
          <cell r="B2370" t="str">
            <v>8</v>
          </cell>
          <cell r="C2370" t="str">
            <v>CONJUNTO RESIDENCIAL DARWIN - PROPIEDAD HORIZONTAL</v>
          </cell>
          <cell r="D2370" t="str">
            <v>6552851</v>
          </cell>
          <cell r="E2370" t="str">
            <v>conjuntodarwinph@gmail.com</v>
          </cell>
          <cell r="F2370" t="str">
            <v>CALLE 192  11 A  15</v>
          </cell>
          <cell r="G2370">
            <v>11001</v>
          </cell>
        </row>
        <row r="2371">
          <cell r="A2371" t="str">
            <v>900399795</v>
          </cell>
          <cell r="B2371" t="str">
            <v>4</v>
          </cell>
          <cell r="C2371" t="str">
            <v>EDIFICIO RESIDENCIAL MIRO APARTA-LOFT PROPIEDAD HORIZONTAL</v>
          </cell>
          <cell r="D2371" t="str">
            <v>3799859</v>
          </cell>
          <cell r="E2371" t="str">
            <v>miroapartaloft@gmail.com</v>
          </cell>
          <cell r="F2371" t="str">
            <v>CALLE 40 NORTE  6 D  18</v>
          </cell>
          <cell r="G2371">
            <v>11001</v>
          </cell>
        </row>
        <row r="2372">
          <cell r="A2372" t="str">
            <v>900399920</v>
          </cell>
          <cell r="B2372" t="str">
            <v>9</v>
          </cell>
          <cell r="C2372" t="str">
            <v>PARQUE LOGISTICO INTEGRAL LA MOLIENDA S.A.S.</v>
          </cell>
          <cell r="D2372" t="str">
            <v>3218171020</v>
          </cell>
          <cell r="E2372" t="str">
            <v>lamoliendapli2@gmail.com</v>
          </cell>
          <cell r="F2372" t="str">
            <v>CL 35 58 10 CA 28</v>
          </cell>
          <cell r="G2372">
            <v>11001</v>
          </cell>
        </row>
        <row r="2373">
          <cell r="A2373" t="str">
            <v>900400593</v>
          </cell>
          <cell r="B2373" t="str">
            <v>7</v>
          </cell>
          <cell r="C2373" t="str">
            <v>INVERSIS BC SAS</v>
          </cell>
          <cell r="D2373" t="str">
            <v>3164324265</v>
          </cell>
          <cell r="E2373" t="str">
            <v>900400593@recepciondefacturas.co</v>
          </cell>
          <cell r="F2373" t="str">
            <v>CL 98 A 51 37 OF 305</v>
          </cell>
          <cell r="G2373">
            <v>11001</v>
          </cell>
        </row>
        <row r="2374">
          <cell r="A2374" t="str">
            <v>900401583</v>
          </cell>
          <cell r="B2374" t="str">
            <v>8</v>
          </cell>
          <cell r="C2374" t="str">
            <v>EDIFICIO OFICINAS CHICO 93 - PROPIEDAD HORIZONTAL</v>
          </cell>
          <cell r="D2374" t="str">
            <v>3188580434</v>
          </cell>
          <cell r="E2374" t="str">
            <v>csotelom1988@gmail.com</v>
          </cell>
          <cell r="F2374" t="str">
            <v>CALLE 93 11 26 42</v>
          </cell>
          <cell r="G2374">
            <v>11001</v>
          </cell>
        </row>
        <row r="2375">
          <cell r="A2375" t="str">
            <v>900402827</v>
          </cell>
          <cell r="B2375" t="str">
            <v>4</v>
          </cell>
          <cell r="C2375" t="str">
            <v>EDIFICIO ZYNNIA PARK PROPIEDAD HORIZONTAL</v>
          </cell>
          <cell r="D2375" t="str">
            <v>2877668</v>
          </cell>
          <cell r="E2375" t="str">
            <v>facturacionamarvi@gmail.com</v>
          </cell>
          <cell r="F2375" t="str">
            <v>CARRERA 18 A  143  61</v>
          </cell>
          <cell r="G2375">
            <v>11001</v>
          </cell>
        </row>
        <row r="2376">
          <cell r="A2376" t="str">
            <v>900402827</v>
          </cell>
          <cell r="B2376" t="str">
            <v>4</v>
          </cell>
          <cell r="C2376" t="str">
            <v>EDIFICIO ZYNNIA PARK PROPIEDAD HORIZONTAL</v>
          </cell>
          <cell r="D2376" t="str">
            <v>2877668</v>
          </cell>
          <cell r="E2376" t="str">
            <v>facturacionamarvi@gmail.com</v>
          </cell>
          <cell r="F2376" t="str">
            <v>CARRERA 18 A  143  61</v>
          </cell>
          <cell r="G2376">
            <v>11001</v>
          </cell>
        </row>
        <row r="2377">
          <cell r="A2377" t="str">
            <v>900403080</v>
          </cell>
          <cell r="B2377" t="str">
            <v>4</v>
          </cell>
          <cell r="C2377" t="str">
            <v>CONJUNTO EL LAGO CONDOMINIO CLUB</v>
          </cell>
          <cell r="D2377" t="str">
            <v>6386553</v>
          </cell>
          <cell r="E2377" t="str">
            <v>lagocondominio@gmail.com</v>
          </cell>
          <cell r="F2377" t="str">
            <v>CARRERA 29  29  59 BRR LAGOS III</v>
          </cell>
          <cell r="G2377">
            <v>11001</v>
          </cell>
        </row>
        <row r="2378">
          <cell r="A2378" t="str">
            <v>900403689</v>
          </cell>
          <cell r="B2378" t="str">
            <v>9</v>
          </cell>
          <cell r="C2378" t="str">
            <v>CENTRO MEDICO DE ESPECIALISTAS CAÑAVERAL</v>
          </cell>
          <cell r="D2378">
            <v>3219664011</v>
          </cell>
          <cell r="E2378" t="str">
            <v>centromedicoecanaveral@gmail.com</v>
          </cell>
          <cell r="F2378" t="str">
            <v>CARRERA 23  30 A  37</v>
          </cell>
          <cell r="G2378">
            <v>11001</v>
          </cell>
        </row>
        <row r="2379">
          <cell r="A2379" t="str">
            <v>900404487</v>
          </cell>
          <cell r="B2379" t="str">
            <v>2</v>
          </cell>
          <cell r="C2379" t="str">
            <v>COLINA CLUB RESIDENCIAL PROPIEDAD HORIZONTAL</v>
          </cell>
          <cell r="D2379" t="str">
            <v>8015423</v>
          </cell>
          <cell r="E2379" t="str">
            <v>colinaclube1@gmail.com</v>
          </cell>
          <cell r="F2379" t="str">
            <v>CARRERA 62  165 A  88</v>
          </cell>
          <cell r="G2379">
            <v>11001</v>
          </cell>
        </row>
        <row r="2380">
          <cell r="A2380" t="str">
            <v>900404487</v>
          </cell>
          <cell r="B2380" t="str">
            <v>2</v>
          </cell>
          <cell r="C2380" t="str">
            <v>COLINA CLUB RESIDENCIAL PROPIEDAD HORIZONTAL</v>
          </cell>
          <cell r="D2380" t="str">
            <v>8015423</v>
          </cell>
          <cell r="E2380" t="str">
            <v>colinaclube1@gmail.com</v>
          </cell>
          <cell r="F2380" t="str">
            <v>CARRERA 62  165 A  88</v>
          </cell>
          <cell r="G2380">
            <v>11001</v>
          </cell>
        </row>
        <row r="2381">
          <cell r="A2381" t="str">
            <v>900404661</v>
          </cell>
          <cell r="B2381" t="str">
            <v>8</v>
          </cell>
          <cell r="C2381" t="str">
            <v>EDIFICIO MULTIFAMILIAR ESPACIO 127 - PROPIEDAD HORIZONTAL</v>
          </cell>
          <cell r="D2381" t="str">
            <v>6336378</v>
          </cell>
          <cell r="E2381" t="str">
            <v>facturacion@estiloingenieria.com</v>
          </cell>
          <cell r="F2381" t="str">
            <v>CALLE 127 BIS  19  81</v>
          </cell>
          <cell r="G2381">
            <v>11001</v>
          </cell>
        </row>
        <row r="2382">
          <cell r="A2382" t="str">
            <v>900408437</v>
          </cell>
          <cell r="B2382" t="str">
            <v>2</v>
          </cell>
          <cell r="C2382" t="str">
            <v>CONJUNTO RESIDENCIAL LILI DEL VIENTO ETAPA I - PROPIEDAD HORIZONTAL</v>
          </cell>
          <cell r="D2382" t="str">
            <v>4057099</v>
          </cell>
          <cell r="E2382" t="str">
            <v>conjuntolilidelviento2023@gmail.com</v>
          </cell>
          <cell r="F2382" t="str">
            <v>CALLE 38  4 N  170</v>
          </cell>
          <cell r="G2382">
            <v>11001</v>
          </cell>
        </row>
        <row r="2383">
          <cell r="A2383" t="str">
            <v>900412424</v>
          </cell>
          <cell r="B2383" t="str">
            <v>2</v>
          </cell>
          <cell r="C2383" t="str">
            <v>EDIFICIO TORRE 83 - PROPIEDAD HORIZONTAL</v>
          </cell>
          <cell r="D2383" t="str">
            <v>6065135</v>
          </cell>
          <cell r="E2383" t="str">
            <v>900412424@recepciondefacturas.co</v>
          </cell>
          <cell r="F2383" t="str">
            <v>CARRERA 15  79  84  OFICINA 303</v>
          </cell>
          <cell r="G2383">
            <v>11001</v>
          </cell>
        </row>
        <row r="2384">
          <cell r="A2384" t="str">
            <v>900413436</v>
          </cell>
          <cell r="B2384" t="str">
            <v>5</v>
          </cell>
          <cell r="C2384" t="str">
            <v>EDIFICIO SANTOME - PROPIEDAD HORIZONTAL</v>
          </cell>
          <cell r="D2384" t="str">
            <v>8055602</v>
          </cell>
          <cell r="E2384" t="str">
            <v>edificiosantome.ph@hotmail.com</v>
          </cell>
          <cell r="F2384" t="str">
            <v>CARRERA 1 ESTE  70  47</v>
          </cell>
          <cell r="G2384">
            <v>11001</v>
          </cell>
        </row>
        <row r="2385">
          <cell r="A2385" t="str">
            <v>900416632</v>
          </cell>
          <cell r="B2385" t="str">
            <v>6</v>
          </cell>
          <cell r="C2385" t="str">
            <v>JAVER SERVICIOS E INVERSIONES S.A.S</v>
          </cell>
          <cell r="D2385" t="str">
            <v>3 1 3 5 3 9 5 8 6 4</v>
          </cell>
          <cell r="E2385" t="str">
            <v>javerserviciosfe@outlook.es</v>
          </cell>
          <cell r="F2385" t="str">
            <v>CR 56 74 41</v>
          </cell>
          <cell r="G2385">
            <v>11001</v>
          </cell>
        </row>
        <row r="2386">
          <cell r="A2386" t="str">
            <v>900417735</v>
          </cell>
          <cell r="B2386" t="str">
            <v>0</v>
          </cell>
          <cell r="C2386" t="str">
            <v>CENTRO DE RECREACION DE OFICIALES CLUB NAVAL SANTA CRUZ DE CASTILLO GRANDE</v>
          </cell>
          <cell r="D2386" t="str">
            <v>3164529115</v>
          </cell>
          <cell r="E2386" t="str">
            <v>facturacionelectronica@clubnaval.mil.co</v>
          </cell>
          <cell r="F2386" t="str">
            <v>CARRERA 15  6  97</v>
          </cell>
          <cell r="G2386">
            <v>11001</v>
          </cell>
        </row>
        <row r="2387">
          <cell r="A2387" t="str">
            <v>900419412</v>
          </cell>
          <cell r="B2387" t="str">
            <v>6</v>
          </cell>
          <cell r="C2387" t="str">
            <v>PRODIC INGENIERIA S.A.S.</v>
          </cell>
          <cell r="D2387" t="str">
            <v>3012803307</v>
          </cell>
          <cell r="E2387" t="str">
            <v>gerenciaprodic@gmail.com</v>
          </cell>
          <cell r="F2387" t="str">
            <v>TV 6 2 42 NORTE</v>
          </cell>
          <cell r="G2387">
            <v>11001</v>
          </cell>
        </row>
        <row r="2388">
          <cell r="A2388" t="str">
            <v>900419812</v>
          </cell>
          <cell r="B2388" t="str">
            <v>9</v>
          </cell>
          <cell r="C2388" t="str">
            <v>EDIFICIO FINO MORNASCO - PROPIEDAD HORIZONTAL</v>
          </cell>
          <cell r="D2388" t="str">
            <v>3115878595</v>
          </cell>
          <cell r="E2388" t="str">
            <v>finomornasco@hotmail.com</v>
          </cell>
          <cell r="F2388" t="str">
            <v>CALLE 77  7  64</v>
          </cell>
          <cell r="G2388">
            <v>11001</v>
          </cell>
        </row>
        <row r="2389">
          <cell r="A2389" t="str">
            <v>900419948</v>
          </cell>
          <cell r="B2389" t="str">
            <v>1</v>
          </cell>
          <cell r="C2389" t="str">
            <v>CONJUNTO RESIDENCIAL URBANIZACION SOL NACIENTE PROPIEDAD HORIZONTAL</v>
          </cell>
          <cell r="D2389" t="str">
            <v>5701074</v>
          </cell>
          <cell r="E2389" t="str">
            <v>urbanizacionsolnaciente@hotmail.com</v>
          </cell>
          <cell r="F2389" t="str">
            <v>CALLE 49 E  83 A  196</v>
          </cell>
          <cell r="G2389">
            <v>11001</v>
          </cell>
        </row>
        <row r="2390">
          <cell r="A2390" t="str">
            <v>900420751</v>
          </cell>
          <cell r="B2390" t="str">
            <v>1</v>
          </cell>
          <cell r="C2390" t="str">
            <v>SPORT MEDICAL CENTER IPS GUSTAVO PORTELA S.A.S.</v>
          </cell>
          <cell r="D2390" t="str">
            <v>7312561</v>
          </cell>
          <cell r="E2390" t="str">
            <v>ipsgustavoportela@gmail.com</v>
          </cell>
          <cell r="F2390" t="str">
            <v>CR 15 5 NORTE 07</v>
          </cell>
          <cell r="G2390">
            <v>11001</v>
          </cell>
        </row>
        <row r="2391">
          <cell r="A2391" t="str">
            <v>900421220</v>
          </cell>
          <cell r="B2391" t="str">
            <v>5</v>
          </cell>
          <cell r="C2391" t="str">
            <v>EDIFICIO URAKI OFICINAS 9 AVENIDA-PH</v>
          </cell>
          <cell r="D2391" t="str">
            <v>6205121</v>
          </cell>
          <cell r="E2391" t="str">
            <v>gersafo1@hotmail.com</v>
          </cell>
          <cell r="F2391" t="str">
            <v>AVENIDA CARRERA 9  123  76</v>
          </cell>
          <cell r="G2391">
            <v>11001</v>
          </cell>
        </row>
        <row r="2392">
          <cell r="A2392" t="str">
            <v>900423651</v>
          </cell>
          <cell r="B2392" t="str">
            <v>5</v>
          </cell>
          <cell r="C2392" t="str">
            <v>EDIFICIO ZURYA</v>
          </cell>
          <cell r="D2392" t="str">
            <v>3107608316</v>
          </cell>
          <cell r="E2392" t="str">
            <v>edificiozurya@gmail.com</v>
          </cell>
          <cell r="F2392" t="str">
            <v>CARRERA 9 A  60  91  OFICINA 601</v>
          </cell>
          <cell r="G2392">
            <v>11001</v>
          </cell>
        </row>
        <row r="2393">
          <cell r="A2393" t="str">
            <v>900423696</v>
          </cell>
          <cell r="B2393" t="str">
            <v>6</v>
          </cell>
          <cell r="C2393" t="str">
            <v>EDIFICIO DELFOS PROPIEDAD HORIZONTAL</v>
          </cell>
          <cell r="D2393" t="str">
            <v>6481846</v>
          </cell>
          <cell r="E2393" t="str">
            <v>edificiodelfos@hotmail.com</v>
          </cell>
          <cell r="F2393" t="str">
            <v>CARRERA 18 A  137  48</v>
          </cell>
          <cell r="G2393">
            <v>11001</v>
          </cell>
        </row>
        <row r="2394">
          <cell r="A2394" t="str">
            <v>900423905</v>
          </cell>
          <cell r="B2394" t="str">
            <v>0</v>
          </cell>
          <cell r="C2394" t="str">
            <v>INVERSIONES GILALF S.A.S</v>
          </cell>
          <cell r="D2394" t="str">
            <v>2474351</v>
          </cell>
          <cell r="E2394" t="str">
            <v>palaciomon@hotmail.com</v>
          </cell>
          <cell r="F2394" t="str">
            <v>CL 8 20 30 OF 614</v>
          </cell>
          <cell r="G2394">
            <v>11001</v>
          </cell>
        </row>
        <row r="2395">
          <cell r="A2395" t="str">
            <v>900423905</v>
          </cell>
          <cell r="B2395" t="str">
            <v>0</v>
          </cell>
          <cell r="C2395" t="str">
            <v>INVERSIONES GILALF S.A.S</v>
          </cell>
          <cell r="D2395" t="str">
            <v>2474351</v>
          </cell>
          <cell r="E2395" t="str">
            <v>palaciomon@hotmail.com</v>
          </cell>
          <cell r="F2395" t="str">
            <v>CL 8 20 30 OF 614</v>
          </cell>
          <cell r="G2395">
            <v>11001</v>
          </cell>
        </row>
        <row r="2396">
          <cell r="A2396" t="str">
            <v>900424055</v>
          </cell>
          <cell r="B2396" t="str">
            <v>1</v>
          </cell>
          <cell r="C2396" t="str">
            <v>EDIFICIO BALI APARTAMENTOS</v>
          </cell>
          <cell r="D2396" t="str">
            <v>3715810</v>
          </cell>
          <cell r="E2396" t="str">
            <v>baliedificio@gmail.com</v>
          </cell>
          <cell r="F2396" t="str">
            <v>CALLE 21 NORTE  9 N  50</v>
          </cell>
          <cell r="G2396">
            <v>11001</v>
          </cell>
        </row>
        <row r="2397">
          <cell r="A2397" t="str">
            <v>900424412</v>
          </cell>
          <cell r="B2397" t="str">
            <v>6</v>
          </cell>
          <cell r="C2397" t="str">
            <v>CONJUNTO PLAYA DORMIDA PROPIEDAD HORIZONTAL</v>
          </cell>
          <cell r="D2397" t="str">
            <v>3175023849</v>
          </cell>
          <cell r="E2397" t="str">
            <v>playadormida1.admon@gmail.com</v>
          </cell>
          <cell r="F2397" t="str">
            <v>CL 142 1 99 SEC BELLO SOL</v>
          </cell>
          <cell r="G2397">
            <v>11001</v>
          </cell>
        </row>
        <row r="2398">
          <cell r="A2398" t="str">
            <v>900425303</v>
          </cell>
          <cell r="B2398" t="str">
            <v>6</v>
          </cell>
          <cell r="C2398" t="str">
            <v>EDIFICIO COLFECAR BUSINESS CENTER DORADO PRIMERA ETAPA P.H</v>
          </cell>
          <cell r="D2398" t="str">
            <v>6756776</v>
          </cell>
          <cell r="E2398" t="str">
            <v>900425303@recepciondefacturas.co</v>
          </cell>
          <cell r="F2398" t="str">
            <v>AVENIDA CALLE 24  95 A  80</v>
          </cell>
          <cell r="G2398">
            <v>11001</v>
          </cell>
        </row>
        <row r="2399">
          <cell r="A2399" t="str">
            <v>900425303</v>
          </cell>
          <cell r="B2399" t="str">
            <v>6</v>
          </cell>
          <cell r="C2399" t="str">
            <v>EDIFICIO COLFECAR BUSINESS CENTER DORADO PRIMERA ETAPA P.H</v>
          </cell>
          <cell r="D2399" t="str">
            <v>6756776</v>
          </cell>
          <cell r="E2399" t="str">
            <v>900425303@recepciondefacturas.co</v>
          </cell>
          <cell r="F2399" t="str">
            <v>AVENIDA CALLE 24  95 A  80</v>
          </cell>
          <cell r="G2399">
            <v>11001</v>
          </cell>
        </row>
        <row r="2400">
          <cell r="A2400" t="str">
            <v>900427696</v>
          </cell>
          <cell r="B2400" t="str">
            <v>4</v>
          </cell>
          <cell r="C2400" t="str">
            <v>CONJUNTO CERRADO TERRAZAS DEL CAMPESTRE</v>
          </cell>
          <cell r="D2400" t="str">
            <v>8331160</v>
          </cell>
          <cell r="E2400" t="str">
            <v>terrazasdelcampestre2021@gmail.com</v>
          </cell>
          <cell r="F2400" t="str">
            <v>CARRERA 6  40 RTE  179</v>
          </cell>
          <cell r="G2400">
            <v>11001</v>
          </cell>
        </row>
        <row r="2401">
          <cell r="A2401" t="str">
            <v>900428520</v>
          </cell>
          <cell r="B2401" t="str">
            <v>1</v>
          </cell>
          <cell r="C2401" t="str">
            <v>CONJUNTO RESIDENCIAL NUEVO SOL P.H.</v>
          </cell>
          <cell r="D2401" t="str">
            <v>3595369</v>
          </cell>
          <cell r="E2401" t="str">
            <v>nuevosoll2015@hotmail.com</v>
          </cell>
          <cell r="F2401" t="str">
            <v>CALLE 6 B  80 G  95</v>
          </cell>
          <cell r="G2401">
            <v>11001</v>
          </cell>
        </row>
        <row r="2402">
          <cell r="A2402" t="str">
            <v>900428520</v>
          </cell>
          <cell r="B2402" t="str">
            <v>1</v>
          </cell>
          <cell r="C2402" t="str">
            <v>CONJUNTO RESIDENCIAL NUEVO SOL P.H.</v>
          </cell>
          <cell r="D2402" t="str">
            <v>3595369</v>
          </cell>
          <cell r="E2402" t="str">
            <v>nuevosoll2015@hotmail.com</v>
          </cell>
          <cell r="F2402" t="str">
            <v>CALLE 6 B  80 G  95</v>
          </cell>
          <cell r="G2402">
            <v>11001</v>
          </cell>
        </row>
        <row r="2403">
          <cell r="A2403" t="str">
            <v>900429521</v>
          </cell>
          <cell r="B2403" t="str">
            <v>3</v>
          </cell>
          <cell r="C2403" t="str">
            <v>EDIFICIO EPIK - PROPIEDAD HORIZONTAL</v>
          </cell>
          <cell r="D2403" t="str">
            <v>3204748217</v>
          </cell>
          <cell r="E2403" t="str">
            <v>globalms.sas@gmail.com</v>
          </cell>
          <cell r="F2403" t="str">
            <v>CALLE 134  22  06</v>
          </cell>
          <cell r="G2403">
            <v>11001</v>
          </cell>
        </row>
        <row r="2404">
          <cell r="A2404" t="str">
            <v>900429542</v>
          </cell>
          <cell r="B2404" t="str">
            <v>8</v>
          </cell>
          <cell r="C2404" t="str">
            <v>EDIFICIO DUO PROPIEDAD HORIZONTAL</v>
          </cell>
          <cell r="D2404" t="str">
            <v>2588507</v>
          </cell>
          <cell r="E2404" t="str">
            <v>cortezaltda@hotmail.com</v>
          </cell>
          <cell r="F2404" t="str">
            <v>CARRERA 8  127 C  88</v>
          </cell>
          <cell r="G2404">
            <v>11001</v>
          </cell>
        </row>
        <row r="2405">
          <cell r="A2405" t="str">
            <v>900429775</v>
          </cell>
          <cell r="B2405" t="str">
            <v>7</v>
          </cell>
          <cell r="C2405" t="str">
            <v>CONJUNTO RESIDENCIAL NUEVO GIRARDOT PRIMERA ETAPA</v>
          </cell>
          <cell r="D2405" t="str">
            <v>6426240</v>
          </cell>
          <cell r="E2405" t="str">
            <v>nuevogirardotph@gmail.com</v>
          </cell>
          <cell r="F2405" t="str">
            <v>CARRERA 6  28  48</v>
          </cell>
          <cell r="G2405">
            <v>11001</v>
          </cell>
        </row>
        <row r="2406">
          <cell r="A2406" t="str">
            <v>900430960</v>
          </cell>
          <cell r="B2406" t="str">
            <v>5</v>
          </cell>
          <cell r="C2406" t="str">
            <v>CONSTRUCTORA AGATA S A S</v>
          </cell>
          <cell r="D2406" t="str">
            <v>4486800</v>
          </cell>
          <cell r="E2406" t="str">
            <v>recepcionfacturas@altosdelaabadia.com</v>
          </cell>
          <cell r="F2406" t="str">
            <v>CL 17 A SUR 44 214</v>
          </cell>
          <cell r="G2406">
            <v>11001</v>
          </cell>
        </row>
        <row r="2407">
          <cell r="A2407" t="str">
            <v>900431463</v>
          </cell>
          <cell r="B2407" t="str">
            <v>0</v>
          </cell>
          <cell r="C2407" t="str">
            <v>EDIFICIO RIVIERA IMPERIAL PROPIEDAD HORIZONTAL</v>
          </cell>
          <cell r="D2407" t="str">
            <v>3186235727</v>
          </cell>
          <cell r="E2407" t="str">
            <v>edificiorivieraimperial@gmail.com</v>
          </cell>
          <cell r="F2407" t="str">
            <v>CALLE 12  6 A E  82</v>
          </cell>
          <cell r="G2407">
            <v>11001</v>
          </cell>
        </row>
        <row r="2408">
          <cell r="A2408" t="str">
            <v>900432827</v>
          </cell>
          <cell r="B2408" t="str">
            <v>2</v>
          </cell>
          <cell r="C2408" t="str">
            <v>EDIFICIO SUITE PARK 102 PROPIEDAD HORIZONTAL</v>
          </cell>
          <cell r="D2408" t="str">
            <v>3063807</v>
          </cell>
          <cell r="E2408" t="str">
            <v>admisasfacturaselectronicas@hotmail.com</v>
          </cell>
          <cell r="F2408" t="str">
            <v>CARRERA 21  102  35</v>
          </cell>
          <cell r="G2408">
            <v>11001</v>
          </cell>
        </row>
        <row r="2409">
          <cell r="A2409" t="str">
            <v>900432880</v>
          </cell>
          <cell r="B2409" t="str">
            <v>3</v>
          </cell>
          <cell r="C2409" t="str">
            <v>EDIFICIO 97 IN PROPIEDAD HORIZONTAL</v>
          </cell>
          <cell r="D2409" t="str">
            <v>3002931188</v>
          </cell>
          <cell r="E2409" t="str">
            <v>edif.97in@gmail.com</v>
          </cell>
          <cell r="F2409" t="str">
            <v>CARRERA 45  128 C  45  OFICINA 301</v>
          </cell>
          <cell r="G2409">
            <v>11001</v>
          </cell>
        </row>
        <row r="2410">
          <cell r="A2410" t="str">
            <v>900433454</v>
          </cell>
          <cell r="B2410" t="str">
            <v>3</v>
          </cell>
          <cell r="C2410" t="str">
            <v>INVERSIONES EL RETIRO 82 S.A.S.</v>
          </cell>
          <cell r="D2410" t="str">
            <v>3163727656</v>
          </cell>
          <cell r="E2410" t="str">
            <v>facturacion.elretiro82@gmail.com</v>
          </cell>
          <cell r="F2410" t="str">
            <v>CARRERA 13  82  35</v>
          </cell>
          <cell r="G2410">
            <v>11001</v>
          </cell>
        </row>
        <row r="2411">
          <cell r="A2411" t="str">
            <v>900433915</v>
          </cell>
          <cell r="B2411" t="str">
            <v>7</v>
          </cell>
          <cell r="C2411" t="str">
            <v>EDIFICIO TORRE BALCANES</v>
          </cell>
          <cell r="D2411" t="str">
            <v>3147876460</v>
          </cell>
          <cell r="E2411" t="str">
            <v>edificiotorrebalcanes@gmail.com</v>
          </cell>
          <cell r="F2411" t="str">
            <v>CALLE 23  15  21</v>
          </cell>
          <cell r="G2411">
            <v>11001</v>
          </cell>
        </row>
        <row r="2412">
          <cell r="A2412" t="str">
            <v>900437657</v>
          </cell>
          <cell r="B2412" t="str">
            <v>1</v>
          </cell>
          <cell r="C2412" t="str">
            <v>CONJUNTO PUERTA MADERA P.H.</v>
          </cell>
          <cell r="D2412">
            <v>3219664011</v>
          </cell>
          <cell r="E2412" t="str">
            <v>factu.puertamadera@gmail.com</v>
          </cell>
          <cell r="F2412" t="str">
            <v>CARRERA 45  26  162</v>
          </cell>
          <cell r="G2412">
            <v>11001</v>
          </cell>
        </row>
        <row r="2413">
          <cell r="A2413" t="str">
            <v>900437923</v>
          </cell>
          <cell r="B2413" t="str">
            <v>4</v>
          </cell>
          <cell r="C2413" t="str">
            <v>EDIFICIO BALCONES DE SAN LUIS - PROPIEDAD HORIZONTAL</v>
          </cell>
          <cell r="D2413" t="str">
            <v>3004120684</v>
          </cell>
          <cell r="E2413" t="str">
            <v>lucycolombiaramirez@gmail.com</v>
          </cell>
          <cell r="F2413" t="str">
            <v>CALLE 51  26  19</v>
          </cell>
          <cell r="G2413">
            <v>11001</v>
          </cell>
        </row>
        <row r="2414">
          <cell r="A2414" t="str">
            <v>900441148</v>
          </cell>
          <cell r="B2414" t="str">
            <v>8</v>
          </cell>
          <cell r="C2414" t="str">
            <v>EDIFICIO TORRE CIBELES APARTAMENTOS FLEX PROPIEDAD HORIZONTAL</v>
          </cell>
          <cell r="D2414" t="str">
            <v>6005759</v>
          </cell>
          <cell r="E2414" t="str">
            <v>elkints@yahoo.es</v>
          </cell>
          <cell r="F2414" t="str">
            <v>CARRERA 89  39  54</v>
          </cell>
          <cell r="G2414">
            <v>11001</v>
          </cell>
        </row>
        <row r="2415">
          <cell r="A2415" t="str">
            <v>900444694</v>
          </cell>
          <cell r="B2415" t="str">
            <v>1</v>
          </cell>
          <cell r="C2415" t="str">
            <v>EDIFICIO IDEO PROPIEDAD HORIZONTAL</v>
          </cell>
          <cell r="D2415" t="str">
            <v>3107657977</v>
          </cell>
          <cell r="E2415" t="str">
            <v>facturacion@estiloingenieria.com</v>
          </cell>
          <cell r="F2415" t="str">
            <v>CARRERA 24  82  51</v>
          </cell>
          <cell r="G2415">
            <v>11001</v>
          </cell>
        </row>
        <row r="2416">
          <cell r="A2416" t="str">
            <v>900445782</v>
          </cell>
          <cell r="B2416" t="str">
            <v>6</v>
          </cell>
          <cell r="C2416" t="str">
            <v>EDIFICIO ZAPPAN CHICO PROPIEDAD HORIZONTAL</v>
          </cell>
          <cell r="D2416" t="str">
            <v>6377725</v>
          </cell>
          <cell r="E2416" t="str">
            <v>edificiozappanchico@gmail.com</v>
          </cell>
          <cell r="F2416" t="str">
            <v>CALLE 107  19 A  44</v>
          </cell>
          <cell r="G2416">
            <v>11001</v>
          </cell>
        </row>
        <row r="2417">
          <cell r="A2417" t="str">
            <v>900446443</v>
          </cell>
          <cell r="B2417" t="str">
            <v>9</v>
          </cell>
          <cell r="C2417" t="str">
            <v>EDIFICACIONES Y ESPACIOS S.A.S</v>
          </cell>
          <cell r="D2417" t="str">
            <v>2667010</v>
          </cell>
          <cell r="E2417" t="str">
            <v>contabilidadcolcivil11@gmail.com</v>
          </cell>
          <cell r="F2417" t="str">
            <v>CR 43 B 16 95 OF 207</v>
          </cell>
          <cell r="G2417">
            <v>11001</v>
          </cell>
        </row>
        <row r="2418">
          <cell r="A2418" t="str">
            <v>900447574</v>
          </cell>
          <cell r="B2418" t="str">
            <v>1</v>
          </cell>
          <cell r="C2418" t="str">
            <v>CONJUNTO RESIDENCIAL ALTOS DE BONAVISTA</v>
          </cell>
          <cell r="D2418" t="str">
            <v>3104308148</v>
          </cell>
          <cell r="E2418" t="str">
            <v>altosdebonavista99@gmail.com</v>
          </cell>
          <cell r="F2418" t="str">
            <v>CALLE 99  58  112</v>
          </cell>
          <cell r="G2418">
            <v>11001</v>
          </cell>
        </row>
        <row r="2419">
          <cell r="A2419" t="str">
            <v>900448039</v>
          </cell>
          <cell r="B2419" t="str">
            <v>5</v>
          </cell>
          <cell r="C2419" t="str">
            <v>EDIFICIO ALCALA 122 PROPIEDAD HORIZONTAL</v>
          </cell>
          <cell r="D2419" t="str">
            <v>7041807</v>
          </cell>
          <cell r="E2419" t="str">
            <v>edificioalcala122@hotmail.com</v>
          </cell>
          <cell r="F2419" t="str">
            <v>CALLE 122  23  27</v>
          </cell>
          <cell r="G2419">
            <v>11001</v>
          </cell>
        </row>
        <row r="2420">
          <cell r="A2420" t="str">
            <v>900449418</v>
          </cell>
          <cell r="B2420" t="str">
            <v>8</v>
          </cell>
          <cell r="C2420" t="str">
            <v>EDIFICIO VARESE - PROPIEDAD HORIZONTAL</v>
          </cell>
          <cell r="D2420" t="str">
            <v>3125214080</v>
          </cell>
          <cell r="E2420" t="str">
            <v>admon.varese@invermetros.com.co</v>
          </cell>
          <cell r="F2420" t="str">
            <v>CALLE 98 18 71</v>
          </cell>
          <cell r="G2420">
            <v>11001</v>
          </cell>
        </row>
        <row r="2421">
          <cell r="A2421" t="str">
            <v>900450376</v>
          </cell>
          <cell r="B2421" t="str">
            <v>9</v>
          </cell>
          <cell r="C2421" t="str">
            <v>EDIFICIO ALTOS DE CADAQUES - PROPIEDAD HORIZONTAL</v>
          </cell>
          <cell r="D2421" t="str">
            <v>7722450</v>
          </cell>
          <cell r="E2421" t="str">
            <v>spacios.proveedores@gmail.com</v>
          </cell>
          <cell r="F2421" t="str">
            <v>CARRERA 17 A  107  22</v>
          </cell>
          <cell r="G2421">
            <v>11001</v>
          </cell>
        </row>
        <row r="2422">
          <cell r="A2422" t="str">
            <v>900451845</v>
          </cell>
          <cell r="B2422" t="str">
            <v>6</v>
          </cell>
          <cell r="C2422" t="str">
            <v>EDIFICIO ATRIUM PROPIEDAD HORIZONTAL</v>
          </cell>
          <cell r="D2422" t="str">
            <v>6961275</v>
          </cell>
          <cell r="E2422" t="str">
            <v>edificioatriumadmon@gmail.com</v>
          </cell>
          <cell r="F2422" t="str">
            <v>CARRERA 14  127  25</v>
          </cell>
          <cell r="G2422">
            <v>11001</v>
          </cell>
        </row>
        <row r="2423">
          <cell r="A2423" t="str">
            <v>900452897</v>
          </cell>
          <cell r="B2423" t="str">
            <v>3</v>
          </cell>
          <cell r="C2423" t="str">
            <v>CONJUNTO RESIDENCIAL CARIBE CAMPESTRE</v>
          </cell>
          <cell r="D2423">
            <v>3219664011</v>
          </cell>
          <cell r="E2423" t="str">
            <v>adm.caribecampestre@yahoo.com</v>
          </cell>
          <cell r="F2423" t="str">
            <v>CARRERA 24  3 A  137</v>
          </cell>
          <cell r="G2423">
            <v>11001</v>
          </cell>
        </row>
        <row r="2424">
          <cell r="A2424" t="str">
            <v>900453155</v>
          </cell>
          <cell r="B2424" t="str">
            <v>1</v>
          </cell>
          <cell r="C2424" t="str">
            <v>CONJUNTO RESIDENCIAL PROVINCIA DE CASTILLA-PROPIEDAD HORIZONTAL</v>
          </cell>
          <cell r="D2424" t="str">
            <v>3103302119</v>
          </cell>
          <cell r="E2424" t="str">
            <v>conjuntoprovinciadecastilla@hotmail.com</v>
          </cell>
          <cell r="F2424" t="str">
            <v>CALLE 11 F  73  03</v>
          </cell>
          <cell r="G2424">
            <v>11001</v>
          </cell>
        </row>
        <row r="2425">
          <cell r="A2425" t="str">
            <v>900453172</v>
          </cell>
          <cell r="B2425" t="str">
            <v>7</v>
          </cell>
          <cell r="C2425" t="str">
            <v>CONJUNTO RESIDENCIAL BOSQUES DE SANTA ANA</v>
          </cell>
          <cell r="D2425" t="str">
            <v>3175047922</v>
          </cell>
          <cell r="E2425" t="str">
            <v>admon.bdesantaana@gmail.com</v>
          </cell>
          <cell r="F2425" t="str">
            <v>CARRERA 42  18 A  08</v>
          </cell>
          <cell r="G2425">
            <v>11001</v>
          </cell>
        </row>
        <row r="2426">
          <cell r="A2426" t="str">
            <v>900453569</v>
          </cell>
          <cell r="B2426" t="str">
            <v>7</v>
          </cell>
          <cell r="C2426" t="str">
            <v>CONJUNTO RESIDENCIAL COLINA DE SAN FERNANDO - PROPIEDAD HORIZONTAL</v>
          </cell>
          <cell r="D2426" t="str">
            <v>4747280</v>
          </cell>
          <cell r="E2426" t="str">
            <v>colinadesanfernando@gmail.com</v>
          </cell>
          <cell r="F2426" t="str">
            <v>CARRERA 74  160  83</v>
          </cell>
          <cell r="G2426">
            <v>11001</v>
          </cell>
        </row>
        <row r="2427">
          <cell r="A2427" t="str">
            <v>900454667</v>
          </cell>
          <cell r="B2427" t="str">
            <v>5</v>
          </cell>
          <cell r="C2427" t="str">
            <v>CONJUNTO RESIDENCIAL EL PALMAR DE LAS MERCEDES</v>
          </cell>
          <cell r="D2427" t="str">
            <v>2860915</v>
          </cell>
          <cell r="E2427" t="str">
            <v>elpalmardelasmercedes@hotmail.com</v>
          </cell>
          <cell r="F2427" t="str">
            <v>CARRERA 25  58  72</v>
          </cell>
          <cell r="G2427">
            <v>11001</v>
          </cell>
        </row>
        <row r="2428">
          <cell r="A2428" t="str">
            <v>900455310</v>
          </cell>
          <cell r="B2428" t="str">
            <v>6</v>
          </cell>
          <cell r="C2428" t="str">
            <v>EDIFICIO OCEAN CONDOMINIO CLUB HOUSE SPA PROPIEDAD HORIZONTAL</v>
          </cell>
          <cell r="D2428" t="str">
            <v>3158191340</v>
          </cell>
          <cell r="E2428" t="str">
            <v>edificiooceancondominio@gmail.com</v>
          </cell>
          <cell r="F2428" t="str">
            <v>CALLE 19  1  66</v>
          </cell>
          <cell r="G2428">
            <v>11001</v>
          </cell>
        </row>
        <row r="2429">
          <cell r="A2429" t="str">
            <v>900458819</v>
          </cell>
          <cell r="B2429" t="str">
            <v>6</v>
          </cell>
          <cell r="C2429" t="str">
            <v>CONJUNTO RESIDENCIAL TIERRA GRATA CUMBRES PH.</v>
          </cell>
          <cell r="D2429" t="str">
            <v>5786099</v>
          </cell>
          <cell r="E2429" t="str">
            <v>tesoreria@caaph.co</v>
          </cell>
          <cell r="F2429" t="str">
            <v>CALLE 27 D SUR  27 C  51</v>
          </cell>
          <cell r="G2429">
            <v>11001</v>
          </cell>
        </row>
        <row r="2430">
          <cell r="A2430" t="str">
            <v>900459218</v>
          </cell>
          <cell r="B2430" t="str">
            <v>4</v>
          </cell>
          <cell r="C2430" t="str">
            <v>EDIFICIO ATURES - PROPIEDAD HORIZONTAL</v>
          </cell>
          <cell r="D2430" t="str">
            <v>3210762</v>
          </cell>
          <cell r="E2430" t="str">
            <v>edificioaturesph@gmail.com</v>
          </cell>
          <cell r="F2430" t="str">
            <v>CARRERA 15  116  36  OFICINA 604</v>
          </cell>
          <cell r="G2430">
            <v>11001</v>
          </cell>
        </row>
        <row r="2431">
          <cell r="A2431" t="str">
            <v>900459473</v>
          </cell>
          <cell r="B2431" t="str">
            <v>6</v>
          </cell>
          <cell r="C2431" t="str">
            <v>CONJUNTO DE USO MIXTO URBANIZACION COLINA DE LOS BERNAL P.H.</v>
          </cell>
          <cell r="D2431" t="str">
            <v>3122491354</v>
          </cell>
          <cell r="E2431" t="str">
            <v>colinadelosbernal@gmail.com</v>
          </cell>
          <cell r="F2431" t="str">
            <v>CARRERA 84 B  4 A  75</v>
          </cell>
          <cell r="G2431">
            <v>11001</v>
          </cell>
        </row>
        <row r="2432">
          <cell r="A2432" t="str">
            <v>900459990</v>
          </cell>
          <cell r="B2432" t="str">
            <v>2</v>
          </cell>
          <cell r="C2432" t="str">
            <v>EDIFICIO VILLAGE RESERVADO PROPIEDAD HORIZONTAL</v>
          </cell>
          <cell r="D2432" t="str">
            <v>2103392</v>
          </cell>
          <cell r="E2432" t="str">
            <v>villagereservadoph@gmail.com</v>
          </cell>
          <cell r="F2432" t="str">
            <v>CALLE 104 A  21  87</v>
          </cell>
          <cell r="G2432">
            <v>11001</v>
          </cell>
        </row>
        <row r="2433">
          <cell r="A2433" t="str">
            <v>900461812</v>
          </cell>
          <cell r="B2433" t="str">
            <v>6</v>
          </cell>
          <cell r="C2433" t="str">
            <v>EDIFICIO SANTA ANA MEDICAL CENTER PROPIEDAD HORIZONTAL.</v>
          </cell>
          <cell r="D2433" t="str">
            <v>6204060</v>
          </cell>
          <cell r="E2433" t="str">
            <v>facturacionelectronica@administracionmarca.com</v>
          </cell>
          <cell r="F2433" t="str">
            <v>CALLE 119  7  14</v>
          </cell>
          <cell r="G2433">
            <v>11001</v>
          </cell>
        </row>
        <row r="2434">
          <cell r="A2434" t="str">
            <v>900461812</v>
          </cell>
          <cell r="B2434" t="str">
            <v>6</v>
          </cell>
          <cell r="C2434" t="str">
            <v>EDIFICIO SANTA ANA MEDICAL CENTER PROPIEDAD HORIZONTAL.</v>
          </cell>
          <cell r="D2434" t="str">
            <v>6204060</v>
          </cell>
          <cell r="E2434" t="str">
            <v>facturacionelectronica@administracionmarca.com</v>
          </cell>
          <cell r="F2434" t="str">
            <v>CALLE 119  7  14</v>
          </cell>
          <cell r="G2434">
            <v>11001</v>
          </cell>
        </row>
        <row r="2435">
          <cell r="A2435" t="str">
            <v>900462403</v>
          </cell>
          <cell r="B2435" t="str">
            <v>1</v>
          </cell>
          <cell r="C2435" t="str">
            <v>INMOBILIARIA CONSTRUCTORA SERVING S.A.S.</v>
          </cell>
          <cell r="D2435">
            <v>3219664011</v>
          </cell>
          <cell r="E2435" t="str">
            <v>900462403@factureinbox.co</v>
          </cell>
          <cell r="F2435" t="str">
            <v>CALLE 38  61  61</v>
          </cell>
          <cell r="G2435">
            <v>11001</v>
          </cell>
        </row>
        <row r="2436">
          <cell r="A2436" t="str">
            <v>900464357</v>
          </cell>
          <cell r="B2436" t="str">
            <v>1</v>
          </cell>
          <cell r="C2436" t="str">
            <v>AGRUPACION MULTIFAMILIAR ALTOMENGA APARTAMENTOS I Y II ETAPA -PROPIEDAD HORIZONTAL</v>
          </cell>
          <cell r="D2436" t="str">
            <v>4881259</v>
          </cell>
          <cell r="E2436" t="str">
            <v>amaltomenga@gmail.com</v>
          </cell>
          <cell r="F2436" t="str">
            <v>AVENIDA 9  56  80</v>
          </cell>
          <cell r="G2436">
            <v>11001</v>
          </cell>
        </row>
        <row r="2437">
          <cell r="A2437" t="str">
            <v>900464398</v>
          </cell>
          <cell r="B2437" t="str">
            <v>1</v>
          </cell>
          <cell r="C2437" t="str">
            <v>KARIBANA BEACH &amp; GOLF CONDOMINIUM ETAPA I</v>
          </cell>
          <cell r="D2437" t="str">
            <v>6435857</v>
          </cell>
          <cell r="E2437" t="str">
            <v>karibana.admon2@gmail.com</v>
          </cell>
          <cell r="F2437" t="str">
            <v>KILOMETRO 12 DEL ANILLO VIAL VIA BARRANQUILLA</v>
          </cell>
          <cell r="G2437">
            <v>11001</v>
          </cell>
        </row>
        <row r="2438">
          <cell r="A2438" t="str">
            <v>900465319</v>
          </cell>
          <cell r="B2438" t="str">
            <v>4</v>
          </cell>
          <cell r="C2438" t="str">
            <v>OINSAMED S.A.S</v>
          </cell>
          <cell r="D2438" t="str">
            <v>3013773</v>
          </cell>
          <cell r="E2438" t="str">
            <v>900465319@factureinbox.co</v>
          </cell>
          <cell r="F2438" t="str">
            <v>CALLE 80  46  44</v>
          </cell>
          <cell r="G2438">
            <v>11001</v>
          </cell>
        </row>
        <row r="2439">
          <cell r="A2439" t="str">
            <v>900466223</v>
          </cell>
          <cell r="B2439" t="str">
            <v>0</v>
          </cell>
          <cell r="C2439" t="str">
            <v>INMUEBLES JGA S.A.S.</v>
          </cell>
          <cell r="D2439" t="str">
            <v>3601053</v>
          </cell>
          <cell r="E2439" t="str">
            <v>contabilidad.8550@gmail.com</v>
          </cell>
          <cell r="F2439" t="str">
            <v>CALLE 85  50  167</v>
          </cell>
          <cell r="G2439">
            <v>11001</v>
          </cell>
        </row>
        <row r="2440">
          <cell r="A2440" t="str">
            <v>900466346</v>
          </cell>
          <cell r="B2440" t="str">
            <v>8</v>
          </cell>
          <cell r="C2440" t="str">
            <v>CONJUNTO RESIDENCIAL MIRADOR BARCELONA PROPIEDAD HORIZONTAL</v>
          </cell>
          <cell r="D2440" t="str">
            <v>5031598</v>
          </cell>
          <cell r="E2440" t="str">
            <v>miradorbarcelona@hotmail.com</v>
          </cell>
          <cell r="F2440" t="str">
            <v>CARRERA 90  65 C  10</v>
          </cell>
          <cell r="G2440">
            <v>11001</v>
          </cell>
        </row>
        <row r="2441">
          <cell r="A2441" t="str">
            <v>900466703</v>
          </cell>
          <cell r="B2441" t="str">
            <v>4</v>
          </cell>
          <cell r="C2441" t="str">
            <v>METROLOFT APARTASUITES</v>
          </cell>
          <cell r="D2441">
            <v>3219664011</v>
          </cell>
          <cell r="E2441" t="str">
            <v>metroloftedificio@gmail.com</v>
          </cell>
          <cell r="F2441" t="str">
            <v>CARRERA 19  26 NORTE  49</v>
          </cell>
          <cell r="G2441">
            <v>11001</v>
          </cell>
        </row>
        <row r="2442">
          <cell r="A2442" t="str">
            <v>900466771</v>
          </cell>
          <cell r="B2442" t="str">
            <v>5</v>
          </cell>
          <cell r="C2442" t="str">
            <v>CONJUNTO RESIDENCIAL PORTAL DE PONTEVEDRA IV - PROPIEDAD HORIZONTAL</v>
          </cell>
          <cell r="D2442" t="str">
            <v>3540543</v>
          </cell>
          <cell r="E2442" t="str">
            <v>portaldepontevedra4@gmail.com</v>
          </cell>
          <cell r="F2442" t="str">
            <v>CALLE 97 70 90</v>
          </cell>
          <cell r="G2442">
            <v>11001</v>
          </cell>
        </row>
        <row r="2443">
          <cell r="A2443" t="str">
            <v>900468085</v>
          </cell>
          <cell r="B2443" t="str">
            <v>1</v>
          </cell>
          <cell r="C2443" t="str">
            <v>ANDIMODA S A S</v>
          </cell>
          <cell r="D2443" t="str">
            <v>6272200</v>
          </cell>
          <cell r="E2443" t="str">
            <v>facturacion.electronica@andimoda.com.co</v>
          </cell>
          <cell r="F2443" t="str">
            <v>CARRERA 72  80  94</v>
          </cell>
          <cell r="G2443">
            <v>11001</v>
          </cell>
        </row>
        <row r="2444">
          <cell r="A2444" t="str">
            <v>900468085</v>
          </cell>
          <cell r="B2444" t="str">
            <v>1</v>
          </cell>
          <cell r="C2444" t="str">
            <v>ANDIMODA S A S</v>
          </cell>
          <cell r="D2444" t="str">
            <v>6272200</v>
          </cell>
          <cell r="E2444" t="str">
            <v>facturacion.electronica@andimoda.com.co</v>
          </cell>
          <cell r="F2444" t="str">
            <v>CARRERA 72  80  94</v>
          </cell>
          <cell r="G2444">
            <v>11001</v>
          </cell>
        </row>
        <row r="2445">
          <cell r="A2445" t="str">
            <v>900468620</v>
          </cell>
          <cell r="B2445" t="str">
            <v>0</v>
          </cell>
          <cell r="C2445" t="str">
            <v>EDIFICIO TRAMONTE PROPIEDAD HORIZONTAL</v>
          </cell>
          <cell r="D2445" t="str">
            <v>4442420</v>
          </cell>
          <cell r="E2445" t="str">
            <v>facturacion@estiloingenieria.com</v>
          </cell>
          <cell r="F2445" t="str">
            <v>TRANSVERSAL 7 A  30  271</v>
          </cell>
          <cell r="G2445">
            <v>11001</v>
          </cell>
        </row>
        <row r="2446">
          <cell r="A2446" t="str">
            <v>900470211</v>
          </cell>
          <cell r="B2446" t="str">
            <v>8</v>
          </cell>
          <cell r="C2446" t="str">
            <v>EDIFICIO PARQUE 106 - PROPIEDAD HORIZONTAL</v>
          </cell>
          <cell r="D2446" t="str">
            <v>3158777848</v>
          </cell>
          <cell r="E2446" t="str">
            <v>parque106@gmail.com</v>
          </cell>
          <cell r="F2446" t="str">
            <v>CALLE 106  48  08</v>
          </cell>
          <cell r="G2446">
            <v>11001</v>
          </cell>
        </row>
        <row r="2447">
          <cell r="A2447" t="str">
            <v>900470629</v>
          </cell>
          <cell r="B2447" t="str">
            <v>2</v>
          </cell>
          <cell r="C2447" t="str">
            <v>RESTREPO ROJAS PINEDA ARQUITECTOS S.A.S</v>
          </cell>
          <cell r="D2447" t="str">
            <v>4082215</v>
          </cell>
          <cell r="E2447" t="str">
            <v>cartera@rrp.com.co</v>
          </cell>
          <cell r="F2447" t="str">
            <v>CL 38 A SUR 43 A 34</v>
          </cell>
          <cell r="G2447">
            <v>11001</v>
          </cell>
        </row>
        <row r="2448">
          <cell r="A2448" t="str">
            <v>900472220</v>
          </cell>
          <cell r="B2448" t="str">
            <v>3</v>
          </cell>
          <cell r="C2448" t="str">
            <v>URBANIZACION PRADO GRANDE ASOPROVES- PROPIEDAD HORIZONTAL</v>
          </cell>
          <cell r="D2448" t="str">
            <v>3002368</v>
          </cell>
          <cell r="E2448" t="str">
            <v>asoproves2020@gmail.com</v>
          </cell>
          <cell r="F2448" t="str">
            <v>CALLE 19 A  88  24</v>
          </cell>
          <cell r="G2448">
            <v>11001</v>
          </cell>
        </row>
        <row r="2449">
          <cell r="A2449" t="str">
            <v>900472705</v>
          </cell>
          <cell r="B2449" t="str">
            <v>3</v>
          </cell>
          <cell r="C2449" t="str">
            <v>EDIFICIO SAMAN PROPIEDAD HORIZONTAL</v>
          </cell>
          <cell r="D2449" t="str">
            <v>3043628014</v>
          </cell>
          <cell r="E2449" t="str">
            <v>admonsaman@hotmail.com</v>
          </cell>
          <cell r="F2449" t="str">
            <v>CARRERA 15  135  25</v>
          </cell>
          <cell r="G2449">
            <v>11001</v>
          </cell>
        </row>
        <row r="2450">
          <cell r="A2450" t="str">
            <v>900473393</v>
          </cell>
          <cell r="B2450" t="str">
            <v>3</v>
          </cell>
          <cell r="C2450" t="str">
            <v>CONJUNTO RESIDENCIAL COLINA VERSALLES</v>
          </cell>
          <cell r="D2450" t="str">
            <v>6399520</v>
          </cell>
          <cell r="E2450" t="str">
            <v>colinaversalles197@gmail.com</v>
          </cell>
          <cell r="F2450" t="str">
            <v>CL 197 15 382</v>
          </cell>
          <cell r="G2450">
            <v>11001</v>
          </cell>
        </row>
        <row r="2451">
          <cell r="A2451" t="str">
            <v>900474783</v>
          </cell>
          <cell r="B2451" t="str">
            <v>7</v>
          </cell>
          <cell r="C2451" t="str">
            <v>EDIFICIO ALCADA PROPIEDAD HORIZONTAL</v>
          </cell>
          <cell r="D2451" t="str">
            <v>5410173</v>
          </cell>
          <cell r="E2451" t="str">
            <v>edificioalcada@hotmail.com</v>
          </cell>
          <cell r="F2451" t="str">
            <v>CARRERA 3 B  63  42</v>
          </cell>
          <cell r="G2451">
            <v>11001</v>
          </cell>
        </row>
        <row r="2452">
          <cell r="A2452" t="str">
            <v>900475484</v>
          </cell>
          <cell r="B2452" t="str">
            <v>4</v>
          </cell>
          <cell r="C2452" t="str">
            <v>BC HOTELES S.A.</v>
          </cell>
          <cell r="D2452" t="str">
            <v>7440506</v>
          </cell>
          <cell r="E2452" t="str">
            <v>facturacion@hotelalmirante.co</v>
          </cell>
          <cell r="F2452" t="str">
            <v>CARRERA 9  113  52 OFICINA 2001</v>
          </cell>
          <cell r="G2452">
            <v>11001</v>
          </cell>
        </row>
        <row r="2453">
          <cell r="A2453" t="str">
            <v>900475600</v>
          </cell>
          <cell r="B2453" t="str">
            <v>2</v>
          </cell>
          <cell r="C2453" t="str">
            <v>EDIFICIO APIROS PROPIEDAD HORIZONTAL</v>
          </cell>
          <cell r="D2453" t="str">
            <v>6010996</v>
          </cell>
          <cell r="E2453" t="str">
            <v>apiros@administrandoespacios.com</v>
          </cell>
          <cell r="F2453" t="str">
            <v>CALLE 82 10 39</v>
          </cell>
          <cell r="G2453">
            <v>11001</v>
          </cell>
        </row>
        <row r="2454">
          <cell r="A2454" t="str">
            <v>900475600</v>
          </cell>
          <cell r="B2454" t="str">
            <v>2</v>
          </cell>
          <cell r="C2454" t="str">
            <v>EDIFICIO APIROS PROPIEDAD HORIZONTAL</v>
          </cell>
          <cell r="D2454" t="str">
            <v>6010996</v>
          </cell>
          <cell r="E2454" t="str">
            <v>apiros@administrandoespacios.com</v>
          </cell>
          <cell r="F2454" t="str">
            <v>CALLE 82 10 39</v>
          </cell>
          <cell r="G2454">
            <v>11001</v>
          </cell>
        </row>
        <row r="2455">
          <cell r="A2455" t="str">
            <v>900481277</v>
          </cell>
          <cell r="B2455" t="str">
            <v>0</v>
          </cell>
          <cell r="C2455" t="str">
            <v>CONJUNTO RESIDENCIAL FIRENZE</v>
          </cell>
          <cell r="D2455" t="str">
            <v>6381134</v>
          </cell>
          <cell r="E2455" t="str">
            <v>firenze-platino@hotmail.com</v>
          </cell>
          <cell r="F2455" t="str">
            <v>ANILLO FLORIDABLANCA VIA CARABINEROS</v>
          </cell>
          <cell r="G2455">
            <v>11001</v>
          </cell>
        </row>
        <row r="2456">
          <cell r="A2456" t="str">
            <v>900482939</v>
          </cell>
          <cell r="B2456" t="str">
            <v>2</v>
          </cell>
          <cell r="C2456" t="str">
            <v>EDIFICIO AVANTE 93 PROPIEDAD HORIZONTAL</v>
          </cell>
          <cell r="D2456" t="str">
            <v>3105778549</v>
          </cell>
          <cell r="E2456" t="str">
            <v>edificioavante93@hotmail.com</v>
          </cell>
          <cell r="F2456" t="str">
            <v>CALLE 93  15  27</v>
          </cell>
          <cell r="G2456">
            <v>11001</v>
          </cell>
        </row>
        <row r="2457">
          <cell r="A2457" t="str">
            <v>900483366</v>
          </cell>
          <cell r="B2457" t="str">
            <v>7</v>
          </cell>
          <cell r="C2457" t="str">
            <v>CONJUNTO RESIDENCIAL VALLE DEL REFOUS ETAPAS 1,2 Y 3 - PROPIEDAD HORIZONTAL</v>
          </cell>
          <cell r="D2457" t="str">
            <v>6808030</v>
          </cell>
          <cell r="E2457" t="str">
            <v>core.vare.admon@gmail.com</v>
          </cell>
          <cell r="F2457" t="str">
            <v>CALLE 150  101  20</v>
          </cell>
          <cell r="G2457">
            <v>11001</v>
          </cell>
        </row>
        <row r="2458">
          <cell r="A2458" t="str">
            <v>900484779</v>
          </cell>
          <cell r="B2458" t="str">
            <v>1</v>
          </cell>
          <cell r="C2458" t="str">
            <v>DAVINCI APARTAMENTOS</v>
          </cell>
          <cell r="D2458" t="str">
            <v>6377466</v>
          </cell>
          <cell r="E2458" t="str">
            <v>casm89@hotmail.com</v>
          </cell>
          <cell r="F2458" t="str">
            <v>CARRERA 15 E  105  90</v>
          </cell>
          <cell r="G2458">
            <v>11001</v>
          </cell>
        </row>
        <row r="2459">
          <cell r="A2459" t="str">
            <v>900485750</v>
          </cell>
          <cell r="B2459" t="str">
            <v>1</v>
          </cell>
          <cell r="C2459" t="str">
            <v>JJVM SAS</v>
          </cell>
          <cell r="D2459" t="str">
            <v>3102892485</v>
          </cell>
          <cell r="E2459" t="str">
            <v>brillin.saavedra@jjvm.com.co</v>
          </cell>
          <cell r="F2459" t="str">
            <v>CL 97 10 28 OF 502</v>
          </cell>
          <cell r="G2459">
            <v>11001</v>
          </cell>
        </row>
        <row r="2460">
          <cell r="A2460" t="str">
            <v>900486650</v>
          </cell>
          <cell r="B2460" t="str">
            <v>8</v>
          </cell>
          <cell r="C2460" t="str">
            <v>CONJUNTO RESIDENCIAL TORREHAYUELOS PROPIEDAD HORIZONTAL</v>
          </cell>
          <cell r="D2460" t="str">
            <v>4642315</v>
          </cell>
          <cell r="E2460" t="str">
            <v>conjuntotorrehayuelos@gmail.com</v>
          </cell>
          <cell r="F2460" t="str">
            <v>CARRERA 80 A  17  85</v>
          </cell>
          <cell r="G2460">
            <v>11001</v>
          </cell>
        </row>
        <row r="2461">
          <cell r="A2461" t="str">
            <v>900486650</v>
          </cell>
          <cell r="B2461" t="str">
            <v>8</v>
          </cell>
          <cell r="C2461" t="str">
            <v>CONJUNTO RESIDENCIAL TORREHAYUELOS PROPIEDAD HORIZONTAL</v>
          </cell>
          <cell r="D2461" t="str">
            <v>4642315</v>
          </cell>
          <cell r="E2461" t="str">
            <v>conjuntotorrehayuelos@gmail.com</v>
          </cell>
          <cell r="F2461" t="str">
            <v>CARRERA 80 A  17  85</v>
          </cell>
          <cell r="G2461">
            <v>11001</v>
          </cell>
        </row>
        <row r="2462">
          <cell r="A2462" t="str">
            <v>900487643</v>
          </cell>
          <cell r="B2462" t="str">
            <v>0</v>
          </cell>
          <cell r="C2462" t="str">
            <v>EDIFICIO HOME &amp; OFFICE - PROPIEDAD HORIZONTAL</v>
          </cell>
          <cell r="D2462" t="str">
            <v>7495713</v>
          </cell>
          <cell r="E2462" t="str">
            <v>facturacion@estiloingenieria.com</v>
          </cell>
          <cell r="F2462" t="str">
            <v>CARRERA 11  119  31</v>
          </cell>
          <cell r="G2462">
            <v>11001</v>
          </cell>
        </row>
        <row r="2463">
          <cell r="A2463" t="str">
            <v>900487755</v>
          </cell>
          <cell r="B2463" t="str">
            <v>7</v>
          </cell>
          <cell r="C2463" t="str">
            <v>EDIFICIO BAHIA BLANCA</v>
          </cell>
          <cell r="D2463" t="str">
            <v>3156495960</v>
          </cell>
          <cell r="E2463" t="str">
            <v>edificiobahiablanca2023@gmail.com</v>
          </cell>
          <cell r="F2463" t="str">
            <v>CARRERA 18  70  20</v>
          </cell>
          <cell r="G2463">
            <v>11001</v>
          </cell>
        </row>
        <row r="2464">
          <cell r="A2464" t="str">
            <v>900488868</v>
          </cell>
          <cell r="B2464" t="str">
            <v>5</v>
          </cell>
          <cell r="C2464" t="str">
            <v>EDIFICIO PALOS BLANCOS - PROPIEDAD HORIZONTAL</v>
          </cell>
          <cell r="D2464" t="str">
            <v>7508481</v>
          </cell>
          <cell r="E2464" t="str">
            <v>palosblancos00@gmail.com</v>
          </cell>
          <cell r="F2464" t="str">
            <v>CALLE 142  13  83</v>
          </cell>
          <cell r="G2464">
            <v>11001</v>
          </cell>
        </row>
        <row r="2465">
          <cell r="A2465" t="str">
            <v>900489135</v>
          </cell>
          <cell r="B2465" t="str">
            <v>1</v>
          </cell>
          <cell r="C2465" t="str">
            <v>EDIFICIO CONSULTORIOS 93-19 - PROPIEDAD HORIZONTAL</v>
          </cell>
          <cell r="D2465" t="str">
            <v>2572518</v>
          </cell>
          <cell r="E2465" t="str">
            <v>admonconsultorios9319@gmail.com</v>
          </cell>
          <cell r="F2465" t="str">
            <v>CALLE 93  19  66</v>
          </cell>
          <cell r="G2465">
            <v>11001</v>
          </cell>
        </row>
        <row r="2466">
          <cell r="A2466" t="str">
            <v>900489135</v>
          </cell>
          <cell r="B2466" t="str">
            <v>1</v>
          </cell>
          <cell r="C2466" t="str">
            <v>EDIFICIO CONSULTORIOS 93-19 - PROPIEDAD HORIZONTAL</v>
          </cell>
          <cell r="D2466" t="str">
            <v>2572518</v>
          </cell>
          <cell r="E2466" t="str">
            <v>admonconsultorios9319@gmail.com</v>
          </cell>
          <cell r="F2466" t="str">
            <v>CALLE 93  19  66</v>
          </cell>
          <cell r="G2466">
            <v>11001</v>
          </cell>
        </row>
        <row r="2467">
          <cell r="A2467" t="str">
            <v>900489491</v>
          </cell>
          <cell r="B2467" t="str">
            <v>7</v>
          </cell>
          <cell r="C2467" t="str">
            <v>URBANIZACION ATALAYA DE LA MOTA PROPIEDAD HORIZONTAL</v>
          </cell>
          <cell r="D2467" t="str">
            <v>3007745857</v>
          </cell>
          <cell r="E2467" t="str">
            <v>atalayadelamota@gmail.com</v>
          </cell>
          <cell r="F2467" t="str">
            <v>CARRERA 81 A  3 SUR  08</v>
          </cell>
          <cell r="G2467">
            <v>11001</v>
          </cell>
        </row>
        <row r="2468">
          <cell r="A2468" t="str">
            <v>900491572</v>
          </cell>
          <cell r="B2468" t="str">
            <v>1</v>
          </cell>
          <cell r="C2468" t="str">
            <v>EDIFICIO AGAVE - PROPIEDAD HORIZONTAL</v>
          </cell>
          <cell r="D2468" t="str">
            <v>4580891</v>
          </cell>
          <cell r="E2468" t="str">
            <v>edificioresidencialagave@gmail.com</v>
          </cell>
          <cell r="F2468" t="str">
            <v>CARRERA 10 B  135 A  20</v>
          </cell>
          <cell r="G2468">
            <v>11001</v>
          </cell>
        </row>
        <row r="2469">
          <cell r="A2469" t="str">
            <v>900494375</v>
          </cell>
          <cell r="B2469" t="str">
            <v>0</v>
          </cell>
          <cell r="C2469" t="str">
            <v>CONJUNTO RESIDENCIAL MONTERESERVA I ETAPA PH</v>
          </cell>
          <cell r="D2469" t="str">
            <v>7025258</v>
          </cell>
          <cell r="E2469" t="str">
            <v>crmontereservaph2022@gmail.com</v>
          </cell>
          <cell r="F2469" t="str">
            <v>CARRERA 80  129  22</v>
          </cell>
          <cell r="G2469">
            <v>11001</v>
          </cell>
        </row>
        <row r="2470">
          <cell r="A2470" t="str">
            <v>900494375</v>
          </cell>
          <cell r="B2470" t="str">
            <v>0</v>
          </cell>
          <cell r="C2470" t="str">
            <v>CONJUNTO RESIDENCIAL MONTERESERVA I ETAPA PH</v>
          </cell>
          <cell r="D2470" t="str">
            <v>7025258</v>
          </cell>
          <cell r="E2470" t="str">
            <v>crmontereservaph2022@gmail.com</v>
          </cell>
          <cell r="F2470" t="str">
            <v>CARRERA 80  129  22</v>
          </cell>
          <cell r="G2470">
            <v>11001</v>
          </cell>
        </row>
        <row r="2471">
          <cell r="A2471" t="str">
            <v>900495414</v>
          </cell>
          <cell r="B2471" t="str">
            <v>4</v>
          </cell>
          <cell r="C2471" t="str">
            <v>CONJUNTO RESIDENCIAL BOREAL</v>
          </cell>
          <cell r="D2471" t="str">
            <v>7379123</v>
          </cell>
          <cell r="E2471" t="str">
            <v>conjuntoboreal@gmail.com</v>
          </cell>
          <cell r="F2471" t="str">
            <v>CALLE 2  6  371</v>
          </cell>
          <cell r="G2471">
            <v>11001</v>
          </cell>
        </row>
        <row r="2472">
          <cell r="A2472" t="str">
            <v>900495729</v>
          </cell>
          <cell r="B2472" t="str">
            <v>9</v>
          </cell>
          <cell r="C2472" t="str">
            <v>MODA HOME S.A.S.</v>
          </cell>
          <cell r="D2472" t="str">
            <v>6272200</v>
          </cell>
          <cell r="E2472" t="str">
            <v>facturacion.electronica@modahome.com.co</v>
          </cell>
          <cell r="F2472" t="str">
            <v>CALLE 82  12  54</v>
          </cell>
          <cell r="G2472">
            <v>11001</v>
          </cell>
        </row>
        <row r="2473">
          <cell r="A2473" t="str">
            <v>900495729</v>
          </cell>
          <cell r="B2473" t="str">
            <v>9</v>
          </cell>
          <cell r="C2473" t="str">
            <v>MODA HOME S.A.S.</v>
          </cell>
          <cell r="D2473" t="str">
            <v>6272200</v>
          </cell>
          <cell r="E2473" t="str">
            <v>facturacion.electronica@modahome.com.co</v>
          </cell>
          <cell r="F2473" t="str">
            <v>CALLE 82  12  54</v>
          </cell>
          <cell r="G2473">
            <v>11001</v>
          </cell>
        </row>
        <row r="2474">
          <cell r="A2474" t="str">
            <v>900496494</v>
          </cell>
          <cell r="B2474" t="str">
            <v>8</v>
          </cell>
          <cell r="C2474" t="str">
            <v>BLUECARE SALUD S.A.S.</v>
          </cell>
          <cell r="D2474" t="str">
            <v>7427888</v>
          </cell>
          <cell r="E2474" t="str">
            <v>facturaproveedorbc@bluecare.com.co</v>
          </cell>
          <cell r="F2474" t="str">
            <v>CR 14 93B 15</v>
          </cell>
          <cell r="G2474">
            <v>11001</v>
          </cell>
        </row>
        <row r="2475">
          <cell r="A2475" t="str">
            <v>900496494</v>
          </cell>
          <cell r="B2475" t="str">
            <v>8</v>
          </cell>
          <cell r="C2475" t="str">
            <v>BLUECARE SALUD S.A.S.</v>
          </cell>
          <cell r="D2475" t="str">
            <v>7427888</v>
          </cell>
          <cell r="E2475" t="str">
            <v>facturaproveedorbc@bluecare.com.co</v>
          </cell>
          <cell r="F2475" t="str">
            <v>CR 14 93B 15</v>
          </cell>
          <cell r="G2475">
            <v>11001</v>
          </cell>
        </row>
        <row r="2476">
          <cell r="A2476" t="str">
            <v>900497001</v>
          </cell>
          <cell r="B2476" t="str">
            <v>5</v>
          </cell>
          <cell r="C2476" t="str">
            <v>CONJUNTO RESIDENCIAL URBANIZACION VIENTOS DE ARAGON PH.</v>
          </cell>
          <cell r="D2476" t="str">
            <v>2712227</v>
          </cell>
          <cell r="E2476" t="str">
            <v>admonvientosdearagon@gmail.com</v>
          </cell>
          <cell r="F2476" t="str">
            <v>CALLE 27 D  36  52 SUR</v>
          </cell>
          <cell r="G2476">
            <v>11001</v>
          </cell>
        </row>
        <row r="2477">
          <cell r="A2477" t="str">
            <v>900497541</v>
          </cell>
          <cell r="B2477" t="str">
            <v>0</v>
          </cell>
          <cell r="C2477" t="str">
            <v>CONJUNTO RESIDENCIAL PARQUE DE SAN MARTIN - PROPIEDAD HORIZONTAL</v>
          </cell>
          <cell r="D2477" t="str">
            <v>3114972900</v>
          </cell>
          <cell r="E2477" t="str">
            <v>parquedesanmartin@gmail.com</v>
          </cell>
          <cell r="F2477" t="str">
            <v>CALLE 165 B  14 A  07</v>
          </cell>
          <cell r="G2477">
            <v>11001</v>
          </cell>
        </row>
        <row r="2478">
          <cell r="A2478" t="str">
            <v>900497541</v>
          </cell>
          <cell r="B2478" t="str">
            <v>0</v>
          </cell>
          <cell r="C2478" t="str">
            <v>CONJUNTO RESIDENCIAL PARQUE DE SAN MARTIN - PROPIEDAD HORIZONTAL</v>
          </cell>
          <cell r="D2478" t="str">
            <v>3114972900</v>
          </cell>
          <cell r="E2478" t="str">
            <v>parquedesanmartin@gmail.com</v>
          </cell>
          <cell r="F2478" t="str">
            <v>CALLE 165 B  14 A  07</v>
          </cell>
          <cell r="G2478">
            <v>11001</v>
          </cell>
        </row>
        <row r="2479">
          <cell r="A2479" t="str">
            <v>900497754</v>
          </cell>
          <cell r="B2479" t="str">
            <v>2</v>
          </cell>
          <cell r="C2479" t="str">
            <v>CONSTRUCCIONES ZABDI SAS</v>
          </cell>
          <cell r="D2479" t="str">
            <v>3152669255</v>
          </cell>
          <cell r="E2479" t="str">
            <v>facturacion.electronica@zabdi.com.co</v>
          </cell>
          <cell r="F2479" t="str">
            <v>CR 26 36 14 OF 701 ED FENIX BUSINESS CENTER</v>
          </cell>
          <cell r="G2479">
            <v>11001</v>
          </cell>
        </row>
        <row r="2480">
          <cell r="A2480" t="str">
            <v>900497754</v>
          </cell>
          <cell r="B2480" t="str">
            <v>2</v>
          </cell>
          <cell r="C2480" t="str">
            <v>CONSTRUCCIONES ZABDI SAS</v>
          </cell>
          <cell r="D2480" t="str">
            <v>3152669255</v>
          </cell>
          <cell r="E2480" t="str">
            <v>facturacion.electronica@zabdi.com.co</v>
          </cell>
          <cell r="F2480" t="str">
            <v>CR 26 36 14 OF 701 ED FENIX BUSINESS CENTER</v>
          </cell>
          <cell r="G2480">
            <v>11001</v>
          </cell>
        </row>
        <row r="2481">
          <cell r="A2481" t="str">
            <v>900500937</v>
          </cell>
          <cell r="B2481" t="str">
            <v>6</v>
          </cell>
          <cell r="C2481" t="str">
            <v>CONJUNTO RESIDENCIAL URBANIZACON MIRADOR DE LOS BERNAL P.H.</v>
          </cell>
          <cell r="D2481" t="str">
            <v>5062499</v>
          </cell>
          <cell r="E2481" t="str">
            <v>miradordelosbernalph@gmail.com</v>
          </cell>
          <cell r="F2481" t="str">
            <v>CALLE 34 C  88 B  66</v>
          </cell>
          <cell r="G2481">
            <v>11001</v>
          </cell>
        </row>
        <row r="2482">
          <cell r="A2482" t="str">
            <v>900502208</v>
          </cell>
          <cell r="B2482" t="str">
            <v>4</v>
          </cell>
          <cell r="C2482" t="str">
            <v>CONJUNTO RESIDENCIAL PASTEUR PH - PROPIEDAD HORIZONTAL</v>
          </cell>
          <cell r="D2482" t="str">
            <v>7342449</v>
          </cell>
          <cell r="E2482" t="str">
            <v>crpasteur.admon@gmail.com</v>
          </cell>
          <cell r="F2482" t="str">
            <v>CALLE 49 B SUR  9 A  94</v>
          </cell>
          <cell r="G2482">
            <v>11001</v>
          </cell>
        </row>
        <row r="2483">
          <cell r="A2483" t="str">
            <v>900502208</v>
          </cell>
          <cell r="B2483" t="str">
            <v>4</v>
          </cell>
          <cell r="C2483" t="str">
            <v>CONJUNTO RESIDENCIAL PASTEUR PH - PROPIEDAD HORIZONTAL</v>
          </cell>
          <cell r="D2483" t="str">
            <v>7342449</v>
          </cell>
          <cell r="E2483" t="str">
            <v>crpasteur.admon@gmail.com</v>
          </cell>
          <cell r="F2483" t="str">
            <v>CALLE 49 B SUR  9 A  94</v>
          </cell>
          <cell r="G2483">
            <v>11001</v>
          </cell>
        </row>
        <row r="2484">
          <cell r="A2484" t="str">
            <v>900504222</v>
          </cell>
          <cell r="B2484" t="str">
            <v>7</v>
          </cell>
          <cell r="C2484" t="str">
            <v>CONSTRUCTORA C N G S A S</v>
          </cell>
          <cell r="D2484" t="str">
            <v>4323939</v>
          </cell>
          <cell r="E2484" t="str">
            <v>cng.admon943@gmail.com</v>
          </cell>
          <cell r="F2484" t="str">
            <v>CALLE 12  10  10  OFICINA 804</v>
          </cell>
          <cell r="G2484">
            <v>11001</v>
          </cell>
        </row>
        <row r="2485">
          <cell r="A2485" t="str">
            <v>900504222</v>
          </cell>
          <cell r="B2485" t="str">
            <v>7</v>
          </cell>
          <cell r="C2485" t="str">
            <v>CONSTRUCTORA C N G S A S</v>
          </cell>
          <cell r="D2485" t="str">
            <v>4323939</v>
          </cell>
          <cell r="E2485" t="str">
            <v>cng.admon943@gmail.com</v>
          </cell>
          <cell r="F2485" t="str">
            <v>CALLE 12  10  10  OFICINA 804</v>
          </cell>
          <cell r="G2485">
            <v>11001</v>
          </cell>
        </row>
        <row r="2486">
          <cell r="A2486" t="str">
            <v>900504453</v>
          </cell>
          <cell r="B2486" t="str">
            <v>1</v>
          </cell>
          <cell r="C2486" t="str">
            <v>SITES GROUP S.A.S</v>
          </cell>
          <cell r="D2486" t="str">
            <v>3075000</v>
          </cell>
          <cell r="E2486" t="str">
            <v>900504453@factureinbox.co</v>
          </cell>
          <cell r="F2486" t="str">
            <v>CR 45 5 15</v>
          </cell>
          <cell r="G2486">
            <v>11001</v>
          </cell>
        </row>
        <row r="2487">
          <cell r="A2487" t="str">
            <v>900504491</v>
          </cell>
          <cell r="B2487" t="str">
            <v>1</v>
          </cell>
          <cell r="C2487" t="str">
            <v>EDIFICIO SUITE PARK 101 - PROPIEDAD HORIZONTAL</v>
          </cell>
          <cell r="D2487" t="str">
            <v>3118105442</v>
          </cell>
          <cell r="E2487" t="str">
            <v>ftellezr@hotmail.com</v>
          </cell>
          <cell r="F2487" t="str">
            <v>CARRERA 23  100  62</v>
          </cell>
          <cell r="G2487">
            <v>11001</v>
          </cell>
        </row>
        <row r="2488">
          <cell r="A2488" t="str">
            <v>900507451</v>
          </cell>
          <cell r="B2488" t="str">
            <v>0</v>
          </cell>
          <cell r="C2488" t="str">
            <v>CONJUNTO DE USO MIXTO PLAZA DEL RIO PROPIEDAD HORIZONTAL</v>
          </cell>
          <cell r="D2488" t="str">
            <v>3660608</v>
          </cell>
          <cell r="E2488" t="str">
            <v>encontactoplazadelrio@gmail.com</v>
          </cell>
          <cell r="F2488" t="str">
            <v>CALLE 19  43 G  80</v>
          </cell>
          <cell r="G2488">
            <v>11001</v>
          </cell>
        </row>
        <row r="2489">
          <cell r="A2489" t="str">
            <v>900508117</v>
          </cell>
          <cell r="B2489" t="str">
            <v>1</v>
          </cell>
          <cell r="C2489" t="str">
            <v>CONJUNTO PARQUE OASIS DE CASTILLA PROPIEDAD HORIZONTAL</v>
          </cell>
          <cell r="D2489" t="str">
            <v>7045799</v>
          </cell>
          <cell r="E2489" t="str">
            <v>oasisdecastilla@yahoo.es</v>
          </cell>
          <cell r="F2489" t="str">
            <v>CALLE 10 A  80  41</v>
          </cell>
          <cell r="G2489">
            <v>11001</v>
          </cell>
        </row>
        <row r="2490">
          <cell r="A2490" t="str">
            <v>900508117</v>
          </cell>
          <cell r="B2490" t="str">
            <v>1</v>
          </cell>
          <cell r="C2490" t="str">
            <v>CONJUNTO PARQUE OASIS DE CASTILLA PROPIEDAD HORIZONTAL</v>
          </cell>
          <cell r="D2490" t="str">
            <v>7045799</v>
          </cell>
          <cell r="E2490" t="str">
            <v>oasisdecastilla@yahoo.es</v>
          </cell>
          <cell r="F2490" t="str">
            <v>CALLE 10 A  80  41</v>
          </cell>
          <cell r="G2490">
            <v>11001</v>
          </cell>
        </row>
        <row r="2491">
          <cell r="A2491" t="str">
            <v>900508983</v>
          </cell>
          <cell r="B2491" t="str">
            <v>1</v>
          </cell>
          <cell r="C2491" t="str">
            <v>EDIFICIO NAVARRA REAL - PROPIEDAD HORIZONTAL</v>
          </cell>
          <cell r="D2491" t="str">
            <v>2151048</v>
          </cell>
          <cell r="E2491" t="str">
            <v>tesoreria@admonbuenvivir.com</v>
          </cell>
          <cell r="F2491" t="str">
            <v>CARRERA 20 C  77  19</v>
          </cell>
          <cell r="G2491">
            <v>11001</v>
          </cell>
        </row>
        <row r="2492">
          <cell r="A2492" t="str">
            <v>900510634</v>
          </cell>
          <cell r="B2492" t="str">
            <v>2</v>
          </cell>
          <cell r="C2492" t="str">
            <v>EDIFICIO OFICINAS 93 CENTRO EMPRESARIAL - PROPIEDAD HORIZONTAL</v>
          </cell>
          <cell r="D2492" t="str">
            <v>3174387135</v>
          </cell>
          <cell r="E2492" t="str">
            <v>recepcion@admejores.co</v>
          </cell>
          <cell r="F2492" t="str">
            <v>CALLE 93  14  71</v>
          </cell>
          <cell r="G2492">
            <v>11001</v>
          </cell>
        </row>
        <row r="2493">
          <cell r="A2493" t="str">
            <v>900511583</v>
          </cell>
          <cell r="B2493" t="str">
            <v>1</v>
          </cell>
          <cell r="C2493" t="str">
            <v>EDIFICIO DOMUS 95 - PROPIEDAD HORIZONTAL</v>
          </cell>
          <cell r="D2493" t="str">
            <v>6360770</v>
          </cell>
          <cell r="E2493" t="str">
            <v>facturacionelectronica@mariadelsocorrobonilla.co</v>
          </cell>
          <cell r="F2493" t="str">
            <v>CALLE 75  13  51  OFICINA 501</v>
          </cell>
          <cell r="G2493">
            <v>11001</v>
          </cell>
        </row>
        <row r="2494">
          <cell r="A2494" t="str">
            <v>900511787</v>
          </cell>
          <cell r="B2494" t="str">
            <v>5</v>
          </cell>
          <cell r="C2494" t="str">
            <v>URBANIZACION CAPRI P.H.</v>
          </cell>
          <cell r="D2494" t="str">
            <v>3217696001</v>
          </cell>
          <cell r="E2494" t="str">
            <v>urbanizacioncapriph@hotmail.com</v>
          </cell>
          <cell r="F2494" t="str">
            <v>CALLE 60  56 A  15</v>
          </cell>
          <cell r="G2494">
            <v>11001</v>
          </cell>
        </row>
        <row r="2495">
          <cell r="A2495" t="str">
            <v>900512582</v>
          </cell>
          <cell r="B2495" t="str">
            <v>7</v>
          </cell>
          <cell r="C2495" t="str">
            <v>CONJUNTO RESIDENCIAL PARQUES DE LA ALAMEDA PH.</v>
          </cell>
          <cell r="D2495" t="str">
            <v>7498147</v>
          </cell>
          <cell r="E2495" t="str">
            <v>admon.crparquesdelaalameda@gmail.com</v>
          </cell>
          <cell r="F2495" t="str">
            <v>CALLE 175  15  20</v>
          </cell>
          <cell r="G2495">
            <v>11001</v>
          </cell>
        </row>
        <row r="2496">
          <cell r="A2496" t="str">
            <v>900512582</v>
          </cell>
          <cell r="B2496" t="str">
            <v>7</v>
          </cell>
          <cell r="C2496" t="str">
            <v>CONJUNTO RESIDENCIAL PARQUES DE LA ALAMEDA PH.</v>
          </cell>
          <cell r="D2496" t="str">
            <v>7498147</v>
          </cell>
          <cell r="E2496" t="str">
            <v>admon.crparquesdelaalameda@gmail.com</v>
          </cell>
          <cell r="F2496" t="str">
            <v>CALLE 175  15  20</v>
          </cell>
          <cell r="G2496">
            <v>11001</v>
          </cell>
        </row>
        <row r="2497">
          <cell r="A2497" t="str">
            <v>900513283</v>
          </cell>
          <cell r="B2497" t="str">
            <v>4</v>
          </cell>
          <cell r="C2497" t="str">
            <v>PROFESIONALES EN INGENIERIA Y DESARROLLO S.A.S</v>
          </cell>
          <cell r="D2497" t="str">
            <v>5484293</v>
          </cell>
          <cell r="E2497" t="str">
            <v>admon@proinged.com</v>
          </cell>
          <cell r="F2497" t="str">
            <v>CR 30 31 30</v>
          </cell>
          <cell r="G2497">
            <v>11001</v>
          </cell>
        </row>
        <row r="2498">
          <cell r="A2498" t="str">
            <v>900514614</v>
          </cell>
          <cell r="B2498" t="str">
            <v>3</v>
          </cell>
          <cell r="C2498" t="str">
            <v>CONJUNTO RESIDENCIAL IMPERIAL RESERVADO PH - PROPIEDAD HORIZONTAL</v>
          </cell>
          <cell r="D2498" t="str">
            <v>3099121</v>
          </cell>
          <cell r="E2498" t="str">
            <v>conjuntoimperialreservado@gmail.com</v>
          </cell>
          <cell r="F2498" t="str">
            <v>CALLE 148  107  50</v>
          </cell>
          <cell r="G2498">
            <v>11001</v>
          </cell>
        </row>
        <row r="2499">
          <cell r="A2499" t="str">
            <v>900514614</v>
          </cell>
          <cell r="B2499" t="str">
            <v>3</v>
          </cell>
          <cell r="C2499" t="str">
            <v>CONJUNTO RESIDENCIAL IMPERIAL RESERVADO PH - PROPIEDAD HORIZONTAL</v>
          </cell>
          <cell r="D2499" t="str">
            <v>3099121</v>
          </cell>
          <cell r="E2499" t="str">
            <v>conjuntoimperialreservado@gmail.com</v>
          </cell>
          <cell r="F2499" t="str">
            <v>CALLE 148  107  50</v>
          </cell>
          <cell r="G2499">
            <v>11001</v>
          </cell>
        </row>
        <row r="2500">
          <cell r="A2500" t="str">
            <v>900516590</v>
          </cell>
          <cell r="B2500" t="str">
            <v>4</v>
          </cell>
          <cell r="C2500" t="str">
            <v>CONJUNTO RESIDENCIAL BARILOCHE PROPIEDAD HORIZONTAL</v>
          </cell>
          <cell r="D2500" t="str">
            <v>4592758</v>
          </cell>
          <cell r="E2500" t="str">
            <v>facturacion@estiloingenieria.com</v>
          </cell>
          <cell r="F2500" t="str">
            <v>CARRERA 3 ESTE  6 C  82 SUR</v>
          </cell>
          <cell r="G2500">
            <v>11001</v>
          </cell>
        </row>
        <row r="2501">
          <cell r="A2501" t="str">
            <v>900516974</v>
          </cell>
          <cell r="B2501" t="str">
            <v>9</v>
          </cell>
          <cell r="C2501" t="str">
            <v>EDIFICIO PORTAL SANTO DOMINGO</v>
          </cell>
          <cell r="D2501" t="str">
            <v>3006307717</v>
          </cell>
          <cell r="E2501" t="str">
            <v>admoportalsantodomingo@gmail.com</v>
          </cell>
          <cell r="F2501" t="str">
            <v>CALLE 35  29  50</v>
          </cell>
          <cell r="G2501">
            <v>11001</v>
          </cell>
        </row>
        <row r="2502">
          <cell r="A2502" t="str">
            <v>900519786</v>
          </cell>
          <cell r="B2502" t="str">
            <v>4</v>
          </cell>
          <cell r="C2502" t="str">
            <v>EDIFICIO ZYTAR - PROPIEDAD HORIZONTAL</v>
          </cell>
          <cell r="D2502" t="str">
            <v>6947704</v>
          </cell>
          <cell r="E2502" t="str">
            <v>serviciosph@gmail.com</v>
          </cell>
          <cell r="F2502" t="str">
            <v>CALLE 106  19  43</v>
          </cell>
          <cell r="G2502">
            <v>11001</v>
          </cell>
        </row>
        <row r="2503">
          <cell r="A2503" t="str">
            <v>900520318</v>
          </cell>
          <cell r="B2503" t="str">
            <v>2</v>
          </cell>
          <cell r="C2503" t="str">
            <v>CONJUNTO RESIDENCIAL PARQUE DE LOS CEREZOS PRIMERA Y SEGUNDA ETAPA- PROPIEDAD HORIZONTAL</v>
          </cell>
          <cell r="D2503" t="str">
            <v>5369670</v>
          </cell>
          <cell r="E2503" t="str">
            <v>admonparquedeloscerezos.ph@gmail.com</v>
          </cell>
          <cell r="F2503" t="str">
            <v>CALLE 137  91  97</v>
          </cell>
          <cell r="G2503">
            <v>11001</v>
          </cell>
        </row>
        <row r="2504">
          <cell r="A2504" t="str">
            <v>900520318</v>
          </cell>
          <cell r="B2504" t="str">
            <v>2</v>
          </cell>
          <cell r="C2504" t="str">
            <v>CONJUNTO RESIDENCIAL PARQUE DE LOS CEREZOS PRIMERA Y SEGUNDA ETAPA- PROPIEDAD HORIZONTAL</v>
          </cell>
          <cell r="D2504" t="str">
            <v>5369670</v>
          </cell>
          <cell r="E2504" t="str">
            <v>admonparquedeloscerezos.ph@gmail.com</v>
          </cell>
          <cell r="F2504" t="str">
            <v>CALLE 137  91  97</v>
          </cell>
          <cell r="G2504">
            <v>11001</v>
          </cell>
        </row>
        <row r="2505">
          <cell r="A2505" t="str">
            <v>900520848</v>
          </cell>
          <cell r="B2505" t="str">
            <v>4</v>
          </cell>
          <cell r="C2505" t="str">
            <v>SAFRID INGENIERIA SAS</v>
          </cell>
          <cell r="D2505" t="str">
            <v>7576146</v>
          </cell>
          <cell r="E2505" t="str">
            <v>contabilidadprocables2022@gmail.com</v>
          </cell>
          <cell r="F2505" t="str">
            <v>TV 21 BIS 59 57</v>
          </cell>
          <cell r="G2505">
            <v>11001</v>
          </cell>
        </row>
        <row r="2506">
          <cell r="A2506" t="str">
            <v>900520848</v>
          </cell>
          <cell r="B2506" t="str">
            <v>4</v>
          </cell>
          <cell r="C2506" t="str">
            <v>SAFRID INGENIERIA SAS</v>
          </cell>
          <cell r="D2506" t="str">
            <v>7576146</v>
          </cell>
          <cell r="E2506" t="str">
            <v>contabilidadprocables2022@gmail.com</v>
          </cell>
          <cell r="F2506" t="str">
            <v>TV 21 BIS 59 57</v>
          </cell>
          <cell r="G2506">
            <v>11001</v>
          </cell>
        </row>
        <row r="2507">
          <cell r="A2507" t="str">
            <v>900524714</v>
          </cell>
          <cell r="B2507" t="str">
            <v>4</v>
          </cell>
          <cell r="C2507" t="str">
            <v>EDIFICIO CRYSTAL VILLAGE - PROPIEDAD HORIZONTAL</v>
          </cell>
          <cell r="D2507" t="str">
            <v>6209243</v>
          </cell>
          <cell r="E2507" t="str">
            <v>facturacionproveedoresnational@gmail.com</v>
          </cell>
          <cell r="F2507" t="str">
            <v>CALLE 106  19 A  42</v>
          </cell>
          <cell r="G2507">
            <v>11001</v>
          </cell>
        </row>
        <row r="2508">
          <cell r="A2508" t="str">
            <v>900524988</v>
          </cell>
          <cell r="B2508" t="str">
            <v>5</v>
          </cell>
          <cell r="C2508" t="str">
            <v>ALAMEDA COLOMBIA S.A.S.</v>
          </cell>
          <cell r="D2508" t="str">
            <v>3219576193</v>
          </cell>
          <cell r="E2508" t="str">
            <v>facturas.mantenimiento.co@ar-holdings.com</v>
          </cell>
          <cell r="F2508" t="str">
            <v>CALLE 120 A  7  65</v>
          </cell>
          <cell r="G2508">
            <v>11001</v>
          </cell>
        </row>
        <row r="2509">
          <cell r="A2509" t="str">
            <v>900525395</v>
          </cell>
          <cell r="B2509" t="str">
            <v>2</v>
          </cell>
          <cell r="C2509" t="str">
            <v>CONJUNTO RESERVA DE CANTABRIA - PROPIEDAD HORIZONTAL</v>
          </cell>
          <cell r="D2509" t="str">
            <v>4211894</v>
          </cell>
          <cell r="E2509" t="str">
            <v>reservadecantabria@gmail.com</v>
          </cell>
          <cell r="F2509" t="str">
            <v>CR 104 16 28</v>
          </cell>
          <cell r="G2509">
            <v>11001</v>
          </cell>
        </row>
        <row r="2510">
          <cell r="A2510" t="str">
            <v>900525395</v>
          </cell>
          <cell r="B2510" t="str">
            <v>2</v>
          </cell>
          <cell r="C2510" t="str">
            <v>CONJUNTO RESERVA DE CANTABRIA - PROPIEDAD HORIZONTAL</v>
          </cell>
          <cell r="D2510" t="str">
            <v>4211894</v>
          </cell>
          <cell r="E2510" t="str">
            <v>reservadecantabria@gmail.com</v>
          </cell>
          <cell r="F2510" t="str">
            <v>CR 104 16 28</v>
          </cell>
          <cell r="G2510">
            <v>11001</v>
          </cell>
        </row>
        <row r="2511">
          <cell r="A2511" t="str">
            <v>900526061</v>
          </cell>
          <cell r="B2511" t="str">
            <v>2</v>
          </cell>
          <cell r="C2511" t="str">
            <v>EDIFICIO DELFOZ</v>
          </cell>
          <cell r="D2511" t="str">
            <v>3008083478</v>
          </cell>
          <cell r="E2511" t="str">
            <v>ramon.deyongh@gmail.com</v>
          </cell>
          <cell r="F2511" t="str">
            <v>CALLE 106  49 E  11</v>
          </cell>
          <cell r="G2511">
            <v>11001</v>
          </cell>
        </row>
        <row r="2512">
          <cell r="A2512" t="str">
            <v>900526569</v>
          </cell>
          <cell r="B2512" t="str">
            <v>1</v>
          </cell>
          <cell r="C2512" t="str">
            <v>EDIFICIO MIZU - PROPIEDAD HORIZONTAL</v>
          </cell>
          <cell r="D2512" t="str">
            <v>3152490474</v>
          </cell>
          <cell r="E2512" t="str">
            <v>edimizu@gmail.com</v>
          </cell>
          <cell r="F2512" t="str">
            <v>TRANSVERSAL 1 B  55  66</v>
          </cell>
          <cell r="G2512">
            <v>11001</v>
          </cell>
        </row>
        <row r="2513">
          <cell r="A2513" t="str">
            <v>900527685</v>
          </cell>
          <cell r="B2513" t="str">
            <v>2</v>
          </cell>
          <cell r="C2513" t="str">
            <v>MULTIPLIKA S.A.S.</v>
          </cell>
          <cell r="D2513">
            <v>3219664011</v>
          </cell>
          <cell r="E2513" t="str">
            <v>facturacionelectronica@ccplazacentral.com.co</v>
          </cell>
          <cell r="F2513" t="str">
            <v>CL 99 9 A 45 OF 305 A</v>
          </cell>
          <cell r="G2513">
            <v>11001</v>
          </cell>
        </row>
        <row r="2514">
          <cell r="A2514" t="str">
            <v>900527685</v>
          </cell>
          <cell r="B2514" t="str">
            <v>2</v>
          </cell>
          <cell r="C2514" t="str">
            <v>MULTIPLIKA S.A.S.</v>
          </cell>
          <cell r="D2514">
            <v>3219664011</v>
          </cell>
          <cell r="E2514" t="str">
            <v>facturacionelectronica@ccplazacentral.com.co</v>
          </cell>
          <cell r="F2514" t="str">
            <v>CL 99 9 A 45 OF 305 A</v>
          </cell>
          <cell r="G2514">
            <v>11001</v>
          </cell>
        </row>
        <row r="2515">
          <cell r="A2515" t="str">
            <v>900529203</v>
          </cell>
          <cell r="B2515" t="str">
            <v>5</v>
          </cell>
          <cell r="C2515" t="str">
            <v>SECTOR 2 ETAPA V SUBETAPA 1 CONJUNTO RESIDENCIAL PEDREGAL RESERVADO PROPIEDAD HORIZONTAL</v>
          </cell>
          <cell r="D2515" t="str">
            <v>7044292</v>
          </cell>
          <cell r="E2515" t="str">
            <v>pedregalreservado5@gmail.com</v>
          </cell>
          <cell r="F2515" t="str">
            <v>CALLE 71 B  100  11</v>
          </cell>
          <cell r="G2515">
            <v>11001</v>
          </cell>
        </row>
        <row r="2516">
          <cell r="A2516" t="str">
            <v>900529899</v>
          </cell>
          <cell r="B2516" t="str">
            <v>0</v>
          </cell>
          <cell r="C2516" t="str">
            <v>EDIFICIO SANTA CLARA IV - PROPIEDAD HORIZONTAL</v>
          </cell>
          <cell r="D2516" t="str">
            <v>6166225</v>
          </cell>
          <cell r="E2516" t="str">
            <v>delegado2@iwanaph.com</v>
          </cell>
          <cell r="F2516" t="str">
            <v>CARRERA 7 A  97  07</v>
          </cell>
          <cell r="G2516">
            <v>11001</v>
          </cell>
        </row>
        <row r="2517">
          <cell r="A2517" t="str">
            <v>900531292</v>
          </cell>
          <cell r="B2517" t="str">
            <v>7</v>
          </cell>
          <cell r="C2517" t="str">
            <v>PATRIMONIOS AUTONOMOS CREDICORP CAPITAL FIDUCIARIA S A</v>
          </cell>
          <cell r="D2517" t="str">
            <v>6010404</v>
          </cell>
          <cell r="E2517" t="str">
            <v>administracion@edificio1990.com.co</v>
          </cell>
          <cell r="F2517" t="str">
            <v>CALLE 34  6  61  APARTAMENTO 100</v>
          </cell>
          <cell r="G2517">
            <v>11001</v>
          </cell>
        </row>
        <row r="2518">
          <cell r="A2518" t="str">
            <v>900531292</v>
          </cell>
          <cell r="B2518" t="str">
            <v>7</v>
          </cell>
          <cell r="C2518" t="str">
            <v>PATRIMONIOS AUTONOMOS CREDICORP CAPITAL FIDUCIARIA S A</v>
          </cell>
          <cell r="D2518" t="str">
            <v>6010404</v>
          </cell>
          <cell r="E2518" t="str">
            <v>administracion@edificio1990.com.co</v>
          </cell>
          <cell r="F2518" t="str">
            <v>CALLE 34  6  61  APARTAMENTO 100</v>
          </cell>
          <cell r="G2518">
            <v>11001</v>
          </cell>
        </row>
        <row r="2519">
          <cell r="A2519" t="str">
            <v>900533720</v>
          </cell>
          <cell r="B2519" t="str">
            <v>7</v>
          </cell>
          <cell r="C2519" t="str">
            <v>EDIFICIO AMBAR 152 - PROPIEDAD HORIZONTAL</v>
          </cell>
          <cell r="D2519" t="str">
            <v>8050196</v>
          </cell>
          <cell r="E2519" t="str">
            <v>admonambar@hotmail.com</v>
          </cell>
          <cell r="F2519" t="str">
            <v>CARRERA 19 A  151  76</v>
          </cell>
          <cell r="G2519">
            <v>11001</v>
          </cell>
        </row>
        <row r="2520">
          <cell r="A2520" t="str">
            <v>900534663</v>
          </cell>
          <cell r="B2520" t="str">
            <v>1</v>
          </cell>
          <cell r="C2520" t="str">
            <v>CONJUNTO RESIDENCIAL URBANIZACION TIERRA CLARA P.H.</v>
          </cell>
          <cell r="D2520" t="str">
            <v>5780270</v>
          </cell>
          <cell r="E2520" t="str">
            <v>compras@abelardoyepes.com</v>
          </cell>
          <cell r="F2520" t="str">
            <v>CARRERA 29 A  5 SUR  125</v>
          </cell>
          <cell r="G2520">
            <v>11001</v>
          </cell>
        </row>
        <row r="2521">
          <cell r="A2521" t="str">
            <v>900538783</v>
          </cell>
          <cell r="B2521" t="str">
            <v>3</v>
          </cell>
          <cell r="C2521" t="str">
            <v>CONSTRUTURISMO S.A.S.</v>
          </cell>
          <cell r="D2521" t="str">
            <v>3400323</v>
          </cell>
          <cell r="E2521" t="str">
            <v>contabilidad@parkinnbq.com</v>
          </cell>
          <cell r="F2521" t="str">
            <v>CALLE 85  47  11</v>
          </cell>
          <cell r="G2521">
            <v>11001</v>
          </cell>
        </row>
        <row r="2522">
          <cell r="A2522" t="str">
            <v>900539381</v>
          </cell>
          <cell r="B2522" t="str">
            <v>0</v>
          </cell>
          <cell r="C2522" t="str">
            <v>CONJUNTO RESIDENCIAL PARQUE CENTRAL BONAVISTA ETAPA I - PROPIEDAD HORIZONTAL</v>
          </cell>
          <cell r="D2522" t="str">
            <v>3843972</v>
          </cell>
          <cell r="E2522" t="str">
            <v>info@bonavistaetapa1.com</v>
          </cell>
          <cell r="F2522" t="str">
            <v>TRANSVERSAL 70 N° 63 - 52 SUR</v>
          </cell>
          <cell r="G2522">
            <v>11001</v>
          </cell>
        </row>
        <row r="2523">
          <cell r="A2523" t="str">
            <v>900539381</v>
          </cell>
          <cell r="B2523" t="str">
            <v>0</v>
          </cell>
          <cell r="C2523" t="str">
            <v>CONJUNTO RESIDENCIAL PARQUE CENTRAL BONAVISTA ETAPA I - PROPIEDAD HORIZONTAL</v>
          </cell>
          <cell r="D2523" t="str">
            <v>3843972</v>
          </cell>
          <cell r="E2523" t="str">
            <v>info@bonavistaetapa1.com</v>
          </cell>
          <cell r="F2523" t="str">
            <v>TRANSVERSAL 70 N° 63 - 52 SUR</v>
          </cell>
          <cell r="G2523">
            <v>11001</v>
          </cell>
        </row>
        <row r="2524">
          <cell r="A2524" t="str">
            <v>900539684</v>
          </cell>
          <cell r="B2524" t="str">
            <v>7</v>
          </cell>
          <cell r="C2524" t="str">
            <v>EDIFICIO BOREAL PROPIEDAD HORIZONTAL</v>
          </cell>
          <cell r="D2524" t="str">
            <v>3924010</v>
          </cell>
          <cell r="E2524" t="str">
            <v>edificioborealph@gmail.com</v>
          </cell>
          <cell r="F2524" t="str">
            <v>CARRERA 7 D  127 C  63</v>
          </cell>
          <cell r="G2524">
            <v>11001</v>
          </cell>
        </row>
        <row r="2525">
          <cell r="A2525" t="str">
            <v>900542425</v>
          </cell>
          <cell r="B2525" t="str">
            <v>7</v>
          </cell>
          <cell r="C2525" t="str">
            <v>EDIFICIO CHICO PLAZA 97 - PROPIEDAD HORIZONTAL</v>
          </cell>
          <cell r="D2525" t="str">
            <v>3114807060</v>
          </cell>
          <cell r="E2525" t="str">
            <v>edificiochicoplaza97@gmail.com</v>
          </cell>
          <cell r="F2525" t="str">
            <v>CALLE 97  16  37</v>
          </cell>
          <cell r="G2525">
            <v>11001</v>
          </cell>
        </row>
        <row r="2526">
          <cell r="A2526" t="str">
            <v>900542465</v>
          </cell>
          <cell r="B2526" t="str">
            <v>1</v>
          </cell>
          <cell r="C2526" t="str">
            <v>PARQUE RESIDENCIAL TORRES DE CASTILLA - PROPIEDAD HORIZONTAL</v>
          </cell>
          <cell r="D2526" t="str">
            <v>3004197</v>
          </cell>
          <cell r="E2526" t="str">
            <v>admontorresdecastilla@gmail.com</v>
          </cell>
          <cell r="F2526" t="str">
            <v>AK 80 8 C 85</v>
          </cell>
          <cell r="G2526">
            <v>11001</v>
          </cell>
        </row>
        <row r="2527">
          <cell r="A2527" t="str">
            <v>900542465</v>
          </cell>
          <cell r="B2527" t="str">
            <v>1</v>
          </cell>
          <cell r="C2527" t="str">
            <v>PARQUE RESIDENCIAL TORRES DE CASTILLA - PROPIEDAD HORIZONTAL</v>
          </cell>
          <cell r="D2527" t="str">
            <v>3004197</v>
          </cell>
          <cell r="E2527" t="str">
            <v>admontorresdecastilla@gmail.com</v>
          </cell>
          <cell r="F2527" t="str">
            <v>AK 80 8 C 85</v>
          </cell>
          <cell r="G2527">
            <v>11001</v>
          </cell>
        </row>
        <row r="2528">
          <cell r="A2528" t="str">
            <v>900543310</v>
          </cell>
          <cell r="B2528" t="str">
            <v>3</v>
          </cell>
          <cell r="C2528" t="str">
            <v>EDIFICIO FLORENCIA PROPIEDAD HORIZONTAL</v>
          </cell>
          <cell r="D2528">
            <v>3219664011</v>
          </cell>
          <cell r="E2528" t="str">
            <v>edificio.florencia@yahoo.com</v>
          </cell>
          <cell r="F2528" t="str">
            <v>CR 18 C  123 74</v>
          </cell>
          <cell r="G2528">
            <v>11001</v>
          </cell>
        </row>
        <row r="2529">
          <cell r="A2529" t="str">
            <v>900543310</v>
          </cell>
          <cell r="B2529" t="str">
            <v>3</v>
          </cell>
          <cell r="C2529" t="str">
            <v>EDIFICIO FLORENCIA PROPIEDAD HORIZONTAL</v>
          </cell>
          <cell r="D2529">
            <v>3219664011</v>
          </cell>
          <cell r="E2529" t="str">
            <v>edificio.florencia@yahoo.com</v>
          </cell>
          <cell r="F2529" t="str">
            <v>CR 18 C  123 74</v>
          </cell>
          <cell r="G2529">
            <v>11001</v>
          </cell>
        </row>
        <row r="2530">
          <cell r="A2530" t="str">
            <v>900543391</v>
          </cell>
          <cell r="B2530" t="str">
            <v>1</v>
          </cell>
          <cell r="C2530" t="str">
            <v>EDIFICIO LAGOS DE COVADONGA PROPIEDAD HORIZONTAL</v>
          </cell>
          <cell r="D2530" t="str">
            <v>3013226597</v>
          </cell>
          <cell r="E2530" t="str">
            <v>edificiolagoscov@hotmail.com</v>
          </cell>
          <cell r="F2530" t="str">
            <v>TRANSVERSAL 57  106  66</v>
          </cell>
          <cell r="G2530">
            <v>11001</v>
          </cell>
        </row>
        <row r="2531">
          <cell r="A2531" t="str">
            <v>900544537</v>
          </cell>
          <cell r="B2531" t="str">
            <v>2</v>
          </cell>
          <cell r="C2531" t="str">
            <v>CONJUNTO ATRIUM - PROPIEDAD HORIZONTAL</v>
          </cell>
          <cell r="D2531" t="str">
            <v>3163021</v>
          </cell>
          <cell r="E2531" t="str">
            <v>conjuntoatrium@gmail.com</v>
          </cell>
          <cell r="F2531" t="str">
            <v>CALLE 47  96  55</v>
          </cell>
          <cell r="G2531">
            <v>11001</v>
          </cell>
        </row>
        <row r="2532">
          <cell r="A2532" t="str">
            <v>900544640</v>
          </cell>
          <cell r="B2532" t="str">
            <v>3</v>
          </cell>
          <cell r="C2532" t="str">
            <v>ALTA INVERSION INMOBILIARIA S.A.S.</v>
          </cell>
          <cell r="D2532">
            <v>3219664011</v>
          </cell>
          <cell r="E2532" t="str">
            <v>gerencia@altainversioninmobiliaria.com</v>
          </cell>
          <cell r="F2532" t="str">
            <v>CALLE 149  50  57 OFICINA 608</v>
          </cell>
          <cell r="G2532">
            <v>11001</v>
          </cell>
        </row>
        <row r="2533">
          <cell r="A2533" t="str">
            <v>900544640</v>
          </cell>
          <cell r="B2533" t="str">
            <v>3</v>
          </cell>
          <cell r="C2533" t="str">
            <v>ALTA INVERSION INMOBILIARIA S.A.S.</v>
          </cell>
          <cell r="D2533">
            <v>3219664011</v>
          </cell>
          <cell r="E2533" t="str">
            <v>gerencia@altainversioninmobiliaria.com</v>
          </cell>
          <cell r="F2533" t="str">
            <v>CALLE 149  50  57 OFICINA 608</v>
          </cell>
          <cell r="G2533">
            <v>11001</v>
          </cell>
        </row>
        <row r="2534">
          <cell r="A2534" t="str">
            <v>900547643</v>
          </cell>
          <cell r="B2534" t="str">
            <v>9</v>
          </cell>
          <cell r="C2534" t="str">
            <v>EDIFICIO TANNAT - PROPIEDAD HORIZONTAL</v>
          </cell>
          <cell r="D2534" t="str">
            <v>4758449</v>
          </cell>
          <cell r="E2534" t="str">
            <v>edificiotannatph@gmail.com</v>
          </cell>
          <cell r="F2534" t="str">
            <v>CARRERA 20  107  74</v>
          </cell>
          <cell r="G2534">
            <v>11001</v>
          </cell>
        </row>
        <row r="2535">
          <cell r="A2535" t="str">
            <v>900549168</v>
          </cell>
          <cell r="B2535" t="str">
            <v>0</v>
          </cell>
          <cell r="C2535" t="str">
            <v>SUCCO JUICEBAR SAS</v>
          </cell>
          <cell r="D2535" t="str">
            <v>3153655707</v>
          </cell>
          <cell r="E2535" t="str">
            <v>succojbar@gmail.com</v>
          </cell>
          <cell r="F2535" t="str">
            <v>CARRERA 19 B  83  02  OFICINA 502</v>
          </cell>
          <cell r="G2535">
            <v>11001</v>
          </cell>
        </row>
        <row r="2536">
          <cell r="A2536" t="str">
            <v>900549670</v>
          </cell>
          <cell r="B2536" t="str">
            <v>7</v>
          </cell>
          <cell r="C2536" t="str">
            <v>CONJUNTO CERRADO MIRADOR DE SAN CANCIO - PROPIEDAD HORIZONTAL</v>
          </cell>
          <cell r="D2536" t="str">
            <v>3 1 2 7 0 9 4 1 5 3</v>
          </cell>
          <cell r="E2536" t="str">
            <v>mirador.sancancio@hotmail.com</v>
          </cell>
          <cell r="F2536" t="str">
            <v>AV PARALELA SUR CON CRA 24 C MIRADOR DE SANCANCIO</v>
          </cell>
          <cell r="G2536">
            <v>11001</v>
          </cell>
        </row>
        <row r="2537">
          <cell r="A2537" t="str">
            <v>900550169</v>
          </cell>
          <cell r="B2537" t="str">
            <v>1</v>
          </cell>
          <cell r="C2537" t="str">
            <v>CONJUNTO MULTIFAMILIAR CERRADO LA ESTACIÓN P.H.</v>
          </cell>
          <cell r="D2537" t="str">
            <v>3214912928</v>
          </cell>
          <cell r="E2537" t="str">
            <v>conjuntolaestacioncucuta@gmail.com</v>
          </cell>
          <cell r="F2537" t="str">
            <v>CALLE 23 A  1  52</v>
          </cell>
          <cell r="G2537">
            <v>11001</v>
          </cell>
        </row>
        <row r="2538">
          <cell r="A2538" t="str">
            <v>900551702</v>
          </cell>
          <cell r="B2538" t="str">
            <v>0</v>
          </cell>
          <cell r="C2538" t="str">
            <v>EDIFICIO VILLA SOL P.H.</v>
          </cell>
          <cell r="D2538" t="str">
            <v>3669079</v>
          </cell>
          <cell r="E2538" t="str">
            <v>facturaspropiedadh@gmail.com</v>
          </cell>
          <cell r="F2538" t="str">
            <v>CALLE 84  58  50</v>
          </cell>
          <cell r="G2538">
            <v>11001</v>
          </cell>
        </row>
        <row r="2539">
          <cell r="A2539" t="str">
            <v>900551707</v>
          </cell>
          <cell r="B2539" t="str">
            <v>7</v>
          </cell>
          <cell r="C2539" t="str">
            <v>EDIFICIO 14X98 PROPIEDAD HORIZONTAL</v>
          </cell>
          <cell r="D2539" t="str">
            <v>3102718238</v>
          </cell>
          <cell r="E2539" t="str">
            <v>director.14x98@gmail.com</v>
          </cell>
          <cell r="F2539" t="str">
            <v>CARRERA 14  98  51</v>
          </cell>
          <cell r="G2539">
            <v>11001</v>
          </cell>
        </row>
        <row r="2540">
          <cell r="A2540" t="str">
            <v>900552268</v>
          </cell>
          <cell r="B2540" t="str">
            <v>1</v>
          </cell>
          <cell r="C2540" t="str">
            <v>CONJUNTO RESIDENCIAL MONVISO P.H</v>
          </cell>
          <cell r="D2540" t="str">
            <v>3214791427</v>
          </cell>
          <cell r="E2540" t="str">
            <v>monvisoconjuntoresidencial@yahoo.com</v>
          </cell>
          <cell r="F2540" t="str">
            <v>CARRERA 33 91 52 BRR PEDREGOSA</v>
          </cell>
          <cell r="G2540">
            <v>11001</v>
          </cell>
        </row>
        <row r="2541">
          <cell r="A2541" t="str">
            <v>900553359</v>
          </cell>
          <cell r="B2541" t="str">
            <v>6</v>
          </cell>
          <cell r="C2541" t="str">
            <v>EDIFICIO JOAN ELISA PROPIEDAD HORIZONTAL</v>
          </cell>
          <cell r="D2541" t="str">
            <v>3112483263</v>
          </cell>
          <cell r="E2541" t="str">
            <v>EdificioJoanelisa@gmail.com</v>
          </cell>
          <cell r="F2541" t="str">
            <v>TV 1 ESTE 57 81</v>
          </cell>
          <cell r="G2541">
            <v>11001</v>
          </cell>
        </row>
        <row r="2542">
          <cell r="A2542" t="str">
            <v>900553515</v>
          </cell>
          <cell r="B2542" t="str">
            <v>9</v>
          </cell>
          <cell r="C2542" t="str">
            <v>EDIFICIO AZURE</v>
          </cell>
          <cell r="D2542" t="str">
            <v>3881364</v>
          </cell>
          <cell r="E2542" t="str">
            <v>edificioazure@gmail.com</v>
          </cell>
          <cell r="F2542" t="str">
            <v>CARRERA 57  91  82</v>
          </cell>
          <cell r="G2542">
            <v>11001</v>
          </cell>
        </row>
        <row r="2543">
          <cell r="A2543" t="str">
            <v>900553537</v>
          </cell>
          <cell r="B2543" t="str">
            <v>0</v>
          </cell>
          <cell r="C2543" t="str">
            <v>CONDOMINIO RESERVA DE LA SIERRA</v>
          </cell>
          <cell r="D2543" t="str">
            <v>8661727</v>
          </cell>
          <cell r="E2543" t="str">
            <v>reservadelasierra.admon2@gmail.com</v>
          </cell>
          <cell r="F2543" t="str">
            <v>CARRERA 55  11  49</v>
          </cell>
          <cell r="G2543">
            <v>11001</v>
          </cell>
        </row>
        <row r="2544">
          <cell r="A2544" t="str">
            <v>900554515</v>
          </cell>
          <cell r="B2544" t="str">
            <v>3</v>
          </cell>
          <cell r="C2544" t="str">
            <v>SOCIEDAD HOTELERA DOSCIENTOS AÑOS SAS</v>
          </cell>
          <cell r="D2544" t="str">
            <v>3212061123</v>
          </cell>
          <cell r="E2544" t="str">
            <v>mifactura.bicentenario@bhhoteles.com</v>
          </cell>
          <cell r="F2544" t="str">
            <v>CARRERA 4  16  03</v>
          </cell>
          <cell r="G2544">
            <v>11001</v>
          </cell>
        </row>
        <row r="2545">
          <cell r="A2545" t="str">
            <v>900555009</v>
          </cell>
          <cell r="B2545" t="str">
            <v>2</v>
          </cell>
          <cell r="C2545" t="str">
            <v>EDIFICIO CEI III PROPIEDAD HORIZONTAL</v>
          </cell>
          <cell r="D2545" t="str">
            <v>3143542603</v>
          </cell>
          <cell r="E2545" t="str">
            <v>facltda@hotmail.com</v>
          </cell>
          <cell r="F2545" t="str">
            <v>CALLE 120 A  7  62</v>
          </cell>
          <cell r="G2545">
            <v>11001</v>
          </cell>
        </row>
        <row r="2546">
          <cell r="A2546" t="str">
            <v>900555782</v>
          </cell>
          <cell r="B2546" t="str">
            <v>8</v>
          </cell>
          <cell r="C2546" t="str">
            <v>EDIFICIO SEPPIA - PROPIEDAD HORIZONTAL</v>
          </cell>
          <cell r="D2546" t="str">
            <v>3166874345</v>
          </cell>
          <cell r="E2546" t="str">
            <v>tesoreria@admonbuenvivir.com</v>
          </cell>
          <cell r="F2546" t="str">
            <v>CALLE 112  18  21</v>
          </cell>
          <cell r="G2546">
            <v>11001</v>
          </cell>
        </row>
        <row r="2547">
          <cell r="A2547" t="str">
            <v>900558071</v>
          </cell>
          <cell r="B2547" t="str">
            <v>3</v>
          </cell>
          <cell r="C2547" t="str">
            <v>EDIFICIO PALLADIO</v>
          </cell>
          <cell r="D2547" t="str">
            <v>3108696787</v>
          </cell>
          <cell r="E2547" t="str">
            <v>edificiopalladio37@gmail.com</v>
          </cell>
          <cell r="F2547" t="str">
            <v>CALLE 37  6  35</v>
          </cell>
          <cell r="G2547">
            <v>11001</v>
          </cell>
        </row>
        <row r="2548">
          <cell r="A2548" t="str">
            <v>900559381</v>
          </cell>
          <cell r="B2548" t="str">
            <v>6</v>
          </cell>
          <cell r="C2548" t="str">
            <v>EDIFICIO EVA 108 - PROPIEDAD HORIZONTAL</v>
          </cell>
          <cell r="D2548" t="str">
            <v>3103295614</v>
          </cell>
          <cell r="E2548" t="str">
            <v>edificioevacientoocho@yahoo.com</v>
          </cell>
          <cell r="F2548" t="str">
            <v>CALLE 108 A  17 A  86</v>
          </cell>
          <cell r="G2548">
            <v>11001</v>
          </cell>
        </row>
        <row r="2549">
          <cell r="A2549" t="str">
            <v>900560251</v>
          </cell>
          <cell r="B2549" t="str">
            <v>9</v>
          </cell>
          <cell r="C2549" t="str">
            <v>CONJUNTO RESIDENCIAL SENDEROS DEL TEUSACA ETAPA I Y II PROPIEDAD HORIZONTAL</v>
          </cell>
          <cell r="D2549" t="str">
            <v>8756657</v>
          </cell>
          <cell r="E2549" t="str">
            <v>admonsenderosdelteusaca@gmail.com</v>
          </cell>
          <cell r="F2549" t="str">
            <v>CARRERA 2 B  12 A  19</v>
          </cell>
          <cell r="G2549">
            <v>11001</v>
          </cell>
        </row>
        <row r="2550">
          <cell r="A2550" t="str">
            <v>900561898</v>
          </cell>
          <cell r="B2550" t="str">
            <v>8</v>
          </cell>
          <cell r="C2550" t="str">
            <v>VIA TRIP SAS</v>
          </cell>
          <cell r="D2550" t="str">
            <v>2168130</v>
          </cell>
          <cell r="E2550" t="str">
            <v>picassoinn@hotmail.com</v>
          </cell>
          <cell r="F2550" t="str">
            <v>CARRERA 45 A  129  30</v>
          </cell>
          <cell r="G2550">
            <v>11001</v>
          </cell>
        </row>
        <row r="2551">
          <cell r="A2551" t="str">
            <v>900562124</v>
          </cell>
          <cell r="B2551" t="str">
            <v>0</v>
          </cell>
          <cell r="C2551" t="str">
            <v>EDIFICIO BAHREIN PROPIEDAD HORIZONTAL</v>
          </cell>
          <cell r="D2551" t="str">
            <v>3191517</v>
          </cell>
          <cell r="E2551" t="str">
            <v>facturacion@estiloingenieria.com</v>
          </cell>
          <cell r="F2551" t="str">
            <v>CALLE 103 A  19 A  63</v>
          </cell>
          <cell r="G2551">
            <v>11001</v>
          </cell>
        </row>
        <row r="2552">
          <cell r="A2552" t="str">
            <v>900562387</v>
          </cell>
          <cell r="B2552" t="str">
            <v>0</v>
          </cell>
          <cell r="C2552" t="str">
            <v>EDIFICIO NOGALES P.H.</v>
          </cell>
          <cell r="D2552" t="str">
            <v>4442420</v>
          </cell>
          <cell r="E2552" t="str">
            <v>facturacion@estiloingenieria.com</v>
          </cell>
          <cell r="F2552" t="str">
            <v>CALLE 54  81  58</v>
          </cell>
          <cell r="G2552">
            <v>11001</v>
          </cell>
        </row>
        <row r="2553">
          <cell r="A2553" t="str">
            <v>900565405</v>
          </cell>
          <cell r="B2553" t="str">
            <v>9</v>
          </cell>
          <cell r="C2553" t="str">
            <v>CONJUNTO RESIDENCIAL VALPARAISO CIUDAD BOCHALEMA MANZANA D1 - PH</v>
          </cell>
          <cell r="D2553" t="str">
            <v>4056256</v>
          </cell>
          <cell r="E2553" t="str">
            <v>valparaisobochalema@gmail.com</v>
          </cell>
          <cell r="F2553" t="str">
            <v>CALLE 43  111  50</v>
          </cell>
          <cell r="G2553">
            <v>11001</v>
          </cell>
        </row>
        <row r="2554">
          <cell r="A2554" t="str">
            <v>900566321</v>
          </cell>
          <cell r="B2554" t="str">
            <v>3</v>
          </cell>
          <cell r="C2554" t="str">
            <v>EDIFICIO 13-35 - PROPIEDAD HORIZONTAL</v>
          </cell>
          <cell r="D2554" t="str">
            <v>3382989</v>
          </cell>
          <cell r="E2554" t="str">
            <v>administracion.edificio1335@integralph.com</v>
          </cell>
          <cell r="F2554" t="str">
            <v>CARRERA 13 A  35  38</v>
          </cell>
          <cell r="G2554">
            <v>11001</v>
          </cell>
        </row>
        <row r="2555">
          <cell r="A2555" t="str">
            <v>900566321</v>
          </cell>
          <cell r="B2555" t="str">
            <v>3</v>
          </cell>
          <cell r="C2555" t="str">
            <v>EDIFICIO 13-35 - PROPIEDAD HORIZONTAL</v>
          </cell>
          <cell r="D2555" t="str">
            <v>3382989</v>
          </cell>
          <cell r="E2555" t="str">
            <v>administracion.edificio1335@integralph.com</v>
          </cell>
          <cell r="F2555" t="str">
            <v>CARRERA 13 A  35  38</v>
          </cell>
          <cell r="G2555">
            <v>11001</v>
          </cell>
        </row>
        <row r="2556">
          <cell r="A2556" t="str">
            <v>900566370</v>
          </cell>
          <cell r="B2556" t="str">
            <v>4</v>
          </cell>
          <cell r="C2556" t="str">
            <v>EDIFICIO SASSARI PROPIEDAD HORIZONTAL</v>
          </cell>
          <cell r="D2556" t="str">
            <v>3134103069</v>
          </cell>
          <cell r="E2556" t="str">
            <v>facturacion@estiloingenieria.com</v>
          </cell>
          <cell r="F2556" t="str">
            <v>CARRERA 29  41 A  53</v>
          </cell>
          <cell r="G2556">
            <v>11001</v>
          </cell>
        </row>
        <row r="2557">
          <cell r="A2557" t="str">
            <v>900567883</v>
          </cell>
          <cell r="B2557" t="str">
            <v>5</v>
          </cell>
          <cell r="C2557" t="str">
            <v>HOTELES DE OCCIDENTE S.A.S</v>
          </cell>
          <cell r="D2557" t="str">
            <v>6859999</v>
          </cell>
          <cell r="E2557" t="str">
            <v>almacen.sheratoncali@ghlhoteles.com</v>
          </cell>
          <cell r="F2557" t="str">
            <v>DIAGONAL 22 B  52  01</v>
          </cell>
          <cell r="G2557">
            <v>11001</v>
          </cell>
        </row>
        <row r="2558">
          <cell r="A2558" t="str">
            <v>900569426</v>
          </cell>
          <cell r="B2558" t="str">
            <v>1</v>
          </cell>
          <cell r="C2558" t="str">
            <v>EDIFICIO KYRIAD PARK APARTAMENTOS – PROPIEDAD HORIZONTAL</v>
          </cell>
          <cell r="D2558" t="str">
            <v>4725794</v>
          </cell>
          <cell r="E2558" t="str">
            <v>facturacion@estiloingenieria.com</v>
          </cell>
          <cell r="F2558" t="str">
            <v>CARRERA 14  127 B  90</v>
          </cell>
          <cell r="G2558">
            <v>11001</v>
          </cell>
        </row>
        <row r="2559">
          <cell r="A2559" t="str">
            <v>900571626</v>
          </cell>
          <cell r="B2559" t="str">
            <v>4</v>
          </cell>
          <cell r="C2559" t="str">
            <v>EDIFICIO ARAE - PROPIEDAD HORIZONTAL</v>
          </cell>
          <cell r="D2559" t="str">
            <v>3213137266</v>
          </cell>
          <cell r="E2559" t="str">
            <v>edificioarae@hotmail.com</v>
          </cell>
          <cell r="F2559" t="str">
            <v>CALLE 118  20  51</v>
          </cell>
          <cell r="G2559">
            <v>11001</v>
          </cell>
        </row>
        <row r="2560">
          <cell r="A2560" t="str">
            <v>900571671</v>
          </cell>
          <cell r="B2560" t="str">
            <v>6</v>
          </cell>
          <cell r="C2560" t="str">
            <v>CONJUNTO RESIDENCIAL URBANIZACION SOL CRECIENTE PROPIEDAD HORIZONTAL</v>
          </cell>
          <cell r="D2560" t="str">
            <v>5701074</v>
          </cell>
          <cell r="E2560" t="str">
            <v>urbanizacionsolcreciente@gmail.com</v>
          </cell>
          <cell r="F2560" t="str">
            <v>CALLE 49 E  83 A  200</v>
          </cell>
          <cell r="G2560">
            <v>11001</v>
          </cell>
        </row>
        <row r="2561">
          <cell r="A2561" t="str">
            <v>900572139</v>
          </cell>
          <cell r="B2561" t="str">
            <v>3</v>
          </cell>
          <cell r="C2561" t="str">
            <v>CONJUNTO DE USO MIXTO URBANIZACION OASIS DE COLORES PROPIEDAD HORIZONTAL</v>
          </cell>
          <cell r="D2561">
            <v>3219664011</v>
          </cell>
          <cell r="E2561" t="str">
            <v>coasisdecolores@gmail.com</v>
          </cell>
          <cell r="F2561" t="str">
            <v>CARRERA 74  52  55</v>
          </cell>
          <cell r="G2561">
            <v>11001</v>
          </cell>
        </row>
        <row r="2562">
          <cell r="A2562" t="str">
            <v>900572146</v>
          </cell>
          <cell r="B2562" t="str">
            <v>5</v>
          </cell>
          <cell r="C2562" t="str">
            <v>CONJUNTO DE USO MIXTO CAMINO DE COLORES PROPIEDAD HORIZONTAL</v>
          </cell>
          <cell r="D2562" t="str">
            <v>3135264930</v>
          </cell>
          <cell r="E2562" t="str">
            <v>facturacion@estiloingenieria.com</v>
          </cell>
          <cell r="F2562" t="str">
            <v>CARRERA 73  52  65</v>
          </cell>
          <cell r="G2562">
            <v>11001</v>
          </cell>
        </row>
        <row r="2563">
          <cell r="A2563" t="str">
            <v>900573124</v>
          </cell>
          <cell r="B2563" t="str">
            <v>8</v>
          </cell>
          <cell r="C2563" t="str">
            <v>URBANIZACION SAN REMO P.H.</v>
          </cell>
          <cell r="D2563" t="str">
            <v>5780001</v>
          </cell>
          <cell r="E2563" t="str">
            <v>phmundosanremo@gmail.com</v>
          </cell>
          <cell r="F2563" t="str">
            <v>CALLE 78 SUR  40  211</v>
          </cell>
          <cell r="G2563">
            <v>11001</v>
          </cell>
        </row>
        <row r="2564">
          <cell r="A2564" t="str">
            <v>900573179</v>
          </cell>
          <cell r="B2564" t="str">
            <v>2</v>
          </cell>
          <cell r="C2564" t="str">
            <v>EDIFICIO AREIA</v>
          </cell>
          <cell r="D2564" t="str">
            <v>3218411384</v>
          </cell>
          <cell r="E2564" t="str">
            <v>edificioareia@hotmail.com</v>
          </cell>
          <cell r="F2564" t="str">
            <v>CARRERA 3 A  75  120</v>
          </cell>
          <cell r="G2564">
            <v>11001</v>
          </cell>
        </row>
        <row r="2565">
          <cell r="A2565" t="str">
            <v>900573930</v>
          </cell>
          <cell r="B2565" t="str">
            <v>8</v>
          </cell>
          <cell r="C2565" t="str">
            <v>EDIFICIO GUARUPI - PROPIEDAD HORIZONTAL</v>
          </cell>
          <cell r="D2565" t="str">
            <v>3228758274</v>
          </cell>
          <cell r="E2565" t="str">
            <v>edificioguarupi@hotmail.com</v>
          </cell>
          <cell r="F2565" t="str">
            <v>CALLE 101 19 A 60</v>
          </cell>
          <cell r="G2565">
            <v>11001</v>
          </cell>
        </row>
        <row r="2566">
          <cell r="A2566" t="str">
            <v>900575958</v>
          </cell>
          <cell r="B2566" t="str">
            <v>2</v>
          </cell>
          <cell r="C2566" t="str">
            <v>EDIFICIO SANTO DOMINGO DEL PRADO</v>
          </cell>
          <cell r="D2566" t="str">
            <v>6455073</v>
          </cell>
          <cell r="E2566" t="str">
            <v>santodomingoadmon2016@gmail.com</v>
          </cell>
          <cell r="F2566" t="str">
            <v>CARRERA 36  38  28  APARTAMENTO 1304</v>
          </cell>
          <cell r="G2566">
            <v>11001</v>
          </cell>
        </row>
        <row r="2567">
          <cell r="A2567" t="str">
            <v>900578105</v>
          </cell>
          <cell r="B2567" t="str">
            <v>0</v>
          </cell>
          <cell r="C2567" t="str">
            <v>CORPORACIÓN SALUD UN</v>
          </cell>
          <cell r="D2567" t="str">
            <v>3904888</v>
          </cell>
          <cell r="E2567" t="str">
            <v>900578105@factureinbox.co</v>
          </cell>
          <cell r="F2567" t="str">
            <v>CALLE 44  59  75</v>
          </cell>
          <cell r="G2567">
            <v>11001</v>
          </cell>
        </row>
        <row r="2568">
          <cell r="A2568" t="str">
            <v>900578105</v>
          </cell>
          <cell r="B2568" t="str">
            <v>0</v>
          </cell>
          <cell r="C2568" t="str">
            <v>CORPORACIÓN SALUD UN</v>
          </cell>
          <cell r="D2568" t="str">
            <v>3904888</v>
          </cell>
          <cell r="E2568" t="str">
            <v>900578105@factureinbox.co</v>
          </cell>
          <cell r="F2568" t="str">
            <v>CALLE 44  59  75</v>
          </cell>
          <cell r="G2568">
            <v>11001</v>
          </cell>
        </row>
        <row r="2569">
          <cell r="A2569" t="str">
            <v>900579294</v>
          </cell>
          <cell r="B2569" t="str">
            <v>9</v>
          </cell>
          <cell r="C2569" t="str">
            <v>CONJUNTO RESIDENCIAL URBANIZACION BOSQUES DE LA MACARENA P.H</v>
          </cell>
          <cell r="D2569">
            <v>3219664011</v>
          </cell>
          <cell r="E2569" t="str">
            <v>facturacion@estiloingenieria.com</v>
          </cell>
          <cell r="F2569" t="str">
            <v>CARRERA 115 A  64 C  4</v>
          </cell>
          <cell r="G2569">
            <v>11001</v>
          </cell>
        </row>
        <row r="2570">
          <cell r="A2570" t="str">
            <v>900579660</v>
          </cell>
          <cell r="B2570" t="str">
            <v>1</v>
          </cell>
          <cell r="C2570" t="str">
            <v>EDIFICIO TORRE BICENTENARIO PROPIEDAD HORIZONTAL</v>
          </cell>
          <cell r="D2570" t="str">
            <v>7552539</v>
          </cell>
          <cell r="E2570" t="str">
            <v>edificiobicentenario14@gmail.com</v>
          </cell>
          <cell r="F2570" t="str">
            <v>CARRERA 4  16  03</v>
          </cell>
          <cell r="G2570">
            <v>11001</v>
          </cell>
        </row>
        <row r="2571">
          <cell r="A2571" t="str">
            <v>900579660</v>
          </cell>
          <cell r="B2571" t="str">
            <v>1</v>
          </cell>
          <cell r="C2571" t="str">
            <v>EDIFICIO TORRE BICENTENARIO PROPIEDAD HORIZONTAL</v>
          </cell>
          <cell r="D2571" t="str">
            <v>7552539</v>
          </cell>
          <cell r="E2571" t="str">
            <v>edificiobicentenario14@gmail.com</v>
          </cell>
          <cell r="F2571" t="str">
            <v>CARRERA 4  16  03</v>
          </cell>
          <cell r="G2571">
            <v>11001</v>
          </cell>
        </row>
        <row r="2572">
          <cell r="A2572" t="str">
            <v>900579817</v>
          </cell>
          <cell r="B2572" t="str">
            <v>0</v>
          </cell>
          <cell r="C2572" t="str">
            <v>EL OLYMPO CONDOMINIO &amp; RESORT</v>
          </cell>
          <cell r="D2572" t="str">
            <v>6659521</v>
          </cell>
          <cell r="E2572" t="str">
            <v>elolympo2020@gmail.com</v>
          </cell>
          <cell r="F2572" t="str">
            <v>CALLE 200  12  528</v>
          </cell>
          <cell r="G2572">
            <v>11001</v>
          </cell>
        </row>
        <row r="2573">
          <cell r="A2573" t="str">
            <v>900580330</v>
          </cell>
          <cell r="B2573" t="str">
            <v>8</v>
          </cell>
          <cell r="C2573" t="str">
            <v>EDIFICIO CENTRO EJECUTIVO PROPIEDAD HORIZONTAL</v>
          </cell>
          <cell r="D2573" t="str">
            <v>3852878</v>
          </cell>
          <cell r="E2573" t="str">
            <v>recepcion.centroejecutivoph@gmail.com</v>
          </cell>
          <cell r="F2573" t="str">
            <v>CARRERA 54  72  80</v>
          </cell>
          <cell r="G2573">
            <v>11001</v>
          </cell>
        </row>
        <row r="2574">
          <cell r="A2574" t="str">
            <v>900580986</v>
          </cell>
          <cell r="B2574" t="str">
            <v>9</v>
          </cell>
          <cell r="C2574" t="str">
            <v>EDIFICIO MIRATTO - PROPIEDAD HORIZONTAL</v>
          </cell>
          <cell r="D2574" t="str">
            <v>3102761016</v>
          </cell>
          <cell r="E2574" t="str">
            <v>edificiomiratto@gmail.com</v>
          </cell>
          <cell r="F2574" t="str">
            <v>CARRERA 50  122  20</v>
          </cell>
          <cell r="G2574">
            <v>11001</v>
          </cell>
        </row>
        <row r="2575">
          <cell r="A2575" t="str">
            <v>900582301</v>
          </cell>
          <cell r="B2575" t="str">
            <v>3</v>
          </cell>
          <cell r="C2575" t="str">
            <v>CONJUNTO RESIDENCIAL KEPLER - PROPIEDAD HORIZONTAL</v>
          </cell>
          <cell r="D2575" t="str">
            <v>3584887</v>
          </cell>
          <cell r="E2575" t="str">
            <v>facturacionproveedoreskepler@gmail.com</v>
          </cell>
          <cell r="F2575" t="str">
            <v>CALLE 192  11 A  51</v>
          </cell>
          <cell r="G2575">
            <v>11001</v>
          </cell>
        </row>
        <row r="2576">
          <cell r="A2576" t="str">
            <v>900583137</v>
          </cell>
          <cell r="B2576" t="str">
            <v>6</v>
          </cell>
          <cell r="C2576" t="str">
            <v>EDIFICIO KIYANGO PROPIEDAD HORIZONTAL</v>
          </cell>
          <cell r="D2576" t="str">
            <v>3002192</v>
          </cell>
          <cell r="E2576" t="str">
            <v>asistentegerencia.byg@outlook.com</v>
          </cell>
          <cell r="F2576" t="str">
            <v>CARRERA 53  106  43</v>
          </cell>
          <cell r="G2576">
            <v>11001</v>
          </cell>
        </row>
        <row r="2577">
          <cell r="A2577" t="str">
            <v>900585330</v>
          </cell>
          <cell r="B2577" t="str">
            <v>0</v>
          </cell>
          <cell r="C2577" t="str">
            <v>G Y P INGENIERIA SAS</v>
          </cell>
          <cell r="D2577" t="str">
            <v>4685016</v>
          </cell>
          <cell r="E2577" t="str">
            <v>gypingenieriasas@gmail.com</v>
          </cell>
          <cell r="F2577" t="str">
            <v>CR 12 A 145 A 22 AP 306</v>
          </cell>
          <cell r="G2577">
            <v>11001</v>
          </cell>
        </row>
        <row r="2578">
          <cell r="A2578" t="str">
            <v>900586426</v>
          </cell>
          <cell r="B2578" t="str">
            <v>3</v>
          </cell>
          <cell r="C2578" t="str">
            <v>EDIFICIO CERRESOLE &amp;GS2 - PROPIEDAD HORIZONTAL</v>
          </cell>
          <cell r="D2578" t="str">
            <v>6958194</v>
          </cell>
          <cell r="E2578" t="str">
            <v>facturacion@estiloingenieria.com</v>
          </cell>
          <cell r="F2578" t="str">
            <v>AVENIDA CALLE 116  18  96</v>
          </cell>
          <cell r="G2578">
            <v>11001</v>
          </cell>
        </row>
        <row r="2579">
          <cell r="A2579" t="str">
            <v>900586694</v>
          </cell>
          <cell r="B2579" t="str">
            <v>0</v>
          </cell>
          <cell r="C2579" t="str">
            <v>EDIFICIO MONETT, PROPIEDAD HORIZONTAL</v>
          </cell>
          <cell r="D2579" t="str">
            <v>3214347394</v>
          </cell>
          <cell r="E2579" t="str">
            <v>ascondominiossas@gmail.com</v>
          </cell>
          <cell r="F2579" t="str">
            <v>CALLE 14  2 E  21</v>
          </cell>
          <cell r="G2579">
            <v>11001</v>
          </cell>
        </row>
        <row r="2580">
          <cell r="A2580" t="str">
            <v>900587103</v>
          </cell>
          <cell r="B2580" t="str">
            <v>4</v>
          </cell>
          <cell r="C2580" t="str">
            <v>EDIFICIO ATARDEZZER II PROPIEDAD HORIZONTAL</v>
          </cell>
          <cell r="D2580" t="str">
            <v>3155851446</v>
          </cell>
          <cell r="E2580" t="str">
            <v>admatardezzerll@gmail.com</v>
          </cell>
          <cell r="F2580" t="str">
            <v>CALLE 114  15 B  10</v>
          </cell>
          <cell r="G2580">
            <v>11001</v>
          </cell>
        </row>
        <row r="2581">
          <cell r="A2581" t="str">
            <v>900587668</v>
          </cell>
          <cell r="B2581" t="str">
            <v>3</v>
          </cell>
          <cell r="C2581" t="str">
            <v>EDIFICIO PLAZUELA DE ASÍS - PROPIEDAD HORIZONTAL</v>
          </cell>
          <cell r="D2581" t="str">
            <v>3116748073</v>
          </cell>
          <cell r="E2581" t="str">
            <v>plazueladeasis152@gmail.com</v>
          </cell>
          <cell r="F2581" t="str">
            <v>CALLE 152  13  10</v>
          </cell>
          <cell r="G2581">
            <v>11001</v>
          </cell>
        </row>
        <row r="2582">
          <cell r="A2582" t="str">
            <v>900587668</v>
          </cell>
          <cell r="B2582" t="str">
            <v>3</v>
          </cell>
          <cell r="C2582" t="str">
            <v>EDIFICIO PLAZUELA DE ASÍS - PROPIEDAD HORIZONTAL</v>
          </cell>
          <cell r="D2582" t="str">
            <v>3116748073</v>
          </cell>
          <cell r="E2582" t="str">
            <v>plazueladeasis152@gmail.com</v>
          </cell>
          <cell r="F2582" t="str">
            <v>CALLE 152  13  10</v>
          </cell>
          <cell r="G2582">
            <v>11001</v>
          </cell>
        </row>
        <row r="2583">
          <cell r="A2583" t="str">
            <v>900589777</v>
          </cell>
          <cell r="B2583" t="str">
            <v>7</v>
          </cell>
          <cell r="C2583" t="str">
            <v>CONJUNTO RESIDENCIAL PORTAL DE PONTEVEDRA V - PROPIEDAD HORIZONTAL</v>
          </cell>
          <cell r="D2583" t="str">
            <v>3052936</v>
          </cell>
          <cell r="E2583" t="str">
            <v>ppontevedrav@gmail.com</v>
          </cell>
          <cell r="F2583" t="str">
            <v>CALLE 97  70 C  49</v>
          </cell>
          <cell r="G2583">
            <v>11001</v>
          </cell>
        </row>
        <row r="2584">
          <cell r="A2584" t="str">
            <v>900589777</v>
          </cell>
          <cell r="B2584" t="str">
            <v>7</v>
          </cell>
          <cell r="C2584" t="str">
            <v>CONJUNTO RESIDENCIAL PORTAL DE PONTEVEDRA V - PROPIEDAD HORIZONTAL</v>
          </cell>
          <cell r="D2584" t="str">
            <v>3052936</v>
          </cell>
          <cell r="E2584" t="str">
            <v>ppontevedrav@gmail.com</v>
          </cell>
          <cell r="F2584" t="str">
            <v>CALLE 97  70 C  49</v>
          </cell>
          <cell r="G2584">
            <v>11001</v>
          </cell>
        </row>
        <row r="2585">
          <cell r="A2585" t="str">
            <v>900591249</v>
          </cell>
          <cell r="B2585" t="str">
            <v>6</v>
          </cell>
          <cell r="C2585" t="str">
            <v>EDIFICIO ACQUA 145 - PROPIEDAD HORIZONTAL</v>
          </cell>
          <cell r="D2585" t="str">
            <v>7518131</v>
          </cell>
          <cell r="E2585" t="str">
            <v>edificioacqua145@gmail.com</v>
          </cell>
          <cell r="F2585" t="str">
            <v>CARRERA 18 B  145  08</v>
          </cell>
          <cell r="G2585">
            <v>11001</v>
          </cell>
        </row>
        <row r="2586">
          <cell r="A2586" t="str">
            <v>900591514</v>
          </cell>
          <cell r="B2586" t="str">
            <v>3</v>
          </cell>
          <cell r="C2586" t="str">
            <v>CONJUNTO RESIDENCIAL PASEO DE SAN FRANCISCO P.H</v>
          </cell>
          <cell r="D2586" t="str">
            <v>3128085565</v>
          </cell>
          <cell r="E2586" t="str">
            <v>mifactura9@outlook.com</v>
          </cell>
          <cell r="F2586" t="str">
            <v>CALLE 65 SUR  42 B  14</v>
          </cell>
          <cell r="G2586">
            <v>11001</v>
          </cell>
        </row>
        <row r="2587">
          <cell r="A2587" t="str">
            <v>900593098</v>
          </cell>
          <cell r="B2587" t="str">
            <v>1</v>
          </cell>
          <cell r="C2587" t="str">
            <v>HOTELES AVENIDA 82 S.A.S.</v>
          </cell>
          <cell r="D2587" t="str">
            <v>7442800</v>
          </cell>
          <cell r="E2587" t="str">
            <v>900593098@factureinbox.co</v>
          </cell>
          <cell r="F2587" t="str">
            <v>CALLE 83  9  48</v>
          </cell>
          <cell r="G2587">
            <v>11001</v>
          </cell>
        </row>
        <row r="2588">
          <cell r="A2588" t="str">
            <v>900593098</v>
          </cell>
          <cell r="B2588" t="str">
            <v>1</v>
          </cell>
          <cell r="C2588" t="str">
            <v>HOTELES AVENIDA 82 S.A.S.</v>
          </cell>
          <cell r="D2588" t="str">
            <v>7442800</v>
          </cell>
          <cell r="E2588" t="str">
            <v>900593098@factureinbox.co</v>
          </cell>
          <cell r="F2588" t="str">
            <v>CALLE 83  9  48</v>
          </cell>
          <cell r="G2588">
            <v>11001</v>
          </cell>
        </row>
        <row r="2589">
          <cell r="A2589" t="str">
            <v>900593807</v>
          </cell>
          <cell r="B2589" t="str">
            <v>5</v>
          </cell>
          <cell r="C2589" t="str">
            <v>CONJUNTO RESIDENCIAL SAN ANGELLO -PROPIEDAD HORIZONTAL</v>
          </cell>
          <cell r="D2589" t="str">
            <v>6861017</v>
          </cell>
          <cell r="E2589" t="str">
            <v>cr.sanangello@gmail.com</v>
          </cell>
          <cell r="F2589" t="str">
            <v>CARRERA 92  151 B  86</v>
          </cell>
          <cell r="G2589">
            <v>11001</v>
          </cell>
        </row>
        <row r="2590">
          <cell r="A2590" t="str">
            <v>900596370</v>
          </cell>
          <cell r="B2590" t="str">
            <v>2</v>
          </cell>
          <cell r="C2590" t="str">
            <v>EDIFICIO NOVO PROPIEDAD HORIZONTAL</v>
          </cell>
          <cell r="D2590" t="str">
            <v>3107649658</v>
          </cell>
          <cell r="E2590" t="str">
            <v>admon.edificio.novo@gmail.com</v>
          </cell>
          <cell r="F2590" t="str">
            <v>CARRERA 16 A  135  84</v>
          </cell>
          <cell r="G2590">
            <v>11001</v>
          </cell>
        </row>
        <row r="2591">
          <cell r="A2591" t="str">
            <v>900599648</v>
          </cell>
          <cell r="B2591" t="str">
            <v>8</v>
          </cell>
          <cell r="C2591" t="str">
            <v>EDIFICIO ALTANA- PROPIEDAD HORIZONTAL</v>
          </cell>
          <cell r="D2591" t="str">
            <v>3102691863</v>
          </cell>
          <cell r="E2591" t="str">
            <v>aactuall@gmail.com</v>
          </cell>
          <cell r="F2591" t="str">
            <v>CALLE 126  7 C  66</v>
          </cell>
          <cell r="G2591">
            <v>11001</v>
          </cell>
        </row>
        <row r="2592">
          <cell r="A2592" t="str">
            <v>900600303</v>
          </cell>
          <cell r="B2592" t="str">
            <v>6</v>
          </cell>
          <cell r="C2592" t="str">
            <v>EDIFICIO OPALO 145 PROPIEDAD HORIZONTAL</v>
          </cell>
          <cell r="D2592" t="str">
            <v>8105029</v>
          </cell>
          <cell r="E2592" t="str">
            <v>edificioopalo145@gmail.com</v>
          </cell>
          <cell r="F2592" t="str">
            <v>CALLE 145  13 A  97</v>
          </cell>
          <cell r="G2592">
            <v>11001</v>
          </cell>
        </row>
        <row r="2593">
          <cell r="A2593" t="str">
            <v>900600372</v>
          </cell>
          <cell r="B2593" t="str">
            <v>4</v>
          </cell>
          <cell r="C2593" t="str">
            <v>EDIFICIO CALABRIA VIRREY</v>
          </cell>
          <cell r="D2593" t="str">
            <v>6917974</v>
          </cell>
          <cell r="E2593" t="str">
            <v>virreycalabria@gmail.com</v>
          </cell>
          <cell r="F2593" t="str">
            <v>CARRERA 19  85  38</v>
          </cell>
          <cell r="G2593">
            <v>11001</v>
          </cell>
        </row>
        <row r="2594">
          <cell r="A2594" t="str">
            <v>900600638</v>
          </cell>
          <cell r="B2594" t="str">
            <v>8</v>
          </cell>
          <cell r="C2594" t="str">
            <v>CONJUNTO RESIDENCIAL ALBORAN - PROPIEDAD HORIZONTAL</v>
          </cell>
          <cell r="D2594" t="str">
            <v>4772069</v>
          </cell>
          <cell r="E2594" t="str">
            <v>cralboran@gmail.com</v>
          </cell>
          <cell r="F2594" t="str">
            <v>CARRERA 39 B  4  20</v>
          </cell>
          <cell r="G2594">
            <v>11001</v>
          </cell>
        </row>
        <row r="2595">
          <cell r="A2595" t="str">
            <v>900600638</v>
          </cell>
          <cell r="B2595" t="str">
            <v>8</v>
          </cell>
          <cell r="C2595" t="str">
            <v>CONJUNTO RESIDENCIAL ALBORAN - PROPIEDAD HORIZONTAL</v>
          </cell>
          <cell r="D2595" t="str">
            <v>4772069</v>
          </cell>
          <cell r="E2595" t="str">
            <v>cralboran@gmail.com</v>
          </cell>
          <cell r="F2595" t="str">
            <v>CARRERA 39 B  4  20</v>
          </cell>
          <cell r="G2595">
            <v>11001</v>
          </cell>
        </row>
        <row r="2596">
          <cell r="A2596" t="str">
            <v>900600783</v>
          </cell>
          <cell r="B2596" t="str">
            <v>8</v>
          </cell>
          <cell r="C2596" t="str">
            <v>URBANIZACIÓN CANTAGIRONE CINQUE - PROPIEDAD HORIZONTAL</v>
          </cell>
          <cell r="D2596" t="str">
            <v>4442420</v>
          </cell>
          <cell r="E2596" t="str">
            <v>contabilidad@administracionam.co</v>
          </cell>
          <cell r="F2596" t="str">
            <v>CARRERA 18  12 SUR  50</v>
          </cell>
          <cell r="G2596">
            <v>11001</v>
          </cell>
        </row>
        <row r="2597">
          <cell r="A2597" t="str">
            <v>900600883</v>
          </cell>
          <cell r="B2597" t="str">
            <v>6</v>
          </cell>
          <cell r="C2597" t="str">
            <v>EDIFICIO TORRE GAUDI</v>
          </cell>
          <cell r="D2597" t="str">
            <v>6344200</v>
          </cell>
          <cell r="E2597" t="str">
            <v>edificiotorregaudi@hotmail.com</v>
          </cell>
          <cell r="F2597" t="str">
            <v>CALLE 22  21  45</v>
          </cell>
          <cell r="G2597">
            <v>11001</v>
          </cell>
        </row>
        <row r="2598">
          <cell r="A2598" t="str">
            <v>900601068</v>
          </cell>
          <cell r="B2598" t="str">
            <v>4</v>
          </cell>
          <cell r="C2598" t="str">
            <v>EDIFICIO RESERVA DEL PARQUE - PROPIEDAD HORIZONTAL</v>
          </cell>
          <cell r="D2598" t="str">
            <v>3013714224</v>
          </cell>
          <cell r="E2598" t="str">
            <v>reservaparqueph@gmail.com</v>
          </cell>
          <cell r="F2598" t="str">
            <v>CALLE 140 A  15  26</v>
          </cell>
          <cell r="G2598">
            <v>11001</v>
          </cell>
        </row>
        <row r="2599">
          <cell r="A2599" t="str">
            <v>900601350</v>
          </cell>
          <cell r="B2599" t="str">
            <v>7</v>
          </cell>
          <cell r="C2599" t="str">
            <v>EDIFICIO ZAFIRO</v>
          </cell>
          <cell r="D2599" t="str">
            <v>3203483087</v>
          </cell>
          <cell r="E2599" t="str">
            <v>hermanosmedrano@hotmail.com</v>
          </cell>
          <cell r="F2599" t="str">
            <v>CALLE 11  6 A E  21</v>
          </cell>
          <cell r="G2599">
            <v>11001</v>
          </cell>
        </row>
        <row r="2600">
          <cell r="A2600" t="str">
            <v>900602224</v>
          </cell>
          <cell r="B2600" t="str">
            <v>1</v>
          </cell>
          <cell r="C2600" t="str">
            <v>CONJUNTO RESIDENCIAL VIA SERRANO P.H.</v>
          </cell>
          <cell r="D2600" t="str">
            <v>4 4 4 2 0 1 5</v>
          </cell>
          <cell r="E2600" t="str">
            <v>aymacosas@gmail.com</v>
          </cell>
          <cell r="F2600" t="str">
            <v>CR 46 A 29 SUR 15</v>
          </cell>
          <cell r="G2600">
            <v>11001</v>
          </cell>
        </row>
        <row r="2601">
          <cell r="A2601" t="str">
            <v>900602320</v>
          </cell>
          <cell r="B2601" t="str">
            <v>0</v>
          </cell>
          <cell r="C2601" t="str">
            <v>CLINICA LA MISERICORDIA S.A.S</v>
          </cell>
          <cell r="D2601" t="str">
            <v>3135477039</v>
          </cell>
          <cell r="E2601" t="str">
            <v>facturacion@lamisericordiacartagena.com.co</v>
          </cell>
          <cell r="F2601" t="str">
            <v>CALLE 30  41  26</v>
          </cell>
          <cell r="G2601">
            <v>11001</v>
          </cell>
        </row>
        <row r="2602">
          <cell r="A2602" t="str">
            <v>900604440</v>
          </cell>
          <cell r="B2602" t="str">
            <v>5</v>
          </cell>
          <cell r="C2602" t="str">
            <v>INVERSIONES L&amp; P S.A.S</v>
          </cell>
          <cell r="D2602" t="str">
            <v>6431169</v>
          </cell>
          <cell r="E2602" t="str">
            <v>inversioneslpsas@gmail.com</v>
          </cell>
          <cell r="F2602" t="str">
            <v>CR 1 1 231 BRR LAGUITO ED EL GALEON AP 7 B</v>
          </cell>
          <cell r="G2602">
            <v>11001</v>
          </cell>
        </row>
        <row r="2603">
          <cell r="A2603" t="str">
            <v>900604828</v>
          </cell>
          <cell r="B2603" t="str">
            <v>9</v>
          </cell>
          <cell r="C2603" t="str">
            <v>EDIFICIO MODENA P.H.</v>
          </cell>
          <cell r="D2603" t="str">
            <v>2550514</v>
          </cell>
          <cell r="E2603" t="str">
            <v>modena64admon@gmail.com</v>
          </cell>
          <cell r="F2603" t="str">
            <v>CALLE 64  2  44</v>
          </cell>
          <cell r="G2603">
            <v>11001</v>
          </cell>
        </row>
        <row r="2604">
          <cell r="A2604" t="str">
            <v>900605548</v>
          </cell>
          <cell r="B2604" t="str">
            <v>6</v>
          </cell>
          <cell r="C2604" t="str">
            <v>EDIFICIO SAINT MICHEL PROPIEDAD HORIZONTAL</v>
          </cell>
          <cell r="D2604" t="str">
            <v>5415276</v>
          </cell>
          <cell r="E2604" t="str">
            <v>consejoadmsaintmichel@hotmail.com</v>
          </cell>
          <cell r="F2604" t="str">
            <v>CALLE 67 A  30  41</v>
          </cell>
          <cell r="G2604">
            <v>11001</v>
          </cell>
        </row>
        <row r="2605">
          <cell r="A2605" t="str">
            <v>900609031</v>
          </cell>
          <cell r="B2605" t="str">
            <v>9</v>
          </cell>
          <cell r="C2605" t="str">
            <v>CR PROYECTOS SAS</v>
          </cell>
          <cell r="D2605" t="str">
            <v>3163861673</v>
          </cell>
          <cell r="E2605" t="str">
            <v>diana.lopez@crproyectos.co</v>
          </cell>
          <cell r="F2605" t="str">
            <v>CL 93 17 45 OF 303</v>
          </cell>
          <cell r="G2605">
            <v>11001</v>
          </cell>
        </row>
        <row r="2606">
          <cell r="A2606" t="str">
            <v>900610952</v>
          </cell>
          <cell r="B2606" t="str">
            <v>9</v>
          </cell>
          <cell r="C2606" t="str">
            <v>EDIFICIO MARASHA - PROPIEDAD HORIZONTAL</v>
          </cell>
          <cell r="D2606" t="str">
            <v>3002701</v>
          </cell>
          <cell r="E2606" t="str">
            <v>edificiomarashaph@gmail.com</v>
          </cell>
          <cell r="F2606" t="str">
            <v>CARRERA 19 A  118  84</v>
          </cell>
          <cell r="G2606">
            <v>11001</v>
          </cell>
        </row>
        <row r="2607">
          <cell r="A2607" t="str">
            <v>900611209</v>
          </cell>
          <cell r="B2607" t="str">
            <v>9</v>
          </cell>
          <cell r="C2607" t="str">
            <v>EDIFICIO RESERVA DE MAZUREN - PROPIEDAD HORIZONTAL</v>
          </cell>
          <cell r="D2607" t="str">
            <v>3168717869</v>
          </cell>
          <cell r="E2607" t="str">
            <v>reservademazuren@gmail.com</v>
          </cell>
          <cell r="F2607" t="str">
            <v>CALLE 150 A  48  50</v>
          </cell>
          <cell r="G2607">
            <v>11001</v>
          </cell>
        </row>
        <row r="2608">
          <cell r="A2608" t="str">
            <v>900613916</v>
          </cell>
          <cell r="B2608" t="str">
            <v>7</v>
          </cell>
          <cell r="C2608" t="str">
            <v>EDIFICIO SANTAFE MARQUIS -PROPIEDAD HORIZONTAL</v>
          </cell>
          <cell r="D2608" t="str">
            <v>5202970</v>
          </cell>
          <cell r="E2608" t="str">
            <v>e.santafemarquis@hotmail.com</v>
          </cell>
          <cell r="F2608" t="str">
            <v>CARRERA 17  124  31</v>
          </cell>
          <cell r="G2608">
            <v>11001</v>
          </cell>
        </row>
        <row r="2609">
          <cell r="A2609" t="str">
            <v>900614544</v>
          </cell>
          <cell r="B2609" t="str">
            <v>5</v>
          </cell>
          <cell r="C2609" t="str">
            <v>EDIFICIO IWOKA - PROPIEDAD HORIZONTAL</v>
          </cell>
          <cell r="D2609" t="str">
            <v>3004303</v>
          </cell>
          <cell r="E2609" t="str">
            <v>iwokaedificio@gmail.com</v>
          </cell>
          <cell r="F2609" t="str">
            <v>CARRERA 7  52  44</v>
          </cell>
          <cell r="G2609">
            <v>11001</v>
          </cell>
        </row>
        <row r="2610">
          <cell r="A2610" t="str">
            <v>900617519</v>
          </cell>
          <cell r="B2610" t="str">
            <v>4</v>
          </cell>
          <cell r="C2610" t="str">
            <v>EDIFICIO RESERVA DE COLINA PROPIEDAD HORIZONTAL</v>
          </cell>
          <cell r="D2610" t="str">
            <v>3125185753</v>
          </cell>
          <cell r="E2610" t="str">
            <v>reservadecolina@gmail.com</v>
          </cell>
          <cell r="F2610" t="str">
            <v>CARRERA 56  153  15</v>
          </cell>
          <cell r="G2610">
            <v>11001</v>
          </cell>
        </row>
        <row r="2611">
          <cell r="A2611" t="str">
            <v>900617526</v>
          </cell>
          <cell r="B2611" t="str">
            <v>6</v>
          </cell>
          <cell r="C2611" t="str">
            <v>CONJUNTO RESIDENCIAL GRAN RESERVA DE PONTEVEDRA - PROPIEDAD HORIZONTAL</v>
          </cell>
          <cell r="D2611" t="str">
            <v>5161760</v>
          </cell>
          <cell r="E2611" t="str">
            <v>administracion@granreservadepontevedra.com.co</v>
          </cell>
          <cell r="F2611" t="str">
            <v>CALLE 95  71  75</v>
          </cell>
          <cell r="G2611">
            <v>11001</v>
          </cell>
        </row>
        <row r="2612">
          <cell r="A2612" t="str">
            <v>900617526</v>
          </cell>
          <cell r="B2612" t="str">
            <v>6</v>
          </cell>
          <cell r="C2612" t="str">
            <v>CONJUNTO RESIDENCIAL GRAN RESERVA DE PONTEVEDRA - PROPIEDAD HORIZONTAL</v>
          </cell>
          <cell r="D2612" t="str">
            <v>5161760</v>
          </cell>
          <cell r="E2612" t="str">
            <v>administracion@granreservadepontevedra.com.co</v>
          </cell>
          <cell r="F2612" t="str">
            <v>CALLE 95  71  75</v>
          </cell>
          <cell r="G2612">
            <v>11001</v>
          </cell>
        </row>
        <row r="2613">
          <cell r="A2613" t="str">
            <v>900618032</v>
          </cell>
          <cell r="B2613" t="str">
            <v>4</v>
          </cell>
          <cell r="C2613" t="str">
            <v>CONJUNTO RESIDENCIAL URBANIZACION MONTECARMELO PH</v>
          </cell>
          <cell r="D2613" t="str">
            <v>5593766</v>
          </cell>
          <cell r="E2613" t="str">
            <v>montecarmeloadmon@hotmail.com</v>
          </cell>
          <cell r="F2613" t="str">
            <v>CALLE 65 SUR  40  18</v>
          </cell>
          <cell r="G2613">
            <v>11001</v>
          </cell>
        </row>
        <row r="2614">
          <cell r="A2614" t="str">
            <v>900618090</v>
          </cell>
          <cell r="B2614" t="str">
            <v>1</v>
          </cell>
          <cell r="C2614" t="str">
            <v>EDIFICIO FERRARA - PROPIEDAD HORIZONTAL</v>
          </cell>
          <cell r="D2614" t="str">
            <v>5453847</v>
          </cell>
          <cell r="E2614" t="str">
            <v>edificioferrara0@gmail.com</v>
          </cell>
          <cell r="F2614" t="str">
            <v>CARRERA 7 A  97  55</v>
          </cell>
          <cell r="G2614">
            <v>11001</v>
          </cell>
        </row>
        <row r="2615">
          <cell r="A2615" t="str">
            <v>900618401</v>
          </cell>
          <cell r="B2615" t="str">
            <v>9</v>
          </cell>
          <cell r="C2615" t="str">
            <v>GRUPO HABITACIONAL EDIFICIO BLUE TOWER Y ADMINISTRADOR</v>
          </cell>
          <cell r="D2615" t="str">
            <v>3102445809</v>
          </cell>
          <cell r="E2615" t="str">
            <v>edificiobluetower@hotmail.com</v>
          </cell>
          <cell r="F2615" t="str">
            <v>CALLE 54 A  6  125</v>
          </cell>
          <cell r="G2615">
            <v>11001</v>
          </cell>
        </row>
        <row r="2616">
          <cell r="A2616" t="str">
            <v>900621501</v>
          </cell>
          <cell r="B2616" t="str">
            <v>8</v>
          </cell>
          <cell r="C2616" t="str">
            <v>EDIFICIO PALMA AVANTI - PROPIEDAD HORIZONTAL</v>
          </cell>
          <cell r="D2616" t="str">
            <v>4711124</v>
          </cell>
          <cell r="E2616" t="str">
            <v>palmavanti@hotmail.com</v>
          </cell>
          <cell r="F2616" t="str">
            <v>CALLE 127 BIS  19  31</v>
          </cell>
          <cell r="G2616">
            <v>11001</v>
          </cell>
        </row>
        <row r="2617">
          <cell r="A2617" t="str">
            <v>900621778</v>
          </cell>
          <cell r="B2617" t="str">
            <v>0</v>
          </cell>
          <cell r="C2617" t="str">
            <v>EDIFICIO URA 147 - PROPIEDAD HORIZONTAL</v>
          </cell>
          <cell r="D2617" t="str">
            <v>3153977241</v>
          </cell>
          <cell r="E2617" t="str">
            <v>edificioura@gmail.com</v>
          </cell>
          <cell r="F2617" t="str">
            <v>AVENIDA CALLE 147 A  11  72</v>
          </cell>
          <cell r="G2617">
            <v>11001</v>
          </cell>
        </row>
        <row r="2618">
          <cell r="A2618" t="str">
            <v>900625744</v>
          </cell>
          <cell r="B2618" t="str">
            <v>9</v>
          </cell>
          <cell r="C2618" t="str">
            <v>CONJUNTO RESIDENCIAL TERRAVISTA PROPIEDAD HORIZONTAL</v>
          </cell>
          <cell r="D2618" t="str">
            <v>3552460</v>
          </cell>
          <cell r="E2618" t="str">
            <v>conjuntoterravista13@hotmail.com</v>
          </cell>
          <cell r="F2618" t="str">
            <v>CARRERA 8 F  166  34</v>
          </cell>
          <cell r="G2618">
            <v>11001</v>
          </cell>
        </row>
        <row r="2619">
          <cell r="A2619" t="str">
            <v>900625744</v>
          </cell>
          <cell r="B2619" t="str">
            <v>9</v>
          </cell>
          <cell r="C2619" t="str">
            <v>CONJUNTO RESIDENCIAL TERRAVISTA PROPIEDAD HORIZONTAL</v>
          </cell>
          <cell r="D2619" t="str">
            <v>3552460</v>
          </cell>
          <cell r="E2619" t="str">
            <v>conjuntoterravista13@hotmail.com</v>
          </cell>
          <cell r="F2619" t="str">
            <v>CARRERA 8 F  166  34</v>
          </cell>
          <cell r="G2619">
            <v>11001</v>
          </cell>
        </row>
        <row r="2620">
          <cell r="A2620" t="str">
            <v>900625968</v>
          </cell>
          <cell r="B2620" t="str">
            <v>1</v>
          </cell>
          <cell r="C2620" t="str">
            <v>EDIFICIO VISTA 51 - PROPIEDAD HORIZONTAL</v>
          </cell>
          <cell r="D2620" t="str">
            <v>3166263864</v>
          </cell>
          <cell r="E2620" t="str">
            <v>vista51bogota1@outlook.com</v>
          </cell>
          <cell r="F2620" t="str">
            <v>TRANSVERSAL 3  51 A  75</v>
          </cell>
          <cell r="G2620">
            <v>11001</v>
          </cell>
        </row>
        <row r="2621">
          <cell r="A2621" t="str">
            <v>900625968</v>
          </cell>
          <cell r="B2621" t="str">
            <v>1</v>
          </cell>
          <cell r="C2621" t="str">
            <v>EDIFICIO VISTA 51 - PROPIEDAD HORIZONTAL</v>
          </cell>
          <cell r="D2621" t="str">
            <v>3166263864</v>
          </cell>
          <cell r="E2621" t="str">
            <v>vista51bogota1@outlook.com</v>
          </cell>
          <cell r="F2621" t="str">
            <v>TRANSVERSAL 3  51 A  75</v>
          </cell>
          <cell r="G2621">
            <v>11001</v>
          </cell>
        </row>
        <row r="2622">
          <cell r="A2622" t="str">
            <v>900628045</v>
          </cell>
          <cell r="B2622" t="str">
            <v>2</v>
          </cell>
          <cell r="C2622" t="str">
            <v>CONSTRUCTORA INMOBILIARIA FUTURA S.A.S.</v>
          </cell>
          <cell r="D2622" t="str">
            <v>4327465</v>
          </cell>
          <cell r="E2622" t="str">
            <v>futuraconstructores@gmail.com</v>
          </cell>
          <cell r="F2622" t="str">
            <v>CARRERA 21  10  08  LOCAL 74</v>
          </cell>
          <cell r="G2622">
            <v>11001</v>
          </cell>
        </row>
        <row r="2623">
          <cell r="A2623" t="str">
            <v>900628045</v>
          </cell>
          <cell r="B2623" t="str">
            <v>2</v>
          </cell>
          <cell r="C2623" t="str">
            <v>CONSTRUCTORA INMOBILIARIA FUTURA S.A.S.</v>
          </cell>
          <cell r="D2623" t="str">
            <v>4327465</v>
          </cell>
          <cell r="E2623" t="str">
            <v>futuraconstructores@gmail.com</v>
          </cell>
          <cell r="F2623" t="str">
            <v>CARRERA 21  10  08  LOCAL 74</v>
          </cell>
          <cell r="G2623">
            <v>11001</v>
          </cell>
        </row>
        <row r="2624">
          <cell r="A2624" t="str">
            <v>900628243</v>
          </cell>
          <cell r="B2624" t="str">
            <v>4</v>
          </cell>
          <cell r="C2624" t="str">
            <v>CONJUNTO RESIDENCIAL MONREAL-PROPIEDAD HORIZONTAL</v>
          </cell>
          <cell r="D2624" t="str">
            <v>3057401</v>
          </cell>
          <cell r="E2624" t="str">
            <v>conjuntoresidencialmonreal@gmail.com</v>
          </cell>
          <cell r="F2624" t="str">
            <v>CARRERA 54 D  169  60</v>
          </cell>
          <cell r="G2624">
            <v>11001</v>
          </cell>
        </row>
        <row r="2625">
          <cell r="A2625" t="str">
            <v>900630471</v>
          </cell>
          <cell r="B2625" t="str">
            <v>3</v>
          </cell>
          <cell r="C2625" t="str">
            <v>MONKEY BUSINESS GROUP SOCIEDAD POR ACCIONES SIMPLIFICADA</v>
          </cell>
          <cell r="D2625" t="str">
            <v>7430404</v>
          </cell>
          <cell r="E2625" t="str">
            <v>facturacionbogota@clickclackhotel.com</v>
          </cell>
          <cell r="F2625" t="str">
            <v>CARRERA 11  93  77</v>
          </cell>
          <cell r="G2625">
            <v>11001</v>
          </cell>
        </row>
        <row r="2626">
          <cell r="A2626" t="str">
            <v>900630471</v>
          </cell>
          <cell r="B2626" t="str">
            <v>3</v>
          </cell>
          <cell r="C2626" t="str">
            <v>MONKEY BUSINESS GROUP SOCIEDAD POR ACCIONES SIMPLIFICADA</v>
          </cell>
          <cell r="D2626" t="str">
            <v>7430404</v>
          </cell>
          <cell r="E2626" t="str">
            <v>facturacionbogota@clickclackhotel.com</v>
          </cell>
          <cell r="F2626" t="str">
            <v>CARRERA 11  93  77</v>
          </cell>
          <cell r="G2626">
            <v>11001</v>
          </cell>
        </row>
        <row r="2627">
          <cell r="A2627" t="str">
            <v>900631638</v>
          </cell>
          <cell r="B2627" t="str">
            <v>0</v>
          </cell>
          <cell r="C2627" t="str">
            <v>CONJUNTO RESIDENCIAL TORRE GIRONELA</v>
          </cell>
          <cell r="D2627" t="str">
            <v>3325973</v>
          </cell>
          <cell r="E2627" t="str">
            <v>admontorregironela@gmail.com</v>
          </cell>
          <cell r="F2627" t="str">
            <v>CALLE 13  25  68</v>
          </cell>
          <cell r="G2627">
            <v>11001</v>
          </cell>
        </row>
        <row r="2628">
          <cell r="A2628" t="str">
            <v>900632170</v>
          </cell>
          <cell r="B2628" t="str">
            <v>0</v>
          </cell>
          <cell r="C2628" t="str">
            <v>CONDOMINIO ZAZUE</v>
          </cell>
          <cell r="D2628" t="str">
            <v>3105090343</v>
          </cell>
          <cell r="E2628" t="str">
            <v>condominiozazue@hotmail.com</v>
          </cell>
          <cell r="F2628" t="str">
            <v>CARRERA 7  116 A  40</v>
          </cell>
          <cell r="G2628">
            <v>11001</v>
          </cell>
        </row>
        <row r="2629">
          <cell r="A2629" t="str">
            <v>900632520</v>
          </cell>
          <cell r="B2629" t="str">
            <v>5</v>
          </cell>
          <cell r="C2629" t="str">
            <v>EDIFICIO MIRAFLORES SEÑORIAL - PROPIEDAD HORIZONTAL</v>
          </cell>
          <cell r="D2629" t="str">
            <v>3202198120</v>
          </cell>
          <cell r="E2629" t="str">
            <v>miraflorespropiedadhorizontal@gmail.com</v>
          </cell>
          <cell r="F2629" t="str">
            <v>CARRERA 22  47  97</v>
          </cell>
          <cell r="G2629">
            <v>11001</v>
          </cell>
        </row>
        <row r="2630">
          <cell r="A2630" t="str">
            <v>900633179</v>
          </cell>
          <cell r="B2630" t="str">
            <v>0</v>
          </cell>
          <cell r="C2630" t="str">
            <v>PARQUE RESIDENCIAL TIERRACOLINA PROPIEDAD HORIZONTAL</v>
          </cell>
          <cell r="D2630" t="str">
            <v>3560426</v>
          </cell>
          <cell r="E2630" t="str">
            <v>tierracolina@gmail.com</v>
          </cell>
          <cell r="F2630" t="str">
            <v>CARRERA 62  165 A  69</v>
          </cell>
          <cell r="G2630">
            <v>11001</v>
          </cell>
        </row>
        <row r="2631">
          <cell r="A2631" t="str">
            <v>900633179</v>
          </cell>
          <cell r="B2631" t="str">
            <v>0</v>
          </cell>
          <cell r="C2631" t="str">
            <v>PARQUE RESIDENCIAL TIERRACOLINA PROPIEDAD HORIZONTAL</v>
          </cell>
          <cell r="D2631" t="str">
            <v>3560426</v>
          </cell>
          <cell r="E2631" t="str">
            <v>tierracolina@gmail.com</v>
          </cell>
          <cell r="F2631" t="str">
            <v>CARRERA 62  165 A  69</v>
          </cell>
          <cell r="G2631">
            <v>11001</v>
          </cell>
        </row>
        <row r="2632">
          <cell r="A2632" t="str">
            <v>900634856</v>
          </cell>
          <cell r="B2632" t="str">
            <v>3</v>
          </cell>
          <cell r="C2632" t="str">
            <v>CONJUNTO CERRADO TORRES DEL CENTENARIO PROPIEDAD HORIZONTAL</v>
          </cell>
          <cell r="D2632" t="str">
            <v>5725521</v>
          </cell>
          <cell r="E2632" t="str">
            <v>torresdelcentenario@gmail.com</v>
          </cell>
          <cell r="F2632" t="str">
            <v>CALLE 11 A N  11 A E  68</v>
          </cell>
          <cell r="G2632">
            <v>11001</v>
          </cell>
        </row>
        <row r="2633">
          <cell r="A2633" t="str">
            <v>900636017</v>
          </cell>
          <cell r="B2633" t="str">
            <v>1</v>
          </cell>
          <cell r="C2633" t="str">
            <v>EDIFICIO ORION 421</v>
          </cell>
          <cell r="D2633" t="str">
            <v>3157172965</v>
          </cell>
          <cell r="E2633" t="str">
            <v>edificioorion421@gmail.com</v>
          </cell>
          <cell r="F2633" t="str">
            <v>AVENIDA 4  21 A  29</v>
          </cell>
          <cell r="G2633">
            <v>11001</v>
          </cell>
        </row>
        <row r="2634">
          <cell r="A2634" t="str">
            <v>900637004</v>
          </cell>
          <cell r="B2634" t="str">
            <v>9</v>
          </cell>
          <cell r="C2634" t="str">
            <v>EDIFICIO KUBIK 54 - PROPIEDAD HORIZONTAL</v>
          </cell>
          <cell r="D2634" t="str">
            <v>4661198</v>
          </cell>
          <cell r="E2634" t="str">
            <v>admiintegralfacturacion@gmail.com</v>
          </cell>
          <cell r="F2634" t="str">
            <v>TRANSVERSAL 1 A  54 A  78</v>
          </cell>
          <cell r="G2634">
            <v>11001</v>
          </cell>
        </row>
        <row r="2635">
          <cell r="A2635" t="str">
            <v>900637542</v>
          </cell>
          <cell r="B2635" t="str">
            <v>1</v>
          </cell>
          <cell r="C2635" t="str">
            <v>CONJUNTO RESIDENCIAL PARQUE CENTRAL BONAVISTA 2 - PROPIEDAD HORIZONTAL</v>
          </cell>
          <cell r="D2635" t="str">
            <v>3212268823</v>
          </cell>
          <cell r="E2635" t="str">
            <v>administrador@bonavista2.com</v>
          </cell>
          <cell r="F2635" t="str">
            <v>AK 68 SUR 70 D 71</v>
          </cell>
          <cell r="G2635">
            <v>11001</v>
          </cell>
        </row>
        <row r="2636">
          <cell r="A2636" t="str">
            <v>900637542</v>
          </cell>
          <cell r="B2636" t="str">
            <v>1</v>
          </cell>
          <cell r="C2636" t="str">
            <v>CONJUNTO RESIDENCIAL PARQUE CENTRAL BONAVISTA 2 - PROPIEDAD HORIZONTAL</v>
          </cell>
          <cell r="D2636" t="str">
            <v>3212268823</v>
          </cell>
          <cell r="E2636" t="str">
            <v>administrador@bonavista2.com</v>
          </cell>
          <cell r="F2636" t="str">
            <v>AK 68 SUR 70 D 71</v>
          </cell>
          <cell r="G2636">
            <v>11001</v>
          </cell>
        </row>
        <row r="2637">
          <cell r="A2637" t="str">
            <v>900641398</v>
          </cell>
          <cell r="B2637" t="str">
            <v>0</v>
          </cell>
          <cell r="C2637" t="str">
            <v>EDIFICIO MONTICELLO</v>
          </cell>
          <cell r="D2637" t="str">
            <v>3015250320</v>
          </cell>
          <cell r="E2637" t="str">
            <v>coordinadorprestigio@gmail.com</v>
          </cell>
          <cell r="F2637" t="str">
            <v>CARRERA 58  94  21</v>
          </cell>
          <cell r="G2637">
            <v>11001</v>
          </cell>
        </row>
        <row r="2638">
          <cell r="A2638" t="str">
            <v>900641786</v>
          </cell>
          <cell r="B2638" t="str">
            <v>5</v>
          </cell>
          <cell r="C2638" t="str">
            <v>CONJUNTO DE USO MIXTO NUEVO SOL PROPIEDAD HORIZONTAL</v>
          </cell>
          <cell r="D2638" t="str">
            <v>3042111517</v>
          </cell>
          <cell r="E2638" t="str">
            <v>admonuevosol@gmail.com</v>
          </cell>
          <cell r="F2638" t="str">
            <v>CARRERA 86  49 E  85</v>
          </cell>
          <cell r="G2638">
            <v>11001</v>
          </cell>
        </row>
        <row r="2639">
          <cell r="A2639" t="str">
            <v>900644908</v>
          </cell>
          <cell r="B2639" t="str">
            <v>0</v>
          </cell>
          <cell r="C2639" t="str">
            <v>EDIFICIO DENVER - PROPIEDAD HORIZONTAL</v>
          </cell>
          <cell r="D2639" t="str">
            <v>3213137266</v>
          </cell>
          <cell r="E2639" t="str">
            <v>edificiodenver@gmail.com</v>
          </cell>
          <cell r="F2639" t="str">
            <v>CARRERA 23  118  70</v>
          </cell>
          <cell r="G2639">
            <v>11001</v>
          </cell>
        </row>
        <row r="2640">
          <cell r="A2640" t="str">
            <v>900645047</v>
          </cell>
          <cell r="B2640" t="str">
            <v>9</v>
          </cell>
          <cell r="C2640" t="str">
            <v>EDIFICIO MANARA</v>
          </cell>
          <cell r="D2640" t="str">
            <v>3002810748</v>
          </cell>
          <cell r="E2640" t="str">
            <v>jepvertical@hotmail.com</v>
          </cell>
          <cell r="F2640" t="str">
            <v>CARRERA 42 H  80  153</v>
          </cell>
          <cell r="G2640">
            <v>11001</v>
          </cell>
        </row>
        <row r="2641">
          <cell r="A2641" t="str">
            <v>900645675</v>
          </cell>
          <cell r="B2641" t="str">
            <v>4</v>
          </cell>
          <cell r="C2641" t="str">
            <v>CONJUNTO RESIDENCIAL CANTOLUNA P.H.</v>
          </cell>
          <cell r="D2641" t="str">
            <v>3004296639</v>
          </cell>
          <cell r="E2641" t="str">
            <v>crcantoluna@hotmail.com</v>
          </cell>
          <cell r="F2641" t="str">
            <v>CARRERA 43 A  70 SUR  17</v>
          </cell>
          <cell r="G2641">
            <v>11001</v>
          </cell>
        </row>
        <row r="2642">
          <cell r="A2642" t="str">
            <v>900649548</v>
          </cell>
          <cell r="B2642" t="str">
            <v>5</v>
          </cell>
          <cell r="C2642" t="str">
            <v>CONJUNTO RESIDENCIAL LA RESERVA P.H.</v>
          </cell>
          <cell r="D2642" t="str">
            <v>4482064</v>
          </cell>
          <cell r="E2642" t="str">
            <v>aymacosas@gmail.com</v>
          </cell>
          <cell r="F2642" t="str">
            <v>CALLE 37 B  27 B  125 INTERIOR 5</v>
          </cell>
          <cell r="G2642">
            <v>11001</v>
          </cell>
        </row>
        <row r="2643">
          <cell r="A2643" t="str">
            <v>900652395</v>
          </cell>
          <cell r="B2643" t="str">
            <v>6</v>
          </cell>
          <cell r="C2643" t="str">
            <v>OUTLET FACTORY CENTRO COMERCIAL - PROPIEDAD HORIZONTAL</v>
          </cell>
          <cell r="D2643" t="str">
            <v>7953900</v>
          </cell>
          <cell r="E2643" t="str">
            <v>facturacion@outletfactory.co</v>
          </cell>
          <cell r="F2643" t="str">
            <v>AVENIDA CARRERA 9  62  84</v>
          </cell>
          <cell r="G2643">
            <v>11001</v>
          </cell>
        </row>
        <row r="2644">
          <cell r="A2644" t="str">
            <v>900652395</v>
          </cell>
          <cell r="B2644" t="str">
            <v>6</v>
          </cell>
          <cell r="C2644" t="str">
            <v>OUTLET FACTORY CENTRO COMERCIAL - PROPIEDAD HORIZONTAL</v>
          </cell>
          <cell r="D2644" t="str">
            <v>7953900</v>
          </cell>
          <cell r="E2644" t="str">
            <v>facturacion@outletfactory.co</v>
          </cell>
          <cell r="F2644" t="str">
            <v>AVENIDA CARRERA 9  62  84</v>
          </cell>
          <cell r="G2644">
            <v>11001</v>
          </cell>
        </row>
        <row r="2645">
          <cell r="A2645" t="str">
            <v>900654315</v>
          </cell>
          <cell r="B2645" t="str">
            <v>6</v>
          </cell>
          <cell r="C2645" t="str">
            <v>CONJUNTO RESIDENCIAL URBANIZACION RIOGRANDE - APARTAMENTOS PH</v>
          </cell>
          <cell r="D2645" t="str">
            <v>3664764</v>
          </cell>
          <cell r="E2645" t="str">
            <v>riograndeapartamentos@gmail.com</v>
          </cell>
          <cell r="F2645" t="str">
            <v>CALLE 40 A A  50 B B  33</v>
          </cell>
          <cell r="G2645">
            <v>11001</v>
          </cell>
        </row>
        <row r="2646">
          <cell r="A2646" t="str">
            <v>900654889</v>
          </cell>
          <cell r="B2646" t="str">
            <v>1</v>
          </cell>
          <cell r="C2646" t="str">
            <v>EDIFICIO BALCONES DE LA HOLANDA P. H.</v>
          </cell>
          <cell r="D2646" t="str">
            <v>3155818079</v>
          </cell>
          <cell r="E2646" t="str">
            <v>yisethvelezg@gmail.com</v>
          </cell>
          <cell r="F2646" t="str">
            <v>CALLE 80 SUR  47 C  61</v>
          </cell>
          <cell r="G2646">
            <v>11001</v>
          </cell>
        </row>
        <row r="2647">
          <cell r="A2647" t="str">
            <v>900656148</v>
          </cell>
          <cell r="B2647" t="str">
            <v>1</v>
          </cell>
          <cell r="C2647" t="str">
            <v>RENT HOUSE S.A.S.</v>
          </cell>
          <cell r="D2647" t="str">
            <v>3168243391</v>
          </cell>
          <cell r="E2647" t="str">
            <v>renthousesas@hotmail.com</v>
          </cell>
          <cell r="F2647" t="str">
            <v>AVENIDA 3 F NORTE  55 N  48</v>
          </cell>
          <cell r="G2647">
            <v>11001</v>
          </cell>
        </row>
        <row r="2648">
          <cell r="A2648" t="str">
            <v>900657070</v>
          </cell>
          <cell r="B2648" t="str">
            <v>0</v>
          </cell>
          <cell r="C2648" t="str">
            <v>EDIFICIO SAN CRISTOBAL REAL - PROPIEDAD HORIZONTAL</v>
          </cell>
          <cell r="D2648" t="str">
            <v>4963268</v>
          </cell>
          <cell r="E2648" t="str">
            <v>edificiocristobalreal@hotmail.com</v>
          </cell>
          <cell r="F2648" t="str">
            <v>CALLE 40  86 A  34</v>
          </cell>
          <cell r="G2648">
            <v>11001</v>
          </cell>
        </row>
        <row r="2649">
          <cell r="A2649" t="str">
            <v>900657695</v>
          </cell>
          <cell r="B2649" t="str">
            <v>3</v>
          </cell>
          <cell r="C2649" t="str">
            <v>MOLINOS DE SANTA TERESITA APARTAMENTOS</v>
          </cell>
          <cell r="D2649" t="str">
            <v>4837538</v>
          </cell>
          <cell r="E2649" t="str">
            <v>facturacion@estiloingenieria.com</v>
          </cell>
          <cell r="F2649" t="str">
            <v>CARRERA 1 ESTE  17  77</v>
          </cell>
          <cell r="G2649">
            <v>11001</v>
          </cell>
        </row>
        <row r="2650">
          <cell r="A2650" t="str">
            <v>900657960</v>
          </cell>
          <cell r="B2650" t="str">
            <v>0</v>
          </cell>
          <cell r="C2650" t="str">
            <v>EDIFICIO MORANO - PROPIEDAD HORIZONTAL</v>
          </cell>
          <cell r="D2650" t="str">
            <v>3152415128</v>
          </cell>
          <cell r="E2650" t="str">
            <v>admon.edificiomorano@hotmail.com</v>
          </cell>
          <cell r="F2650" t="str">
            <v>CARRERA 28  45 A  50</v>
          </cell>
          <cell r="G2650">
            <v>11001</v>
          </cell>
        </row>
        <row r="2651">
          <cell r="A2651" t="str">
            <v>900657960</v>
          </cell>
          <cell r="B2651" t="str">
            <v>0</v>
          </cell>
          <cell r="C2651" t="str">
            <v>EDIFICIO MORANO - PROPIEDAD HORIZONTAL</v>
          </cell>
          <cell r="D2651" t="str">
            <v>3152415128</v>
          </cell>
          <cell r="E2651" t="str">
            <v>admon.edificiomorano@hotmail.com</v>
          </cell>
          <cell r="F2651" t="str">
            <v>CARRERA 28  45 A  50</v>
          </cell>
          <cell r="G2651">
            <v>11001</v>
          </cell>
        </row>
        <row r="2652">
          <cell r="A2652" t="str">
            <v>900659966</v>
          </cell>
          <cell r="B2652" t="str">
            <v>3</v>
          </cell>
          <cell r="C2652" t="str">
            <v>EDIFICIO EVA 101 - PROPIEDAD HORIZONTAL</v>
          </cell>
          <cell r="D2652" t="str">
            <v>6291098</v>
          </cell>
          <cell r="E2652" t="str">
            <v>facturacion@estiloingenieria.com</v>
          </cell>
          <cell r="F2652" t="str">
            <v>CALLE 101  16  16</v>
          </cell>
          <cell r="G2652">
            <v>11001</v>
          </cell>
        </row>
        <row r="2653">
          <cell r="A2653" t="str">
            <v>900659984</v>
          </cell>
          <cell r="B2653" t="str">
            <v>6</v>
          </cell>
          <cell r="C2653" t="str">
            <v>EDIFICIO CENTRALLE PROPIEDAD HORIZONTAL</v>
          </cell>
          <cell r="D2653" t="str">
            <v>9370856</v>
          </cell>
          <cell r="E2653" t="str">
            <v>edificiocentralle54@gmail.com</v>
          </cell>
          <cell r="F2653" t="str">
            <v>CALLE 54  10  46</v>
          </cell>
          <cell r="G2653">
            <v>11001</v>
          </cell>
        </row>
        <row r="2654">
          <cell r="A2654" t="str">
            <v>900662799</v>
          </cell>
          <cell r="B2654" t="str">
            <v>0</v>
          </cell>
          <cell r="C2654" t="str">
            <v>EDIFICIO IMOVAL XII - PROPIEDAD HORIZONTAL</v>
          </cell>
          <cell r="D2654" t="str">
            <v>4717970</v>
          </cell>
          <cell r="E2654" t="str">
            <v>facturacion@estiloingenieria.com</v>
          </cell>
          <cell r="F2654" t="str">
            <v>CALLE 53  10  21</v>
          </cell>
          <cell r="G2654">
            <v>11001</v>
          </cell>
        </row>
        <row r="2655">
          <cell r="A2655" t="str">
            <v>900663864</v>
          </cell>
          <cell r="B2655" t="str">
            <v>6</v>
          </cell>
          <cell r="C2655" t="str">
            <v>FONSECA AMAYA INVERSIONES S.A.S.</v>
          </cell>
          <cell r="D2655" t="str">
            <v>6914105</v>
          </cell>
          <cell r="E2655" t="str">
            <v>fonsetorres@hotmail.com</v>
          </cell>
          <cell r="F2655" t="str">
            <v>CALLE 50  28  25</v>
          </cell>
          <cell r="G2655">
            <v>11001</v>
          </cell>
        </row>
        <row r="2656">
          <cell r="A2656" t="str">
            <v>900664175</v>
          </cell>
          <cell r="B2656" t="str">
            <v>4</v>
          </cell>
          <cell r="C2656" t="str">
            <v>EDIFICIO ZARAHEMLA</v>
          </cell>
          <cell r="D2656" t="str">
            <v>3108597403</v>
          </cell>
          <cell r="E2656" t="str">
            <v>zarahemla42@gmail.com</v>
          </cell>
          <cell r="F2656" t="str">
            <v>CALLE 42  16  126</v>
          </cell>
          <cell r="G2656">
            <v>11001</v>
          </cell>
        </row>
        <row r="2657">
          <cell r="A2657" t="str">
            <v>900664886</v>
          </cell>
          <cell r="B2657" t="str">
            <v>2</v>
          </cell>
          <cell r="C2657" t="str">
            <v>CONJUNTO RESIDENCIAL TIERRA GRATA PALMAS PROPIEDAD HORIZONTAL</v>
          </cell>
          <cell r="D2657" t="str">
            <v>3667253</v>
          </cell>
          <cell r="E2657" t="str">
            <v>contabilidad@tmgservicios.com</v>
          </cell>
          <cell r="F2657" t="str">
            <v>CARRERA 35  19  62</v>
          </cell>
          <cell r="G2657">
            <v>11001</v>
          </cell>
        </row>
        <row r="2658">
          <cell r="A2658" t="str">
            <v>900666216</v>
          </cell>
          <cell r="B2658" t="str">
            <v>7</v>
          </cell>
          <cell r="C2658" t="str">
            <v>AGRUPACION RESIDENCIAL RESERVA DE LOS LAGOS - PROPIEDAD HORIZONTAL</v>
          </cell>
          <cell r="D2658" t="str">
            <v>7495178</v>
          </cell>
          <cell r="E2658" t="str">
            <v>reservadeloslagosadmon@gmail.com</v>
          </cell>
          <cell r="F2658" t="str">
            <v>CR 72 B 121 80 A D</v>
          </cell>
          <cell r="G2658">
            <v>11001</v>
          </cell>
        </row>
        <row r="2659">
          <cell r="A2659" t="str">
            <v>900666216</v>
          </cell>
          <cell r="B2659" t="str">
            <v>7</v>
          </cell>
          <cell r="C2659" t="str">
            <v>AGRUPACION RESIDENCIAL RESERVA DE LOS LAGOS - PROPIEDAD HORIZONTAL</v>
          </cell>
          <cell r="D2659" t="str">
            <v>7495178</v>
          </cell>
          <cell r="E2659" t="str">
            <v>reservadeloslagosadmon@gmail.com</v>
          </cell>
          <cell r="F2659" t="str">
            <v>CR 72 B 121 80 A D</v>
          </cell>
          <cell r="G2659">
            <v>11001</v>
          </cell>
        </row>
        <row r="2660">
          <cell r="A2660" t="str">
            <v>900666560</v>
          </cell>
          <cell r="B2660" t="str">
            <v>6</v>
          </cell>
          <cell r="C2660" t="str">
            <v>OFICINAS 90-16 SAS</v>
          </cell>
          <cell r="D2660" t="str">
            <v>6362329</v>
          </cell>
          <cell r="E2660" t="str">
            <v>facturacionelectronica@casalini.com.co</v>
          </cell>
          <cell r="F2660" t="str">
            <v>CALLE 87  15  23  OFICINA 603</v>
          </cell>
          <cell r="G2660">
            <v>11001</v>
          </cell>
        </row>
        <row r="2661">
          <cell r="A2661" t="str">
            <v>900667152</v>
          </cell>
          <cell r="B2661" t="str">
            <v>9</v>
          </cell>
          <cell r="C2661" t="str">
            <v>CONJUNTO RESIDENCIAL MACERATTA CASTILLA - PROPIEDAD HORIZONTAL</v>
          </cell>
          <cell r="D2661" t="str">
            <v>8100995</v>
          </cell>
          <cell r="E2661" t="str">
            <v>crmaceratta@gmail.com</v>
          </cell>
          <cell r="F2661" t="str">
            <v>CARRERA 78 A  9  39</v>
          </cell>
          <cell r="G2661">
            <v>11001</v>
          </cell>
        </row>
        <row r="2662">
          <cell r="A2662" t="str">
            <v>900667432</v>
          </cell>
          <cell r="B2662" t="str">
            <v>6</v>
          </cell>
          <cell r="C2662" t="str">
            <v>EDIFICIO BALCONES DEL CEDRO- PROPIEDAD HORIZONTAL</v>
          </cell>
          <cell r="D2662" t="str">
            <v>3213987884</v>
          </cell>
          <cell r="E2662" t="str">
            <v>balconesdelcedroph@gmail.com</v>
          </cell>
          <cell r="F2662" t="str">
            <v>CALLE 145  12  40</v>
          </cell>
          <cell r="G2662">
            <v>11001</v>
          </cell>
        </row>
        <row r="2663">
          <cell r="A2663" t="str">
            <v>900667432</v>
          </cell>
          <cell r="B2663" t="str">
            <v>6</v>
          </cell>
          <cell r="C2663" t="str">
            <v>EDIFICIO BALCONES DEL CEDRO- PROPIEDAD HORIZONTAL</v>
          </cell>
          <cell r="D2663" t="str">
            <v>3213987884</v>
          </cell>
          <cell r="E2663" t="str">
            <v>balconesdelcedroph@gmail.com</v>
          </cell>
          <cell r="F2663" t="str">
            <v>CALLE 145  12  40</v>
          </cell>
          <cell r="G2663">
            <v>11001</v>
          </cell>
        </row>
        <row r="2664">
          <cell r="A2664" t="str">
            <v>900667508</v>
          </cell>
          <cell r="B2664" t="str">
            <v>7</v>
          </cell>
          <cell r="C2664" t="str">
            <v>LA EMBAJADA DE LOS EMIRATOS ARABES UNIDOS</v>
          </cell>
          <cell r="D2664" t="str">
            <v>6353406</v>
          </cell>
          <cell r="E2664" t="str">
            <v>bogotaemb.secretary@mofaic.gov.ae</v>
          </cell>
          <cell r="F2664" t="str">
            <v>TV 3 86 73</v>
          </cell>
          <cell r="G2664">
            <v>11001</v>
          </cell>
        </row>
        <row r="2665">
          <cell r="A2665" t="str">
            <v>900671845</v>
          </cell>
          <cell r="B2665" t="str">
            <v>1</v>
          </cell>
          <cell r="C2665" t="str">
            <v>EDIFICIO ZUÑIGA REAL P.H.</v>
          </cell>
          <cell r="D2665" t="str">
            <v>3790770</v>
          </cell>
          <cell r="E2665" t="str">
            <v>albalaver@gmail.com</v>
          </cell>
          <cell r="F2665" t="str">
            <v>CARRERA 47  19 SUR  136</v>
          </cell>
          <cell r="G2665">
            <v>11001</v>
          </cell>
        </row>
        <row r="2666">
          <cell r="A2666" t="str">
            <v>900672550</v>
          </cell>
          <cell r="B2666" t="str">
            <v>7</v>
          </cell>
          <cell r="C2666" t="str">
            <v>PROPIEDAD HORIZONTAL URBANIZACION MIXTA REMANSO DEL RODEO ETAPA 1 TORRE 1</v>
          </cell>
          <cell r="D2666" t="str">
            <v>5702553</v>
          </cell>
          <cell r="E2666" t="str">
            <v>urbanizacionremanso@gmail.com</v>
          </cell>
          <cell r="F2666" t="str">
            <v>CALLE 6 SUR  79  150</v>
          </cell>
          <cell r="G2666">
            <v>11001</v>
          </cell>
        </row>
        <row r="2667">
          <cell r="A2667" t="str">
            <v>900673005</v>
          </cell>
          <cell r="B2667" t="str">
            <v>9</v>
          </cell>
          <cell r="C2667" t="str">
            <v>CONJUNTO RESIDENCIAL TAJAMARES DE VILLA CAMPESTRE</v>
          </cell>
          <cell r="D2667" t="str">
            <v>3116652739</v>
          </cell>
          <cell r="E2667" t="str">
            <v>tajamaresapto@hotmail.com</v>
          </cell>
          <cell r="F2667" t="str">
            <v>CALLE 3 A  23  40</v>
          </cell>
          <cell r="G2667">
            <v>11001</v>
          </cell>
        </row>
        <row r="2668">
          <cell r="A2668" t="str">
            <v>900674442</v>
          </cell>
          <cell r="B2668" t="str">
            <v>9</v>
          </cell>
          <cell r="C2668" t="str">
            <v>GRUPO INMOBILIARIO HAMBURGO S.A.S.</v>
          </cell>
          <cell r="D2668" t="str">
            <v>3164283194</v>
          </cell>
          <cell r="E2668" t="str">
            <v>nestor.rozo@hamburgoc.com</v>
          </cell>
          <cell r="F2668" t="str">
            <v>CARRERA 16 No. 93 a - 36</v>
          </cell>
          <cell r="G2668">
            <v>11001</v>
          </cell>
        </row>
        <row r="2669">
          <cell r="A2669" t="str">
            <v>900674442</v>
          </cell>
          <cell r="B2669" t="str">
            <v>9</v>
          </cell>
          <cell r="C2669" t="str">
            <v>GRUPO INMOBILIARIO HAMBURGO S.A.S.</v>
          </cell>
          <cell r="D2669" t="str">
            <v>3164283194</v>
          </cell>
          <cell r="E2669" t="str">
            <v>nestor.rozo@hamburgoc.com</v>
          </cell>
          <cell r="F2669" t="str">
            <v>CARRERA 16 No. 93 a - 36</v>
          </cell>
          <cell r="G2669">
            <v>11001</v>
          </cell>
        </row>
        <row r="2670">
          <cell r="A2670" t="str">
            <v>900675122</v>
          </cell>
          <cell r="B2670" t="str">
            <v>1</v>
          </cell>
          <cell r="C2670" t="str">
            <v>CONDOMINIO ESTRELLA DE MAR P.H</v>
          </cell>
          <cell r="D2670" t="str">
            <v>3206206351</v>
          </cell>
          <cell r="E2670" t="str">
            <v>facturas1.aie@gmail.com</v>
          </cell>
          <cell r="F2670" t="str">
            <v>CALLE 83 C SUR  55  56</v>
          </cell>
          <cell r="G2670">
            <v>11001</v>
          </cell>
        </row>
        <row r="2671">
          <cell r="A2671" t="str">
            <v>900675610</v>
          </cell>
          <cell r="B2671" t="str">
            <v>4</v>
          </cell>
          <cell r="C2671" t="str">
            <v>CONJUNTO RESIDENCIAL LAGOS DE VERDE ALFAGUARA</v>
          </cell>
          <cell r="D2671" t="str">
            <v>3186961538</v>
          </cell>
          <cell r="E2671" t="str">
            <v>admonlagosverdealfaguara@gmail.com</v>
          </cell>
          <cell r="F2671" t="str">
            <v>CL FARALLONES BLV ALFAGUARA</v>
          </cell>
          <cell r="G2671">
            <v>11001</v>
          </cell>
        </row>
        <row r="2672">
          <cell r="A2672" t="str">
            <v>900675799</v>
          </cell>
          <cell r="B2672" t="str">
            <v>7</v>
          </cell>
          <cell r="C2672" t="str">
            <v>ALTAVISTA NORMANDIA ETAPA I PROPIEDAD HORIZONTAL</v>
          </cell>
          <cell r="D2672" t="str">
            <v>3087580</v>
          </cell>
          <cell r="E2672" t="str">
            <v>facturacion@estiloingenieria.com</v>
          </cell>
          <cell r="F2672" t="str">
            <v>AVENIDA 6 OESTE  5  200</v>
          </cell>
          <cell r="G2672">
            <v>11001</v>
          </cell>
        </row>
        <row r="2673">
          <cell r="A2673" t="str">
            <v>900676346</v>
          </cell>
          <cell r="B2673" t="str">
            <v>9</v>
          </cell>
          <cell r="C2673" t="str">
            <v>EDIFICIO EL PRADO</v>
          </cell>
          <cell r="D2673" t="str">
            <v>3012814927</v>
          </cell>
          <cell r="E2673" t="str">
            <v>edificioelpradoph@gmail.com</v>
          </cell>
          <cell r="F2673" t="str">
            <v>CARRERA 3  24  95</v>
          </cell>
          <cell r="G2673">
            <v>11001</v>
          </cell>
        </row>
        <row r="2674">
          <cell r="A2674" t="str">
            <v>900676628</v>
          </cell>
          <cell r="B2674" t="str">
            <v>0</v>
          </cell>
          <cell r="C2674" t="str">
            <v>EDIFICIO ALTOS DE LOS ROSALES - PROPIEDAD HORIZONTAL</v>
          </cell>
          <cell r="D2674" t="str">
            <v>3103125660</v>
          </cell>
          <cell r="E2674" t="str">
            <v>altosderosales2012@gmail.com</v>
          </cell>
          <cell r="F2674" t="str">
            <v>CALLE 18  2  57</v>
          </cell>
          <cell r="G2674">
            <v>11001</v>
          </cell>
        </row>
        <row r="2675">
          <cell r="A2675" t="str">
            <v>900677637</v>
          </cell>
          <cell r="B2675" t="str">
            <v>1</v>
          </cell>
          <cell r="C2675" t="str">
            <v>CONJUNTO RESIDENCIAL EL REMANSO PH</v>
          </cell>
          <cell r="D2675" t="str">
            <v>3015177672</v>
          </cell>
          <cell r="E2675" t="str">
            <v>elremansoph@gmail.com</v>
          </cell>
          <cell r="F2675" t="str">
            <v>CARRERA 79 A  19  86</v>
          </cell>
          <cell r="G2675">
            <v>11001</v>
          </cell>
        </row>
        <row r="2676">
          <cell r="A2676" t="str">
            <v>900677969</v>
          </cell>
          <cell r="B2676" t="str">
            <v>1</v>
          </cell>
          <cell r="C2676" t="str">
            <v>EDIFICIO EL CABRERO 272</v>
          </cell>
          <cell r="D2676" t="str">
            <v>6431126</v>
          </cell>
          <cell r="E2676" t="str">
            <v>cabrero272@hotmail.com</v>
          </cell>
          <cell r="F2676" t="str">
            <v>CALLE REAL DEL CABRERO  42  28</v>
          </cell>
          <cell r="G2676">
            <v>11001</v>
          </cell>
        </row>
        <row r="2677">
          <cell r="A2677" t="str">
            <v>900678179</v>
          </cell>
          <cell r="B2677" t="str">
            <v>4</v>
          </cell>
          <cell r="C2677" t="str">
            <v>CONJUNTO ALAMEDA DE SANTA FE - PROPIEDAD HORIZONTAL</v>
          </cell>
          <cell r="D2677" t="str">
            <v>7023984</v>
          </cell>
          <cell r="E2677" t="str">
            <v>cralamedadesantafe@gmail.com</v>
          </cell>
          <cell r="F2677" t="str">
            <v>CALLE 182  45  24</v>
          </cell>
          <cell r="G2677">
            <v>11001</v>
          </cell>
        </row>
        <row r="2678">
          <cell r="A2678" t="str">
            <v>900678179</v>
          </cell>
          <cell r="B2678" t="str">
            <v>4</v>
          </cell>
          <cell r="C2678" t="str">
            <v>CONJUNTO ALAMEDA DE SANTA FE - PROPIEDAD HORIZONTAL</v>
          </cell>
          <cell r="D2678" t="str">
            <v>7023984</v>
          </cell>
          <cell r="E2678" t="str">
            <v>cralamedadesantafe@gmail.com</v>
          </cell>
          <cell r="F2678" t="str">
            <v>CALLE 182  45  24</v>
          </cell>
          <cell r="G2678">
            <v>11001</v>
          </cell>
        </row>
        <row r="2679">
          <cell r="A2679" t="str">
            <v>900679548</v>
          </cell>
          <cell r="B2679" t="str">
            <v>3</v>
          </cell>
          <cell r="C2679" t="str">
            <v>EDIFICIO DUPLEX 65 PROPIEDAD HORIZONTAL</v>
          </cell>
          <cell r="D2679" t="str">
            <v>5410173</v>
          </cell>
          <cell r="E2679" t="str">
            <v>edificioduplex65@outlook.es</v>
          </cell>
          <cell r="F2679" t="str">
            <v>CALLE 65  2  28</v>
          </cell>
          <cell r="G2679">
            <v>11001</v>
          </cell>
        </row>
        <row r="2680">
          <cell r="A2680" t="str">
            <v>900680368</v>
          </cell>
          <cell r="B2680" t="str">
            <v>6</v>
          </cell>
          <cell r="C2680" t="str">
            <v>EDIFICIO RESERVA DE CADAQUES - PROPIEDAD HORIZONTAL</v>
          </cell>
          <cell r="D2680" t="str">
            <v>7722450</v>
          </cell>
          <cell r="E2680" t="str">
            <v>edificiostreet118@gmail.com</v>
          </cell>
          <cell r="F2680" t="str">
            <v>CARRERA 18  118  68</v>
          </cell>
          <cell r="G2680">
            <v>11001</v>
          </cell>
        </row>
        <row r="2681">
          <cell r="A2681" t="str">
            <v>900680368</v>
          </cell>
          <cell r="B2681" t="str">
            <v>6</v>
          </cell>
          <cell r="C2681" t="str">
            <v>EDIFICIO RESERVA DE CADAQUES - PROPIEDAD HORIZONTAL</v>
          </cell>
          <cell r="D2681" t="str">
            <v>7722450</v>
          </cell>
          <cell r="E2681" t="str">
            <v>edificiostreet118@gmail.com</v>
          </cell>
          <cell r="F2681" t="str">
            <v>CARRERA 18  118  68</v>
          </cell>
          <cell r="G2681">
            <v>11001</v>
          </cell>
        </row>
        <row r="2682">
          <cell r="A2682" t="str">
            <v>900680482</v>
          </cell>
          <cell r="B2682" t="str">
            <v>8</v>
          </cell>
          <cell r="C2682" t="str">
            <v>EDIFICIO PONTETRESA - PROPIEDAD HORIZONTAL</v>
          </cell>
          <cell r="D2682" t="str">
            <v>4661832</v>
          </cell>
          <cell r="E2682" t="str">
            <v>edificiopontetresa@hotmail.com</v>
          </cell>
          <cell r="F2682" t="str">
            <v>CALLE 145 A  21  29</v>
          </cell>
          <cell r="G2682">
            <v>11001</v>
          </cell>
        </row>
        <row r="2683">
          <cell r="A2683" t="str">
            <v>900680534</v>
          </cell>
          <cell r="B2683" t="str">
            <v>2</v>
          </cell>
          <cell r="C2683" t="str">
            <v>HENVAL S.A.S</v>
          </cell>
          <cell r="D2683" t="str">
            <v>3851090</v>
          </cell>
          <cell r="E2683" t="str">
            <v>facturacion.henval@gmail.com</v>
          </cell>
          <cell r="F2683" t="str">
            <v>CARRERA 40  6  79</v>
          </cell>
          <cell r="G2683">
            <v>11001</v>
          </cell>
        </row>
        <row r="2684">
          <cell r="A2684" t="str">
            <v>900680595</v>
          </cell>
          <cell r="B2684" t="str">
            <v>1</v>
          </cell>
          <cell r="C2684" t="str">
            <v>PROMOTORA INMOBILIARIA MI CIUDAD S.A.S</v>
          </cell>
          <cell r="D2684" t="str">
            <v>3015563</v>
          </cell>
          <cell r="E2684" t="str">
            <v>Archivo@acierto.com.co</v>
          </cell>
          <cell r="F2684" t="str">
            <v>CALLE 72 SUR N° 34-350 SABANETA</v>
          </cell>
          <cell r="G2684">
            <v>11001</v>
          </cell>
        </row>
        <row r="2685">
          <cell r="A2685" t="str">
            <v>900681878</v>
          </cell>
          <cell r="B2685" t="str">
            <v>5</v>
          </cell>
          <cell r="C2685" t="str">
            <v>EDIFICIO TORRE ALAMEDA - PROPIEDAD HORIZONTAL</v>
          </cell>
          <cell r="D2685" t="str">
            <v>4674216</v>
          </cell>
          <cell r="E2685" t="str">
            <v>edificiotorrealameda@gmail.com</v>
          </cell>
          <cell r="F2685" t="str">
            <v>CARRERA 13 A  91  53</v>
          </cell>
          <cell r="G2685">
            <v>11001</v>
          </cell>
        </row>
        <row r="2686">
          <cell r="A2686" t="str">
            <v>900681878</v>
          </cell>
          <cell r="B2686" t="str">
            <v>5</v>
          </cell>
          <cell r="C2686" t="str">
            <v>EDIFICIO TORRE ALAMEDA - PROPIEDAD HORIZONTAL</v>
          </cell>
          <cell r="D2686" t="str">
            <v>4674216</v>
          </cell>
          <cell r="E2686" t="str">
            <v>edificiotorrealameda@gmail.com</v>
          </cell>
          <cell r="F2686" t="str">
            <v>CARRERA 13 A  91  53</v>
          </cell>
          <cell r="G2686">
            <v>11001</v>
          </cell>
        </row>
        <row r="2687">
          <cell r="A2687" t="str">
            <v>900682822</v>
          </cell>
          <cell r="B2687" t="str">
            <v>8</v>
          </cell>
          <cell r="C2687" t="str">
            <v>CONDOMINIO KANKURUA</v>
          </cell>
          <cell r="D2687" t="str">
            <v>3166940530</v>
          </cell>
          <cell r="E2687" t="str">
            <v>condominiokankurua@gmail.com</v>
          </cell>
          <cell r="F2687" t="str">
            <v>CARRERA 4  114  76</v>
          </cell>
          <cell r="G2687">
            <v>11001</v>
          </cell>
        </row>
        <row r="2688">
          <cell r="A2688" t="str">
            <v>900684652</v>
          </cell>
          <cell r="B2688" t="str">
            <v>1</v>
          </cell>
          <cell r="C2688" t="str">
            <v>EDIFICIO AROLLA PROPIEDAD HORIZONTAL</v>
          </cell>
          <cell r="D2688" t="str">
            <v>3143147982</v>
          </cell>
          <cell r="E2688" t="str">
            <v>facturacion@estiloingenieria.com</v>
          </cell>
          <cell r="F2688" t="str">
            <v>CARRERA 8  127 C  97</v>
          </cell>
          <cell r="G2688">
            <v>11001</v>
          </cell>
        </row>
        <row r="2689">
          <cell r="A2689" t="str">
            <v>900686427</v>
          </cell>
          <cell r="B2689" t="str">
            <v>1</v>
          </cell>
          <cell r="C2689" t="str">
            <v>EL EDIFICIO SANTA PAULA PARK PROPIEDAD HORIZONTAL</v>
          </cell>
          <cell r="D2689" t="str">
            <v>6004819</v>
          </cell>
          <cell r="E2689" t="str">
            <v>admicosmoslimitada@gmail.com</v>
          </cell>
          <cell r="F2689" t="str">
            <v>CARRERA 14 B  110  07</v>
          </cell>
          <cell r="G2689">
            <v>11001</v>
          </cell>
        </row>
        <row r="2690">
          <cell r="A2690" t="str">
            <v>900689584</v>
          </cell>
          <cell r="B2690" t="str">
            <v>1</v>
          </cell>
          <cell r="C2690" t="str">
            <v>EDIFICIO TORRES DE MARSELLA</v>
          </cell>
          <cell r="D2690">
            <v>3219664011</v>
          </cell>
          <cell r="E2690" t="str">
            <v>edificiotorresdemarsella@gmail.com</v>
          </cell>
          <cell r="F2690" t="str">
            <v>CALLE 44  48  12</v>
          </cell>
          <cell r="G2690">
            <v>11001</v>
          </cell>
        </row>
        <row r="2691">
          <cell r="A2691" t="str">
            <v>900691061</v>
          </cell>
          <cell r="B2691" t="str">
            <v>8</v>
          </cell>
          <cell r="C2691" t="str">
            <v>BASE PROPERTY GROUP SAS</v>
          </cell>
          <cell r="D2691" t="str">
            <v>3819619116</v>
          </cell>
          <cell r="E2691" t="str">
            <v>f.electronica_urban165@basepg.co</v>
          </cell>
          <cell r="F2691" t="str">
            <v>CL 81 11 08 P 6</v>
          </cell>
          <cell r="G2691">
            <v>11001</v>
          </cell>
        </row>
        <row r="2692">
          <cell r="A2692" t="str">
            <v>900691061</v>
          </cell>
          <cell r="B2692" t="str">
            <v>8</v>
          </cell>
          <cell r="C2692" t="str">
            <v>BASE PROPERTY GROUP SAS</v>
          </cell>
          <cell r="D2692" t="str">
            <v>3819619116</v>
          </cell>
          <cell r="E2692" t="str">
            <v>f.electronica_urban165@basepg.co</v>
          </cell>
          <cell r="F2692" t="str">
            <v>CL 81 11 08 P 6</v>
          </cell>
          <cell r="G2692">
            <v>11001</v>
          </cell>
        </row>
        <row r="2693">
          <cell r="A2693" t="str">
            <v>900691267</v>
          </cell>
          <cell r="B2693" t="str">
            <v>8</v>
          </cell>
          <cell r="C2693" t="str">
            <v>EDIFICIO ESPARTILLAL PROPIEDAD HORIZONTAL</v>
          </cell>
          <cell r="D2693" t="str">
            <v>2184056</v>
          </cell>
          <cell r="E2693" t="str">
            <v>a.contable@adcolombia.net</v>
          </cell>
          <cell r="F2693" t="str">
            <v>CALLE 126 A  7 C  82  PISO 5</v>
          </cell>
          <cell r="G2693">
            <v>11001</v>
          </cell>
        </row>
        <row r="2694">
          <cell r="A2694" t="str">
            <v>900691272</v>
          </cell>
          <cell r="B2694" t="str">
            <v>5</v>
          </cell>
          <cell r="C2694" t="str">
            <v>EDIFICIO ANTONELLA</v>
          </cell>
          <cell r="D2694" t="str">
            <v>6903020</v>
          </cell>
          <cell r="E2694" t="str">
            <v>marguicantillo@yahoo.com</v>
          </cell>
          <cell r="F2694" t="str">
            <v>CALLE 26  22  218</v>
          </cell>
          <cell r="G2694">
            <v>11001</v>
          </cell>
        </row>
        <row r="2695">
          <cell r="A2695" t="str">
            <v>900691738</v>
          </cell>
          <cell r="B2695" t="str">
            <v>5</v>
          </cell>
          <cell r="C2695" t="str">
            <v>URBANIZACION CAMINOS DE SIRIVANA</v>
          </cell>
          <cell r="D2695" t="str">
            <v>3118962101</v>
          </cell>
          <cell r="E2695" t="str">
            <v>admoncsirivana@gmail.com</v>
          </cell>
          <cell r="F2695" t="str">
            <v>CALLE 16 A  31  128</v>
          </cell>
          <cell r="G2695">
            <v>11001</v>
          </cell>
        </row>
        <row r="2696">
          <cell r="A2696" t="str">
            <v>900692196</v>
          </cell>
          <cell r="B2696" t="str">
            <v>8</v>
          </cell>
          <cell r="C2696" t="str">
            <v>EDIFICIO RESIDENCIAL MIRADOR DE LAS VEGAS PH</v>
          </cell>
          <cell r="D2696">
            <v>3219664011</v>
          </cell>
          <cell r="E2696" t="str">
            <v>miradordelasvegasph@gmail.com</v>
          </cell>
          <cell r="F2696" t="str">
            <v>CALLE 74 SUR  46 E  78</v>
          </cell>
          <cell r="G2696">
            <v>11001</v>
          </cell>
        </row>
        <row r="2697">
          <cell r="A2697" t="str">
            <v>900694108</v>
          </cell>
          <cell r="B2697" t="str">
            <v>9</v>
          </cell>
          <cell r="C2697" t="str">
            <v>GRUPO SLAM SAS</v>
          </cell>
          <cell r="D2697" t="str">
            <v>6396000</v>
          </cell>
          <cell r="E2697" t="str">
            <v>facturacion@hgiairportbogota.com</v>
          </cell>
          <cell r="F2697" t="str">
            <v>CARRERA 7  67  02  APARTAMENTO 504</v>
          </cell>
          <cell r="G2697">
            <v>11001</v>
          </cell>
        </row>
        <row r="2698">
          <cell r="A2698" t="str">
            <v>900694446</v>
          </cell>
          <cell r="B2698" t="str">
            <v>3</v>
          </cell>
          <cell r="C2698" t="str">
            <v>EDIFICIO MIRAROSALES PROPIEDAD HORIZONTAL</v>
          </cell>
          <cell r="D2698" t="str">
            <v>3208901680</v>
          </cell>
          <cell r="E2698" t="str">
            <v>admon.mirarosales@adminsa.com.co</v>
          </cell>
          <cell r="F2698" t="str">
            <v>CARRERA 1  78  24</v>
          </cell>
          <cell r="G2698">
            <v>11001</v>
          </cell>
        </row>
        <row r="2699">
          <cell r="A2699" t="str">
            <v>900695195</v>
          </cell>
          <cell r="B2699" t="str">
            <v>4</v>
          </cell>
          <cell r="C2699" t="str">
            <v>PRANHA URBANO S.A.S.</v>
          </cell>
          <cell r="D2699" t="str">
            <v>3147917023</v>
          </cell>
          <cell r="E2699" t="str">
            <v>900695195@recepciondefacturas.co</v>
          </cell>
          <cell r="F2699" t="str">
            <v>CARRERA 23 C  62  06  OFICINA 901</v>
          </cell>
          <cell r="G2699">
            <v>11001</v>
          </cell>
        </row>
        <row r="2700">
          <cell r="A2700" t="str">
            <v>900695212</v>
          </cell>
          <cell r="B2700" t="str">
            <v>1</v>
          </cell>
          <cell r="C2700" t="str">
            <v>CONSTRUYE ESPINOSA S.A.S.</v>
          </cell>
          <cell r="D2700" t="str">
            <v>5972542</v>
          </cell>
          <cell r="E2700" t="str">
            <v>construyeespinosasas@gmail.com</v>
          </cell>
          <cell r="F2700" t="str">
            <v>CC VENTURA PLAZA - CENTRO DE NEGOCIOS OF 3 113</v>
          </cell>
          <cell r="G2700">
            <v>11001</v>
          </cell>
        </row>
        <row r="2701">
          <cell r="A2701" t="str">
            <v>900695749</v>
          </cell>
          <cell r="B2701" t="str">
            <v>4</v>
          </cell>
          <cell r="C2701" t="str">
            <v>PROMOTORA RUMIE CAÑATE S.A.S.</v>
          </cell>
          <cell r="D2701" t="str">
            <v>3008031456</v>
          </cell>
          <cell r="E2701" t="str">
            <v>yerlisolascoaga@gmail.com</v>
          </cell>
          <cell r="F2701" t="str">
            <v>URBANIZACION SAN JUAN BLOQUE 9 APARTAMENTO 5 C</v>
          </cell>
          <cell r="G2701">
            <v>11001</v>
          </cell>
        </row>
        <row r="2702">
          <cell r="A2702" t="str">
            <v>900698093</v>
          </cell>
          <cell r="B2702" t="str">
            <v>5</v>
          </cell>
          <cell r="C2702" t="str">
            <v>EDIFICIO CEDRO-VITA - PROPIEDAD HORIZONTAL</v>
          </cell>
          <cell r="D2702" t="str">
            <v>2680231</v>
          </cell>
          <cell r="E2702" t="str">
            <v>cedrovitaconsejo@gmail.com</v>
          </cell>
          <cell r="F2702" t="str">
            <v>CALLE 143  17  35</v>
          </cell>
          <cell r="G2702">
            <v>11001</v>
          </cell>
        </row>
        <row r="2703">
          <cell r="A2703" t="str">
            <v>900698474</v>
          </cell>
          <cell r="B2703" t="str">
            <v>8</v>
          </cell>
          <cell r="C2703" t="str">
            <v>HOTELES DE LA ANTIGUA SOCIEDAD POR ACCIONES SIMPLIFICADA</v>
          </cell>
          <cell r="D2703">
            <v>3219664011</v>
          </cell>
          <cell r="E2703" t="str">
            <v>contabilidad.bastion@ghlhoteles.com</v>
          </cell>
          <cell r="F2703" t="str">
            <v>CALLE SARGENTO MAYOR 6-87</v>
          </cell>
          <cell r="G2703">
            <v>11001</v>
          </cell>
        </row>
        <row r="2704">
          <cell r="A2704" t="str">
            <v>900699454</v>
          </cell>
          <cell r="B2704" t="str">
            <v>5</v>
          </cell>
          <cell r="C2704" t="str">
            <v>EDIFICIO TULIPANES</v>
          </cell>
          <cell r="D2704" t="str">
            <v>3177192842</v>
          </cell>
          <cell r="E2704" t="str">
            <v>edificiotulipanes@hotmail.com</v>
          </cell>
          <cell r="F2704" t="str">
            <v>CALLE 43  13  55</v>
          </cell>
          <cell r="G2704">
            <v>11001</v>
          </cell>
        </row>
        <row r="2705">
          <cell r="A2705" t="str">
            <v>900700811</v>
          </cell>
          <cell r="B2705" t="str">
            <v>5</v>
          </cell>
          <cell r="C2705" t="str">
            <v>CONJUNTO RESIDENCIAL PROVINCIA DE CASTILLA 2 - PROPIEDAD HORIZONTAL</v>
          </cell>
          <cell r="D2705" t="str">
            <v>7023106</v>
          </cell>
          <cell r="E2705" t="str">
            <v>administrador@provinciadecastilla2.com</v>
          </cell>
          <cell r="F2705" t="str">
            <v>CALLE 11 C  73  82</v>
          </cell>
          <cell r="G2705">
            <v>11001</v>
          </cell>
        </row>
        <row r="2706">
          <cell r="A2706" t="str">
            <v>900703092</v>
          </cell>
          <cell r="B2706" t="str">
            <v>1</v>
          </cell>
          <cell r="C2706" t="str">
            <v>CONDOMINIO BARCELONETA PRIMERA ETAPA</v>
          </cell>
          <cell r="D2706" t="str">
            <v>6437314</v>
          </cell>
          <cell r="E2706" t="str">
            <v>facturasbarcelonetaetapa1@gmail.com</v>
          </cell>
          <cell r="F2706" t="str">
            <v>KILOMETRO 9 ANILLO VIAL SENTIDO CARTAGENA BARRANQUILLA</v>
          </cell>
          <cell r="G2706">
            <v>11001</v>
          </cell>
        </row>
        <row r="2707">
          <cell r="A2707" t="str">
            <v>900703852</v>
          </cell>
          <cell r="B2707" t="str">
            <v>0</v>
          </cell>
          <cell r="C2707" t="str">
            <v>EDIFICIO MIRADOR DE SANTA COLOMA - PROPIEDAD HORIZONTAL</v>
          </cell>
          <cell r="D2707" t="str">
            <v>6267976</v>
          </cell>
          <cell r="E2707" t="str">
            <v>miradorstacoloma@gmail.com</v>
          </cell>
          <cell r="F2707" t="str">
            <v>CALLE 134  20  54</v>
          </cell>
          <cell r="G2707">
            <v>11001</v>
          </cell>
        </row>
        <row r="2708">
          <cell r="A2708" t="str">
            <v>900704045</v>
          </cell>
          <cell r="B2708" t="str">
            <v>8</v>
          </cell>
          <cell r="C2708" t="str">
            <v>CONSTRUCTORA SIMBRA SAS</v>
          </cell>
          <cell r="D2708" t="str">
            <v>3104032818</v>
          </cell>
          <cell r="E2708" t="str">
            <v>900704045@recepciondefacturas.co</v>
          </cell>
          <cell r="F2708" t="str">
            <v>CL 80 N 7 215</v>
          </cell>
          <cell r="G2708">
            <v>11001</v>
          </cell>
        </row>
        <row r="2709">
          <cell r="A2709" t="str">
            <v>900704722</v>
          </cell>
          <cell r="B2709" t="str">
            <v>6</v>
          </cell>
          <cell r="C2709" t="str">
            <v>RAMITEX DEL VALLE S.A.S.</v>
          </cell>
          <cell r="D2709" t="str">
            <v>8850138</v>
          </cell>
          <cell r="E2709" t="str">
            <v>ramitexdelvallesas@hotmail.com</v>
          </cell>
          <cell r="F2709" t="str">
            <v>CALLE 16  6  54</v>
          </cell>
          <cell r="G2709">
            <v>11001</v>
          </cell>
        </row>
        <row r="2710">
          <cell r="A2710" t="str">
            <v>900704743</v>
          </cell>
          <cell r="B2710" t="str">
            <v>0</v>
          </cell>
          <cell r="C2710" t="str">
            <v>CONJUNTO RESIDENCIAL CUATRO VIENTOS - ETAPA I TORRE MISTRAL - PROPIEDAD HORIZONTAL</v>
          </cell>
          <cell r="D2710" t="str">
            <v>3798286</v>
          </cell>
          <cell r="E2710" t="str">
            <v>cr.cuatrovientos@gmail.com</v>
          </cell>
          <cell r="F2710" t="str">
            <v>CARRERA 72  13 A  81</v>
          </cell>
          <cell r="G2710">
            <v>11001</v>
          </cell>
        </row>
        <row r="2711">
          <cell r="A2711" t="str">
            <v>900706183</v>
          </cell>
          <cell r="B2711" t="str">
            <v>5</v>
          </cell>
          <cell r="C2711" t="str">
            <v>EDIFICIO ALTAVISTA COUNTRY PROPIEDAD HORIZONTAL</v>
          </cell>
          <cell r="D2711" t="str">
            <v>6330744</v>
          </cell>
          <cell r="E2711" t="str">
            <v>edificioaltavistac@gmail.com</v>
          </cell>
          <cell r="F2711" t="str">
            <v>CARRERA 13  138  41</v>
          </cell>
          <cell r="G2711">
            <v>11001</v>
          </cell>
        </row>
        <row r="2712">
          <cell r="A2712" t="str">
            <v>900706240</v>
          </cell>
          <cell r="B2712" t="str">
            <v>7</v>
          </cell>
          <cell r="C2712" t="str">
            <v>EDIFICIO ALCAZAR DEL RIO II - PROPIEDAD HORIZONTAL</v>
          </cell>
          <cell r="D2712" t="str">
            <v>3208094745</v>
          </cell>
          <cell r="E2712" t="str">
            <v>alcazardelrio2@gmail.com</v>
          </cell>
          <cell r="F2712" t="str">
            <v>CARRERA 8 H  166  51</v>
          </cell>
          <cell r="G2712">
            <v>11001</v>
          </cell>
        </row>
        <row r="2713">
          <cell r="A2713" t="str">
            <v>900708367</v>
          </cell>
          <cell r="B2713" t="str">
            <v>2</v>
          </cell>
          <cell r="C2713" t="str">
            <v>CONJUNTO RESIDENCIAL PALMAS DE LA FRONTERA ETAPA I PROPIEDAD HORIZONTAL</v>
          </cell>
          <cell r="D2713" t="str">
            <v>6311431</v>
          </cell>
          <cell r="E2713" t="str">
            <v>palmasdelafrontera2018@hotmail.com</v>
          </cell>
          <cell r="F2713" t="str">
            <v>CARRERA 22  110  36</v>
          </cell>
          <cell r="G2713">
            <v>11001</v>
          </cell>
        </row>
        <row r="2714">
          <cell r="A2714" t="str">
            <v>900712828</v>
          </cell>
          <cell r="B2714" t="str">
            <v>1</v>
          </cell>
          <cell r="C2714" t="str">
            <v>CONJUNTO SIERRA VERDE PH ETAPA I</v>
          </cell>
          <cell r="D2714" t="str">
            <v>3655116</v>
          </cell>
          <cell r="E2714" t="str">
            <v>sierraverdeph@gmail.com</v>
          </cell>
          <cell r="F2714" t="str">
            <v>CALLE 5  4  211</v>
          </cell>
          <cell r="G2714">
            <v>11001</v>
          </cell>
        </row>
        <row r="2715">
          <cell r="A2715" t="str">
            <v>900712943</v>
          </cell>
          <cell r="B2715" t="str">
            <v>0</v>
          </cell>
          <cell r="C2715" t="str">
            <v>EDIFICIO LIFE 125 PROPIEDAD HORIZONTAL</v>
          </cell>
          <cell r="D2715" t="str">
            <v>3168344585</v>
          </cell>
          <cell r="E2715" t="str">
            <v>edificiolife125ph@gmail.com</v>
          </cell>
          <cell r="F2715" t="str">
            <v>CALLE 125  18  28</v>
          </cell>
          <cell r="G2715">
            <v>11001</v>
          </cell>
        </row>
        <row r="2716">
          <cell r="A2716" t="str">
            <v>900712943</v>
          </cell>
          <cell r="B2716" t="str">
            <v>0</v>
          </cell>
          <cell r="C2716" t="str">
            <v>EDIFICIO LIFE 125 PROPIEDAD HORIZONTAL</v>
          </cell>
          <cell r="D2716" t="str">
            <v>3168344585</v>
          </cell>
          <cell r="E2716" t="str">
            <v>edificiolife125ph@gmail.com</v>
          </cell>
          <cell r="F2716" t="str">
            <v>CALLE 125  18  28</v>
          </cell>
          <cell r="G2716">
            <v>11001</v>
          </cell>
        </row>
        <row r="2717">
          <cell r="A2717" t="str">
            <v>900714238</v>
          </cell>
          <cell r="B2717" t="str">
            <v>5</v>
          </cell>
          <cell r="C2717" t="str">
            <v>EDIFICIO EL SAMAN - PROPIEDAD HORIZONTAL</v>
          </cell>
          <cell r="D2717" t="str">
            <v>3012248901</v>
          </cell>
          <cell r="E2717" t="str">
            <v>edificioelsamancali@gmail.com</v>
          </cell>
          <cell r="F2717" t="str">
            <v>CARRERA 85 C  20  18</v>
          </cell>
          <cell r="G2717">
            <v>11001</v>
          </cell>
        </row>
        <row r="2718">
          <cell r="A2718" t="str">
            <v>900716134</v>
          </cell>
          <cell r="B2718" t="str">
            <v>7</v>
          </cell>
          <cell r="C2718" t="str">
            <v>CONJUNTO RESIDENCIAL SANTA MARIA DE LOS VIENTOS - PROPIEDAD HORIZONTAL</v>
          </cell>
          <cell r="D2718" t="str">
            <v>6658385</v>
          </cell>
          <cell r="E2718" t="str">
            <v>csantamariadelosvientos@gmail.com</v>
          </cell>
          <cell r="F2718" t="str">
            <v>AVENIDA 5 B  58 NORTE  67</v>
          </cell>
          <cell r="G2718">
            <v>11001</v>
          </cell>
        </row>
        <row r="2719">
          <cell r="A2719" t="str">
            <v>900716499</v>
          </cell>
          <cell r="B2719" t="str">
            <v>1</v>
          </cell>
          <cell r="C2719" t="str">
            <v>CONJUNTO RESIDENCIAL MIRAMONT I CLUB RESIDENCIAL ETAPA I P.H.</v>
          </cell>
          <cell r="D2719" t="str">
            <v>5165483</v>
          </cell>
          <cell r="E2719" t="str">
            <v>miramontclubresidencial@gmail.com</v>
          </cell>
          <cell r="F2719" t="str">
            <v>CARRERA 8  167 D  62</v>
          </cell>
          <cell r="G2719">
            <v>11001</v>
          </cell>
        </row>
        <row r="2720">
          <cell r="A2720" t="str">
            <v>900716499</v>
          </cell>
          <cell r="B2720" t="str">
            <v>1</v>
          </cell>
          <cell r="C2720" t="str">
            <v>CONJUNTO RESIDENCIAL MIRAMONT I CLUB RESIDENCIAL ETAPA I P.H.</v>
          </cell>
          <cell r="D2720" t="str">
            <v>5165483</v>
          </cell>
          <cell r="E2720" t="str">
            <v>miramontclubresidencial@gmail.com</v>
          </cell>
          <cell r="F2720" t="str">
            <v>CARRERA 8  167 D  62</v>
          </cell>
          <cell r="G2720">
            <v>11001</v>
          </cell>
        </row>
        <row r="2721">
          <cell r="A2721" t="str">
            <v>900718137</v>
          </cell>
          <cell r="B2721" t="str">
            <v>8</v>
          </cell>
          <cell r="C2721" t="str">
            <v>HOTEL ARTISAN CALLE 72 S.A.S</v>
          </cell>
          <cell r="D2721" t="str">
            <v>4824202</v>
          </cell>
          <cell r="E2721" t="str">
            <v>factartisan@oxohotel.com</v>
          </cell>
          <cell r="F2721" t="str">
            <v>CALLE 71 A  5  51</v>
          </cell>
          <cell r="G2721">
            <v>11001</v>
          </cell>
        </row>
        <row r="2722">
          <cell r="A2722" t="str">
            <v>900720537</v>
          </cell>
          <cell r="B2722" t="str">
            <v>7</v>
          </cell>
          <cell r="C2722" t="str">
            <v>EDIFICIO PALMAVELA</v>
          </cell>
          <cell r="D2722" t="str">
            <v>3450690</v>
          </cell>
          <cell r="E2722" t="str">
            <v>admonpalmavela@gmail.com</v>
          </cell>
          <cell r="F2722" t="str">
            <v>CARRERA 42  76  189</v>
          </cell>
          <cell r="G2722">
            <v>11001</v>
          </cell>
        </row>
        <row r="2723">
          <cell r="A2723" t="str">
            <v>900720719</v>
          </cell>
          <cell r="B2723" t="str">
            <v>0</v>
          </cell>
          <cell r="C2723" t="str">
            <v>EDIFICIO SIENA - PROPIEDAD HORIZONTAL</v>
          </cell>
          <cell r="D2723" t="str">
            <v>3177258689</v>
          </cell>
          <cell r="E2723" t="str">
            <v>sienaarmenia.ph@gmail.com</v>
          </cell>
          <cell r="F2723" t="str">
            <v>AVENIDA 19  32 N  100</v>
          </cell>
          <cell r="G2723">
            <v>11001</v>
          </cell>
        </row>
        <row r="2724">
          <cell r="A2724" t="str">
            <v>900720751</v>
          </cell>
          <cell r="B2724" t="str">
            <v>7</v>
          </cell>
          <cell r="C2724" t="str">
            <v>CONJUNTO RESIDENCIAL MADEROS DEL CAMPO 3 P.H.</v>
          </cell>
          <cell r="D2724" t="str">
            <v>5555555</v>
          </cell>
          <cell r="E2724" t="str">
            <v>maderos3ph@gmail.com</v>
          </cell>
          <cell r="F2724" t="str">
            <v>CARRERA 39  77 SUR  84</v>
          </cell>
          <cell r="G2724">
            <v>11001</v>
          </cell>
        </row>
        <row r="2725">
          <cell r="A2725" t="str">
            <v>900721895</v>
          </cell>
          <cell r="B2725" t="str">
            <v>3</v>
          </cell>
          <cell r="C2725" t="str">
            <v>CONJUNTO RESIDENCIAL PLAZA CASTILLA PROPIEDAD HORIZONTAL</v>
          </cell>
          <cell r="D2725" t="str">
            <v>3112545883</v>
          </cell>
          <cell r="E2725" t="str">
            <v>conjuntoplazacastillaadmon@gmail.com</v>
          </cell>
          <cell r="F2725" t="str">
            <v>CALLE 10  80 F  40</v>
          </cell>
          <cell r="G2725">
            <v>11001</v>
          </cell>
        </row>
        <row r="2726">
          <cell r="A2726" t="str">
            <v>900721895</v>
          </cell>
          <cell r="B2726" t="str">
            <v>3</v>
          </cell>
          <cell r="C2726" t="str">
            <v>CONJUNTO RESIDENCIAL PLAZA CASTILLA PROPIEDAD HORIZONTAL</v>
          </cell>
          <cell r="D2726" t="str">
            <v>3112545883</v>
          </cell>
          <cell r="E2726" t="str">
            <v>conjuntoplazacastillaadmon@gmail.com</v>
          </cell>
          <cell r="F2726" t="str">
            <v>CALLE 10  80 F  40</v>
          </cell>
          <cell r="G2726">
            <v>11001</v>
          </cell>
        </row>
        <row r="2727">
          <cell r="A2727" t="str">
            <v>900722301</v>
          </cell>
          <cell r="B2727" t="str">
            <v>5</v>
          </cell>
          <cell r="C2727" t="str">
            <v>CONJUNTO RESIDENCIAL CERATTO EPATA I - PROPIEDAD HORIZONTAL</v>
          </cell>
          <cell r="D2727" t="str">
            <v>3015466459</v>
          </cell>
          <cell r="E2727" t="str">
            <v>facturacion@ceratto.com.co</v>
          </cell>
          <cell r="F2727" t="str">
            <v>CARRERA 37 A  29  56</v>
          </cell>
          <cell r="G2727">
            <v>11001</v>
          </cell>
        </row>
        <row r="2728">
          <cell r="A2728" t="str">
            <v>900722394</v>
          </cell>
          <cell r="B2728" t="str">
            <v>1</v>
          </cell>
          <cell r="C2728" t="str">
            <v>CONJUNTO RESIDENCIAL REFUGIO DE LOS SAMANES - PROPIEDAD HORIZONTAL</v>
          </cell>
          <cell r="D2728" t="str">
            <v>3988407</v>
          </cell>
          <cell r="E2728" t="str">
            <v>admonrefugiodelossamanes@gmail.com</v>
          </cell>
          <cell r="F2728" t="str">
            <v>CARRERA 63 A  3 C  76</v>
          </cell>
          <cell r="G2728">
            <v>11001</v>
          </cell>
        </row>
        <row r="2729">
          <cell r="A2729" t="str">
            <v>900722746</v>
          </cell>
          <cell r="B2729" t="str">
            <v>9</v>
          </cell>
          <cell r="C2729" t="str">
            <v>EDIFICIO TWINS VILLAGE PROPIEDAD HORIZONTAL</v>
          </cell>
          <cell r="D2729" t="str">
            <v>2104466</v>
          </cell>
          <cell r="E2729" t="str">
            <v>admon.twinsvillage@gmail.com</v>
          </cell>
          <cell r="F2729" t="str">
            <v>CARRERA 15 B  112  49</v>
          </cell>
          <cell r="G2729">
            <v>11001</v>
          </cell>
        </row>
        <row r="2730">
          <cell r="A2730" t="str">
            <v>900722746</v>
          </cell>
          <cell r="B2730" t="str">
            <v>9</v>
          </cell>
          <cell r="C2730" t="str">
            <v>EDIFICIO TWINS VILLAGE PROPIEDAD HORIZONTAL</v>
          </cell>
          <cell r="D2730" t="str">
            <v>2104466</v>
          </cell>
          <cell r="E2730" t="str">
            <v>admon.twinsvillage@gmail.com</v>
          </cell>
          <cell r="F2730" t="str">
            <v>CARRERA 15 B  112  49</v>
          </cell>
          <cell r="G2730">
            <v>11001</v>
          </cell>
        </row>
        <row r="2731">
          <cell r="A2731" t="str">
            <v>900723732</v>
          </cell>
          <cell r="B2731" t="str">
            <v>0</v>
          </cell>
          <cell r="C2731" t="str">
            <v>CONJUNTO RESIDENCIAL TINIGUA - PROPIEDAD HORIZONTAL</v>
          </cell>
          <cell r="D2731" t="str">
            <v>4053142</v>
          </cell>
          <cell r="E2731" t="str">
            <v>crtinigua@hotmail.com</v>
          </cell>
          <cell r="F2731" t="str">
            <v>CR 96 48 53 BRR VALLE DE LILI</v>
          </cell>
          <cell r="G2731">
            <v>11001</v>
          </cell>
        </row>
        <row r="2732">
          <cell r="A2732" t="str">
            <v>900724292</v>
          </cell>
          <cell r="B2732" t="str">
            <v>6</v>
          </cell>
          <cell r="C2732" t="str">
            <v>CONJUNTO RESIDENCIAL CIPRES DE LA ARBOLEDA PROPIEDAD HORIZONTAL</v>
          </cell>
          <cell r="D2732">
            <v>3219664011</v>
          </cell>
          <cell r="E2732" t="str">
            <v>cipresunificadoph@hotmail.com</v>
          </cell>
          <cell r="F2732" t="str">
            <v>CALLE 22 A  50  49</v>
          </cell>
          <cell r="G2732">
            <v>11001</v>
          </cell>
        </row>
        <row r="2733">
          <cell r="A2733" t="str">
            <v>900724292</v>
          </cell>
          <cell r="B2733" t="str">
            <v>6</v>
          </cell>
          <cell r="C2733" t="str">
            <v>CONJUNTO RESIDENCIAL CIPRES DE LA ARBOLEDA PROPIEDAD HORIZONTAL</v>
          </cell>
          <cell r="D2733">
            <v>3219664011</v>
          </cell>
          <cell r="E2733" t="str">
            <v>cipresunificadoph@hotmail.com</v>
          </cell>
          <cell r="F2733" t="str">
            <v>CALLE 22 A  50  49</v>
          </cell>
          <cell r="G2733">
            <v>11001</v>
          </cell>
        </row>
        <row r="2734">
          <cell r="A2734" t="str">
            <v>900725058</v>
          </cell>
          <cell r="B2734" t="str">
            <v>3</v>
          </cell>
          <cell r="C2734" t="str">
            <v>EDIFICIO CAYENA PROPIEDAD HORIZONTAL</v>
          </cell>
          <cell r="D2734" t="str">
            <v>3158921599</v>
          </cell>
          <cell r="E2734" t="str">
            <v>edificiocayena@hotmail.com</v>
          </cell>
          <cell r="F2734" t="str">
            <v>CALLE 104 B  57  35</v>
          </cell>
          <cell r="G2734">
            <v>11001</v>
          </cell>
        </row>
        <row r="2735">
          <cell r="A2735" t="str">
            <v>900726358</v>
          </cell>
          <cell r="B2735" t="str">
            <v>2</v>
          </cell>
          <cell r="C2735" t="str">
            <v>CONJUNTO RESIDENCIAL TRIBECA 169 ETAPA 1 - PROPIEDAD HORIZONTAL</v>
          </cell>
          <cell r="D2735" t="str">
            <v>3115800448</v>
          </cell>
          <cell r="E2735" t="str">
            <v>facturacion@estiloingenieria.com</v>
          </cell>
          <cell r="F2735" t="str">
            <v>CALLE 169 A  62  87</v>
          </cell>
          <cell r="G2735">
            <v>11001</v>
          </cell>
        </row>
        <row r="2736">
          <cell r="A2736" t="str">
            <v>900726399</v>
          </cell>
          <cell r="B2736" t="str">
            <v>4</v>
          </cell>
          <cell r="C2736" t="str">
            <v>EDIFICIO PARQUE RESIDENCIAL TORRE CRISTAL APARTAMENTOS</v>
          </cell>
          <cell r="D2736" t="str">
            <v>7316948</v>
          </cell>
          <cell r="E2736" t="str">
            <v>Admontorrecristal@gmail.com</v>
          </cell>
          <cell r="F2736" t="str">
            <v>CARRERA 11  9 A  14</v>
          </cell>
          <cell r="G2736">
            <v>11001</v>
          </cell>
        </row>
        <row r="2737">
          <cell r="A2737" t="str">
            <v>900727614</v>
          </cell>
          <cell r="B2737" t="str">
            <v>8</v>
          </cell>
          <cell r="C2737" t="str">
            <v>URBANIZACION MOSTAZA P.H.</v>
          </cell>
          <cell r="D2737" t="str">
            <v>3128246567</v>
          </cell>
          <cell r="E2737" t="str">
            <v>mostaza.ph@gmail.com</v>
          </cell>
          <cell r="F2737" t="str">
            <v>CARRERA 41  57 SUR  53</v>
          </cell>
          <cell r="G2737">
            <v>11001</v>
          </cell>
        </row>
        <row r="2738">
          <cell r="A2738" t="str">
            <v>900727946</v>
          </cell>
          <cell r="B2738" t="str">
            <v>8</v>
          </cell>
          <cell r="C2738" t="str">
            <v>EDIFICIO TERRAKOTA PROPIEDAD HORIZONTAL</v>
          </cell>
          <cell r="D2738" t="str">
            <v>4588794</v>
          </cell>
          <cell r="E2738" t="str">
            <v>terrakotaph@gmail.com</v>
          </cell>
          <cell r="F2738" t="str">
            <v>CALLE 145 A  12 A  09</v>
          </cell>
          <cell r="G2738">
            <v>11001</v>
          </cell>
        </row>
        <row r="2739">
          <cell r="A2739" t="str">
            <v>900729206</v>
          </cell>
          <cell r="B2739" t="str">
            <v>5</v>
          </cell>
          <cell r="C2739" t="str">
            <v>EDIFICIO PARQUE 97 - PROPIEDAD HORIZONTAL</v>
          </cell>
          <cell r="D2739" t="str">
            <v>6372954</v>
          </cell>
          <cell r="E2739" t="str">
            <v>contabilidadumana@gmail.com</v>
          </cell>
          <cell r="F2739" t="str">
            <v>CARRERA 9 A  97  46</v>
          </cell>
          <cell r="G2739">
            <v>11001</v>
          </cell>
        </row>
        <row r="2740">
          <cell r="A2740" t="str">
            <v>900729728</v>
          </cell>
          <cell r="B2740" t="str">
            <v>8</v>
          </cell>
          <cell r="C2740" t="str">
            <v>EDIFICIO SIENA PROPIEDAD HORIZONTAL</v>
          </cell>
          <cell r="D2740" t="str">
            <v>4758449</v>
          </cell>
          <cell r="E2740" t="str">
            <v>edificiosiena2017@gmail.com</v>
          </cell>
          <cell r="F2740" t="str">
            <v>CARRERA 16  102  51</v>
          </cell>
          <cell r="G2740">
            <v>11001</v>
          </cell>
        </row>
        <row r="2741">
          <cell r="A2741" t="str">
            <v>900730483</v>
          </cell>
          <cell r="B2741" t="str">
            <v>0</v>
          </cell>
          <cell r="C2741" t="str">
            <v>UNIDAD RESIDENCIAL MAKADAMIA</v>
          </cell>
          <cell r="D2741" t="str">
            <v>6798660</v>
          </cell>
          <cell r="E2741" t="str">
            <v>unidadresidencialmakadamia2021@gmail.com</v>
          </cell>
          <cell r="F2741" t="str">
            <v>CARRERA 20  158  40</v>
          </cell>
          <cell r="G2741">
            <v>11001</v>
          </cell>
        </row>
        <row r="2742">
          <cell r="A2742" t="str">
            <v>900732325</v>
          </cell>
          <cell r="B2742" t="str">
            <v>4</v>
          </cell>
          <cell r="C2742" t="str">
            <v>CONJUNTO RESIDENCIAL TORRES DE ALEJANDRIA</v>
          </cell>
          <cell r="D2742" t="str">
            <v>8762033</v>
          </cell>
          <cell r="E2742" t="str">
            <v>torresalejandrianeiva@gmail.com</v>
          </cell>
          <cell r="F2742" t="str">
            <v>CARRERA 50  27 C  01</v>
          </cell>
          <cell r="G2742">
            <v>11001</v>
          </cell>
        </row>
        <row r="2743">
          <cell r="A2743" t="str">
            <v>900732551</v>
          </cell>
          <cell r="B2743" t="str">
            <v>2</v>
          </cell>
          <cell r="C2743" t="str">
            <v>CONJUNTO RESIDENCIAL TRILOGIA PROPIEDAD HORIZONTAL</v>
          </cell>
          <cell r="D2743" t="str">
            <v>3216345</v>
          </cell>
          <cell r="E2743" t="str">
            <v>trilogiaph@gmail.com</v>
          </cell>
          <cell r="F2743" t="str">
            <v>CARRERA 23  14  148</v>
          </cell>
          <cell r="G2743">
            <v>11001</v>
          </cell>
        </row>
        <row r="2744">
          <cell r="A2744" t="str">
            <v>900733397</v>
          </cell>
          <cell r="B2744" t="str">
            <v>9</v>
          </cell>
          <cell r="C2744" t="str">
            <v>INVERSIONES ZB S A S</v>
          </cell>
          <cell r="D2744" t="str">
            <v>4884458</v>
          </cell>
          <cell r="E2744" t="str">
            <v>contabilidadzbsas@gmail.com</v>
          </cell>
          <cell r="F2744" t="str">
            <v>CARRERA 13  12  07  OFICINA 305</v>
          </cell>
          <cell r="G2744">
            <v>11001</v>
          </cell>
        </row>
        <row r="2745">
          <cell r="A2745" t="str">
            <v>900733526</v>
          </cell>
          <cell r="B2745" t="str">
            <v>2</v>
          </cell>
          <cell r="C2745" t="str">
            <v>EDIFICIO NUEVO PORTAL PROPIEDAD HORIZONTAL</v>
          </cell>
          <cell r="D2745" t="str">
            <v>5705703</v>
          </cell>
          <cell r="E2745" t="str">
            <v>edilma.carmona@outlook.com</v>
          </cell>
          <cell r="F2745" t="str">
            <v>CALLE 49 D  86  35</v>
          </cell>
          <cell r="G2745">
            <v>11001</v>
          </cell>
        </row>
        <row r="2746">
          <cell r="A2746" t="str">
            <v>900733612</v>
          </cell>
          <cell r="B2746" t="str">
            <v>8</v>
          </cell>
          <cell r="C2746" t="str">
            <v>EDIFICIO MONTECLARO PROPIEDAD HORIZONTAL</v>
          </cell>
          <cell r="D2746" t="str">
            <v>4118689</v>
          </cell>
          <cell r="E2746" t="str">
            <v>edificiomonteclaroph@gmail.com</v>
          </cell>
          <cell r="F2746" t="str">
            <v>CARRERA 73 C  74  247</v>
          </cell>
          <cell r="G2746">
            <v>11001</v>
          </cell>
        </row>
        <row r="2747">
          <cell r="A2747" t="str">
            <v>900734432</v>
          </cell>
          <cell r="B2747" t="str">
            <v>3</v>
          </cell>
          <cell r="C2747" t="str">
            <v>EDIFICIO GALICIA - PROPIEDAD HORIZONTAL</v>
          </cell>
          <cell r="D2747" t="str">
            <v>6204060</v>
          </cell>
          <cell r="E2747" t="str">
            <v>contabilidadmmotta@gmail.com</v>
          </cell>
          <cell r="F2747" t="str">
            <v>CARRERA 17 A  105  43</v>
          </cell>
          <cell r="G2747">
            <v>11001</v>
          </cell>
        </row>
        <row r="2748">
          <cell r="A2748" t="str">
            <v>900734574</v>
          </cell>
          <cell r="B2748" t="str">
            <v>0</v>
          </cell>
          <cell r="C2748" t="str">
            <v>CENTRO COMERCIAL DIVEREXPRESS ETAPA 3 PROPIEDAD HORIZONTAL</v>
          </cell>
          <cell r="D2748" t="str">
            <v>3162063198</v>
          </cell>
          <cell r="E2748" t="str">
            <v>qt+900734574@recepcion.qenta.app</v>
          </cell>
          <cell r="F2748" t="str">
            <v>CALLE 71 B  100  11</v>
          </cell>
          <cell r="G2748">
            <v>11001</v>
          </cell>
        </row>
        <row r="2749">
          <cell r="A2749" t="str">
            <v>900734574</v>
          </cell>
          <cell r="B2749" t="str">
            <v>0</v>
          </cell>
          <cell r="C2749" t="str">
            <v>CENTRO COMERCIAL DIVEREXPRESS ETAPA 3 PROPIEDAD HORIZONTAL</v>
          </cell>
          <cell r="D2749" t="str">
            <v>3162063198</v>
          </cell>
          <cell r="E2749" t="str">
            <v>qt+900734574@recepcion.qenta.app</v>
          </cell>
          <cell r="F2749" t="str">
            <v>CALLE 71 B  100  11</v>
          </cell>
          <cell r="G2749">
            <v>11001</v>
          </cell>
        </row>
        <row r="2750">
          <cell r="A2750" t="str">
            <v>900736391</v>
          </cell>
          <cell r="B2750" t="str">
            <v>9</v>
          </cell>
          <cell r="C2750" t="str">
            <v>TORRE 8 CORVILAR COMUNEROS</v>
          </cell>
          <cell r="D2750" t="str">
            <v>6718985</v>
          </cell>
          <cell r="E2750" t="str">
            <v>edificiotorre8@gmail.com</v>
          </cell>
          <cell r="F2750" t="str">
            <v>CARRERA 17  8  26</v>
          </cell>
          <cell r="G2750">
            <v>11001</v>
          </cell>
        </row>
        <row r="2751">
          <cell r="A2751" t="str">
            <v>900739470</v>
          </cell>
          <cell r="B2751" t="str">
            <v>6</v>
          </cell>
          <cell r="C2751" t="str">
            <v>G KOI S.A.S.</v>
          </cell>
          <cell r="D2751" t="str">
            <v>3 1 0 2 7 3 1 3 5 3</v>
          </cell>
          <cell r="E2751" t="str">
            <v>fe@grupokoi.co</v>
          </cell>
          <cell r="F2751" t="str">
            <v>CL 49 27 A 65 P 7 ED KBC</v>
          </cell>
          <cell r="G2751">
            <v>11001</v>
          </cell>
        </row>
        <row r="2752">
          <cell r="A2752" t="str">
            <v>900740296</v>
          </cell>
          <cell r="B2752" t="str">
            <v>2</v>
          </cell>
          <cell r="C2752" t="str">
            <v>EDIFICIO MIRADOR DEL CEDRO PROPIEDAD HORIZONTAL</v>
          </cell>
          <cell r="D2752" t="str">
            <v>3924010</v>
          </cell>
          <cell r="E2752" t="str">
            <v>admonmirador142@gmail.com</v>
          </cell>
          <cell r="F2752" t="str">
            <v>CALLE 142  15  08</v>
          </cell>
          <cell r="G2752">
            <v>11001</v>
          </cell>
        </row>
        <row r="2753">
          <cell r="A2753" t="str">
            <v>900740669</v>
          </cell>
          <cell r="B2753" t="str">
            <v>6</v>
          </cell>
          <cell r="C2753" t="str">
            <v>CONJUNTO RESIDENCIAL OASIS DE MARDEL</v>
          </cell>
          <cell r="D2753" t="str">
            <v>6412342</v>
          </cell>
          <cell r="E2753" t="str">
            <v>oasisdemardel@hotmail.com</v>
          </cell>
          <cell r="F2753" t="str">
            <v>DIAGONAL 13  60  52</v>
          </cell>
          <cell r="G2753">
            <v>11001</v>
          </cell>
        </row>
        <row r="2754">
          <cell r="A2754" t="str">
            <v>900741587</v>
          </cell>
          <cell r="B2754" t="str">
            <v>5</v>
          </cell>
          <cell r="C2754" t="str">
            <v>EDIFICIO CENTRAL PARK</v>
          </cell>
          <cell r="D2754" t="str">
            <v>6577371</v>
          </cell>
          <cell r="E2754" t="str">
            <v>centralpark.admon2021@gmail.com</v>
          </cell>
          <cell r="F2754" t="str">
            <v>CALLE 46  35 A  06</v>
          </cell>
          <cell r="G2754">
            <v>11001</v>
          </cell>
        </row>
        <row r="2755">
          <cell r="A2755" t="str">
            <v>900741849</v>
          </cell>
          <cell r="B2755" t="str">
            <v>1</v>
          </cell>
          <cell r="C2755" t="str">
            <v>EDIFICIO CAMINOS DE COMPOSTELA PROPIEDAD HORIZONTAL</v>
          </cell>
          <cell r="D2755" t="str">
            <v>7589417</v>
          </cell>
          <cell r="E2755" t="str">
            <v>edificiocaminoscompostela@gmail.com</v>
          </cell>
          <cell r="F2755" t="str">
            <v>CARRERA 56  169 A  65</v>
          </cell>
          <cell r="G2755">
            <v>11001</v>
          </cell>
        </row>
        <row r="2756">
          <cell r="A2756" t="str">
            <v>900741849</v>
          </cell>
          <cell r="B2756" t="str">
            <v>1</v>
          </cell>
          <cell r="C2756" t="str">
            <v>EDIFICIO CAMINOS DE COMPOSTELA PROPIEDAD HORIZONTAL</v>
          </cell>
          <cell r="D2756" t="str">
            <v>7589417</v>
          </cell>
          <cell r="E2756" t="str">
            <v>edificiocaminoscompostela@gmail.com</v>
          </cell>
          <cell r="F2756" t="str">
            <v>CARRERA 56  169 A  65</v>
          </cell>
          <cell r="G2756">
            <v>11001</v>
          </cell>
        </row>
        <row r="2757">
          <cell r="A2757" t="str">
            <v>900744099</v>
          </cell>
          <cell r="B2757" t="str">
            <v>6</v>
          </cell>
          <cell r="C2757" t="str">
            <v>CONJUNTO RESIDENCIAL ALCARAVAN - PROPIEDAD HORIZONTAL</v>
          </cell>
          <cell r="D2757" t="str">
            <v>3503138827</v>
          </cell>
          <cell r="E2757" t="str">
            <v>admonalcaravan1@gmail.com</v>
          </cell>
          <cell r="F2757" t="str">
            <v>CARRERA 12 N 20A-121</v>
          </cell>
          <cell r="G2757">
            <v>11001</v>
          </cell>
        </row>
        <row r="2758">
          <cell r="A2758" t="str">
            <v>900744179</v>
          </cell>
          <cell r="B2758" t="str">
            <v>7</v>
          </cell>
          <cell r="C2758" t="str">
            <v>CAPRIANI 1 APARTAMENTOS - PROPIEDAD HORIZONTAL</v>
          </cell>
          <cell r="D2758" t="str">
            <v>7029234</v>
          </cell>
          <cell r="E2758" t="str">
            <v>capriani1ph@gmail.com</v>
          </cell>
          <cell r="F2758" t="str">
            <v>CR 111 A 148 50</v>
          </cell>
          <cell r="G2758">
            <v>11001</v>
          </cell>
        </row>
        <row r="2759">
          <cell r="A2759" t="str">
            <v>900744179</v>
          </cell>
          <cell r="B2759" t="str">
            <v>7</v>
          </cell>
          <cell r="C2759" t="str">
            <v>CAPRIANI 1 APARTAMENTOS - PROPIEDAD HORIZONTAL</v>
          </cell>
          <cell r="D2759" t="str">
            <v>7029234</v>
          </cell>
          <cell r="E2759" t="str">
            <v>capriani1ph@gmail.com</v>
          </cell>
          <cell r="F2759" t="str">
            <v>CR 111 A 148 50</v>
          </cell>
          <cell r="G2759">
            <v>11001</v>
          </cell>
        </row>
        <row r="2760">
          <cell r="A2760" t="str">
            <v>900744194</v>
          </cell>
          <cell r="B2760" t="str">
            <v>8</v>
          </cell>
          <cell r="C2760" t="str">
            <v>EDIFICIO PALMERAS DE LA BOCHA</v>
          </cell>
          <cell r="D2760" t="str">
            <v>3998772</v>
          </cell>
          <cell r="E2760" t="str">
            <v>palmerasdelabocha@gmail.com</v>
          </cell>
          <cell r="F2760" t="str">
            <v>CARRERA 112  44  21</v>
          </cell>
          <cell r="G2760">
            <v>11001</v>
          </cell>
        </row>
        <row r="2761">
          <cell r="A2761" t="str">
            <v>900745704</v>
          </cell>
          <cell r="B2761" t="str">
            <v>9</v>
          </cell>
          <cell r="C2761" t="str">
            <v>CONJUNTO RESIDENCIAL MADAIRA - PROPIEDAD HORIZONZAL</v>
          </cell>
          <cell r="D2761" t="str">
            <v>5150397</v>
          </cell>
          <cell r="E2761" t="str">
            <v>admonmadaira2022@gmail.com</v>
          </cell>
          <cell r="F2761" t="str">
            <v>CARRERA 14  41  43</v>
          </cell>
          <cell r="G2761">
            <v>11001</v>
          </cell>
        </row>
        <row r="2762">
          <cell r="A2762" t="str">
            <v>900746489</v>
          </cell>
          <cell r="B2762" t="str">
            <v>4</v>
          </cell>
          <cell r="C2762" t="str">
            <v>CONJUNTO RESIDENCIAL VIVA 26-PROPIEDAD HORIZONTAL</v>
          </cell>
          <cell r="D2762" t="str">
            <v>8054087</v>
          </cell>
          <cell r="E2762" t="str">
            <v>conjuntoviva26@gmail.com</v>
          </cell>
          <cell r="F2762" t="str">
            <v>CARRERA 83  25 G  60</v>
          </cell>
          <cell r="G2762">
            <v>11001</v>
          </cell>
        </row>
        <row r="2763">
          <cell r="A2763" t="str">
            <v>900746489</v>
          </cell>
          <cell r="B2763" t="str">
            <v>4</v>
          </cell>
          <cell r="C2763" t="str">
            <v>CONJUNTO RESIDENCIAL VIVA 26-PROPIEDAD HORIZONTAL</v>
          </cell>
          <cell r="D2763" t="str">
            <v>8054087</v>
          </cell>
          <cell r="E2763" t="str">
            <v>conjuntoviva26@gmail.com</v>
          </cell>
          <cell r="F2763" t="str">
            <v>CARRERA 83  25 G  60</v>
          </cell>
          <cell r="G2763">
            <v>11001</v>
          </cell>
        </row>
        <row r="2764">
          <cell r="A2764" t="str">
            <v>900748128</v>
          </cell>
          <cell r="B2764" t="str">
            <v>1</v>
          </cell>
          <cell r="C2764" t="str">
            <v>HOTELES DE LA 53 SOCIEDAD POR ACCIONES SIMPLIFICADA</v>
          </cell>
          <cell r="D2764" t="str">
            <v>3679777</v>
          </cell>
          <cell r="E2764" t="str">
            <v>900748128@factureinbox.co</v>
          </cell>
          <cell r="F2764" t="str">
            <v>CARRERA 53  79  212</v>
          </cell>
          <cell r="G2764">
            <v>11001</v>
          </cell>
        </row>
        <row r="2765">
          <cell r="A2765" t="str">
            <v>900749190</v>
          </cell>
          <cell r="B2765" t="str">
            <v>1</v>
          </cell>
          <cell r="C2765" t="str">
            <v>INVERSIONES CAVANZO GARCIA (IKG) &amp; CIA. S.C.A.</v>
          </cell>
          <cell r="D2765" t="str">
            <v>6435675</v>
          </cell>
          <cell r="E2765" t="str">
            <v>administracion@otacc.com</v>
          </cell>
          <cell r="F2765" t="str">
            <v>CL 49 27 A 34 LC 5</v>
          </cell>
          <cell r="G2765">
            <v>11001</v>
          </cell>
        </row>
        <row r="2766">
          <cell r="A2766" t="str">
            <v>900750163</v>
          </cell>
          <cell r="B2766" t="str">
            <v>4</v>
          </cell>
          <cell r="C2766" t="str">
            <v>EDIFICIO PALMA MAGNA PROPIEDAD HORIZONTAL</v>
          </cell>
          <cell r="D2766" t="str">
            <v>4711124</v>
          </cell>
          <cell r="E2766" t="str">
            <v>facturacion@estiloingenieria.com</v>
          </cell>
          <cell r="F2766" t="str">
            <v>CALLE 114 A  21  74</v>
          </cell>
          <cell r="G2766">
            <v>11001</v>
          </cell>
        </row>
        <row r="2767">
          <cell r="A2767" t="str">
            <v>900750163</v>
          </cell>
          <cell r="B2767" t="str">
            <v>4</v>
          </cell>
          <cell r="C2767" t="str">
            <v>EDIFICIO PALMA MAGNA PROPIEDAD HORIZONTAL</v>
          </cell>
          <cell r="D2767" t="str">
            <v>4711124</v>
          </cell>
          <cell r="E2767" t="str">
            <v>facturacion@estiloingenieria.com</v>
          </cell>
          <cell r="F2767" t="str">
            <v>CALLE 114 A  21  74</v>
          </cell>
          <cell r="G2767">
            <v>11001</v>
          </cell>
        </row>
        <row r="2768">
          <cell r="A2768" t="str">
            <v>900750294</v>
          </cell>
          <cell r="B2768" t="str">
            <v>0</v>
          </cell>
          <cell r="C2768" t="str">
            <v>EDIFICIO BANCO DE BOGOTA</v>
          </cell>
          <cell r="D2768" t="str">
            <v>3168775603</v>
          </cell>
          <cell r="E2768" t="str">
            <v>ed.bancodebogota@gmail.com</v>
          </cell>
          <cell r="F2768" t="str">
            <v>CL 24 3 95</v>
          </cell>
          <cell r="G2768">
            <v>11001</v>
          </cell>
        </row>
        <row r="2769">
          <cell r="A2769" t="str">
            <v>900752661</v>
          </cell>
          <cell r="B2769" t="str">
            <v>1</v>
          </cell>
          <cell r="C2769" t="str">
            <v>EDIFICIO PORTAL DE LA IGLESIA P.H</v>
          </cell>
          <cell r="D2769" t="str">
            <v>3136577820</v>
          </cell>
          <cell r="E2769" t="str">
            <v>limahs0570@gmail.com</v>
          </cell>
          <cell r="F2769" t="str">
            <v>CALLE 33 B SUR  47  06</v>
          </cell>
          <cell r="G2769">
            <v>11001</v>
          </cell>
        </row>
        <row r="2770">
          <cell r="A2770" t="str">
            <v>900753033</v>
          </cell>
          <cell r="B2770" t="str">
            <v>9</v>
          </cell>
          <cell r="C2770" t="str">
            <v>CUCUTA SUITES S A S</v>
          </cell>
          <cell r="D2770" t="str">
            <v>5888007</v>
          </cell>
          <cell r="E2770" t="str">
            <v>tesoreria@csoperador.com</v>
          </cell>
          <cell r="F2770" t="str">
            <v>CL 11A 1 E 132</v>
          </cell>
          <cell r="G2770">
            <v>11001</v>
          </cell>
        </row>
        <row r="2771">
          <cell r="A2771" t="str">
            <v>900754255</v>
          </cell>
          <cell r="B2771" t="str">
            <v>1</v>
          </cell>
          <cell r="C2771" t="str">
            <v>EDIFICIO BUSINESS CENTER NOVANTATRE PROPIEDAD HORIZONTAL</v>
          </cell>
          <cell r="D2771" t="str">
            <v>4327555</v>
          </cell>
          <cell r="E2771" t="str">
            <v>facturacion@estiloingenieria.com</v>
          </cell>
          <cell r="F2771" t="str">
            <v>CALLE 93  17  45</v>
          </cell>
          <cell r="G2771">
            <v>11001</v>
          </cell>
        </row>
        <row r="2772">
          <cell r="A2772" t="str">
            <v>900754643</v>
          </cell>
          <cell r="B2772" t="str">
            <v>6</v>
          </cell>
          <cell r="C2772" t="str">
            <v>CONJUNTO RESIDENCIAL ANTARES TORRE 1 - PROPIEDAD HORIZONTAL</v>
          </cell>
          <cell r="D2772" t="str">
            <v>3044752095</v>
          </cell>
          <cell r="E2772" t="str">
            <v>conjuntoresidencialantares@gmail.com</v>
          </cell>
          <cell r="F2772" t="str">
            <v>CALLE 32 C  29  61</v>
          </cell>
          <cell r="G2772">
            <v>11001</v>
          </cell>
        </row>
        <row r="2773">
          <cell r="A2773" t="str">
            <v>900754972</v>
          </cell>
          <cell r="B2773" t="str">
            <v>4</v>
          </cell>
          <cell r="C2773" t="str">
            <v>CONJUNTO RESIDENCIAL PUNTA DEL ESTE ETAPA I Y II - PROPIEDAD HORIZONTAL</v>
          </cell>
          <cell r="D2773" t="str">
            <v>6940217</v>
          </cell>
          <cell r="E2773" t="str">
            <v>admonconjuntopuntadeleste@gmail.com</v>
          </cell>
          <cell r="F2773" t="str">
            <v>CALLE 13 SUR  10 ESTE  41</v>
          </cell>
          <cell r="G2773">
            <v>11001</v>
          </cell>
        </row>
        <row r="2774">
          <cell r="A2774" t="str">
            <v>900754972</v>
          </cell>
          <cell r="B2774" t="str">
            <v>4</v>
          </cell>
          <cell r="C2774" t="str">
            <v>CONJUNTO RESIDENCIAL PUNTA DEL ESTE ETAPA I Y II - PROPIEDAD HORIZONTAL</v>
          </cell>
          <cell r="D2774" t="str">
            <v>6940217</v>
          </cell>
          <cell r="E2774" t="str">
            <v>admonconjuntopuntadeleste@gmail.com</v>
          </cell>
          <cell r="F2774" t="str">
            <v>CALLE 13 SUR  10 ESTE  41</v>
          </cell>
          <cell r="G2774">
            <v>11001</v>
          </cell>
        </row>
        <row r="2775">
          <cell r="A2775" t="str">
            <v>900758573</v>
          </cell>
          <cell r="B2775" t="str">
            <v>7</v>
          </cell>
          <cell r="C2775" t="str">
            <v>NORDVITAL IPS S.A.S.</v>
          </cell>
          <cell r="D2775" t="str">
            <v>5892750</v>
          </cell>
          <cell r="E2775" t="str">
            <v>facturacionelectronica@nordvitalips.com</v>
          </cell>
          <cell r="F2775" t="str">
            <v>CALLE 15 2E 07 CAOBOS</v>
          </cell>
          <cell r="G2775">
            <v>11001</v>
          </cell>
        </row>
        <row r="2776">
          <cell r="A2776" t="str">
            <v>900762054</v>
          </cell>
          <cell r="B2776" t="str">
            <v>1</v>
          </cell>
          <cell r="C2776" t="str">
            <v>EDIFICIO PRADOS DEL ESTE</v>
          </cell>
          <cell r="D2776" t="str">
            <v>6325989</v>
          </cell>
          <cell r="E2776" t="str">
            <v>edificiopradosdeleste@gmail.com</v>
          </cell>
          <cell r="F2776" t="str">
            <v>CALLE 41  34  60</v>
          </cell>
          <cell r="G2776">
            <v>11001</v>
          </cell>
        </row>
        <row r="2777">
          <cell r="A2777" t="str">
            <v>900764955</v>
          </cell>
          <cell r="B2777" t="str">
            <v>1</v>
          </cell>
          <cell r="C2777" t="str">
            <v>GRUPO HOTELERO CSI SAS</v>
          </cell>
          <cell r="D2777" t="str">
            <v>7441010</v>
          </cell>
          <cell r="E2777" t="str">
            <v>c.patino@hotelescsi.com</v>
          </cell>
          <cell r="F2777" t="str">
            <v>CARRERA 43 A  24 C  06</v>
          </cell>
          <cell r="G2777">
            <v>11001</v>
          </cell>
        </row>
        <row r="2778">
          <cell r="A2778" t="str">
            <v>900764969</v>
          </cell>
          <cell r="B2778" t="str">
            <v>4</v>
          </cell>
          <cell r="C2778" t="str">
            <v>EDIFICIO FERRARA 67 PROPIEDAD HORIZONTAL</v>
          </cell>
          <cell r="D2778" t="str">
            <v>7389014</v>
          </cell>
          <cell r="E2778" t="str">
            <v>edificioferrara67ph@gmail.com</v>
          </cell>
          <cell r="F2778" t="str">
            <v>CALLE 67 A  50 B  12</v>
          </cell>
          <cell r="G2778">
            <v>11001</v>
          </cell>
        </row>
        <row r="2779">
          <cell r="A2779" t="str">
            <v>900768742</v>
          </cell>
          <cell r="B2779" t="str">
            <v>8</v>
          </cell>
          <cell r="C2779" t="str">
            <v>EDIFICIO RESIDENCIAL CONCEPT 112 - PROPIEDAD HORIZONTAL</v>
          </cell>
          <cell r="D2779" t="str">
            <v>6121274</v>
          </cell>
          <cell r="E2779" t="str">
            <v>edificiorc112@gmail.com</v>
          </cell>
          <cell r="F2779" t="str">
            <v>CL 112 17 38</v>
          </cell>
          <cell r="G2779">
            <v>11001</v>
          </cell>
        </row>
        <row r="2780">
          <cell r="A2780" t="str">
            <v>900770387</v>
          </cell>
          <cell r="B2780" t="str">
            <v>2</v>
          </cell>
          <cell r="C2780" t="str">
            <v>EDIFICIO ALVERDE - PROPIEDAD HORIZONTAL</v>
          </cell>
          <cell r="D2780" t="str">
            <v>3176444665</v>
          </cell>
          <cell r="E2780" t="str">
            <v>facturacion@estiloingenieria.com</v>
          </cell>
          <cell r="F2780" t="str">
            <v>CARRERA 9 A  119  70</v>
          </cell>
          <cell r="G2780">
            <v>11001</v>
          </cell>
        </row>
        <row r="2781">
          <cell r="A2781" t="str">
            <v>900770444</v>
          </cell>
          <cell r="B2781" t="str">
            <v>4</v>
          </cell>
          <cell r="C2781" t="str">
            <v>CERRO AZUL CONJUNTO RESIDENCIAL P.H</v>
          </cell>
          <cell r="D2781" t="str">
            <v>3154705223</v>
          </cell>
          <cell r="E2781" t="str">
            <v>urb.cerroazul@gmail.com</v>
          </cell>
          <cell r="F2781" t="str">
            <v>AVENIDA 31  66  29 TORRE 3</v>
          </cell>
          <cell r="G2781">
            <v>11001</v>
          </cell>
        </row>
        <row r="2782">
          <cell r="A2782" t="str">
            <v>900773223</v>
          </cell>
          <cell r="B2782" t="str">
            <v>7</v>
          </cell>
          <cell r="C2782" t="str">
            <v>APARTAMENTOS EDIFICIO BALCONES DEL ALAMO - PROPIEDAD HORIZONTAL</v>
          </cell>
          <cell r="D2782" t="str">
            <v>7260394</v>
          </cell>
          <cell r="E2782" t="str">
            <v>balconesdelalamo@hotmail.com</v>
          </cell>
          <cell r="F2782" t="str">
            <v>CALLE 72 A  87  39</v>
          </cell>
          <cell r="G2782">
            <v>11001</v>
          </cell>
        </row>
        <row r="2783">
          <cell r="A2783" t="str">
            <v>900773223</v>
          </cell>
          <cell r="B2783" t="str">
            <v>7</v>
          </cell>
          <cell r="C2783" t="str">
            <v>APARTAMENTOS EDIFICIO BALCONES DEL ALAMO - PROPIEDAD HORIZONTAL</v>
          </cell>
          <cell r="D2783" t="str">
            <v>7260394</v>
          </cell>
          <cell r="E2783" t="str">
            <v>balconesdelalamo@hotmail.com</v>
          </cell>
          <cell r="F2783" t="str">
            <v>CALLE 72 A  87  39</v>
          </cell>
          <cell r="G2783">
            <v>11001</v>
          </cell>
        </row>
        <row r="2784">
          <cell r="A2784" t="str">
            <v>900773551</v>
          </cell>
          <cell r="B2784" t="str">
            <v>8</v>
          </cell>
          <cell r="C2784" t="str">
            <v>URBANIZACION CELESTE - PROPIEDAD HORIZONTAL</v>
          </cell>
          <cell r="D2784" t="str">
            <v>3006037536</v>
          </cell>
          <cell r="E2784" t="str">
            <v>urbceleste@gmail.com</v>
          </cell>
          <cell r="F2784" t="str">
            <v>CR 65 52 B SUR 58 CORR DE SAN ANTONIO DE PRADO</v>
          </cell>
          <cell r="G2784">
            <v>11001</v>
          </cell>
        </row>
        <row r="2785">
          <cell r="A2785" t="str">
            <v>900775183</v>
          </cell>
          <cell r="B2785" t="str">
            <v>1</v>
          </cell>
          <cell r="C2785" t="str">
            <v>EDIFICIO KAVIR PROPIEDAD HORIZONTAL</v>
          </cell>
          <cell r="D2785" t="str">
            <v>3012695221</v>
          </cell>
          <cell r="E2785" t="str">
            <v>facturacion@estiloingenieria.com</v>
          </cell>
          <cell r="F2785" t="str">
            <v>CALLE 101  20  47</v>
          </cell>
          <cell r="G2785">
            <v>11001</v>
          </cell>
        </row>
        <row r="2786">
          <cell r="A2786" t="str">
            <v>900775306</v>
          </cell>
          <cell r="B2786" t="str">
            <v>9</v>
          </cell>
          <cell r="C2786" t="str">
            <v>EDIFICIO TORRES DEL CAMINO - PROPIEDAD HORIZONTAL</v>
          </cell>
          <cell r="D2786" t="str">
            <v>3064303</v>
          </cell>
          <cell r="E2786" t="str">
            <v>admontorresdelcamino28@gmail.com</v>
          </cell>
          <cell r="F2786" t="str">
            <v>CARRERA 53  11 A  47</v>
          </cell>
          <cell r="G2786">
            <v>11001</v>
          </cell>
        </row>
        <row r="2787">
          <cell r="A2787" t="str">
            <v>900775399</v>
          </cell>
          <cell r="B2787" t="str">
            <v>3</v>
          </cell>
          <cell r="C2787" t="str">
            <v>BOUTIQUE CARTAGENA S.A.S.</v>
          </cell>
          <cell r="D2787" t="str">
            <v>6916050</v>
          </cell>
          <cell r="E2787" t="str">
            <v>factnacar@oxohotel.com</v>
          </cell>
          <cell r="F2787" t="str">
            <v>BRR CENTRO  CR 38 6 21</v>
          </cell>
          <cell r="G2787">
            <v>11001</v>
          </cell>
        </row>
        <row r="2788">
          <cell r="A2788" t="str">
            <v>900776558</v>
          </cell>
          <cell r="B2788" t="str">
            <v>2</v>
          </cell>
          <cell r="C2788" t="str">
            <v>EDIFICIO COUNTRY PARK CONSULTORIOS - PROPIEDAD HORIZONTAL</v>
          </cell>
          <cell r="D2788" t="str">
            <v>7025540</v>
          </cell>
          <cell r="E2788" t="str">
            <v>delegado2@iwanaph.com</v>
          </cell>
          <cell r="F2788" t="str">
            <v>CARRERA 15  84  24  OFICINA 309</v>
          </cell>
          <cell r="G2788">
            <v>11001</v>
          </cell>
        </row>
        <row r="2789">
          <cell r="A2789" t="str">
            <v>900777293</v>
          </cell>
          <cell r="B2789" t="str">
            <v>0</v>
          </cell>
          <cell r="C2789" t="str">
            <v>URBANIZACION PUERTO LUNA P.H.</v>
          </cell>
          <cell r="D2789" t="str">
            <v>4189280</v>
          </cell>
          <cell r="E2789" t="str">
            <v>urbanizacionpuertoluna@gmail.com</v>
          </cell>
          <cell r="F2789" t="str">
            <v>CALLE 48 F SUR  40  55</v>
          </cell>
          <cell r="G2789">
            <v>11001</v>
          </cell>
        </row>
        <row r="2790">
          <cell r="A2790" t="str">
            <v>900777295</v>
          </cell>
          <cell r="B2790" t="str">
            <v>5</v>
          </cell>
          <cell r="C2790" t="str">
            <v>EDIFICIO FIRENZE - PROPIEDAD HORIZONTAL</v>
          </cell>
          <cell r="D2790" t="str">
            <v>3002192</v>
          </cell>
          <cell r="E2790" t="str">
            <v>talentohumano@qualyservices.com</v>
          </cell>
          <cell r="F2790" t="str">
            <v>TRANSVERSAL 56  106 A  25</v>
          </cell>
          <cell r="G2790">
            <v>11001</v>
          </cell>
        </row>
        <row r="2791">
          <cell r="A2791" t="str">
            <v>900777383</v>
          </cell>
          <cell r="B2791" t="str">
            <v>5</v>
          </cell>
          <cell r="C2791" t="str">
            <v>GRUPO DESARROLLADOR DE LA SABANA S. A. S</v>
          </cell>
          <cell r="D2791" t="str">
            <v>4674178</v>
          </cell>
          <cell r="E2791" t="str">
            <v>facturacion@grupods.co</v>
          </cell>
          <cell r="F2791" t="str">
            <v>CARRERA 15 A  120  42  OFICINA 501</v>
          </cell>
          <cell r="G2791">
            <v>11001</v>
          </cell>
        </row>
        <row r="2792">
          <cell r="A2792" t="str">
            <v>900778195</v>
          </cell>
          <cell r="B2792" t="str">
            <v>1</v>
          </cell>
          <cell r="C2792" t="str">
            <v>EDIFICIO TERRAZZE 119 - PROPIEDAD HORIZONTAL</v>
          </cell>
          <cell r="D2792" t="str">
            <v>7028364</v>
          </cell>
          <cell r="E2792" t="str">
            <v>aactuall@yahoo.com</v>
          </cell>
          <cell r="F2792" t="str">
            <v>CARRERA 14 A  119  66</v>
          </cell>
          <cell r="G2792">
            <v>11001</v>
          </cell>
        </row>
        <row r="2793">
          <cell r="A2793" t="str">
            <v>900781822</v>
          </cell>
          <cell r="B2793" t="str">
            <v>2</v>
          </cell>
          <cell r="C2793" t="str">
            <v>EDIFICIO PASEO ALCANTARA - PROPIEDAD HORIZONTAL</v>
          </cell>
          <cell r="D2793" t="str">
            <v>4705024</v>
          </cell>
          <cell r="E2793" t="str">
            <v>facturacion@estiloingenieria.com</v>
          </cell>
          <cell r="F2793" t="str">
            <v>CARRERA 10  113  76</v>
          </cell>
          <cell r="G2793">
            <v>11001</v>
          </cell>
        </row>
        <row r="2794">
          <cell r="A2794" t="str">
            <v>900783505</v>
          </cell>
          <cell r="B2794" t="str">
            <v>1</v>
          </cell>
          <cell r="C2794" t="str">
            <v>CONJUNTO RESIDENCIAL MAKAY PRIMERA ETAPA - PROPIEDAD HORIZONTAL</v>
          </cell>
          <cell r="D2794" t="str">
            <v>7022821</v>
          </cell>
          <cell r="E2794" t="str">
            <v>edificiomakay@hotmail.com</v>
          </cell>
          <cell r="F2794" t="str">
            <v>CARRERA 47  106 A  08</v>
          </cell>
          <cell r="G2794">
            <v>11001</v>
          </cell>
        </row>
        <row r="2795">
          <cell r="A2795" t="str">
            <v>900785948</v>
          </cell>
          <cell r="B2795" t="str">
            <v>1</v>
          </cell>
          <cell r="C2795" t="str">
            <v>EDIFICIO MULTIFAMILIAR EVA NICOLAS DE FEDERMAN - PROPIEDAD HORIZONTAL</v>
          </cell>
          <cell r="D2795" t="str">
            <v>7029167</v>
          </cell>
          <cell r="E2795" t="str">
            <v>edificioeva5058federman@gmail.com</v>
          </cell>
          <cell r="F2795" t="str">
            <v>CARRERA 50  58 A  78</v>
          </cell>
          <cell r="G2795">
            <v>11001</v>
          </cell>
        </row>
        <row r="2796">
          <cell r="A2796" t="str">
            <v>900786994</v>
          </cell>
          <cell r="B2796" t="str">
            <v>3</v>
          </cell>
          <cell r="C2796" t="str">
            <v>EDIFICIO 104 PARK - PROPIEDAD HORIZONTAL</v>
          </cell>
          <cell r="D2796" t="str">
            <v>3925023</v>
          </cell>
          <cell r="E2796" t="str">
            <v>edi104park@gmail.com</v>
          </cell>
          <cell r="F2796" t="str">
            <v>CALLE 104  21  72</v>
          </cell>
          <cell r="G2796">
            <v>11001</v>
          </cell>
        </row>
        <row r="2797">
          <cell r="A2797" t="str">
            <v>900787482</v>
          </cell>
          <cell r="B2797" t="str">
            <v>9</v>
          </cell>
          <cell r="C2797" t="str">
            <v>CONJUNTO RESIDENCIAL ROMANZA DE LA ABADIA P.H.</v>
          </cell>
          <cell r="D2797" t="str">
            <v>3116425711</v>
          </cell>
          <cell r="E2797" t="str">
            <v>romanza.ph@gmail.com</v>
          </cell>
          <cell r="F2797" t="str">
            <v>CALLE 27 SUR  28  56</v>
          </cell>
          <cell r="G2797">
            <v>11001</v>
          </cell>
        </row>
        <row r="2798">
          <cell r="A2798" t="str">
            <v>900788112</v>
          </cell>
          <cell r="B2798" t="str">
            <v>3</v>
          </cell>
          <cell r="C2798" t="str">
            <v>CONJUNTO RESIDENCIAL FRAYLE</v>
          </cell>
          <cell r="D2798" t="str">
            <v>3183499338</v>
          </cell>
          <cell r="E2798" t="str">
            <v>crfraylepalmira@gmail.com</v>
          </cell>
          <cell r="F2798" t="str">
            <v>CALLE 26  44  05</v>
          </cell>
          <cell r="G2798">
            <v>11001</v>
          </cell>
        </row>
        <row r="2799">
          <cell r="A2799" t="str">
            <v>900788456</v>
          </cell>
          <cell r="B2799" t="str">
            <v>1</v>
          </cell>
          <cell r="C2799" t="str">
            <v>APARTAMENTOS PESCARA P.H.</v>
          </cell>
          <cell r="D2799" t="str">
            <v>5789284</v>
          </cell>
          <cell r="E2799" t="str">
            <v>melvaestrada2011@hotmail.com</v>
          </cell>
          <cell r="F2799" t="str">
            <v>CARRERA 45  23 SUR  15</v>
          </cell>
          <cell r="G2799">
            <v>11001</v>
          </cell>
        </row>
        <row r="2800">
          <cell r="A2800" t="str">
            <v>900788594</v>
          </cell>
          <cell r="B2800" t="str">
            <v>1</v>
          </cell>
          <cell r="C2800" t="str">
            <v>JORGE GONZALEZ INGENIERIA S.A.S.</v>
          </cell>
          <cell r="D2800" t="str">
            <v>3104246997</v>
          </cell>
          <cell r="E2800" t="str">
            <v>facturacion@estiloingenieria.com</v>
          </cell>
          <cell r="F2800" t="str">
            <v>CALLE 8  43 B  148</v>
          </cell>
          <cell r="G2800">
            <v>11001</v>
          </cell>
        </row>
        <row r="2801">
          <cell r="A2801" t="str">
            <v>900790628</v>
          </cell>
          <cell r="B2801" t="str">
            <v>8</v>
          </cell>
          <cell r="C2801" t="str">
            <v>EDIFICIO TORRE PORTO</v>
          </cell>
          <cell r="D2801" t="str">
            <v>6455092</v>
          </cell>
          <cell r="E2801" t="str">
            <v>edificiotorreporto@gmail.com</v>
          </cell>
          <cell r="F2801" t="str">
            <v>CALLE 39  24  43</v>
          </cell>
          <cell r="G2801">
            <v>11001</v>
          </cell>
        </row>
        <row r="2802">
          <cell r="A2802" t="str">
            <v>900791352</v>
          </cell>
          <cell r="B2802" t="str">
            <v>5</v>
          </cell>
          <cell r="C2802" t="str">
            <v>ADMINISTRADORA ROSALES SAS</v>
          </cell>
          <cell r="D2802" t="str">
            <v>7561979</v>
          </cell>
          <cell r="E2802" t="str">
            <v>mifactura.rosales@bhhoteles.com</v>
          </cell>
          <cell r="F2802" t="str">
            <v>AVENIDA CALLE 72  6  30</v>
          </cell>
          <cell r="G2802">
            <v>11001</v>
          </cell>
        </row>
        <row r="2803">
          <cell r="A2803" t="str">
            <v>900793123</v>
          </cell>
          <cell r="B2803" t="str">
            <v>4</v>
          </cell>
          <cell r="C2803" t="str">
            <v>LA TOSCANA - PROPIEDAD HORIZONTAL</v>
          </cell>
          <cell r="D2803" t="str">
            <v>4172979</v>
          </cell>
          <cell r="E2803" t="str">
            <v>urbtoscana@gmail.com</v>
          </cell>
          <cell r="F2803" t="str">
            <v>CARRERA 72  80 A  43</v>
          </cell>
          <cell r="G2803">
            <v>11001</v>
          </cell>
        </row>
        <row r="2804">
          <cell r="A2804" t="str">
            <v>900795219</v>
          </cell>
          <cell r="B2804" t="str">
            <v>1</v>
          </cell>
          <cell r="C2804" t="str">
            <v>EDIFICIO VILLAGE PARK 125 - PROPIEDAD HORIZONTAL</v>
          </cell>
          <cell r="D2804" t="str">
            <v>3016442101</v>
          </cell>
          <cell r="E2804" t="str">
            <v>admonsas@gmail.com</v>
          </cell>
          <cell r="F2804" t="str">
            <v>CALLE 125  18 A  21</v>
          </cell>
          <cell r="G2804">
            <v>11001</v>
          </cell>
        </row>
        <row r="2805">
          <cell r="A2805" t="str">
            <v>900796336</v>
          </cell>
          <cell r="B2805" t="str">
            <v>1</v>
          </cell>
          <cell r="C2805" t="str">
            <v>CONJUNTO RESIDENCIAL TORRES DE BELLAVISTA ETAPA I - PROPIEDAD HORIZONTAL</v>
          </cell>
          <cell r="D2805" t="str">
            <v>3144245277</v>
          </cell>
          <cell r="E2805" t="str">
            <v>contabilidadtbellavista@gmail.com</v>
          </cell>
          <cell r="F2805" t="str">
            <v>TV 70 G 63 52 SUR</v>
          </cell>
          <cell r="G2805">
            <v>11001</v>
          </cell>
        </row>
        <row r="2806">
          <cell r="A2806" t="str">
            <v>900796336</v>
          </cell>
          <cell r="B2806" t="str">
            <v>1</v>
          </cell>
          <cell r="C2806" t="str">
            <v>CONJUNTO RESIDENCIAL TORRES DE BELLAVISTA ETAPA I - PROPIEDAD HORIZONTAL</v>
          </cell>
          <cell r="D2806" t="str">
            <v>3144245277</v>
          </cell>
          <cell r="E2806" t="str">
            <v>contabilidadtbellavista@gmail.com</v>
          </cell>
          <cell r="F2806" t="str">
            <v>TV 70 G 63 52 SUR</v>
          </cell>
          <cell r="G2806">
            <v>11001</v>
          </cell>
        </row>
        <row r="2807">
          <cell r="A2807" t="str">
            <v>900798953</v>
          </cell>
          <cell r="B2807" t="str">
            <v>3</v>
          </cell>
          <cell r="C2807" t="str">
            <v>EDIFICIO ZAPPAN 109 - PROPIEDAD HORIZONTAL</v>
          </cell>
          <cell r="D2807" t="str">
            <v>6726878</v>
          </cell>
          <cell r="E2807" t="str">
            <v>buzonfacturaszappan109@conefort.com</v>
          </cell>
          <cell r="F2807" t="str">
            <v>CARRERA 13 BIS  109  11</v>
          </cell>
          <cell r="G2807">
            <v>11001</v>
          </cell>
        </row>
        <row r="2808">
          <cell r="A2808" t="str">
            <v>900798964</v>
          </cell>
          <cell r="B2808" t="str">
            <v>4</v>
          </cell>
          <cell r="C2808" t="str">
            <v>EDIFICIO SCALA 27 CEDRITOS - PROPIEDAD HORIZONTAL</v>
          </cell>
          <cell r="D2808" t="str">
            <v>7 0 3 2 6 3 4</v>
          </cell>
          <cell r="E2808" t="str">
            <v>edificioscala27@gmail.com</v>
          </cell>
          <cell r="F2808" t="str">
            <v>CL 144 9 30</v>
          </cell>
          <cell r="G2808">
            <v>11001</v>
          </cell>
        </row>
        <row r="2809">
          <cell r="A2809" t="str">
            <v>900799023</v>
          </cell>
          <cell r="B2809" t="str">
            <v>3</v>
          </cell>
          <cell r="C2809" t="str">
            <v>CONJUNTO RESIDENCIAL ZAGUAN DE LAS FLORES -PROPIEDAD HORIZONTAL</v>
          </cell>
          <cell r="D2809" t="str">
            <v>6659454</v>
          </cell>
          <cell r="E2809" t="str">
            <v>zaguandelasflores@gmail.com</v>
          </cell>
          <cell r="F2809" t="str">
            <v>CALLE 67 NORTE  4 B  77</v>
          </cell>
          <cell r="G2809">
            <v>11001</v>
          </cell>
        </row>
        <row r="2810">
          <cell r="A2810" t="str">
            <v>900799319</v>
          </cell>
          <cell r="B2810" t="str">
            <v>8</v>
          </cell>
          <cell r="C2810" t="str">
            <v>URBANIZACION INDIGO P.H.</v>
          </cell>
          <cell r="D2810" t="str">
            <v>3007829888</v>
          </cell>
          <cell r="E2810" t="str">
            <v>indigoapartamentos@gmail.com</v>
          </cell>
          <cell r="F2810" t="str">
            <v>CALLE 65 SUR  39  235</v>
          </cell>
          <cell r="G2810">
            <v>11001</v>
          </cell>
        </row>
        <row r="2811">
          <cell r="A2811" t="str">
            <v>900801357</v>
          </cell>
          <cell r="B2811" t="str">
            <v>6</v>
          </cell>
          <cell r="C2811" t="str">
            <v>CONJUNTO CERRADO ARBOLEDA DEL PINAR I - PROPIEDAD HORIZONTAL</v>
          </cell>
          <cell r="D2811" t="str">
            <v>3003232640</v>
          </cell>
          <cell r="E2811" t="str">
            <v>arboledadelpinar@gmail.com</v>
          </cell>
          <cell r="F2811" t="str">
            <v>CARRERA 102  155  50</v>
          </cell>
          <cell r="G2811">
            <v>11001</v>
          </cell>
        </row>
        <row r="2812">
          <cell r="A2812" t="str">
            <v>900802350</v>
          </cell>
          <cell r="B2812" t="str">
            <v>1</v>
          </cell>
          <cell r="C2812" t="str">
            <v>CONJUNTO RESIDENCIAL ZIOON TOWERS</v>
          </cell>
          <cell r="D2812" t="str">
            <v>3 3 2 9 5 4 9</v>
          </cell>
          <cell r="E2812" t="str">
            <v>conjuntozioontowers@gmail.com</v>
          </cell>
          <cell r="F2812" t="str">
            <v>CL 104 53 49</v>
          </cell>
          <cell r="G2812">
            <v>11001</v>
          </cell>
        </row>
        <row r="2813">
          <cell r="A2813" t="str">
            <v>900806826</v>
          </cell>
          <cell r="B2813" t="str">
            <v>1</v>
          </cell>
          <cell r="C2813" t="str">
            <v>EDIFICIO MANDALAY PROPIEDAD HORIZONTAL</v>
          </cell>
          <cell r="D2813" t="str">
            <v>3194093939</v>
          </cell>
          <cell r="E2813" t="str">
            <v>mandalaystudios@hotmail.com</v>
          </cell>
          <cell r="F2813" t="str">
            <v>CALLE 5 C  72 B  75</v>
          </cell>
          <cell r="G2813">
            <v>11001</v>
          </cell>
        </row>
        <row r="2814">
          <cell r="A2814" t="str">
            <v>900807010</v>
          </cell>
          <cell r="B2814" t="str">
            <v>3</v>
          </cell>
          <cell r="C2814" t="str">
            <v>EDIFICIO BAMBU CLUB HOUSE</v>
          </cell>
          <cell r="D2814" t="str">
            <v>3114258550</v>
          </cell>
          <cell r="E2814" t="str">
            <v>edificio.bambu@hotmail.com</v>
          </cell>
          <cell r="F2814" t="str">
            <v>CALLE 27  20  61</v>
          </cell>
          <cell r="G2814">
            <v>11001</v>
          </cell>
        </row>
        <row r="2815">
          <cell r="A2815" t="str">
            <v>900807391</v>
          </cell>
          <cell r="B2815" t="str">
            <v>4</v>
          </cell>
          <cell r="C2815" t="str">
            <v>CONJUNTO RESIDENCIAL URBANIZACION TORRES DE MAYORCA P.H.</v>
          </cell>
          <cell r="D2815" t="str">
            <v>3127838254</v>
          </cell>
          <cell r="E2815" t="str">
            <v>tdemayorca@gmail.com</v>
          </cell>
          <cell r="F2815" t="str">
            <v>CARRERA 47  52 SUR  110</v>
          </cell>
          <cell r="G2815">
            <v>11001</v>
          </cell>
        </row>
        <row r="2816">
          <cell r="A2816" t="str">
            <v>900807763</v>
          </cell>
          <cell r="B2816" t="str">
            <v>0</v>
          </cell>
          <cell r="C2816" t="str">
            <v>CONDOMINIO CABO TORTUGA</v>
          </cell>
          <cell r="D2816" t="str">
            <v>3103660692</v>
          </cell>
          <cell r="E2816" t="str">
            <v>auxiliarcontablecabotortuga@gmail.com</v>
          </cell>
          <cell r="F2816" t="str">
            <v>CALLE 74  1  169</v>
          </cell>
          <cell r="G2816">
            <v>11001</v>
          </cell>
        </row>
        <row r="2817">
          <cell r="A2817" t="str">
            <v>900810450</v>
          </cell>
          <cell r="B2817" t="str">
            <v>1</v>
          </cell>
          <cell r="C2817" t="str">
            <v>CONJUNTO CERRADO "CONDADO DEL ESTE -PROPIEDAD HORIZONTAL"</v>
          </cell>
          <cell r="D2817" t="str">
            <v>3125594181</v>
          </cell>
          <cell r="E2817" t="str">
            <v>phcucuta@gmail.com</v>
          </cell>
          <cell r="F2817" t="str">
            <v>AVENIDA 8 A C  70  25</v>
          </cell>
          <cell r="G2817">
            <v>11001</v>
          </cell>
        </row>
        <row r="2818">
          <cell r="A2818" t="str">
            <v>900816107</v>
          </cell>
          <cell r="B2818" t="str">
            <v>7</v>
          </cell>
          <cell r="C2818" t="str">
            <v>EDIFICIO ALTOS DEL RETIRO - PROPIEDAD HORIZONTAL</v>
          </cell>
          <cell r="D2818" t="str">
            <v>3222519933</v>
          </cell>
          <cell r="E2818" t="str">
            <v>germuavil@gmail.com</v>
          </cell>
          <cell r="F2818" t="str">
            <v>TV 1 83 51</v>
          </cell>
          <cell r="G2818">
            <v>11001</v>
          </cell>
        </row>
        <row r="2819">
          <cell r="A2819" t="str">
            <v>900816554</v>
          </cell>
          <cell r="B2819" t="str">
            <v>6</v>
          </cell>
          <cell r="C2819" t="str">
            <v>AGRUPACION DE VIVIENDA SHALOM 1 - PROPIEDAD HORIZONTAL</v>
          </cell>
          <cell r="D2819" t="str">
            <v>7557447</v>
          </cell>
          <cell r="E2819" t="str">
            <v>viviendashalom1@gmail.com</v>
          </cell>
          <cell r="F2819" t="str">
            <v>CARRERA 81 J  57 C  20 SUR</v>
          </cell>
          <cell r="G2819">
            <v>11001</v>
          </cell>
        </row>
        <row r="2820">
          <cell r="A2820" t="str">
            <v>900816554</v>
          </cell>
          <cell r="B2820" t="str">
            <v>6</v>
          </cell>
          <cell r="C2820" t="str">
            <v>AGRUPACION DE VIVIENDA SHALOM 1 - PROPIEDAD HORIZONTAL</v>
          </cell>
          <cell r="D2820" t="str">
            <v>7557447</v>
          </cell>
          <cell r="E2820" t="str">
            <v>viviendashalom1@gmail.com</v>
          </cell>
          <cell r="F2820" t="str">
            <v>CARRERA 81 J  57 C  20 SUR</v>
          </cell>
          <cell r="G2820">
            <v>11001</v>
          </cell>
        </row>
        <row r="2821">
          <cell r="A2821" t="str">
            <v>900819485</v>
          </cell>
          <cell r="B2821" t="str">
            <v>1</v>
          </cell>
          <cell r="C2821" t="str">
            <v>CONJUNTO RESIDENCIAL ALMENARA - PROPIEDAD HORIZONTAL</v>
          </cell>
          <cell r="D2821" t="str">
            <v>3920708</v>
          </cell>
          <cell r="E2821" t="str">
            <v>almenaraapartamentos@hotmail.com</v>
          </cell>
          <cell r="F2821" t="str">
            <v>CARRERA 145  144 C  72</v>
          </cell>
          <cell r="G2821">
            <v>11001</v>
          </cell>
        </row>
        <row r="2822">
          <cell r="A2822" t="str">
            <v>900819485</v>
          </cell>
          <cell r="B2822" t="str">
            <v>1</v>
          </cell>
          <cell r="C2822" t="str">
            <v>CONJUNTO RESIDENCIAL ALMENARA - PROPIEDAD HORIZONTAL</v>
          </cell>
          <cell r="D2822" t="str">
            <v>3920708</v>
          </cell>
          <cell r="E2822" t="str">
            <v>almenaraapartamentos@hotmail.com</v>
          </cell>
          <cell r="F2822" t="str">
            <v>CARRERA 145  144 C  72</v>
          </cell>
          <cell r="G2822">
            <v>11001</v>
          </cell>
        </row>
        <row r="2823">
          <cell r="A2823" t="str">
            <v>900820419</v>
          </cell>
          <cell r="B2823" t="str">
            <v>5</v>
          </cell>
          <cell r="C2823" t="str">
            <v>CONJUNTO MULTIFAMILIAR LLANURA DEL VIENTO V.I.S PRIMERA ETAPA</v>
          </cell>
          <cell r="D2823" t="str">
            <v>3137330696</v>
          </cell>
          <cell r="E2823" t="str">
            <v>llanuradelvientoph@gmail.com</v>
          </cell>
          <cell r="F2823" t="str">
            <v>CALLE 54  98  50</v>
          </cell>
          <cell r="G2823">
            <v>11001</v>
          </cell>
        </row>
        <row r="2824">
          <cell r="A2824" t="str">
            <v>900821119</v>
          </cell>
          <cell r="B2824" t="str">
            <v>5</v>
          </cell>
          <cell r="C2824" t="str">
            <v>URBANIZACION IRIS P.H.</v>
          </cell>
          <cell r="D2824" t="str">
            <v>4174014</v>
          </cell>
          <cell r="E2824" t="str">
            <v>irisaptos@gmail.com</v>
          </cell>
          <cell r="F2824" t="str">
            <v>CALLE 45 A SUR  39 B  22</v>
          </cell>
          <cell r="G2824">
            <v>11001</v>
          </cell>
        </row>
        <row r="2825">
          <cell r="A2825" t="str">
            <v>900821395</v>
          </cell>
          <cell r="B2825" t="str">
            <v>1</v>
          </cell>
          <cell r="C2825" t="str">
            <v>EDIFICIO SAN PEDRO PASADENA - PROPIEDAD HORIZONTAL</v>
          </cell>
          <cell r="D2825" t="str">
            <v>3871442</v>
          </cell>
          <cell r="E2825" t="str">
            <v>admonsanpedro2021@gmail.com</v>
          </cell>
          <cell r="F2825" t="str">
            <v>CARRERA 51  103 B  11</v>
          </cell>
          <cell r="G2825">
            <v>11001</v>
          </cell>
        </row>
        <row r="2826">
          <cell r="A2826" t="str">
            <v>900823932</v>
          </cell>
          <cell r="B2826" t="str">
            <v>6</v>
          </cell>
          <cell r="C2826" t="str">
            <v>EDIFICIO VIALE - PROPIEDAD HORIZONTAL</v>
          </cell>
          <cell r="D2826" t="str">
            <v>3122739072</v>
          </cell>
          <cell r="E2826" t="str">
            <v>marianydiaalzate@hotmail.com</v>
          </cell>
          <cell r="F2826" t="str">
            <v>CALLE 69  24  100</v>
          </cell>
          <cell r="G2826">
            <v>11001</v>
          </cell>
        </row>
        <row r="2827">
          <cell r="A2827" t="str">
            <v>900827617</v>
          </cell>
          <cell r="B2827" t="str">
            <v>9</v>
          </cell>
          <cell r="C2827" t="str">
            <v>EDIFICIO VALME - PROPIEDAD HORIZONTAL</v>
          </cell>
          <cell r="D2827" t="str">
            <v>3112511467</v>
          </cell>
          <cell r="E2827" t="str">
            <v>edificiovalme@hotmail.com</v>
          </cell>
          <cell r="F2827" t="str">
            <v>CALLE 57 B  37 A  03</v>
          </cell>
          <cell r="G2827">
            <v>11001</v>
          </cell>
        </row>
        <row r="2828">
          <cell r="A2828" t="str">
            <v>900829247</v>
          </cell>
          <cell r="B2828" t="str">
            <v>6</v>
          </cell>
          <cell r="C2828" t="str">
            <v>EDIFICIO PARQUES - PROPIEDAD HORIZONTAL</v>
          </cell>
          <cell r="D2828" t="str">
            <v>4661826</v>
          </cell>
          <cell r="E2828" t="str">
            <v>admonser@yahoo.com</v>
          </cell>
          <cell r="F2828" t="str">
            <v>CARRERA 45  22 A  60</v>
          </cell>
          <cell r="G2828">
            <v>11001</v>
          </cell>
        </row>
        <row r="2829">
          <cell r="A2829" t="str">
            <v>900829850</v>
          </cell>
          <cell r="B2829" t="str">
            <v>8</v>
          </cell>
          <cell r="C2829" t="str">
            <v>EDIFICIO TAURUS</v>
          </cell>
          <cell r="D2829" t="str">
            <v>8600988</v>
          </cell>
          <cell r="E2829" t="str">
            <v>edificiokentaurus@gmail.com</v>
          </cell>
          <cell r="F2829" t="str">
            <v>BARRIO MANGA CUARTA AV  CL 29 21A  49</v>
          </cell>
          <cell r="G2829">
            <v>11001</v>
          </cell>
        </row>
        <row r="2830">
          <cell r="A2830" t="str">
            <v>900830472</v>
          </cell>
          <cell r="B2830" t="str">
            <v>9</v>
          </cell>
          <cell r="C2830" t="str">
            <v>EDIFICIO DAVIDIA 101 - PROPIEDAD HORIZONTAL</v>
          </cell>
          <cell r="D2830">
            <v>3219664011</v>
          </cell>
          <cell r="E2830" t="str">
            <v>edificiodavidia101@gmail.com</v>
          </cell>
          <cell r="F2830" t="str">
            <v>CR 19 A 100 57</v>
          </cell>
          <cell r="G2830">
            <v>11001</v>
          </cell>
        </row>
        <row r="2831">
          <cell r="A2831" t="str">
            <v>900833516</v>
          </cell>
          <cell r="B2831" t="str">
            <v>8</v>
          </cell>
          <cell r="C2831" t="str">
            <v>EDIFICIO ALBORADA 140 - PROPIEDAD HORIZONTAL</v>
          </cell>
          <cell r="D2831" t="str">
            <v>3159286121</v>
          </cell>
          <cell r="E2831" t="str">
            <v>edificioalborada140@gmail.com</v>
          </cell>
          <cell r="F2831" t="str">
            <v>CARRERA 12 B  140  61</v>
          </cell>
          <cell r="G2831">
            <v>11001</v>
          </cell>
        </row>
        <row r="2832">
          <cell r="A2832" t="str">
            <v>900833562</v>
          </cell>
          <cell r="B2832" t="str">
            <v>7</v>
          </cell>
          <cell r="C2832" t="str">
            <v>EDIFICIO FOUNTAIN BLUE-VILLAGE - PROPIEDAD HORIZONTAL</v>
          </cell>
          <cell r="D2832" t="str">
            <v>7033779</v>
          </cell>
          <cell r="E2832" t="str">
            <v>mantenimiento@castroardilaph.com</v>
          </cell>
          <cell r="F2832" t="str">
            <v>CARRERA 17  112  14</v>
          </cell>
          <cell r="G2832">
            <v>11001</v>
          </cell>
        </row>
        <row r="2833">
          <cell r="A2833" t="str">
            <v>900833982</v>
          </cell>
          <cell r="B2833" t="str">
            <v>7</v>
          </cell>
          <cell r="C2833" t="str">
            <v>CONJUNTO RESIDENCIAL MASERATTI</v>
          </cell>
          <cell r="D2833" t="str">
            <v>3003027340</v>
          </cell>
          <cell r="E2833" t="str">
            <v>conjuntoresidencialmaseratti@hotmail.com</v>
          </cell>
          <cell r="F2833" t="str">
            <v>CARRERA 2  65  62</v>
          </cell>
          <cell r="G2833">
            <v>11001</v>
          </cell>
        </row>
        <row r="2834">
          <cell r="A2834" t="str">
            <v>900834684</v>
          </cell>
          <cell r="B2834" t="str">
            <v>1</v>
          </cell>
          <cell r="C2834" t="str">
            <v>EDIFICIO SOLAR CHICO - PROPIEDAD HORIZONTAL</v>
          </cell>
          <cell r="D2834" t="str">
            <v>6232627</v>
          </cell>
          <cell r="E2834" t="str">
            <v>facturacionelectronica@administracionmarca.com</v>
          </cell>
          <cell r="F2834" t="str">
            <v>CALLE 104 A  11 B  45</v>
          </cell>
          <cell r="G2834">
            <v>11001</v>
          </cell>
        </row>
        <row r="2835">
          <cell r="A2835" t="str">
            <v>900834684</v>
          </cell>
          <cell r="B2835" t="str">
            <v>1</v>
          </cell>
          <cell r="C2835" t="str">
            <v>EDIFICIO SOLAR CHICO - PROPIEDAD HORIZONTAL</v>
          </cell>
          <cell r="D2835" t="str">
            <v>6232627</v>
          </cell>
          <cell r="E2835" t="str">
            <v>facturacionelectronica@administracionmarca.com</v>
          </cell>
          <cell r="F2835" t="str">
            <v>CALLE 104 A  11 B  45</v>
          </cell>
          <cell r="G2835">
            <v>11001</v>
          </cell>
        </row>
        <row r="2836">
          <cell r="A2836" t="str">
            <v>900835161</v>
          </cell>
          <cell r="B2836" t="str">
            <v>6</v>
          </cell>
          <cell r="C2836" t="str">
            <v>EDIFICIO PALMARES DEL BATAN - PROPIEDAD HORIZONTAL</v>
          </cell>
          <cell r="D2836" t="str">
            <v>6208852</v>
          </cell>
          <cell r="E2836" t="str">
            <v>palmaresdelbatan123@gmail.com</v>
          </cell>
          <cell r="F2836" t="str">
            <v>CARRERA 52  123  34</v>
          </cell>
          <cell r="G2836">
            <v>11001</v>
          </cell>
        </row>
        <row r="2837">
          <cell r="A2837" t="str">
            <v>900835232</v>
          </cell>
          <cell r="B2837" t="str">
            <v>0</v>
          </cell>
          <cell r="C2837" t="str">
            <v>EDIFICIO AZAFRAN- PROPIEDAD HORIZONTAL</v>
          </cell>
          <cell r="D2837" t="str">
            <v>2746030</v>
          </cell>
          <cell r="E2837" t="str">
            <v>edificio.azafran.adm@gmail.com</v>
          </cell>
          <cell r="F2837" t="str">
            <v>CALLE 127 B  60  82</v>
          </cell>
          <cell r="G2837">
            <v>11001</v>
          </cell>
        </row>
        <row r="2838">
          <cell r="A2838" t="str">
            <v>900835655</v>
          </cell>
          <cell r="B2838" t="str">
            <v>2</v>
          </cell>
          <cell r="C2838" t="str">
            <v>EDIFICIO PAYANDE - PROPIEDAD HORIZONTAL</v>
          </cell>
          <cell r="D2838" t="str">
            <v>7742402</v>
          </cell>
          <cell r="E2838" t="str">
            <v>edificiopayande@gmail.com</v>
          </cell>
          <cell r="F2838" t="str">
            <v>CARRERA 145  96  15</v>
          </cell>
          <cell r="G2838">
            <v>11001</v>
          </cell>
        </row>
        <row r="2839">
          <cell r="A2839" t="str">
            <v>900835655</v>
          </cell>
          <cell r="B2839" t="str">
            <v>2</v>
          </cell>
          <cell r="C2839" t="str">
            <v>EDIFICIO PAYANDE - PROPIEDAD HORIZONTAL</v>
          </cell>
          <cell r="D2839" t="str">
            <v>7742402</v>
          </cell>
          <cell r="E2839" t="str">
            <v>edificiopayande@gmail.com</v>
          </cell>
          <cell r="F2839" t="str">
            <v>CARRERA 145  96  15</v>
          </cell>
          <cell r="G2839">
            <v>11001</v>
          </cell>
        </row>
        <row r="2840">
          <cell r="A2840" t="str">
            <v>900836187</v>
          </cell>
          <cell r="B2840" t="str">
            <v>1</v>
          </cell>
          <cell r="C2840" t="str">
            <v>EDIFICIO NAVARRA 103 - PROPIEDAD HORIZONTAL</v>
          </cell>
          <cell r="D2840" t="str">
            <v>6234144</v>
          </cell>
          <cell r="E2840" t="str">
            <v>edificionavarra103@gmail.com</v>
          </cell>
          <cell r="F2840" t="str">
            <v>CL 103 21 74</v>
          </cell>
          <cell r="G2840">
            <v>11001</v>
          </cell>
        </row>
        <row r="2841">
          <cell r="A2841" t="str">
            <v>900836187</v>
          </cell>
          <cell r="B2841" t="str">
            <v>1</v>
          </cell>
          <cell r="C2841" t="str">
            <v>EDIFICIO NAVARRA 103 - PROPIEDAD HORIZONTAL</v>
          </cell>
          <cell r="D2841" t="str">
            <v>6234144</v>
          </cell>
          <cell r="E2841" t="str">
            <v>edificionavarra103@gmail.com</v>
          </cell>
          <cell r="F2841" t="str">
            <v>CL 103 21 74</v>
          </cell>
          <cell r="G2841">
            <v>11001</v>
          </cell>
        </row>
        <row r="2842">
          <cell r="A2842" t="str">
            <v>900838422</v>
          </cell>
          <cell r="B2842" t="str">
            <v>7</v>
          </cell>
          <cell r="C2842" t="str">
            <v>EDIFICIO LINK - PROPIEDAD HORIZONTAL</v>
          </cell>
          <cell r="D2842" t="str">
            <v>6726878</v>
          </cell>
          <cell r="E2842" t="str">
            <v>admonedificiolink@gmail.com</v>
          </cell>
          <cell r="F2842" t="str">
            <v>CALLE 118  16  41</v>
          </cell>
          <cell r="G2842">
            <v>11001</v>
          </cell>
        </row>
        <row r="2843">
          <cell r="A2843" t="str">
            <v>900838520</v>
          </cell>
          <cell r="B2843" t="str">
            <v>0</v>
          </cell>
          <cell r="C2843" t="str">
            <v>EDIFICIO UNIQUE G - PROPIEDAD HORIZONTAL</v>
          </cell>
          <cell r="D2843" t="str">
            <v>3187349585</v>
          </cell>
          <cell r="E2843" t="str">
            <v>adarcoltda@outlook.com</v>
          </cell>
          <cell r="F2843" t="str">
            <v>CARRERA 4 A  66  24</v>
          </cell>
          <cell r="G2843">
            <v>11001</v>
          </cell>
        </row>
        <row r="2844">
          <cell r="A2844" t="str">
            <v>900838520</v>
          </cell>
          <cell r="B2844" t="str">
            <v>0</v>
          </cell>
          <cell r="C2844" t="str">
            <v>EDIFICIO UNIQUE G - PROPIEDAD HORIZONTAL</v>
          </cell>
          <cell r="D2844" t="str">
            <v>3187349585</v>
          </cell>
          <cell r="E2844" t="str">
            <v>adarcoltda@outlook.com</v>
          </cell>
          <cell r="F2844" t="str">
            <v>CARRERA 4 A  66  24</v>
          </cell>
          <cell r="G2844">
            <v>11001</v>
          </cell>
        </row>
        <row r="2845">
          <cell r="A2845" t="str">
            <v>900838855</v>
          </cell>
          <cell r="B2845" t="str">
            <v>2</v>
          </cell>
          <cell r="C2845" t="str">
            <v>MAIHOEHE S.A.S.</v>
          </cell>
          <cell r="D2845" t="str">
            <v>3206951803</v>
          </cell>
          <cell r="E2845" t="str">
            <v>feproveedores@saluti.com.co</v>
          </cell>
          <cell r="F2845" t="str">
            <v>CARRERA 39  5 B  30</v>
          </cell>
          <cell r="G2845">
            <v>11001</v>
          </cell>
        </row>
        <row r="2846">
          <cell r="A2846" t="str">
            <v>900839121</v>
          </cell>
          <cell r="B2846" t="str">
            <v>1</v>
          </cell>
          <cell r="C2846" t="str">
            <v>EDIFICIO SORRENTO 135 - PROPIEDAD HORIZONTAL</v>
          </cell>
          <cell r="D2846" t="str">
            <v>3002460</v>
          </cell>
          <cell r="E2846" t="str">
            <v>sorrento135ph@gmail.com</v>
          </cell>
          <cell r="F2846" t="str">
            <v>CALLE 135  17 A  77</v>
          </cell>
          <cell r="G2846">
            <v>11001</v>
          </cell>
        </row>
        <row r="2847">
          <cell r="A2847" t="str">
            <v>900839941</v>
          </cell>
          <cell r="B2847" t="str">
            <v>2</v>
          </cell>
          <cell r="C2847" t="str">
            <v>CONJUNTO DE USO MIXTO BASALTO - PROPIEDAD HORIZONTAL</v>
          </cell>
          <cell r="D2847" t="str">
            <v>2977984</v>
          </cell>
          <cell r="E2847" t="str">
            <v>basaltoph@gmail.com</v>
          </cell>
          <cell r="F2847" t="str">
            <v>CALLE 61  75  153</v>
          </cell>
          <cell r="G2847">
            <v>11001</v>
          </cell>
        </row>
        <row r="2848">
          <cell r="A2848" t="str">
            <v>900843690</v>
          </cell>
          <cell r="B2848" t="str">
            <v>4</v>
          </cell>
          <cell r="C2848" t="str">
            <v>EDIFICIO MYSTIQUE NAVARRA PROPIEDAD HORIZONTAL</v>
          </cell>
          <cell r="D2848" t="str">
            <v>3004045</v>
          </cell>
          <cell r="E2848" t="str">
            <v>cortezaltda@hotmail.com</v>
          </cell>
          <cell r="F2848" t="str">
            <v>CARRERA 7  53  48  OFICINA 502</v>
          </cell>
          <cell r="G2848">
            <v>11001</v>
          </cell>
        </row>
        <row r="2849">
          <cell r="A2849" t="str">
            <v>900844059</v>
          </cell>
          <cell r="B2849" t="str">
            <v>0</v>
          </cell>
          <cell r="C2849" t="str">
            <v>EDIFICIO CHICO ALTO - PROPIEDAD HORIZONTAL</v>
          </cell>
          <cell r="D2849" t="str">
            <v>7388725</v>
          </cell>
          <cell r="E2849" t="str">
            <v>chicoalto@administrandoespacios.com</v>
          </cell>
          <cell r="F2849" t="str">
            <v>CARRERA 5  92 A  41</v>
          </cell>
          <cell r="G2849">
            <v>11001</v>
          </cell>
        </row>
        <row r="2850">
          <cell r="A2850" t="str">
            <v>900844711</v>
          </cell>
          <cell r="B2850" t="str">
            <v>5</v>
          </cell>
          <cell r="C2850" t="str">
            <v>EDIFICIO MALKA - PROPIEDAD HORIZONTAL</v>
          </cell>
          <cell r="D2850" t="str">
            <v>3016428183</v>
          </cell>
          <cell r="E2850" t="str">
            <v>edimalka2015@gmail.com</v>
          </cell>
          <cell r="F2850" t="str">
            <v>CARRERA 15  143  07</v>
          </cell>
          <cell r="G2850">
            <v>11001</v>
          </cell>
        </row>
        <row r="2851">
          <cell r="A2851" t="str">
            <v>900845366</v>
          </cell>
          <cell r="B2851" t="str">
            <v>1</v>
          </cell>
          <cell r="C2851" t="str">
            <v>EDIFICIO LARES 125 - PROPIEDAD HORIZONTAL</v>
          </cell>
          <cell r="D2851" t="str">
            <v>5253056</v>
          </cell>
          <cell r="E2851" t="str">
            <v>contabilidadlares125@gmail.com</v>
          </cell>
          <cell r="F2851" t="str">
            <v>CALLE 125  18 B  14</v>
          </cell>
          <cell r="G2851">
            <v>11001</v>
          </cell>
        </row>
        <row r="2852">
          <cell r="A2852" t="str">
            <v>900846735</v>
          </cell>
          <cell r="B2852" t="str">
            <v>0</v>
          </cell>
          <cell r="C2852" t="str">
            <v>EDIFICIO BOREAL -PROPIEDAD HORIZONTAL</v>
          </cell>
          <cell r="D2852" t="str">
            <v>3924010</v>
          </cell>
          <cell r="E2852" t="str">
            <v>admi.cima@gmail.com</v>
          </cell>
          <cell r="F2852" t="str">
            <v>CARRERA 20  137  67</v>
          </cell>
          <cell r="G2852">
            <v>11001</v>
          </cell>
        </row>
        <row r="2853">
          <cell r="A2853" t="str">
            <v>900847493</v>
          </cell>
          <cell r="B2853" t="str">
            <v>8</v>
          </cell>
          <cell r="C2853" t="str">
            <v>CONJUNTO RESIDENCIAL RESERVA DE CHIPICHAPE - PROPIEDAD HORIZONTAL</v>
          </cell>
          <cell r="D2853" t="str">
            <v>3798743</v>
          </cell>
          <cell r="E2853" t="str">
            <v>reservadechipichape1@gmail.com</v>
          </cell>
          <cell r="F2853" t="str">
            <v>AVENIDA 6 D NORTE  38 N  201</v>
          </cell>
          <cell r="G2853">
            <v>11001</v>
          </cell>
        </row>
        <row r="2854">
          <cell r="A2854" t="str">
            <v>900848944</v>
          </cell>
          <cell r="B2854" t="str">
            <v>2</v>
          </cell>
          <cell r="C2854" t="str">
            <v>EDIFICIO IBIS - PROPIEDAD HORIZONTAL</v>
          </cell>
          <cell r="D2854" t="str">
            <v>3103237513</v>
          </cell>
          <cell r="E2854" t="str">
            <v>facturacion@estiloingenieria.com</v>
          </cell>
          <cell r="F2854" t="str">
            <v>CARRERA 17 A  119 A  59</v>
          </cell>
          <cell r="G2854">
            <v>11001</v>
          </cell>
        </row>
        <row r="2855">
          <cell r="A2855" t="str">
            <v>900850109</v>
          </cell>
          <cell r="B2855" t="str">
            <v>5</v>
          </cell>
          <cell r="C2855" t="str">
            <v>EDIFICIO ECOTEK CALLE 95 - PROPIEDAD HORIZONTAL</v>
          </cell>
          <cell r="D2855" t="str">
            <v>2572160</v>
          </cell>
          <cell r="E2855" t="str">
            <v>fact_ecotek95@isarco.com.co</v>
          </cell>
          <cell r="F2855" t="str">
            <v>TV 23 95 53</v>
          </cell>
          <cell r="G2855">
            <v>11001</v>
          </cell>
        </row>
        <row r="2856">
          <cell r="A2856" t="str">
            <v>900850692</v>
          </cell>
          <cell r="B2856" t="str">
            <v>8</v>
          </cell>
          <cell r="C2856" t="str">
            <v>EDIFICIO MASSALIA 126 - PROPIEDAD HORIZONTAL</v>
          </cell>
          <cell r="D2856" t="str">
            <v>6291098</v>
          </cell>
          <cell r="E2856" t="str">
            <v>admonmassalia@gmail.com</v>
          </cell>
          <cell r="F2856" t="str">
            <v>CALLE 116  15 B  26 OFICINA 207</v>
          </cell>
          <cell r="G2856">
            <v>11001</v>
          </cell>
        </row>
        <row r="2857">
          <cell r="A2857" t="str">
            <v>900851094</v>
          </cell>
          <cell r="B2857" t="str">
            <v>8</v>
          </cell>
          <cell r="C2857" t="str">
            <v>EDIFICIO BARVENTO</v>
          </cell>
          <cell r="D2857" t="str">
            <v>3174332697</v>
          </cell>
          <cell r="E2857" t="str">
            <v>edbarvento@gmail.com</v>
          </cell>
          <cell r="F2857" t="str">
            <v>CL 51 17 02 BRR COLOMBIA</v>
          </cell>
          <cell r="G2857">
            <v>11001</v>
          </cell>
        </row>
        <row r="2858">
          <cell r="A2858" t="str">
            <v>900854821</v>
          </cell>
          <cell r="B2858" t="str">
            <v>1</v>
          </cell>
          <cell r="C2858" t="str">
            <v>CONJUNTO RESIDENCIAL MADEROS DEL CAMPO ETAPA 2 P.H.</v>
          </cell>
          <cell r="D2858" t="str">
            <v>3664121</v>
          </cell>
          <cell r="E2858" t="str">
            <v>maderos2ph@gmail.com</v>
          </cell>
          <cell r="F2858" t="str">
            <v>CARRERA 77 SUR  35 A  71</v>
          </cell>
          <cell r="G2858">
            <v>11001</v>
          </cell>
        </row>
        <row r="2859">
          <cell r="A2859" t="str">
            <v>900854835</v>
          </cell>
          <cell r="B2859" t="str">
            <v>2</v>
          </cell>
          <cell r="C2859" t="str">
            <v>CONJUNTO DE USO MIXTO CYPRUS P. H.</v>
          </cell>
          <cell r="D2859" t="str">
            <v>3128085565</v>
          </cell>
          <cell r="E2859" t="str">
            <v>conjuntocyprus@gmail.com</v>
          </cell>
          <cell r="F2859" t="str">
            <v>CARRERA 46  76 SUR  69</v>
          </cell>
          <cell r="G2859">
            <v>11001</v>
          </cell>
        </row>
        <row r="2860">
          <cell r="A2860" t="str">
            <v>900855900</v>
          </cell>
          <cell r="B2860" t="str">
            <v>8</v>
          </cell>
          <cell r="C2860" t="str">
            <v>EDIFICIO ALUMINE - PROPIEDAD HORIZONTAL</v>
          </cell>
          <cell r="D2860" t="str">
            <v>6947704</v>
          </cell>
          <cell r="E2860" t="str">
            <v>edificioalumine@gmail.com</v>
          </cell>
          <cell r="F2860" t="str">
            <v>CALLE 105 A BIS  13 A  71</v>
          </cell>
          <cell r="G2860">
            <v>11001</v>
          </cell>
        </row>
        <row r="2861">
          <cell r="A2861" t="str">
            <v>900856280</v>
          </cell>
          <cell r="B2861" t="str">
            <v>4</v>
          </cell>
          <cell r="C2861" t="str">
            <v>EDIFICIO TOSKANA ANTIGUA- PROPIEDAD HORIZONTAL</v>
          </cell>
          <cell r="D2861" t="str">
            <v>3115420396</v>
          </cell>
          <cell r="E2861" t="str">
            <v>toskanaantiguaph@gmail.com</v>
          </cell>
          <cell r="F2861" t="str">
            <v>CARRERA 11 B  135  22</v>
          </cell>
          <cell r="G2861">
            <v>11001</v>
          </cell>
        </row>
        <row r="2862">
          <cell r="A2862" t="str">
            <v>900857294</v>
          </cell>
          <cell r="B2862" t="str">
            <v>1</v>
          </cell>
          <cell r="C2862" t="str">
            <v>CONJUNTO RESIDENCIAL TORRES DE LAS CIGARRAS</v>
          </cell>
          <cell r="D2862" t="str">
            <v>6419482</v>
          </cell>
          <cell r="E2862" t="str">
            <v>con.residencialcigarras@gmail.com</v>
          </cell>
          <cell r="F2862" t="str">
            <v>AVENIDA LOS BUCAROS  60  168</v>
          </cell>
          <cell r="G2862">
            <v>11001</v>
          </cell>
        </row>
        <row r="2863">
          <cell r="A2863" t="str">
            <v>900858844</v>
          </cell>
          <cell r="B2863" t="str">
            <v>7</v>
          </cell>
          <cell r="C2863" t="str">
            <v>EDIFICIO FLORIDA PLAZA PH</v>
          </cell>
          <cell r="D2863" t="str">
            <v>3158363057</v>
          </cell>
          <cell r="E2863" t="str">
            <v>admfloridaplaza@gmail.com</v>
          </cell>
          <cell r="F2863" t="str">
            <v>CARRERA 3  4  29</v>
          </cell>
          <cell r="G2863">
            <v>11001</v>
          </cell>
        </row>
        <row r="2864">
          <cell r="A2864" t="str">
            <v>900859241</v>
          </cell>
          <cell r="B2864" t="str">
            <v>0</v>
          </cell>
          <cell r="C2864" t="str">
            <v>EDIFICIO STUDIO 106 - PROPIEDAD HORIZONTAL</v>
          </cell>
          <cell r="D2864" t="str">
            <v>6200156</v>
          </cell>
          <cell r="E2864" t="str">
            <v>edificiostudio106ph@gmail.com</v>
          </cell>
          <cell r="F2864" t="str">
            <v>CALLE 106  14 B  35</v>
          </cell>
          <cell r="G2864">
            <v>11001</v>
          </cell>
        </row>
        <row r="2865">
          <cell r="A2865" t="str">
            <v>900860014</v>
          </cell>
          <cell r="B2865" t="str">
            <v>7</v>
          </cell>
          <cell r="C2865" t="str">
            <v>CLUB TOWER I APARTAMENTOS PROPIEDAD HORIZONTAL</v>
          </cell>
          <cell r="D2865" t="str">
            <v>3017544959</v>
          </cell>
          <cell r="E2865" t="str">
            <v>clubtoweruno@hotmail.com</v>
          </cell>
          <cell r="F2865" t="str">
            <v>CALLE 3 A  25  26</v>
          </cell>
          <cell r="G2865">
            <v>11001</v>
          </cell>
        </row>
        <row r="2866">
          <cell r="A2866" t="str">
            <v>900860244</v>
          </cell>
          <cell r="B2866" t="str">
            <v>4</v>
          </cell>
          <cell r="C2866" t="str">
            <v>CONJUNTO RESIDENCIAL MONTEPIETRA P.H</v>
          </cell>
          <cell r="D2866" t="str">
            <v>4483149</v>
          </cell>
          <cell r="E2866" t="str">
            <v>compras@abelardoyepes.com</v>
          </cell>
          <cell r="F2866" t="str">
            <v>CALLE 38 B SUR  26  02</v>
          </cell>
          <cell r="G2866">
            <v>11001</v>
          </cell>
        </row>
        <row r="2867">
          <cell r="A2867" t="str">
            <v>900864233</v>
          </cell>
          <cell r="B2867" t="str">
            <v>1</v>
          </cell>
          <cell r="C2867" t="str">
            <v>URBANIZACION MIRAMONTE P.H.</v>
          </cell>
          <cell r="D2867" t="str">
            <v>3007853786</v>
          </cell>
          <cell r="E2867" t="str">
            <v>urbanizacionmiramonte@gmail.com</v>
          </cell>
          <cell r="F2867" t="str">
            <v>CALLE 75 SUR  33  03</v>
          </cell>
          <cell r="G2867">
            <v>11001</v>
          </cell>
        </row>
        <row r="2868">
          <cell r="A2868" t="str">
            <v>900864734</v>
          </cell>
          <cell r="B2868" t="str">
            <v>1</v>
          </cell>
          <cell r="C2868" t="str">
            <v>EDIFICIO MANANTIAL - PROPIEDAD HORIZONTAL</v>
          </cell>
          <cell r="D2868" t="str">
            <v>4140019</v>
          </cell>
          <cell r="E2868" t="str">
            <v>casablancainmobiliariamedellin@gmail.com</v>
          </cell>
          <cell r="F2868" t="str">
            <v>CALLE 49  39  65</v>
          </cell>
          <cell r="G2868">
            <v>11001</v>
          </cell>
        </row>
        <row r="2869">
          <cell r="A2869" t="str">
            <v>900864755</v>
          </cell>
          <cell r="B2869" t="str">
            <v>4</v>
          </cell>
          <cell r="C2869" t="str">
            <v>EDIFICIO OM CLUB HOUSE</v>
          </cell>
          <cell r="D2869" t="str">
            <v>3880089</v>
          </cell>
          <cell r="E2869" t="str">
            <v>omclubhouse@gmail.com</v>
          </cell>
          <cell r="F2869" t="str">
            <v>CARRERA 55  82  227</v>
          </cell>
          <cell r="G2869">
            <v>11001</v>
          </cell>
        </row>
        <row r="2870">
          <cell r="A2870" t="str">
            <v>900865565</v>
          </cell>
          <cell r="B2870" t="str">
            <v>6</v>
          </cell>
          <cell r="C2870" t="str">
            <v>FIVE PACK ALLIANCE S.A.S.</v>
          </cell>
          <cell r="D2870" t="str">
            <v>6063476</v>
          </cell>
          <cell r="E2870" t="str">
            <v>5pa@5pa.co</v>
          </cell>
          <cell r="F2870" t="str">
            <v>CL 3 B SUR 29 C 146 AP 403</v>
          </cell>
          <cell r="G2870">
            <v>11001</v>
          </cell>
        </row>
        <row r="2871">
          <cell r="A2871" t="str">
            <v>900865565</v>
          </cell>
          <cell r="B2871" t="str">
            <v>6</v>
          </cell>
          <cell r="C2871" t="str">
            <v>FIVE PACK ALLIANCE S.A.S.</v>
          </cell>
          <cell r="D2871" t="str">
            <v>6063476</v>
          </cell>
          <cell r="E2871" t="str">
            <v>5pa@5pa.co</v>
          </cell>
          <cell r="F2871" t="str">
            <v>CL 3 B SUR 29 C 146 AP 403</v>
          </cell>
          <cell r="G2871">
            <v>11001</v>
          </cell>
        </row>
        <row r="2872">
          <cell r="A2872" t="str">
            <v>900865735</v>
          </cell>
          <cell r="B2872" t="str">
            <v>1</v>
          </cell>
          <cell r="C2872" t="str">
            <v>FOX HOTELES S.A.S.</v>
          </cell>
          <cell r="D2872" t="str">
            <v>3174286518</v>
          </cell>
          <cell r="E2872" t="str">
            <v>contabilidad@hotelsummer.com.co</v>
          </cell>
          <cell r="F2872" t="str">
            <v>CARRERA 9  19  20</v>
          </cell>
          <cell r="G2872">
            <v>11001</v>
          </cell>
        </row>
        <row r="2873">
          <cell r="A2873" t="str">
            <v>900866424</v>
          </cell>
          <cell r="B2873" t="str">
            <v>0</v>
          </cell>
          <cell r="C2873" t="str">
            <v>EDIFICIO FORMENTERA PROPIEDAD HORIZONTAL</v>
          </cell>
          <cell r="D2873" t="str">
            <v>3133578617</v>
          </cell>
          <cell r="E2873" t="str">
            <v>formenteraedificio@gmail.com</v>
          </cell>
          <cell r="F2873" t="str">
            <v>CARRERA 33  22  25</v>
          </cell>
          <cell r="G2873">
            <v>11001</v>
          </cell>
        </row>
        <row r="2874">
          <cell r="A2874" t="str">
            <v>900866992</v>
          </cell>
          <cell r="B2874" t="str">
            <v>2</v>
          </cell>
          <cell r="C2874" t="str">
            <v>PACTIA S.A.S.</v>
          </cell>
          <cell r="D2874" t="str">
            <v>3116751263</v>
          </cell>
          <cell r="E2874" t="str">
            <v>pactiafe@pactia.com</v>
          </cell>
          <cell r="F2874" t="str">
            <v>CARRERA 43 A  18 SUR  135  PISO 4</v>
          </cell>
          <cell r="G2874">
            <v>11001</v>
          </cell>
        </row>
        <row r="2875">
          <cell r="A2875" t="str">
            <v>900868445</v>
          </cell>
          <cell r="B2875" t="str">
            <v>4</v>
          </cell>
          <cell r="C2875" t="str">
            <v>EDIFICIO MONTICELLO - PROPIEDAD HORIZONTAL</v>
          </cell>
          <cell r="D2875" t="str">
            <v>4966588</v>
          </cell>
          <cell r="E2875" t="str">
            <v>admiintegral@gmail.com</v>
          </cell>
          <cell r="F2875" t="str">
            <v>CARRERA 17 A  127 A  19</v>
          </cell>
          <cell r="G2875">
            <v>11001</v>
          </cell>
        </row>
        <row r="2876">
          <cell r="A2876" t="str">
            <v>900871453</v>
          </cell>
          <cell r="B2876" t="str">
            <v>4</v>
          </cell>
          <cell r="C2876" t="str">
            <v>EDIFICIO 92/19 - PROPIEDAD HORIZONTAL</v>
          </cell>
          <cell r="D2876" t="str">
            <v>3156897539</v>
          </cell>
          <cell r="E2876" t="str">
            <v>admon.9219@adminsa.com.co</v>
          </cell>
          <cell r="F2876" t="str">
            <v>CARRERA 19  92  37</v>
          </cell>
          <cell r="G2876">
            <v>11001</v>
          </cell>
        </row>
        <row r="2877">
          <cell r="A2877" t="str">
            <v>900871468</v>
          </cell>
          <cell r="B2877" t="str">
            <v>4</v>
          </cell>
          <cell r="C2877" t="str">
            <v>EDIFICIO LUXOR</v>
          </cell>
          <cell r="D2877" t="str">
            <v>3012384723</v>
          </cell>
          <cell r="E2877" t="str">
            <v>ed.edificioluxor@gmail.com</v>
          </cell>
          <cell r="F2877" t="str">
            <v>CALLE 106  49 E  45</v>
          </cell>
          <cell r="G2877">
            <v>11001</v>
          </cell>
        </row>
        <row r="2878">
          <cell r="A2878" t="str">
            <v>900872162</v>
          </cell>
          <cell r="B2878" t="str">
            <v>0</v>
          </cell>
          <cell r="C2878" t="str">
            <v>CONJUNTO RESIDENCIAL MONTEALTO PROPIEDAD HORIZONTAL</v>
          </cell>
          <cell r="D2878" t="str">
            <v>3146697590</v>
          </cell>
          <cell r="E2878" t="str">
            <v>conjuntoresidencialmontealto@gmail.com</v>
          </cell>
          <cell r="F2878" t="str">
            <v>CARRERA 12  6  07</v>
          </cell>
          <cell r="G2878">
            <v>11001</v>
          </cell>
        </row>
        <row r="2879">
          <cell r="A2879" t="str">
            <v>900873514</v>
          </cell>
          <cell r="B2879" t="str">
            <v>4</v>
          </cell>
          <cell r="C2879" t="str">
            <v>EDIFICIO ESPACIO PLUS - PROPIEDAD HORIZONTAL</v>
          </cell>
          <cell r="D2879" t="str">
            <v>2362427</v>
          </cell>
          <cell r="E2879" t="str">
            <v>espacioplusph@gmail.com</v>
          </cell>
          <cell r="F2879" t="str">
            <v>CALLE 62  5  35</v>
          </cell>
          <cell r="G2879">
            <v>11001</v>
          </cell>
        </row>
        <row r="2880">
          <cell r="A2880" t="str">
            <v>900875423</v>
          </cell>
          <cell r="B2880" t="str">
            <v>1</v>
          </cell>
          <cell r="C2880" t="str">
            <v>CONJUNTO RESIDENCIAL PARQUE CENTRAL HAYUELOS</v>
          </cell>
          <cell r="D2880" t="str">
            <v>3008142509</v>
          </cell>
          <cell r="E2880" t="str">
            <v>hayuelosbarranquilla@gmail.com</v>
          </cell>
          <cell r="F2880" t="str">
            <v>CALLE 63 31 104</v>
          </cell>
          <cell r="G2880">
            <v>11001</v>
          </cell>
        </row>
        <row r="2881">
          <cell r="A2881" t="str">
            <v>900875637</v>
          </cell>
          <cell r="B2881" t="str">
            <v>0</v>
          </cell>
          <cell r="C2881" t="str">
            <v>CONJUNTO MIXTO PLAZA DE LA HOJA - PROPIEDAD HORIZONTAL</v>
          </cell>
          <cell r="D2881" t="str">
            <v>3103020368</v>
          </cell>
          <cell r="E2881" t="str">
            <v>atencionvirtualplazadelahoja@hotmail.com</v>
          </cell>
          <cell r="F2881" t="str">
            <v>CARRERA 32  19 B  10</v>
          </cell>
          <cell r="G2881">
            <v>11001</v>
          </cell>
        </row>
        <row r="2882">
          <cell r="A2882" t="str">
            <v>900875637</v>
          </cell>
          <cell r="B2882" t="str">
            <v>0</v>
          </cell>
          <cell r="C2882" t="str">
            <v>CONJUNTO MIXTO PLAZA DE LA HOJA - PROPIEDAD HORIZONTAL</v>
          </cell>
          <cell r="D2882" t="str">
            <v>3103020368</v>
          </cell>
          <cell r="E2882" t="str">
            <v>atencionvirtualplazadelahoja@hotmail.com</v>
          </cell>
          <cell r="F2882" t="str">
            <v>CARRERA 32  19 B  10</v>
          </cell>
          <cell r="G2882">
            <v>11001</v>
          </cell>
        </row>
        <row r="2883">
          <cell r="A2883" t="str">
            <v>900876756</v>
          </cell>
          <cell r="B2883" t="str">
            <v>3</v>
          </cell>
          <cell r="C2883" t="str">
            <v>CONJUNTO RESIDENCIAL ROSAL RESERVADO - PROPIEDAD HORIZONTAL</v>
          </cell>
          <cell r="D2883" t="str">
            <v>4661198</v>
          </cell>
          <cell r="E2883" t="str">
            <v>admiintegralfacturacion@gmail.com</v>
          </cell>
          <cell r="F2883" t="str">
            <v>TRANSVERSAL 1 ESTE  54 A  04</v>
          </cell>
          <cell r="G2883">
            <v>11001</v>
          </cell>
        </row>
        <row r="2884">
          <cell r="A2884" t="str">
            <v>900876756</v>
          </cell>
          <cell r="B2884" t="str">
            <v>3</v>
          </cell>
          <cell r="C2884" t="str">
            <v>CONJUNTO RESIDENCIAL ROSAL RESERVADO - PROPIEDAD HORIZONTAL</v>
          </cell>
          <cell r="D2884" t="str">
            <v>4661198</v>
          </cell>
          <cell r="E2884" t="str">
            <v>admiintegralfacturacion@gmail.com</v>
          </cell>
          <cell r="F2884" t="str">
            <v>TRANSVERSAL 1 ESTE  54 A  04</v>
          </cell>
          <cell r="G2884">
            <v>11001</v>
          </cell>
        </row>
        <row r="2885">
          <cell r="A2885" t="str">
            <v>900879283</v>
          </cell>
          <cell r="B2885" t="str">
            <v>5</v>
          </cell>
          <cell r="C2885" t="str">
            <v>EDIFICIO FLORES DEL RIO - PROPIEDAD HORIZONTAL</v>
          </cell>
          <cell r="D2885" t="str">
            <v>8853737</v>
          </cell>
          <cell r="E2885" t="str">
            <v>rigojaco18@hotmail.com</v>
          </cell>
          <cell r="F2885" t="str">
            <v>CARRERA 23  51  67</v>
          </cell>
          <cell r="G2885">
            <v>11001</v>
          </cell>
        </row>
        <row r="2886">
          <cell r="A2886" t="str">
            <v>900879300</v>
          </cell>
          <cell r="B2886" t="str">
            <v>2</v>
          </cell>
          <cell r="C2886" t="str">
            <v>CONJUNTO RESIDENCIAL CORINTO - PROPIEDAD HORIZONTAL</v>
          </cell>
          <cell r="D2886" t="str">
            <v>3102455235</v>
          </cell>
          <cell r="E2886" t="str">
            <v>conjuntoresidencialcorinto@gmail.com</v>
          </cell>
          <cell r="F2886" t="str">
            <v>CL 161 54 87</v>
          </cell>
          <cell r="G2886">
            <v>11001</v>
          </cell>
        </row>
        <row r="2887">
          <cell r="A2887" t="str">
            <v>900883861</v>
          </cell>
          <cell r="B2887" t="str">
            <v>8</v>
          </cell>
          <cell r="C2887" t="str">
            <v>VIVIENDA MULTIFAMILIAR EDIFICIO CHICO - PROPIEDAD HORIZONTAL</v>
          </cell>
          <cell r="D2887" t="str">
            <v>5161082</v>
          </cell>
          <cell r="E2887" t="str">
            <v>edificiochicocra12@gmail.com</v>
          </cell>
          <cell r="F2887" t="str">
            <v>CARRERA 12  101  61</v>
          </cell>
          <cell r="G2887">
            <v>11001</v>
          </cell>
        </row>
        <row r="2888">
          <cell r="A2888" t="str">
            <v>900885230</v>
          </cell>
          <cell r="B2888" t="str">
            <v>1</v>
          </cell>
          <cell r="C2888" t="str">
            <v>UNIDAD RESIDENCIAL SALONICA APARTAMENTOS CLUB - PH</v>
          </cell>
          <cell r="D2888" t="str">
            <v>6450049</v>
          </cell>
          <cell r="E2888" t="str">
            <v>salonica.apartamentos@gmail.com</v>
          </cell>
          <cell r="F2888" t="str">
            <v>CARRERA 25  33  73</v>
          </cell>
          <cell r="G2888">
            <v>11001</v>
          </cell>
        </row>
        <row r="2889">
          <cell r="A2889" t="str">
            <v>900885659</v>
          </cell>
          <cell r="B2889" t="str">
            <v>5</v>
          </cell>
          <cell r="C2889" t="str">
            <v>EDIFICIO LARES 95 - PROPIEDAD HORIZONTAL</v>
          </cell>
          <cell r="D2889" t="str">
            <v>3202218940</v>
          </cell>
          <cell r="E2889" t="str">
            <v>edificiolares95ph@gmail.com</v>
          </cell>
          <cell r="F2889" t="str">
            <v>TRANSVERSAL 19 A  95  96</v>
          </cell>
          <cell r="G2889">
            <v>11001</v>
          </cell>
        </row>
        <row r="2890">
          <cell r="A2890" t="str">
            <v>900885681</v>
          </cell>
          <cell r="B2890" t="str">
            <v>8</v>
          </cell>
          <cell r="C2890" t="str">
            <v>CONJUNTO RESIDENCIAL MEDITERRANE ROYAL CONDOMINIO &amp; CLUB PH</v>
          </cell>
          <cell r="D2890" t="str">
            <v>6381134</v>
          </cell>
          <cell r="E2890" t="str">
            <v>mediterraneroyalgerencia@hotmail.com</v>
          </cell>
          <cell r="F2890" t="str">
            <v>CARRERA 12  200  14</v>
          </cell>
          <cell r="G2890">
            <v>11001</v>
          </cell>
        </row>
        <row r="2891">
          <cell r="A2891" t="str">
            <v>900886165</v>
          </cell>
          <cell r="B2891" t="str">
            <v>3</v>
          </cell>
          <cell r="C2891" t="str">
            <v>AGROPECUARIA AGUA VERDE SAS</v>
          </cell>
          <cell r="D2891" t="str">
            <v>2854457</v>
          </cell>
          <cell r="E2891" t="str">
            <v>lhv7@hotmail.com</v>
          </cell>
          <cell r="F2891" t="str">
            <v>DG 5 H 47 99</v>
          </cell>
          <cell r="G2891">
            <v>11001</v>
          </cell>
        </row>
        <row r="2892">
          <cell r="A2892" t="str">
            <v>900886165</v>
          </cell>
          <cell r="B2892" t="str">
            <v>3</v>
          </cell>
          <cell r="C2892" t="str">
            <v>AGROPECUARIA AGUA VERDE SAS</v>
          </cell>
          <cell r="D2892" t="str">
            <v>2854457</v>
          </cell>
          <cell r="E2892" t="str">
            <v>lhv7@hotmail.com</v>
          </cell>
          <cell r="F2892" t="str">
            <v>DG 5 H 47 99</v>
          </cell>
          <cell r="G2892">
            <v>11001</v>
          </cell>
        </row>
        <row r="2893">
          <cell r="A2893" t="str">
            <v>900886709</v>
          </cell>
          <cell r="B2893" t="str">
            <v>1</v>
          </cell>
          <cell r="C2893" t="str">
            <v>EDIFICIO OFICINAS 93A - PROPIEDAD HORIZONTAL-</v>
          </cell>
          <cell r="D2893" t="str">
            <v>4762894</v>
          </cell>
          <cell r="E2893" t="str">
            <v>facturacion@estiloingenieria.com</v>
          </cell>
          <cell r="F2893" t="str">
            <v>CARRERA 18 A  143  61</v>
          </cell>
          <cell r="G2893">
            <v>11001</v>
          </cell>
        </row>
        <row r="2894">
          <cell r="A2894" t="str">
            <v>900887751</v>
          </cell>
          <cell r="B2894" t="str">
            <v>4</v>
          </cell>
          <cell r="C2894" t="str">
            <v>URBANIZACION COLINA VERDE PH</v>
          </cell>
          <cell r="D2894" t="str">
            <v>3116485448</v>
          </cell>
          <cell r="E2894" t="str">
            <v>colinaverdeph@gmail.com</v>
          </cell>
          <cell r="F2894" t="str">
            <v>CARRERA 59 A  69 C  09</v>
          </cell>
          <cell r="G2894">
            <v>11001</v>
          </cell>
        </row>
        <row r="2895">
          <cell r="A2895" t="str">
            <v>900888250</v>
          </cell>
          <cell r="B2895" t="str">
            <v>0</v>
          </cell>
          <cell r="C2895" t="str">
            <v>KOBALTO P.H.</v>
          </cell>
          <cell r="D2895" t="str">
            <v>3042111517</v>
          </cell>
          <cell r="E2895" t="str">
            <v>kobaltoph@gmail.com</v>
          </cell>
          <cell r="F2895" t="str">
            <v>CALLE 45 A SUR  39 B  226</v>
          </cell>
          <cell r="G2895">
            <v>11001</v>
          </cell>
        </row>
        <row r="2896">
          <cell r="A2896" t="str">
            <v>900890315</v>
          </cell>
          <cell r="B2896" t="str">
            <v>7</v>
          </cell>
          <cell r="C2896" t="str">
            <v>AGRUPACION RESERVA DEL MAR</v>
          </cell>
          <cell r="D2896" t="str">
            <v>3225942840</v>
          </cell>
          <cell r="E2896" t="str">
            <v>facturacion.reservadelmarph@outlook.com</v>
          </cell>
          <cell r="F2896" t="str">
            <v>CALLE 22  1  67</v>
          </cell>
          <cell r="G2896">
            <v>11001</v>
          </cell>
        </row>
        <row r="2897">
          <cell r="A2897" t="str">
            <v>900891198</v>
          </cell>
          <cell r="B2897" t="str">
            <v>6</v>
          </cell>
          <cell r="C2897" t="str">
            <v>CONJUNTO RESIDENCIAL TIMIZA DEL PARQUE PH-PROPIEDAD HORIZONTAL</v>
          </cell>
          <cell r="D2897" t="str">
            <v>3164188063</v>
          </cell>
          <cell r="E2897" t="str">
            <v>timizadelparque@gmail.com</v>
          </cell>
          <cell r="F2897" t="str">
            <v>CALLE 42 B SUR  72 H  15</v>
          </cell>
          <cell r="G2897">
            <v>11001</v>
          </cell>
        </row>
        <row r="2898">
          <cell r="A2898" t="str">
            <v>900892364</v>
          </cell>
          <cell r="B2898" t="str">
            <v>7</v>
          </cell>
          <cell r="C2898" t="str">
            <v>EDIFICIO ALTOS DE MONTEVERDE ETAPA I- PROPIEDAD HORIZONTAL</v>
          </cell>
          <cell r="D2898" t="str">
            <v>3182152790</v>
          </cell>
          <cell r="E2898" t="str">
            <v>altosdemonteverde@hotmail.com</v>
          </cell>
          <cell r="F2898" t="str">
            <v>CARRERA 16 B  48  68</v>
          </cell>
          <cell r="G2898">
            <v>11001</v>
          </cell>
        </row>
        <row r="2899">
          <cell r="A2899" t="str">
            <v>900894294</v>
          </cell>
          <cell r="B2899" t="str">
            <v>9</v>
          </cell>
          <cell r="C2899" t="str">
            <v>EDIFICIO MAVI PROPIEDAD HORIZONTAL</v>
          </cell>
          <cell r="D2899" t="str">
            <v>6613062</v>
          </cell>
          <cell r="E2899" t="str">
            <v>edificiomavi1@gmail.com</v>
          </cell>
          <cell r="F2899" t="str">
            <v>CR 9 89 43</v>
          </cell>
          <cell r="G2899">
            <v>11001</v>
          </cell>
        </row>
        <row r="2900">
          <cell r="A2900" t="str">
            <v>900895608</v>
          </cell>
          <cell r="B2900" t="str">
            <v>2</v>
          </cell>
          <cell r="C2900" t="str">
            <v>CONJUNTO RESIDENCIAL MIRADORES DE PONTEVEDRA ETAPA I - PROPIEDAD HORIZONTAL</v>
          </cell>
          <cell r="D2900" t="str">
            <v>8052249</v>
          </cell>
          <cell r="E2900" t="str">
            <v>admonmiradoresdepontevedra@hotmail.com</v>
          </cell>
          <cell r="F2900" t="str">
            <v>CALLE 95  71  75</v>
          </cell>
          <cell r="G2900">
            <v>11001</v>
          </cell>
        </row>
        <row r="2901">
          <cell r="A2901" t="str">
            <v>900895608</v>
          </cell>
          <cell r="B2901" t="str">
            <v>2</v>
          </cell>
          <cell r="C2901" t="str">
            <v>CONJUNTO RESIDENCIAL MIRADORES DE PONTEVEDRA ETAPA I - PROPIEDAD HORIZONTAL</v>
          </cell>
          <cell r="D2901" t="str">
            <v>8052249</v>
          </cell>
          <cell r="E2901" t="str">
            <v>admonmiradoresdepontevedra@hotmail.com</v>
          </cell>
          <cell r="F2901" t="str">
            <v>CALLE 95  71  75</v>
          </cell>
          <cell r="G2901">
            <v>11001</v>
          </cell>
        </row>
        <row r="2902">
          <cell r="A2902" t="str">
            <v>900896001</v>
          </cell>
          <cell r="B2902" t="str">
            <v>7</v>
          </cell>
          <cell r="C2902" t="str">
            <v>EDIFICIO ALTAVISTA RESERVA DEL COUNTRY - PROPIEDAD HORIZONTAL</v>
          </cell>
          <cell r="D2902" t="str">
            <v>3 1 0 3 1 4 3 5 3 8</v>
          </cell>
          <cell r="E2902" t="str">
            <v>reservadelcountry@gmail.com</v>
          </cell>
          <cell r="F2902" t="str">
            <v>CL 137 12 B 70</v>
          </cell>
          <cell r="G2902">
            <v>11001</v>
          </cell>
        </row>
        <row r="2903">
          <cell r="A2903" t="str">
            <v>900896013</v>
          </cell>
          <cell r="B2903" t="str">
            <v>5</v>
          </cell>
          <cell r="C2903" t="str">
            <v>EDIFICIO VISTAPARK - PROPIEDAD HORIZONTAL</v>
          </cell>
          <cell r="D2903" t="str">
            <v>4672462</v>
          </cell>
          <cell r="E2903" t="str">
            <v>edificio.vistapark@yahoo.com</v>
          </cell>
          <cell r="F2903" t="str">
            <v>CL 124 20 33</v>
          </cell>
          <cell r="G2903">
            <v>11001</v>
          </cell>
        </row>
        <row r="2904">
          <cell r="A2904" t="str">
            <v>900896013</v>
          </cell>
          <cell r="B2904" t="str">
            <v>5</v>
          </cell>
          <cell r="C2904" t="str">
            <v>EDIFICIO VISTAPARK - PROPIEDAD HORIZONTAL</v>
          </cell>
          <cell r="D2904" t="str">
            <v>4672462</v>
          </cell>
          <cell r="E2904" t="str">
            <v>edificio.vistapark@yahoo.com</v>
          </cell>
          <cell r="F2904" t="str">
            <v>CL 124 20 33</v>
          </cell>
          <cell r="G2904">
            <v>11001</v>
          </cell>
        </row>
        <row r="2905">
          <cell r="A2905" t="str">
            <v>900896673</v>
          </cell>
          <cell r="B2905" t="str">
            <v>6</v>
          </cell>
          <cell r="C2905" t="str">
            <v>CONJUNTO RESIDENCIAL TENERIFE - PROPIEDAD HORIZONTAL</v>
          </cell>
          <cell r="D2905" t="str">
            <v>3114934866</v>
          </cell>
          <cell r="E2905" t="str">
            <v>atenerife353@gmail.com</v>
          </cell>
          <cell r="F2905" t="str">
            <v>CL 159 54 78</v>
          </cell>
          <cell r="G2905">
            <v>11001</v>
          </cell>
        </row>
        <row r="2906">
          <cell r="A2906" t="str">
            <v>900896782</v>
          </cell>
          <cell r="B2906" t="str">
            <v>0</v>
          </cell>
          <cell r="C2906" t="str">
            <v>INVERSIONES PAISAJES DEL CERRO S.A.S</v>
          </cell>
          <cell r="D2906" t="str">
            <v>8853790</v>
          </cell>
          <cell r="E2906" t="str">
            <v>facturacion@perfek.com.co</v>
          </cell>
          <cell r="F2906" t="str">
            <v>CALLE 58 No. 24 - 35</v>
          </cell>
          <cell r="G2906">
            <v>11001</v>
          </cell>
        </row>
        <row r="2907">
          <cell r="A2907" t="str">
            <v>900898065</v>
          </cell>
          <cell r="B2907" t="str">
            <v>7</v>
          </cell>
          <cell r="C2907" t="str">
            <v>CONJUNTO CERRADO TORRES DE PICABIA - PROPIEDAD HORIZONTAL</v>
          </cell>
          <cell r="D2907" t="str">
            <v>3183934529</v>
          </cell>
          <cell r="E2907" t="str">
            <v>elsuca17@hotmail.com</v>
          </cell>
          <cell r="F2907" t="str">
            <v>AVENIDA 18 E  7 N  166</v>
          </cell>
          <cell r="G2907">
            <v>11001</v>
          </cell>
        </row>
        <row r="2908">
          <cell r="A2908" t="str">
            <v>900898958</v>
          </cell>
          <cell r="B2908" t="str">
            <v>9</v>
          </cell>
          <cell r="C2908" t="str">
            <v>CONJUNTO RESIDENCIAL PORTUS ETAPA 1 Y ETAPA 2 - PROPIEDAD HORIZONTAL</v>
          </cell>
          <cell r="D2908" t="str">
            <v>5200012</v>
          </cell>
          <cell r="E2908" t="str">
            <v>portusalejandriaph@gmail.com</v>
          </cell>
          <cell r="F2908" t="str">
            <v>CL 159 54 65</v>
          </cell>
          <cell r="G2908">
            <v>11001</v>
          </cell>
        </row>
        <row r="2909">
          <cell r="A2909" t="str">
            <v>900898958</v>
          </cell>
          <cell r="B2909" t="str">
            <v>9</v>
          </cell>
          <cell r="C2909" t="str">
            <v>CONJUNTO RESIDENCIAL PORTUS ETAPA 1 Y ETAPA 2 - PROPIEDAD HORIZONTAL</v>
          </cell>
          <cell r="D2909" t="str">
            <v>5200012</v>
          </cell>
          <cell r="E2909" t="str">
            <v>portusalejandriaph@gmail.com</v>
          </cell>
          <cell r="F2909" t="str">
            <v>CL 159 54 65</v>
          </cell>
          <cell r="G2909">
            <v>11001</v>
          </cell>
        </row>
        <row r="2910">
          <cell r="A2910" t="str">
            <v>900899934</v>
          </cell>
          <cell r="B2910" t="str">
            <v>7</v>
          </cell>
          <cell r="C2910" t="str">
            <v>CONJUNTO RESIDENCIAL VALKINA RESIDENCE CLUB</v>
          </cell>
          <cell r="D2910" t="str">
            <v>3134249070</v>
          </cell>
          <cell r="E2910" t="str">
            <v>conjuntovalkina@gmail.com</v>
          </cell>
          <cell r="F2910" t="str">
            <v>CALLE 10  26  35</v>
          </cell>
          <cell r="G2910">
            <v>11001</v>
          </cell>
        </row>
        <row r="2911">
          <cell r="A2911" t="str">
            <v>900900769</v>
          </cell>
          <cell r="B2911" t="str">
            <v>1</v>
          </cell>
          <cell r="C2911" t="str">
            <v>EDIFICIO HIGUA SEGUNDA ETAPA - PROPIEDAD HORIZONTAL</v>
          </cell>
          <cell r="D2911" t="str">
            <v>6010404</v>
          </cell>
          <cell r="E2911" t="str">
            <v>administracion@edificio1990.com.co</v>
          </cell>
          <cell r="F2911" t="str">
            <v>CARRERA 14  91  26</v>
          </cell>
          <cell r="G2911">
            <v>11001</v>
          </cell>
        </row>
        <row r="2912">
          <cell r="A2912" t="str">
            <v>900901619</v>
          </cell>
          <cell r="B2912" t="str">
            <v>1</v>
          </cell>
          <cell r="C2912" t="str">
            <v>CONJUNTO RESIDENCIAL TORRES DE SANTA BARBARA PROPIEDAD HORIZONTAL</v>
          </cell>
          <cell r="D2912" t="str">
            <v>9054915</v>
          </cell>
          <cell r="E2912" t="str">
            <v>torressantabarbaraadmon@gmail.com</v>
          </cell>
          <cell r="F2912" t="str">
            <v>CALLE 125  21 A  70 OFICINA 303</v>
          </cell>
          <cell r="G2912">
            <v>11001</v>
          </cell>
        </row>
        <row r="2913">
          <cell r="A2913" t="str">
            <v>900902431</v>
          </cell>
          <cell r="B2913" t="str">
            <v>7</v>
          </cell>
          <cell r="C2913" t="str">
            <v>HOTEL CARTAGENA PLAZA DE LA ADUANA S.A.S.</v>
          </cell>
          <cell r="D2913" t="str">
            <v>3107633036</v>
          </cell>
          <cell r="E2913" t="str">
            <v>factsophia@oxohotel.com</v>
          </cell>
          <cell r="F2913" t="str">
            <v>CALLE 32  4  45</v>
          </cell>
          <cell r="G2913">
            <v>11001</v>
          </cell>
        </row>
        <row r="2914">
          <cell r="A2914" t="str">
            <v>900902620</v>
          </cell>
          <cell r="B2914" t="str">
            <v>2</v>
          </cell>
          <cell r="C2914" t="str">
            <v>EDIFICIO MUZO APARTAMENTOS P.H.</v>
          </cell>
          <cell r="D2914" t="str">
            <v>3136828606</v>
          </cell>
          <cell r="E2914" t="str">
            <v>compras@abelardoyepes.com</v>
          </cell>
          <cell r="F2914" t="str">
            <v>CARRERA 27 A SUR  2  10</v>
          </cell>
          <cell r="G2914">
            <v>11001</v>
          </cell>
        </row>
        <row r="2915">
          <cell r="A2915" t="str">
            <v>900903072</v>
          </cell>
          <cell r="B2915" t="str">
            <v>0</v>
          </cell>
          <cell r="C2915" t="str">
            <v>CONJUNTO RESIDENCIAL URBANIZACIÓN EL POMAR - PROPIEDAD HORIZONTAL</v>
          </cell>
          <cell r="D2915" t="str">
            <v>4447661</v>
          </cell>
          <cell r="E2915" t="str">
            <v>facturaspomarph@gmail.com</v>
          </cell>
          <cell r="F2915" t="str">
            <v>CARRERA 98  64 B  35</v>
          </cell>
          <cell r="G2915">
            <v>11001</v>
          </cell>
        </row>
        <row r="2916">
          <cell r="A2916" t="str">
            <v>900904846</v>
          </cell>
          <cell r="B2916" t="str">
            <v>9</v>
          </cell>
          <cell r="C2916" t="str">
            <v>EDIFICIO ALTAMIRA DE LA FLORIDA PH</v>
          </cell>
          <cell r="D2916" t="str">
            <v>6780488</v>
          </cell>
          <cell r="E2916" t="str">
            <v>edi.altamiraflorida@gmail.com</v>
          </cell>
          <cell r="F2916" t="str">
            <v>CARRERA 13  5  70</v>
          </cell>
          <cell r="G2916">
            <v>11001</v>
          </cell>
        </row>
        <row r="2917">
          <cell r="A2917" t="str">
            <v>900906554</v>
          </cell>
          <cell r="B2917" t="str">
            <v>2</v>
          </cell>
          <cell r="C2917" t="str">
            <v>CANTINA LA 15 S A S</v>
          </cell>
          <cell r="D2917" t="str">
            <v>3205602429</v>
          </cell>
          <cell r="E2917" t="str">
            <v>facturacion@cantinala15.com.co</v>
          </cell>
          <cell r="F2917" t="str">
            <v>CL 15 9 62</v>
          </cell>
          <cell r="G2917">
            <v>11001</v>
          </cell>
        </row>
        <row r="2918">
          <cell r="A2918" t="str">
            <v>900907370</v>
          </cell>
          <cell r="B2918" t="str">
            <v>9</v>
          </cell>
          <cell r="C2918" t="str">
            <v>EDIFICIO BALCONES DEL CEDRO II - PROPIEDAD HORIZONTAL</v>
          </cell>
          <cell r="D2918" t="str">
            <v>3004494880</v>
          </cell>
          <cell r="E2918" t="str">
            <v>facturacion@estiloingenieria.com</v>
          </cell>
          <cell r="F2918" t="str">
            <v>CARRERA 7 C  138  71</v>
          </cell>
          <cell r="G2918">
            <v>11001</v>
          </cell>
        </row>
        <row r="2919">
          <cell r="A2919" t="str">
            <v>900908192</v>
          </cell>
          <cell r="B2919" t="str">
            <v>9</v>
          </cell>
          <cell r="C2919" t="str">
            <v>FONDO DE INVERSIÓN COLECTIVA INMOBILIARIO DE RENTA DAVIVIENDA CORREDORES</v>
          </cell>
          <cell r="D2919" t="str">
            <v>3123300</v>
          </cell>
          <cell r="E2919" t="str">
            <v>vortiz@mts.com.co</v>
          </cell>
          <cell r="F2919" t="str">
            <v>CR 7 71 52 TO B P 16</v>
          </cell>
          <cell r="G2919">
            <v>11001</v>
          </cell>
        </row>
        <row r="2920">
          <cell r="A2920" t="str">
            <v>900908714</v>
          </cell>
          <cell r="B2920" t="str">
            <v>3</v>
          </cell>
          <cell r="C2920" t="str">
            <v>CONJUNTO RESIDENCIAL SANTA ELENA RESERVADO - PROPIEDAD HORIZONTAL</v>
          </cell>
          <cell r="D2920" t="str">
            <v>3196677005</v>
          </cell>
          <cell r="E2920" t="str">
            <v>santaelenadmon2020@gmail.com</v>
          </cell>
          <cell r="F2920" t="str">
            <v>CALLE 125  21 A  70</v>
          </cell>
          <cell r="G2920">
            <v>11001</v>
          </cell>
        </row>
        <row r="2921">
          <cell r="A2921" t="str">
            <v>900908714</v>
          </cell>
          <cell r="B2921" t="str">
            <v>3</v>
          </cell>
          <cell r="C2921" t="str">
            <v>CONJUNTO RESIDENCIAL SANTA ELENA RESERVADO - PROPIEDAD HORIZONTAL</v>
          </cell>
          <cell r="D2921" t="str">
            <v>3196677005</v>
          </cell>
          <cell r="E2921" t="str">
            <v>santaelenadmon2020@gmail.com</v>
          </cell>
          <cell r="F2921" t="str">
            <v>CALLE 125  21 A  70</v>
          </cell>
          <cell r="G2921">
            <v>11001</v>
          </cell>
        </row>
        <row r="2922">
          <cell r="A2922" t="str">
            <v>900909067</v>
          </cell>
          <cell r="B2922" t="str">
            <v>0</v>
          </cell>
          <cell r="C2922" t="str">
            <v>ANTAKYA CONDOMINIO 1 ETAPA</v>
          </cell>
          <cell r="D2922" t="str">
            <v>3004721285</v>
          </cell>
          <cell r="E2922" t="str">
            <v>gloriarodriguezadmon@hotmail.com</v>
          </cell>
          <cell r="F2922" t="str">
            <v>CALLE 55  16 A  04</v>
          </cell>
          <cell r="G2922">
            <v>11001</v>
          </cell>
        </row>
        <row r="2923">
          <cell r="A2923" t="str">
            <v>900909236</v>
          </cell>
          <cell r="B2923" t="str">
            <v>9</v>
          </cell>
          <cell r="C2923" t="str">
            <v>CONJUNTO RESIDENCIAL TORRES PORTAL DEL PARQUE PH</v>
          </cell>
          <cell r="D2923" t="str">
            <v>6486383</v>
          </cell>
          <cell r="E2923" t="str">
            <v>torresportaldelparque@gmail.com</v>
          </cell>
          <cell r="F2923" t="str">
            <v>CALLE 197  28  08</v>
          </cell>
          <cell r="G2923">
            <v>11001</v>
          </cell>
        </row>
        <row r="2924">
          <cell r="A2924" t="str">
            <v>900911479</v>
          </cell>
          <cell r="B2924" t="str">
            <v>8</v>
          </cell>
          <cell r="C2924" t="str">
            <v>WORLD TRADE CENTER CALI-PROPIEDAD HORIZONTAL</v>
          </cell>
          <cell r="D2924">
            <v>3219664011</v>
          </cell>
          <cell r="E2924" t="str">
            <v>facturacion.wtc@pacificmall.com.co</v>
          </cell>
          <cell r="F2924" t="str">
            <v>CALLE 36 NORTE  6 A  65</v>
          </cell>
          <cell r="G2924">
            <v>11001</v>
          </cell>
        </row>
        <row r="2925">
          <cell r="A2925" t="str">
            <v>900911752</v>
          </cell>
          <cell r="B2925" t="str">
            <v>4</v>
          </cell>
          <cell r="C2925" t="str">
            <v>CONSTRUCTORA INGROSSO S . A . S .</v>
          </cell>
          <cell r="D2925" t="str">
            <v>3013395892</v>
          </cell>
          <cell r="E2925" t="str">
            <v>emmanuel.osorno@gmail.com</v>
          </cell>
          <cell r="F2925" t="str">
            <v>CR 51 55 30 IN 108</v>
          </cell>
          <cell r="G2925">
            <v>11001</v>
          </cell>
        </row>
        <row r="2926">
          <cell r="A2926" t="str">
            <v>900911900</v>
          </cell>
          <cell r="B2926" t="str">
            <v>8</v>
          </cell>
          <cell r="C2926" t="str">
            <v>CONJUNTO DE USO MIXTO MISONI PH</v>
          </cell>
          <cell r="D2926" t="str">
            <v>2999344</v>
          </cell>
          <cell r="E2926" t="str">
            <v>misoni.ph@gmail.com</v>
          </cell>
          <cell r="F2926" t="str">
            <v>CARRERA 43 A  63 SUR  120</v>
          </cell>
          <cell r="G2926">
            <v>11001</v>
          </cell>
        </row>
        <row r="2927">
          <cell r="A2927" t="str">
            <v>900912209</v>
          </cell>
          <cell r="B2927" t="str">
            <v>0</v>
          </cell>
          <cell r="C2927" t="str">
            <v>CONJUNTO NATURAL AQUAVENTO P.H ETAPA 1</v>
          </cell>
          <cell r="D2927" t="str">
            <v>5585304</v>
          </cell>
          <cell r="E2927" t="str">
            <v>aquaventonatural@gmail.com</v>
          </cell>
          <cell r="F2927" t="str">
            <v>CARRERA 56 C  83 D D SUR  52</v>
          </cell>
          <cell r="G2927">
            <v>11001</v>
          </cell>
        </row>
        <row r="2928">
          <cell r="A2928" t="str">
            <v>900915305</v>
          </cell>
          <cell r="B2928" t="str">
            <v>3</v>
          </cell>
          <cell r="C2928" t="str">
            <v>CONJUNTO RESIDENCIAL LAGOS DE LA BOCHA -PROPIEDAD HORIZONTAL</v>
          </cell>
          <cell r="D2928">
            <v>3219664011</v>
          </cell>
          <cell r="E2928" t="str">
            <v>crlagosdelabocha@gmail.com</v>
          </cell>
          <cell r="F2928" t="str">
            <v>CALLE 44  113  39</v>
          </cell>
          <cell r="G2928">
            <v>11001</v>
          </cell>
        </row>
        <row r="2929">
          <cell r="A2929" t="str">
            <v>900915456</v>
          </cell>
          <cell r="B2929" t="str">
            <v>7</v>
          </cell>
          <cell r="C2929" t="str">
            <v>EDIFICIO BRESCIA 8-128 -PROPIEDAD HORIZONTAL</v>
          </cell>
          <cell r="D2929" t="str">
            <v>3164686842</v>
          </cell>
          <cell r="E2929" t="str">
            <v>admonbrescia8128@gmail.com</v>
          </cell>
          <cell r="F2929" t="str">
            <v>CARRERA 8  128  11</v>
          </cell>
          <cell r="G2929">
            <v>11001</v>
          </cell>
        </row>
        <row r="2930">
          <cell r="A2930" t="str">
            <v>900917828</v>
          </cell>
          <cell r="B2930" t="str">
            <v>2</v>
          </cell>
          <cell r="C2930" t="str">
            <v>CONJUNTO RESIDENCIAL NILO - PROPIEDAD HORIZONTAL</v>
          </cell>
          <cell r="D2930" t="str">
            <v>3002206837</v>
          </cell>
          <cell r="E2930" t="str">
            <v>niloph.admon@gmail.com</v>
          </cell>
          <cell r="F2930" t="str">
            <v>CL 159 54 81</v>
          </cell>
          <cell r="G2930">
            <v>11001</v>
          </cell>
        </row>
        <row r="2931">
          <cell r="A2931" t="str">
            <v>900917828</v>
          </cell>
          <cell r="B2931" t="str">
            <v>2</v>
          </cell>
          <cell r="C2931" t="str">
            <v>CONJUNTO RESIDENCIAL NILO - PROPIEDAD HORIZONTAL</v>
          </cell>
          <cell r="D2931" t="str">
            <v>3002206837</v>
          </cell>
          <cell r="E2931" t="str">
            <v>niloph.admon@gmail.com</v>
          </cell>
          <cell r="F2931" t="str">
            <v>CL 159 54 81</v>
          </cell>
          <cell r="G2931">
            <v>11001</v>
          </cell>
        </row>
        <row r="2932">
          <cell r="A2932" t="str">
            <v>900917830</v>
          </cell>
          <cell r="B2932" t="str">
            <v>8</v>
          </cell>
          <cell r="C2932" t="str">
            <v>CONJUNTO RESIDENCIAL PRADERA DE GRANADA I - PROPIEDAD HORIZONTAL</v>
          </cell>
          <cell r="D2932" t="str">
            <v>5364546</v>
          </cell>
          <cell r="E2932" t="str">
            <v>praderagranadaph@hotmail.com</v>
          </cell>
          <cell r="F2932" t="str">
            <v>TV 120 78 B 55</v>
          </cell>
          <cell r="G2932">
            <v>11001</v>
          </cell>
        </row>
        <row r="2933">
          <cell r="A2933" t="str">
            <v>900920395</v>
          </cell>
          <cell r="B2933" t="str">
            <v>6</v>
          </cell>
          <cell r="C2933" t="str">
            <v>CONJUNTO RESIDENCIAL PANORAMA 140 - PROPIEDAD HORIZONTAL</v>
          </cell>
          <cell r="D2933" t="str">
            <v>7911849</v>
          </cell>
          <cell r="E2933" t="str">
            <v>conjuntopanoramaph@gmail.com</v>
          </cell>
          <cell r="F2933" t="str">
            <v>CALLE 140  13  66</v>
          </cell>
          <cell r="G2933">
            <v>11001</v>
          </cell>
        </row>
        <row r="2934">
          <cell r="A2934" t="str">
            <v>900920395</v>
          </cell>
          <cell r="B2934" t="str">
            <v>6</v>
          </cell>
          <cell r="C2934" t="str">
            <v>CONJUNTO RESIDENCIAL PANORAMA 140 - PROPIEDAD HORIZONTAL</v>
          </cell>
          <cell r="D2934" t="str">
            <v>7911849</v>
          </cell>
          <cell r="E2934" t="str">
            <v>conjuntopanoramaph@gmail.com</v>
          </cell>
          <cell r="F2934" t="str">
            <v>CALLE 140  13  66</v>
          </cell>
          <cell r="G2934">
            <v>11001</v>
          </cell>
        </row>
        <row r="2935">
          <cell r="A2935" t="str">
            <v>900920741</v>
          </cell>
          <cell r="B2935" t="str">
            <v>1</v>
          </cell>
          <cell r="C2935" t="str">
            <v>EDIFICIO KUALI APARTAMENTOS PROPIEDAD HORIZONTAL</v>
          </cell>
          <cell r="D2935" t="str">
            <v>3176484949</v>
          </cell>
          <cell r="E2935" t="str">
            <v>admon.kualiph@gmail.com</v>
          </cell>
          <cell r="F2935" t="str">
            <v>CALLE 115  2  39</v>
          </cell>
          <cell r="G2935">
            <v>11001</v>
          </cell>
        </row>
        <row r="2936">
          <cell r="A2936" t="str">
            <v>900921345</v>
          </cell>
          <cell r="B2936" t="str">
            <v>2</v>
          </cell>
          <cell r="C2936" t="str">
            <v>SOLUCA SOLUCIONES CONSTRUCCIONES Y ACABADOS S.A.S</v>
          </cell>
          <cell r="D2936" t="str">
            <v>3006300334</v>
          </cell>
          <cell r="E2936" t="str">
            <v>solucasas@hotmail.com</v>
          </cell>
          <cell r="F2936" t="str">
            <v>BRR SAN FERNANDO CRA 81 22 D 183 B 4 AP 1 C ED BALCONES DE LA ALAMEDA</v>
          </cell>
          <cell r="G2936">
            <v>11001</v>
          </cell>
        </row>
        <row r="2937">
          <cell r="A2937" t="str">
            <v>900922022</v>
          </cell>
          <cell r="B2937" t="str">
            <v>3</v>
          </cell>
          <cell r="C2937" t="str">
            <v>EDIFICIO BAMBU - PROPIEDAD HORIZONTAL</v>
          </cell>
          <cell r="D2937" t="str">
            <v>8910910</v>
          </cell>
          <cell r="E2937" t="str">
            <v>bambuadmon@hotmail.com</v>
          </cell>
          <cell r="F2937" t="str">
            <v>CARRERA 30  87  62</v>
          </cell>
          <cell r="G2937">
            <v>11001</v>
          </cell>
        </row>
        <row r="2938">
          <cell r="A2938" t="str">
            <v>900922066</v>
          </cell>
          <cell r="B2938" t="str">
            <v>7</v>
          </cell>
          <cell r="C2938" t="str">
            <v>CONJUNTO RESIDENCIAL MEDITERRANEO</v>
          </cell>
          <cell r="D2938" t="str">
            <v>9261195</v>
          </cell>
          <cell r="E2938" t="str">
            <v>administracion@mediterraneoalejandriaph.com.co</v>
          </cell>
          <cell r="F2938" t="str">
            <v>CALLE 159 54-42</v>
          </cell>
          <cell r="G2938">
            <v>11001</v>
          </cell>
        </row>
        <row r="2939">
          <cell r="A2939" t="str">
            <v>900922066</v>
          </cell>
          <cell r="B2939" t="str">
            <v>7</v>
          </cell>
          <cell r="C2939" t="str">
            <v>CONJUNTO RESIDENCIAL MEDITERRANEO</v>
          </cell>
          <cell r="D2939" t="str">
            <v>9261195</v>
          </cell>
          <cell r="E2939" t="str">
            <v>administracion@mediterraneoalejandriaph.com.co</v>
          </cell>
          <cell r="F2939" t="str">
            <v>CALLE 159 54-42</v>
          </cell>
          <cell r="G2939">
            <v>11001</v>
          </cell>
        </row>
        <row r="2940">
          <cell r="A2940" t="str">
            <v>900923608</v>
          </cell>
          <cell r="B2940" t="str">
            <v>3</v>
          </cell>
          <cell r="C2940" t="str">
            <v>LINEA RECTA S.A.S</v>
          </cell>
          <cell r="D2940" t="str">
            <v>4089692</v>
          </cell>
          <cell r="E2940" t="str">
            <v>facturacion.linearecta@gmail.com</v>
          </cell>
          <cell r="F2940" t="str">
            <v>CALLE 61 No.52-31</v>
          </cell>
          <cell r="G2940">
            <v>11001</v>
          </cell>
        </row>
        <row r="2941">
          <cell r="A2941" t="str">
            <v>900924527</v>
          </cell>
          <cell r="B2941" t="str">
            <v>1</v>
          </cell>
          <cell r="C2941" t="str">
            <v>H&amp;M HENNES &amp; MAURITZ COLOMBIA S.A.S</v>
          </cell>
          <cell r="D2941" t="str">
            <v>7447076</v>
          </cell>
          <cell r="E2941" t="str">
            <v>de900924527@hm.noova.com.co</v>
          </cell>
          <cell r="F2941" t="str">
            <v>CR 58 D 146 51 LC 114</v>
          </cell>
          <cell r="G2941">
            <v>11001</v>
          </cell>
        </row>
        <row r="2942">
          <cell r="A2942" t="str">
            <v>900924722</v>
          </cell>
          <cell r="B2942" t="str">
            <v>1</v>
          </cell>
          <cell r="C2942" t="str">
            <v>EDIFICIO SAN PAOLO - PROPIEDAD HORIZONTAL</v>
          </cell>
          <cell r="D2942" t="str">
            <v>3128984652</v>
          </cell>
          <cell r="E2942" t="str">
            <v>sanpaoloph@hotmail.com</v>
          </cell>
          <cell r="F2942" t="str">
            <v>AVENIDA 4 NORTE  23 N  80</v>
          </cell>
          <cell r="G2942">
            <v>11001</v>
          </cell>
        </row>
        <row r="2943">
          <cell r="A2943" t="str">
            <v>900925445</v>
          </cell>
          <cell r="B2943" t="str">
            <v>9</v>
          </cell>
          <cell r="C2943" t="str">
            <v>COPROPIEDAD PARQUE CENTRAL BAVARIA MANZANA DOS -PROPIEDAD HORIZONTAL</v>
          </cell>
          <cell r="D2943" t="str">
            <v>3368787</v>
          </cell>
          <cell r="E2943" t="str">
            <v>contabilidadmanzanados@gmail.com</v>
          </cell>
          <cell r="F2943" t="str">
            <v>CALLE 29  13  45</v>
          </cell>
          <cell r="G2943">
            <v>11001</v>
          </cell>
        </row>
        <row r="2944">
          <cell r="A2944" t="str">
            <v>900928659</v>
          </cell>
          <cell r="B2944" t="str">
            <v>1</v>
          </cell>
          <cell r="C2944" t="str">
            <v>EDIFICIO ALERO 59 - PROPIEDAD HORIZONTAL</v>
          </cell>
          <cell r="D2944" t="str">
            <v>3183418632</v>
          </cell>
          <cell r="E2944" t="str">
            <v>asistenteadmin@proponer.co</v>
          </cell>
          <cell r="F2944" t="str">
            <v>CALLE 59  3 A  08</v>
          </cell>
          <cell r="G2944">
            <v>11001</v>
          </cell>
        </row>
        <row r="2945">
          <cell r="A2945" t="str">
            <v>900929739</v>
          </cell>
          <cell r="B2945" t="str">
            <v>7</v>
          </cell>
          <cell r="C2945" t="str">
            <v>STANZIA SANTA MARTA S.A.S.</v>
          </cell>
          <cell r="D2945" t="str">
            <v>3022591829</v>
          </cell>
          <cell r="E2945" t="str">
            <v>facturacion@bwsantamartahotel.com</v>
          </cell>
          <cell r="F2945" t="str">
            <v>CL 24 3 65 BRR PRADO</v>
          </cell>
          <cell r="G2945">
            <v>11001</v>
          </cell>
        </row>
        <row r="2946">
          <cell r="A2946" t="str">
            <v>900931547</v>
          </cell>
          <cell r="B2946" t="str">
            <v>6</v>
          </cell>
          <cell r="C2946" t="str">
            <v>EDIFICIO NUEVO ORIENTE - PROPIEDAD HORIZONTAL</v>
          </cell>
          <cell r="D2946" t="str">
            <v>2984439</v>
          </cell>
          <cell r="E2946" t="str">
            <v>ednuevooriente@gmail.com</v>
          </cell>
          <cell r="F2946" t="str">
            <v>CALLE 49  39  16</v>
          </cell>
          <cell r="G2946">
            <v>11001</v>
          </cell>
        </row>
        <row r="2947">
          <cell r="A2947" t="str">
            <v>900932920</v>
          </cell>
          <cell r="B2947" t="str">
            <v>5</v>
          </cell>
          <cell r="C2947" t="str">
            <v>EDIFICIO RESERVA DE GRACIA PROPIEDAD HORIZONTAL</v>
          </cell>
          <cell r="D2947" t="str">
            <v>3118304712</v>
          </cell>
          <cell r="E2947" t="str">
            <v>reservadegracia@gmail.com</v>
          </cell>
          <cell r="F2947" t="str">
            <v>CARRERA 36 A N. 54-69</v>
          </cell>
          <cell r="G2947">
            <v>11001</v>
          </cell>
        </row>
        <row r="2948">
          <cell r="A2948" t="str">
            <v>900933079</v>
          </cell>
          <cell r="B2948" t="str">
            <v>1</v>
          </cell>
          <cell r="C2948" t="str">
            <v>EDIFICIO TORRE CERVANTES PROPIEDAD HORIZONTAL</v>
          </cell>
          <cell r="D2948" t="str">
            <v>3003585</v>
          </cell>
          <cell r="E2948" t="str">
            <v>edificiotorrecervantes@gmail.com</v>
          </cell>
          <cell r="F2948" t="str">
            <v>CARRERA 7 A  84  15</v>
          </cell>
          <cell r="G2948">
            <v>11001</v>
          </cell>
        </row>
        <row r="2949">
          <cell r="A2949" t="str">
            <v>900936018</v>
          </cell>
          <cell r="B2949" t="str">
            <v>4</v>
          </cell>
          <cell r="C2949" t="str">
            <v>EDIFICIO ELITE VILLAGE - PROPIEDAD HORIZONTAL</v>
          </cell>
          <cell r="D2949">
            <v>3219664011</v>
          </cell>
          <cell r="E2949" t="str">
            <v>elitevillage.ad@gmail.com</v>
          </cell>
          <cell r="F2949" t="str">
            <v>CALLE 114 A  16  34</v>
          </cell>
          <cell r="G2949">
            <v>11001</v>
          </cell>
        </row>
        <row r="2950">
          <cell r="A2950" t="str">
            <v>900936018</v>
          </cell>
          <cell r="B2950" t="str">
            <v>4</v>
          </cell>
          <cell r="C2950" t="str">
            <v>EDIFICIO ELITE VILLAGE - PROPIEDAD HORIZONTAL</v>
          </cell>
          <cell r="D2950">
            <v>3219664011</v>
          </cell>
          <cell r="E2950" t="str">
            <v>elitevillage.ad@gmail.com</v>
          </cell>
          <cell r="F2950" t="str">
            <v>CALLE 114 A  16  34</v>
          </cell>
          <cell r="G2950">
            <v>11001</v>
          </cell>
        </row>
        <row r="2951">
          <cell r="A2951" t="str">
            <v>900936902</v>
          </cell>
          <cell r="B2951" t="str">
            <v>0</v>
          </cell>
          <cell r="C2951" t="str">
            <v>CONDOMINIO BARCELONA</v>
          </cell>
          <cell r="D2951" t="str">
            <v>3128909938</v>
          </cell>
          <cell r="E2951" t="str">
            <v>condominiobarcelonapopayan@gmail.com</v>
          </cell>
          <cell r="F2951" t="str">
            <v>CALLE 34 NORTE  9  76</v>
          </cell>
          <cell r="G2951">
            <v>11001</v>
          </cell>
        </row>
        <row r="2952">
          <cell r="A2952" t="str">
            <v>900938701</v>
          </cell>
          <cell r="B2952" t="str">
            <v>6</v>
          </cell>
          <cell r="C2952" t="str">
            <v>PACTAR DESARROLLADOR INMOBILIARIO S.A.S.</v>
          </cell>
          <cell r="D2952" t="str">
            <v>4 4 8 1 5 8 0</v>
          </cell>
          <cell r="E2952" t="str">
            <v>facturacion@pactar.co</v>
          </cell>
          <cell r="F2952" t="str">
            <v>CL 3 SUR 43 A 52 OF 705 ED ULTRABURSATILES</v>
          </cell>
          <cell r="G2952">
            <v>11001</v>
          </cell>
        </row>
        <row r="2953">
          <cell r="A2953" t="str">
            <v>900939276</v>
          </cell>
          <cell r="B2953" t="str">
            <v>1</v>
          </cell>
          <cell r="C2953" t="str">
            <v>CARVAJAL &amp; CASTILLO CONSTRUCTORA S.A.S</v>
          </cell>
          <cell r="D2953" t="str">
            <v>3174322498</v>
          </cell>
          <cell r="E2953" t="str">
            <v>fercarvajalcabezas@hotmail.com</v>
          </cell>
          <cell r="F2953" t="str">
            <v>CARRERA 10  10  30  PISO 2</v>
          </cell>
          <cell r="G2953">
            <v>11001</v>
          </cell>
        </row>
        <row r="2954">
          <cell r="A2954" t="str">
            <v>900941689</v>
          </cell>
          <cell r="B2954" t="str">
            <v>6</v>
          </cell>
          <cell r="C2954" t="str">
            <v>EDIFICIO VERTICAL 87 PROPIEDAD HORIZONTAL</v>
          </cell>
          <cell r="D2954" t="str">
            <v>4673198</v>
          </cell>
          <cell r="E2954" t="str">
            <v>advilco@gmail.com</v>
          </cell>
          <cell r="F2954" t="str">
            <v>CALLE 87  19 B  27</v>
          </cell>
          <cell r="G2954">
            <v>11001</v>
          </cell>
        </row>
        <row r="2955">
          <cell r="A2955" t="str">
            <v>900945122</v>
          </cell>
          <cell r="B2955" t="str">
            <v>0</v>
          </cell>
          <cell r="C2955" t="str">
            <v>EDIFICIO MONTICHELLO - PROPIEDAD HORIZONTAL</v>
          </cell>
          <cell r="D2955" t="str">
            <v>3107650029</v>
          </cell>
          <cell r="E2955" t="str">
            <v>edificiomontichello@gmail.com</v>
          </cell>
          <cell r="F2955" t="str">
            <v>CARRERA 18 A  106  16</v>
          </cell>
          <cell r="G2955">
            <v>11001</v>
          </cell>
        </row>
        <row r="2956">
          <cell r="A2956" t="str">
            <v>900947738</v>
          </cell>
          <cell r="B2956" t="str">
            <v>6</v>
          </cell>
          <cell r="C2956" t="str">
            <v>SEAPORT CENTRO EMPRESARIAL</v>
          </cell>
          <cell r="D2956">
            <v>3219664011</v>
          </cell>
          <cell r="E2956" t="str">
            <v>claucastillo0408@hotmail.com</v>
          </cell>
          <cell r="F2956" t="str">
            <v>AVENIDA 3  27  05</v>
          </cell>
          <cell r="G2956">
            <v>11001</v>
          </cell>
        </row>
        <row r="2957">
          <cell r="A2957" t="str">
            <v>900948872</v>
          </cell>
          <cell r="B2957" t="str">
            <v>1</v>
          </cell>
          <cell r="C2957" t="str">
            <v>CONJUNTO RESIDENCIAL TORRES ELITE CONDOMINIO</v>
          </cell>
          <cell r="D2957" t="str">
            <v>3157349078</v>
          </cell>
          <cell r="E2957" t="str">
            <v>crelitecondominio@gmail.com</v>
          </cell>
          <cell r="F2957" t="str">
            <v>CARRERA 17  45  127</v>
          </cell>
          <cell r="G2957">
            <v>11001</v>
          </cell>
        </row>
        <row r="2958">
          <cell r="A2958" t="str">
            <v>900949415</v>
          </cell>
          <cell r="B2958" t="str">
            <v>1</v>
          </cell>
          <cell r="C2958" t="str">
            <v>EDIFICIO OPARI</v>
          </cell>
          <cell r="D2958" t="str">
            <v>3002972606</v>
          </cell>
          <cell r="E2958" t="str">
            <v>edificioopari@hotmail.com</v>
          </cell>
          <cell r="F2958" t="str">
            <v>CARRERA 24  47  16</v>
          </cell>
          <cell r="G2958">
            <v>11001</v>
          </cell>
        </row>
        <row r="2959">
          <cell r="A2959" t="str">
            <v>900951237</v>
          </cell>
          <cell r="B2959" t="str">
            <v>3</v>
          </cell>
          <cell r="C2959" t="str">
            <v>CONJUNTO CERRADO BONAIRE PROPIEDAD HORIZONTAL</v>
          </cell>
          <cell r="D2959" t="str">
            <v>3183838939</v>
          </cell>
          <cell r="E2959" t="str">
            <v>facturacionbonaire@gmail.com</v>
          </cell>
          <cell r="F2959" t="str">
            <v>CARRERA 11  9  90</v>
          </cell>
          <cell r="G2959">
            <v>11001</v>
          </cell>
        </row>
        <row r="2960">
          <cell r="A2960" t="str">
            <v>900955467</v>
          </cell>
          <cell r="B2960" t="str">
            <v>9</v>
          </cell>
          <cell r="C2960" t="str">
            <v>CONJUNTO RESIDENCIAL MIRADOR DE SAN ESTEBAN - PROPIEDAD HORIZONTAL</v>
          </cell>
          <cell r="D2960">
            <v>3219664011</v>
          </cell>
          <cell r="E2960" t="str">
            <v>conjuntomiradordesanesteban@gmail.com</v>
          </cell>
          <cell r="F2960" t="str">
            <v>CALLE 8 A BIS  80 A  63</v>
          </cell>
          <cell r="G2960">
            <v>11001</v>
          </cell>
        </row>
        <row r="2961">
          <cell r="A2961" t="str">
            <v>900955467</v>
          </cell>
          <cell r="B2961" t="str">
            <v>9</v>
          </cell>
          <cell r="C2961" t="str">
            <v>CONJUNTO RESIDENCIAL MIRADOR DE SAN ESTEBAN - PROPIEDAD HORIZONTAL</v>
          </cell>
          <cell r="D2961">
            <v>3219664011</v>
          </cell>
          <cell r="E2961" t="str">
            <v>conjuntomiradordesanesteban@gmail.com</v>
          </cell>
          <cell r="F2961" t="str">
            <v>CALLE 8 A BIS  80 A  63</v>
          </cell>
          <cell r="G2961">
            <v>11001</v>
          </cell>
        </row>
        <row r="2962">
          <cell r="A2962" t="str">
            <v>900956945</v>
          </cell>
          <cell r="B2962" t="str">
            <v>2</v>
          </cell>
          <cell r="C2962" t="str">
            <v>EDIFICIO LE PARC PH</v>
          </cell>
          <cell r="D2962" t="str">
            <v>3202603629</v>
          </cell>
          <cell r="E2962" t="str">
            <v>leparcedificio@gmail.com</v>
          </cell>
          <cell r="F2962" t="str">
            <v>DIAGONAL 31 A  29  30</v>
          </cell>
          <cell r="G2962">
            <v>11001</v>
          </cell>
        </row>
        <row r="2963">
          <cell r="A2963" t="str">
            <v>900957967</v>
          </cell>
          <cell r="B2963" t="str">
            <v>9</v>
          </cell>
          <cell r="C2963" t="str">
            <v>CONJUNTO RESIDENCIAL TORRES DE CASTILLA PROPIEDAD HORIZONTAL</v>
          </cell>
          <cell r="D2963" t="str">
            <v>3184162930</v>
          </cell>
          <cell r="E2963" t="str">
            <v>conjuntotorresdecastilla@gmail.com</v>
          </cell>
          <cell r="F2963" t="str">
            <v>CALLE 26  22  39</v>
          </cell>
          <cell r="G2963">
            <v>11001</v>
          </cell>
        </row>
        <row r="2964">
          <cell r="A2964" t="str">
            <v>900957974</v>
          </cell>
          <cell r="B2964" t="str">
            <v>0</v>
          </cell>
          <cell r="C2964" t="str">
            <v>ARBOREA S A S</v>
          </cell>
          <cell r="D2964" t="str">
            <v>6641583</v>
          </cell>
          <cell r="E2964" t="str">
            <v>asistente.proyectos@qstars.com.co</v>
          </cell>
          <cell r="F2964" t="str">
            <v>CALLE 90  15  17 OFICINA 302</v>
          </cell>
          <cell r="G2964">
            <v>11001</v>
          </cell>
        </row>
        <row r="2965">
          <cell r="A2965" t="str">
            <v>900958028</v>
          </cell>
          <cell r="B2965" t="str">
            <v>2</v>
          </cell>
          <cell r="C2965" t="str">
            <v>EDIFICIO MILENTTO - PROPIEDAD HORIZONTAL</v>
          </cell>
          <cell r="D2965" t="str">
            <v>7328287</v>
          </cell>
          <cell r="E2965" t="str">
            <v>milenttoadmon@gmail.com</v>
          </cell>
          <cell r="F2965" t="str">
            <v>CARRERA 103 B  152 C  64</v>
          </cell>
          <cell r="G2965">
            <v>11001</v>
          </cell>
        </row>
        <row r="2966">
          <cell r="A2966" t="str">
            <v>900959048</v>
          </cell>
          <cell r="B2966" t="str">
            <v>4</v>
          </cell>
          <cell r="C2966" t="str">
            <v>SUBRED INTEGRADA DE SERVICIOS DE SALUD SUR OCCIDENTE E.S.E.</v>
          </cell>
          <cell r="D2966" t="str">
            <v>4546800</v>
          </cell>
          <cell r="E2966" t="str">
            <v>supervisionmantenimiento1@subredsuroccidente.gov.co</v>
          </cell>
          <cell r="F2966" t="str">
            <v>TRANSVERSAL 74 F  40 B  54 SUR</v>
          </cell>
          <cell r="G2966">
            <v>11001</v>
          </cell>
        </row>
        <row r="2967">
          <cell r="A2967" t="str">
            <v>900959247</v>
          </cell>
          <cell r="B2967" t="str">
            <v>3</v>
          </cell>
          <cell r="C2967" t="str">
            <v>EDIFICIO ALAMEDA DE SAN LUIS - PROPIEDAD HORIZONTAL</v>
          </cell>
          <cell r="D2967" t="str">
            <v>2490059</v>
          </cell>
          <cell r="E2967" t="str">
            <v>alameda1sanluis@gmail.com</v>
          </cell>
          <cell r="F2967" t="str">
            <v>TRANSVERSAL 22 A  60  37</v>
          </cell>
          <cell r="G2967">
            <v>11001</v>
          </cell>
        </row>
        <row r="2968">
          <cell r="A2968" t="str">
            <v>900959247</v>
          </cell>
          <cell r="B2968" t="str">
            <v>3</v>
          </cell>
          <cell r="C2968" t="str">
            <v>EDIFICIO ALAMEDA DE SAN LUIS - PROPIEDAD HORIZONTAL</v>
          </cell>
          <cell r="D2968" t="str">
            <v>2490059</v>
          </cell>
          <cell r="E2968" t="str">
            <v>alameda1sanluis@gmail.com</v>
          </cell>
          <cell r="F2968" t="str">
            <v>TRANSVERSAL 22 A  60  37</v>
          </cell>
          <cell r="G2968">
            <v>11001</v>
          </cell>
        </row>
        <row r="2969">
          <cell r="A2969" t="str">
            <v>900959856</v>
          </cell>
          <cell r="B2969" t="str">
            <v>9</v>
          </cell>
          <cell r="C2969" t="str">
            <v>CONJUNTO RESIDENCIAL PUERTO NUEVO PH</v>
          </cell>
          <cell r="D2969" t="str">
            <v>3176466701</v>
          </cell>
          <cell r="E2969" t="str">
            <v>crpuertonuevo@gmail.com</v>
          </cell>
          <cell r="F2969" t="str">
            <v>CARRERA 57  38  290</v>
          </cell>
          <cell r="G2969">
            <v>11001</v>
          </cell>
        </row>
        <row r="2970">
          <cell r="A2970" t="str">
            <v>900962483</v>
          </cell>
          <cell r="B2970" t="str">
            <v>6</v>
          </cell>
          <cell r="C2970" t="str">
            <v>CONSTRUCTORA ARDICO S.A.S</v>
          </cell>
          <cell r="D2970" t="str">
            <v>3218424234</v>
          </cell>
          <cell r="E2970" t="str">
            <v>constructoraardicosas@gmail.com</v>
          </cell>
          <cell r="F2970" t="str">
            <v>CALLE 12  13  19  OFICINA 211</v>
          </cell>
          <cell r="G2970">
            <v>11001</v>
          </cell>
        </row>
        <row r="2971">
          <cell r="A2971" t="str">
            <v>900962591</v>
          </cell>
          <cell r="B2971" t="str">
            <v>3</v>
          </cell>
          <cell r="C2971" t="str">
            <v>COMBUSTIBLES PALMAR S.A.S.</v>
          </cell>
          <cell r="D2971" t="str">
            <v>6053587050</v>
          </cell>
          <cell r="E2971" t="str">
            <v>combustiblespalmar@gmail.com</v>
          </cell>
          <cell r="F2971" t="str">
            <v>CR 4 3 74 47</v>
          </cell>
          <cell r="G2971">
            <v>11001</v>
          </cell>
        </row>
        <row r="2972">
          <cell r="A2972" t="str">
            <v>900966675</v>
          </cell>
          <cell r="B2972" t="str">
            <v>1</v>
          </cell>
          <cell r="C2972" t="str">
            <v>CONJUNTO RESIDENCIAL ARBOLEDA DEL PARQUE PROPIEDAD HORIZONTAL</v>
          </cell>
          <cell r="D2972" t="str">
            <v>4673648</v>
          </cell>
          <cell r="E2972" t="str">
            <v>arboledadelparqueph@gmail.com</v>
          </cell>
          <cell r="F2972" t="str">
            <v>CALLE 151 C  107  79</v>
          </cell>
          <cell r="G2972">
            <v>11001</v>
          </cell>
        </row>
        <row r="2973">
          <cell r="A2973" t="str">
            <v>900966876</v>
          </cell>
          <cell r="B2973" t="str">
            <v>5</v>
          </cell>
          <cell r="C2973" t="str">
            <v>EDIFICIO TORRELUNA - PROPIEDAD HORIZONTAL</v>
          </cell>
          <cell r="D2973" t="str">
            <v>3144642068</v>
          </cell>
          <cell r="E2973" t="str">
            <v>edificiotorreluna8915@gmail.com</v>
          </cell>
          <cell r="F2973" t="str">
            <v>CARRERA 52  89  15</v>
          </cell>
          <cell r="G2973">
            <v>11001</v>
          </cell>
        </row>
        <row r="2974">
          <cell r="A2974" t="str">
            <v>900970954</v>
          </cell>
          <cell r="B2974" t="str">
            <v>7</v>
          </cell>
          <cell r="C2974" t="str">
            <v>EDIFICIO TERRA 26</v>
          </cell>
          <cell r="D2974" t="str">
            <v>6426653</v>
          </cell>
          <cell r="E2974" t="str">
            <v>admon.edificioterra26@gmail.com</v>
          </cell>
          <cell r="F2974" t="str">
            <v>CALLE 40 A  25  55</v>
          </cell>
          <cell r="G2974">
            <v>11001</v>
          </cell>
        </row>
        <row r="2975">
          <cell r="A2975" t="str">
            <v>900972996</v>
          </cell>
          <cell r="B2975" t="str">
            <v>5</v>
          </cell>
          <cell r="C2975" t="str">
            <v>EDIFICIO G64 - PROPIEDAD HORIZONTAL</v>
          </cell>
          <cell r="D2975" t="str">
            <v>3124208846</v>
          </cell>
          <cell r="E2975" t="str">
            <v>admonedificiocalle64@gmail.com</v>
          </cell>
          <cell r="F2975" t="str">
            <v>CALLE 64 A  1 A  85</v>
          </cell>
          <cell r="G2975">
            <v>11001</v>
          </cell>
        </row>
        <row r="2976">
          <cell r="A2976" t="str">
            <v>900974499</v>
          </cell>
          <cell r="B2976" t="str">
            <v>5</v>
          </cell>
          <cell r="C2976" t="str">
            <v>EDIFICIO KASTOR - PROPIEDAD HORIZONTAL</v>
          </cell>
          <cell r="D2976" t="str">
            <v>3213708547</v>
          </cell>
          <cell r="E2976" t="str">
            <v>edificiokastorPH@outlook.es</v>
          </cell>
          <cell r="F2976" t="str">
            <v>CR 16  141 08  24</v>
          </cell>
          <cell r="G2976">
            <v>11001</v>
          </cell>
        </row>
        <row r="2977">
          <cell r="A2977" t="str">
            <v>900976435</v>
          </cell>
          <cell r="B2977" t="str">
            <v>3</v>
          </cell>
          <cell r="C2977" t="str">
            <v>EDIFICIO STUDIO CLASS 46 - PROPIEDAD HORIZONTAL</v>
          </cell>
          <cell r="D2977" t="str">
            <v>3202939833</v>
          </cell>
          <cell r="E2977" t="str">
            <v>admonstudioclass46@hotmail.com</v>
          </cell>
          <cell r="F2977" t="str">
            <v>CALLE 46  3  35</v>
          </cell>
          <cell r="G2977">
            <v>11001</v>
          </cell>
        </row>
        <row r="2978">
          <cell r="A2978" t="str">
            <v>900976750</v>
          </cell>
          <cell r="B2978" t="str">
            <v>9</v>
          </cell>
          <cell r="C2978" t="str">
            <v>EDIFICIO QOSQO</v>
          </cell>
          <cell r="D2978" t="str">
            <v>3002754744</v>
          </cell>
          <cell r="E2978" t="str">
            <v>qosqo79@hotmail.com</v>
          </cell>
          <cell r="F2978" t="str">
            <v>CALLE 79  42  69</v>
          </cell>
          <cell r="G2978">
            <v>11001</v>
          </cell>
        </row>
        <row r="2979">
          <cell r="A2979" t="str">
            <v>900979369</v>
          </cell>
          <cell r="B2979" t="str">
            <v>9</v>
          </cell>
          <cell r="C2979" t="str">
            <v>EDIFICIO VIVE 92.CO - PROPIEDAD HORIZONTAL</v>
          </cell>
          <cell r="D2979" t="str">
            <v>3204936240</v>
          </cell>
          <cell r="E2979" t="str">
            <v>facturacionelectronica.phjsas@gmail.com</v>
          </cell>
          <cell r="F2979" t="str">
            <v>CALLE 92  19 B  90</v>
          </cell>
          <cell r="G2979">
            <v>11001</v>
          </cell>
        </row>
        <row r="2980">
          <cell r="A2980" t="str">
            <v>900979369</v>
          </cell>
          <cell r="B2980" t="str">
            <v>9</v>
          </cell>
          <cell r="C2980" t="str">
            <v>EDIFICIO VIVE 92.CO - PROPIEDAD HORIZONTAL</v>
          </cell>
          <cell r="D2980" t="str">
            <v>3204936240</v>
          </cell>
          <cell r="E2980" t="str">
            <v>facturacionelectronica.phjsas@gmail.com</v>
          </cell>
          <cell r="F2980" t="str">
            <v>CALLE 92  19 B  90</v>
          </cell>
          <cell r="G2980">
            <v>11001</v>
          </cell>
        </row>
        <row r="2981">
          <cell r="A2981" t="str">
            <v>900981887</v>
          </cell>
          <cell r="B2981" t="str">
            <v>9</v>
          </cell>
          <cell r="C2981" t="str">
            <v>CONJUNTO RESIDENCIAL AMONTE  P.H.</v>
          </cell>
          <cell r="D2981">
            <v>3219664011</v>
          </cell>
          <cell r="E2981" t="str">
            <v>administracion@conjuntoamonte.com</v>
          </cell>
          <cell r="F2981" t="str">
            <v>CARRERA 45  80 SUR  155</v>
          </cell>
          <cell r="G2981">
            <v>11001</v>
          </cell>
        </row>
        <row r="2982">
          <cell r="A2982" t="str">
            <v>900982783</v>
          </cell>
          <cell r="B2982" t="str">
            <v>6</v>
          </cell>
          <cell r="C2982" t="str">
            <v>SATRIANI - PROPIEDAD HORIZONTAL</v>
          </cell>
          <cell r="D2982" t="str">
            <v>7021430</v>
          </cell>
          <cell r="E2982" t="str">
            <v>satrianicontabilidad@gmail.com</v>
          </cell>
          <cell r="F2982" t="str">
            <v>CARRERA 17  106  51</v>
          </cell>
          <cell r="G2982">
            <v>11001</v>
          </cell>
        </row>
        <row r="2983">
          <cell r="A2983" t="str">
            <v>900983130</v>
          </cell>
          <cell r="B2983" t="str">
            <v>1</v>
          </cell>
          <cell r="C2983" t="str">
            <v>EDIFICIO TARENTO - PROPIEDAD HORIZONTAL</v>
          </cell>
          <cell r="D2983" t="str">
            <v>7043370</v>
          </cell>
          <cell r="E2983" t="str">
            <v>info@managerelite.net</v>
          </cell>
          <cell r="F2983" t="str">
            <v>CALLE 119  11 B  40</v>
          </cell>
          <cell r="G2983">
            <v>11001</v>
          </cell>
        </row>
        <row r="2984">
          <cell r="A2984" t="str">
            <v>900983901</v>
          </cell>
          <cell r="B2984" t="str">
            <v>3</v>
          </cell>
          <cell r="C2984" t="str">
            <v>EDIFICIO YUMA</v>
          </cell>
          <cell r="D2984" t="str">
            <v>3182531030</v>
          </cell>
          <cell r="E2984" t="str">
            <v>karias@colurbana.com</v>
          </cell>
          <cell r="F2984" t="str">
            <v>CARRERA 51  84  149</v>
          </cell>
          <cell r="G2984">
            <v>11001</v>
          </cell>
        </row>
        <row r="2985">
          <cell r="A2985" t="str">
            <v>900984824</v>
          </cell>
          <cell r="B2985" t="str">
            <v>9</v>
          </cell>
          <cell r="C2985" t="str">
            <v>CONJUNTO RESIDENCIAL CARANDAY</v>
          </cell>
          <cell r="D2985" t="str">
            <v>3134999569</v>
          </cell>
          <cell r="E2985" t="str">
            <v>conjuntoresidencialcaranday@gmail.com</v>
          </cell>
          <cell r="F2985" t="str">
            <v>CALLE 13 B  17  63</v>
          </cell>
          <cell r="G2985">
            <v>11001</v>
          </cell>
        </row>
        <row r="2986">
          <cell r="A2986" t="str">
            <v>900984897</v>
          </cell>
          <cell r="B2986" t="str">
            <v>6</v>
          </cell>
          <cell r="C2986" t="str">
            <v>EDIFICIO NAZAKU - PROPIEDAD HORIZONTAL</v>
          </cell>
          <cell r="D2986" t="str">
            <v>3112301916</v>
          </cell>
          <cell r="E2986" t="str">
            <v>edificionazaku@hotmail.com</v>
          </cell>
          <cell r="F2986" t="str">
            <v>CALLE 146  12  72</v>
          </cell>
          <cell r="G2986">
            <v>11001</v>
          </cell>
        </row>
        <row r="2987">
          <cell r="A2987" t="str">
            <v>900984897</v>
          </cell>
          <cell r="B2987" t="str">
            <v>6</v>
          </cell>
          <cell r="C2987" t="str">
            <v>EDIFICIO NAZAKU - PROPIEDAD HORIZONTAL</v>
          </cell>
          <cell r="D2987" t="str">
            <v>3112301916</v>
          </cell>
          <cell r="E2987" t="str">
            <v>edificionazaku@hotmail.com</v>
          </cell>
          <cell r="F2987" t="str">
            <v>CALLE 146  12  72</v>
          </cell>
          <cell r="G2987">
            <v>11001</v>
          </cell>
        </row>
        <row r="2988">
          <cell r="A2988" t="str">
            <v>900985054</v>
          </cell>
          <cell r="B2988" t="str">
            <v>9</v>
          </cell>
          <cell r="C2988" t="str">
            <v>EDIFICIO TORRE DEL PARQUE PROPIEDAD HORIZONTAL</v>
          </cell>
          <cell r="D2988" t="str">
            <v>3208546881</v>
          </cell>
          <cell r="E2988" t="str">
            <v>torredelparqueph@hotmail.com</v>
          </cell>
          <cell r="F2988" t="str">
            <v>CARRERA 4 B  48  08</v>
          </cell>
          <cell r="G2988">
            <v>11001</v>
          </cell>
        </row>
        <row r="2989">
          <cell r="A2989" t="str">
            <v>900985305</v>
          </cell>
          <cell r="B2989" t="str">
            <v>2</v>
          </cell>
          <cell r="C2989" t="str">
            <v>EDIFICIO ANKARA 138 - PROPIEDAD HORIZONTAL</v>
          </cell>
          <cell r="D2989" t="str">
            <v>6958895</v>
          </cell>
          <cell r="E2989" t="str">
            <v>edificioankara138ph@gmail.com</v>
          </cell>
          <cell r="F2989" t="str">
            <v>CALLE 138  19  49</v>
          </cell>
          <cell r="G2989">
            <v>11001</v>
          </cell>
        </row>
        <row r="2990">
          <cell r="A2990" t="str">
            <v>900985404</v>
          </cell>
          <cell r="B2990" t="str">
            <v>3</v>
          </cell>
          <cell r="C2990" t="str">
            <v>JIMENEZ CONSTRUCTORES S.A.S</v>
          </cell>
          <cell r="D2990" t="str">
            <v>3106056340</v>
          </cell>
          <cell r="E2990" t="str">
            <v>facturacion@jconstructores.com</v>
          </cell>
          <cell r="F2990" t="str">
            <v>CALLE 24 N° 2-66 ED CAMARA DE COMERCIO OFICINA 810</v>
          </cell>
          <cell r="G2990">
            <v>11001</v>
          </cell>
        </row>
        <row r="2991">
          <cell r="A2991" t="str">
            <v>900986402</v>
          </cell>
          <cell r="B2991" t="str">
            <v>3</v>
          </cell>
          <cell r="C2991" t="str">
            <v>VIBA CAPITAL S.A.S</v>
          </cell>
          <cell r="D2991" t="str">
            <v>3164697473</v>
          </cell>
          <cell r="E2991" t="str">
            <v>vibacapitalsas@gmail.com</v>
          </cell>
          <cell r="F2991" t="str">
            <v>CARR CENTRAL NORTE KM 17 300 METROS ANTES DE PEAJE DE LA CR 7 SENTIDO SUR NORTE</v>
          </cell>
          <cell r="G2991">
            <v>11001</v>
          </cell>
        </row>
        <row r="2992">
          <cell r="A2992" t="str">
            <v>900986402</v>
          </cell>
          <cell r="B2992" t="str">
            <v>3</v>
          </cell>
          <cell r="C2992" t="str">
            <v>VIBA CAPITAL S.A.S</v>
          </cell>
          <cell r="D2992" t="str">
            <v>3164697473</v>
          </cell>
          <cell r="E2992" t="str">
            <v>vibacapitalsas@gmail.com</v>
          </cell>
          <cell r="F2992" t="str">
            <v>CARR CENTRAL NORTE KM 17 300 METROS ANTES DE PEAJE DE LA CR 7 SENTIDO SUR NORTE</v>
          </cell>
          <cell r="G2992">
            <v>11001</v>
          </cell>
        </row>
        <row r="2993">
          <cell r="A2993" t="str">
            <v>900986950</v>
          </cell>
          <cell r="B2993" t="str">
            <v>8</v>
          </cell>
          <cell r="C2993" t="str">
            <v>EDIFICIO BATAN 123 PH - PROPIEDAD HORIZONTAL</v>
          </cell>
          <cell r="D2993" t="str">
            <v>3153365988</v>
          </cell>
          <cell r="E2993" t="str">
            <v>ebatan123@gmail.com</v>
          </cell>
          <cell r="F2993" t="str">
            <v>CARRERA 45 A  123  10</v>
          </cell>
          <cell r="G2993">
            <v>11001</v>
          </cell>
        </row>
        <row r="2994">
          <cell r="A2994" t="str">
            <v>900987044</v>
          </cell>
          <cell r="B2994" t="str">
            <v>4</v>
          </cell>
          <cell r="C2994" t="str">
            <v>EDIFICIO VERDETTO</v>
          </cell>
          <cell r="D2994" t="str">
            <v>6342367</v>
          </cell>
          <cell r="E2994" t="str">
            <v>verdettoe@gmail.com</v>
          </cell>
          <cell r="F2994" t="str">
            <v>CARRERA 26  31  58</v>
          </cell>
          <cell r="G2994">
            <v>11001</v>
          </cell>
        </row>
        <row r="2995">
          <cell r="A2995" t="str">
            <v>900987512</v>
          </cell>
          <cell r="B2995" t="str">
            <v>1</v>
          </cell>
          <cell r="C2995" t="str">
            <v>EDIFICIO CAPRIZZI - PROPIEDAD HORIZONTAL</v>
          </cell>
          <cell r="D2995" t="str">
            <v>8258429</v>
          </cell>
          <cell r="E2995" t="str">
            <v>edificiocaprizzi@gmail.com</v>
          </cell>
          <cell r="F2995" t="str">
            <v>CALLE 104 A  19  42</v>
          </cell>
          <cell r="G2995">
            <v>11001</v>
          </cell>
        </row>
        <row r="2996">
          <cell r="A2996" t="str">
            <v>900988547</v>
          </cell>
          <cell r="B2996" t="str">
            <v>1</v>
          </cell>
          <cell r="C2996" t="str">
            <v>EDIFICIO RENOVA - PROPIEDAD HORIZONTAL</v>
          </cell>
          <cell r="D2996" t="str">
            <v>2140588</v>
          </cell>
          <cell r="E2996" t="str">
            <v>edificio.renova@gmail.com</v>
          </cell>
          <cell r="F2996" t="str">
            <v>CALLE 106  18 A  20</v>
          </cell>
          <cell r="G2996">
            <v>11001</v>
          </cell>
        </row>
        <row r="2997">
          <cell r="A2997" t="str">
            <v>900989511</v>
          </cell>
          <cell r="B2997" t="str">
            <v>1</v>
          </cell>
          <cell r="C2997" t="str">
            <v>CONJUNTO A TORRES DE ASTURIAS - PROPIEDAD HORIZONTAL</v>
          </cell>
          <cell r="D2997" t="str">
            <v>3505473113</v>
          </cell>
          <cell r="E2997" t="str">
            <v>torresdeasturias2023@gmail.com</v>
          </cell>
          <cell r="F2997" t="str">
            <v>CALLE 7  18 E  09</v>
          </cell>
          <cell r="G2997">
            <v>11001</v>
          </cell>
        </row>
        <row r="2998">
          <cell r="A2998" t="str">
            <v>900989793</v>
          </cell>
          <cell r="B2998" t="str">
            <v>1</v>
          </cell>
          <cell r="C2998" t="str">
            <v>EDIFICIO MOSAICO - PROPIEDAD HORIZONTAL</v>
          </cell>
          <cell r="D2998">
            <v>3219664011</v>
          </cell>
          <cell r="E2998" t="str">
            <v>edificiomosaico@gmail.com</v>
          </cell>
          <cell r="F2998" t="str">
            <v>CARRERA 7 B  124  25</v>
          </cell>
          <cell r="G2998">
            <v>11001</v>
          </cell>
        </row>
        <row r="2999">
          <cell r="A2999" t="str">
            <v>900990970</v>
          </cell>
          <cell r="B2999" t="str">
            <v>0</v>
          </cell>
          <cell r="C2999" t="str">
            <v>EDIFICIO PEDREGAL RESERVADO TORRE 3 (SECTOR 5 ETAPA V SUBETAPA 4 ) - PROPIEDAD HORIZONTAL</v>
          </cell>
          <cell r="D2999" t="str">
            <v>7025712</v>
          </cell>
          <cell r="E2999" t="str">
            <v>pedregalreservadotorre3@gmail.com</v>
          </cell>
          <cell r="F2999" t="str">
            <v>CALLE 71 B  100  11</v>
          </cell>
          <cell r="G2999">
            <v>11001</v>
          </cell>
        </row>
        <row r="3000">
          <cell r="A3000" t="str">
            <v>900996588</v>
          </cell>
          <cell r="B3000" t="str">
            <v>7</v>
          </cell>
          <cell r="C3000" t="str">
            <v>EDIFICIO MORIAT</v>
          </cell>
          <cell r="D3000" t="str">
            <v>6313211</v>
          </cell>
          <cell r="E3000" t="str">
            <v>edificiomoriat1@gmail.com</v>
          </cell>
          <cell r="F3000" t="str">
            <v>CALLE 91  22  68</v>
          </cell>
          <cell r="G3000">
            <v>11001</v>
          </cell>
        </row>
        <row r="3001">
          <cell r="A3001" t="str">
            <v>900998387</v>
          </cell>
          <cell r="B3001" t="str">
            <v>2</v>
          </cell>
          <cell r="C3001" t="str">
            <v>EDIFICIO OFFICE 120 PROPIEDAD HORIZONTAL</v>
          </cell>
          <cell r="D3001" t="str">
            <v>3227701759</v>
          </cell>
          <cell r="E3001" t="str">
            <v>edificio.office120@gmail.com</v>
          </cell>
          <cell r="F3001" t="str">
            <v>CL 120 A 7 36</v>
          </cell>
          <cell r="G3001">
            <v>11001</v>
          </cell>
        </row>
        <row r="3002">
          <cell r="A3002" t="str">
            <v>900998387</v>
          </cell>
          <cell r="B3002" t="str">
            <v>2</v>
          </cell>
          <cell r="C3002" t="str">
            <v>EDIFICIO OFFICE 120 PROPIEDAD HORIZONTAL</v>
          </cell>
          <cell r="D3002" t="str">
            <v>3227701759</v>
          </cell>
          <cell r="E3002" t="str">
            <v>edificio.office120@gmail.com</v>
          </cell>
          <cell r="F3002" t="str">
            <v>CL 120 A 7 36</v>
          </cell>
          <cell r="G3002">
            <v>11001</v>
          </cell>
        </row>
        <row r="3003">
          <cell r="A3003" t="str">
            <v>900998507</v>
          </cell>
          <cell r="B3003" t="str">
            <v>1</v>
          </cell>
          <cell r="C3003" t="str">
            <v>CONJUNTO TORRES DE LA CEIBA</v>
          </cell>
          <cell r="D3003" t="str">
            <v>3188270191</v>
          </cell>
          <cell r="E3003" t="str">
            <v>torresdelaceiba1@gmail.com</v>
          </cell>
          <cell r="F3003" t="str">
            <v>CARRERA 17 A  61  38</v>
          </cell>
          <cell r="G3003">
            <v>11001</v>
          </cell>
        </row>
        <row r="3004">
          <cell r="A3004" t="str">
            <v>900999171</v>
          </cell>
          <cell r="B3004" t="str">
            <v>3</v>
          </cell>
          <cell r="C3004" t="str">
            <v>CONJUNTO REMANSO DE LA COLINA</v>
          </cell>
          <cell r="D3004" t="str">
            <v>3166949844</v>
          </cell>
          <cell r="E3004" t="str">
            <v>cr.remansodelacolina@gmail.com</v>
          </cell>
          <cell r="F3004" t="str">
            <v>CALLE 6  114  170</v>
          </cell>
          <cell r="G3004">
            <v>11001</v>
          </cell>
        </row>
        <row r="3005">
          <cell r="A3005" t="str">
            <v>900999752</v>
          </cell>
          <cell r="B3005" t="str">
            <v>2</v>
          </cell>
          <cell r="C3005" t="str">
            <v>EDIFICIO LARES 134 - PROPIEDAD HORIZONTAL</v>
          </cell>
          <cell r="D3005" t="str">
            <v>3112072301</v>
          </cell>
          <cell r="E3005" t="str">
            <v>edificiolares134@gmail.com</v>
          </cell>
          <cell r="F3005" t="str">
            <v>CARRERA 16  134 A  40</v>
          </cell>
          <cell r="G3005">
            <v>11001</v>
          </cell>
        </row>
        <row r="3006">
          <cell r="A3006" t="str">
            <v>900999752</v>
          </cell>
          <cell r="B3006" t="str">
            <v>2</v>
          </cell>
          <cell r="C3006" t="str">
            <v>EDIFICIO LARES 134 - PROPIEDAD HORIZONTAL</v>
          </cell>
          <cell r="D3006" t="str">
            <v>3112072301</v>
          </cell>
          <cell r="E3006" t="str">
            <v>edificiolares134@gmail.com</v>
          </cell>
          <cell r="F3006" t="str">
            <v>CARRERA 16  134 A  40</v>
          </cell>
          <cell r="G3006">
            <v>11001</v>
          </cell>
        </row>
        <row r="3007">
          <cell r="A3007" t="str">
            <v>901000145</v>
          </cell>
          <cell r="B3007" t="str">
            <v>8</v>
          </cell>
          <cell r="C3007" t="str">
            <v>CONJUNTO RESIDENCIAL "PORTAL DE LOS ABETOS" PROPIEDAD HORIZONTAL</v>
          </cell>
          <cell r="D3007" t="str">
            <v>3018454913</v>
          </cell>
          <cell r="E3007" t="str">
            <v>PORTALDELOSABETOS@gmail.com</v>
          </cell>
          <cell r="F3007" t="str">
            <v>CARRETERA A TURBACO ZONA DE RESERVA MANZANA K</v>
          </cell>
          <cell r="G3007">
            <v>11001</v>
          </cell>
        </row>
        <row r="3008">
          <cell r="A3008" t="str">
            <v>901000665</v>
          </cell>
          <cell r="B3008" t="str">
            <v>6</v>
          </cell>
          <cell r="C3008" t="str">
            <v>CONJUNTO RESIDENCIAL CAPRIANI-PROPIEDAD HORIZONTAL</v>
          </cell>
          <cell r="D3008" t="str">
            <v>3216443174</v>
          </cell>
          <cell r="E3008" t="str">
            <v>crcapriani@gmail.com</v>
          </cell>
          <cell r="F3008" t="str">
            <v>CARRERA 102  34  133</v>
          </cell>
          <cell r="G3008">
            <v>11001</v>
          </cell>
        </row>
        <row r="3009">
          <cell r="A3009" t="str">
            <v>901000945</v>
          </cell>
          <cell r="B3009" t="str">
            <v>3</v>
          </cell>
          <cell r="C3009" t="str">
            <v>EDIFICIO IKARIA - PROPIEDAD HORIZONTAL</v>
          </cell>
          <cell r="D3009" t="str">
            <v>3295475</v>
          </cell>
          <cell r="E3009" t="str">
            <v>edificioikariaph@gmail.com</v>
          </cell>
          <cell r="F3009" t="str">
            <v>CARRERA 18  91  13</v>
          </cell>
          <cell r="G3009">
            <v>11001</v>
          </cell>
        </row>
        <row r="3010">
          <cell r="A3010" t="str">
            <v>901002064</v>
          </cell>
          <cell r="B3010" t="str">
            <v>9</v>
          </cell>
          <cell r="C3010" t="str">
            <v>PROMOTORA INMOBILIARIA BRUJAS S.A.S.</v>
          </cell>
          <cell r="D3010" t="str">
            <v>3113442664</v>
          </cell>
          <cell r="E3010" t="str">
            <v>facturacion@tierragrata.co</v>
          </cell>
          <cell r="F3010" t="str">
            <v>CALLE 6  43 C  08 OFICINA 306</v>
          </cell>
          <cell r="G3010">
            <v>11001</v>
          </cell>
        </row>
        <row r="3011">
          <cell r="A3011" t="str">
            <v>901002225</v>
          </cell>
          <cell r="B3011" t="str">
            <v>8</v>
          </cell>
          <cell r="C3011" t="str">
            <v>EDIFICIO ZENTRAL 51 - PROPIEDAD HORIZONTAL</v>
          </cell>
          <cell r="D3011" t="str">
            <v>2104466</v>
          </cell>
          <cell r="E3011" t="str">
            <v>edificiozentral51@gmail.com</v>
          </cell>
          <cell r="F3011" t="str">
            <v>TRANSVERSAL 3  51 A  31</v>
          </cell>
          <cell r="G3011">
            <v>11001</v>
          </cell>
        </row>
        <row r="3012">
          <cell r="A3012" t="str">
            <v>901002225</v>
          </cell>
          <cell r="B3012" t="str">
            <v>8</v>
          </cell>
          <cell r="C3012" t="str">
            <v>EDIFICIO ZENTRAL 51 - PROPIEDAD HORIZONTAL</v>
          </cell>
          <cell r="D3012" t="str">
            <v>2104466</v>
          </cell>
          <cell r="E3012" t="str">
            <v>edificiozentral51@gmail.com</v>
          </cell>
          <cell r="F3012" t="str">
            <v>TRANSVERSAL 3  51 A  31</v>
          </cell>
          <cell r="G3012">
            <v>11001</v>
          </cell>
        </row>
        <row r="3013">
          <cell r="A3013" t="str">
            <v>901003044</v>
          </cell>
          <cell r="B3013" t="str">
            <v>6</v>
          </cell>
          <cell r="C3013" t="str">
            <v>DHL SUPPLY CHAIN COLOMBIA SAS</v>
          </cell>
          <cell r="D3013" t="str">
            <v>7422828</v>
          </cell>
          <cell r="E3013" t="str">
            <v>recibofac.electronica@dhl.com</v>
          </cell>
          <cell r="F3013" t="str">
            <v>CARRERA 96 B  25 D  55</v>
          </cell>
          <cell r="G3013">
            <v>11001</v>
          </cell>
        </row>
        <row r="3014">
          <cell r="A3014" t="str">
            <v>901003188</v>
          </cell>
          <cell r="B3014" t="str">
            <v>8</v>
          </cell>
          <cell r="C3014" t="str">
            <v>CENTRO COMERCIAL SANTA LUCIA PLAZA</v>
          </cell>
          <cell r="D3014">
            <v>3219664011</v>
          </cell>
          <cell r="E3014" t="str">
            <v>facturacion@santaluciaplaza.com.co</v>
          </cell>
          <cell r="F3014" t="str">
            <v>CALLE 8  48  145</v>
          </cell>
          <cell r="G3014">
            <v>11001</v>
          </cell>
        </row>
        <row r="3015">
          <cell r="A3015" t="str">
            <v>901004020</v>
          </cell>
          <cell r="B3015" t="str">
            <v>4</v>
          </cell>
          <cell r="C3015" t="str">
            <v>CONJUNTO RESIDENCIAL TERRAZAS DE CALICANTO</v>
          </cell>
          <cell r="D3015" t="str">
            <v>6421958</v>
          </cell>
          <cell r="E3015" t="str">
            <v>contabilidadterrazascalicanto@gmail.com</v>
          </cell>
          <cell r="F3015" t="str">
            <v>DIAGONAL 38  54  84</v>
          </cell>
          <cell r="G3015">
            <v>11001</v>
          </cell>
        </row>
        <row r="3016">
          <cell r="A3016" t="str">
            <v>901004946</v>
          </cell>
          <cell r="B3016" t="str">
            <v>9</v>
          </cell>
          <cell r="C3016" t="str">
            <v>CONJUNTO RESIDENCIAL EL VERDERON 1LOTE B - PROPIEDAD HORIZONTAL</v>
          </cell>
          <cell r="D3016" t="str">
            <v>3223240392</v>
          </cell>
          <cell r="E3016" t="str">
            <v>elverderon1@gmail.com</v>
          </cell>
          <cell r="F3016" t="str">
            <v>CALLE 60 SUR  83 A  11</v>
          </cell>
          <cell r="G3016">
            <v>11001</v>
          </cell>
        </row>
        <row r="3017">
          <cell r="A3017" t="str">
            <v>901011143</v>
          </cell>
          <cell r="B3017" t="str">
            <v>0</v>
          </cell>
          <cell r="C3017" t="str">
            <v>URBANIZACION LA VIDA ES BELLA P.H</v>
          </cell>
          <cell r="D3017" t="str">
            <v>3007768335</v>
          </cell>
          <cell r="E3017" t="str">
            <v>lavidaesbellaedificio@gmail.com</v>
          </cell>
          <cell r="F3017" t="str">
            <v>CALLE 37  45  200</v>
          </cell>
          <cell r="G3017">
            <v>11001</v>
          </cell>
        </row>
        <row r="3018">
          <cell r="A3018" t="str">
            <v>901014018</v>
          </cell>
          <cell r="B3018" t="str">
            <v>1</v>
          </cell>
          <cell r="C3018" t="str">
            <v>PARQUE RESIDENCIAL SOL NACIENTE ETAPA 1 PROPIEDAD HORIZONTAL</v>
          </cell>
          <cell r="D3018" t="str">
            <v>2104926</v>
          </cell>
          <cell r="E3018" t="str">
            <v>facturacion@solnacientemosquera.com</v>
          </cell>
          <cell r="F3018" t="str">
            <v>CALLE 9  14 A  88 SUR</v>
          </cell>
          <cell r="G3018">
            <v>11001</v>
          </cell>
        </row>
        <row r="3019">
          <cell r="A3019" t="str">
            <v>901014692</v>
          </cell>
          <cell r="B3019" t="str">
            <v>6</v>
          </cell>
          <cell r="C3019" t="str">
            <v>MAN &amp; OBRA S.A.S.</v>
          </cell>
          <cell r="D3019" t="str">
            <v>3176432327</v>
          </cell>
          <cell r="E3019" t="str">
            <v>maniobra@maniobra.com.co</v>
          </cell>
          <cell r="F3019" t="str">
            <v>CL 64 A 94 B 47 IN 301</v>
          </cell>
          <cell r="G3019">
            <v>11001</v>
          </cell>
        </row>
        <row r="3020">
          <cell r="A3020" t="str">
            <v>901014961</v>
          </cell>
          <cell r="B3020" t="str">
            <v>2</v>
          </cell>
          <cell r="C3020" t="str">
            <v>CONJUNTO RESIDENCIAL ENTREHOJAS PH</v>
          </cell>
          <cell r="D3020" t="str">
            <v>4998363</v>
          </cell>
          <cell r="E3020" t="str">
            <v>mientrehojas@gmail.com</v>
          </cell>
          <cell r="F3020" t="str">
            <v>CALLE 75 SUR  52 G  40</v>
          </cell>
          <cell r="G3020">
            <v>11001</v>
          </cell>
        </row>
        <row r="3021">
          <cell r="A3021" t="str">
            <v>901015368</v>
          </cell>
          <cell r="B3021" t="str">
            <v>9</v>
          </cell>
          <cell r="C3021" t="str">
            <v>EDIFICIO PIXEL 98 - PROPIEDAD HORIZONTAL</v>
          </cell>
          <cell r="D3021" t="str">
            <v>3105659117</v>
          </cell>
          <cell r="E3021" t="str">
            <v>edpixel.98@gmail.com</v>
          </cell>
          <cell r="F3021" t="str">
            <v>CALLE 98  10  32</v>
          </cell>
          <cell r="G3021">
            <v>11001</v>
          </cell>
        </row>
        <row r="3022">
          <cell r="A3022" t="str">
            <v>901015977</v>
          </cell>
          <cell r="B3022" t="str">
            <v>4</v>
          </cell>
          <cell r="C3022" t="str">
            <v>EDIFICIO LITANNY</v>
          </cell>
          <cell r="D3022" t="str">
            <v>3202753845</v>
          </cell>
          <cell r="E3022" t="str">
            <v>edificiolitanny@gmail.com</v>
          </cell>
          <cell r="F3022" t="str">
            <v>CALLE 95  47  25</v>
          </cell>
          <cell r="G3022">
            <v>11001</v>
          </cell>
        </row>
        <row r="3023">
          <cell r="A3023" t="str">
            <v>901016610</v>
          </cell>
          <cell r="B3023" t="str">
            <v>1</v>
          </cell>
          <cell r="C3023" t="str">
            <v>PARQUE RESIDENCIAL RESERVA DE SUBA - PROPIEDAD HORIZONTAL</v>
          </cell>
          <cell r="D3023" t="str">
            <v>3105636828</v>
          </cell>
          <cell r="E3023" t="str">
            <v>reservadesubaph@gmail.com</v>
          </cell>
          <cell r="F3023" t="str">
            <v>CARRERA 145  150  44</v>
          </cell>
          <cell r="G3023">
            <v>11001</v>
          </cell>
        </row>
        <row r="3024">
          <cell r="A3024" t="str">
            <v>901016610</v>
          </cell>
          <cell r="B3024" t="str">
            <v>1</v>
          </cell>
          <cell r="C3024" t="str">
            <v>PARQUE RESIDENCIAL RESERVA DE SUBA - PROPIEDAD HORIZONTAL</v>
          </cell>
          <cell r="D3024" t="str">
            <v>3105636828</v>
          </cell>
          <cell r="E3024" t="str">
            <v>reservadesubaph@gmail.com</v>
          </cell>
          <cell r="F3024" t="str">
            <v>CARRERA 145  150  44</v>
          </cell>
          <cell r="G3024">
            <v>11001</v>
          </cell>
        </row>
        <row r="3025">
          <cell r="A3025" t="str">
            <v>901017111</v>
          </cell>
          <cell r="B3025" t="str">
            <v>2</v>
          </cell>
          <cell r="C3025" t="str">
            <v>CONJUNTO DE USO MIXTO PERLATO P.H.</v>
          </cell>
          <cell r="D3025" t="str">
            <v>3019546</v>
          </cell>
          <cell r="E3025" t="str">
            <v>pagos.perlato@gmail.com</v>
          </cell>
          <cell r="F3025" t="str">
            <v>CALLE 63  76  55</v>
          </cell>
          <cell r="G3025">
            <v>11001</v>
          </cell>
        </row>
        <row r="3026">
          <cell r="A3026" t="str">
            <v>901017725</v>
          </cell>
          <cell r="B3026" t="str">
            <v>4</v>
          </cell>
          <cell r="C3026" t="str">
            <v>CONJUNTO DE USO MIXTO PITRIZA P.H.</v>
          </cell>
          <cell r="D3026" t="str">
            <v>5783985</v>
          </cell>
          <cell r="E3026" t="str">
            <v>pitriza.ph@gmail.com</v>
          </cell>
          <cell r="F3026" t="str">
            <v>CALLE 79 SUR  55  15</v>
          </cell>
          <cell r="G3026">
            <v>11001</v>
          </cell>
        </row>
        <row r="3027">
          <cell r="A3027" t="str">
            <v>901017979</v>
          </cell>
          <cell r="B3027" t="str">
            <v>8</v>
          </cell>
          <cell r="C3027" t="str">
            <v>SELECT PROPIEDAD HORIZONTAL</v>
          </cell>
          <cell r="D3027" t="str">
            <v>2667435</v>
          </cell>
          <cell r="E3027" t="str">
            <v>proveedores@edificioselect.com</v>
          </cell>
          <cell r="F3027" t="str">
            <v>CARRERA 30  10 C  134</v>
          </cell>
          <cell r="G3027">
            <v>11001</v>
          </cell>
        </row>
        <row r="3028">
          <cell r="A3028" t="str">
            <v>901018045</v>
          </cell>
          <cell r="B3028" t="str">
            <v>9</v>
          </cell>
          <cell r="C3028" t="str">
            <v>EDIFICIO TESSELLO - PROPIEDAD HORIZONTAL</v>
          </cell>
          <cell r="D3028" t="str">
            <v>3134848606</v>
          </cell>
          <cell r="E3028" t="str">
            <v>admontessello@gmail.com</v>
          </cell>
          <cell r="F3028" t="str">
            <v>CARRERA 22  120  69</v>
          </cell>
          <cell r="G3028">
            <v>11001</v>
          </cell>
        </row>
        <row r="3029">
          <cell r="A3029" t="str">
            <v>901018652</v>
          </cell>
          <cell r="B3029" t="str">
            <v>1</v>
          </cell>
          <cell r="C3029" t="str">
            <v>CENTRO COMERCIAL UNICENTRO VALLEDUPAR - PROPIEDAD HORIZONTAL</v>
          </cell>
          <cell r="D3029" t="str">
            <v>3164716876</v>
          </cell>
          <cell r="E3029" t="str">
            <v>contabilidad@unicentrovalledupar.com.co</v>
          </cell>
          <cell r="F3029" t="str">
            <v>CARRERA 12  6  42</v>
          </cell>
          <cell r="G3029">
            <v>11001</v>
          </cell>
        </row>
        <row r="3030">
          <cell r="A3030" t="str">
            <v>901019197</v>
          </cell>
          <cell r="B3030" t="str">
            <v>4</v>
          </cell>
          <cell r="C3030" t="str">
            <v>INMOBILIARIA LA TERMINAL PLAZA SAS</v>
          </cell>
          <cell r="D3030" t="str">
            <v>6933070</v>
          </cell>
          <cell r="E3030" t="str">
            <v>cramirez@megatiendas.co</v>
          </cell>
          <cell r="F3030" t="str">
            <v>BRR EL PRADO DG 21 30 238</v>
          </cell>
          <cell r="G3030">
            <v>11001</v>
          </cell>
        </row>
        <row r="3031">
          <cell r="A3031" t="str">
            <v>901020093</v>
          </cell>
          <cell r="B3031" t="str">
            <v>9</v>
          </cell>
          <cell r="C3031" t="str">
            <v>URBANIZACION BOSQUE VERDE  P.H.</v>
          </cell>
          <cell r="D3031">
            <v>3219664011</v>
          </cell>
          <cell r="E3031" t="str">
            <v>bosqueverdeph@gmail.com</v>
          </cell>
          <cell r="F3031" t="str">
            <v>CARRERA 6 A  47 A  40</v>
          </cell>
          <cell r="G3031">
            <v>11001</v>
          </cell>
        </row>
        <row r="3032">
          <cell r="A3032" t="str">
            <v>901020337</v>
          </cell>
          <cell r="B3032" t="str">
            <v>0</v>
          </cell>
          <cell r="C3032" t="str">
            <v>CONJUNTO DE USO MIXTO CITRINO - PROPIEDAD HORIZONTAL</v>
          </cell>
          <cell r="D3032" t="str">
            <v>3022872224</v>
          </cell>
          <cell r="E3032" t="str">
            <v>admon.citrino@gmail.com</v>
          </cell>
          <cell r="F3032" t="str">
            <v>CARRERA 77  60  70</v>
          </cell>
          <cell r="G3032">
            <v>11001</v>
          </cell>
        </row>
        <row r="3033">
          <cell r="A3033" t="str">
            <v>901023380</v>
          </cell>
          <cell r="B3033" t="str">
            <v>1</v>
          </cell>
          <cell r="C3033" t="str">
            <v>CONJUNTO CACIQUE CLUB CONDOMINIO</v>
          </cell>
          <cell r="D3033" t="str">
            <v>3176718765</v>
          </cell>
          <cell r="E3033" t="str">
            <v>admcacique@gmail.com</v>
          </cell>
          <cell r="F3033" t="str">
            <v>CARRERA 33  86  144</v>
          </cell>
          <cell r="G3033">
            <v>11001</v>
          </cell>
        </row>
        <row r="3034">
          <cell r="A3034" t="str">
            <v>901025458</v>
          </cell>
          <cell r="B3034" t="str">
            <v>6</v>
          </cell>
          <cell r="C3034" t="str">
            <v>PROMOTORA INMOBILIARIA ARAGON S.A.S.</v>
          </cell>
          <cell r="D3034" t="str">
            <v>6513060</v>
          </cell>
          <cell r="E3034" t="str">
            <v>notificaciones_a2@acierto.com.co</v>
          </cell>
          <cell r="F3034" t="str">
            <v xml:space="preserve">AC 82 10 33 OF 802
</v>
          </cell>
          <cell r="G3034">
            <v>11001</v>
          </cell>
        </row>
        <row r="3035">
          <cell r="A3035" t="str">
            <v>901025458</v>
          </cell>
          <cell r="B3035" t="str">
            <v>6</v>
          </cell>
          <cell r="C3035" t="str">
            <v>PROMOTORA INMOBILIARIA ARAGON S.A.S.</v>
          </cell>
          <cell r="D3035" t="str">
            <v>6513060</v>
          </cell>
          <cell r="E3035" t="str">
            <v>notificaciones_a2@acierto.com.co</v>
          </cell>
          <cell r="F3035" t="str">
            <v xml:space="preserve">AC 82 10 33 OF 802
</v>
          </cell>
          <cell r="G3035">
            <v>11001</v>
          </cell>
        </row>
        <row r="3036">
          <cell r="A3036" t="str">
            <v>901025538</v>
          </cell>
          <cell r="B3036" t="str">
            <v>7</v>
          </cell>
          <cell r="C3036" t="str">
            <v>CENTRO EMPRESARIAL PONTEVEDRA - PROPIEDAD HORIZONTAL</v>
          </cell>
          <cell r="D3036" t="str">
            <v>3016235896</v>
          </cell>
          <cell r="E3036" t="str">
            <v>fe.cepontevedra@gmail.com</v>
          </cell>
          <cell r="F3036" t="str">
            <v>CARRERA 70 C BIS  97  60</v>
          </cell>
          <cell r="G3036">
            <v>11001</v>
          </cell>
        </row>
        <row r="3037">
          <cell r="A3037" t="str">
            <v>901025538</v>
          </cell>
          <cell r="B3037" t="str">
            <v>7</v>
          </cell>
          <cell r="C3037" t="str">
            <v>CENTRO EMPRESARIAL PONTEVEDRA - PROPIEDAD HORIZONTAL</v>
          </cell>
          <cell r="D3037" t="str">
            <v>3016235896</v>
          </cell>
          <cell r="E3037" t="str">
            <v>fe.cepontevedra@gmail.com</v>
          </cell>
          <cell r="F3037" t="str">
            <v>CARRERA 70 C BIS  97  60</v>
          </cell>
          <cell r="G3037">
            <v>11001</v>
          </cell>
        </row>
        <row r="3038">
          <cell r="A3038" t="str">
            <v>901027210</v>
          </cell>
          <cell r="B3038" t="str">
            <v>6</v>
          </cell>
          <cell r="C3038" t="str">
            <v>LEPLAZTIQUE SAS</v>
          </cell>
          <cell r="D3038" t="str">
            <v>3154856028</v>
          </cell>
          <cell r="E3038" t="str">
            <v>facturacionleplaztiquesas@gmail.com</v>
          </cell>
          <cell r="F3038" t="str">
            <v>CALLE 5 B 3 38 44 CS 101 ST C D C</v>
          </cell>
          <cell r="G3038">
            <v>11001</v>
          </cell>
        </row>
        <row r="3039">
          <cell r="A3039" t="str">
            <v>901028679</v>
          </cell>
          <cell r="B3039" t="str">
            <v>0</v>
          </cell>
          <cell r="C3039" t="str">
            <v>"CONJUNTO DE USO MIXTO MADRID APARTAMENTOS - PROPIEDAD HORIZONTAL"</v>
          </cell>
          <cell r="D3039" t="str">
            <v>5555555</v>
          </cell>
          <cell r="E3039" t="str">
            <v>madridapartamentosph@hotmail.com</v>
          </cell>
          <cell r="F3039" t="str">
            <v>TRANSVERSAL 53 A  65  70</v>
          </cell>
          <cell r="G3039">
            <v>11001</v>
          </cell>
        </row>
        <row r="3040">
          <cell r="A3040" t="str">
            <v>901028828</v>
          </cell>
          <cell r="B3040" t="str">
            <v>1</v>
          </cell>
          <cell r="C3040" t="str">
            <v>DOMUS 94 A - PROPIEDAD HORIZONTAL</v>
          </cell>
          <cell r="D3040" t="str">
            <v>2877586</v>
          </cell>
          <cell r="E3040" t="str">
            <v>facturacionelectronica@casalini.com.co</v>
          </cell>
          <cell r="F3040" t="str">
            <v>CALLE 94 A  9  43</v>
          </cell>
          <cell r="G3040">
            <v>11001</v>
          </cell>
        </row>
        <row r="3041">
          <cell r="A3041" t="str">
            <v>901028858</v>
          </cell>
          <cell r="B3041" t="str">
            <v>2</v>
          </cell>
          <cell r="C3041" t="str">
            <v>CONJUNTO RESIDENCIAL MULTIFAMILIAR K 109 EBANO ETAPA I - PROPIEDAD HORIZONTAL</v>
          </cell>
          <cell r="D3041" t="str">
            <v>3165260806</v>
          </cell>
          <cell r="E3041" t="str">
            <v>ebanoadmon@gmail.com</v>
          </cell>
          <cell r="F3041" t="str">
            <v>CALLE 58  109  83</v>
          </cell>
          <cell r="G3041">
            <v>11001</v>
          </cell>
        </row>
        <row r="3042">
          <cell r="A3042" t="str">
            <v>901029543</v>
          </cell>
          <cell r="B3042" t="str">
            <v>2</v>
          </cell>
          <cell r="C3042" t="str">
            <v>EDIFICIO AMAZON TOWER</v>
          </cell>
          <cell r="D3042" t="str">
            <v>3172205392</v>
          </cell>
          <cell r="E3042" t="str">
            <v>edificioamazontower@gmail.com</v>
          </cell>
          <cell r="F3042" t="str">
            <v>CARRERA 38  41  74</v>
          </cell>
          <cell r="G3042">
            <v>11001</v>
          </cell>
        </row>
        <row r="3043">
          <cell r="A3043" t="str">
            <v>901032721</v>
          </cell>
          <cell r="B3043" t="str">
            <v>8</v>
          </cell>
          <cell r="C3043" t="str">
            <v>CONJUNTO RESIDENCIAL RIVERA DE SURAMERICA PH</v>
          </cell>
          <cell r="D3043">
            <v>3219664011</v>
          </cell>
          <cell r="E3043" t="str">
            <v>riveradesuramerica@gmail.com</v>
          </cell>
          <cell r="F3043" t="str">
            <v>CL 75 A A SUR 52 E 105</v>
          </cell>
          <cell r="G3043">
            <v>11001</v>
          </cell>
        </row>
        <row r="3044">
          <cell r="A3044" t="str">
            <v>901032980</v>
          </cell>
          <cell r="B3044" t="str">
            <v>9</v>
          </cell>
          <cell r="C3044" t="str">
            <v>EDIFICIO MULTIFAMILIAR VIVERDI 85</v>
          </cell>
          <cell r="D3044" t="str">
            <v>3555885</v>
          </cell>
          <cell r="E3044" t="str">
            <v>edificiomultifamiliarviverdi85@gmail.com</v>
          </cell>
          <cell r="F3044" t="str">
            <v>CARRERA 45  85  154</v>
          </cell>
          <cell r="G3044">
            <v>11001</v>
          </cell>
        </row>
        <row r="3045">
          <cell r="A3045" t="str">
            <v>901033321</v>
          </cell>
          <cell r="B3045" t="str">
            <v>1</v>
          </cell>
          <cell r="C3045" t="str">
            <v>EDIFICIO MULTIFAMILIAR ESPACIO 142 - PROPIEDAD HORIZONTAL</v>
          </cell>
          <cell r="D3045" t="str">
            <v>7474844</v>
          </cell>
          <cell r="E3045" t="str">
            <v>edificio.espacio142@gmail.com</v>
          </cell>
          <cell r="F3045" t="str">
            <v>CARRERA 13  142  71</v>
          </cell>
          <cell r="G3045">
            <v>11001</v>
          </cell>
        </row>
        <row r="3046">
          <cell r="A3046" t="str">
            <v>901034314</v>
          </cell>
          <cell r="B3046" t="str">
            <v>2</v>
          </cell>
          <cell r="C3046" t="str">
            <v>EDIFICIO PALMARES DE TOSCANA - PROPIEDAD HORIZONTAL</v>
          </cell>
          <cell r="D3046" t="str">
            <v>3118533307</v>
          </cell>
          <cell r="E3046" t="str">
            <v>16palmaresdetoscana@gmail.com</v>
          </cell>
          <cell r="F3046" t="str">
            <v>CARRERA 19 A  143 A  07</v>
          </cell>
          <cell r="G3046">
            <v>11001</v>
          </cell>
        </row>
        <row r="3047">
          <cell r="A3047" t="str">
            <v>901035853</v>
          </cell>
          <cell r="B3047" t="str">
            <v>5</v>
          </cell>
          <cell r="C3047" t="str">
            <v>EDIFICIO 118 OLIVAR DE SANTA BARBARA PROPIEDAD HORIZONTAL</v>
          </cell>
          <cell r="D3047" t="str">
            <v>3124346</v>
          </cell>
          <cell r="E3047" t="str">
            <v>facturacionamarvi@gmail.com</v>
          </cell>
          <cell r="F3047" t="str">
            <v>CALLE 118  20  58</v>
          </cell>
          <cell r="G3047">
            <v>11001</v>
          </cell>
        </row>
        <row r="3048">
          <cell r="A3048" t="str">
            <v>901037520</v>
          </cell>
          <cell r="B3048" t="str">
            <v>7</v>
          </cell>
          <cell r="C3048" t="str">
            <v>EDIFICIO IMOVAL XIII- PROPIEDAD HORIZONTAL</v>
          </cell>
          <cell r="D3048" t="str">
            <v>3138523044</v>
          </cell>
          <cell r="E3048" t="str">
            <v>imovalph@gmail.com</v>
          </cell>
          <cell r="F3048" t="str">
            <v>CARRERA 7 F  145  88</v>
          </cell>
          <cell r="G3048">
            <v>11001</v>
          </cell>
        </row>
        <row r="3049">
          <cell r="A3049" t="str">
            <v>901038411</v>
          </cell>
          <cell r="B3049" t="str">
            <v>7</v>
          </cell>
          <cell r="C3049" t="str">
            <v>EDIFICIO BISANZ - PROPIEDAD HORIZONTAL</v>
          </cell>
          <cell r="D3049" t="str">
            <v>3063807</v>
          </cell>
          <cell r="E3049" t="str">
            <v>homecentrosltda2@gmail.com</v>
          </cell>
          <cell r="F3049" t="str">
            <v>CARRERA 13  119  55</v>
          </cell>
          <cell r="G3049">
            <v>11001</v>
          </cell>
        </row>
        <row r="3050">
          <cell r="A3050" t="str">
            <v>901039644</v>
          </cell>
          <cell r="B3050" t="str">
            <v>0</v>
          </cell>
          <cell r="C3050" t="str">
            <v>PARADISE VALLEY SAS</v>
          </cell>
          <cell r="D3050">
            <v>3219664011</v>
          </cell>
          <cell r="E3050" t="str">
            <v>jmartinez@gutierrezgroup.com.co</v>
          </cell>
          <cell r="F3050" t="str">
            <v>CALLE 7 SUR 42 70 ED FORUM OFC. 209</v>
          </cell>
          <cell r="G3050">
            <v>11001</v>
          </cell>
        </row>
        <row r="3051">
          <cell r="A3051" t="str">
            <v>901039903</v>
          </cell>
          <cell r="B3051" t="str">
            <v>3</v>
          </cell>
          <cell r="C3051" t="str">
            <v>ADOSAGUAS S.A.S.</v>
          </cell>
          <cell r="D3051" t="str">
            <v>3113652989</v>
          </cell>
          <cell r="E3051" t="str">
            <v>adosaguasjcm@gmail.com</v>
          </cell>
          <cell r="F3051" t="str">
            <v>CR 43 61 50</v>
          </cell>
          <cell r="G3051">
            <v>11001</v>
          </cell>
        </row>
        <row r="3052">
          <cell r="A3052" t="str">
            <v>901041691</v>
          </cell>
          <cell r="B3052" t="str">
            <v>3</v>
          </cell>
          <cell r="C3052" t="str">
            <v>CENTROS MEDICOS COLSANITAS SAS</v>
          </cell>
          <cell r="D3052" t="str">
            <v>6466060</v>
          </cell>
          <cell r="E3052" t="str">
            <v>recepcioncentrosmedicoscolsanitas@fe.keralty.com</v>
          </cell>
          <cell r="F3052" t="str">
            <v>AV CL 100 11B 67</v>
          </cell>
          <cell r="G3052">
            <v>11001</v>
          </cell>
        </row>
        <row r="3053">
          <cell r="A3053" t="str">
            <v>901041691</v>
          </cell>
          <cell r="B3053" t="str">
            <v>3</v>
          </cell>
          <cell r="C3053" t="str">
            <v>CENTROS MEDICOS COLSANITAS SAS</v>
          </cell>
          <cell r="D3053" t="str">
            <v>6466060</v>
          </cell>
          <cell r="E3053" t="str">
            <v>recepcioncentrosmedicoscolsanitas@fe.keralty.com</v>
          </cell>
          <cell r="F3053" t="str">
            <v>AV CL 100 11B 67</v>
          </cell>
          <cell r="G3053">
            <v>11001</v>
          </cell>
        </row>
        <row r="3054">
          <cell r="A3054" t="str">
            <v>901041736</v>
          </cell>
          <cell r="B3054" t="str">
            <v>6</v>
          </cell>
          <cell r="C3054" t="str">
            <v>CONJUNTO RESIDENCIAL HACIENDA PEÑALISA TAGUA</v>
          </cell>
          <cell r="D3054" t="str">
            <v>3157966171</v>
          </cell>
          <cell r="E3054" t="str">
            <v>taguaph@gmail.com</v>
          </cell>
          <cell r="F3054" t="str">
            <v>CARRERA 11  11  239</v>
          </cell>
          <cell r="G3054">
            <v>11001</v>
          </cell>
        </row>
        <row r="3055">
          <cell r="A3055" t="str">
            <v>901042042</v>
          </cell>
          <cell r="B3055" t="str">
            <v>8</v>
          </cell>
          <cell r="C3055" t="str">
            <v>CENTRO EMPRESARIAL BUENAVISTA</v>
          </cell>
          <cell r="D3055" t="str">
            <v>3205715900</v>
          </cell>
          <cell r="E3055" t="str">
            <v>contabilidad@cebuenavista.com</v>
          </cell>
          <cell r="F3055" t="str">
            <v>CARRERA 53  106  280</v>
          </cell>
          <cell r="G3055">
            <v>11001</v>
          </cell>
        </row>
        <row r="3056">
          <cell r="A3056" t="str">
            <v>901044339</v>
          </cell>
          <cell r="B3056" t="str">
            <v>9</v>
          </cell>
          <cell r="C3056" t="str">
            <v>808 EMPRESARIAL  PROPIEDAD HORIZONTAL</v>
          </cell>
          <cell r="D3056" t="str">
            <v>3006192376</v>
          </cell>
          <cell r="E3056" t="str">
            <v>808empresarialph@gmail.com</v>
          </cell>
          <cell r="F3056" t="str">
            <v>CARRERA 50 FF  8 SUR  27</v>
          </cell>
          <cell r="G3056">
            <v>11001</v>
          </cell>
        </row>
        <row r="3057">
          <cell r="A3057" t="str">
            <v>901045468</v>
          </cell>
          <cell r="B3057" t="str">
            <v>5</v>
          </cell>
          <cell r="C3057" t="str">
            <v>EDIFICIO NOVARA - PROPIEDAD HORIZONTAL</v>
          </cell>
          <cell r="D3057" t="str">
            <v>6209181</v>
          </cell>
          <cell r="E3057" t="str">
            <v>buzonfacturasnovara@conefort.com</v>
          </cell>
          <cell r="F3057" t="str">
            <v>CARRERA 23  104  85</v>
          </cell>
          <cell r="G3057">
            <v>11001</v>
          </cell>
        </row>
        <row r="3058">
          <cell r="A3058" t="str">
            <v>901046184</v>
          </cell>
          <cell r="B3058" t="str">
            <v>3</v>
          </cell>
          <cell r="C3058" t="str">
            <v>EDIFICIO BASIKA 72 - PROPIEDAD HORIZONTAL</v>
          </cell>
          <cell r="D3058" t="str">
            <v>3183418632</v>
          </cell>
          <cell r="E3058" t="str">
            <v>facturacionelectronica.phjsas@gmail.com</v>
          </cell>
          <cell r="F3058" t="str">
            <v>CALLE 72 BIS  1  83</v>
          </cell>
          <cell r="G3058">
            <v>11001</v>
          </cell>
        </row>
        <row r="3059">
          <cell r="A3059" t="str">
            <v>901046829</v>
          </cell>
          <cell r="B3059" t="str">
            <v>5</v>
          </cell>
          <cell r="C3059" t="str">
            <v>CONJUNTO RESIDENCIAL PRADERA DE GRANADA II - PROPIEDAD HORIZONTAL</v>
          </cell>
          <cell r="D3059" t="str">
            <v>3213136733</v>
          </cell>
          <cell r="E3059" t="str">
            <v>monica.salamanca@amarilo.com</v>
          </cell>
          <cell r="F3059" t="str">
            <v>CALLE 78 B  120  92</v>
          </cell>
          <cell r="G3059">
            <v>11001</v>
          </cell>
        </row>
        <row r="3060">
          <cell r="A3060" t="str">
            <v>901047518</v>
          </cell>
          <cell r="B3060" t="str">
            <v>4</v>
          </cell>
          <cell r="C3060" t="str">
            <v>EDIFICIO PORTO LETICIA P.H</v>
          </cell>
          <cell r="D3060" t="str">
            <v>3007803970</v>
          </cell>
          <cell r="E3060" t="str">
            <v>urbanizacionportoleticia@gmail.com</v>
          </cell>
          <cell r="F3060" t="str">
            <v>CARRERA 59  27 B  357</v>
          </cell>
          <cell r="G3060">
            <v>11001</v>
          </cell>
        </row>
        <row r="3061">
          <cell r="A3061" t="str">
            <v>901048306</v>
          </cell>
          <cell r="B3061" t="str">
            <v>4</v>
          </cell>
          <cell r="C3061" t="str">
            <v>EDIFICIO ENTORNO 109 - PROPIEDAD HORIZONTAL</v>
          </cell>
          <cell r="D3061" t="str">
            <v>6232627</v>
          </cell>
          <cell r="E3061" t="str">
            <v>edificioentorno109@gmail.com</v>
          </cell>
          <cell r="F3061" t="str">
            <v>CARRERA 14  108  54</v>
          </cell>
          <cell r="G3061">
            <v>11001</v>
          </cell>
        </row>
        <row r="3062">
          <cell r="A3062" t="str">
            <v>901048663</v>
          </cell>
          <cell r="B3062" t="str">
            <v>9</v>
          </cell>
          <cell r="C3062" t="str">
            <v>CONDOMINIO PALMAZERA PROPIEDAD HORIZONTAL</v>
          </cell>
          <cell r="D3062" t="str">
            <v>4483468</v>
          </cell>
          <cell r="E3062" t="str">
            <v>admonpalmazera@gmail.com</v>
          </cell>
          <cell r="F3062" t="str">
            <v>CALLE 20  27  162</v>
          </cell>
          <cell r="G3062">
            <v>11001</v>
          </cell>
        </row>
        <row r="3063">
          <cell r="A3063" t="str">
            <v>901048730</v>
          </cell>
          <cell r="B3063" t="str">
            <v>4</v>
          </cell>
          <cell r="C3063" t="str">
            <v>EDIFICIO GIARDINO</v>
          </cell>
          <cell r="D3063" t="str">
            <v>3018547856</v>
          </cell>
          <cell r="E3063" t="str">
            <v>admonedificiogiardino@hotmail.com</v>
          </cell>
          <cell r="F3063" t="str">
            <v>CALLE 81  56  21</v>
          </cell>
          <cell r="G3063">
            <v>11001</v>
          </cell>
        </row>
        <row r="3064">
          <cell r="A3064" t="str">
            <v>901051294</v>
          </cell>
          <cell r="B3064" t="str">
            <v>5</v>
          </cell>
          <cell r="C3064" t="str">
            <v>ESTRUCTURAR INFRAESTRUCTURA S.A.S.</v>
          </cell>
          <cell r="D3064" t="str">
            <v>3121888</v>
          </cell>
          <cell r="E3064" t="str">
            <v>facturacion@estructurar.co</v>
          </cell>
          <cell r="F3064" t="str">
            <v>CL 11 C  31 105</v>
          </cell>
          <cell r="G3064">
            <v>11001</v>
          </cell>
        </row>
        <row r="3065">
          <cell r="A3065" t="str">
            <v>901053024</v>
          </cell>
          <cell r="B3065" t="str">
            <v>2</v>
          </cell>
          <cell r="C3065" t="str">
            <v>CONJUNTO RESIDENCIAL CALIFORNIA P.H.</v>
          </cell>
          <cell r="D3065" t="str">
            <v>3176566315</v>
          </cell>
          <cell r="E3065" t="str">
            <v>tesoreria@caaph.co</v>
          </cell>
          <cell r="F3065" t="str">
            <v>CARRERA 25 A  38 D SUR  30</v>
          </cell>
          <cell r="G3065">
            <v>11001</v>
          </cell>
        </row>
        <row r="3066">
          <cell r="A3066" t="str">
            <v>901053250</v>
          </cell>
          <cell r="B3066" t="str">
            <v>0</v>
          </cell>
          <cell r="C3066" t="str">
            <v>EDIFICIO TERRAZZO 116 PROPIEDAD HORIZONTAL</v>
          </cell>
          <cell r="D3066" t="str">
            <v>3125434545</v>
          </cell>
          <cell r="E3066" t="str">
            <v>adm.terrazzo116@gmail.com</v>
          </cell>
          <cell r="F3066" t="str">
            <v>CARRERA 18  116  48</v>
          </cell>
          <cell r="G3066">
            <v>11001</v>
          </cell>
        </row>
        <row r="3067">
          <cell r="A3067" t="str">
            <v>901054760</v>
          </cell>
          <cell r="B3067" t="str">
            <v>1</v>
          </cell>
          <cell r="C3067" t="str">
            <v>CONJUNTO RESIDENCIAL BALCONES DE GRANADA VI - PROPIEDAD HORIZONTAL</v>
          </cell>
          <cell r="D3067" t="str">
            <v>3213136733</v>
          </cell>
          <cell r="E3067" t="str">
            <v>admonbalconesdegranada6@gmail.com</v>
          </cell>
          <cell r="F3067" t="str">
            <v>CARRERA 120  77  60</v>
          </cell>
          <cell r="G3067">
            <v>11001</v>
          </cell>
        </row>
        <row r="3068">
          <cell r="A3068" t="str">
            <v>901054769</v>
          </cell>
          <cell r="B3068" t="str">
            <v>5</v>
          </cell>
          <cell r="C3068" t="str">
            <v>CONJUNTO RESIDENCIAL RESERVA DE GRANADA II - PROPIEDAD HORIZONTAL</v>
          </cell>
          <cell r="D3068" t="str">
            <v>3102118857</v>
          </cell>
          <cell r="E3068" t="str">
            <v>reservagranada2ph@gmail.com</v>
          </cell>
          <cell r="F3068" t="str">
            <v>CR 119 77 B 49</v>
          </cell>
          <cell r="G3068">
            <v>11001</v>
          </cell>
        </row>
        <row r="3069">
          <cell r="A3069" t="str">
            <v>901054820</v>
          </cell>
          <cell r="B3069" t="str">
            <v>3</v>
          </cell>
          <cell r="C3069" t="str">
            <v>CONJUNTO RESIDENCIAL FARO - PROPIEDAD HORIZONTAL</v>
          </cell>
          <cell r="D3069" t="str">
            <v>3214903462</v>
          </cell>
          <cell r="E3069" t="str">
            <v>administracion@conjuntofaro.com</v>
          </cell>
          <cell r="F3069" t="str">
            <v>CL 161 54 25</v>
          </cell>
          <cell r="G3069">
            <v>11001</v>
          </cell>
        </row>
        <row r="3070">
          <cell r="A3070" t="str">
            <v>901054820</v>
          </cell>
          <cell r="B3070" t="str">
            <v>3</v>
          </cell>
          <cell r="C3070" t="str">
            <v>CONJUNTO RESIDENCIAL FARO - PROPIEDAD HORIZONTAL</v>
          </cell>
          <cell r="D3070" t="str">
            <v>3214903462</v>
          </cell>
          <cell r="E3070" t="str">
            <v>administracion@conjuntofaro.com</v>
          </cell>
          <cell r="F3070" t="str">
            <v>CL 161 54 25</v>
          </cell>
          <cell r="G3070">
            <v>11001</v>
          </cell>
        </row>
        <row r="3071">
          <cell r="A3071" t="str">
            <v>901054835</v>
          </cell>
          <cell r="B3071" t="str">
            <v>3</v>
          </cell>
          <cell r="C3071" t="str">
            <v>CONJUNTO RESIDENCIAL CANARIA</v>
          </cell>
          <cell r="D3071" t="str">
            <v>3213136733</v>
          </cell>
          <cell r="E3071" t="str">
            <v>canariaph@gmail.com</v>
          </cell>
          <cell r="F3071" t="str">
            <v>CL 12 12 60 ZONA URBANA</v>
          </cell>
          <cell r="G3071">
            <v>11001</v>
          </cell>
        </row>
        <row r="3072">
          <cell r="A3072" t="str">
            <v>901055072</v>
          </cell>
          <cell r="B3072" t="str">
            <v>5</v>
          </cell>
          <cell r="C3072" t="str">
            <v>CONJUNTO TORRES DE SAN FELIPE</v>
          </cell>
          <cell r="D3072" t="str">
            <v>3202023125</v>
          </cell>
          <cell r="E3072" t="str">
            <v>torresdesanfelipeph@gmail.com</v>
          </cell>
          <cell r="F3072" t="str">
            <v>CL 67 6 39</v>
          </cell>
          <cell r="G3072">
            <v>11001</v>
          </cell>
        </row>
        <row r="3073">
          <cell r="A3073" t="str">
            <v>901055746</v>
          </cell>
          <cell r="B3073" t="str">
            <v>0</v>
          </cell>
          <cell r="C3073" t="str">
            <v>EL PARQUE CONSTRUCTORA S.A.S</v>
          </cell>
          <cell r="D3073" t="str">
            <v>3103240116</v>
          </cell>
          <cell r="E3073" t="str">
            <v>constructoraelparquesas@gmail.com</v>
          </cell>
          <cell r="F3073" t="str">
            <v>CARRERA 22  137  72  OFICINA 301</v>
          </cell>
          <cell r="G3073">
            <v>11001</v>
          </cell>
        </row>
        <row r="3074">
          <cell r="A3074" t="str">
            <v>901056520</v>
          </cell>
          <cell r="B3074" t="str">
            <v>8</v>
          </cell>
          <cell r="C3074" t="str">
            <v>CONJUNTO RESIDENCIAL ARBORETO</v>
          </cell>
          <cell r="D3074" t="str">
            <v>6434955</v>
          </cell>
          <cell r="E3074" t="str">
            <v>conjuntoresidencialarboreto@gmail.com</v>
          </cell>
          <cell r="F3074" t="str">
            <v>CARRERA 8  7 N  95</v>
          </cell>
          <cell r="G3074">
            <v>11001</v>
          </cell>
        </row>
        <row r="3075">
          <cell r="A3075" t="str">
            <v>901056905</v>
          </cell>
          <cell r="B3075" t="str">
            <v>1</v>
          </cell>
          <cell r="C3075" t="str">
            <v>CONJUNTO RESIDENCIAL TORRES DEL BOSQUE PRIMERA ETAPA P H</v>
          </cell>
          <cell r="D3075" t="str">
            <v>3227005035</v>
          </cell>
          <cell r="E3075" t="str">
            <v>conjuntotorresdelbosque@gmail.com</v>
          </cell>
          <cell r="F3075" t="str">
            <v>AVENIDA 7  9 N  63</v>
          </cell>
          <cell r="G3075">
            <v>11001</v>
          </cell>
        </row>
        <row r="3076">
          <cell r="A3076" t="str">
            <v>901057938</v>
          </cell>
          <cell r="B3076" t="str">
            <v>7</v>
          </cell>
          <cell r="C3076" t="str">
            <v>URBANIZACION "VILLA DEL CAMPO P.H."</v>
          </cell>
          <cell r="D3076">
            <v>3219664011</v>
          </cell>
          <cell r="E3076" t="str">
            <v>villadelcampoph@gmail.com</v>
          </cell>
          <cell r="F3076" t="str">
            <v>CALLE 83  58  19</v>
          </cell>
          <cell r="G3076">
            <v>11001</v>
          </cell>
        </row>
        <row r="3077">
          <cell r="A3077" t="str">
            <v>901058872</v>
          </cell>
          <cell r="B3077" t="str">
            <v>4</v>
          </cell>
          <cell r="C3077" t="str">
            <v>ENVIOX LOGISTICOS SAS</v>
          </cell>
          <cell r="D3077" t="str">
            <v>CL 33 SUR 51 G 34</v>
          </cell>
          <cell r="E3077" t="str">
            <v>envioxlogisticos@hotmail.com</v>
          </cell>
          <cell r="F3077" t="str">
            <v>CR 74 A  49 A  94</v>
          </cell>
          <cell r="G3077">
            <v>11001</v>
          </cell>
        </row>
        <row r="3078">
          <cell r="A3078" t="str">
            <v>901059302</v>
          </cell>
          <cell r="B3078" t="str">
            <v>2</v>
          </cell>
          <cell r="C3078" t="str">
            <v>EDIFICIO AZIZ CONDOMINIO</v>
          </cell>
          <cell r="D3078" t="str">
            <v>3176718765</v>
          </cell>
          <cell r="E3078" t="str">
            <v>admazizcondominio@gmail.com</v>
          </cell>
          <cell r="F3078" t="str">
            <v>CARRERA 25  18  31</v>
          </cell>
          <cell r="G3078">
            <v>11001</v>
          </cell>
        </row>
        <row r="3079">
          <cell r="A3079" t="str">
            <v>901061400</v>
          </cell>
          <cell r="B3079" t="str">
            <v>2</v>
          </cell>
          <cell r="C3079" t="str">
            <v>PATRIMONIOS AUTONOMOS FIDUCIARIA COOMEVA S.A.</v>
          </cell>
          <cell r="D3079">
            <v>3219664011</v>
          </cell>
          <cell r="E3079" t="str">
            <v>recepcion_patrimonios@coomeva.com.co</v>
          </cell>
          <cell r="F3079" t="str">
            <v>Calle 13 57 50</v>
          </cell>
          <cell r="G3079">
            <v>11001</v>
          </cell>
        </row>
        <row r="3080">
          <cell r="A3080" t="str">
            <v>901061783</v>
          </cell>
          <cell r="B3080" t="str">
            <v>8</v>
          </cell>
          <cell r="C3080" t="str">
            <v>CONJUNTO RESIDENCIAL CANAGUAY - HACIENDA ROSA BLANCA</v>
          </cell>
          <cell r="D3080" t="str">
            <v>3213136733</v>
          </cell>
          <cell r="E3080" t="str">
            <v>canaguayrosablanca@gmail.com</v>
          </cell>
          <cell r="F3080" t="str">
            <v>CR 40 SUR 5A 271</v>
          </cell>
          <cell r="G3080">
            <v>11001</v>
          </cell>
        </row>
        <row r="3081">
          <cell r="A3081" t="str">
            <v>901061794</v>
          </cell>
          <cell r="B3081" t="str">
            <v>9</v>
          </cell>
          <cell r="C3081" t="str">
            <v>CONJUNTO BOSQUE DE LUNA CLUB RESIDENCIAL - PROPIEDAD HORIZONTAL</v>
          </cell>
          <cell r="D3081" t="str">
            <v>3213136733</v>
          </cell>
          <cell r="E3081" t="str">
            <v>conjuntobosquedelunaclub@gmail.com</v>
          </cell>
          <cell r="F3081" t="str">
            <v>CALLE 11  1 A  95</v>
          </cell>
          <cell r="G3081">
            <v>11001</v>
          </cell>
        </row>
        <row r="3082">
          <cell r="A3082" t="str">
            <v>901062685</v>
          </cell>
          <cell r="B3082" t="str">
            <v>9</v>
          </cell>
          <cell r="C3082" t="str">
            <v>EDIFICIO TORRE 19-24</v>
          </cell>
          <cell r="D3082" t="str">
            <v>3152539033</v>
          </cell>
          <cell r="E3082" t="str">
            <v>edificio1924@gmail.com</v>
          </cell>
          <cell r="F3082" t="str">
            <v>AVENIDA 19  24  16</v>
          </cell>
          <cell r="G3082">
            <v>11001</v>
          </cell>
        </row>
        <row r="3083">
          <cell r="A3083" t="str">
            <v>901062690</v>
          </cell>
          <cell r="B3083" t="str">
            <v>6</v>
          </cell>
          <cell r="C3083" t="str">
            <v>EDIFICIO GUAYAVA</v>
          </cell>
          <cell r="D3083" t="str">
            <v>3012522501</v>
          </cell>
          <cell r="E3083" t="str">
            <v>edificioguayava@gmail.com</v>
          </cell>
          <cell r="F3083" t="str">
            <v>CARRERA 56  84  90</v>
          </cell>
          <cell r="G3083">
            <v>11001</v>
          </cell>
        </row>
        <row r="3084">
          <cell r="A3084" t="str">
            <v>901062820</v>
          </cell>
          <cell r="B3084" t="str">
            <v>7</v>
          </cell>
          <cell r="C3084" t="str">
            <v>CONJUNTO RESIDENCIAL OCEANA 52 ETAPA 1 Y 2</v>
          </cell>
          <cell r="D3084" t="str">
            <v>3042501496</v>
          </cell>
          <cell r="E3084" t="str">
            <v>oceana52ph@gmail.com</v>
          </cell>
          <cell r="F3084" t="str">
            <v>CR 52 106 213</v>
          </cell>
          <cell r="G3084">
            <v>11001</v>
          </cell>
        </row>
        <row r="3085">
          <cell r="A3085" t="str">
            <v>901064230</v>
          </cell>
          <cell r="B3085" t="str">
            <v>0</v>
          </cell>
          <cell r="C3085" t="str">
            <v>EDIFICIO 93.10 VILANOVA MUSEO - PROPIEDAD HORIZONTAL</v>
          </cell>
          <cell r="D3085" t="str">
            <v>3 1 5 3 2 8 1 4 6 0</v>
          </cell>
          <cell r="E3085" t="str">
            <v>vilanova@administrandoespacios.com</v>
          </cell>
          <cell r="F3085" t="str">
            <v>CL 93 A 9 51</v>
          </cell>
          <cell r="G3085">
            <v>11001</v>
          </cell>
        </row>
        <row r="3086">
          <cell r="A3086" t="str">
            <v>901065069</v>
          </cell>
          <cell r="B3086" t="str">
            <v>5</v>
          </cell>
          <cell r="C3086" t="str">
            <v>LA MERCERIA ARTE Y MANUALIDADES S.A.S</v>
          </cell>
          <cell r="D3086" t="str">
            <v>3176411387</v>
          </cell>
          <cell r="E3086" t="str">
            <v>moniespinall@hotmail.com</v>
          </cell>
          <cell r="F3086" t="str">
            <v>CARRERA 43 B No. 80 - 88</v>
          </cell>
          <cell r="G3086">
            <v>11001</v>
          </cell>
        </row>
        <row r="3087">
          <cell r="A3087" t="str">
            <v>901065201</v>
          </cell>
          <cell r="B3087" t="str">
            <v>1</v>
          </cell>
          <cell r="C3087" t="str">
            <v>EDIFICIO PALKO 92 - PROPIEDAD HORIZONTAL</v>
          </cell>
          <cell r="D3087" t="str">
            <v>8844348</v>
          </cell>
          <cell r="E3087" t="str">
            <v>admon.palko92@adminsa.com.co</v>
          </cell>
          <cell r="F3087" t="str">
            <v>CALLE 92  13  68</v>
          </cell>
          <cell r="G3087">
            <v>11001</v>
          </cell>
        </row>
        <row r="3088">
          <cell r="A3088" t="str">
            <v>901065201</v>
          </cell>
          <cell r="B3088" t="str">
            <v>1</v>
          </cell>
          <cell r="C3088" t="str">
            <v>EDIFICIO PALKO 92 - PROPIEDAD HORIZONTAL</v>
          </cell>
          <cell r="D3088" t="str">
            <v>8844348</v>
          </cell>
          <cell r="E3088" t="str">
            <v>admon.palko92@adminsa.com.co</v>
          </cell>
          <cell r="F3088" t="str">
            <v>CALLE 92  13  68</v>
          </cell>
          <cell r="G3088">
            <v>11001</v>
          </cell>
        </row>
        <row r="3089">
          <cell r="A3089" t="str">
            <v>901065601</v>
          </cell>
          <cell r="B3089" t="str">
            <v>4</v>
          </cell>
          <cell r="C3089" t="str">
            <v>CONJUNTO RESIDENCIAL AQUALINA P.H.</v>
          </cell>
          <cell r="D3089" t="str">
            <v>3163890163</v>
          </cell>
          <cell r="E3089" t="str">
            <v>conjuntoresidencialaqualinaph@gmail.com</v>
          </cell>
          <cell r="F3089" t="str">
            <v>CL 47 13 91</v>
          </cell>
          <cell r="G3089">
            <v>11001</v>
          </cell>
        </row>
        <row r="3090">
          <cell r="A3090" t="str">
            <v>901065883</v>
          </cell>
          <cell r="B3090" t="str">
            <v>4</v>
          </cell>
          <cell r="C3090" t="str">
            <v>INVERSIONES INMOBILIARIA DUQUE S.A.S</v>
          </cell>
          <cell r="D3090" t="str">
            <v>3 1 8 2 0 1 2 9 0 4</v>
          </cell>
          <cell r="E3090" t="str">
            <v>compraventaduque@gmail.com</v>
          </cell>
          <cell r="F3090" t="str">
            <v>CR 27 A 40 39 LC 40 43 CON NIZA BRR MEJORAS PUBLICAS</v>
          </cell>
          <cell r="G3090">
            <v>11001</v>
          </cell>
        </row>
        <row r="3091">
          <cell r="A3091" t="str">
            <v>901066646</v>
          </cell>
          <cell r="B3091" t="str">
            <v>1</v>
          </cell>
          <cell r="C3091" t="str">
            <v>EDIFICIO CRZ-2-PROPIEDAD HORIZONTAL</v>
          </cell>
          <cell r="D3091" t="str">
            <v>3154229241</v>
          </cell>
          <cell r="E3091" t="str">
            <v>EDIFICIOCRZ2020@gmail.com</v>
          </cell>
          <cell r="F3091" t="str">
            <v>CR 23  39 08</v>
          </cell>
          <cell r="G3091">
            <v>11001</v>
          </cell>
        </row>
        <row r="3092">
          <cell r="A3092" t="str">
            <v>901067544</v>
          </cell>
          <cell r="B3092" t="str">
            <v>1</v>
          </cell>
          <cell r="C3092" t="str">
            <v>PLAZA COMERCIAL PLAZA BOUTIQUE</v>
          </cell>
          <cell r="D3092" t="str">
            <v>3166934483</v>
          </cell>
          <cell r="E3092" t="str">
            <v>waldipietro@gmail.com</v>
          </cell>
          <cell r="F3092" t="str">
            <v>CALLE 3  24  91</v>
          </cell>
          <cell r="G3092">
            <v>11001</v>
          </cell>
        </row>
        <row r="3093">
          <cell r="A3093" t="str">
            <v>901068679</v>
          </cell>
          <cell r="B3093" t="str">
            <v>1</v>
          </cell>
          <cell r="C3093" t="str">
            <v>EDIFICIO MANANTIAL 72A - PROPIEDAD HORIZONTAL</v>
          </cell>
          <cell r="D3093" t="str">
            <v>3164910636</v>
          </cell>
          <cell r="E3093" t="str">
            <v>manantial72A@gmail.com</v>
          </cell>
          <cell r="F3093" t="str">
            <v>CALLE 72 A  00  20 ESTE</v>
          </cell>
          <cell r="G3093">
            <v>11001</v>
          </cell>
        </row>
        <row r="3094">
          <cell r="A3094" t="str">
            <v>901071802</v>
          </cell>
          <cell r="B3094" t="str">
            <v>2</v>
          </cell>
          <cell r="C3094" t="str">
            <v>CONJUNTO RESIDENCIAL ROSARIO LAS PALMAS</v>
          </cell>
          <cell r="D3094" t="str">
            <v>3213136733</v>
          </cell>
          <cell r="E3094" t="str">
            <v>rosariolaspalmas@gmail.com</v>
          </cell>
          <cell r="F3094" t="str">
            <v>CARRERA 13 B  12  63</v>
          </cell>
          <cell r="G3094">
            <v>11001</v>
          </cell>
        </row>
        <row r="3095">
          <cell r="A3095" t="str">
            <v>901073970</v>
          </cell>
          <cell r="B3095" t="str">
            <v>0</v>
          </cell>
          <cell r="C3095" t="str">
            <v>ACTIVOS CAPITAL S.A.S.</v>
          </cell>
          <cell r="D3095" t="str">
            <v>4 4 3 0 7 0 0</v>
          </cell>
          <cell r="E3095" t="str">
            <v>facturasbogota@activoscapital.com</v>
          </cell>
          <cell r="F3095" t="str">
            <v>CL 122 23 55</v>
          </cell>
          <cell r="G3095">
            <v>11001</v>
          </cell>
        </row>
        <row r="3096">
          <cell r="A3096" t="str">
            <v>901074958</v>
          </cell>
          <cell r="B3096" t="str">
            <v>6</v>
          </cell>
          <cell r="C3096" t="str">
            <v>CONJUNTO RESIDENCIAL NATURA RESERVA</v>
          </cell>
          <cell r="D3096" t="str">
            <v>3162714989</v>
          </cell>
          <cell r="E3096" t="str">
            <v>rosmymuskus@hotmail.com</v>
          </cell>
          <cell r="F3096" t="str">
            <v>CARRERA 26  2 F  10</v>
          </cell>
          <cell r="G3096">
            <v>11001</v>
          </cell>
        </row>
        <row r="3097">
          <cell r="A3097" t="str">
            <v>901075665</v>
          </cell>
          <cell r="B3097" t="str">
            <v>8</v>
          </cell>
          <cell r="C3097" t="str">
            <v>BANSURI HOTEL GROUP S.A.S.</v>
          </cell>
          <cell r="D3097" t="str">
            <v>6063347081</v>
          </cell>
          <cell r="E3097" t="str">
            <v>restrepod@ferratoinversiones.com</v>
          </cell>
          <cell r="F3097" t="str">
            <v>VEREDA LOS PLANES KM5 VIA CERRITOS PEREIRA ENTRADA 16 CADENA EL TIGRE BELMONTE ASTURIAS LOTE 3</v>
          </cell>
          <cell r="G3097">
            <v>11001</v>
          </cell>
        </row>
        <row r="3098">
          <cell r="A3098" t="str">
            <v>901077562</v>
          </cell>
          <cell r="B3098" t="str">
            <v>7</v>
          </cell>
          <cell r="C3098" t="str">
            <v>EDIFICIO MORANO - PROPIEDAD HORIZONTAL</v>
          </cell>
          <cell r="D3098" t="str">
            <v>3203095837</v>
          </cell>
          <cell r="E3098" t="str">
            <v>ed.morano@hotmail.com</v>
          </cell>
          <cell r="F3098" t="str">
            <v>CARRERA 23  120  80</v>
          </cell>
          <cell r="G3098">
            <v>11001</v>
          </cell>
        </row>
        <row r="3099">
          <cell r="A3099" t="str">
            <v>901078331</v>
          </cell>
          <cell r="B3099" t="str">
            <v>7</v>
          </cell>
          <cell r="C3099" t="str">
            <v>EDIFICIO TAMARINDO - PROPIEDAD HORIZONTAL</v>
          </cell>
          <cell r="D3099" t="str">
            <v>3164305531</v>
          </cell>
          <cell r="E3099" t="str">
            <v>tamarindoadm@gmail.com</v>
          </cell>
          <cell r="F3099" t="str">
            <v>CALLE 79 B  5  80</v>
          </cell>
          <cell r="G3099">
            <v>11001</v>
          </cell>
        </row>
        <row r="3100">
          <cell r="A3100" t="str">
            <v>901079997</v>
          </cell>
          <cell r="B3100" t="str">
            <v>6</v>
          </cell>
          <cell r="C3100" t="str">
            <v>EDIFICIO PALMANOVA - PROPIEDAD HORIZONTAL</v>
          </cell>
          <cell r="D3100" t="str">
            <v>3163042429</v>
          </cell>
          <cell r="E3100" t="str">
            <v>ed.palmanova145@gmail.com</v>
          </cell>
          <cell r="F3100" t="str">
            <v>CALLE 145  15  31</v>
          </cell>
          <cell r="G3100">
            <v>11001</v>
          </cell>
        </row>
        <row r="3101">
          <cell r="A3101" t="str">
            <v>901079997</v>
          </cell>
          <cell r="B3101" t="str">
            <v>6</v>
          </cell>
          <cell r="C3101" t="str">
            <v>EDIFICIO PALMANOVA - PROPIEDAD HORIZONTAL</v>
          </cell>
          <cell r="D3101" t="str">
            <v>3163042429</v>
          </cell>
          <cell r="E3101" t="str">
            <v>ed.palmanova145@gmail.com</v>
          </cell>
          <cell r="F3101" t="str">
            <v>CALLE 145  15  31</v>
          </cell>
          <cell r="G3101">
            <v>11001</v>
          </cell>
        </row>
        <row r="3102">
          <cell r="A3102" t="str">
            <v>901080032</v>
          </cell>
          <cell r="B3102" t="str">
            <v>6</v>
          </cell>
          <cell r="C3102" t="str">
            <v>CONJUNTO RESIDENCIAL CIUDAD CENTRAL- PROPIEDAD HORIZONTAL</v>
          </cell>
          <cell r="D3102" t="str">
            <v>3166940074</v>
          </cell>
          <cell r="E3102" t="str">
            <v>facturacionciudadcentral@gmail.com</v>
          </cell>
          <cell r="F3102" t="str">
            <v>AVENIDA CALLE 57 R SUR  73 I  35</v>
          </cell>
          <cell r="G3102">
            <v>11001</v>
          </cell>
        </row>
        <row r="3103">
          <cell r="A3103" t="str">
            <v>901081147</v>
          </cell>
          <cell r="B3103" t="str">
            <v>9</v>
          </cell>
          <cell r="C3103" t="str">
            <v>CONJUNTO RESIDENCIAL ALAMEDA DE SAN DIEGO - PROPIEDAD HORIZONTAL</v>
          </cell>
          <cell r="D3103" t="str">
            <v>2006895</v>
          </cell>
          <cell r="E3103" t="str">
            <v>admonalamedadesandiego@gmail.com</v>
          </cell>
          <cell r="F3103" t="str">
            <v>CR 123 A 77B 86</v>
          </cell>
          <cell r="G3103">
            <v>11001</v>
          </cell>
        </row>
        <row r="3104">
          <cell r="A3104" t="str">
            <v>901083017</v>
          </cell>
          <cell r="B3104" t="str">
            <v>9</v>
          </cell>
          <cell r="C3104" t="str">
            <v>CONJUNTO INMOBILIARIO BIO 26 HOTEL &amp; BUSINESS CENTER PH</v>
          </cell>
          <cell r="D3104" t="str">
            <v>4483468</v>
          </cell>
          <cell r="E3104" t="str">
            <v>administracion.bio26@aceis.com.co</v>
          </cell>
          <cell r="F3104" t="str">
            <v>CARRERA 38 26-13 17</v>
          </cell>
          <cell r="G3104">
            <v>11001</v>
          </cell>
        </row>
        <row r="3105">
          <cell r="A3105" t="str">
            <v>901084139</v>
          </cell>
          <cell r="B3105" t="str">
            <v>3</v>
          </cell>
          <cell r="C3105" t="str">
            <v>EDIFICIO TORRE UNO 93 - PROPIEDAD HORIZONTAL</v>
          </cell>
          <cell r="D3105" t="str">
            <v>3138621852</v>
          </cell>
          <cell r="E3105" t="str">
            <v>admontorreuno93@hotmail.com</v>
          </cell>
          <cell r="F3105" t="str">
            <v>CARRERA 11 A  93  35</v>
          </cell>
          <cell r="G3105">
            <v>11001</v>
          </cell>
        </row>
        <row r="3106">
          <cell r="A3106" t="str">
            <v>901084139</v>
          </cell>
          <cell r="B3106" t="str">
            <v>3</v>
          </cell>
          <cell r="C3106" t="str">
            <v>EDIFICIO TORRE UNO 93 - PROPIEDAD HORIZONTAL</v>
          </cell>
          <cell r="D3106" t="str">
            <v>3138621852</v>
          </cell>
          <cell r="E3106" t="str">
            <v>admontorreuno93@hotmail.com</v>
          </cell>
          <cell r="F3106" t="str">
            <v>CARRERA 11 A  93  35</v>
          </cell>
          <cell r="G3106">
            <v>11001</v>
          </cell>
        </row>
        <row r="3107">
          <cell r="A3107" t="str">
            <v>901084343</v>
          </cell>
          <cell r="B3107" t="str">
            <v>1</v>
          </cell>
          <cell r="C3107" t="str">
            <v>EDIFICIO PASEO MADERO-PROPIEDAD HORIZONTAL</v>
          </cell>
          <cell r="D3107" t="str">
            <v>2539139</v>
          </cell>
          <cell r="E3107" t="str">
            <v>paseomadero.admon@gmail.com</v>
          </cell>
          <cell r="F3107" t="str">
            <v>CALLE 97  47 A  21</v>
          </cell>
          <cell r="G3107">
            <v>11001</v>
          </cell>
        </row>
        <row r="3108">
          <cell r="A3108" t="str">
            <v>901087490</v>
          </cell>
          <cell r="B3108" t="str">
            <v>8</v>
          </cell>
          <cell r="C3108" t="str">
            <v>CONJUNTO RESIDENCIAL PUERTO VIENTO</v>
          </cell>
          <cell r="D3108" t="str">
            <v>3187727441</v>
          </cell>
          <cell r="E3108" t="str">
            <v>contabilidad.puertoviento@gmail.com</v>
          </cell>
          <cell r="F3108" t="str">
            <v>CARRERA 11 C  11  03</v>
          </cell>
          <cell r="G3108">
            <v>11001</v>
          </cell>
        </row>
        <row r="3109">
          <cell r="A3109" t="str">
            <v>901088932</v>
          </cell>
          <cell r="B3109" t="str">
            <v>6</v>
          </cell>
          <cell r="C3109" t="str">
            <v>EDIFICIO TORRE PORTAL</v>
          </cell>
          <cell r="D3109" t="str">
            <v>3335627</v>
          </cell>
          <cell r="E3109" t="str">
            <v>edificiotorreportal@gmail.com</v>
          </cell>
          <cell r="F3109" t="str">
            <v>CALLE 57  44  162</v>
          </cell>
          <cell r="G3109">
            <v>11001</v>
          </cell>
        </row>
        <row r="3110">
          <cell r="A3110" t="str">
            <v>901089729</v>
          </cell>
          <cell r="B3110" t="str">
            <v>1</v>
          </cell>
          <cell r="C3110" t="str">
            <v>CONJUNTO RESIDENCIAL MANZANA ONCE P.H</v>
          </cell>
          <cell r="D3110" t="str">
            <v>3205148987</v>
          </cell>
          <cell r="E3110" t="str">
            <v>admonmanzanaonce@gmail.com</v>
          </cell>
          <cell r="F3110" t="str">
            <v>CALLE 79 A SUR  46  49</v>
          </cell>
          <cell r="G3110">
            <v>11001</v>
          </cell>
        </row>
        <row r="3111">
          <cell r="A3111" t="str">
            <v>901090976</v>
          </cell>
          <cell r="B3111" t="str">
            <v>6</v>
          </cell>
          <cell r="C3111" t="str">
            <v>EDIFICIO ARBOLEDA DE LA ESTRELLA PH</v>
          </cell>
          <cell r="D3111" t="str">
            <v>3054263421</v>
          </cell>
          <cell r="E3111" t="str">
            <v>admon.arboledadelaestrella@gmail.com</v>
          </cell>
          <cell r="F3111" t="str">
            <v>CALLE 87 SUR 55 651</v>
          </cell>
          <cell r="G3111">
            <v>11001</v>
          </cell>
        </row>
        <row r="3112">
          <cell r="A3112" t="str">
            <v>901093448</v>
          </cell>
          <cell r="B3112" t="str">
            <v>2</v>
          </cell>
          <cell r="C3112" t="str">
            <v>EDIFICIO ABSOLUTE 123 - PROPIEDAD HORIZONTAL</v>
          </cell>
          <cell r="D3112" t="str">
            <v>3106252936</v>
          </cell>
          <cell r="E3112" t="str">
            <v>admisasfacturaselectronicas@hotmail.com</v>
          </cell>
          <cell r="F3112" t="str">
            <v>CARRERA 18 C  123  75</v>
          </cell>
          <cell r="G3112">
            <v>11001</v>
          </cell>
        </row>
        <row r="3113">
          <cell r="A3113" t="str">
            <v>901098023</v>
          </cell>
          <cell r="B3113" t="str">
            <v>9</v>
          </cell>
          <cell r="C3113" t="str">
            <v>EDIFICIO CALLE 104 - PROPIEDAD HORIZONTAL</v>
          </cell>
          <cell r="D3113" t="str">
            <v>3133500859</v>
          </cell>
          <cell r="E3113" t="str">
            <v>contabilidad@inversionesaco.com.co</v>
          </cell>
          <cell r="F3113" t="str">
            <v>CALLE 104  17  45</v>
          </cell>
          <cell r="G3113">
            <v>11001</v>
          </cell>
        </row>
        <row r="3114">
          <cell r="A3114" t="str">
            <v>901098394</v>
          </cell>
          <cell r="B3114" t="str">
            <v>6</v>
          </cell>
          <cell r="C3114" t="str">
            <v>CONDOMINIO CAMPESTRE LA RESERVA APARTAMENTOS</v>
          </cell>
          <cell r="D3114" t="str">
            <v>3117628088</v>
          </cell>
          <cell r="E3114" t="str">
            <v>reservaaptos@gmail.com</v>
          </cell>
          <cell r="F3114" t="str">
            <v>CARRERA 5  10 N  25</v>
          </cell>
          <cell r="G3114">
            <v>11001</v>
          </cell>
        </row>
        <row r="3115">
          <cell r="A3115" t="str">
            <v>901100935</v>
          </cell>
          <cell r="B3115" t="str">
            <v>9</v>
          </cell>
          <cell r="C3115" t="str">
            <v>EDIFICIO ODESSA</v>
          </cell>
          <cell r="D3115" t="str">
            <v>3208459901</v>
          </cell>
          <cell r="E3115" t="str">
            <v>edificio.odessa@gmail.com</v>
          </cell>
          <cell r="F3115" t="str">
            <v>CARRERA 57  84  155</v>
          </cell>
          <cell r="G3115">
            <v>11001</v>
          </cell>
        </row>
        <row r="3116">
          <cell r="A3116" t="str">
            <v>901101718</v>
          </cell>
          <cell r="B3116" t="str">
            <v>1</v>
          </cell>
          <cell r="C3116" t="str">
            <v>CONJUNTO RESIDENCIAL BRISAS DE GRANADA I - PROPIEDAD HORIZONTAL</v>
          </cell>
          <cell r="D3116" t="str">
            <v>3213136733</v>
          </cell>
          <cell r="E3116" t="str">
            <v>brisasdegranada1@gmail.com</v>
          </cell>
          <cell r="F3116" t="str">
            <v>CALLE 79  119  95</v>
          </cell>
          <cell r="G3116">
            <v>11001</v>
          </cell>
        </row>
        <row r="3117">
          <cell r="A3117" t="str">
            <v>901101718</v>
          </cell>
          <cell r="B3117" t="str">
            <v>1</v>
          </cell>
          <cell r="C3117" t="str">
            <v>CONJUNTO RESIDENCIAL BRISAS DE GRANADA I - PROPIEDAD HORIZONTAL</v>
          </cell>
          <cell r="D3117" t="str">
            <v>3213136733</v>
          </cell>
          <cell r="E3117" t="str">
            <v>brisasdegranada1@gmail.com</v>
          </cell>
          <cell r="F3117" t="str">
            <v>CALLE 79  119  95</v>
          </cell>
          <cell r="G3117">
            <v>11001</v>
          </cell>
        </row>
        <row r="3118">
          <cell r="A3118" t="str">
            <v>901102640</v>
          </cell>
          <cell r="B3118" t="str">
            <v>0</v>
          </cell>
          <cell r="C3118" t="str">
            <v>CONJUNTO CERRADO PIEMONTE</v>
          </cell>
          <cell r="D3118" t="str">
            <v>3204508517</v>
          </cell>
          <cell r="E3118" t="str">
            <v>conjuntocerradopiemonte@gmail.com</v>
          </cell>
          <cell r="F3118" t="str">
            <v>CALLE 54 B AVENIDA 8 Y 9</v>
          </cell>
          <cell r="G3118">
            <v>11001</v>
          </cell>
        </row>
        <row r="3119">
          <cell r="A3119" t="str">
            <v>901102656</v>
          </cell>
          <cell r="B3119" t="str">
            <v>8</v>
          </cell>
          <cell r="C3119" t="str">
            <v>CONJUNTO DE USO MIXTO ALTOS DE MANANTIALES P.H</v>
          </cell>
          <cell r="D3119" t="str">
            <v>3108972370</v>
          </cell>
          <cell r="E3119" t="str">
            <v>edificioaltosdemanantiales@gmail.com</v>
          </cell>
          <cell r="F3119" t="str">
            <v>CL 75 SUR 53 70</v>
          </cell>
          <cell r="G3119">
            <v>11001</v>
          </cell>
        </row>
        <row r="3120">
          <cell r="A3120" t="str">
            <v>901104127</v>
          </cell>
          <cell r="B3120" t="str">
            <v>2</v>
          </cell>
          <cell r="C3120" t="str">
            <v>EDIFICIO EULER - PROPIEDAD HORIZONTAL</v>
          </cell>
          <cell r="D3120" t="str">
            <v>3115000623</v>
          </cell>
          <cell r="E3120" t="str">
            <v>contabilidadumana@gmail.com</v>
          </cell>
          <cell r="F3120" t="str">
            <v>CARRERA 1  68  27</v>
          </cell>
          <cell r="G3120">
            <v>11001</v>
          </cell>
        </row>
        <row r="3121">
          <cell r="A3121" t="str">
            <v>901104514</v>
          </cell>
          <cell r="B3121" t="str">
            <v>1</v>
          </cell>
          <cell r="C3121" t="str">
            <v>EDIFICIO TRIESTE- PROPIEDAD HORIZONTAL</v>
          </cell>
          <cell r="D3121" t="str">
            <v>4661198</v>
          </cell>
          <cell r="E3121" t="str">
            <v>admiintegralfacturacion@gmail.com</v>
          </cell>
          <cell r="F3121" t="str">
            <v>CARRERA 1  69  99</v>
          </cell>
          <cell r="G3121">
            <v>11001</v>
          </cell>
        </row>
        <row r="3122">
          <cell r="A3122" t="str">
            <v>901104514</v>
          </cell>
          <cell r="B3122" t="str">
            <v>1</v>
          </cell>
          <cell r="C3122" t="str">
            <v>EDIFICIO TRIESTE- PROPIEDAD HORIZONTAL</v>
          </cell>
          <cell r="D3122" t="str">
            <v>4661198</v>
          </cell>
          <cell r="E3122" t="str">
            <v>admiintegralfacturacion@gmail.com</v>
          </cell>
          <cell r="F3122" t="str">
            <v>CARRERA 1  69  99</v>
          </cell>
          <cell r="G3122">
            <v>11001</v>
          </cell>
        </row>
        <row r="3123">
          <cell r="A3123" t="str">
            <v>901104989</v>
          </cell>
          <cell r="B3123" t="str">
            <v>4</v>
          </cell>
          <cell r="C3123" t="str">
            <v>CONJUNTO RESIDENCIAL DIVENTO - PROPIEDAD HORIZONTAL</v>
          </cell>
          <cell r="D3123" t="str">
            <v>3002402315</v>
          </cell>
          <cell r="E3123" t="str">
            <v>conjunto.divento@gmail.com</v>
          </cell>
          <cell r="F3123" t="str">
            <v>CALLE 58  4 B  45</v>
          </cell>
          <cell r="G3123">
            <v>11001</v>
          </cell>
        </row>
        <row r="3124">
          <cell r="A3124" t="str">
            <v>901105121</v>
          </cell>
          <cell r="B3124" t="str">
            <v>3</v>
          </cell>
          <cell r="C3124" t="str">
            <v>TERRAZINO S.A.S.</v>
          </cell>
          <cell r="D3124" t="str">
            <v>3224752</v>
          </cell>
          <cell r="E3124" t="str">
            <v>administracion@tesas.co</v>
          </cell>
          <cell r="F3124" t="str">
            <v>CRA 44 No 23 sur -31 of 301</v>
          </cell>
          <cell r="G3124">
            <v>11001</v>
          </cell>
        </row>
        <row r="3125">
          <cell r="A3125" t="str">
            <v>901105125</v>
          </cell>
          <cell r="B3125" t="str">
            <v>2</v>
          </cell>
          <cell r="C3125" t="str">
            <v>CONJUNTO RESIDENCIAL ARBOLEDA DEL PINAR II - PROPIEDAD HORIZONTAL</v>
          </cell>
          <cell r="D3125" t="str">
            <v>3163546279</v>
          </cell>
          <cell r="E3125" t="str">
            <v>administracion@arboledadelpinar2.com</v>
          </cell>
          <cell r="F3125" t="str">
            <v>CARRERA 102  154  30</v>
          </cell>
          <cell r="G3125">
            <v>11001</v>
          </cell>
        </row>
        <row r="3126">
          <cell r="A3126" t="str">
            <v>901105125</v>
          </cell>
          <cell r="B3126" t="str">
            <v>2</v>
          </cell>
          <cell r="C3126" t="str">
            <v>CONJUNTO RESIDENCIAL ARBOLEDA DEL PINAR II - PROPIEDAD HORIZONTAL</v>
          </cell>
          <cell r="D3126" t="str">
            <v>3163546279</v>
          </cell>
          <cell r="E3126" t="str">
            <v>administracion@arboledadelpinar2.com</v>
          </cell>
          <cell r="F3126" t="str">
            <v>CARRERA 102  154  30</v>
          </cell>
          <cell r="G3126">
            <v>11001</v>
          </cell>
        </row>
        <row r="3127">
          <cell r="A3127" t="str">
            <v>901105650</v>
          </cell>
          <cell r="B3127" t="str">
            <v>8</v>
          </cell>
          <cell r="C3127" t="str">
            <v>LA QUINTA CONJUNTO RESIDENCIAL TORRE1 ETAPA 1</v>
          </cell>
          <cell r="D3127" t="str">
            <v>3225579</v>
          </cell>
          <cell r="E3127" t="str">
            <v>laquintaph1@gmail.com</v>
          </cell>
          <cell r="F3127" t="str">
            <v>CALLE 29 A  50  85</v>
          </cell>
          <cell r="G3127">
            <v>11001</v>
          </cell>
        </row>
        <row r="3128">
          <cell r="A3128" t="str">
            <v>901106701</v>
          </cell>
          <cell r="B3128" t="str">
            <v>1</v>
          </cell>
          <cell r="C3128" t="str">
            <v>EDIFICIO MULTIFAMILIAR ESPACIO 140- PROPIEDAD HORIZONTAL</v>
          </cell>
          <cell r="D3128" t="str">
            <v>3115421760</v>
          </cell>
          <cell r="E3128" t="str">
            <v>espacio140admon@gmail.com</v>
          </cell>
          <cell r="F3128" t="str">
            <v>CARRERA 11  140  52</v>
          </cell>
          <cell r="G3128">
            <v>11001</v>
          </cell>
        </row>
        <row r="3129">
          <cell r="A3129" t="str">
            <v>901106701</v>
          </cell>
          <cell r="B3129" t="str">
            <v>1</v>
          </cell>
          <cell r="C3129" t="str">
            <v>EDIFICIO MULTIFAMILIAR ESPACIO 140- PROPIEDAD HORIZONTAL</v>
          </cell>
          <cell r="D3129" t="str">
            <v>3115421760</v>
          </cell>
          <cell r="E3129" t="str">
            <v>espacio140admon@gmail.com</v>
          </cell>
          <cell r="F3129" t="str">
            <v>CARRERA 11  140  52</v>
          </cell>
          <cell r="G3129">
            <v>11001</v>
          </cell>
        </row>
        <row r="3130">
          <cell r="A3130" t="str">
            <v>901108932</v>
          </cell>
          <cell r="B3130" t="str">
            <v>3</v>
          </cell>
          <cell r="C3130" t="str">
            <v>EDIFICIO VITA 118 - PROPIEDAD HORIZONTAL</v>
          </cell>
          <cell r="D3130" t="str">
            <v>3176598691</v>
          </cell>
          <cell r="E3130" t="str">
            <v>edificiovita118@gmail.com</v>
          </cell>
          <cell r="F3130" t="str">
            <v>CALLE 118  11 A  05</v>
          </cell>
          <cell r="G3130">
            <v>11001</v>
          </cell>
        </row>
        <row r="3131">
          <cell r="A3131" t="str">
            <v>901109851</v>
          </cell>
          <cell r="B3131" t="str">
            <v>1</v>
          </cell>
          <cell r="C3131" t="str">
            <v>CONJUNTO RESIDENCIAL ALTOS DE MONTICELLO P.H.</v>
          </cell>
          <cell r="D3131" t="str">
            <v>3042501496</v>
          </cell>
          <cell r="E3131" t="str">
            <v>altosdemonticelloph@gmail.com</v>
          </cell>
          <cell r="F3131" t="str">
            <v>CALLE 6  20  1670</v>
          </cell>
          <cell r="G3131">
            <v>11001</v>
          </cell>
        </row>
        <row r="3132">
          <cell r="A3132" t="str">
            <v>901109939</v>
          </cell>
          <cell r="B3132" t="str">
            <v>9</v>
          </cell>
          <cell r="C3132" t="str">
            <v>EDIFICIO LUXOR P.H</v>
          </cell>
          <cell r="D3132" t="str">
            <v>3052350757</v>
          </cell>
          <cell r="E3132" t="str">
            <v>luxor.admon@gmail.com</v>
          </cell>
          <cell r="F3132" t="str">
            <v>CALLE 43 E SUR  42 B  05</v>
          </cell>
          <cell r="G3132">
            <v>11001</v>
          </cell>
        </row>
        <row r="3133">
          <cell r="A3133" t="str">
            <v>901110929</v>
          </cell>
          <cell r="B3133" t="str">
            <v>7</v>
          </cell>
          <cell r="C3133" t="str">
            <v>CONJUNTO RESIDENCIAL ARANY APARTAMENTOS - PROPIEDAD HORIZONTAL</v>
          </cell>
          <cell r="D3133" t="str">
            <v>4757219</v>
          </cell>
          <cell r="E3133" t="str">
            <v>admarany2017@gmail.com</v>
          </cell>
          <cell r="F3133" t="str">
            <v>CL 137 55  42</v>
          </cell>
          <cell r="G3133">
            <v>11001</v>
          </cell>
        </row>
        <row r="3134">
          <cell r="A3134" t="str">
            <v>901110929</v>
          </cell>
          <cell r="B3134" t="str">
            <v>7</v>
          </cell>
          <cell r="C3134" t="str">
            <v>CONJUNTO RESIDENCIAL ARANY APARTAMENTOS - PROPIEDAD HORIZONTAL</v>
          </cell>
          <cell r="D3134" t="str">
            <v>4757219</v>
          </cell>
          <cell r="E3134" t="str">
            <v>admarany2017@gmail.com</v>
          </cell>
          <cell r="F3134" t="str">
            <v>CL 137 55  42</v>
          </cell>
          <cell r="G3134">
            <v>11001</v>
          </cell>
        </row>
        <row r="3135">
          <cell r="A3135" t="str">
            <v>901112212</v>
          </cell>
          <cell r="B3135" t="str">
            <v>4</v>
          </cell>
          <cell r="C3135" t="str">
            <v>EDIFICIO BASIKA W - PROPIEDAD HORIZONTAL</v>
          </cell>
          <cell r="D3135" t="str">
            <v>2575370</v>
          </cell>
          <cell r="E3135" t="str">
            <v>facturacionelectronica.phjsas@gmail.com</v>
          </cell>
          <cell r="F3135" t="str">
            <v>CALLE 74  5  30</v>
          </cell>
          <cell r="G3135">
            <v>11001</v>
          </cell>
        </row>
        <row r="3136">
          <cell r="A3136" t="str">
            <v>901112433</v>
          </cell>
          <cell r="B3136" t="str">
            <v>5</v>
          </cell>
          <cell r="C3136" t="str">
            <v>CONJUNTO RESIDENCIAL CITARK TORRES - PROPIEDAD HORIZONTAL</v>
          </cell>
          <cell r="D3136" t="str">
            <v>3128085565</v>
          </cell>
          <cell r="E3136" t="str">
            <v>compras@abelardoyepes.com</v>
          </cell>
          <cell r="F3136" t="str">
            <v>CALLE 9 A SUR  25  05</v>
          </cell>
          <cell r="G3136">
            <v>11001</v>
          </cell>
        </row>
        <row r="3137">
          <cell r="A3137" t="str">
            <v>901112440</v>
          </cell>
          <cell r="B3137" t="str">
            <v>7</v>
          </cell>
          <cell r="C3137" t="str">
            <v>CONJUNTO RESIDENCIAL URBANIZACION LUNA DEL BOSQUE - PROPIEDAD HORIZONTAL</v>
          </cell>
          <cell r="D3137">
            <v>3219664011</v>
          </cell>
          <cell r="E3137" t="str">
            <v>admlunadelbosque@gmail.com</v>
          </cell>
          <cell r="F3137" t="str">
            <v>CALLE 65  97 A E  20</v>
          </cell>
          <cell r="G3137">
            <v>11001</v>
          </cell>
        </row>
        <row r="3138">
          <cell r="A3138" t="str">
            <v>901112477</v>
          </cell>
          <cell r="B3138" t="str">
            <v>9</v>
          </cell>
          <cell r="C3138" t="str">
            <v>CONJUNTO RESIDENCIAL URBANIZACION LUNA DEL VALLE - PROPIEDAD HORIZONTAL</v>
          </cell>
          <cell r="D3138" t="str">
            <v>3128085565</v>
          </cell>
          <cell r="E3138" t="str">
            <v>crlunadelvalle@gmail.com</v>
          </cell>
          <cell r="F3138" t="str">
            <v>CARRERA 99  65  300</v>
          </cell>
          <cell r="G3138">
            <v>11001</v>
          </cell>
        </row>
        <row r="3139">
          <cell r="A3139" t="str">
            <v>901112488</v>
          </cell>
          <cell r="B3139" t="str">
            <v>1</v>
          </cell>
          <cell r="C3139" t="str">
            <v>CONJUNTO DE USO MIXTO ROMAZINO P.H.</v>
          </cell>
          <cell r="D3139" t="str">
            <v>3105143005</v>
          </cell>
          <cell r="E3139" t="str">
            <v>cromazinoph@gmail.com</v>
          </cell>
          <cell r="F3139" t="str">
            <v>CALLE 79 SUR  55  95</v>
          </cell>
          <cell r="G3139">
            <v>11001</v>
          </cell>
        </row>
        <row r="3140">
          <cell r="A3140" t="str">
            <v>901112944</v>
          </cell>
          <cell r="B3140" t="str">
            <v>7</v>
          </cell>
          <cell r="C3140" t="str">
            <v>CONDOMINIO CLUB MILANO</v>
          </cell>
          <cell r="D3140" t="str">
            <v>3208397671</v>
          </cell>
          <cell r="E3140" t="str">
            <v>milanocondominioclub04@gmail.com</v>
          </cell>
          <cell r="F3140" t="str">
            <v>CL 44 0A 26 MZ 1 SEC SIERRAS DEL ESTE</v>
          </cell>
          <cell r="G3140">
            <v>11001</v>
          </cell>
        </row>
        <row r="3141">
          <cell r="A3141" t="str">
            <v>901113578</v>
          </cell>
          <cell r="B3141" t="str">
            <v>9</v>
          </cell>
          <cell r="C3141" t="str">
            <v>CONSTRUCTORA DELAMAR S.A.S</v>
          </cell>
          <cell r="D3141" t="str">
            <v>3531127</v>
          </cell>
          <cell r="E3141" t="str">
            <v>recepcionfacturas@delamar.co</v>
          </cell>
          <cell r="F3141" t="str">
            <v>CALLE 77 B 59 61 OFC 1203</v>
          </cell>
          <cell r="G3141">
            <v>11001</v>
          </cell>
        </row>
        <row r="3142">
          <cell r="A3142" t="str">
            <v>901115771</v>
          </cell>
          <cell r="B3142" t="str">
            <v>3</v>
          </cell>
          <cell r="C3142" t="str">
            <v>EDIFICIO IGUAZU PROPIEDAD HORIZONTAL</v>
          </cell>
          <cell r="D3142" t="str">
            <v>3166960481</v>
          </cell>
          <cell r="E3142" t="str">
            <v>edificioiguazuph@hotmail.com</v>
          </cell>
          <cell r="F3142" t="str">
            <v>CALLE 6  10 E  30</v>
          </cell>
          <cell r="G3142">
            <v>11001</v>
          </cell>
        </row>
        <row r="3143">
          <cell r="A3143" t="str">
            <v>901116250</v>
          </cell>
          <cell r="B3143" t="str">
            <v>2</v>
          </cell>
          <cell r="C3143" t="str">
            <v>PROYECTO HIGH PARK SAS</v>
          </cell>
          <cell r="D3143" t="str">
            <v>3852996385</v>
          </cell>
          <cell r="E3143" t="str">
            <v>facturashighpark@solari.com.co</v>
          </cell>
          <cell r="F3143" t="str">
            <v>CL 106 50 67 OF 203  CC GRAN BOULEVARD</v>
          </cell>
          <cell r="G3143">
            <v>11001</v>
          </cell>
        </row>
        <row r="3144">
          <cell r="A3144" t="str">
            <v>901116739</v>
          </cell>
          <cell r="B3144" t="str">
            <v>1</v>
          </cell>
          <cell r="C3144" t="str">
            <v>EDIFICIO MONSERRAT PROPIEDAD HORIZONTAL</v>
          </cell>
          <cell r="D3144" t="str">
            <v>3102650277</v>
          </cell>
          <cell r="E3144" t="str">
            <v>edificiomonserratph@gmail.com</v>
          </cell>
          <cell r="F3144" t="str">
            <v>CALLE 127 A  28  36</v>
          </cell>
          <cell r="G3144">
            <v>11001</v>
          </cell>
        </row>
        <row r="3145">
          <cell r="A3145" t="str">
            <v>901117401</v>
          </cell>
          <cell r="B3145" t="str">
            <v>2</v>
          </cell>
          <cell r="C3145" t="str">
            <v>EDIFICIO SOLARIS CONDOMINIO</v>
          </cell>
          <cell r="D3145" t="str">
            <v>3004721285</v>
          </cell>
          <cell r="E3145" t="str">
            <v>edificiosolariscondominio@gmail.com</v>
          </cell>
          <cell r="F3145" t="str">
            <v>CARRERA 32  65  50 BBR FLORESTA</v>
          </cell>
          <cell r="G3145">
            <v>11001</v>
          </cell>
        </row>
        <row r="3146">
          <cell r="A3146" t="str">
            <v>901118744</v>
          </cell>
          <cell r="B3146" t="str">
            <v>8</v>
          </cell>
          <cell r="C3146" t="str">
            <v>FIDEICOMISO G H BOGOTA - FIDUBOGOTA</v>
          </cell>
          <cell r="D3146" t="str">
            <v>6013485400</v>
          </cell>
          <cell r="E3146" t="str">
            <v>boggh-compras@hyatt.com</v>
          </cell>
          <cell r="F3146" t="str">
            <v>CL 67 7 37 P3</v>
          </cell>
          <cell r="G3146">
            <v>11001</v>
          </cell>
        </row>
        <row r="3147">
          <cell r="A3147" t="str">
            <v>901119498</v>
          </cell>
          <cell r="B3147" t="str">
            <v>5</v>
          </cell>
          <cell r="C3147" t="str">
            <v>LATERAL S A S</v>
          </cell>
          <cell r="D3147" t="str">
            <v>6221125</v>
          </cell>
          <cell r="E3147" t="str">
            <v>facturas@agoraconceptourbano.com</v>
          </cell>
          <cell r="F3147" t="str">
            <v>CR 12 93 37</v>
          </cell>
          <cell r="G3147">
            <v>11001</v>
          </cell>
        </row>
        <row r="3148">
          <cell r="A3148" t="str">
            <v>901120030</v>
          </cell>
          <cell r="B3148" t="str">
            <v>4</v>
          </cell>
          <cell r="C3148" t="str">
            <v>EDIFICIO SANTA BARBARA DEL PARQUE - PROPIEDAD HORIZONTAL</v>
          </cell>
          <cell r="D3148" t="str">
            <v>3132828336</v>
          </cell>
          <cell r="E3148" t="str">
            <v>admonsantabarbaradelparque@gmail.com</v>
          </cell>
          <cell r="F3148" t="str">
            <v>CL 123 15 A 05</v>
          </cell>
          <cell r="G3148">
            <v>11001</v>
          </cell>
        </row>
        <row r="3149">
          <cell r="A3149" t="str">
            <v>901120547</v>
          </cell>
          <cell r="B3149" t="str">
            <v>1</v>
          </cell>
          <cell r="C3149" t="str">
            <v>NOVASIS S.A.S</v>
          </cell>
          <cell r="D3149" t="str">
            <v>6455320</v>
          </cell>
          <cell r="E3149" t="str">
            <v>facturaelectronicanovasis@asys.com.co</v>
          </cell>
          <cell r="F3149" t="str">
            <v>SERENA DEL MAR VIA AL MAR KM 8</v>
          </cell>
          <cell r="G3149">
            <v>11001</v>
          </cell>
        </row>
        <row r="3150">
          <cell r="A3150" t="str">
            <v>901120943</v>
          </cell>
          <cell r="B3150" t="str">
            <v>3</v>
          </cell>
          <cell r="C3150" t="str">
            <v>MALLPLAZA SERVICIOS S A S</v>
          </cell>
          <cell r="D3150" t="str">
            <v>7458787</v>
          </cell>
          <cell r="E3150" t="str">
            <v>facelectronica.col@mallplaza.com</v>
          </cell>
          <cell r="F3150" t="str">
            <v>AV  CL 19 28 80  P 6 OF AD</v>
          </cell>
          <cell r="G3150">
            <v>11001</v>
          </cell>
        </row>
        <row r="3151">
          <cell r="A3151" t="str">
            <v>901120943</v>
          </cell>
          <cell r="B3151" t="str">
            <v>3</v>
          </cell>
          <cell r="C3151" t="str">
            <v>MALLPLAZA SERVICIOS S A S</v>
          </cell>
          <cell r="D3151" t="str">
            <v>7458787</v>
          </cell>
          <cell r="E3151" t="str">
            <v>facelectronica.col@mallplaza.com</v>
          </cell>
          <cell r="F3151" t="str">
            <v>AV  CL 19 28 80  P 6 OF AD</v>
          </cell>
          <cell r="G3151">
            <v>11001</v>
          </cell>
        </row>
        <row r="3152">
          <cell r="A3152" t="str">
            <v>901122362</v>
          </cell>
          <cell r="B3152" t="str">
            <v>3</v>
          </cell>
          <cell r="C3152" t="str">
            <v>TEKTO LOURDES - PROPIEDAD HORIZONTAL</v>
          </cell>
          <cell r="D3152" t="str">
            <v>9054825</v>
          </cell>
          <cell r="E3152" t="str">
            <v>admontektolourdes@gmail.com</v>
          </cell>
          <cell r="F3152" t="str">
            <v>CALLE 60  9 A  46</v>
          </cell>
          <cell r="G3152">
            <v>11001</v>
          </cell>
        </row>
        <row r="3153">
          <cell r="A3153" t="str">
            <v>901124389</v>
          </cell>
          <cell r="B3153" t="str">
            <v>0</v>
          </cell>
          <cell r="C3153" t="str">
            <v>CONJUNTO RESIDENCIAL BORA</v>
          </cell>
          <cell r="D3153" t="str">
            <v>3017480532</v>
          </cell>
          <cell r="E3153" t="str">
            <v>administracion@conjuntobora.com</v>
          </cell>
          <cell r="F3153" t="str">
            <v>CL 96 71 37</v>
          </cell>
          <cell r="G3153">
            <v>11001</v>
          </cell>
        </row>
        <row r="3154">
          <cell r="A3154" t="str">
            <v>901125145</v>
          </cell>
          <cell r="B3154" t="str">
            <v>5</v>
          </cell>
          <cell r="C3154" t="str">
            <v>EDIFICIO RESIDENCIAL VERDEVISTA - PROPIEDAD HORIZONTAL</v>
          </cell>
          <cell r="D3154" t="str">
            <v>3136179685</v>
          </cell>
          <cell r="E3154" t="str">
            <v>edificioverdevista@gmail.com</v>
          </cell>
          <cell r="F3154" t="str">
            <v>CALLE 17 A SUR  44  246</v>
          </cell>
          <cell r="G3154">
            <v>11001</v>
          </cell>
        </row>
        <row r="3155">
          <cell r="A3155" t="str">
            <v>901127794</v>
          </cell>
          <cell r="B3155" t="str">
            <v>4</v>
          </cell>
          <cell r="C3155" t="str">
            <v>CONDOMINIO SAN SILVESTRE II</v>
          </cell>
          <cell r="D3155" t="str">
            <v>3214351915</v>
          </cell>
          <cell r="E3155" t="str">
            <v>sansilvestredos@gmail.com</v>
          </cell>
          <cell r="F3155" t="str">
            <v>CALLE 3 SUR  14  26</v>
          </cell>
          <cell r="G3155">
            <v>11001</v>
          </cell>
        </row>
        <row r="3156">
          <cell r="A3156" t="str">
            <v>901128797</v>
          </cell>
          <cell r="B3156" t="str">
            <v>0</v>
          </cell>
          <cell r="C3156" t="str">
            <v>NOU CENTRO EMPRESARIAL, PROPIEDAD HORIZONTAL</v>
          </cell>
          <cell r="D3156" t="str">
            <v>3185069294</v>
          </cell>
          <cell r="E3156" t="str">
            <v>cuentasnoucentroempresarial22@gmail.com</v>
          </cell>
          <cell r="F3156" t="str">
            <v>LOTE BOLONIA ANTIGUA VEREDA CALAHORRA VIA CHIA - CAJICA</v>
          </cell>
          <cell r="G3156">
            <v>11001</v>
          </cell>
        </row>
        <row r="3157">
          <cell r="A3157" t="str">
            <v>901129104</v>
          </cell>
          <cell r="B3157" t="str">
            <v>1</v>
          </cell>
          <cell r="C3157" t="str">
            <v>PALKO 81 - PROPIEDAD HORIZONTAL</v>
          </cell>
          <cell r="D3157" t="str">
            <v>3124481741</v>
          </cell>
          <cell r="E3157" t="str">
            <v>facturacionelectronica@mariadelsocorrobonilla.co</v>
          </cell>
          <cell r="F3157" t="str">
            <v>CALLE 81  9  36</v>
          </cell>
          <cell r="G3157">
            <v>11001</v>
          </cell>
        </row>
        <row r="3158">
          <cell r="A3158" t="str">
            <v>901130604</v>
          </cell>
          <cell r="B3158" t="str">
            <v>4</v>
          </cell>
          <cell r="C3158" t="str">
            <v>EDIFICIO OCEANA 91</v>
          </cell>
          <cell r="D3158" t="str">
            <v>3132858638</v>
          </cell>
          <cell r="E3158" t="str">
            <v>eoceana91@gmail.com</v>
          </cell>
          <cell r="F3158" t="str">
            <v>CALLE 91  49 C  46</v>
          </cell>
          <cell r="G3158">
            <v>11001</v>
          </cell>
        </row>
        <row r="3159">
          <cell r="A3159" t="str">
            <v>901131164</v>
          </cell>
          <cell r="B3159" t="str">
            <v>1</v>
          </cell>
          <cell r="C3159" t="str">
            <v>EDIFICIO PASEO REAL - PROPIEDAD HORIZONTAL</v>
          </cell>
          <cell r="D3159" t="str">
            <v>3152441442</v>
          </cell>
          <cell r="E3159" t="str">
            <v>edipaseo@hotmail.com</v>
          </cell>
          <cell r="F3159" t="str">
            <v>CALLE 127 A  7 C  54</v>
          </cell>
          <cell r="G3159">
            <v>11001</v>
          </cell>
        </row>
        <row r="3160">
          <cell r="A3160" t="str">
            <v>901132859</v>
          </cell>
          <cell r="B3160" t="str">
            <v>4</v>
          </cell>
          <cell r="C3160" t="str">
            <v>VENTURA TERREROS CENTRO COMERCIAL PRIMERA ETAPA-PROPIEDAD HORIZONTAL</v>
          </cell>
          <cell r="D3160" t="str">
            <v>3267060</v>
          </cell>
          <cell r="E3160" t="str">
            <v>facturacion@venturaterreros.com</v>
          </cell>
          <cell r="F3160" t="str">
            <v>CARRERA 1  38  89</v>
          </cell>
          <cell r="G3160">
            <v>11001</v>
          </cell>
        </row>
        <row r="3161">
          <cell r="A3161" t="str">
            <v>901133906</v>
          </cell>
          <cell r="B3161" t="str">
            <v>7</v>
          </cell>
          <cell r="C3161" t="str">
            <v>CONJUNTO RESIDENCIAL MANATI</v>
          </cell>
          <cell r="D3161" t="str">
            <v>3113757493</v>
          </cell>
          <cell r="E3161" t="str">
            <v>manatiedificio@gmail.com</v>
          </cell>
          <cell r="F3161" t="str">
            <v>CR 83 B 36 B 145</v>
          </cell>
          <cell r="G3161">
            <v>11001</v>
          </cell>
        </row>
        <row r="3162">
          <cell r="A3162" t="str">
            <v>901133921</v>
          </cell>
          <cell r="B3162" t="str">
            <v>8</v>
          </cell>
          <cell r="C3162" t="str">
            <v>CONJUNTO RESIDENCIAL CALAMARI</v>
          </cell>
          <cell r="D3162" t="str">
            <v>3017480532</v>
          </cell>
          <cell r="E3162" t="str">
            <v>pherediacalamari2017@gmail.com</v>
          </cell>
          <cell r="F3162" t="str">
            <v>CR 83B 37C 59</v>
          </cell>
          <cell r="G3162">
            <v>11001</v>
          </cell>
        </row>
        <row r="3163">
          <cell r="A3163" t="str">
            <v>901134023</v>
          </cell>
          <cell r="B3163" t="str">
            <v>3</v>
          </cell>
          <cell r="C3163" t="str">
            <v>EDIFICIO APARTAESTUDIOS 8-43 - PROPIEDAD HORIZONTAL</v>
          </cell>
          <cell r="D3163" t="str">
            <v>3112059388</v>
          </cell>
          <cell r="E3163" t="str">
            <v>apartaestudios843ph@gmail.com</v>
          </cell>
          <cell r="F3163" t="str">
            <v>CARRERA 8  43  38</v>
          </cell>
          <cell r="G3163">
            <v>11001</v>
          </cell>
        </row>
        <row r="3164">
          <cell r="A3164" t="str">
            <v>901135539</v>
          </cell>
          <cell r="B3164" t="str">
            <v>6</v>
          </cell>
          <cell r="C3164" t="str">
            <v>CONJUNTO RESIDENCIAL GRAN RESERVA DE OPORTO</v>
          </cell>
          <cell r="D3164" t="str">
            <v>3099501</v>
          </cell>
          <cell r="E3164" t="str">
            <v>granreservadeoporto@gmail.com</v>
          </cell>
          <cell r="F3164" t="str">
            <v>CALLE 25B 71-80</v>
          </cell>
          <cell r="G3164">
            <v>11001</v>
          </cell>
        </row>
        <row r="3165">
          <cell r="A3165" t="str">
            <v>901135539</v>
          </cell>
          <cell r="B3165" t="str">
            <v>6</v>
          </cell>
          <cell r="C3165" t="str">
            <v>CONJUNTO RESIDENCIAL GRAN RESERVA DE OPORTO</v>
          </cell>
          <cell r="D3165" t="str">
            <v>3099501</v>
          </cell>
          <cell r="E3165" t="str">
            <v>granreservadeoporto@gmail.com</v>
          </cell>
          <cell r="F3165" t="str">
            <v>CALLE 25B 71-80</v>
          </cell>
          <cell r="G3165">
            <v>11001</v>
          </cell>
        </row>
        <row r="3166">
          <cell r="A3166" t="str">
            <v>901135916</v>
          </cell>
          <cell r="B3166" t="str">
            <v>1</v>
          </cell>
          <cell r="C3166" t="str">
            <v>CONJUNTO RESIDENCIAL MULTICENTRO ETAPA 1</v>
          </cell>
          <cell r="D3166" t="str">
            <v>7141642</v>
          </cell>
          <cell r="E3166" t="str">
            <v>conjuntomulticentro@gmail.com</v>
          </cell>
          <cell r="F3166" t="str">
            <v>CR 15 23 A 41</v>
          </cell>
          <cell r="G3166">
            <v>11001</v>
          </cell>
        </row>
        <row r="3167">
          <cell r="A3167" t="str">
            <v>901136595</v>
          </cell>
          <cell r="B3167" t="str">
            <v>3</v>
          </cell>
          <cell r="C3167" t="str">
            <v>EDIFICIO PALO ALTO PROPIEDAD HORIZONTAL</v>
          </cell>
          <cell r="D3167" t="str">
            <v>3481313</v>
          </cell>
          <cell r="E3167" t="str">
            <v>admonpaloalto2017@gmail.com</v>
          </cell>
          <cell r="F3167" t="str">
            <v>CALLE 16 A  121 A  214</v>
          </cell>
          <cell r="G3167">
            <v>11001</v>
          </cell>
        </row>
        <row r="3168">
          <cell r="A3168" t="str">
            <v>901136880</v>
          </cell>
          <cell r="B3168" t="str">
            <v>8</v>
          </cell>
          <cell r="C3168" t="str">
            <v>EDIFICIO BONAVENTTO - PROPIEDAD HORIZONTAL</v>
          </cell>
          <cell r="D3168" t="str">
            <v>8777764</v>
          </cell>
          <cell r="E3168" t="str">
            <v>edificiobonaventto@gmail.com</v>
          </cell>
          <cell r="F3168" t="str">
            <v>CL 104 B 45A 12</v>
          </cell>
          <cell r="G3168">
            <v>11001</v>
          </cell>
        </row>
        <row r="3169">
          <cell r="A3169" t="str">
            <v>901137177</v>
          </cell>
          <cell r="B3169" t="str">
            <v>2</v>
          </cell>
          <cell r="C3169" t="str">
            <v>EDIFICIO PASEO DE GRACIA</v>
          </cell>
          <cell r="D3169" t="str">
            <v>3102953890</v>
          </cell>
          <cell r="E3169" t="str">
            <v>paseodegracia.admon@gmail.com</v>
          </cell>
          <cell r="F3169" t="str">
            <v>CALLE 134 A  9 A  09</v>
          </cell>
          <cell r="G3169">
            <v>11001</v>
          </cell>
        </row>
        <row r="3170">
          <cell r="A3170" t="str">
            <v>901137814</v>
          </cell>
          <cell r="B3170" t="str">
            <v>6</v>
          </cell>
          <cell r="C3170" t="str">
            <v>EDIFICIO MULTIFAMILIAR PALO ALTO CLUB RESIDENCIAL ETAPA 1 2</v>
          </cell>
          <cell r="D3170" t="str">
            <v>3106215831</v>
          </cell>
          <cell r="E3170" t="str">
            <v>clubresidencialpaloalto@gmail.com</v>
          </cell>
          <cell r="F3170" t="str">
            <v>TV 9 17 A 55</v>
          </cell>
          <cell r="G3170">
            <v>11001</v>
          </cell>
        </row>
        <row r="3171">
          <cell r="A3171" t="str">
            <v>901138084</v>
          </cell>
          <cell r="B3171" t="str">
            <v>0</v>
          </cell>
          <cell r="C3171" t="str">
            <v>CONJUNTO RESIDENCIAL AVANI PROPIEDAD HORIZONTAL</v>
          </cell>
          <cell r="D3171" t="str">
            <v>4442015</v>
          </cell>
          <cell r="E3171" t="str">
            <v>compras@abelardoyepes.com</v>
          </cell>
          <cell r="F3171" t="str">
            <v>CALLE 27  41  86</v>
          </cell>
          <cell r="G3171">
            <v>11001</v>
          </cell>
        </row>
        <row r="3172">
          <cell r="A3172" t="str">
            <v>901139752</v>
          </cell>
          <cell r="B3172" t="str">
            <v>7</v>
          </cell>
          <cell r="C3172" t="str">
            <v>CONJUNTO DE USO MIXTO URBANIZACIÓN RIO SECRETO P.H.</v>
          </cell>
          <cell r="D3172" t="str">
            <v>3128085565</v>
          </cell>
          <cell r="E3172" t="str">
            <v>rsecreto.ph@hotmail.com</v>
          </cell>
          <cell r="F3172" t="str">
            <v>CALLE 78 E SUR  47 C  80</v>
          </cell>
          <cell r="G3172">
            <v>11001</v>
          </cell>
        </row>
        <row r="3173">
          <cell r="A3173" t="str">
            <v>901140915</v>
          </cell>
          <cell r="B3173" t="str">
            <v>2</v>
          </cell>
          <cell r="C3173" t="str">
            <v>CONJUNTO RESIDENCIAL TORRES DE SANTA MARTA PROPIEDAD HORIZONTAL</v>
          </cell>
          <cell r="D3173" t="str">
            <v>3183308434</v>
          </cell>
          <cell r="E3173" t="str">
            <v>crtorresdesantamartaph@gmail.com</v>
          </cell>
          <cell r="F3173" t="str">
            <v>CARRERA 8 A  15  107</v>
          </cell>
          <cell r="G3173">
            <v>11001</v>
          </cell>
        </row>
        <row r="3174">
          <cell r="A3174" t="str">
            <v>901143710</v>
          </cell>
          <cell r="B3174" t="str">
            <v>3</v>
          </cell>
          <cell r="C3174" t="str">
            <v>CONJUNTO RESIDENCIAL OLIVENZA</v>
          </cell>
          <cell r="D3174" t="str">
            <v>3002402315</v>
          </cell>
          <cell r="E3174" t="str">
            <v>cr.olivenzaph@gmail.com</v>
          </cell>
          <cell r="F3174" t="str">
            <v>CALLE 58 NORTE  4 B  64</v>
          </cell>
          <cell r="G3174">
            <v>11001</v>
          </cell>
        </row>
        <row r="3175">
          <cell r="A3175" t="str">
            <v>901145189</v>
          </cell>
          <cell r="B3175" t="str">
            <v>4</v>
          </cell>
          <cell r="C3175" t="str">
            <v>VERDI PROPIEDAD HORIZONTAL ETAPA I</v>
          </cell>
          <cell r="D3175" t="str">
            <v>3185479462</v>
          </cell>
          <cell r="E3175" t="str">
            <v>verdicopropiedad@gmail.com</v>
          </cell>
          <cell r="F3175" t="str">
            <v>VEREDA VILACHAGUA LLANOGRANDE</v>
          </cell>
          <cell r="G3175">
            <v>11001</v>
          </cell>
        </row>
        <row r="3176">
          <cell r="A3176" t="str">
            <v>901146202</v>
          </cell>
          <cell r="B3176" t="str">
            <v>7</v>
          </cell>
          <cell r="C3176" t="str">
            <v>EDIFICIO MORET - PROPIEDAD HORIZONTAL</v>
          </cell>
          <cell r="D3176" t="str">
            <v>3203029197</v>
          </cell>
          <cell r="E3176" t="str">
            <v>edificiomoret@gmail.com</v>
          </cell>
          <cell r="F3176" t="str">
            <v>CARRERA 17  116  73</v>
          </cell>
          <cell r="G3176">
            <v>11001</v>
          </cell>
        </row>
        <row r="3177">
          <cell r="A3177" t="str">
            <v>901147219</v>
          </cell>
          <cell r="B3177" t="str">
            <v>6</v>
          </cell>
          <cell r="C3177" t="str">
            <v>EDIFICIO DALIA 64</v>
          </cell>
          <cell r="D3177" t="str">
            <v>3006606189</v>
          </cell>
          <cell r="E3177" t="str">
            <v>edificiodalia64ph@gmail.com</v>
          </cell>
          <cell r="F3177" t="str">
            <v>CARRERA 64 B  84  28</v>
          </cell>
          <cell r="G3177">
            <v>11001</v>
          </cell>
        </row>
        <row r="3178">
          <cell r="A3178" t="str">
            <v>901147602</v>
          </cell>
          <cell r="B3178" t="str">
            <v>4</v>
          </cell>
          <cell r="C3178" t="str">
            <v>UNIDAD RESIDENCIAL EDIFICIO ACQUAVELLA P.H</v>
          </cell>
          <cell r="D3178" t="str">
            <v>3127838254</v>
          </cell>
          <cell r="E3178" t="str">
            <v>acquavella.ph@gmail.com</v>
          </cell>
          <cell r="F3178" t="str">
            <v>CARRERA 24  36 A  90</v>
          </cell>
          <cell r="G3178">
            <v>11001</v>
          </cell>
        </row>
        <row r="3179">
          <cell r="A3179" t="str">
            <v>901149378</v>
          </cell>
          <cell r="B3179" t="str">
            <v>8</v>
          </cell>
          <cell r="C3179" t="str">
            <v>CONJUNTO RESIDENCIAL RESERVA DE GRANADA III - PH</v>
          </cell>
          <cell r="D3179" t="str">
            <v>3213136733</v>
          </cell>
          <cell r="E3179" t="str">
            <v>reservadegranada3@gmail.com</v>
          </cell>
          <cell r="F3179" t="str">
            <v>CL 78 B 120 49</v>
          </cell>
          <cell r="G3179">
            <v>11001</v>
          </cell>
        </row>
        <row r="3180">
          <cell r="A3180" t="str">
            <v>901149378</v>
          </cell>
          <cell r="B3180" t="str">
            <v>8</v>
          </cell>
          <cell r="C3180" t="str">
            <v>CONJUNTO RESIDENCIAL RESERVA DE GRANADA III - PH</v>
          </cell>
          <cell r="D3180" t="str">
            <v>3213136733</v>
          </cell>
          <cell r="E3180" t="str">
            <v>reservadegranada3@gmail.com</v>
          </cell>
          <cell r="F3180" t="str">
            <v>CL 78 B 120 49</v>
          </cell>
          <cell r="G3180">
            <v>11001</v>
          </cell>
        </row>
        <row r="3181">
          <cell r="A3181" t="str">
            <v>901149728</v>
          </cell>
          <cell r="B3181" t="str">
            <v>2</v>
          </cell>
          <cell r="C3181" t="str">
            <v>CENTRO COMERCIAL TRANVIA PLAZA - PROPIEDAD HORIZONTAL</v>
          </cell>
          <cell r="D3181" t="str">
            <v>3122893130</v>
          </cell>
          <cell r="E3181" t="str">
            <v>admontranviaplaza@hotmail.com</v>
          </cell>
          <cell r="F3181" t="str">
            <v>CALLE 49  40  11</v>
          </cell>
          <cell r="G3181">
            <v>11001</v>
          </cell>
        </row>
        <row r="3182">
          <cell r="A3182" t="str">
            <v>901150282</v>
          </cell>
          <cell r="B3182" t="str">
            <v>1</v>
          </cell>
          <cell r="C3182" t="str">
            <v>EDIFICIO BOREALIX- PROPIEDAD HORIZONTAL</v>
          </cell>
          <cell r="D3182" t="str">
            <v>3166975519</v>
          </cell>
          <cell r="E3182" t="str">
            <v>edificioborealixph@gmail.com</v>
          </cell>
          <cell r="F3182" t="str">
            <v>CL 34 28 60</v>
          </cell>
          <cell r="G3182">
            <v>11001</v>
          </cell>
        </row>
        <row r="3183">
          <cell r="A3183" t="str">
            <v>901151493</v>
          </cell>
          <cell r="B3183" t="str">
            <v>3</v>
          </cell>
          <cell r="C3183" t="str">
            <v>BILBAO APARTAMENTOS P.H</v>
          </cell>
          <cell r="D3183" t="str">
            <v>3116485448</v>
          </cell>
          <cell r="E3183" t="str">
            <v>bilbao.apartamentos1@gmail.com</v>
          </cell>
          <cell r="F3183" t="str">
            <v>CL 36 70 68</v>
          </cell>
          <cell r="G3183">
            <v>11001</v>
          </cell>
        </row>
        <row r="3184">
          <cell r="A3184" t="str">
            <v>901152366</v>
          </cell>
          <cell r="B3184" t="str">
            <v>0</v>
          </cell>
          <cell r="C3184" t="str">
            <v>CONJUNTO RESIDENCIAL SUBA RESERVADO - PROPIEDAD HORIZONTAL</v>
          </cell>
          <cell r="D3184" t="str">
            <v>3138898593</v>
          </cell>
          <cell r="E3184" t="str">
            <v>crsubareservadoph@gmail.com</v>
          </cell>
          <cell r="F3184" t="str">
            <v>CR 90 139 50</v>
          </cell>
          <cell r="G3184">
            <v>11001</v>
          </cell>
        </row>
        <row r="3185">
          <cell r="A3185" t="str">
            <v>901152903</v>
          </cell>
          <cell r="B3185" t="str">
            <v>6</v>
          </cell>
          <cell r="C3185" t="str">
            <v>PROMOTORA PORTOBELO SAS</v>
          </cell>
          <cell r="D3185" t="str">
            <v>3165265281</v>
          </cell>
          <cell r="E3185" t="str">
            <v>luis1982ortis@gmail.com</v>
          </cell>
          <cell r="F3185" t="str">
            <v>CR 10 16B 43</v>
          </cell>
          <cell r="G3185">
            <v>11001</v>
          </cell>
        </row>
        <row r="3186">
          <cell r="A3186" t="str">
            <v>901152960</v>
          </cell>
          <cell r="B3186" t="str">
            <v>6</v>
          </cell>
          <cell r="C3186" t="str">
            <v>"CONJUNTO RESIDENCIAL RESERVA CAMPESTRE"-PROPIEDAD HORIZONTAL</v>
          </cell>
          <cell r="D3186" t="str">
            <v>3154184350</v>
          </cell>
          <cell r="E3186" t="str">
            <v>reservacampestreadmon@gmail.com</v>
          </cell>
          <cell r="F3186" t="str">
            <v>CR 122 5 18</v>
          </cell>
          <cell r="G3186">
            <v>11001</v>
          </cell>
        </row>
        <row r="3187">
          <cell r="A3187" t="str">
            <v>901154093</v>
          </cell>
          <cell r="B3187" t="str">
            <v>4</v>
          </cell>
          <cell r="C3187" t="str">
            <v>EDIFICIO INFINITUM CARTAGENA - PROPIEDAD HORIZONTAL</v>
          </cell>
          <cell r="D3187" t="str">
            <v>3134625822</v>
          </cell>
          <cell r="E3187" t="str">
            <v>edificioinfinitum@gmail.com</v>
          </cell>
          <cell r="F3187" t="str">
            <v>CARRERA 4  7  147</v>
          </cell>
          <cell r="G3187">
            <v>11001</v>
          </cell>
        </row>
        <row r="3188">
          <cell r="A3188" t="str">
            <v>901155166</v>
          </cell>
          <cell r="B3188" t="str">
            <v>8</v>
          </cell>
          <cell r="C3188" t="str">
            <v>CONJUNTO RESIDENCIAL MACANA - PROPIEDAD HORIZONTAL</v>
          </cell>
          <cell r="D3188" t="str">
            <v>4657067</v>
          </cell>
          <cell r="E3188" t="str">
            <v>conjuntomacana@gmail.com</v>
          </cell>
          <cell r="F3188" t="str">
            <v>CL 152 C 72 65</v>
          </cell>
          <cell r="G3188">
            <v>11001</v>
          </cell>
        </row>
        <row r="3189">
          <cell r="A3189" t="str">
            <v>901155166</v>
          </cell>
          <cell r="B3189" t="str">
            <v>8</v>
          </cell>
          <cell r="C3189" t="str">
            <v>CONJUNTO RESIDENCIAL MACANA - PROPIEDAD HORIZONTAL</v>
          </cell>
          <cell r="D3189" t="str">
            <v>4657067</v>
          </cell>
          <cell r="E3189" t="str">
            <v>conjuntomacana@gmail.com</v>
          </cell>
          <cell r="F3189" t="str">
            <v>CL 152 C 72 65</v>
          </cell>
          <cell r="G3189">
            <v>11001</v>
          </cell>
        </row>
        <row r="3190">
          <cell r="A3190" t="str">
            <v>901157154</v>
          </cell>
          <cell r="B3190" t="str">
            <v>9</v>
          </cell>
          <cell r="C3190" t="str">
            <v>EDIFICIO LA TORRE SPINOSA - PH</v>
          </cell>
          <cell r="D3190" t="str">
            <v>6436215</v>
          </cell>
          <cell r="E3190" t="str">
            <v>admspinosa@gmail.com</v>
          </cell>
          <cell r="F3190" t="str">
            <v>CL 36 21 27</v>
          </cell>
          <cell r="G3190">
            <v>11001</v>
          </cell>
        </row>
        <row r="3191">
          <cell r="A3191" t="str">
            <v>901157164</v>
          </cell>
          <cell r="B3191" t="str">
            <v>2</v>
          </cell>
          <cell r="C3191" t="str">
            <v>EDIFICIO BELLAVISTA 75 - PROPIEDAD HORIZONTAL</v>
          </cell>
          <cell r="D3191" t="str">
            <v>6293977</v>
          </cell>
          <cell r="E3191" t="str">
            <v>edificiobellavista75@gmail.com</v>
          </cell>
          <cell r="F3191" t="str">
            <v>CR 4   75   37</v>
          </cell>
          <cell r="G3191">
            <v>11001</v>
          </cell>
        </row>
        <row r="3192">
          <cell r="A3192" t="str">
            <v>901157511</v>
          </cell>
          <cell r="B3192" t="str">
            <v>5</v>
          </cell>
          <cell r="C3192" t="str">
            <v>EDIFICIO GAIA - PROPIEDAD HORIZONTAL</v>
          </cell>
          <cell r="D3192" t="str">
            <v>3210762</v>
          </cell>
          <cell r="E3192" t="str">
            <v>edificiogaiaph@gmail.com</v>
          </cell>
          <cell r="F3192" t="str">
            <v>CL 90 17 31</v>
          </cell>
          <cell r="G3192">
            <v>11001</v>
          </cell>
        </row>
        <row r="3193">
          <cell r="A3193" t="str">
            <v>901157511</v>
          </cell>
          <cell r="B3193" t="str">
            <v>5</v>
          </cell>
          <cell r="C3193" t="str">
            <v>EDIFICIO GAIA - PROPIEDAD HORIZONTAL</v>
          </cell>
          <cell r="D3193" t="str">
            <v>3210762</v>
          </cell>
          <cell r="E3193" t="str">
            <v>edificiogaiaph@gmail.com</v>
          </cell>
          <cell r="F3193" t="str">
            <v>CL 90 17 31</v>
          </cell>
          <cell r="G3193">
            <v>11001</v>
          </cell>
        </row>
        <row r="3194">
          <cell r="A3194" t="str">
            <v>901158187</v>
          </cell>
          <cell r="B3194" t="str">
            <v>6</v>
          </cell>
          <cell r="C3194" t="str">
            <v>CLINICA NUEVA DE CALI SAS</v>
          </cell>
          <cell r="D3194" t="str">
            <v>3690820</v>
          </cell>
          <cell r="E3194" t="str">
            <v>facturacion.electronica@clinicanuevadecali.com</v>
          </cell>
          <cell r="F3194" t="str">
            <v>CL 6 8 16</v>
          </cell>
          <cell r="G3194">
            <v>11001</v>
          </cell>
        </row>
        <row r="3195">
          <cell r="A3195" t="str">
            <v>901159410</v>
          </cell>
          <cell r="B3195" t="str">
            <v>9</v>
          </cell>
          <cell r="C3195" t="str">
            <v>EDIFICIO MULTIFAMILIAR OPORTO - PROPIEDAD HORIZONTAL</v>
          </cell>
          <cell r="D3195" t="str">
            <v>2157954</v>
          </cell>
          <cell r="E3195" t="str">
            <v>multifamiliaroporto@gmail.com</v>
          </cell>
          <cell r="F3195" t="str">
            <v>CL 144  23 06</v>
          </cell>
          <cell r="G3195">
            <v>11001</v>
          </cell>
        </row>
        <row r="3196">
          <cell r="A3196" t="str">
            <v>901160881</v>
          </cell>
          <cell r="B3196" t="str">
            <v>6</v>
          </cell>
          <cell r="C3196" t="str">
            <v>CENTRO COMERCIAL SANANDRESITO BARRANQUILLA CENTRO</v>
          </cell>
          <cell r="D3196" t="str">
            <v>3608686</v>
          </cell>
          <cell r="E3196" t="str">
            <v>facturas@hvr.com.co</v>
          </cell>
          <cell r="F3196" t="str">
            <v>CR 45 C 34 53</v>
          </cell>
          <cell r="G3196">
            <v>11001</v>
          </cell>
        </row>
        <row r="3197">
          <cell r="A3197" t="str">
            <v>901162646</v>
          </cell>
          <cell r="B3197" t="str">
            <v>0</v>
          </cell>
          <cell r="C3197" t="str">
            <v>COLVIVIENDAS S.A.S.</v>
          </cell>
          <cell r="D3197" t="str">
            <v>6233440</v>
          </cell>
          <cell r="E3197" t="str">
            <v>facturacionalameda170@gmail.com</v>
          </cell>
          <cell r="F3197" t="str">
            <v>CR 13 93 40 OF 316</v>
          </cell>
          <cell r="G3197">
            <v>11001</v>
          </cell>
        </row>
        <row r="3198">
          <cell r="A3198" t="str">
            <v>901162646</v>
          </cell>
          <cell r="B3198" t="str">
            <v>0</v>
          </cell>
          <cell r="C3198" t="str">
            <v>COLVIVIENDAS S.A.S.</v>
          </cell>
          <cell r="D3198" t="str">
            <v>6233440</v>
          </cell>
          <cell r="E3198" t="str">
            <v>facturacionalameda170@gmail.com</v>
          </cell>
          <cell r="F3198" t="str">
            <v>CR 13 93 40 OF 316</v>
          </cell>
          <cell r="G3198">
            <v>11001</v>
          </cell>
        </row>
        <row r="3199">
          <cell r="A3199" t="str">
            <v>901163118</v>
          </cell>
          <cell r="B3199" t="str">
            <v>8</v>
          </cell>
          <cell r="C3199" t="str">
            <v>CONJUNTO PARK 68 PROPIEDAD HORIZONTAL</v>
          </cell>
          <cell r="D3199" t="str">
            <v>3007049392</v>
          </cell>
          <cell r="E3199" t="str">
            <v>crpark68@hotmail.com</v>
          </cell>
          <cell r="F3199" t="str">
            <v>CR 66 B 68 71</v>
          </cell>
          <cell r="G3199">
            <v>11001</v>
          </cell>
        </row>
        <row r="3200">
          <cell r="A3200" t="str">
            <v>901164317</v>
          </cell>
          <cell r="B3200" t="str">
            <v>1</v>
          </cell>
          <cell r="C3200" t="str">
            <v>CONJUNTO RESIDENCIAL BOSQUES DE TULIPANES PRIMERA ETAPA - PH</v>
          </cell>
          <cell r="D3200" t="str">
            <v>3118318852</v>
          </cell>
          <cell r="E3200" t="str">
            <v>bosquedetulipanes@gmail.com</v>
          </cell>
          <cell r="F3200" t="str">
            <v>CL 153 109 B 18</v>
          </cell>
          <cell r="G3200">
            <v>11001</v>
          </cell>
        </row>
        <row r="3201">
          <cell r="A3201" t="str">
            <v>901164342</v>
          </cell>
          <cell r="B3201" t="str">
            <v>6</v>
          </cell>
          <cell r="C3201" t="str">
            <v>EDIFICIO TORRE SEKI - PROPIEDAD HORIZONTAL</v>
          </cell>
          <cell r="D3201" t="str">
            <v>3125280317</v>
          </cell>
          <cell r="E3201" t="str">
            <v>admin@edificioseki.com</v>
          </cell>
          <cell r="F3201" t="str">
            <v>CR 16 93 78</v>
          </cell>
          <cell r="G3201">
            <v>11001</v>
          </cell>
        </row>
        <row r="3202">
          <cell r="A3202" t="str">
            <v>901164342</v>
          </cell>
          <cell r="B3202" t="str">
            <v>6</v>
          </cell>
          <cell r="C3202" t="str">
            <v>EDIFICIO TORRE SEKI - PROPIEDAD HORIZONTAL</v>
          </cell>
          <cell r="D3202" t="str">
            <v>3125280317</v>
          </cell>
          <cell r="E3202" t="str">
            <v>admin@edificioseki.com</v>
          </cell>
          <cell r="F3202" t="str">
            <v>CR 16 93 78</v>
          </cell>
          <cell r="G3202">
            <v>11001</v>
          </cell>
        </row>
        <row r="3203">
          <cell r="A3203" t="str">
            <v>901164869</v>
          </cell>
          <cell r="B3203" t="str">
            <v>5</v>
          </cell>
          <cell r="C3203" t="str">
            <v>EDIFICIO LUMINI - PROPIEDAD HORIZONTAL</v>
          </cell>
          <cell r="D3203" t="str">
            <v>3138876732</v>
          </cell>
          <cell r="E3203" t="str">
            <v>facturacion@gaonacurrea.com</v>
          </cell>
          <cell r="F3203" t="str">
            <v>DG 72 1 52</v>
          </cell>
          <cell r="G3203">
            <v>11001</v>
          </cell>
        </row>
        <row r="3204">
          <cell r="A3204" t="str">
            <v>901164869</v>
          </cell>
          <cell r="B3204" t="str">
            <v>5</v>
          </cell>
          <cell r="C3204" t="str">
            <v>EDIFICIO LUMINI - PROPIEDAD HORIZONTAL</v>
          </cell>
          <cell r="D3204" t="str">
            <v>3138876732</v>
          </cell>
          <cell r="E3204" t="str">
            <v>facturacion@gaonacurrea.com</v>
          </cell>
          <cell r="F3204" t="str">
            <v>DG 72 1 52</v>
          </cell>
          <cell r="G3204">
            <v>11001</v>
          </cell>
        </row>
        <row r="3205">
          <cell r="A3205" t="str">
            <v>901165729</v>
          </cell>
          <cell r="B3205" t="str">
            <v>7</v>
          </cell>
          <cell r="C3205" t="str">
            <v>CONJUNTO RESIDENCIAL CAMINO DEL VIENTO SUETAPA 1, TORRE 1 P.H.</v>
          </cell>
          <cell r="D3205" t="str">
            <v>5072712</v>
          </cell>
          <cell r="E3205" t="str">
            <v>administracion@caminodelviento.com</v>
          </cell>
          <cell r="F3205" t="str">
            <v>CR 59 27B 510</v>
          </cell>
          <cell r="G3205">
            <v>11001</v>
          </cell>
        </row>
        <row r="3206">
          <cell r="A3206" t="str">
            <v>901166447</v>
          </cell>
          <cell r="B3206" t="str">
            <v>1</v>
          </cell>
          <cell r="C3206" t="str">
            <v>URBANIZACION BIOCITY GRAND P.H.</v>
          </cell>
          <cell r="D3206" t="str">
            <v>3128085565</v>
          </cell>
          <cell r="E3206" t="str">
            <v>admonbiocitygrand@gmail.com</v>
          </cell>
          <cell r="F3206" t="str">
            <v>CALLE 37 SUR  27  90</v>
          </cell>
          <cell r="G3206">
            <v>11001</v>
          </cell>
        </row>
        <row r="3207">
          <cell r="A3207" t="str">
            <v>901166475</v>
          </cell>
          <cell r="B3207" t="str">
            <v>6</v>
          </cell>
          <cell r="C3207" t="str">
            <v>CONJUNTO DE USO MIXTO TURMALINA - PROPIEDAD HORIZONTAL</v>
          </cell>
          <cell r="D3207" t="str">
            <v>5783985</v>
          </cell>
          <cell r="E3207" t="str">
            <v>turmalinaph20@gmail.com</v>
          </cell>
          <cell r="F3207" t="str">
            <v>CALLE 63  77  41</v>
          </cell>
          <cell r="G3207">
            <v>11001</v>
          </cell>
        </row>
        <row r="3208">
          <cell r="A3208" t="str">
            <v>901166698</v>
          </cell>
          <cell r="B3208" t="str">
            <v>1</v>
          </cell>
          <cell r="C3208" t="str">
            <v>CONJUNTO RESIDENCIAL ILARCO 114 - PROPIEDAD HORIZONTAL</v>
          </cell>
          <cell r="D3208" t="str">
            <v>3202346609</v>
          </cell>
          <cell r="E3208" t="str">
            <v>conjuntoilarco114@gmail.com</v>
          </cell>
          <cell r="F3208" t="str">
            <v>TV 60 114 A 50</v>
          </cell>
          <cell r="G3208">
            <v>11001</v>
          </cell>
        </row>
        <row r="3209">
          <cell r="A3209" t="str">
            <v>901166698</v>
          </cell>
          <cell r="B3209" t="str">
            <v>1</v>
          </cell>
          <cell r="C3209" t="str">
            <v>CONJUNTO RESIDENCIAL ILARCO 114 - PROPIEDAD HORIZONTAL</v>
          </cell>
          <cell r="D3209" t="str">
            <v>3202346609</v>
          </cell>
          <cell r="E3209" t="str">
            <v>conjuntoilarco114@gmail.com</v>
          </cell>
          <cell r="F3209" t="str">
            <v>TV 60 114 A 50</v>
          </cell>
          <cell r="G3209">
            <v>11001</v>
          </cell>
        </row>
        <row r="3210">
          <cell r="A3210" t="str">
            <v>901167327</v>
          </cell>
          <cell r="B3210" t="str">
            <v>9</v>
          </cell>
          <cell r="C3210" t="str">
            <v>CONSTRUIR YJK S.A.S</v>
          </cell>
          <cell r="D3210">
            <v>3219664011</v>
          </cell>
          <cell r="E3210" t="str">
            <v>BERDICASESORES@GMAIL.COM</v>
          </cell>
          <cell r="F3210" t="str">
            <v>CL 88  42 E  66</v>
          </cell>
          <cell r="G3210">
            <v>11001</v>
          </cell>
        </row>
        <row r="3211">
          <cell r="A3211" t="str">
            <v>901167612</v>
          </cell>
          <cell r="B3211" t="str">
            <v>3</v>
          </cell>
          <cell r="C3211" t="str">
            <v>PROPIEDA HORIZONTAL "EDIFICIO IN ALTEZZA"</v>
          </cell>
          <cell r="D3211" t="str">
            <v>3133448202</v>
          </cell>
          <cell r="E3211" t="str">
            <v>inaltezzatunja22@gmail.com</v>
          </cell>
          <cell r="F3211" t="str">
            <v>AV UNIVERSITARIA 29 92</v>
          </cell>
          <cell r="G3211">
            <v>11001</v>
          </cell>
        </row>
        <row r="3212">
          <cell r="A3212" t="str">
            <v>901168187</v>
          </cell>
          <cell r="B3212" t="str">
            <v>9</v>
          </cell>
          <cell r="C3212" t="str">
            <v>EDIFICIO ARANJUEZ 106- PROPIEDAD HORIZONTAL</v>
          </cell>
          <cell r="D3212">
            <v>3219664011</v>
          </cell>
          <cell r="E3212" t="str">
            <v>aranjuez106ph@gmail.com</v>
          </cell>
          <cell r="F3212" t="str">
            <v>CR 14 106 A 89 83</v>
          </cell>
          <cell r="G3212">
            <v>11001</v>
          </cell>
        </row>
        <row r="3213">
          <cell r="A3213" t="str">
            <v>901168543</v>
          </cell>
          <cell r="B3213" t="str">
            <v>8</v>
          </cell>
          <cell r="C3213" t="str">
            <v>CONJUNTO RESIDENCIAL EL CLUB- ETAPA 1</v>
          </cell>
          <cell r="D3213" t="str">
            <v>3042035041</v>
          </cell>
          <cell r="E3213" t="str">
            <v>contabilidad@conjuntoelclub.com</v>
          </cell>
          <cell r="F3213" t="str">
            <v>TRANSVERSAL 54 CARRETERA LA CORDIALIDAD LOTE 3</v>
          </cell>
          <cell r="G3213">
            <v>11001</v>
          </cell>
        </row>
        <row r="3214">
          <cell r="A3214" t="str">
            <v>901168957</v>
          </cell>
          <cell r="B3214" t="str">
            <v>3</v>
          </cell>
          <cell r="C3214" t="str">
            <v>EDIFICIO AVALON - PROPIEDAD HORIZONTAL</v>
          </cell>
          <cell r="D3214" t="str">
            <v>3185480514</v>
          </cell>
          <cell r="E3214" t="str">
            <v>edificioavalon@hotmail.com</v>
          </cell>
          <cell r="F3214" t="str">
            <v>CARRERA 19 10 31 BARRIO MUTUALIDAD</v>
          </cell>
          <cell r="G3214">
            <v>11001</v>
          </cell>
        </row>
        <row r="3215">
          <cell r="A3215" t="str">
            <v>901169520</v>
          </cell>
          <cell r="B3215" t="str">
            <v>3</v>
          </cell>
          <cell r="C3215" t="str">
            <v>PROPIEDAD HORIZONTAL EDIFICIO COMERCIAL MULTIFAMILIAR SALITRE PAIPA</v>
          </cell>
          <cell r="D3215" t="str">
            <v>3115686721</v>
          </cell>
          <cell r="E3215" t="str">
            <v>luedfosa26@hotmail.com</v>
          </cell>
          <cell r="F3215" t="str">
            <v>CL 25 19 47</v>
          </cell>
          <cell r="G3215">
            <v>11001</v>
          </cell>
        </row>
        <row r="3216">
          <cell r="A3216" t="str">
            <v>901170594</v>
          </cell>
          <cell r="B3216" t="str">
            <v>1</v>
          </cell>
          <cell r="C3216" t="str">
            <v>CENTRO COMERCIAL NUESTRO ATLANTICO PROPIEDAD HORIZONTAL</v>
          </cell>
          <cell r="D3216" t="str">
            <v>4483468</v>
          </cell>
          <cell r="E3216" t="str">
            <v>facturas@aceis.com.co</v>
          </cell>
          <cell r="F3216" t="str">
            <v>CL 63 13 71 AV MURILLO</v>
          </cell>
          <cell r="G3216">
            <v>11001</v>
          </cell>
        </row>
        <row r="3217">
          <cell r="A3217" t="str">
            <v>901171680</v>
          </cell>
          <cell r="B3217" t="str">
            <v>1</v>
          </cell>
          <cell r="C3217" t="str">
            <v>CONJUNTO RESIDENCIAL SANTA ANA</v>
          </cell>
          <cell r="D3217" t="str">
            <v>3320080</v>
          </cell>
          <cell r="E3217" t="str">
            <v>admsantaanacr@gmail.com</v>
          </cell>
          <cell r="F3217" t="str">
            <v>CR 98 B 48 127</v>
          </cell>
          <cell r="G3217">
            <v>11001</v>
          </cell>
        </row>
        <row r="3218">
          <cell r="A3218" t="str">
            <v>901171799</v>
          </cell>
          <cell r="B3218" t="str">
            <v>7</v>
          </cell>
          <cell r="C3218" t="str">
            <v>CENTRO COMERCIAL UNICENTRO NEIVA</v>
          </cell>
          <cell r="D3218" t="str">
            <v>8640340</v>
          </cell>
          <cell r="E3218" t="str">
            <v>auxcontableunicentro@gmail.com</v>
          </cell>
          <cell r="F3218" t="str">
            <v>CR 15 23A 13 SUR</v>
          </cell>
          <cell r="G3218">
            <v>11001</v>
          </cell>
        </row>
        <row r="3219">
          <cell r="A3219" t="str">
            <v>901171979</v>
          </cell>
          <cell r="B3219" t="str">
            <v>6</v>
          </cell>
          <cell r="C3219" t="str">
            <v>LARKEN SECURITY LTDA</v>
          </cell>
          <cell r="D3219" t="str">
            <v>3 2 2 2 0 3 7 5 3 9</v>
          </cell>
          <cell r="E3219" t="str">
            <v>contabilidad@larkenltda.com</v>
          </cell>
          <cell r="F3219" t="str">
            <v>CL 5 N 17 70</v>
          </cell>
          <cell r="G3219">
            <v>11001</v>
          </cell>
        </row>
        <row r="3220">
          <cell r="A3220" t="str">
            <v>901173840</v>
          </cell>
          <cell r="B3220" t="str">
            <v>0</v>
          </cell>
          <cell r="C3220" t="str">
            <v>EDIFICIO PARQUE PUENTE LARGO - PROPIEDAD HORIZONTAL</v>
          </cell>
          <cell r="D3220" t="str">
            <v>3123145795</v>
          </cell>
          <cell r="E3220" t="str">
            <v>edificioparquepuentelargo@gmail.com</v>
          </cell>
          <cell r="F3220" t="str">
            <v>CL 106 56 33</v>
          </cell>
          <cell r="G3220">
            <v>11001</v>
          </cell>
        </row>
        <row r="3221">
          <cell r="A3221" t="str">
            <v>901173942</v>
          </cell>
          <cell r="B3221" t="str">
            <v>3</v>
          </cell>
          <cell r="C3221" t="str">
            <v>EDIFICIO MULTIFAMILIAR PRAIA TOWER HOUSE - P.H.</v>
          </cell>
          <cell r="D3221" t="str">
            <v>3006621540</v>
          </cell>
          <cell r="E3221" t="str">
            <v>edificiopraiaph@gmail.com</v>
          </cell>
          <cell r="F3221" t="str">
            <v>cr 5 67 130</v>
          </cell>
          <cell r="G3221">
            <v>11001</v>
          </cell>
        </row>
        <row r="3222">
          <cell r="A3222" t="str">
            <v>901175727</v>
          </cell>
          <cell r="B3222" t="str">
            <v>5</v>
          </cell>
          <cell r="C3222" t="str">
            <v>HABITAT 360 SAS</v>
          </cell>
          <cell r="D3222" t="str">
            <v>3128704088</v>
          </cell>
          <cell r="E3222" t="str">
            <v>constructorahabitat360@gmail.com</v>
          </cell>
          <cell r="F3222" t="str">
            <v>Conjunto san maria de las lomas, lote 5 vía al cerro de oro, construcción torre 360</v>
          </cell>
          <cell r="G3222">
            <v>11001</v>
          </cell>
        </row>
        <row r="3223">
          <cell r="A3223" t="str">
            <v>901176068</v>
          </cell>
          <cell r="B3223" t="str">
            <v>4</v>
          </cell>
          <cell r="C3223" t="str">
            <v>CONJUNTO PARQUE ALARCON</v>
          </cell>
          <cell r="D3223" t="str">
            <v>6436215</v>
          </cell>
          <cell r="E3223" t="str">
            <v>Con.parquealarcon@gmail.com</v>
          </cell>
          <cell r="F3223" t="str">
            <v>CR 19 23 11 19 27 31 33 Y CR 20 22 54 58</v>
          </cell>
          <cell r="G3223">
            <v>11001</v>
          </cell>
        </row>
        <row r="3224">
          <cell r="A3224" t="str">
            <v>901176396</v>
          </cell>
          <cell r="B3224" t="str">
            <v>5</v>
          </cell>
          <cell r="C3224" t="str">
            <v>EDIFICIO SAGA 106 - PROPIEDAD HORIZONTAL</v>
          </cell>
          <cell r="D3224" t="str">
            <v>31643055531</v>
          </cell>
          <cell r="E3224" t="str">
            <v>edificiosagaph@gmail.com</v>
          </cell>
          <cell r="F3224" t="str">
            <v>CL 106 19 A 23</v>
          </cell>
          <cell r="G3224">
            <v>11001</v>
          </cell>
        </row>
        <row r="3225">
          <cell r="A3225" t="str">
            <v>901177024</v>
          </cell>
          <cell r="B3225" t="str">
            <v>5</v>
          </cell>
          <cell r="C3225" t="str">
            <v>EDIFICIO DE OFICINA BRP TOWER BUSINESS</v>
          </cell>
          <cell r="D3225" t="str">
            <v>3008161104</v>
          </cell>
          <cell r="E3225" t="str">
            <v>brptowerbusiness@gmail.com</v>
          </cell>
          <cell r="F3225" t="str">
            <v>BRR MANGA AV 4 CL 29 25 13</v>
          </cell>
          <cell r="G3225">
            <v>11001</v>
          </cell>
        </row>
        <row r="3226">
          <cell r="A3226" t="str">
            <v>901177791</v>
          </cell>
          <cell r="B3226" t="str">
            <v>6</v>
          </cell>
          <cell r="C3226" t="str">
            <v>INVERSORA JK S.A.S</v>
          </cell>
          <cell r="D3226" t="str">
            <v>3207683172</v>
          </cell>
          <cell r="E3226" t="str">
            <v>JBARRERO40@HOTMAIL.COM</v>
          </cell>
          <cell r="F3226" t="str">
            <v>CR 78 # 44A 17 AO 201</v>
          </cell>
          <cell r="G3226">
            <v>11001</v>
          </cell>
        </row>
        <row r="3227">
          <cell r="A3227" t="str">
            <v>901178786</v>
          </cell>
          <cell r="B3227" t="str">
            <v>3</v>
          </cell>
          <cell r="C3227" t="str">
            <v>EDIFICIO "MARE CLUB HOUSE"</v>
          </cell>
          <cell r="D3227" t="str">
            <v>6456830</v>
          </cell>
          <cell r="E3227" t="str">
            <v>edf.mare@gmail.com</v>
          </cell>
          <cell r="F3227" t="str">
            <v>BRR CRESPO  CR 3 67 08 ED MARE CLUB HOUSE P 1 AD</v>
          </cell>
          <cell r="G3227">
            <v>11001</v>
          </cell>
        </row>
        <row r="3228">
          <cell r="A3228" t="str">
            <v>901179192</v>
          </cell>
          <cell r="B3228" t="str">
            <v>3</v>
          </cell>
          <cell r="C3228" t="str">
            <v>EDIFICIO TORRE OLIO</v>
          </cell>
          <cell r="D3228">
            <v>3219664011</v>
          </cell>
          <cell r="E3228" t="str">
            <v>almadu2@hotmail.com</v>
          </cell>
          <cell r="F3228" t="str">
            <v>CL 49 30 32 BRR PALMIRA</v>
          </cell>
          <cell r="G3228">
            <v>11001</v>
          </cell>
        </row>
        <row r="3229">
          <cell r="A3229" t="str">
            <v>901179823</v>
          </cell>
          <cell r="B3229" t="str">
            <v>2</v>
          </cell>
          <cell r="C3229" t="str">
            <v>ETAPA 1 URBANIZACIÓN ORANGE - PROPIEDAD HORIZONTAL</v>
          </cell>
          <cell r="D3229" t="str">
            <v>5017188</v>
          </cell>
          <cell r="E3229" t="str">
            <v>urbanizacionorange@gmail.com</v>
          </cell>
          <cell r="F3229" t="str">
            <v>CR 75 61 85</v>
          </cell>
          <cell r="G3229">
            <v>11001</v>
          </cell>
        </row>
        <row r="3230">
          <cell r="A3230" t="str">
            <v>901180185</v>
          </cell>
          <cell r="B3230" t="str">
            <v>3</v>
          </cell>
          <cell r="C3230" t="str">
            <v>PLAZA 77 MALL P.H</v>
          </cell>
          <cell r="D3230" t="str">
            <v>4483468</v>
          </cell>
          <cell r="E3230" t="str">
            <v>admonplaza77@gmail.com</v>
          </cell>
          <cell r="F3230" t="str">
            <v>CL 77 SUR 50A 195</v>
          </cell>
          <cell r="G3230">
            <v>11001</v>
          </cell>
        </row>
        <row r="3231">
          <cell r="A3231" t="str">
            <v>901184176</v>
          </cell>
          <cell r="B3231" t="str">
            <v>5</v>
          </cell>
          <cell r="C3231" t="str">
            <v>CONJUNTO RESIDENCIAL BELLAVISTA IMPERIAL - PH</v>
          </cell>
          <cell r="D3231" t="str">
            <v>6591156</v>
          </cell>
          <cell r="E3231" t="str">
            <v>conjuntobellavistaimperial@gmail.com</v>
          </cell>
          <cell r="F3231" t="str">
            <v>CL 152 B 104 50</v>
          </cell>
          <cell r="G3231">
            <v>11001</v>
          </cell>
        </row>
        <row r="3232">
          <cell r="A3232" t="str">
            <v>901184176</v>
          </cell>
          <cell r="B3232" t="str">
            <v>5</v>
          </cell>
          <cell r="C3232" t="str">
            <v>CONJUNTO RESIDENCIAL BELLAVISTA IMPERIAL - PH</v>
          </cell>
          <cell r="D3232" t="str">
            <v>6591156</v>
          </cell>
          <cell r="E3232" t="str">
            <v>conjuntobellavistaimperial@gmail.com</v>
          </cell>
          <cell r="F3232" t="str">
            <v>CL 152 B 104 50</v>
          </cell>
          <cell r="G3232">
            <v>11001</v>
          </cell>
        </row>
        <row r="3233">
          <cell r="A3233" t="str">
            <v>901187696</v>
          </cell>
          <cell r="B3233" t="str">
            <v>7</v>
          </cell>
          <cell r="C3233" t="str">
            <v>EDIFICIO THE POINT</v>
          </cell>
          <cell r="D3233" t="str">
            <v>3135727929</v>
          </cell>
          <cell r="E3233" t="str">
            <v>edificiothepoint@hotmail.com</v>
          </cell>
          <cell r="F3233" t="str">
            <v>CL 96 A 50 59</v>
          </cell>
          <cell r="G3233">
            <v>11001</v>
          </cell>
        </row>
        <row r="3234">
          <cell r="A3234" t="str">
            <v>901188057</v>
          </cell>
          <cell r="B3234" t="str">
            <v>5</v>
          </cell>
          <cell r="C3234" t="str">
            <v>EDIFICIO DE USO RESIDENCIAL JARDIN DE SANTANA</v>
          </cell>
          <cell r="D3234" t="str">
            <v>3135190789</v>
          </cell>
          <cell r="E3234" t="str">
            <v>edificiojardindesantana@gmail.com</v>
          </cell>
          <cell r="F3234" t="str">
            <v>CR 24 16 4</v>
          </cell>
          <cell r="G3234">
            <v>11001</v>
          </cell>
        </row>
        <row r="3235">
          <cell r="A3235" t="str">
            <v>901190138</v>
          </cell>
          <cell r="B3235" t="str">
            <v>1</v>
          </cell>
          <cell r="C3235" t="str">
            <v>CONJUNTO RESIDENCIAL NATIVO ARENA - PH</v>
          </cell>
          <cell r="D3235" t="str">
            <v>3007829888</v>
          </cell>
          <cell r="E3235" t="str">
            <v>compras@abelardoyepes.com</v>
          </cell>
          <cell r="F3235" t="str">
            <v>CR 27 A A 36 SUR 160</v>
          </cell>
          <cell r="G3235">
            <v>11001</v>
          </cell>
        </row>
        <row r="3236">
          <cell r="A3236" t="str">
            <v>901190322</v>
          </cell>
          <cell r="B3236" t="str">
            <v>9</v>
          </cell>
          <cell r="C3236" t="str">
            <v>EDIFICIO BAU 127 - PH</v>
          </cell>
          <cell r="D3236" t="str">
            <v>3212402487</v>
          </cell>
          <cell r="E3236" t="str">
            <v>aphrecepcionfacturacion@gmail.com</v>
          </cell>
          <cell r="F3236" t="str">
            <v>CR 7 C 127 32 44 56</v>
          </cell>
          <cell r="G3236">
            <v>11001</v>
          </cell>
        </row>
        <row r="3237">
          <cell r="A3237" t="str">
            <v>901191509</v>
          </cell>
          <cell r="B3237" t="str">
            <v>3</v>
          </cell>
          <cell r="C3237" t="str">
            <v>EDIFICIO ARCOIRIS PASADENA I - PH</v>
          </cell>
          <cell r="D3237" t="str">
            <v>3103295614</v>
          </cell>
          <cell r="E3237" t="str">
            <v>arcoiris.103@hotmail.com</v>
          </cell>
          <cell r="F3237" t="str">
            <v>CR 49 103 B 05</v>
          </cell>
          <cell r="G3237">
            <v>11001</v>
          </cell>
        </row>
        <row r="3238">
          <cell r="A3238" t="str">
            <v>901193085</v>
          </cell>
          <cell r="B3238" t="str">
            <v>1</v>
          </cell>
          <cell r="C3238" t="str">
            <v>CONJUNTO CERRADO MORATTO DE LA FLORESTA</v>
          </cell>
          <cell r="D3238" t="str">
            <v>3134853402</v>
          </cell>
          <cell r="E3238" t="str">
            <v>conjuntomorattodelafloresta@gmail.com</v>
          </cell>
          <cell r="F3238" t="str">
            <v>VTE LA FLORESTA 7 139</v>
          </cell>
          <cell r="G3238">
            <v>11001</v>
          </cell>
        </row>
        <row r="3239">
          <cell r="A3239" t="str">
            <v>901195262</v>
          </cell>
          <cell r="B3239" t="str">
            <v>8</v>
          </cell>
          <cell r="C3239" t="str">
            <v>CONJUNTO RESIDENCIAL BIVENTTI</v>
          </cell>
          <cell r="D3239" t="str">
            <v>3115431317</v>
          </cell>
          <cell r="E3239" t="str">
            <v>biventtiadmon@gmail.com</v>
          </cell>
          <cell r="F3239" t="str">
            <v>CL 78 16  63 73</v>
          </cell>
          <cell r="G3239">
            <v>11001</v>
          </cell>
        </row>
        <row r="3240">
          <cell r="A3240" t="str">
            <v>901197813</v>
          </cell>
          <cell r="B3240" t="str">
            <v>5</v>
          </cell>
          <cell r="C3240" t="str">
            <v>EDIFICIO ALTAVISTA 146- PROPIEDAD HORIZONTAL</v>
          </cell>
          <cell r="D3240" t="str">
            <v>3132635588</v>
          </cell>
          <cell r="E3240" t="str">
            <v>pao21041@hotmail.com</v>
          </cell>
          <cell r="F3240" t="str">
            <v>CL 146 15 22</v>
          </cell>
          <cell r="G3240">
            <v>11001</v>
          </cell>
        </row>
        <row r="3241">
          <cell r="A3241" t="str">
            <v>901197813</v>
          </cell>
          <cell r="B3241" t="str">
            <v>5</v>
          </cell>
          <cell r="C3241" t="str">
            <v>EDIFICIO ALTAVISTA 146- PROPIEDAD HORIZONTAL</v>
          </cell>
          <cell r="D3241" t="str">
            <v>3132635588</v>
          </cell>
          <cell r="E3241" t="str">
            <v>pao21041@hotmail.com</v>
          </cell>
          <cell r="F3241" t="str">
            <v>CL 146 15 22</v>
          </cell>
          <cell r="G3241">
            <v>11001</v>
          </cell>
        </row>
        <row r="3242">
          <cell r="A3242" t="str">
            <v>901197919</v>
          </cell>
          <cell r="B3242" t="str">
            <v>7</v>
          </cell>
          <cell r="C3242" t="str">
            <v>EDIFICIO TERRA CLUB HOUSE PROPIEDAD HORIZONTAL</v>
          </cell>
          <cell r="D3242" t="str">
            <v>3126704278</v>
          </cell>
          <cell r="E3242" t="str">
            <v>terraclubhouse@gmail.com</v>
          </cell>
          <cell r="F3242" t="str">
            <v>CR 20 A 29 B 24</v>
          </cell>
          <cell r="G3242">
            <v>11001</v>
          </cell>
        </row>
        <row r="3243">
          <cell r="A3243" t="str">
            <v>901198725</v>
          </cell>
          <cell r="B3243" t="str">
            <v>1</v>
          </cell>
          <cell r="C3243" t="str">
            <v>EDIFICIO DELTA PARK TOWERS - PROPIEDAD HORIZONTAL</v>
          </cell>
          <cell r="D3243" t="str">
            <v>3213124874</v>
          </cell>
          <cell r="E3243" t="str">
            <v>pcardenasinmobiliaria@gmail.com</v>
          </cell>
          <cell r="F3243" t="str">
            <v>AV 2 19 90</v>
          </cell>
          <cell r="G3243">
            <v>11001</v>
          </cell>
        </row>
        <row r="3244">
          <cell r="A3244" t="str">
            <v>901200128</v>
          </cell>
          <cell r="B3244" t="str">
            <v>0</v>
          </cell>
          <cell r="C3244" t="str">
            <v>CONJUNTO RESIDENCIAL KLIMT P.H. - PROPIEDAD HORIZONTAL</v>
          </cell>
          <cell r="D3244" t="str">
            <v>3150319</v>
          </cell>
          <cell r="E3244" t="str">
            <v>admonklimtph@gmail.com</v>
          </cell>
          <cell r="F3244" t="str">
            <v>CALLE 152 B 56 62</v>
          </cell>
          <cell r="G3244">
            <v>11001</v>
          </cell>
        </row>
        <row r="3245">
          <cell r="A3245" t="str">
            <v>901200128</v>
          </cell>
          <cell r="B3245" t="str">
            <v>0</v>
          </cell>
          <cell r="C3245" t="str">
            <v>CONJUNTO RESIDENCIAL KLIMT P.H. - PROPIEDAD HORIZONTAL</v>
          </cell>
          <cell r="D3245" t="str">
            <v>3150319</v>
          </cell>
          <cell r="E3245" t="str">
            <v>admonklimtph@gmail.com</v>
          </cell>
          <cell r="F3245" t="str">
            <v>CALLE 152 B 56 62</v>
          </cell>
          <cell r="G3245">
            <v>11001</v>
          </cell>
        </row>
        <row r="3246">
          <cell r="A3246" t="str">
            <v>901200146</v>
          </cell>
          <cell r="B3246" t="str">
            <v>3</v>
          </cell>
          <cell r="C3246" t="str">
            <v>CONJUNTO RESIDENCIAL BRISAS DEL CARIBE - PROPIEDAD HORIZONTAL</v>
          </cell>
          <cell r="D3246" t="str">
            <v>3508688189</v>
          </cell>
          <cell r="E3246" t="str">
            <v>brisasdelcaribeadmon@gmail.com</v>
          </cell>
          <cell r="F3246" t="str">
            <v>CL 122 09 207</v>
          </cell>
          <cell r="G3246">
            <v>11001</v>
          </cell>
        </row>
        <row r="3247">
          <cell r="A3247" t="str">
            <v>901200489</v>
          </cell>
          <cell r="B3247" t="str">
            <v>4</v>
          </cell>
          <cell r="C3247" t="str">
            <v>EDIFICIO O´CLOCK P.H.</v>
          </cell>
          <cell r="D3247" t="str">
            <v>4480786</v>
          </cell>
          <cell r="E3247" t="str">
            <v>compras@abelardoyepes.com</v>
          </cell>
          <cell r="F3247" t="str">
            <v>CL 23 SUR 42B 60</v>
          </cell>
          <cell r="G3247">
            <v>11001</v>
          </cell>
        </row>
        <row r="3248">
          <cell r="A3248" t="str">
            <v>901201146</v>
          </cell>
          <cell r="B3248" t="str">
            <v>8</v>
          </cell>
          <cell r="C3248" t="str">
            <v>EDIFICIO AKALIA - PROPIEDAD HORIZONTAL</v>
          </cell>
          <cell r="D3248" t="str">
            <v>3125434545</v>
          </cell>
          <cell r="E3248" t="str">
            <v>adm.edificioakalia@gmail.com</v>
          </cell>
          <cell r="F3248" t="str">
            <v>TV 23 94 50</v>
          </cell>
          <cell r="G3248">
            <v>11001</v>
          </cell>
        </row>
        <row r="3249">
          <cell r="A3249" t="str">
            <v>901201742</v>
          </cell>
          <cell r="B3249" t="str">
            <v>8</v>
          </cell>
          <cell r="C3249" t="str">
            <v>EDIFICIO SAXO - PROPIEDAD HORIZONTAL</v>
          </cell>
          <cell r="D3249" t="str">
            <v>3165260806</v>
          </cell>
          <cell r="E3249" t="str">
            <v>admonsaxo@gmail.com</v>
          </cell>
          <cell r="F3249" t="str">
            <v>CL 48 99 20</v>
          </cell>
          <cell r="G3249">
            <v>11001</v>
          </cell>
        </row>
        <row r="3250">
          <cell r="A3250" t="str">
            <v>901203437</v>
          </cell>
          <cell r="B3250" t="str">
            <v>5</v>
          </cell>
          <cell r="C3250" t="str">
            <v>CONJUNTO RESIDENCIAL LLANO ALTO - PH</v>
          </cell>
          <cell r="D3250" t="str">
            <v>3213136733</v>
          </cell>
          <cell r="E3250" t="str">
            <v>conjuntollanoaltoadmon@gmail.com</v>
          </cell>
          <cell r="F3250" t="str">
            <v>CR 31 ESTE 34 70</v>
          </cell>
          <cell r="G3250">
            <v>11001</v>
          </cell>
        </row>
        <row r="3251">
          <cell r="A3251" t="str">
            <v>901204050</v>
          </cell>
          <cell r="B3251" t="str">
            <v>3</v>
          </cell>
          <cell r="C3251" t="str">
            <v>CENTRO COMERCIAL MEGAMALL</v>
          </cell>
          <cell r="D3251" t="str">
            <v>3194954847</v>
          </cell>
          <cell r="E3251" t="str">
            <v>ccmegamallvpar@gmail.com</v>
          </cell>
          <cell r="F3251" t="str">
            <v>CL 16 19 B 56 BRR LA FLORES</v>
          </cell>
          <cell r="G3251">
            <v>11001</v>
          </cell>
        </row>
        <row r="3252">
          <cell r="A3252" t="str">
            <v>901204558</v>
          </cell>
          <cell r="B3252" t="str">
            <v>2</v>
          </cell>
          <cell r="C3252" t="str">
            <v>CONJUNTO RESIDENCIAL PIAMONTE</v>
          </cell>
          <cell r="D3252" t="str">
            <v>3188132404</v>
          </cell>
          <cell r="E3252" t="str">
            <v>conjunto.piamonte1@gmail.com</v>
          </cell>
          <cell r="F3252" t="str">
            <v>TV 44 102 72</v>
          </cell>
          <cell r="G3252">
            <v>11001</v>
          </cell>
        </row>
        <row r="3253">
          <cell r="A3253" t="str">
            <v>901206436</v>
          </cell>
          <cell r="B3253" t="str">
            <v>1</v>
          </cell>
          <cell r="C3253" t="str">
            <v>EDIFICIO ARA CONDOMINIO CLUB-PH</v>
          </cell>
          <cell r="D3253" t="str">
            <v>3153733095</v>
          </cell>
          <cell r="E3253" t="str">
            <v>aracondominioclub2019@gmail.com</v>
          </cell>
          <cell r="F3253" t="str">
            <v>CL 51 23 45</v>
          </cell>
          <cell r="G3253">
            <v>11001</v>
          </cell>
        </row>
        <row r="3254">
          <cell r="A3254" t="str">
            <v>901208279</v>
          </cell>
          <cell r="B3254" t="str">
            <v>0</v>
          </cell>
          <cell r="C3254" t="str">
            <v>CONJUNTO RESIDENCIAL MIRADOR DE LOS ANDES</v>
          </cell>
          <cell r="D3254" t="str">
            <v>3102147913</v>
          </cell>
          <cell r="E3254" t="str">
            <v>conjuntomiradordelosandes@gmail.com</v>
          </cell>
          <cell r="F3254" t="str">
            <v>CL 93 20 40 SUR</v>
          </cell>
          <cell r="G3254">
            <v>11001</v>
          </cell>
        </row>
        <row r="3255">
          <cell r="A3255" t="str">
            <v>901208393</v>
          </cell>
          <cell r="B3255" t="str">
            <v>2</v>
          </cell>
          <cell r="C3255" t="str">
            <v>EDIFICIO MIDTOWN 59 - P.H.</v>
          </cell>
          <cell r="D3255" t="str">
            <v>3114403768</v>
          </cell>
          <cell r="E3255" t="str">
            <v>edificiomidtown59@gmail.com</v>
          </cell>
          <cell r="F3255" t="str">
            <v>CL 59 14 A 82</v>
          </cell>
          <cell r="G3255">
            <v>11001</v>
          </cell>
        </row>
        <row r="3256">
          <cell r="A3256" t="str">
            <v>901210109</v>
          </cell>
          <cell r="B3256" t="str">
            <v>3</v>
          </cell>
          <cell r="C3256" t="str">
            <v>PARQUE RESIDENCIAL GUADUALES ETAPA 1 P.H.</v>
          </cell>
          <cell r="D3256" t="str">
            <v>4233015</v>
          </cell>
          <cell r="E3256" t="str">
            <v>pagos.aph@gmail.com</v>
          </cell>
          <cell r="F3256" t="str">
            <v>CR 49 A 100 CC SUR 79</v>
          </cell>
          <cell r="G3256">
            <v>11001</v>
          </cell>
        </row>
        <row r="3257">
          <cell r="A3257" t="str">
            <v>901211111</v>
          </cell>
          <cell r="B3257" t="str">
            <v>3</v>
          </cell>
          <cell r="C3257" t="str">
            <v>EDIFICIO PORTALES DEL PRADO-PH</v>
          </cell>
          <cell r="D3257" t="str">
            <v>3023131983</v>
          </cell>
          <cell r="E3257" t="str">
            <v>admon.portalesdelprado@gmail.com</v>
          </cell>
          <cell r="F3257" t="str">
            <v>CL 36 34 45</v>
          </cell>
          <cell r="G3257">
            <v>11001</v>
          </cell>
        </row>
        <row r="3258">
          <cell r="A3258" t="str">
            <v>901213446</v>
          </cell>
          <cell r="B3258" t="str">
            <v>4</v>
          </cell>
          <cell r="C3258" t="str">
            <v>WAICO CONSTRUCCIONES S.A.S.</v>
          </cell>
          <cell r="D3258" t="str">
            <v>6301813</v>
          </cell>
          <cell r="E3258" t="str">
            <v>contabilidad@waicoconstrucciones.com</v>
          </cell>
          <cell r="F3258" t="str">
            <v>CR 17 C 60 30 P 3</v>
          </cell>
          <cell r="G3258">
            <v>11001</v>
          </cell>
        </row>
        <row r="3259">
          <cell r="A3259" t="str">
            <v>901214578</v>
          </cell>
          <cell r="B3259" t="str">
            <v>2</v>
          </cell>
          <cell r="C3259" t="str">
            <v>MONTEVERDE PARQUE RESIDENCIAL II ETAPA - PROPIEDAD HORIZONTAL</v>
          </cell>
          <cell r="D3259" t="str">
            <v>3162224953</v>
          </cell>
          <cell r="E3259" t="str">
            <v>monteverdeetp2@gmail.com</v>
          </cell>
          <cell r="F3259" t="str">
            <v>CR 3 9 220</v>
          </cell>
          <cell r="G3259">
            <v>11001</v>
          </cell>
        </row>
        <row r="3260">
          <cell r="A3260" t="str">
            <v>901218075</v>
          </cell>
          <cell r="B3260" t="str">
            <v>8</v>
          </cell>
          <cell r="C3260" t="str">
            <v>EDIFICIO BLINK</v>
          </cell>
          <cell r="D3260" t="str">
            <v>3912763</v>
          </cell>
          <cell r="E3260" t="str">
            <v>edificio.blink@gmail.com</v>
          </cell>
          <cell r="F3260" t="str">
            <v>CARRERA 64D 86-141</v>
          </cell>
          <cell r="G3260">
            <v>11001</v>
          </cell>
        </row>
        <row r="3261">
          <cell r="A3261" t="str">
            <v>901218433</v>
          </cell>
          <cell r="B3261" t="str">
            <v>1</v>
          </cell>
          <cell r="C3261" t="str">
            <v>"CONJUNTO RESIDENCIAL PASEO DEL PARQUE - PROPIEDAD HORIZONTAL"</v>
          </cell>
          <cell r="D3261" t="str">
            <v>3006207497</v>
          </cell>
          <cell r="E3261" t="str">
            <v>paseodelparqueph@hotmail.com</v>
          </cell>
          <cell r="F3261" t="str">
            <v>CL 2 B 81 A 460</v>
          </cell>
          <cell r="G3261">
            <v>11001</v>
          </cell>
        </row>
        <row r="3262">
          <cell r="A3262" t="str">
            <v>901218708</v>
          </cell>
          <cell r="B3262" t="str">
            <v>1</v>
          </cell>
          <cell r="C3262" t="str">
            <v>AQUA 104 S A S</v>
          </cell>
          <cell r="D3262" t="str">
            <v>3108034760</v>
          </cell>
          <cell r="E3262" t="str">
            <v>901218708@factureinbox.co</v>
          </cell>
          <cell r="F3262" t="str">
            <v>CR 18 A 104 77</v>
          </cell>
          <cell r="G3262">
            <v>11001</v>
          </cell>
        </row>
        <row r="3263">
          <cell r="A3263" t="str">
            <v>901218708</v>
          </cell>
          <cell r="B3263" t="str">
            <v>1</v>
          </cell>
          <cell r="C3263" t="str">
            <v>AQUA 104 S A S</v>
          </cell>
          <cell r="D3263" t="str">
            <v>3108034760</v>
          </cell>
          <cell r="E3263" t="str">
            <v>901218708@factureinbox.co</v>
          </cell>
          <cell r="F3263" t="str">
            <v>CR 18 A 104 77</v>
          </cell>
          <cell r="G3263">
            <v>11001</v>
          </cell>
        </row>
        <row r="3264">
          <cell r="A3264" t="str">
            <v>901218949</v>
          </cell>
          <cell r="B3264" t="str">
            <v>1</v>
          </cell>
          <cell r="C3264" t="str">
            <v>CONJUNTO RESIDENCIAL SURCOS DE PANGOLA</v>
          </cell>
          <cell r="D3264" t="str">
            <v>3002402315</v>
          </cell>
          <cell r="E3264" t="str">
            <v>surcospangola@gmail.com</v>
          </cell>
          <cell r="F3264" t="str">
            <v>CL 25  19 120</v>
          </cell>
          <cell r="G3264">
            <v>11001</v>
          </cell>
        </row>
        <row r="3265">
          <cell r="A3265" t="str">
            <v>901219596</v>
          </cell>
          <cell r="B3265" t="str">
            <v>8</v>
          </cell>
          <cell r="C3265" t="str">
            <v>CONSTRUDISEÑOS GPIEDRAHITA SAS</v>
          </cell>
          <cell r="D3265" t="str">
            <v>3 1 4 3 0 2 3 1 8 7</v>
          </cell>
          <cell r="E3265" t="str">
            <v>ybuitrago@cdp.com</v>
          </cell>
          <cell r="F3265" t="str">
            <v>CR 6 17 66 SUR</v>
          </cell>
          <cell r="G3265">
            <v>11001</v>
          </cell>
        </row>
        <row r="3266">
          <cell r="A3266" t="str">
            <v>901219729</v>
          </cell>
          <cell r="B3266" t="str">
            <v>0</v>
          </cell>
          <cell r="C3266" t="str">
            <v>EDIFICIO BARI - PH</v>
          </cell>
          <cell r="D3266" t="str">
            <v>3115718393</v>
          </cell>
          <cell r="E3266" t="str">
            <v>cmmr732009@hotmail.com</v>
          </cell>
          <cell r="F3266" t="str">
            <v>CR 18 121 26</v>
          </cell>
          <cell r="G3266">
            <v>11001</v>
          </cell>
        </row>
        <row r="3267">
          <cell r="A3267" t="str">
            <v>901220474</v>
          </cell>
          <cell r="B3267" t="str">
            <v>1</v>
          </cell>
          <cell r="C3267" t="str">
            <v>EDIFICIO CAPRI - PH</v>
          </cell>
          <cell r="D3267" t="str">
            <v>3143508891</v>
          </cell>
          <cell r="E3267" t="str">
            <v>admoncapri@outlook.com</v>
          </cell>
          <cell r="F3267" t="str">
            <v>CL 17 SUR 28 47</v>
          </cell>
          <cell r="G3267">
            <v>11001</v>
          </cell>
        </row>
        <row r="3268">
          <cell r="A3268" t="str">
            <v>901221471</v>
          </cell>
          <cell r="B3268" t="str">
            <v>2</v>
          </cell>
          <cell r="C3268" t="str">
            <v>CONJUNTO RESIDENCIAL MADEROS DEL CAMPO 1 P.H.</v>
          </cell>
          <cell r="D3268" t="str">
            <v>3664121</v>
          </cell>
          <cell r="E3268" t="str">
            <v>maderosdelcampo1ph@gmail.com</v>
          </cell>
          <cell r="F3268" t="str">
            <v>CLL 77 SUR 35 A 105</v>
          </cell>
          <cell r="G3268">
            <v>11001</v>
          </cell>
        </row>
        <row r="3269">
          <cell r="A3269" t="str">
            <v>901222941</v>
          </cell>
          <cell r="B3269" t="str">
            <v>7</v>
          </cell>
          <cell r="C3269" t="str">
            <v>EDIFICIO CHELSEA</v>
          </cell>
          <cell r="D3269" t="str">
            <v>3103676670</v>
          </cell>
          <cell r="E3269" t="str">
            <v>tesoreria@ndpropiedadhorizontal.com</v>
          </cell>
          <cell r="F3269" t="str">
            <v>CR 42 H 87 169</v>
          </cell>
          <cell r="G3269">
            <v>11001</v>
          </cell>
        </row>
        <row r="3270">
          <cell r="A3270" t="str">
            <v>901223706</v>
          </cell>
          <cell r="B3270" t="str">
            <v>7</v>
          </cell>
          <cell r="C3270" t="str">
            <v>EDIFICIO SALITRE+24 - PROPIEDAD HORIZONTAL</v>
          </cell>
          <cell r="D3270" t="str">
            <v>3002379955</v>
          </cell>
          <cell r="E3270" t="str">
            <v>gerenciasalitremas24@gmail.com</v>
          </cell>
          <cell r="F3270" t="str">
            <v>CL 24 A 60 49</v>
          </cell>
          <cell r="G3270">
            <v>11001</v>
          </cell>
        </row>
        <row r="3271">
          <cell r="A3271" t="str">
            <v>901223706</v>
          </cell>
          <cell r="B3271" t="str">
            <v>7</v>
          </cell>
          <cell r="C3271" t="str">
            <v>EDIFICIO SALITRE+24 - PROPIEDAD HORIZONTAL</v>
          </cell>
          <cell r="D3271" t="str">
            <v>3002379955</v>
          </cell>
          <cell r="E3271" t="str">
            <v>gerenciasalitremas24@gmail.com</v>
          </cell>
          <cell r="F3271" t="str">
            <v>CL 24 A 60 49</v>
          </cell>
          <cell r="G3271">
            <v>11001</v>
          </cell>
        </row>
        <row r="3272">
          <cell r="A3272" t="str">
            <v>901224589</v>
          </cell>
          <cell r="B3272" t="str">
            <v>6</v>
          </cell>
          <cell r="C3272" t="str">
            <v>CONJUNTO RESIDENCIAL K 106 RATTAN ETAPA I PROPIEDAD HORIZONTAL</v>
          </cell>
          <cell r="D3272" t="str">
            <v>3709280</v>
          </cell>
          <cell r="E3272" t="str">
            <v>crrattan2018@gmail.com</v>
          </cell>
          <cell r="F3272" t="str">
            <v>CR 106 44 67</v>
          </cell>
          <cell r="G3272">
            <v>11001</v>
          </cell>
        </row>
        <row r="3273">
          <cell r="A3273" t="str">
            <v>901225952</v>
          </cell>
          <cell r="B3273" t="str">
            <v>1</v>
          </cell>
          <cell r="C3273" t="str">
            <v>EDIFICIO OCEANA</v>
          </cell>
          <cell r="D3273" t="str">
            <v>3205211993</v>
          </cell>
          <cell r="E3273" t="str">
            <v>edificiooceana@gmail.com</v>
          </cell>
          <cell r="F3273" t="str">
            <v>CL 63 2 54</v>
          </cell>
          <cell r="G3273">
            <v>11001</v>
          </cell>
        </row>
        <row r="3274">
          <cell r="A3274" t="str">
            <v>901225960</v>
          </cell>
          <cell r="B3274" t="str">
            <v>0</v>
          </cell>
          <cell r="C3274" t="str">
            <v>EDIFICIO AQUA TOWER CONDOMINIO - PROPIEDAD HORIZONTAL</v>
          </cell>
          <cell r="D3274" t="str">
            <v>6577326</v>
          </cell>
          <cell r="E3274" t="str">
            <v>adm.aquatower@gmail.com</v>
          </cell>
          <cell r="F3274" t="str">
            <v>CR 41 40 131 BRR CABECERA DEL LLANO</v>
          </cell>
          <cell r="G3274">
            <v>11001</v>
          </cell>
        </row>
        <row r="3275">
          <cell r="A3275" t="str">
            <v>901226711</v>
          </cell>
          <cell r="B3275" t="str">
            <v>8</v>
          </cell>
          <cell r="C3275" t="str">
            <v>CONJUNTO RESIDENCIAL URBANIZACION EPIC P.H.</v>
          </cell>
          <cell r="D3275" t="str">
            <v>5783985</v>
          </cell>
          <cell r="E3275" t="str">
            <v>epic.ph@hotmail.com</v>
          </cell>
          <cell r="F3275" t="str">
            <v>CR 27 37 SUR 45</v>
          </cell>
          <cell r="G3275">
            <v>11001</v>
          </cell>
        </row>
        <row r="3276">
          <cell r="A3276" t="str">
            <v>901227650</v>
          </cell>
          <cell r="B3276" t="str">
            <v>1</v>
          </cell>
          <cell r="C3276" t="str">
            <v>SOLEVANTE ETAPA I PROPIEDAD HORIZONTAL</v>
          </cell>
          <cell r="D3276" t="str">
            <v>3165260806</v>
          </cell>
          <cell r="E3276" t="str">
            <v>solevanteadmon@gmail.com</v>
          </cell>
          <cell r="F3276" t="str">
            <v>CARRERA 3 17 OESTE-145</v>
          </cell>
          <cell r="G3276">
            <v>11001</v>
          </cell>
        </row>
        <row r="3277">
          <cell r="A3277" t="str">
            <v>901227926</v>
          </cell>
          <cell r="B3277" t="str">
            <v>9</v>
          </cell>
          <cell r="C3277" t="str">
            <v>EDIFICIO MIRADOR DEL CASTILLO - PH</v>
          </cell>
          <cell r="D3277" t="str">
            <v>3126704278</v>
          </cell>
          <cell r="E3277" t="str">
            <v>edf.miradordelcastillo@gmail.com</v>
          </cell>
          <cell r="F3277" t="str">
            <v>CL 29 18 B 18</v>
          </cell>
          <cell r="G3277">
            <v>11001</v>
          </cell>
        </row>
        <row r="3278">
          <cell r="A3278" t="str">
            <v>901229672</v>
          </cell>
          <cell r="B3278" t="str">
            <v>2</v>
          </cell>
          <cell r="C3278" t="str">
            <v>CIUDAD HAYUELOS SANTIAGO DE TUNJA</v>
          </cell>
          <cell r="D3278" t="str">
            <v>3017789561</v>
          </cell>
          <cell r="E3278" t="str">
            <v>ciudadhayuelossantiagodetunja@gmail.com</v>
          </cell>
          <cell r="F3278" t="str">
            <v>AV UNIVERSITARIA 58 B 291</v>
          </cell>
          <cell r="G3278">
            <v>11001</v>
          </cell>
        </row>
        <row r="3279">
          <cell r="A3279" t="str">
            <v>901230741</v>
          </cell>
          <cell r="B3279" t="str">
            <v>4</v>
          </cell>
          <cell r="C3279" t="str">
            <v xml:space="preserve">PROYECTOS CIVILES Y MECANICOS S.A.S	</v>
          </cell>
          <cell r="D3279" t="str">
            <v>3 0 0 2 6 0 5 0 43</v>
          </cell>
          <cell r="E3279" t="str">
            <v xml:space="preserve">procymsas@gmail.com	</v>
          </cell>
          <cell r="F3279" t="str">
            <v xml:space="preserve">CR 1 B 26 A 109 BRR BELLAVISTA ED ALMIRANTE AP 1501	</v>
          </cell>
          <cell r="G3279">
            <v>11001</v>
          </cell>
        </row>
        <row r="3280">
          <cell r="A3280" t="str">
            <v>901230870</v>
          </cell>
          <cell r="B3280" t="str">
            <v>6</v>
          </cell>
          <cell r="C3280" t="str">
            <v>EDIFICIO RIALTO CONDOMINIO - PH</v>
          </cell>
          <cell r="D3280" t="str">
            <v>3156540536</v>
          </cell>
          <cell r="E3280" t="str">
            <v>condominiorialto24@hotmail.com</v>
          </cell>
          <cell r="F3280" t="str">
            <v>CR 24 16 44 50 52</v>
          </cell>
          <cell r="G3280">
            <v>11001</v>
          </cell>
        </row>
        <row r="3281">
          <cell r="A3281" t="str">
            <v>901231316</v>
          </cell>
          <cell r="B3281" t="str">
            <v>1</v>
          </cell>
          <cell r="C3281" t="str">
            <v>INGEENIAR S.A.</v>
          </cell>
          <cell r="D3281" t="str">
            <v>3195577552</v>
          </cell>
          <cell r="E3281" t="str">
            <v>contador@ingeniarproyectos.com</v>
          </cell>
          <cell r="F3281" t="str">
            <v>CARRERA 21 N 14 20 BARRIO ALAMOS</v>
          </cell>
          <cell r="G3281">
            <v>11001</v>
          </cell>
        </row>
        <row r="3282">
          <cell r="A3282" t="str">
            <v>901234775</v>
          </cell>
          <cell r="B3282" t="str">
            <v>2</v>
          </cell>
          <cell r="C3282" t="str">
            <v>EDIFICIO VICENZA SAN CAYETANO PARQUE RESIDENCIAL - PROPIEDAD HORIZONTAL</v>
          </cell>
          <cell r="D3282" t="str">
            <v>6148971</v>
          </cell>
          <cell r="E3282" t="str">
            <v>sancayetanoparqueresidencial@gmail.com</v>
          </cell>
          <cell r="F3282" t="str">
            <v>CR 55 A 28 A 231</v>
          </cell>
          <cell r="G3282">
            <v>11001</v>
          </cell>
        </row>
        <row r="3283">
          <cell r="A3283" t="str">
            <v>901235459</v>
          </cell>
          <cell r="B3283" t="str">
            <v>4</v>
          </cell>
          <cell r="C3283" t="str">
            <v>CONJUNTO RESIDENCIAL ALONDRA</v>
          </cell>
          <cell r="D3283" t="str">
            <v>3003648823</v>
          </cell>
          <cell r="E3283" t="str">
            <v>alondraalamedadelrio@gmail.com</v>
          </cell>
          <cell r="F3283" t="str">
            <v>CL 112 42 93</v>
          </cell>
          <cell r="G3283">
            <v>11001</v>
          </cell>
        </row>
        <row r="3284">
          <cell r="A3284" t="str">
            <v>901235972</v>
          </cell>
          <cell r="B3284" t="str">
            <v>1</v>
          </cell>
          <cell r="C3284" t="str">
            <v>CONSORCIO PAN DE AZUCAR</v>
          </cell>
          <cell r="D3284" t="str">
            <v>6044446331</v>
          </cell>
          <cell r="E3284" t="str">
            <v>info@mogacon.com.co</v>
          </cell>
          <cell r="F3284" t="str">
            <v>CALLE 35 A SUR #47-45 OF 1</v>
          </cell>
          <cell r="G3284">
            <v>11001</v>
          </cell>
        </row>
        <row r="3285">
          <cell r="A3285" t="str">
            <v>901236007</v>
          </cell>
          <cell r="B3285" t="str">
            <v>3</v>
          </cell>
          <cell r="C3285" t="str">
            <v>EDIFICIO HOTEL URBAN SUITES - PH</v>
          </cell>
          <cell r="D3285" t="str">
            <v>4799950</v>
          </cell>
          <cell r="E3285" t="str">
            <v>contabilidadmed@travelers.com.co</v>
          </cell>
          <cell r="F3285" t="str">
            <v>CR 25 7 A 224 228</v>
          </cell>
          <cell r="G3285">
            <v>11001</v>
          </cell>
        </row>
        <row r="3286">
          <cell r="A3286" t="str">
            <v>901236127</v>
          </cell>
          <cell r="B3286" t="str">
            <v>9</v>
          </cell>
          <cell r="C3286" t="str">
            <v>EQUILIBRIUM ETAPA I - PH</v>
          </cell>
          <cell r="D3286" t="str">
            <v>3103524925</v>
          </cell>
          <cell r="E3286" t="str">
            <v>admonequilibrium@gmail.com</v>
          </cell>
          <cell r="F3286" t="str">
            <v>CL 32 8 A 15</v>
          </cell>
          <cell r="G3286">
            <v>11001</v>
          </cell>
        </row>
        <row r="3287">
          <cell r="A3287" t="str">
            <v>901236127</v>
          </cell>
          <cell r="B3287" t="str">
            <v>9</v>
          </cell>
          <cell r="C3287" t="str">
            <v>EQUILIBRIUM ETAPA I - PH</v>
          </cell>
          <cell r="D3287" t="str">
            <v>3103524925</v>
          </cell>
          <cell r="E3287" t="str">
            <v>admonequilibrium@gmail.com</v>
          </cell>
          <cell r="F3287" t="str">
            <v>CL 32 8 A 15</v>
          </cell>
          <cell r="G3287">
            <v>11001</v>
          </cell>
        </row>
        <row r="3288">
          <cell r="A3288" t="str">
            <v>901236614</v>
          </cell>
          <cell r="B3288" t="str">
            <v>4</v>
          </cell>
          <cell r="C3288" t="str">
            <v>EDIFICIO IMAGEN 127 - PROPIEDAD HORIZONTAL</v>
          </cell>
          <cell r="D3288" t="str">
            <v>3123065463</v>
          </cell>
          <cell r="E3288" t="str">
            <v>edificioimagen127@gmail.com</v>
          </cell>
          <cell r="F3288" t="str">
            <v>CL 127 BIS 19 25</v>
          </cell>
          <cell r="G3288">
            <v>11001</v>
          </cell>
        </row>
        <row r="3289">
          <cell r="A3289" t="str">
            <v>901236898</v>
          </cell>
          <cell r="B3289" t="str">
            <v>9</v>
          </cell>
          <cell r="C3289" t="str">
            <v>EDIFICIO ARRECIFE 106 - PROPIEDAD HORIZONTAL</v>
          </cell>
          <cell r="D3289">
            <v>3219664011</v>
          </cell>
          <cell r="E3289" t="str">
            <v>edificio.arrecife106@gmail.com</v>
          </cell>
          <cell r="F3289" t="str">
            <v>CARRERA 45 A 106A-20</v>
          </cell>
          <cell r="G3289">
            <v>11001</v>
          </cell>
        </row>
        <row r="3290">
          <cell r="A3290" t="str">
            <v>901236898</v>
          </cell>
          <cell r="B3290" t="str">
            <v>9</v>
          </cell>
          <cell r="C3290" t="str">
            <v>EDIFICIO ARRECIFE 106 - PROPIEDAD HORIZONTAL</v>
          </cell>
          <cell r="D3290">
            <v>3219664011</v>
          </cell>
          <cell r="E3290" t="str">
            <v>edificio.arrecife106@gmail.com</v>
          </cell>
          <cell r="F3290" t="str">
            <v>CARRERA 45 A 106A-20</v>
          </cell>
          <cell r="G3290">
            <v>11001</v>
          </cell>
        </row>
        <row r="3291">
          <cell r="A3291" t="str">
            <v>901237386</v>
          </cell>
          <cell r="B3291" t="str">
            <v>4</v>
          </cell>
          <cell r="C3291" t="str">
            <v>EDIFICIO STUDIO 56 - PH</v>
          </cell>
          <cell r="D3291" t="str">
            <v>3144759703</v>
          </cell>
          <cell r="E3291" t="str">
            <v>studio56chapinero@outlook.es</v>
          </cell>
          <cell r="F3291" t="str">
            <v>CR 14 56 27</v>
          </cell>
          <cell r="G3291">
            <v>11001</v>
          </cell>
        </row>
        <row r="3292">
          <cell r="A3292" t="str">
            <v>901238646</v>
          </cell>
          <cell r="B3292" t="str">
            <v>9</v>
          </cell>
          <cell r="C3292" t="str">
            <v>ALTOS DE VALPARAISO P.H.</v>
          </cell>
          <cell r="D3292" t="str">
            <v>3146204043</v>
          </cell>
          <cell r="E3292" t="str">
            <v>altosdevalparaisoapartamentos@gmail.com</v>
          </cell>
          <cell r="F3292" t="str">
            <v>CR 77 SUR 46 180</v>
          </cell>
          <cell r="G3292">
            <v>11001</v>
          </cell>
        </row>
        <row r="3293">
          <cell r="A3293" t="str">
            <v>901238921</v>
          </cell>
          <cell r="B3293" t="str">
            <v>1</v>
          </cell>
          <cell r="C3293" t="str">
            <v>" URBANIZACION SENDERO DE BOSQUE VERDE - PROPIEDAD HORIZONTAL "</v>
          </cell>
          <cell r="D3293">
            <v>3219664011</v>
          </cell>
          <cell r="E3293" t="str">
            <v>admonsenderobosqueverde@gmail.com</v>
          </cell>
          <cell r="F3293" t="str">
            <v>CL 47 A 6 A B 30</v>
          </cell>
          <cell r="G3293">
            <v>11001</v>
          </cell>
        </row>
        <row r="3294">
          <cell r="A3294" t="str">
            <v>901239171</v>
          </cell>
          <cell r="B3294" t="str">
            <v>7</v>
          </cell>
          <cell r="C3294" t="str">
            <v>CENTRO CORPORATIVO SERENA DEL MAR - EDIFICIO UNIVERSIDAD DE LOS ANDES</v>
          </cell>
          <cell r="D3294" t="str">
            <v>6517252</v>
          </cell>
          <cell r="E3294" t="str">
            <v>admccsdm@outlook.com</v>
          </cell>
          <cell r="F3294" t="str">
            <v>KM 8 ANILLO VIAL ZONA NORTE SERENA DEL MAR</v>
          </cell>
          <cell r="G3294">
            <v>11001</v>
          </cell>
        </row>
        <row r="3295">
          <cell r="A3295" t="str">
            <v>901242034</v>
          </cell>
          <cell r="B3295" t="str">
            <v>7</v>
          </cell>
          <cell r="C3295" t="str">
            <v>CONJUNTO RESIDENCIAL BOSQUE SAN ANGEL - PROPIEDAD HORIZONTAL</v>
          </cell>
          <cell r="D3295" t="str">
            <v>3148626821</v>
          </cell>
          <cell r="E3295" t="str">
            <v>pqrbsa@gmail.com</v>
          </cell>
          <cell r="F3295" t="str">
            <v>CR 6 SUR 72 80</v>
          </cell>
          <cell r="G3295">
            <v>11001</v>
          </cell>
        </row>
        <row r="3296">
          <cell r="A3296" t="str">
            <v>901244087</v>
          </cell>
          <cell r="B3296" t="str">
            <v>6</v>
          </cell>
          <cell r="C3296" t="str">
            <v>CONSTRUCTORA ALTOS DEL BOSQUE S.A.S</v>
          </cell>
          <cell r="D3296" t="str">
            <v>4486800</v>
          </cell>
          <cell r="E3296" t="str">
            <v>recepcionfacturas@altosdelaabadia.com</v>
          </cell>
          <cell r="F3296" t="str">
            <v>CL 17 A SUR 44 214</v>
          </cell>
          <cell r="G3296">
            <v>11001</v>
          </cell>
        </row>
        <row r="3297">
          <cell r="A3297" t="str">
            <v>901248753</v>
          </cell>
          <cell r="B3297" t="str">
            <v>1</v>
          </cell>
          <cell r="C3297" t="str">
            <v>CONJUNTO RESIDENCIAL BALUARTE P.H</v>
          </cell>
          <cell r="D3297" t="str">
            <v>3175168144</v>
          </cell>
          <cell r="E3297" t="str">
            <v>copropiedadbaluarte@gmail.com</v>
          </cell>
          <cell r="F3297" t="str">
            <v>cr 38 75 b sur 257</v>
          </cell>
          <cell r="G3297">
            <v>11001</v>
          </cell>
        </row>
        <row r="3298">
          <cell r="A3298" t="str">
            <v>901249443</v>
          </cell>
          <cell r="B3298" t="str">
            <v>8</v>
          </cell>
          <cell r="C3298" t="str">
            <v>CONDOMINIO TORRES DE SAN JOSE</v>
          </cell>
          <cell r="D3298" t="str">
            <v>3041301743</v>
          </cell>
          <cell r="E3298" t="str">
            <v>torresdesanjoseph199@gmail.com</v>
          </cell>
          <cell r="F3298" t="str">
            <v>CL 32 95 48</v>
          </cell>
          <cell r="G3298">
            <v>11001</v>
          </cell>
        </row>
        <row r="3299">
          <cell r="A3299" t="str">
            <v>901252926</v>
          </cell>
          <cell r="B3299" t="str">
            <v>4</v>
          </cell>
          <cell r="C3299" t="str">
            <v>EDIFICIO KD ESSENTIAL - PROPIEDAD HORIZONTAL</v>
          </cell>
          <cell r="D3299" t="str">
            <v>3295475</v>
          </cell>
          <cell r="E3299" t="str">
            <v>kdessential.admon@gmail.com</v>
          </cell>
          <cell r="F3299" t="str">
            <v>CR 20 134 38</v>
          </cell>
          <cell r="G3299">
            <v>11001</v>
          </cell>
        </row>
        <row r="3300">
          <cell r="A3300" t="str">
            <v>901256161</v>
          </cell>
          <cell r="B3300" t="str">
            <v>5</v>
          </cell>
          <cell r="C3300" t="str">
            <v>PROMOTORA BOULEVARD II S.A.S.</v>
          </cell>
          <cell r="D3300" t="str">
            <v>3226325358</v>
          </cell>
          <cell r="E3300" t="str">
            <v>qt+901256161@recepcion.qenta.app</v>
          </cell>
          <cell r="F3300" t="str">
            <v>BOCAGRANDE CRA 3 NO 9-30 EDIFICIO TORRE EMPRESARIAL PRODEGUI OF 1901</v>
          </cell>
          <cell r="G3300">
            <v>11001</v>
          </cell>
        </row>
        <row r="3301">
          <cell r="A3301" t="str">
            <v>901256357</v>
          </cell>
          <cell r="B3301" t="str">
            <v>1</v>
          </cell>
          <cell r="C3301" t="str">
            <v>CONJUNTO CERRADO LA QUINTA TORRES 1 Y 2 (PRIMERA ETAPA) - PROPIEDAD HORIZONTAL</v>
          </cell>
          <cell r="D3301" t="str">
            <v>3 1 2 2 9 3 9 3 2 3</v>
          </cell>
          <cell r="E3301" t="str">
            <v>laquintadelafrancia@gmail.com</v>
          </cell>
          <cell r="F3301" t="str">
            <v>CR 17 4 33</v>
          </cell>
          <cell r="G3301">
            <v>11001</v>
          </cell>
        </row>
        <row r="3302">
          <cell r="A3302" t="str">
            <v>901257534</v>
          </cell>
          <cell r="B3302" t="str">
            <v>3</v>
          </cell>
          <cell r="C3302" t="str">
            <v>EDIFICIO NOVO 90</v>
          </cell>
          <cell r="D3302" t="str">
            <v>3015335828</v>
          </cell>
          <cell r="E3302" t="str">
            <v>novo90admon@gmail.com</v>
          </cell>
          <cell r="F3302" t="str">
            <v>CRA 43 B 90 141</v>
          </cell>
          <cell r="G3302">
            <v>11001</v>
          </cell>
        </row>
        <row r="3303">
          <cell r="A3303" t="str">
            <v>901261147</v>
          </cell>
          <cell r="B3303" t="str">
            <v>1</v>
          </cell>
          <cell r="C3303" t="str">
            <v>URBANIZACION DEL CONJUNTO RESIDENCIAL AIRES DEL BOSQUE ETAPA 1 Y 2 PH</v>
          </cell>
          <cell r="D3303" t="str">
            <v>3054228995</v>
          </cell>
          <cell r="E3303" t="str">
            <v>Qvfacturas@gmail.com</v>
          </cell>
          <cell r="F3303" t="str">
            <v>CARRERA 32 77 SUR - 371</v>
          </cell>
          <cell r="G3303">
            <v>11001</v>
          </cell>
        </row>
        <row r="3304">
          <cell r="A3304" t="str">
            <v>901261568</v>
          </cell>
          <cell r="B3304" t="str">
            <v>9</v>
          </cell>
          <cell r="C3304" t="str">
            <v>EDIFICIO TRENDUM - PROPIEDAD HORIZONTAL</v>
          </cell>
          <cell r="D3304" t="str">
            <v>6089272</v>
          </cell>
          <cell r="E3304" t="str">
            <v>edificiotrendumph@gmail.com</v>
          </cell>
          <cell r="F3304" t="str">
            <v>CL 16 25 58 BRR SAN FRANCISCO</v>
          </cell>
          <cell r="G3304">
            <v>11001</v>
          </cell>
        </row>
        <row r="3305">
          <cell r="A3305" t="str">
            <v>901262594</v>
          </cell>
          <cell r="B3305" t="str">
            <v>5</v>
          </cell>
          <cell r="C3305" t="str">
            <v>TESORO LIVING CONSTRUCTORES S.A.S.</v>
          </cell>
          <cell r="D3305" t="str">
            <v>6044138457</v>
          </cell>
          <cell r="E3305" t="str">
            <v>aguilargomezaux@gmail.com</v>
          </cell>
          <cell r="F3305" t="str">
            <v xml:space="preserve"> Calle 3 Cra 29A 30</v>
          </cell>
          <cell r="G3305">
            <v>11001</v>
          </cell>
        </row>
        <row r="3306">
          <cell r="A3306" t="str">
            <v>901266292</v>
          </cell>
          <cell r="B3306" t="str">
            <v>4</v>
          </cell>
          <cell r="C3306" t="str">
            <v>AGRUPACION RESIDENCIAL LA FLORA ALSACIA RESERVADO - PROPIEDAD HORIZONTAL</v>
          </cell>
          <cell r="D3306" t="str">
            <v>3 0 1 5 1 7 7 6 7 2</v>
          </cell>
          <cell r="E3306" t="str">
            <v>laflora.reservado@gmail.com</v>
          </cell>
          <cell r="F3306" t="str">
            <v>AV CL 13 68 F 25</v>
          </cell>
          <cell r="G3306">
            <v>11001</v>
          </cell>
        </row>
        <row r="3307">
          <cell r="A3307" t="str">
            <v>901266292</v>
          </cell>
          <cell r="B3307" t="str">
            <v>4</v>
          </cell>
          <cell r="C3307" t="str">
            <v>AGRUPACION RESIDENCIAL LA FLORA ALSACIA RESERVADO - PROPIEDAD HORIZONTAL</v>
          </cell>
          <cell r="D3307" t="str">
            <v>3 0 1 5 1 7 7 6 7 2</v>
          </cell>
          <cell r="E3307" t="str">
            <v>laflora.reservado@gmail.com</v>
          </cell>
          <cell r="F3307" t="str">
            <v>AV CL 13 68 F 25</v>
          </cell>
          <cell r="G3307">
            <v>11001</v>
          </cell>
        </row>
        <row r="3308">
          <cell r="A3308" t="str">
            <v>901269699</v>
          </cell>
          <cell r="B3308" t="str">
            <v>1</v>
          </cell>
          <cell r="C3308" t="str">
            <v>BROWNSTONE CAPITAL S.A.S.</v>
          </cell>
          <cell r="D3308" t="str">
            <v>6 0 4 0 4 3 3</v>
          </cell>
          <cell r="E3308" t="str">
            <v>almacen@thebrown.com.co</v>
          </cell>
          <cell r="F3308" t="str">
            <v>CR 43 A 5 A 113 TO SUR P 14</v>
          </cell>
          <cell r="G3308">
            <v>11001</v>
          </cell>
        </row>
        <row r="3309">
          <cell r="A3309" t="str">
            <v>901270137</v>
          </cell>
          <cell r="B3309" t="str">
            <v>6</v>
          </cell>
          <cell r="C3309" t="str">
            <v>EDIFICIO TERRANOVA 181 - PROPIEDAD HORIZONTAL</v>
          </cell>
          <cell r="D3309" t="str">
            <v>3183876457</v>
          </cell>
          <cell r="E3309" t="str">
            <v>edificioterranova181@gmail.com</v>
          </cell>
          <cell r="F3309" t="str">
            <v>CR 8 D 181 25</v>
          </cell>
          <cell r="G3309">
            <v>11001</v>
          </cell>
        </row>
        <row r="3310">
          <cell r="A3310" t="str">
            <v>901271357</v>
          </cell>
          <cell r="B3310" t="str">
            <v>4</v>
          </cell>
          <cell r="C3310" t="str">
            <v>BOULEVAR 49- PROPIEDAD HORIZONTAL</v>
          </cell>
          <cell r="D3310" t="str">
            <v>3006192376</v>
          </cell>
          <cell r="E3310" t="str">
            <v>boulevard49ph@gmail.com</v>
          </cell>
          <cell r="F3310" t="str">
            <v>CL 49 38 43</v>
          </cell>
          <cell r="G3310">
            <v>11001</v>
          </cell>
        </row>
        <row r="3311">
          <cell r="A3311" t="str">
            <v>901271646</v>
          </cell>
          <cell r="B3311" t="str">
            <v>8</v>
          </cell>
          <cell r="C3311" t="str">
            <v>EDIFICIO TORRE MONCALIERI - PROPIEDAD HORIZONTAL</v>
          </cell>
          <cell r="D3311" t="str">
            <v>7043370</v>
          </cell>
          <cell r="E3311" t="str">
            <v>etmoncalieri@gmail.com</v>
          </cell>
          <cell r="F3311" t="str">
            <v>CRA 72 BIS 24 C 00</v>
          </cell>
          <cell r="G3311">
            <v>11001</v>
          </cell>
        </row>
        <row r="3312">
          <cell r="A3312" t="str">
            <v>901272632</v>
          </cell>
          <cell r="B3312" t="str">
            <v>1</v>
          </cell>
          <cell r="C3312" t="str">
            <v>CONJUNTO RESIDENCIAL IKONA 167 - PROPIEDAD HORIZONTAL</v>
          </cell>
          <cell r="D3312" t="str">
            <v>7291947</v>
          </cell>
          <cell r="E3312" t="str">
            <v>admon.ikona167@gmail.com</v>
          </cell>
          <cell r="F3312" t="str">
            <v>CARRERA 167B No. 8-53</v>
          </cell>
          <cell r="G3312">
            <v>11001</v>
          </cell>
        </row>
        <row r="3313">
          <cell r="A3313" t="str">
            <v>901272632</v>
          </cell>
          <cell r="B3313" t="str">
            <v>1</v>
          </cell>
          <cell r="C3313" t="str">
            <v>CONJUNTO RESIDENCIAL IKONA 167 - PROPIEDAD HORIZONTAL</v>
          </cell>
          <cell r="D3313" t="str">
            <v>7291947</v>
          </cell>
          <cell r="E3313" t="str">
            <v>admon.ikona167@gmail.com</v>
          </cell>
          <cell r="F3313" t="str">
            <v>CARRERA 167B No. 8-53</v>
          </cell>
          <cell r="G3313">
            <v>11001</v>
          </cell>
        </row>
        <row r="3314">
          <cell r="A3314" t="str">
            <v>901272655</v>
          </cell>
          <cell r="B3314" t="str">
            <v>9</v>
          </cell>
          <cell r="C3314" t="str">
            <v>SUHAUS S.A.S</v>
          </cell>
          <cell r="D3314" t="str">
            <v>3112621445</v>
          </cell>
          <cell r="E3314" t="str">
            <v>proyectosuhaus@gmail.com</v>
          </cell>
          <cell r="F3314" t="str">
            <v>CR 25 B 16 B SUR 51 CA 104</v>
          </cell>
          <cell r="G3314">
            <v>11001</v>
          </cell>
        </row>
        <row r="3315">
          <cell r="A3315" t="str">
            <v>901272990</v>
          </cell>
          <cell r="B3315" t="str">
            <v>1</v>
          </cell>
          <cell r="C3315" t="str">
            <v>CONJUNTO MULTIFAMILIAR LIFE 200- PROPIEDAD HORIZONTAL</v>
          </cell>
          <cell r="D3315" t="str">
            <v>3165308268</v>
          </cell>
          <cell r="E3315" t="str">
            <v>edificiolife200@hotmail.com</v>
          </cell>
          <cell r="F3315" t="str">
            <v>CL 200 25 18 URB BAVIERA I ETAPA</v>
          </cell>
          <cell r="G3315">
            <v>11001</v>
          </cell>
        </row>
        <row r="3316">
          <cell r="A3316" t="str">
            <v>901273213</v>
          </cell>
          <cell r="B3316" t="str">
            <v>1</v>
          </cell>
          <cell r="C3316" t="str">
            <v>CONJUNTO CERRADO ASTURIAS IMPERAL - PROPIEDAD HORIZONTAL</v>
          </cell>
          <cell r="D3316" t="str">
            <v>3012897163</v>
          </cell>
          <cell r="E3316" t="str">
            <v>asturiasimperial@gmail.com</v>
          </cell>
          <cell r="F3316" t="str">
            <v>AV 18 E 7N  75 CON ASTURIAS IMPERIAL</v>
          </cell>
          <cell r="G3316">
            <v>11001</v>
          </cell>
        </row>
        <row r="3317">
          <cell r="A3317" t="str">
            <v>901274593</v>
          </cell>
          <cell r="B3317" t="str">
            <v>1</v>
          </cell>
          <cell r="C3317" t="str">
            <v>TECNOMARF S.A.S</v>
          </cell>
          <cell r="D3317" t="str">
            <v>3118237838</v>
          </cell>
          <cell r="E3317" t="str">
            <v>fabiomarf2@gmail.com</v>
          </cell>
          <cell r="F3317" t="str">
            <v>BRR BOCAGRANDE CL 14 1 60</v>
          </cell>
          <cell r="G3317">
            <v>11001</v>
          </cell>
        </row>
        <row r="3318">
          <cell r="A3318" t="str">
            <v>901276066</v>
          </cell>
          <cell r="B3318" t="str">
            <v>9</v>
          </cell>
          <cell r="C3318" t="str">
            <v>CONJUNTO CERRADO METROPOLITAN CLUB RESIDENCIAL</v>
          </cell>
          <cell r="D3318" t="str">
            <v>3148957823</v>
          </cell>
          <cell r="E3318" t="str">
            <v>metropolitanclubresidencial1@gmail.com</v>
          </cell>
          <cell r="F3318" t="str">
            <v>CRA 21 35 68</v>
          </cell>
          <cell r="G3318">
            <v>11001</v>
          </cell>
        </row>
        <row r="3319">
          <cell r="A3319" t="str">
            <v>901276714</v>
          </cell>
          <cell r="B3319" t="str">
            <v>3</v>
          </cell>
          <cell r="C3319" t="str">
            <v>CONSTRUCCIONES E INFRAESTRUCTURA DEL SUR SAS</v>
          </cell>
          <cell r="D3319" t="str">
            <v>3045893716</v>
          </cell>
          <cell r="E3319" t="str">
            <v>facturaelectronica@cidelsur.com</v>
          </cell>
          <cell r="F3319" t="str">
            <v>CR 43 A 16 A SUR 38 OF 1106</v>
          </cell>
          <cell r="G3319">
            <v>11001</v>
          </cell>
        </row>
        <row r="3320">
          <cell r="A3320" t="str">
            <v>901276916</v>
          </cell>
          <cell r="B3320" t="str">
            <v>4</v>
          </cell>
          <cell r="C3320" t="str">
            <v>MANILA HOLDINGS SAS</v>
          </cell>
          <cell r="D3320" t="str">
            <v xml:space="preserve"> 314 890 26 50</v>
          </cell>
          <cell r="E3320" t="str">
            <v>valentina.elejalde@casacol.co</v>
          </cell>
          <cell r="F3320" t="str">
            <v>CARRERA 43 A 6 SUR 26 OF 212</v>
          </cell>
          <cell r="G3320">
            <v>11001</v>
          </cell>
        </row>
        <row r="3321">
          <cell r="A3321" t="str">
            <v>901279357</v>
          </cell>
          <cell r="B3321" t="str">
            <v>0</v>
          </cell>
          <cell r="C3321" t="str">
            <v>EDIFICIO PARQUE EL LAGO - PROPIEDAD HORIZONTAL</v>
          </cell>
          <cell r="D3321" t="str">
            <v>7968136</v>
          </cell>
          <cell r="E3321" t="str">
            <v>admonparqueellago@gmail.com</v>
          </cell>
          <cell r="F3321" t="str">
            <v>CL 63 C 35 A 06</v>
          </cell>
          <cell r="G3321">
            <v>11001</v>
          </cell>
        </row>
        <row r="3322">
          <cell r="A3322" t="str">
            <v>901279357</v>
          </cell>
          <cell r="B3322" t="str">
            <v>0</v>
          </cell>
          <cell r="C3322" t="str">
            <v>EDIFICIO PARQUE EL LAGO - PROPIEDAD HORIZONTAL</v>
          </cell>
          <cell r="D3322" t="str">
            <v>7968136</v>
          </cell>
          <cell r="E3322" t="str">
            <v>admonparqueellago@gmail.com</v>
          </cell>
          <cell r="F3322" t="str">
            <v>CL 63 C 35 A 06</v>
          </cell>
          <cell r="G3322">
            <v>11001</v>
          </cell>
        </row>
        <row r="3323">
          <cell r="A3323" t="str">
            <v>901280790</v>
          </cell>
          <cell r="B3323" t="str">
            <v>9</v>
          </cell>
          <cell r="C3323" t="str">
            <v>EDIFICIO CORINTO PROPIEDAD HORIZONTAL</v>
          </cell>
          <cell r="D3323" t="str">
            <v>3183877313</v>
          </cell>
          <cell r="E3323" t="str">
            <v>edificiocorintoph@gmail.com</v>
          </cell>
          <cell r="F3323" t="str">
            <v>CALLE 103A 23-32</v>
          </cell>
          <cell r="G3323">
            <v>11001</v>
          </cell>
        </row>
        <row r="3324">
          <cell r="A3324" t="str">
            <v>901281731</v>
          </cell>
          <cell r="B3324" t="str">
            <v>9</v>
          </cell>
          <cell r="C3324" t="str">
            <v>EDIFICIO BOSQUES DE PINOS - PROPIEDAD HORIZONTAL</v>
          </cell>
          <cell r="D3324" t="str">
            <v>3214327894</v>
          </cell>
          <cell r="E3324" t="str">
            <v>edificiobosquesdepinosph@gmail.com</v>
          </cell>
          <cell r="F3324" t="str">
            <v>CL 151 A 4  63</v>
          </cell>
          <cell r="G3324">
            <v>11001</v>
          </cell>
        </row>
        <row r="3325">
          <cell r="A3325" t="str">
            <v>901282920</v>
          </cell>
          <cell r="B3325" t="str">
            <v>9</v>
          </cell>
          <cell r="C3325" t="str">
            <v>URBNIZACION ROTERDAM P.H</v>
          </cell>
          <cell r="D3325" t="str">
            <v>3113125800</v>
          </cell>
          <cell r="E3325" t="str">
            <v>roterdamph@gmail.com</v>
          </cell>
          <cell r="F3325" t="str">
            <v>AV 26 52-140 SECTOR NAVARRA</v>
          </cell>
          <cell r="G3325">
            <v>11001</v>
          </cell>
        </row>
        <row r="3326">
          <cell r="A3326" t="str">
            <v>901284484</v>
          </cell>
          <cell r="B3326" t="str">
            <v>8</v>
          </cell>
          <cell r="C3326" t="str">
            <v>CONJUNTO RESIDENCIAL CASA MATALLANA - PROPIEDAD HORIZONTAL</v>
          </cell>
          <cell r="D3326" t="str">
            <v>6439030</v>
          </cell>
          <cell r="E3326" t="str">
            <v>recepcionfe@playitalasierra.com.co</v>
          </cell>
          <cell r="F3326" t="str">
            <v>TV 1 113 81</v>
          </cell>
          <cell r="G3326">
            <v>11001</v>
          </cell>
        </row>
        <row r="3327">
          <cell r="A3327" t="str">
            <v>901285655</v>
          </cell>
          <cell r="B3327" t="str">
            <v>5</v>
          </cell>
          <cell r="C3327" t="str">
            <v>CONJUNTO CERRADO MULTIFAMILIAR MORATTO PROPIEDAD HORIZONTAL</v>
          </cell>
          <cell r="D3327" t="str">
            <v>3012531121</v>
          </cell>
          <cell r="E3327" t="str">
            <v>morattoliving@gmail.com</v>
          </cell>
          <cell r="F3327" t="str">
            <v>AV ALBERTO MENDOZA 77 40 ED MORATTOLIVING AP 1401</v>
          </cell>
          <cell r="G3327">
            <v>11001</v>
          </cell>
        </row>
        <row r="3328">
          <cell r="A3328" t="str">
            <v>901286412</v>
          </cell>
          <cell r="B3328" t="str">
            <v>7</v>
          </cell>
          <cell r="C3328" t="str">
            <v>ECOPLANET SOLUCIONES AR S.A.S</v>
          </cell>
          <cell r="D3328" t="str">
            <v>3 1 8 3 9 1 0 5 5 4</v>
          </cell>
          <cell r="E3328" t="str">
            <v>facturacion@estiloingenieria.com</v>
          </cell>
          <cell r="F3328" t="str">
            <v>CL 63 C 113 24</v>
          </cell>
          <cell r="G3328">
            <v>11001</v>
          </cell>
        </row>
        <row r="3329">
          <cell r="A3329" t="str">
            <v>901287265</v>
          </cell>
          <cell r="B3329" t="str">
            <v>5</v>
          </cell>
          <cell r="C3329" t="str">
            <v>EDIFICIO PALMETTO PARK 123 - PROPIEDAD HORIZONTAL</v>
          </cell>
          <cell r="D3329" t="str">
            <v>3214932172</v>
          </cell>
          <cell r="E3329" t="str">
            <v>admonpalmettopark123@gmail.com</v>
          </cell>
          <cell r="F3329" t="str">
            <v>CR7 B BIS 123 55</v>
          </cell>
          <cell r="G3329">
            <v>11001</v>
          </cell>
        </row>
        <row r="3330">
          <cell r="A3330" t="str">
            <v>901287603</v>
          </cell>
          <cell r="B3330" t="str">
            <v>1</v>
          </cell>
          <cell r="C3330" t="str">
            <v>EDIFICIO MIXTO LA FLORA 58-6 - PROPIEDAD HORIZONTAL</v>
          </cell>
          <cell r="D3330" t="str">
            <v>3014606640</v>
          </cell>
          <cell r="E3330" t="str">
            <v>laflora586admon@gmail.com</v>
          </cell>
          <cell r="F3330" t="str">
            <v>CL 58 NORTE 5 B 98</v>
          </cell>
          <cell r="G3330">
            <v>11001</v>
          </cell>
        </row>
        <row r="3331">
          <cell r="A3331" t="str">
            <v>901288067</v>
          </cell>
          <cell r="B3331" t="str">
            <v>8</v>
          </cell>
          <cell r="C3331" t="str">
            <v>CONJUNTO CERRADO CARBONERO PARQUE RESIDENCIAL</v>
          </cell>
          <cell r="D3331">
            <v>3219664011</v>
          </cell>
          <cell r="E3331" t="str">
            <v>parquecarbonero@gmail.com</v>
          </cell>
          <cell r="F3331" t="str">
            <v>CALLE 14 19-93</v>
          </cell>
          <cell r="G3331">
            <v>11001</v>
          </cell>
        </row>
        <row r="3332">
          <cell r="A3332" t="str">
            <v>901293085</v>
          </cell>
          <cell r="B3332" t="str">
            <v>0</v>
          </cell>
          <cell r="C3332" t="str">
            <v>CONJUNTO RESIDENCIAL PRADOS DE MIRAFLORES - PROPIEDAD HORIZONTAL</v>
          </cell>
          <cell r="D3332" t="str">
            <v>3 1 6 3 4 1 8 1 8 2</v>
          </cell>
          <cell r="E3332" t="str">
            <v>crpradosdemiraflores@gmail.com</v>
          </cell>
          <cell r="F3332" t="str">
            <v>CL 17 1 W 50</v>
          </cell>
          <cell r="G3332">
            <v>11001</v>
          </cell>
        </row>
        <row r="3333">
          <cell r="A3333" t="str">
            <v>901296806</v>
          </cell>
          <cell r="B3333" t="str">
            <v>8</v>
          </cell>
          <cell r="C3333" t="str">
            <v>UNIVERSA OPERACIONES SAS</v>
          </cell>
          <cell r="D3333" t="str">
            <v>2668655</v>
          </cell>
          <cell r="E3333" t="str">
            <v>recepcionfacturas@universa.com.co</v>
          </cell>
          <cell r="F3333" t="str">
            <v>CL 10 32 115 OF 400</v>
          </cell>
          <cell r="G3333">
            <v>11001</v>
          </cell>
        </row>
        <row r="3334">
          <cell r="A3334" t="str">
            <v>901296806</v>
          </cell>
          <cell r="B3334" t="str">
            <v>8</v>
          </cell>
          <cell r="C3334" t="str">
            <v>UNIVERSA OPERACIONES SAS</v>
          </cell>
          <cell r="D3334" t="str">
            <v>2668655</v>
          </cell>
          <cell r="E3334" t="str">
            <v>recepcionfacturas@universa.com.co</v>
          </cell>
          <cell r="F3334" t="str">
            <v>CL 10 32 115 OF 400</v>
          </cell>
          <cell r="G3334">
            <v>11001</v>
          </cell>
        </row>
        <row r="3335">
          <cell r="A3335" t="str">
            <v>901296885</v>
          </cell>
          <cell r="B3335" t="str">
            <v>1</v>
          </cell>
          <cell r="C3335" t="str">
            <v>CONJUNTO RESIDENCIAL ATALAIA PROPIEDAD HORIZONTAL</v>
          </cell>
          <cell r="D3335" t="str">
            <v>3906951</v>
          </cell>
          <cell r="E3335" t="str">
            <v>admonatalaiauno@gmail.com</v>
          </cell>
          <cell r="F3335" t="str">
            <v>CL 59 C SUR 88 H 15</v>
          </cell>
          <cell r="G3335">
            <v>11001</v>
          </cell>
        </row>
        <row r="3336">
          <cell r="A3336" t="str">
            <v>901297953</v>
          </cell>
          <cell r="B3336" t="str">
            <v>7</v>
          </cell>
          <cell r="C3336" t="str">
            <v>PUNTOS ESTILO SAS</v>
          </cell>
          <cell r="D3336">
            <v>3219664011</v>
          </cell>
          <cell r="E3336" t="str">
            <v>johanna.r@puntosestilo.com</v>
          </cell>
          <cell r="F3336" t="str">
            <v>CL 73 7 06 OF 202</v>
          </cell>
          <cell r="G3336">
            <v>11001</v>
          </cell>
        </row>
        <row r="3337">
          <cell r="A3337" t="str">
            <v>901302217</v>
          </cell>
          <cell r="B3337" t="str">
            <v>6</v>
          </cell>
          <cell r="C3337" t="str">
            <v>EDIFICIO NOMO PASADENA - PROPIEDAD HORIZONTAL</v>
          </cell>
          <cell r="D3337" t="str">
            <v>3208362034</v>
          </cell>
          <cell r="E3337" t="str">
            <v>viapasadena@gmail.com</v>
          </cell>
          <cell r="F3337" t="str">
            <v>CARRERA 50 102 A-31</v>
          </cell>
          <cell r="G3337">
            <v>11001</v>
          </cell>
        </row>
        <row r="3338">
          <cell r="A3338" t="str">
            <v>901302390</v>
          </cell>
          <cell r="B3338" t="str">
            <v>2</v>
          </cell>
          <cell r="C3338" t="str">
            <v>CONJUNTO CERRADO BRISAS - PROPIEDAD HORIZONTAL</v>
          </cell>
          <cell r="D3338" t="str">
            <v>3204508517</v>
          </cell>
          <cell r="E3338" t="str">
            <v>brisasconjuntocerrado@gmail.com</v>
          </cell>
          <cell r="F3338" t="str">
            <v>AVENIDA 8 11 150 URB PARQUE RESIDENCIAL BONAVENTO</v>
          </cell>
          <cell r="G3338">
            <v>11001</v>
          </cell>
        </row>
        <row r="3339">
          <cell r="A3339" t="str">
            <v>901303721</v>
          </cell>
          <cell r="B3339" t="str">
            <v>1</v>
          </cell>
          <cell r="C3339" t="str">
            <v>CONJUNTO RESIDENCIAL GRAN RESERVA DE VALDIVIA-PROPIEDAD HORIZONTAL</v>
          </cell>
          <cell r="D3339" t="str">
            <v>3108541908</v>
          </cell>
          <cell r="E3339" t="str">
            <v>cr.reservadevaldiviaph@hotmail.com</v>
          </cell>
          <cell r="F3339" t="str">
            <v>CR 70 25 49</v>
          </cell>
          <cell r="G3339">
            <v>11001</v>
          </cell>
        </row>
        <row r="3340">
          <cell r="A3340" t="str">
            <v>901305891</v>
          </cell>
          <cell r="B3340" t="str">
            <v>4</v>
          </cell>
          <cell r="C3340" t="str">
            <v>EDIFICIO NATURA OCEANIC - PROPIEDAD HORIZONTAL</v>
          </cell>
          <cell r="D3340" t="str">
            <v>3007663530</v>
          </cell>
          <cell r="E3340" t="str">
            <v>naturaoceanic@gmail.com</v>
          </cell>
          <cell r="F3340" t="str">
            <v>CR 1 17 113 SEC RODADERO</v>
          </cell>
          <cell r="G3340">
            <v>11001</v>
          </cell>
        </row>
        <row r="3341">
          <cell r="A3341" t="str">
            <v>901307871</v>
          </cell>
          <cell r="B3341" t="str">
            <v>6</v>
          </cell>
          <cell r="C3341" t="str">
            <v>PROMOTORA BARLOVENTO DEL MAR S.A.S</v>
          </cell>
          <cell r="D3341" t="str">
            <v>3104782842</v>
          </cell>
          <cell r="E3341" t="str">
            <v>recepcion@aed.com.co</v>
          </cell>
          <cell r="F3341" t="str">
            <v>ZONA NORTE ANILLO VIAL KM 12 655</v>
          </cell>
          <cell r="G3341">
            <v>11001</v>
          </cell>
        </row>
        <row r="3342">
          <cell r="A3342" t="str">
            <v>901311131</v>
          </cell>
          <cell r="B3342" t="str">
            <v>1</v>
          </cell>
          <cell r="C3342" t="str">
            <v>EDIFICIO TORRE VIVA 26</v>
          </cell>
          <cell r="D3342" t="str">
            <v>6396000</v>
          </cell>
          <cell r="E3342" t="str">
            <v>admontorreviva26@gmail.com</v>
          </cell>
          <cell r="F3342" t="str">
            <v>CARRERA 82 25G 84</v>
          </cell>
          <cell r="G3342">
            <v>11001</v>
          </cell>
        </row>
        <row r="3343">
          <cell r="A3343" t="str">
            <v>901311136</v>
          </cell>
          <cell r="B3343" t="str">
            <v>6</v>
          </cell>
          <cell r="C3343" t="str">
            <v>CONJUNTO BRISAS DE GRANADA II</v>
          </cell>
          <cell r="D3343" t="str">
            <v>3128971879</v>
          </cell>
          <cell r="E3343" t="str">
            <v>brisasdegranada2@gmail.com</v>
          </cell>
          <cell r="F3343" t="str">
            <v>CALLE 79 116B 23</v>
          </cell>
          <cell r="G3343">
            <v>11001</v>
          </cell>
        </row>
        <row r="3344">
          <cell r="A3344" t="str">
            <v>901311136</v>
          </cell>
          <cell r="B3344" t="str">
            <v>6</v>
          </cell>
          <cell r="C3344" t="str">
            <v>CONJUNTO BRISAS DE GRANADA II</v>
          </cell>
          <cell r="D3344" t="str">
            <v>3128971879</v>
          </cell>
          <cell r="E3344" t="str">
            <v>brisasdegranada2@gmail.com</v>
          </cell>
          <cell r="F3344" t="str">
            <v>CALLE 79 116B 23</v>
          </cell>
          <cell r="G3344">
            <v>11001</v>
          </cell>
        </row>
        <row r="3345">
          <cell r="A3345" t="str">
            <v>901315681</v>
          </cell>
          <cell r="B3345" t="str">
            <v>7</v>
          </cell>
          <cell r="C3345" t="str">
            <v>GERENCIANDO ESPACIOS SAS</v>
          </cell>
          <cell r="D3345" t="str">
            <v>3153281460</v>
          </cell>
          <cell r="E3345" t="str">
            <v>facturaciongerenciandoespacios@gmail.com</v>
          </cell>
          <cell r="F3345" t="str">
            <v>CALLE 84 24-30</v>
          </cell>
          <cell r="G3345">
            <v>11001</v>
          </cell>
        </row>
        <row r="3346">
          <cell r="A3346" t="str">
            <v>901317313</v>
          </cell>
          <cell r="B3346" t="str">
            <v>0</v>
          </cell>
          <cell r="C3346" t="str">
            <v>EDIFICIO FENICIA PROPIEDAD HORIZONTAL</v>
          </cell>
          <cell r="D3346" t="str">
            <v>3103128284</v>
          </cell>
          <cell r="E3346" t="str">
            <v>edificiofenicia2019@gmail.com</v>
          </cell>
          <cell r="F3346" t="str">
            <v>CARRERA 51 102 A-64</v>
          </cell>
          <cell r="G3346">
            <v>11001</v>
          </cell>
        </row>
        <row r="3347">
          <cell r="A3347" t="str">
            <v>901319154</v>
          </cell>
          <cell r="B3347" t="str">
            <v>5</v>
          </cell>
          <cell r="C3347" t="str">
            <v>ADMICENTROS S.A.S.</v>
          </cell>
          <cell r="D3347" t="str">
            <v>7430000</v>
          </cell>
          <cell r="E3347" t="str">
            <v>gcaceres@eledencc.com</v>
          </cell>
          <cell r="F3347" t="str">
            <v>AK 72 12 B 48</v>
          </cell>
          <cell r="G3347">
            <v>11001</v>
          </cell>
        </row>
        <row r="3348">
          <cell r="A3348" t="str">
            <v>901319154</v>
          </cell>
          <cell r="B3348" t="str">
            <v>5</v>
          </cell>
          <cell r="C3348" t="str">
            <v>ADMICENTROS S.A.S.</v>
          </cell>
          <cell r="D3348" t="str">
            <v>7430000</v>
          </cell>
          <cell r="E3348" t="str">
            <v>gcaceres@eledencc.com</v>
          </cell>
          <cell r="F3348" t="str">
            <v>AK 72 12 B 48</v>
          </cell>
          <cell r="G3348">
            <v>11001</v>
          </cell>
        </row>
        <row r="3349">
          <cell r="A3349" t="str">
            <v>901320181</v>
          </cell>
          <cell r="B3349" t="str">
            <v>6</v>
          </cell>
          <cell r="C3349" t="str">
            <v>NEW PORT PROPIEDAD HORIZONTAL</v>
          </cell>
          <cell r="D3349" t="str">
            <v>3016134702</v>
          </cell>
          <cell r="E3349" t="str">
            <v>conjuntonewport1@gmail.com</v>
          </cell>
          <cell r="F3349" t="str">
            <v>BELLA VISTA CRA 57 9 29</v>
          </cell>
          <cell r="G3349">
            <v>11001</v>
          </cell>
        </row>
        <row r="3350">
          <cell r="A3350" t="str">
            <v>901325390</v>
          </cell>
          <cell r="B3350" t="str">
            <v>1</v>
          </cell>
          <cell r="C3350" t="str">
            <v>CONJUNTO CERRADO PORTAL DE MOLINOS 3 - PROPIEDAD HORIZONTAL</v>
          </cell>
          <cell r="D3350" t="str">
            <v>2104926</v>
          </cell>
          <cell r="E3350" t="str">
            <v>contabilidadmolinos3@gmail.com</v>
          </cell>
          <cell r="F3350" t="str">
            <v>CALLE 49A BIS 10D-20</v>
          </cell>
          <cell r="G3350">
            <v>11001</v>
          </cell>
        </row>
        <row r="3351">
          <cell r="A3351" t="str">
            <v>901326260</v>
          </cell>
          <cell r="B3351" t="str">
            <v>7</v>
          </cell>
          <cell r="C3351" t="str">
            <v>KOBLENZ-PROPIEDAD HORIZONTAL</v>
          </cell>
          <cell r="D3351" t="str">
            <v>3206447388</v>
          </cell>
          <cell r="E3351" t="str">
            <v>edificiokoblenz@gmail.com</v>
          </cell>
          <cell r="F3351" t="str">
            <v>TRANSVERSAL 39A 70A-31</v>
          </cell>
          <cell r="G3351">
            <v>11001</v>
          </cell>
        </row>
        <row r="3352">
          <cell r="A3352" t="str">
            <v>901329048</v>
          </cell>
          <cell r="B3352" t="str">
            <v>5</v>
          </cell>
          <cell r="C3352" t="str">
            <v>TIKKAL ETAPA 1 - PROPIEDAD HORIZONTAL</v>
          </cell>
          <cell r="D3352" t="str">
            <v>3165260806</v>
          </cell>
          <cell r="E3352" t="str">
            <v>admontikkal@gmail.com</v>
          </cell>
          <cell r="F3352" t="str">
            <v>CL 16 A 121 BRR PANCE</v>
          </cell>
          <cell r="G3352">
            <v>11001</v>
          </cell>
        </row>
        <row r="3353">
          <cell r="A3353" t="str">
            <v>901329117</v>
          </cell>
          <cell r="B3353" t="str">
            <v>5</v>
          </cell>
          <cell r="C3353" t="str">
            <v>IVORY CONSTRUCCIONES S.A.S.</v>
          </cell>
          <cell r="D3353" t="str">
            <v>3128905408</v>
          </cell>
          <cell r="E3353" t="str">
            <v>IVORYFACTURACION@GMAIL.COM</v>
          </cell>
          <cell r="F3353" t="str">
            <v>CR 16 BIS 8 42</v>
          </cell>
          <cell r="G3353">
            <v>11001</v>
          </cell>
        </row>
        <row r="3354">
          <cell r="A3354" t="str">
            <v>901331332</v>
          </cell>
          <cell r="B3354" t="str">
            <v>9</v>
          </cell>
          <cell r="C3354" t="str">
            <v>EDIFICIO SAN PEDRO 113</v>
          </cell>
          <cell r="D3354" t="str">
            <v>3118854632</v>
          </cell>
          <cell r="E3354" t="str">
            <v>edificiosanpedro113@hotmail.com</v>
          </cell>
          <cell r="F3354" t="str">
            <v>CARRERA 13 113-21</v>
          </cell>
          <cell r="G3354">
            <v>11001</v>
          </cell>
        </row>
        <row r="3355">
          <cell r="A3355" t="str">
            <v>901331844</v>
          </cell>
          <cell r="B3355" t="str">
            <v>8</v>
          </cell>
          <cell r="C3355" t="str">
            <v>IKSO SAS</v>
          </cell>
          <cell r="D3355" t="str">
            <v>6017420404</v>
          </cell>
          <cell r="E3355" t="str">
            <v>dte_9013318448@dte.paperless.com.co</v>
          </cell>
          <cell r="F3355" t="str">
            <v>Calle 99 No. 11A-32</v>
          </cell>
          <cell r="G3355">
            <v>11001</v>
          </cell>
        </row>
        <row r="3356">
          <cell r="A3356" t="str">
            <v>901332923</v>
          </cell>
          <cell r="B3356" t="str">
            <v>6</v>
          </cell>
          <cell r="C3356" t="str">
            <v>EDIFICIO ALICANTE PH - PROPIEDAD HORIZONTAL</v>
          </cell>
          <cell r="D3356" t="str">
            <v>3208362034</v>
          </cell>
          <cell r="E3356" t="str">
            <v>alicanteph2019@gmail.com</v>
          </cell>
          <cell r="F3356" t="str">
            <v>CARRERA 50 102 A-34</v>
          </cell>
          <cell r="G3356">
            <v>11001</v>
          </cell>
        </row>
        <row r="3357">
          <cell r="A3357" t="str">
            <v>901333013</v>
          </cell>
          <cell r="B3357" t="str">
            <v>3</v>
          </cell>
          <cell r="C3357" t="str">
            <v>COHOUSING S.A.S.</v>
          </cell>
          <cell r="D3357" t="str">
            <v>3 0 0 4 0 2 8 4 8 8</v>
          </cell>
          <cell r="E3357" t="str">
            <v>cohousing.col@gmail.com</v>
          </cell>
          <cell r="F3357" t="str">
            <v>CR 38 19 SUR 38</v>
          </cell>
          <cell r="G3357">
            <v>11001</v>
          </cell>
        </row>
        <row r="3358">
          <cell r="A3358" t="str">
            <v>901334383</v>
          </cell>
          <cell r="B3358" t="str">
            <v>8</v>
          </cell>
          <cell r="C3358" t="str">
            <v>CONJUNTO RESIDENCIAL SALAMANCA PROPIEDAD HORIZONTAL</v>
          </cell>
          <cell r="D3358" t="str">
            <v>3213136733</v>
          </cell>
          <cell r="E3358" t="str">
            <v>contable4@riapaasociados.com</v>
          </cell>
          <cell r="F3358" t="str">
            <v>CLL 63 BIS 28A 52</v>
          </cell>
          <cell r="G3358">
            <v>11001</v>
          </cell>
        </row>
        <row r="3359">
          <cell r="A3359" t="str">
            <v>901334489</v>
          </cell>
          <cell r="B3359" t="str">
            <v>1</v>
          </cell>
          <cell r="C3359" t="str">
            <v>SPOT CENTRO SAS</v>
          </cell>
          <cell r="D3359" t="str">
            <v>3 2 2 9 4 2 1</v>
          </cell>
          <cell r="E3359" t="str">
            <v>facturae-centro@thespotforliving.com</v>
          </cell>
          <cell r="F3359" t="str">
            <v>CL 21 5 31</v>
          </cell>
          <cell r="G3359">
            <v>11001</v>
          </cell>
        </row>
        <row r="3360">
          <cell r="A3360" t="str">
            <v>901335136</v>
          </cell>
          <cell r="B3360" t="str">
            <v>1</v>
          </cell>
          <cell r="C3360" t="str">
            <v>EDIFICIO NICOLAS 50/59-PROPIEDAD HORIZONTAL</v>
          </cell>
          <cell r="D3360" t="str">
            <v>3114623128</v>
          </cell>
          <cell r="E3360" t="str">
            <v>edfsannicolas5059@gmail.com</v>
          </cell>
          <cell r="F3360" t="str">
            <v>CALLE 59 N° 47-46 LT 9 MZ V</v>
          </cell>
          <cell r="G3360">
            <v>11001</v>
          </cell>
        </row>
        <row r="3361">
          <cell r="A3361" t="str">
            <v>901335234</v>
          </cell>
          <cell r="B3361" t="str">
            <v>3</v>
          </cell>
          <cell r="C3361" t="str">
            <v>TERRAH S.A.S</v>
          </cell>
          <cell r="D3361" t="str">
            <v>3118500</v>
          </cell>
          <cell r="E3361" t="str">
            <v>facturacion@bienesybienes.com.co</v>
          </cell>
          <cell r="F3361" t="str">
            <v>CALLE 8 NO. 43 A 48</v>
          </cell>
          <cell r="G3361">
            <v>11001</v>
          </cell>
        </row>
        <row r="3362">
          <cell r="A3362" t="str">
            <v>901336069</v>
          </cell>
          <cell r="B3362" t="str">
            <v>9</v>
          </cell>
          <cell r="C3362" t="str">
            <v>EDIFICIO SAN PATRIZIO - PROPIEDAD HORIZONTAL</v>
          </cell>
          <cell r="D3362" t="str">
            <v>3102953890</v>
          </cell>
          <cell r="E3362" t="str">
            <v>sanpatrizio.admon@gmail.com</v>
          </cell>
          <cell r="F3362" t="str">
            <v>CALLE 112 16 69</v>
          </cell>
          <cell r="G3362">
            <v>11001</v>
          </cell>
        </row>
        <row r="3363">
          <cell r="A3363" t="str">
            <v>901338815</v>
          </cell>
          <cell r="B3363" t="str">
            <v>6</v>
          </cell>
          <cell r="C3363" t="str">
            <v>EDIFICIO CEIBA REAL</v>
          </cell>
          <cell r="D3363" t="str">
            <v>3125633151</v>
          </cell>
          <cell r="E3363" t="str">
            <v>edificioceibarealph@gmail.com</v>
          </cell>
          <cell r="F3363" t="str">
            <v>CALLE 2A 1E-67</v>
          </cell>
          <cell r="G3363">
            <v>11001</v>
          </cell>
        </row>
        <row r="3364">
          <cell r="A3364" t="str">
            <v>901342238</v>
          </cell>
          <cell r="B3364" t="str">
            <v>1</v>
          </cell>
          <cell r="C3364" t="str">
            <v>UNION TEMPORAL HOSPIZULIA CFC</v>
          </cell>
          <cell r="D3364" t="str">
            <v>5729321</v>
          </cell>
          <cell r="E3364" t="str">
            <v>consorcioconstructoracucuta@gmail.com</v>
          </cell>
          <cell r="F3364" t="str">
            <v>CL 10 5 50 ED AGROBANCARIO OF 27</v>
          </cell>
          <cell r="G3364">
            <v>11001</v>
          </cell>
        </row>
        <row r="3365">
          <cell r="A3365" t="str">
            <v>901342845</v>
          </cell>
          <cell r="B3365" t="str">
            <v>2</v>
          </cell>
          <cell r="C3365" t="str">
            <v>EDIFICIO ASTORGA 414</v>
          </cell>
          <cell r="D3365" t="str">
            <v>3146886826</v>
          </cell>
          <cell r="E3365" t="str">
            <v>admoastorga@gmail.com</v>
          </cell>
          <cell r="F3365" t="str">
            <v>CARRERA 22 28 -38</v>
          </cell>
          <cell r="G3365">
            <v>11001</v>
          </cell>
        </row>
        <row r="3366">
          <cell r="A3366" t="str">
            <v>901344167</v>
          </cell>
          <cell r="B3366" t="str">
            <v>6</v>
          </cell>
          <cell r="C3366" t="str">
            <v>CONJUNTO RESIDENCIAL TORRES DE SAN RAFAEL - PROPIEDAD HORIZONTAL</v>
          </cell>
          <cell r="D3366" t="str">
            <v>3202346609</v>
          </cell>
          <cell r="E3366" t="str">
            <v>torresdesanrafaelph@gmail.com</v>
          </cell>
          <cell r="F3366" t="str">
            <v>TRANSVERSAL 65 59-21 SUR</v>
          </cell>
          <cell r="G3366">
            <v>11001</v>
          </cell>
        </row>
        <row r="3367">
          <cell r="A3367" t="str">
            <v>901346157</v>
          </cell>
          <cell r="B3367" t="str">
            <v>1</v>
          </cell>
          <cell r="C3367" t="str">
            <v>HOTEL FACTORY GREEN SAS</v>
          </cell>
          <cell r="D3367" t="str">
            <v>9000602</v>
          </cell>
          <cell r="E3367" t="str">
            <v>contabilidad@3chotels.com</v>
          </cell>
          <cell r="F3367" t="str">
            <v>AUTOPISTA MEDELLIN KM 3.5 VIA SIBERIA COTA</v>
          </cell>
          <cell r="G3367">
            <v>11001</v>
          </cell>
        </row>
        <row r="3368">
          <cell r="A3368" t="str">
            <v>901346328</v>
          </cell>
          <cell r="B3368" t="str">
            <v>4</v>
          </cell>
          <cell r="C3368" t="str">
            <v>EDIFICIO COMERCIAL Y EMPRESARIAL TORRE HHC PH</v>
          </cell>
          <cell r="D3368" t="str">
            <v>3115421760</v>
          </cell>
          <cell r="E3368" t="str">
            <v>torrehhc140@gmail.com</v>
          </cell>
          <cell r="F3368" t="str">
            <v>CL 140 11 45 BRR CEDRITOS</v>
          </cell>
          <cell r="G3368">
            <v>11001</v>
          </cell>
        </row>
        <row r="3369">
          <cell r="A3369" t="str">
            <v>901346328</v>
          </cell>
          <cell r="B3369" t="str">
            <v>4</v>
          </cell>
          <cell r="C3369" t="str">
            <v>EDIFICIO COMERCIAL Y EMPRESARIAL TORRE HHC PH</v>
          </cell>
          <cell r="D3369" t="str">
            <v>3115421760</v>
          </cell>
          <cell r="E3369" t="str">
            <v>torrehhc140@gmail.com</v>
          </cell>
          <cell r="F3369" t="str">
            <v>CL 140 11 45 BRR CEDRITOS</v>
          </cell>
          <cell r="G3369">
            <v>11001</v>
          </cell>
        </row>
        <row r="3370">
          <cell r="A3370" t="str">
            <v>901347001</v>
          </cell>
          <cell r="B3370" t="str">
            <v>6</v>
          </cell>
          <cell r="C3370" t="str">
            <v>CONJUNTO CERRADO PORTOBELO</v>
          </cell>
          <cell r="D3370" t="str">
            <v>3014349892</v>
          </cell>
          <cell r="E3370" t="str">
            <v>contabilidadportobello@gmail.com</v>
          </cell>
          <cell r="F3370" t="str">
            <v>CARRERA 41 6 - 70</v>
          </cell>
          <cell r="G3370">
            <v>11001</v>
          </cell>
        </row>
        <row r="3371">
          <cell r="A3371" t="str">
            <v>901349830</v>
          </cell>
          <cell r="B3371" t="str">
            <v>4</v>
          </cell>
          <cell r="C3371" t="str">
            <v>4A CONSTRUCTORA S.A.S.</v>
          </cell>
          <cell r="D3371" t="str">
            <v>4085401</v>
          </cell>
          <cell r="E3371" t="str">
            <v>contabilidad@alcantaraconstructora.com</v>
          </cell>
          <cell r="F3371" t="str">
            <v>CR 79 N 39D 37 URBANIZACIÓN LOS LLANOS</v>
          </cell>
          <cell r="G3371">
            <v>11001</v>
          </cell>
        </row>
        <row r="3372">
          <cell r="A3372" t="str">
            <v>901351413</v>
          </cell>
          <cell r="B3372" t="str">
            <v>2</v>
          </cell>
          <cell r="C3372" t="str">
            <v>EDIFICIO CENTRAL - PROPIEDAD HORIZONTAL</v>
          </cell>
          <cell r="D3372" t="str">
            <v>3138870429</v>
          </cell>
          <cell r="E3372" t="str">
            <v>edificiocentralph@gmail.com</v>
          </cell>
          <cell r="F3372" t="str">
            <v>CR 31 A 25 25</v>
          </cell>
          <cell r="G3372">
            <v>11001</v>
          </cell>
        </row>
        <row r="3373">
          <cell r="A3373" t="str">
            <v>901352652</v>
          </cell>
          <cell r="B3373" t="str">
            <v>0</v>
          </cell>
          <cell r="C3373" t="str">
            <v>TORRE EMPRESARIAL TERPEL</v>
          </cell>
          <cell r="D3373" t="str">
            <v>3012302346</v>
          </cell>
          <cell r="E3373" t="str">
            <v>contabilidadteterpel@gmail.com</v>
          </cell>
          <cell r="F3373" t="str">
            <v>VIA 40 69 111</v>
          </cell>
          <cell r="G3373">
            <v>11001</v>
          </cell>
        </row>
        <row r="3374">
          <cell r="A3374" t="str">
            <v>901355600</v>
          </cell>
          <cell r="B3374" t="str">
            <v>1</v>
          </cell>
          <cell r="C3374" t="str">
            <v>CONJUNTO RESIDENCIAL NATIVO AGUA PH</v>
          </cell>
          <cell r="D3374" t="str">
            <v>4483149</v>
          </cell>
          <cell r="E3374" t="str">
            <v>compras@abelardoyepes.com</v>
          </cell>
          <cell r="F3374" t="str">
            <v>CR 27 AA 36 SUR 200</v>
          </cell>
          <cell r="G3374">
            <v>11001</v>
          </cell>
        </row>
        <row r="3375">
          <cell r="A3375" t="str">
            <v>901359423</v>
          </cell>
          <cell r="B3375" t="str">
            <v>2</v>
          </cell>
          <cell r="C3375" t="str">
            <v>CONJUNTO MIRADOR PROPIEDAD HORIZONTAL-PROPIEDAD HORIZONTAL</v>
          </cell>
          <cell r="D3375" t="str">
            <v>3202346609</v>
          </cell>
          <cell r="E3375" t="str">
            <v>miradorapartamentosph@gmail.com</v>
          </cell>
          <cell r="F3375" t="str">
            <v>TV 26 D BIS A 31 A 07 SUR</v>
          </cell>
          <cell r="G3375">
            <v>11001</v>
          </cell>
        </row>
        <row r="3376">
          <cell r="A3376" t="str">
            <v>901359891</v>
          </cell>
          <cell r="B3376" t="str">
            <v>6</v>
          </cell>
          <cell r="C3376" t="str">
            <v>METALICAS Y ARQUITECTURA SAS</v>
          </cell>
          <cell r="D3376" t="str">
            <v>6 0 2 3 7 4 4 9 9 6</v>
          </cell>
          <cell r="E3376" t="str">
            <v>metalicasyarquitecturasas@hotmail.com</v>
          </cell>
          <cell r="F3376" t="str">
            <v>CL 68 A 7 C 48 MZ D LT 21</v>
          </cell>
          <cell r="G3376">
            <v>11001</v>
          </cell>
        </row>
        <row r="3377">
          <cell r="A3377" t="str">
            <v>901360684</v>
          </cell>
          <cell r="B3377" t="str">
            <v>1</v>
          </cell>
          <cell r="C3377" t="str">
            <v>WH COLOMBIA S.A.S.</v>
          </cell>
          <cell r="D3377" t="str">
            <v>3 1 1 4 7 9 9 0 1 4</v>
          </cell>
          <cell r="E3377" t="str">
            <v>admbog@wynwood-house.com</v>
          </cell>
          <cell r="F3377" t="str">
            <v>CR 18 86 A 54 AP 201 BRR ANTIGUO COUNTRY</v>
          </cell>
          <cell r="G3377">
            <v>11001</v>
          </cell>
        </row>
        <row r="3378">
          <cell r="A3378" t="str">
            <v>901360684</v>
          </cell>
          <cell r="B3378" t="str">
            <v>1</v>
          </cell>
          <cell r="C3378" t="str">
            <v>WH COLOMBIA S.A.S.</v>
          </cell>
          <cell r="D3378" t="str">
            <v>3 1 1 4 7 9 9 0 1 4</v>
          </cell>
          <cell r="E3378" t="str">
            <v>admbog@wynwood-house.com</v>
          </cell>
          <cell r="F3378" t="str">
            <v>CR 18 86 A 54 AP 201 BRR ANTIGUO COUNTRY</v>
          </cell>
          <cell r="G3378">
            <v>11001</v>
          </cell>
        </row>
        <row r="3379">
          <cell r="A3379" t="str">
            <v>901364175</v>
          </cell>
          <cell r="B3379" t="str">
            <v>0</v>
          </cell>
          <cell r="C3379" t="str">
            <v>CONSTRUCORP DISEÑO, GERENCIA Y CONSTRUCCIÓN SAS</v>
          </cell>
          <cell r="D3379" t="str">
            <v>601-6183655</v>
          </cell>
          <cell r="E3379" t="str">
            <v>construcorpdgc@gmail.com</v>
          </cell>
          <cell r="F3379" t="str">
            <v>CALLE 95 13 - 09 OF.405</v>
          </cell>
          <cell r="G3379">
            <v>11001</v>
          </cell>
        </row>
        <row r="3380">
          <cell r="A3380" t="str">
            <v>901365620</v>
          </cell>
          <cell r="B3380" t="str">
            <v>1</v>
          </cell>
          <cell r="C3380" t="str">
            <v>CONJUNTO RESIDENCIAL ARABELLA- PROPIEDAD HORIZONTAL</v>
          </cell>
          <cell r="D3380" t="str">
            <v>3014750520</v>
          </cell>
          <cell r="E3380" t="str">
            <v>conjuntoresidencialarabella@gmail.com</v>
          </cell>
          <cell r="F3380" t="str">
            <v>CARRERA 84F N° 3D-255</v>
          </cell>
          <cell r="G3380">
            <v>11001</v>
          </cell>
        </row>
        <row r="3381">
          <cell r="A3381" t="str">
            <v>901366087</v>
          </cell>
          <cell r="B3381" t="str">
            <v>1</v>
          </cell>
          <cell r="C3381" t="str">
            <v>EDIFICIO TORRES DE BARLOVENTO PROPIEDAD HORIZONTAL</v>
          </cell>
          <cell r="D3381" t="str">
            <v>3112814163</v>
          </cell>
          <cell r="E3381" t="str">
            <v>torresbarlovento@gmail.com</v>
          </cell>
          <cell r="F3381" t="str">
            <v>CL 67 7 21 CL 67 7 45 CR 7 65 A 42 CR 7 A 65 A 40</v>
          </cell>
          <cell r="G3381">
            <v>11001</v>
          </cell>
        </row>
        <row r="3382">
          <cell r="A3382" t="str">
            <v>901367176</v>
          </cell>
          <cell r="B3382" t="str">
            <v>1</v>
          </cell>
          <cell r="C3382" t="str">
            <v>ZULUAGA PATIOS S.A.S.</v>
          </cell>
          <cell r="D3382" t="str">
            <v>3212073002</v>
          </cell>
          <cell r="E3382" t="str">
            <v>luisleonardopr@hotmail.com</v>
          </cell>
          <cell r="F3382" t="str">
            <v xml:space="preserve"> AV. 10 No. 26-30 CENTRO</v>
          </cell>
          <cell r="G3382">
            <v>11001</v>
          </cell>
        </row>
        <row r="3383">
          <cell r="A3383" t="str">
            <v>901368258</v>
          </cell>
          <cell r="B3383" t="str">
            <v>1</v>
          </cell>
          <cell r="C3383" t="str">
            <v>EDIFICIO 35 PALMS-PROPIEDAD HORIZONTAL</v>
          </cell>
          <cell r="D3383" t="str">
            <v>5578166</v>
          </cell>
          <cell r="E3383" t="str">
            <v>financiera.35palms@dualgi.co</v>
          </cell>
          <cell r="F3383" t="str">
            <v>Carrera 35 # 15B - 143</v>
          </cell>
          <cell r="G3383">
            <v>11001</v>
          </cell>
        </row>
        <row r="3384">
          <cell r="A3384" t="str">
            <v>901371770</v>
          </cell>
          <cell r="B3384" t="str">
            <v>2</v>
          </cell>
          <cell r="C3384" t="str">
            <v>EDIFICIO BOSCHETTO - PROPIEDAD HORIZONTAL</v>
          </cell>
          <cell r="D3384" t="str">
            <v>3014317679</v>
          </cell>
          <cell r="E3384" t="str">
            <v>solicitudes@quantumadministraciones.com</v>
          </cell>
          <cell r="F3384" t="str">
            <v>CL 9 30 48</v>
          </cell>
          <cell r="G3384">
            <v>11001</v>
          </cell>
        </row>
        <row r="3385">
          <cell r="A3385" t="str">
            <v>901372563</v>
          </cell>
          <cell r="B3385" t="str">
            <v>9</v>
          </cell>
          <cell r="C3385" t="str">
            <v>CONJUNTO TIERRALINDA APARTAMENTOS-PROPIEDAD HORIZONTAL</v>
          </cell>
          <cell r="D3385" t="str">
            <v>3204508517</v>
          </cell>
          <cell r="E3385" t="str">
            <v>conjuntotierralindaapartamentosph@hotmail.com</v>
          </cell>
          <cell r="F3385" t="str">
            <v>CL 3 8 117 BRR TIERRA LINDA (I) APARTAMENTOS</v>
          </cell>
          <cell r="G3385">
            <v>11001</v>
          </cell>
        </row>
        <row r="3386">
          <cell r="A3386" t="str">
            <v>901374716</v>
          </cell>
          <cell r="B3386" t="str">
            <v>8</v>
          </cell>
          <cell r="C3386" t="str">
            <v>EDIFICIO BARI CLUB HOUSE</v>
          </cell>
          <cell r="D3386" t="str">
            <v>3164630206</v>
          </cell>
          <cell r="E3386" t="str">
            <v>edf.bariclubhouse@gmail.com</v>
          </cell>
          <cell r="F3386" t="str">
            <v>CARRERA 20 No. 27-87, Barrio Manga</v>
          </cell>
          <cell r="G3386">
            <v>11001</v>
          </cell>
        </row>
        <row r="3387">
          <cell r="A3387" t="str">
            <v>901377829</v>
          </cell>
          <cell r="B3387" t="str">
            <v>5</v>
          </cell>
          <cell r="C3387" t="str">
            <v>MORROS EOS SAS</v>
          </cell>
          <cell r="D3387" t="str">
            <v>6652267</v>
          </cell>
          <cell r="E3387" t="str">
            <v>facturacion@morros.com.co</v>
          </cell>
          <cell r="F3387" t="str">
            <v>BRR BOCAGRANDE CR 3 A 8 104</v>
          </cell>
          <cell r="G3387">
            <v>11001</v>
          </cell>
        </row>
        <row r="3388">
          <cell r="A3388" t="str">
            <v>901383350</v>
          </cell>
          <cell r="B3388" t="str">
            <v>4</v>
          </cell>
          <cell r="C3388" t="str">
            <v>EDIFICIO ALTOS DE BELMIRA - PROPIEDAD HORIZONTAL</v>
          </cell>
          <cell r="D3388" t="str">
            <v>3125560618</v>
          </cell>
          <cell r="E3388" t="str">
            <v>admonaltosdebelmira@gmail.com</v>
          </cell>
          <cell r="F3388" t="str">
            <v>CARRERA 7C No. 13</v>
          </cell>
          <cell r="G3388">
            <v>11001</v>
          </cell>
        </row>
        <row r="3389">
          <cell r="A3389" t="str">
            <v>901385516</v>
          </cell>
          <cell r="B3389" t="str">
            <v>9</v>
          </cell>
          <cell r="C3389" t="str">
            <v>CONJUNTO RESIDENCIAL VALPARAISO</v>
          </cell>
          <cell r="D3389" t="str">
            <v>3215036003</v>
          </cell>
          <cell r="E3389" t="str">
            <v>valparaisoph2020@gmail.com</v>
          </cell>
          <cell r="F3389" t="str">
            <v>CL 38 CRA 5A - 106</v>
          </cell>
          <cell r="G3389">
            <v>11001</v>
          </cell>
        </row>
        <row r="3390">
          <cell r="A3390" t="str">
            <v>901385774</v>
          </cell>
          <cell r="B3390" t="str">
            <v>2</v>
          </cell>
          <cell r="C3390" t="str">
            <v>SOLUCIONES INTEGRALES EMPRESARIALES S.I.E SAS</v>
          </cell>
          <cell r="D3390" t="str">
            <v>4 6 7 2 1 0 4</v>
          </cell>
          <cell r="E3390" t="str">
            <v>administracioncalle94a@situando.com.co</v>
          </cell>
          <cell r="F3390" t="str">
            <v>CL 127 A 49 67 IN 3 OF 504</v>
          </cell>
          <cell r="G3390">
            <v>11001</v>
          </cell>
        </row>
        <row r="3391">
          <cell r="A3391" t="str">
            <v>901393858</v>
          </cell>
          <cell r="B3391" t="str">
            <v>6</v>
          </cell>
          <cell r="C3391" t="str">
            <v>KEEP AND GO SAS</v>
          </cell>
          <cell r="D3391" t="str">
            <v>5877766</v>
          </cell>
          <cell r="E3391" t="str">
            <v>dmonroy@keepngo.com</v>
          </cell>
          <cell r="F3391" t="str">
            <v>CR 7 CL 153 39</v>
          </cell>
          <cell r="G3391">
            <v>11001</v>
          </cell>
        </row>
        <row r="3392">
          <cell r="A3392" t="str">
            <v>901393858</v>
          </cell>
          <cell r="B3392" t="str">
            <v>6</v>
          </cell>
          <cell r="C3392" t="str">
            <v>KEEP AND GO SAS</v>
          </cell>
          <cell r="D3392" t="str">
            <v>5877766</v>
          </cell>
          <cell r="E3392" t="str">
            <v>dmonroy@keepngo.com</v>
          </cell>
          <cell r="F3392" t="str">
            <v>CR 7 CL 153 39</v>
          </cell>
          <cell r="G3392">
            <v>11001</v>
          </cell>
        </row>
        <row r="3393">
          <cell r="A3393" t="str">
            <v>901402221</v>
          </cell>
          <cell r="B3393" t="str">
            <v>5</v>
          </cell>
          <cell r="C3393" t="str">
            <v>EDIFICIO BARI P.H.</v>
          </cell>
          <cell r="D3393" t="str">
            <v>4575154</v>
          </cell>
          <cell r="E3393" t="str">
            <v>adm.bari2022@gmail.com</v>
          </cell>
          <cell r="F3393" t="str">
            <v>CL 53 45 46</v>
          </cell>
          <cell r="G3393">
            <v>11001</v>
          </cell>
        </row>
        <row r="3394">
          <cell r="A3394" t="str">
            <v>901402810</v>
          </cell>
          <cell r="B3394" t="str">
            <v>3</v>
          </cell>
          <cell r="C3394" t="str">
            <v>ALUMINIOS Y VIDRIOS GALERIAS SAS</v>
          </cell>
          <cell r="D3394" t="str">
            <v>2351111</v>
          </cell>
          <cell r="E3394" t="str">
            <v>avgalerias@gmail.com</v>
          </cell>
          <cell r="F3394" t="str">
            <v>CR 21 53 D 15</v>
          </cell>
          <cell r="G3394">
            <v>11001</v>
          </cell>
        </row>
        <row r="3395">
          <cell r="A3395" t="str">
            <v>901403268</v>
          </cell>
          <cell r="B3395" t="str">
            <v>5</v>
          </cell>
          <cell r="C3395" t="str">
            <v>HOTELES DORADO PLAZA COLOMBIA SAS</v>
          </cell>
          <cell r="D3395" t="str">
            <v>3145966945</v>
          </cell>
          <cell r="E3395" t="str">
            <v>contabilidad@doradoplaza.com</v>
          </cell>
          <cell r="F3395" t="str">
            <v>CR 2 AV SAN MARTIN 4 41 BRR BOCAGRANDE</v>
          </cell>
          <cell r="G3395">
            <v>11001</v>
          </cell>
        </row>
        <row r="3396">
          <cell r="A3396" t="str">
            <v>901403473</v>
          </cell>
          <cell r="B3396" t="str">
            <v>9</v>
          </cell>
          <cell r="C3396" t="str">
            <v>EDIFICIO BIEL</v>
          </cell>
          <cell r="D3396" t="str">
            <v>3043508127</v>
          </cell>
          <cell r="E3396" t="str">
            <v>edificiobiel@gmail.com</v>
          </cell>
          <cell r="F3396" t="str">
            <v>CALLE 90 No.  49 C 29</v>
          </cell>
          <cell r="G3396">
            <v>11001</v>
          </cell>
        </row>
        <row r="3397">
          <cell r="A3397" t="str">
            <v>901407332</v>
          </cell>
          <cell r="B3397" t="str">
            <v>7</v>
          </cell>
          <cell r="C3397" t="str">
            <v>CONJUNTO DE USO MIXTO ONIX - PROPIEDAD HORIZONTAL</v>
          </cell>
          <cell r="D3397" t="str">
            <v>4442015</v>
          </cell>
          <cell r="E3397" t="str">
            <v>onixapartamentosph1@gmail.com</v>
          </cell>
          <cell r="F3397" t="str">
            <v>CL 64 CR 76 A 29</v>
          </cell>
          <cell r="G3397">
            <v>11001</v>
          </cell>
        </row>
        <row r="3398">
          <cell r="A3398" t="str">
            <v>901407620</v>
          </cell>
          <cell r="B3398" t="str">
            <v>3</v>
          </cell>
          <cell r="C3398" t="str">
            <v>EDIFICIO DUO 33 PH - PROPIEDAD HORIZONTAL</v>
          </cell>
          <cell r="D3398" t="str">
            <v>3107783448</v>
          </cell>
          <cell r="E3398" t="str">
            <v>admonduo33@gmail.com</v>
          </cell>
          <cell r="F3398" t="str">
            <v>CALLE 33 A 19 20</v>
          </cell>
          <cell r="G3398">
            <v>11001</v>
          </cell>
        </row>
        <row r="3399">
          <cell r="A3399" t="str">
            <v>901409127</v>
          </cell>
          <cell r="B3399" t="str">
            <v>2</v>
          </cell>
          <cell r="C3399" t="str">
            <v>CONJUNTO RESIDENCIAL ALAMEDA 170 - PROPIEDAD HORIZONTAL</v>
          </cell>
          <cell r="D3399" t="str">
            <v>3213136733</v>
          </cell>
          <cell r="E3399" t="str">
            <v>conjuntoalameda170@gmail.com</v>
          </cell>
          <cell r="F3399" t="str">
            <v>CARRERA 15 170 91</v>
          </cell>
          <cell r="G3399">
            <v>11001</v>
          </cell>
        </row>
        <row r="3400">
          <cell r="A3400" t="str">
            <v>901409944</v>
          </cell>
          <cell r="B3400" t="str">
            <v>3</v>
          </cell>
          <cell r="C3400" t="str">
            <v>EDIFICIO TALLER 6 PH - PROPIEDAD HORIZONTAL</v>
          </cell>
          <cell r="D3400" t="str">
            <v>3102877299</v>
          </cell>
          <cell r="E3400" t="str">
            <v>misingresoso3@gmail.com</v>
          </cell>
          <cell r="F3400" t="str">
            <v>CARRERA 4 No. 78 - 04</v>
          </cell>
          <cell r="G3400">
            <v>11001</v>
          </cell>
        </row>
        <row r="3401">
          <cell r="A3401" t="str">
            <v>901410670</v>
          </cell>
          <cell r="B3401" t="str">
            <v>2</v>
          </cell>
          <cell r="C3401" t="str">
            <v>GUADUAL APARTAMENTOS- PROPIEDAD HORIZONTAL</v>
          </cell>
          <cell r="D3401" t="str">
            <v>3137464362</v>
          </cell>
          <cell r="E3401" t="str">
            <v>proveedores@consolidarhabitat.com</v>
          </cell>
          <cell r="F3401" t="str">
            <v>CR 86 48 133</v>
          </cell>
          <cell r="G3401">
            <v>11001</v>
          </cell>
        </row>
        <row r="3402">
          <cell r="A3402" t="str">
            <v>901412912</v>
          </cell>
          <cell r="B3402" t="str">
            <v>9</v>
          </cell>
          <cell r="C3402" t="str">
            <v>COPROPIEDAD CONDOMINIO SAN SEBASTIAN</v>
          </cell>
          <cell r="D3402" t="str">
            <v>3126193083</v>
          </cell>
          <cell r="E3402" t="str">
            <v>admoncondominiosansebastian@gmail.com</v>
          </cell>
          <cell r="F3402" t="str">
            <v>CR 19 C 19 B 4 52 BRR SAN PEDRO</v>
          </cell>
          <cell r="G3402">
            <v>11001</v>
          </cell>
        </row>
        <row r="3403">
          <cell r="A3403" t="str">
            <v>901415259</v>
          </cell>
          <cell r="B3403" t="str">
            <v>0</v>
          </cell>
          <cell r="C3403" t="str">
            <v>CONJUNTO RESIDENCIAL HACIENDA PEÑALISA LIMONAR - PROPIEDAD HORIZONTAL</v>
          </cell>
          <cell r="D3403" t="str">
            <v>3 1 2 5 2 8 0 3 1 7</v>
          </cell>
          <cell r="E3403" t="str">
            <v>conjuntolimonarph@gmail.com</v>
          </cell>
          <cell r="F3403" t="str">
            <v>CL 17 12 11 ZONA URBANA</v>
          </cell>
          <cell r="G3403">
            <v>11001</v>
          </cell>
        </row>
        <row r="3404">
          <cell r="A3404" t="str">
            <v>901415300</v>
          </cell>
          <cell r="B3404" t="str">
            <v>5</v>
          </cell>
          <cell r="C3404" t="str">
            <v>CONJUNTO RESIDENCIAL SAN JOAQUIN - PROPIEDAD HORIZONTAL</v>
          </cell>
          <cell r="D3404" t="str">
            <v>3138898593</v>
          </cell>
          <cell r="E3404" t="str">
            <v>crsanjoaquinph@gmail.com</v>
          </cell>
          <cell r="F3404" t="str">
            <v>CR 17 F 74B 21 SUR</v>
          </cell>
          <cell r="G3404">
            <v>11001</v>
          </cell>
        </row>
        <row r="3405">
          <cell r="A3405" t="str">
            <v>901416622</v>
          </cell>
          <cell r="B3405" t="str">
            <v>6</v>
          </cell>
          <cell r="C3405" t="str">
            <v>CONJUNTO RESIDENCIAL LUNA DEL CAMPO - PROPIEDAD HORIZONTAL</v>
          </cell>
          <cell r="D3405" t="str">
            <v>4442015</v>
          </cell>
          <cell r="E3405" t="str">
            <v>lunadelcampoph1@gmail.com</v>
          </cell>
          <cell r="F3405" t="str">
            <v>CR 99 65 265</v>
          </cell>
          <cell r="G3405">
            <v>11001</v>
          </cell>
        </row>
        <row r="3406">
          <cell r="A3406" t="str">
            <v>901417148</v>
          </cell>
          <cell r="B3406" t="str">
            <v>0</v>
          </cell>
          <cell r="C3406" t="str">
            <v>CARGA PARAMO SAS</v>
          </cell>
          <cell r="D3406" t="str">
            <v>3 1 5 7 6 2 2 7 9 4</v>
          </cell>
          <cell r="E3406" t="str">
            <v>contabilidad@cargaparamo.co</v>
          </cell>
          <cell r="F3406" t="str">
            <v>CL 89 A 15 22 OF 201</v>
          </cell>
          <cell r="G3406">
            <v>11001</v>
          </cell>
        </row>
        <row r="3407">
          <cell r="A3407" t="str">
            <v>901417148</v>
          </cell>
          <cell r="B3407" t="str">
            <v>0</v>
          </cell>
          <cell r="C3407" t="str">
            <v>CARGA PARAMO SAS</v>
          </cell>
          <cell r="D3407" t="str">
            <v>3 1 5 7 6 2 2 7 9 4</v>
          </cell>
          <cell r="E3407" t="str">
            <v>contabilidad@cargaparamo.co</v>
          </cell>
          <cell r="F3407" t="str">
            <v>CL 89 A 15 22 OF 201</v>
          </cell>
          <cell r="G3407">
            <v>11001</v>
          </cell>
        </row>
        <row r="3408">
          <cell r="A3408" t="str">
            <v>901418159</v>
          </cell>
          <cell r="B3408" t="str">
            <v>6</v>
          </cell>
          <cell r="C3408" t="str">
            <v>EDIFICIO KAOBA</v>
          </cell>
          <cell r="D3408" t="str">
            <v>310 765 68 29</v>
          </cell>
          <cell r="E3408" t="str">
            <v>edkaoba@hotmail.com</v>
          </cell>
          <cell r="F3408" t="str">
            <v>CALLE 50 No. 28 - 34</v>
          </cell>
          <cell r="G3408">
            <v>11001</v>
          </cell>
        </row>
        <row r="3409">
          <cell r="A3409" t="str">
            <v>901418674</v>
          </cell>
          <cell r="B3409" t="str">
            <v>8</v>
          </cell>
          <cell r="C3409" t="str">
            <v>CONJUNTO CERRADO RESERVA CAMPESTRE PROPIEDAD HORIZONTAL</v>
          </cell>
          <cell r="D3409" t="str">
            <v>3113038252</v>
          </cell>
          <cell r="E3409" t="str">
            <v>reservacampestre2020@hotmail.com</v>
          </cell>
          <cell r="F3409" t="str">
            <v>VIA PANAMERICANA SUR 49-114 GUAMAL</v>
          </cell>
          <cell r="G3409">
            <v>11001</v>
          </cell>
        </row>
        <row r="3410">
          <cell r="A3410" t="str">
            <v>901419189</v>
          </cell>
          <cell r="B3410" t="str">
            <v>1</v>
          </cell>
          <cell r="C3410" t="str">
            <v>DESARROLLADORA DE PROYECTOS VIDAS BONITAS S.A.S</v>
          </cell>
          <cell r="D3410" t="str">
            <v>3144707193</v>
          </cell>
          <cell r="E3410" t="str">
            <v>jose.clavijo@biboinversiones.co</v>
          </cell>
          <cell r="F3410" t="str">
            <v>CR 17 89 31 OF 901</v>
          </cell>
          <cell r="G3410">
            <v>11001</v>
          </cell>
        </row>
        <row r="3411">
          <cell r="A3411" t="str">
            <v>901419189</v>
          </cell>
          <cell r="B3411" t="str">
            <v>1</v>
          </cell>
          <cell r="C3411" t="str">
            <v>DESARROLLADORA DE PROYECTOS VIDAS BONITAS S.A.S</v>
          </cell>
          <cell r="D3411" t="str">
            <v>3144707193</v>
          </cell>
          <cell r="E3411" t="str">
            <v>jose.clavijo@biboinversiones.co</v>
          </cell>
          <cell r="F3411" t="str">
            <v>CR 17 89 31 OF 901</v>
          </cell>
          <cell r="G3411">
            <v>11001</v>
          </cell>
        </row>
        <row r="3412">
          <cell r="A3412" t="str">
            <v>901420538</v>
          </cell>
          <cell r="B3412" t="str">
            <v>0</v>
          </cell>
          <cell r="C3412" t="str">
            <v>PROMOTORA ANTILIA 96</v>
          </cell>
          <cell r="D3412" t="str">
            <v>3103676594</v>
          </cell>
          <cell r="E3412" t="str">
            <v>contabilidad@antilia96cartagena.com</v>
          </cell>
          <cell r="F3412" t="str">
            <v>Marbella cra 3, edificio laguna 46 oficina 101</v>
          </cell>
          <cell r="G3412">
            <v>11001</v>
          </cell>
        </row>
        <row r="3413">
          <cell r="A3413" t="str">
            <v>901421898</v>
          </cell>
          <cell r="B3413" t="str">
            <v>1</v>
          </cell>
          <cell r="C3413" t="str">
            <v>URBANIZACION VIVENZA PROPIEDAD HORIZONTAL</v>
          </cell>
          <cell r="D3413">
            <v>3219664011</v>
          </cell>
          <cell r="E3413" t="str">
            <v>facturacion@grupoclever.co</v>
          </cell>
          <cell r="F3413" t="str">
            <v>CARRERA 87 CALLE 39 No. 127</v>
          </cell>
          <cell r="G3413">
            <v>11001</v>
          </cell>
        </row>
        <row r="3414">
          <cell r="A3414" t="str">
            <v>901425258</v>
          </cell>
          <cell r="B3414" t="str">
            <v>6</v>
          </cell>
          <cell r="C3414" t="str">
            <v>EDIFICIO GRATTA PROPIEDAD HORIZONTAL</v>
          </cell>
          <cell r="D3414" t="str">
            <v>4845158</v>
          </cell>
          <cell r="E3414" t="str">
            <v>edificiogratta01@gmail.com</v>
          </cell>
          <cell r="F3414" t="str">
            <v>CR 121 A 42 16</v>
          </cell>
          <cell r="G3414">
            <v>11001</v>
          </cell>
        </row>
        <row r="3415">
          <cell r="A3415" t="str">
            <v>901425881</v>
          </cell>
          <cell r="B3415" t="str">
            <v>5</v>
          </cell>
          <cell r="C3415" t="str">
            <v>CONJUNTO RESIDENCIAL LA COLINA - PROPIEDAD HORIZONTAL</v>
          </cell>
          <cell r="D3415" t="str">
            <v>3202346609</v>
          </cell>
          <cell r="E3415" t="str">
            <v>admoncrcolina@gmail.com</v>
          </cell>
          <cell r="F3415" t="str">
            <v>CR 72 C 22 A 77</v>
          </cell>
          <cell r="G3415">
            <v>11001</v>
          </cell>
        </row>
        <row r="3416">
          <cell r="A3416" t="str">
            <v>901425881</v>
          </cell>
          <cell r="B3416" t="str">
            <v>5</v>
          </cell>
          <cell r="C3416" t="str">
            <v>CONJUNTO RESIDENCIAL LA COLINA - PROPIEDAD HORIZONTAL</v>
          </cell>
          <cell r="D3416" t="str">
            <v>3202346609</v>
          </cell>
          <cell r="E3416" t="str">
            <v>admoncrcolina@gmail.com</v>
          </cell>
          <cell r="F3416" t="str">
            <v>CR 72 C 22 A 77</v>
          </cell>
          <cell r="G3416">
            <v>11001</v>
          </cell>
        </row>
        <row r="3417">
          <cell r="A3417" t="str">
            <v>901428244</v>
          </cell>
          <cell r="B3417" t="str">
            <v>7</v>
          </cell>
          <cell r="C3417" t="str">
            <v>MAMBE SAS</v>
          </cell>
          <cell r="D3417" t="str">
            <v>3157622794</v>
          </cell>
          <cell r="E3417" t="str">
            <v>lorenzo.lojara@gmail.com</v>
          </cell>
          <cell r="F3417" t="str">
            <v>Calle 54a No. 5-14</v>
          </cell>
          <cell r="G3417">
            <v>11001</v>
          </cell>
        </row>
        <row r="3418">
          <cell r="A3418" t="str">
            <v>901429666</v>
          </cell>
          <cell r="B3418" t="str">
            <v>6</v>
          </cell>
          <cell r="C3418" t="str">
            <v>CONJUNTO RESIDENCIAL EL OASIS - PROPIEDAD HORIZONTAL</v>
          </cell>
          <cell r="D3418" t="str">
            <v>3134013034</v>
          </cell>
          <cell r="E3418" t="str">
            <v>oasislafelicidad@gmail.com</v>
          </cell>
          <cell r="F3418" t="str">
            <v>CARRERA 72 C N 22 A 74</v>
          </cell>
          <cell r="G3418">
            <v>11001</v>
          </cell>
        </row>
        <row r="3419">
          <cell r="A3419" t="str">
            <v>901432510</v>
          </cell>
          <cell r="B3419" t="str">
            <v>7</v>
          </cell>
          <cell r="C3419" t="str">
            <v>PARQUE 22 CONDOMINIO - PROPIEDAD HORIZONTAL</v>
          </cell>
          <cell r="D3419" t="str">
            <v>3186153078</v>
          </cell>
          <cell r="E3419" t="str">
            <v>admparque22@gmail.com</v>
          </cell>
          <cell r="F3419" t="str">
            <v>CR 22 # 36-60</v>
          </cell>
          <cell r="G3419">
            <v>11001</v>
          </cell>
        </row>
        <row r="3420">
          <cell r="A3420" t="str">
            <v>901437106</v>
          </cell>
          <cell r="B3420" t="str">
            <v>7</v>
          </cell>
          <cell r="C3420" t="str">
            <v>CONJUNTO RESIDENCIAL RESERVA DE GRANADA IV - PROPIEDAD HORIZONTAL</v>
          </cell>
          <cell r="D3420" t="str">
            <v>3125840076</v>
          </cell>
          <cell r="E3420" t="str">
            <v>creservagranada4.admon@gmail.com</v>
          </cell>
          <cell r="F3420" t="str">
            <v>CALLE 78 B # 120 - 87</v>
          </cell>
          <cell r="G3420">
            <v>11001</v>
          </cell>
        </row>
        <row r="3421">
          <cell r="A3421" t="str">
            <v>901437106</v>
          </cell>
          <cell r="B3421" t="str">
            <v>7</v>
          </cell>
          <cell r="C3421" t="str">
            <v>CONJUNTO RESIDENCIAL RESERVA DE GRANADA IV - PROPIEDAD HORIZONTAL</v>
          </cell>
          <cell r="D3421" t="str">
            <v>3125840076</v>
          </cell>
          <cell r="E3421" t="str">
            <v>creservagranada4.admon@gmail.com</v>
          </cell>
          <cell r="F3421" t="str">
            <v>CALLE 78 B # 120 - 87</v>
          </cell>
          <cell r="G3421">
            <v>11001</v>
          </cell>
        </row>
        <row r="3422">
          <cell r="A3422" t="str">
            <v>901439605</v>
          </cell>
          <cell r="B3422" t="str">
            <v>1</v>
          </cell>
          <cell r="C3422" t="str">
            <v>CONJUNTO RESIDENCIAL Y COMERCIAL JAZZ PROPIEDAD</v>
          </cell>
          <cell r="D3422" t="str">
            <v>3208323315</v>
          </cell>
          <cell r="E3422" t="str">
            <v>jazzph18@gmail.com</v>
          </cell>
          <cell r="F3422" t="str">
            <v>CR 71 A 53 A 49</v>
          </cell>
          <cell r="G3422">
            <v>11001</v>
          </cell>
        </row>
        <row r="3423">
          <cell r="A3423" t="str">
            <v>901441031</v>
          </cell>
          <cell r="B3423" t="str">
            <v>9</v>
          </cell>
          <cell r="C3423" t="str">
            <v>CONJUNTO RESIDENCIAL CANTABRIA - PROPIEDAD HORIZONTAL</v>
          </cell>
          <cell r="D3423" t="str">
            <v>3213136733</v>
          </cell>
          <cell r="E3423" t="str">
            <v>administracion@conjuntocantabria.com</v>
          </cell>
          <cell r="F3423" t="str">
            <v>AV CALLE 26 78 20</v>
          </cell>
          <cell r="G3423">
            <v>11001</v>
          </cell>
        </row>
        <row r="3424">
          <cell r="A3424" t="str">
            <v>901441031</v>
          </cell>
          <cell r="B3424" t="str">
            <v>9</v>
          </cell>
          <cell r="C3424" t="str">
            <v>CONJUNTO RESIDENCIAL CANTABRIA - PROPIEDAD HORIZONTAL</v>
          </cell>
          <cell r="D3424" t="str">
            <v>3213136733</v>
          </cell>
          <cell r="E3424" t="str">
            <v>administracion@conjuntocantabria.com</v>
          </cell>
          <cell r="F3424" t="str">
            <v>AV CALLE 26 78 20</v>
          </cell>
          <cell r="G3424">
            <v>11001</v>
          </cell>
        </row>
        <row r="3425">
          <cell r="A3425" t="str">
            <v>901444281</v>
          </cell>
          <cell r="B3425" t="str">
            <v>7</v>
          </cell>
          <cell r="C3425" t="str">
            <v>VIVIENDAS Y ESTRATEGIAS S.A.S</v>
          </cell>
          <cell r="D3425" t="str">
            <v>3160102018</v>
          </cell>
          <cell r="E3425" t="str">
            <v>viviendasyestrategias@gmail.com</v>
          </cell>
          <cell r="F3425" t="str">
            <v>CR 47 A 96 41 OF 402</v>
          </cell>
          <cell r="G3425">
            <v>11001</v>
          </cell>
        </row>
        <row r="3426">
          <cell r="A3426" t="str">
            <v>901448050</v>
          </cell>
          <cell r="B3426" t="str">
            <v>0</v>
          </cell>
          <cell r="C3426" t="str">
            <v>CONJUNTO RESIDENCIAL LA MONTAÑA - PROPIEDAD HORIZONTAL</v>
          </cell>
          <cell r="D3426" t="str">
            <v>3134013034</v>
          </cell>
          <cell r="E3426" t="str">
            <v>lamontanaconjunto@gmail.com</v>
          </cell>
          <cell r="F3426" t="str">
            <v>CARRERA 72 C N 22 D 27</v>
          </cell>
          <cell r="G3426">
            <v>11001</v>
          </cell>
        </row>
        <row r="3427">
          <cell r="A3427" t="str">
            <v>901448050</v>
          </cell>
          <cell r="B3427" t="str">
            <v>0</v>
          </cell>
          <cell r="C3427" t="str">
            <v>CONJUNTO RESIDENCIAL LA MONTAÑA - PROPIEDAD HORIZONTAL</v>
          </cell>
          <cell r="D3427" t="str">
            <v>3134013034</v>
          </cell>
          <cell r="E3427" t="str">
            <v>lamontanaconjunto@gmail.com</v>
          </cell>
          <cell r="F3427" t="str">
            <v>CARRERA 72 C N 22 D 27</v>
          </cell>
          <cell r="G3427">
            <v>11001</v>
          </cell>
        </row>
        <row r="3428">
          <cell r="A3428" t="str">
            <v>901448374</v>
          </cell>
          <cell r="B3428" t="str">
            <v>1</v>
          </cell>
          <cell r="C3428" t="str">
            <v>CONJUNTO ALAMEDA DE UNICENTRO PRIMERA ETAPA</v>
          </cell>
          <cell r="D3428" t="str">
            <v>3212184961</v>
          </cell>
          <cell r="E3428" t="str">
            <v>alamedaunicentrotunja@gmail.com</v>
          </cell>
          <cell r="F3428" t="str">
            <v>AV. UNIVERSITARIA NO. 42 A - 30</v>
          </cell>
          <cell r="G3428">
            <v>11001</v>
          </cell>
        </row>
        <row r="3429">
          <cell r="A3429" t="str">
            <v>901450738</v>
          </cell>
          <cell r="B3429" t="str">
            <v>5</v>
          </cell>
          <cell r="C3429" t="str">
            <v>EDIFICIO SANTA MARIA DE MILAN P.H.</v>
          </cell>
          <cell r="D3429" t="str">
            <v>3217603350</v>
          </cell>
          <cell r="E3429" t="str">
            <v>edsantamariademilan@gmail.com</v>
          </cell>
          <cell r="F3429" t="str">
            <v>TRANSVERSAL 21 DIAGONAL 25 F 15</v>
          </cell>
          <cell r="G3429">
            <v>11001</v>
          </cell>
        </row>
        <row r="3430">
          <cell r="A3430" t="str">
            <v>901451996</v>
          </cell>
          <cell r="B3430" t="str">
            <v>3</v>
          </cell>
          <cell r="C3430" t="str">
            <v>CONJUNTO RESIDENCIAL ARRAYANES</v>
          </cell>
          <cell r="D3430" t="str">
            <v>4845158</v>
          </cell>
          <cell r="E3430" t="str">
            <v>arrayanesconjuntoresidencial@gmail.com</v>
          </cell>
          <cell r="F3430" t="str">
            <v>URB PARQUE NATURA GALICIA MZ MZB</v>
          </cell>
          <cell r="G3430">
            <v>11001</v>
          </cell>
        </row>
        <row r="3431">
          <cell r="A3431" t="str">
            <v>901457917</v>
          </cell>
          <cell r="B3431" t="str">
            <v>9</v>
          </cell>
          <cell r="C3431" t="str">
            <v>EDIFICIO MILA PROPIEDAD HORIZONTAL</v>
          </cell>
          <cell r="D3431" t="str">
            <v>3 1 8 5 6 2 4 2 8 9</v>
          </cell>
          <cell r="E3431" t="str">
            <v>edificiomila146ph@gmail.com</v>
          </cell>
          <cell r="F3431" t="str">
            <v>CL 146 13 70</v>
          </cell>
          <cell r="G3431">
            <v>11001</v>
          </cell>
        </row>
        <row r="3432">
          <cell r="A3432" t="str">
            <v>901458877</v>
          </cell>
          <cell r="B3432" t="str">
            <v>7</v>
          </cell>
          <cell r="C3432" t="str">
            <v>G.C HOTELES S.A.S</v>
          </cell>
          <cell r="D3432" t="str">
            <v>3175103269</v>
          </cell>
          <cell r="E3432" t="str">
            <v>gchoteles0221@hotmail.com</v>
          </cell>
          <cell r="F3432" t="str">
            <v>CR 46 84 78</v>
          </cell>
          <cell r="G3432">
            <v>11001</v>
          </cell>
        </row>
        <row r="3433">
          <cell r="A3433" t="str">
            <v>901464441</v>
          </cell>
          <cell r="B3433" t="str">
            <v>4</v>
          </cell>
          <cell r="C3433" t="str">
            <v>EDIFICIO TORRE BARCELONA PROPIEDAD HORIZONTAL</v>
          </cell>
          <cell r="D3433" t="str">
            <v>3013714224</v>
          </cell>
          <cell r="E3433" t="str">
            <v>torrebarcelonaph@gmail.com</v>
          </cell>
          <cell r="F3433" t="str">
            <v>CR 5 20 89</v>
          </cell>
          <cell r="G3433">
            <v>11001</v>
          </cell>
        </row>
        <row r="3434">
          <cell r="A3434" t="str">
            <v>901464540</v>
          </cell>
          <cell r="B3434" t="str">
            <v>5</v>
          </cell>
          <cell r="C3434" t="str">
            <v>LOMAS 4 SAS</v>
          </cell>
          <cell r="D3434" t="str">
            <v>3001717772</v>
          </cell>
          <cell r="E3434" t="str">
            <v>proyectos@oblicuo.co</v>
          </cell>
          <cell r="F3434" t="str">
            <v>CL 11 C 31 79 OF 301 ED LA MANIGUA</v>
          </cell>
          <cell r="G3434">
            <v>11001</v>
          </cell>
        </row>
        <row r="3435">
          <cell r="A3435" t="str">
            <v>901466557</v>
          </cell>
          <cell r="B3435" t="str">
            <v>9</v>
          </cell>
          <cell r="C3435" t="str">
            <v>EDIFICIO URBAN APARTAMENTOS - PROPIEDAD HORIZONTAL</v>
          </cell>
          <cell r="D3435" t="str">
            <v>7 0 3 1 6 3 6</v>
          </cell>
          <cell r="E3435" t="str">
            <v>urbanapartamentosph@gmail.com</v>
          </cell>
          <cell r="F3435" t="str">
            <v>CL 33 6 09</v>
          </cell>
          <cell r="G3435">
            <v>11001</v>
          </cell>
        </row>
        <row r="3436">
          <cell r="A3436" t="str">
            <v>901466557</v>
          </cell>
          <cell r="B3436" t="str">
            <v>9</v>
          </cell>
          <cell r="C3436" t="str">
            <v>EDIFICIO URBAN APARTAMENTOS - PROPIEDAD HORIZONTAL</v>
          </cell>
          <cell r="D3436" t="str">
            <v>7 0 3 1 6 3 6</v>
          </cell>
          <cell r="E3436" t="str">
            <v>urbanapartamentosph@gmail.com</v>
          </cell>
          <cell r="F3436" t="str">
            <v>CL 33 6 09</v>
          </cell>
          <cell r="G3436">
            <v>11001</v>
          </cell>
        </row>
        <row r="3437">
          <cell r="A3437" t="str">
            <v>901469538</v>
          </cell>
          <cell r="B3437" t="str">
            <v>2</v>
          </cell>
          <cell r="C3437" t="str">
            <v>PASEO COMERCIAL AMSTERDAM PLAZA - PROPIEDAD HORIZONTAL</v>
          </cell>
          <cell r="D3437" t="str">
            <v>311 3846402</v>
          </cell>
          <cell r="E3437" t="str">
            <v>asistenteamsterdam@mts.com.co</v>
          </cell>
          <cell r="F3437" t="str">
            <v>CARRERA 25 4-165</v>
          </cell>
          <cell r="G3437">
            <v>11001</v>
          </cell>
        </row>
        <row r="3438">
          <cell r="A3438" t="str">
            <v>901469932</v>
          </cell>
          <cell r="B3438" t="str">
            <v>1</v>
          </cell>
          <cell r="C3438" t="str">
            <v>EDIFICIO VISTA 96 - PROPIEDAD HORIZONTAL</v>
          </cell>
          <cell r="D3438" t="str">
            <v>3202218940</v>
          </cell>
          <cell r="E3438" t="str">
            <v>admonvista96@gmail.com</v>
          </cell>
          <cell r="F3438" t="str">
            <v>CR 9 A 96 22</v>
          </cell>
          <cell r="G3438">
            <v>11001</v>
          </cell>
        </row>
        <row r="3439">
          <cell r="A3439" t="str">
            <v>901470921</v>
          </cell>
          <cell r="B3439" t="str">
            <v>2</v>
          </cell>
          <cell r="C3439" t="str">
            <v>EDIFICIO SAN PEDRO DEL BATAN - PROPIEDAD HORIZONTAL</v>
          </cell>
          <cell r="D3439" t="str">
            <v>3005783471</v>
          </cell>
          <cell r="E3439" t="str">
            <v>edificiosanpedrodelbatan@gmail.com</v>
          </cell>
          <cell r="F3439" t="str">
            <v>CARRERA 48 No. 124-69</v>
          </cell>
          <cell r="G3439">
            <v>11001</v>
          </cell>
        </row>
        <row r="3440">
          <cell r="A3440" t="str">
            <v>901471706</v>
          </cell>
          <cell r="B3440" t="str">
            <v>1</v>
          </cell>
          <cell r="C3440" t="str">
            <v>VALLE CIPRÉS S.A.S.</v>
          </cell>
          <cell r="D3440" t="str">
            <v>4085401</v>
          </cell>
          <cell r="E3440" t="str">
            <v>vallecipressas@gmail.com</v>
          </cell>
          <cell r="F3440" t="str">
            <v>CR 79 39 D 37</v>
          </cell>
          <cell r="G3440">
            <v>11001</v>
          </cell>
        </row>
        <row r="3441">
          <cell r="A3441" t="str">
            <v>901472732</v>
          </cell>
          <cell r="B3441" t="str">
            <v>6</v>
          </cell>
          <cell r="C3441" t="str">
            <v>EDIFICIO DC - PROPIEDAD HORIZONTAL</v>
          </cell>
          <cell r="D3441" t="str">
            <v>3132097134</v>
          </cell>
          <cell r="E3441" t="str">
            <v>edificiodcph@gmail.com</v>
          </cell>
          <cell r="F3441" t="str">
            <v>CARRERA 19B 85-63</v>
          </cell>
          <cell r="G3441">
            <v>11001</v>
          </cell>
        </row>
        <row r="3442">
          <cell r="A3442" t="str">
            <v>901483232</v>
          </cell>
          <cell r="B3442" t="str">
            <v>2</v>
          </cell>
          <cell r="C3442" t="str">
            <v>PARIS PARQUE RESIDENCIAL P.H."</v>
          </cell>
          <cell r="D3442" t="str">
            <v>3122914823</v>
          </cell>
          <cell r="E3442" t="str">
            <v>parispresidencial2021@gmail.com</v>
          </cell>
          <cell r="F3442" t="str">
            <v>CL 64 SUR 39 67</v>
          </cell>
          <cell r="G3442">
            <v>11001</v>
          </cell>
        </row>
        <row r="3443">
          <cell r="A3443" t="str">
            <v>901483319</v>
          </cell>
          <cell r="B3443" t="str">
            <v>4</v>
          </cell>
          <cell r="C3443" t="str">
            <v>Conjunto Residencial de Mirador de Farallones</v>
          </cell>
          <cell r="D3443" t="str">
            <v>3117619991</v>
          </cell>
          <cell r="E3443" t="str">
            <v>conjuntomiradordefarallones@gmail.com</v>
          </cell>
          <cell r="F3443" t="str">
            <v>Carrera 21F # 2A-30</v>
          </cell>
          <cell r="G3443">
            <v>11001</v>
          </cell>
        </row>
        <row r="3444">
          <cell r="A3444" t="str">
            <v>901485834</v>
          </cell>
          <cell r="B3444" t="str">
            <v>5</v>
          </cell>
          <cell r="C3444" t="str">
            <v>EDIFICIO ICON 8 PH</v>
          </cell>
          <cell r="D3444" t="str">
            <v>5-6482817</v>
          </cell>
          <cell r="E3444" t="str">
            <v>edificioicon8@gmail.com</v>
          </cell>
          <cell r="F3444" t="str">
            <v>CARRERA 8 No 5A-23</v>
          </cell>
          <cell r="G3444">
            <v>11001</v>
          </cell>
        </row>
        <row r="3445">
          <cell r="A3445" t="str">
            <v>901486175</v>
          </cell>
          <cell r="B3445" t="str">
            <v>4</v>
          </cell>
          <cell r="C3445" t="str">
            <v>EDIFICIO OCTAVA APARTAMENTOS - PROPIEDAD HORIZONTAL</v>
          </cell>
          <cell r="D3445" t="str">
            <v>4661198</v>
          </cell>
          <cell r="E3445" t="str">
            <v>admiintegralfacturacion@gmail.com</v>
          </cell>
          <cell r="F3445" t="str">
            <v>CL 84 C 8 48</v>
          </cell>
          <cell r="G3445">
            <v>11001</v>
          </cell>
        </row>
        <row r="3446">
          <cell r="A3446" t="str">
            <v>901486175</v>
          </cell>
          <cell r="B3446" t="str">
            <v>4</v>
          </cell>
          <cell r="C3446" t="str">
            <v>EDIFICIO OCTAVA APARTAMENTOS - PROPIEDAD HORIZONTAL</v>
          </cell>
          <cell r="D3446" t="str">
            <v>4661198</v>
          </cell>
          <cell r="E3446" t="str">
            <v>admiintegralfacturacion@gmail.com</v>
          </cell>
          <cell r="F3446" t="str">
            <v>CL 84 C 8 48</v>
          </cell>
          <cell r="G3446">
            <v>11001</v>
          </cell>
        </row>
        <row r="3447">
          <cell r="A3447" t="str">
            <v>901488815</v>
          </cell>
          <cell r="B3447" t="str">
            <v>9</v>
          </cell>
          <cell r="C3447" t="str">
            <v>PARQUE RESIDENCIAL SAN MIGUEL ARCANGEL</v>
          </cell>
          <cell r="D3447" t="str">
            <v>3105768851</v>
          </cell>
          <cell r="E3447" t="str">
            <v>u.tsanmiguelarcangel@gmail.com</v>
          </cell>
          <cell r="F3447" t="str">
            <v>CLL 42 A 9 74</v>
          </cell>
          <cell r="G3447">
            <v>11001</v>
          </cell>
        </row>
        <row r="3448">
          <cell r="A3448" t="str">
            <v>901491163</v>
          </cell>
          <cell r="B3448" t="str">
            <v>6</v>
          </cell>
          <cell r="C3448" t="str">
            <v>EDIFICIO CAYENA REAL - PROPIEDAD HORIZONTAL</v>
          </cell>
          <cell r="D3448" t="str">
            <v>3163522859</v>
          </cell>
          <cell r="E3448" t="str">
            <v>admoncayenareal@hotmail.com</v>
          </cell>
          <cell r="F3448" t="str">
            <v>CR 12 147 39</v>
          </cell>
          <cell r="G3448">
            <v>11001</v>
          </cell>
        </row>
        <row r="3449">
          <cell r="A3449" t="str">
            <v>901491553</v>
          </cell>
          <cell r="B3449" t="str">
            <v>5</v>
          </cell>
          <cell r="C3449" t="str">
            <v>MILLENNIUM BUSINESS TOWER - PROPIEDAD HORIZONTAL</v>
          </cell>
          <cell r="D3449" t="str">
            <v>3 1 5 8 3 6 3 0 5 7</v>
          </cell>
          <cell r="E3449" t="str">
            <v>millenniumbusinesstower@gmail.com</v>
          </cell>
          <cell r="F3449" t="str">
            <v>CL 36 27 71 75 79</v>
          </cell>
          <cell r="G3449">
            <v>11001</v>
          </cell>
        </row>
        <row r="3450">
          <cell r="A3450" t="str">
            <v>901495709</v>
          </cell>
          <cell r="B3450" t="str">
            <v>5</v>
          </cell>
          <cell r="C3450" t="str">
            <v>CONJUNTO RESIDENCIAL NOBORI – PROPIEDAD HORIZONTAL</v>
          </cell>
          <cell r="D3450" t="str">
            <v>3204910526</v>
          </cell>
          <cell r="E3450" t="str">
            <v>conjuntonoboriph@gmail.com</v>
          </cell>
          <cell r="F3450" t="str">
            <v>CL 153 22 40</v>
          </cell>
          <cell r="G3450">
            <v>11001</v>
          </cell>
        </row>
        <row r="3451">
          <cell r="A3451" t="str">
            <v>901498327</v>
          </cell>
          <cell r="B3451" t="str">
            <v>9</v>
          </cell>
          <cell r="C3451" t="str">
            <v>BROKEN CHAINS S.A.S.</v>
          </cell>
          <cell r="D3451">
            <v>3219664011</v>
          </cell>
          <cell r="E3451" t="str">
            <v>contabilidad@brokenchains.com.co</v>
          </cell>
          <cell r="F3451" t="str">
            <v>CR 15 BIS 11 38 ED VITRA LC 1 LOS ALPES</v>
          </cell>
          <cell r="G3451">
            <v>11001</v>
          </cell>
        </row>
        <row r="3452">
          <cell r="A3452" t="str">
            <v>901498327</v>
          </cell>
          <cell r="B3452" t="str">
            <v>9</v>
          </cell>
          <cell r="C3452" t="str">
            <v>BROKEN CHAINS S.A.S.</v>
          </cell>
          <cell r="D3452">
            <v>3219664011</v>
          </cell>
          <cell r="E3452" t="str">
            <v>contabilidad@brokenchains.com.co</v>
          </cell>
          <cell r="F3452" t="str">
            <v>CR 15 BIS 11 38 ED VITRA LC 1 LOS ALPES</v>
          </cell>
          <cell r="G3452">
            <v>11001</v>
          </cell>
        </row>
        <row r="3453">
          <cell r="A3453" t="str">
            <v>901499962</v>
          </cell>
          <cell r="B3453" t="str">
            <v>0</v>
          </cell>
          <cell r="C3453" t="str">
            <v>CFG PARTNERS COLOMBIA SAS</v>
          </cell>
          <cell r="D3453" t="str">
            <v>3208595653</v>
          </cell>
          <cell r="E3453" t="str">
            <v>recepcion.facturas@somosdando.com</v>
          </cell>
          <cell r="F3453" t="str">
            <v>CL 70 BIS 4 41</v>
          </cell>
          <cell r="G3453">
            <v>11001</v>
          </cell>
        </row>
        <row r="3454">
          <cell r="A3454" t="str">
            <v>901502270</v>
          </cell>
          <cell r="B3454" t="str">
            <v>5</v>
          </cell>
          <cell r="C3454" t="str">
            <v>CONJUNTO RESIDENCIAL COPACABANA</v>
          </cell>
          <cell r="D3454" t="str">
            <v>3014437283</v>
          </cell>
          <cell r="E3454" t="str">
            <v>conjuntoresidencial.copacabana@gmail.com</v>
          </cell>
          <cell r="F3454" t="str">
            <v>CL 32B 80 589 BRR LA CORDIALIDAD</v>
          </cell>
          <cell r="G3454">
            <v>11001</v>
          </cell>
        </row>
        <row r="3455">
          <cell r="A3455" t="str">
            <v>901502991</v>
          </cell>
          <cell r="B3455" t="str">
            <v>7</v>
          </cell>
          <cell r="C3455" t="str">
            <v>DUAL DEMODA S.A.S</v>
          </cell>
          <cell r="D3455" t="str">
            <v>3 3 7 9 1 3 4</v>
          </cell>
          <cell r="E3455" t="str">
            <v>facturacion.demoda@dualgi.co</v>
          </cell>
          <cell r="F3455" t="str">
            <v>CL 16 55 129 CC DEMODA OUTLET NIVEL 4</v>
          </cell>
          <cell r="G3455">
            <v>11001</v>
          </cell>
        </row>
        <row r="3456">
          <cell r="A3456" t="str">
            <v>901505510</v>
          </cell>
          <cell r="B3456" t="str">
            <v>1</v>
          </cell>
          <cell r="C3456" t="str">
            <v>EDIFICIO TORRE RODIN PROPIEDAD HORIZONTAL</v>
          </cell>
          <cell r="D3456" t="str">
            <v>3 1 5 3 4 3 8 1 00</v>
          </cell>
          <cell r="E3456" t="str">
            <v>torrerodin@gmail.com</v>
          </cell>
          <cell r="F3456" t="str">
            <v>CR 68 A 24 B 10</v>
          </cell>
          <cell r="G3456">
            <v>11001</v>
          </cell>
        </row>
        <row r="3457">
          <cell r="A3457" t="str">
            <v>901505941</v>
          </cell>
          <cell r="B3457" t="str">
            <v>2</v>
          </cell>
          <cell r="C3457" t="str">
            <v>CONJUNTO RESIDENCIAL Y COMERCIAL CAÑADULCE - PROPIEDAD HORIZONTAL</v>
          </cell>
          <cell r="D3457" t="str">
            <v>311398634</v>
          </cell>
          <cell r="E3457" t="str">
            <v>canadulceph@gmail.com</v>
          </cell>
          <cell r="F3457" t="str">
            <v>AVENIDA 30 DE AGOSTO 74 05</v>
          </cell>
          <cell r="G3457">
            <v>11001</v>
          </cell>
        </row>
        <row r="3458">
          <cell r="A3458" t="str">
            <v>901506082</v>
          </cell>
          <cell r="B3458" t="str">
            <v>5</v>
          </cell>
          <cell r="C3458" t="str">
            <v>CONJUNTO RESIDENCIAL PUNTA LUNA TRES - PROPIEDAD HORIZONTAL</v>
          </cell>
          <cell r="D3458" t="str">
            <v>3137886546</v>
          </cell>
          <cell r="E3458" t="str">
            <v>crpuntaluna3@gmail.com</v>
          </cell>
          <cell r="F3458" t="str">
            <v>CR 86 C 53 C 112</v>
          </cell>
          <cell r="G3458">
            <v>11001</v>
          </cell>
        </row>
        <row r="3459">
          <cell r="A3459" t="str">
            <v>901506148</v>
          </cell>
          <cell r="B3459" t="str">
            <v>2</v>
          </cell>
          <cell r="C3459" t="str">
            <v>EDIFICIO MALEIWA PARK- PROPIEDAD HORIZONTAL</v>
          </cell>
          <cell r="D3459" t="str">
            <v>3214932172</v>
          </cell>
          <cell r="E3459" t="str">
            <v>maleiwaparkadmon@gmail.com</v>
          </cell>
          <cell r="F3459" t="str">
            <v>CRA 20 # 127A-05</v>
          </cell>
          <cell r="G3459">
            <v>11001</v>
          </cell>
        </row>
        <row r="3460">
          <cell r="A3460" t="str">
            <v>901507831</v>
          </cell>
          <cell r="B3460" t="str">
            <v>1</v>
          </cell>
          <cell r="C3460" t="str">
            <v>K 104 MAPLE CONJUNTO RESIDENCIAL ETAPA I PROPIEDAD HORIZONTAL</v>
          </cell>
          <cell r="D3460" t="str">
            <v>3163061596</v>
          </cell>
          <cell r="E3460" t="str">
            <v>admonk104maple@gmail.com</v>
          </cell>
          <cell r="F3460" t="str">
            <v>CARRERA 104 44-69</v>
          </cell>
          <cell r="G3460">
            <v>11001</v>
          </cell>
        </row>
        <row r="3461">
          <cell r="A3461" t="str">
            <v>901508923</v>
          </cell>
          <cell r="B3461" t="str">
            <v>3</v>
          </cell>
          <cell r="C3461" t="str">
            <v>CONJUNTO RESIDENCIAL CERROS DE AVELLANEDA PH TORRE UNO ETAPA I</v>
          </cell>
          <cell r="D3461" t="str">
            <v>300 603 36 38</v>
          </cell>
          <cell r="E3461" t="str">
            <v>cerrosdeavellaneda@gmail.com</v>
          </cell>
          <cell r="F3461" t="str">
            <v>CRRA 63 A NO. 77-140</v>
          </cell>
          <cell r="G3461">
            <v>11001</v>
          </cell>
        </row>
        <row r="3462">
          <cell r="A3462" t="str">
            <v>901509157</v>
          </cell>
          <cell r="B3462" t="str">
            <v>2</v>
          </cell>
          <cell r="C3462" t="str">
            <v>M&amp;C PROYECTOS SAS</v>
          </cell>
          <cell r="D3462" t="str">
            <v>3 1 2 3 7 8 8 1 0 0</v>
          </cell>
          <cell r="E3462" t="str">
            <v>amartinezsanabria@gmail.com</v>
          </cell>
          <cell r="F3462" t="str">
            <v>CR 13 A 29 B 22</v>
          </cell>
          <cell r="G3462">
            <v>11001</v>
          </cell>
        </row>
        <row r="3463">
          <cell r="A3463" t="str">
            <v>901509222</v>
          </cell>
          <cell r="B3463" t="str">
            <v>3</v>
          </cell>
          <cell r="C3463" t="str">
            <v>PROMOTORA EL LAUREL S.A.S</v>
          </cell>
          <cell r="D3463" t="str">
            <v>3124740</v>
          </cell>
          <cell r="E3463" t="str">
            <v>omh.almacen@gmail.com</v>
          </cell>
          <cell r="F3463" t="str">
            <v>CL 7 39 215  OF 501</v>
          </cell>
          <cell r="G3463">
            <v>11001</v>
          </cell>
        </row>
        <row r="3464">
          <cell r="A3464" t="str">
            <v>901509497</v>
          </cell>
          <cell r="B3464" t="str">
            <v>1</v>
          </cell>
          <cell r="C3464" t="str">
            <v>EDIFICIO TREBOLI</v>
          </cell>
          <cell r="D3464" t="str">
            <v>3164756784</v>
          </cell>
          <cell r="E3464" t="str">
            <v>edificiotreboli@gmail.com</v>
          </cell>
          <cell r="F3464" t="str">
            <v>DIAGONAL 20 #99-22</v>
          </cell>
          <cell r="G3464">
            <v>11001</v>
          </cell>
        </row>
        <row r="3465">
          <cell r="A3465" t="str">
            <v>901509855</v>
          </cell>
          <cell r="B3465" t="str">
            <v>5</v>
          </cell>
          <cell r="C3465" t="str">
            <v>EDIFICIO MAWI - PROPIEDAD HORIZONTAL</v>
          </cell>
          <cell r="D3465" t="str">
            <v>320 341 64 50</v>
          </cell>
          <cell r="E3465" t="str">
            <v>admon.mawi1@gmail.com</v>
          </cell>
          <cell r="F3465" t="str">
            <v>CR 56 167 A 03</v>
          </cell>
          <cell r="G3465">
            <v>11001</v>
          </cell>
        </row>
        <row r="3466">
          <cell r="A3466" t="str">
            <v>901516233</v>
          </cell>
          <cell r="B3466" t="str">
            <v>3</v>
          </cell>
          <cell r="C3466" t="str">
            <v>MORROS KAI SAS</v>
          </cell>
          <cell r="D3466" t="str">
            <v>6653068</v>
          </cell>
          <cell r="E3466" t="str">
            <v>facturacion@morros.com.co</v>
          </cell>
          <cell r="F3466" t="str">
            <v>BRR BOCAGRANDE CR 3 A 8 104</v>
          </cell>
          <cell r="G3466">
            <v>11001</v>
          </cell>
        </row>
        <row r="3467">
          <cell r="A3467" t="str">
            <v>901516411</v>
          </cell>
          <cell r="B3467" t="str">
            <v>8</v>
          </cell>
          <cell r="C3467" t="str">
            <v>EDIFFICO S.A.S</v>
          </cell>
          <cell r="D3467" t="str">
            <v>3132792693</v>
          </cell>
          <cell r="E3467" t="str">
            <v>edifficosas@gmail.com</v>
          </cell>
          <cell r="F3467" t="str">
            <v>CL 5 D 11 62 LC 1 BRR KM 8</v>
          </cell>
          <cell r="G3467">
            <v>11001</v>
          </cell>
        </row>
        <row r="3468">
          <cell r="A3468" t="str">
            <v>901516671</v>
          </cell>
          <cell r="B3468" t="str">
            <v>6</v>
          </cell>
          <cell r="C3468" t="str">
            <v>CONJUNTO RESIDENCIAL LA SENDA - PROPIEDAD HORIZONTAL</v>
          </cell>
          <cell r="D3468" t="str">
            <v>3125092072</v>
          </cell>
          <cell r="E3468" t="str">
            <v>sendanotificacioneslegales@gmail.com</v>
          </cell>
          <cell r="F3468" t="str">
            <v>CR 76 20 71</v>
          </cell>
          <cell r="G3468">
            <v>11001</v>
          </cell>
        </row>
        <row r="3469">
          <cell r="A3469" t="str">
            <v>901518130</v>
          </cell>
          <cell r="B3469" t="str">
            <v>2</v>
          </cell>
          <cell r="C3469" t="str">
            <v>CONJUNTO RESIDENCIAL DELAMAR PRIMERA ETAPA TORRE 1 P-H</v>
          </cell>
          <cell r="D3469" t="str">
            <v>3186935510</v>
          </cell>
          <cell r="E3469" t="str">
            <v>edificio.delamar2021@gmail.com</v>
          </cell>
          <cell r="F3469" t="str">
            <v>CR 23 DG 2 C</v>
          </cell>
          <cell r="G3469">
            <v>11001</v>
          </cell>
        </row>
        <row r="3470">
          <cell r="A3470" t="str">
            <v>901520200</v>
          </cell>
          <cell r="B3470" t="str">
            <v>6</v>
          </cell>
          <cell r="C3470" t="str">
            <v>AOFLEX S.A.S.</v>
          </cell>
          <cell r="D3470" t="str">
            <v>3023341023</v>
          </cell>
          <cell r="E3470" t="str">
            <v>recepcionfacturas@tinkko.com</v>
          </cell>
          <cell r="F3470" t="str">
            <v>CALLE 92 N° 15 - 78</v>
          </cell>
          <cell r="G3470">
            <v>11001</v>
          </cell>
        </row>
        <row r="3471">
          <cell r="A3471" t="str">
            <v>901521075</v>
          </cell>
          <cell r="B3471" t="str">
            <v>6</v>
          </cell>
          <cell r="C3471" t="str">
            <v>CONJUNTO RESIDENCIAL AIRES DEL CAMPO PH</v>
          </cell>
          <cell r="D3471" t="str">
            <v>3108455200</v>
          </cell>
          <cell r="E3471" t="str">
            <v>airesdelcampoph@gmail.com</v>
          </cell>
          <cell r="F3471" t="str">
            <v>CL 77 SUR 29 49</v>
          </cell>
          <cell r="G3471">
            <v>11001</v>
          </cell>
        </row>
        <row r="3472">
          <cell r="A3472" t="str">
            <v>901524029</v>
          </cell>
          <cell r="B3472" t="str">
            <v>0</v>
          </cell>
          <cell r="C3472" t="str">
            <v>MULTIFAMILIAR JEREZ - PROPIEDAD HORIZONTAL</v>
          </cell>
          <cell r="D3472" t="str">
            <v>2565713</v>
          </cell>
          <cell r="E3472" t="str">
            <v>admonedificiojerez@gmail.com</v>
          </cell>
          <cell r="F3472" t="str">
            <v>CL 144 19A 16</v>
          </cell>
          <cell r="G3472">
            <v>11001</v>
          </cell>
        </row>
        <row r="3473">
          <cell r="A3473" t="str">
            <v>901525390</v>
          </cell>
          <cell r="B3473" t="str">
            <v>1</v>
          </cell>
          <cell r="C3473" t="str">
            <v>CONJUNTO RESIDENCIAL LOS PINOS - PROPIEDAD HORIZONTAL</v>
          </cell>
          <cell r="D3473" t="str">
            <v>3125832507</v>
          </cell>
          <cell r="E3473" t="str">
            <v>admonlospinos1@gmail.com</v>
          </cell>
          <cell r="F3473" t="str">
            <v>CR 77 20 29</v>
          </cell>
          <cell r="G3473">
            <v>11001</v>
          </cell>
        </row>
        <row r="3474">
          <cell r="A3474" t="str">
            <v>901525755</v>
          </cell>
          <cell r="B3474" t="str">
            <v>4</v>
          </cell>
          <cell r="C3474" t="str">
            <v>EDIFICIO GALLERY LOFT 52 PH - PROPIEDAD HORIZONTAL</v>
          </cell>
          <cell r="D3474" t="str">
            <v>3214097114</v>
          </cell>
          <cell r="E3474" t="str">
            <v>admon.galleryloft@gmail.com</v>
          </cell>
          <cell r="F3474" t="str">
            <v>CALLE 52 14 50</v>
          </cell>
          <cell r="G3474">
            <v>11001</v>
          </cell>
        </row>
        <row r="3475">
          <cell r="A3475" t="str">
            <v>901526801</v>
          </cell>
          <cell r="B3475" t="str">
            <v>1</v>
          </cell>
          <cell r="C3475" t="str">
            <v>EDIFICIO BARUC 95</v>
          </cell>
          <cell r="D3475" t="str">
            <v>3012770809</v>
          </cell>
          <cell r="E3475" t="str">
            <v>admonbaruc95@gmail.com</v>
          </cell>
          <cell r="F3475" t="str">
            <v>CL 96 43 60</v>
          </cell>
          <cell r="G3475">
            <v>11001</v>
          </cell>
        </row>
        <row r="3476">
          <cell r="A3476" t="str">
            <v>901529970</v>
          </cell>
          <cell r="B3476" t="str">
            <v>1</v>
          </cell>
          <cell r="C3476" t="str">
            <v>EDIFICIO CASA 40 TORRE RESIDENCIAL - PROPIEDAD HORIZONTAL</v>
          </cell>
          <cell r="D3476" t="str">
            <v>3186170837</v>
          </cell>
          <cell r="E3476" t="str">
            <v>admoncasa40@gmail.com</v>
          </cell>
          <cell r="F3476" t="str">
            <v>CRA 40 48 33</v>
          </cell>
          <cell r="G3476">
            <v>11001</v>
          </cell>
        </row>
        <row r="3477">
          <cell r="A3477" t="str">
            <v>901531392</v>
          </cell>
          <cell r="B3477" t="str">
            <v>9</v>
          </cell>
          <cell r="C3477" t="str">
            <v>COMERCIALIZADORA DISLON S.A.S.</v>
          </cell>
          <cell r="D3477" t="str">
            <v>3 1 3 6 2 0 1 3 2 3</v>
          </cell>
          <cell r="E3477" t="str">
            <v>dislon@dislon.com.co</v>
          </cell>
          <cell r="F3477" t="str">
            <v>CR 55 27 A 98</v>
          </cell>
          <cell r="G3477">
            <v>11001</v>
          </cell>
        </row>
        <row r="3478">
          <cell r="A3478" t="str">
            <v>901531784</v>
          </cell>
          <cell r="B3478" t="str">
            <v>2</v>
          </cell>
          <cell r="C3478" t="str">
            <v>CONJUNTO RESIDENCIAL LLANO ALTO 2 - PROPIEDAD HORIZONTAL</v>
          </cell>
          <cell r="D3478" t="str">
            <v>321 313 67 33</v>
          </cell>
          <cell r="E3478" t="str">
            <v>llanoaltoadmon2@gmail.com</v>
          </cell>
          <cell r="F3478" t="str">
            <v>CR 32 ESTE 31 55</v>
          </cell>
          <cell r="G3478">
            <v>11001</v>
          </cell>
        </row>
        <row r="3479">
          <cell r="A3479" t="str">
            <v>901534042</v>
          </cell>
          <cell r="B3479" t="str">
            <v>1</v>
          </cell>
          <cell r="C3479" t="str">
            <v>EDIFICIO CASTELLANA TOWER 100 - PROPIEDAD HORIZONTAL</v>
          </cell>
          <cell r="D3479" t="str">
            <v>3182825381</v>
          </cell>
          <cell r="E3479" t="str">
            <v>castellanatower@gmail.com</v>
          </cell>
          <cell r="F3479" t="str">
            <v>CR 49 99 23</v>
          </cell>
          <cell r="G3479">
            <v>11001</v>
          </cell>
        </row>
        <row r="3480">
          <cell r="A3480" t="str">
            <v>901534662</v>
          </cell>
          <cell r="B3480" t="str">
            <v>6</v>
          </cell>
          <cell r="C3480" t="str">
            <v>CONJUNTO RESIDENCIAL LOS CERROS - PROPIEDAD HORIZONTAL</v>
          </cell>
          <cell r="D3480" t="str">
            <v>3125092072</v>
          </cell>
          <cell r="E3480" t="str">
            <v>conjuntoresidencialloscerros@gmail.com</v>
          </cell>
          <cell r="F3480" t="str">
            <v>CL 22 D 72 A 00</v>
          </cell>
          <cell r="G3480">
            <v>11001</v>
          </cell>
        </row>
        <row r="3481">
          <cell r="A3481" t="str">
            <v>901537569</v>
          </cell>
          <cell r="B3481" t="str">
            <v>2</v>
          </cell>
          <cell r="C3481" t="str">
            <v>CONJUNTO RESIDENCIAL TIERRA GRATA BOSQUE SANTO - PROPIEDAD HORIZONTAL</v>
          </cell>
          <cell r="D3481" t="str">
            <v>3182800786</v>
          </cell>
          <cell r="E3481" t="str">
            <v>contabilidad@tmgservicios.com</v>
          </cell>
          <cell r="F3481" t="str">
            <v>CR 31 19 445</v>
          </cell>
          <cell r="G3481">
            <v>11001</v>
          </cell>
        </row>
        <row r="3482">
          <cell r="A3482" t="str">
            <v>901540779</v>
          </cell>
          <cell r="B3482" t="str">
            <v>3</v>
          </cell>
          <cell r="C3482" t="str">
            <v>EDIFICIO SAKURA - PROPIEDAD HORIZONTAL</v>
          </cell>
          <cell r="D3482" t="str">
            <v>3164394061</v>
          </cell>
          <cell r="E3482" t="str">
            <v>admon.edificiosakura@gmail.com</v>
          </cell>
          <cell r="F3482" t="str">
            <v>CARRERA 14 No. 117 - 14</v>
          </cell>
          <cell r="G3482">
            <v>11001</v>
          </cell>
        </row>
        <row r="3483">
          <cell r="A3483" t="str">
            <v>901541728</v>
          </cell>
          <cell r="B3483" t="str">
            <v>2</v>
          </cell>
          <cell r="C3483" t="str">
            <v>CONJUNTO RESIDENCIAL FRAGATA</v>
          </cell>
          <cell r="D3483" t="str">
            <v>3013259023</v>
          </cell>
          <cell r="E3483" t="str">
            <v>fragataparqueheredia@gmail.com</v>
          </cell>
          <cell r="F3483" t="str">
            <v>DG 32 80 542</v>
          </cell>
          <cell r="G3483">
            <v>11001</v>
          </cell>
        </row>
        <row r="3484">
          <cell r="A3484" t="str">
            <v>901549549</v>
          </cell>
          <cell r="B3484" t="str">
            <v>7</v>
          </cell>
          <cell r="C3484" t="str">
            <v>EDIFICIO RONDA DEL RIO CENTRO COMERCIAL - PROPIEDAD HORIZONTAL</v>
          </cell>
          <cell r="D3484" t="str">
            <v>3183767312</v>
          </cell>
          <cell r="E3484" t="str">
            <v>fact_ronda103@isarco.com.co</v>
          </cell>
          <cell r="F3484" t="str">
            <v>Carrera 78B # 120 A 56</v>
          </cell>
          <cell r="G3484">
            <v>11001</v>
          </cell>
        </row>
        <row r="3485">
          <cell r="A3485" t="str">
            <v>901549968</v>
          </cell>
          <cell r="B3485" t="str">
            <v>1</v>
          </cell>
          <cell r="C3485" t="str">
            <v>EDIFICIO MAREA 511</v>
          </cell>
          <cell r="D3485" t="str">
            <v>3 1 4 5 3 5 5 9 2 9</v>
          </cell>
          <cell r="E3485" t="str">
            <v>edfmarea511@gmail.com</v>
          </cell>
          <cell r="F3485" t="str">
            <v>CR 11 5 55 BRR CASTILLOGRANDE</v>
          </cell>
          <cell r="G3485">
            <v>11001</v>
          </cell>
        </row>
        <row r="3486">
          <cell r="A3486" t="str">
            <v>901550354</v>
          </cell>
          <cell r="B3486" t="str">
            <v>1</v>
          </cell>
          <cell r="C3486" t="str">
            <v>CONJUNTO DE USO MIXTO BOSQUES DEL RIO - PROPIEDAD HORIZONTAL</v>
          </cell>
          <cell r="D3486" t="str">
            <v>3217376690</v>
          </cell>
          <cell r="E3486" t="str">
            <v>admbosquesdelrio@gmail.com</v>
          </cell>
          <cell r="F3486" t="str">
            <v>CALLE 18 43 G 56</v>
          </cell>
          <cell r="G3486">
            <v>11001</v>
          </cell>
        </row>
        <row r="3487">
          <cell r="A3487" t="str">
            <v>901551360</v>
          </cell>
          <cell r="B3487" t="str">
            <v>9</v>
          </cell>
          <cell r="C3487" t="str">
            <v>EDIFICIO TORRES DE BATAN II - PROPIEDAD HORIZONTAL</v>
          </cell>
          <cell r="D3487" t="str">
            <v>9373000</v>
          </cell>
          <cell r="E3487" t="str">
            <v>adesimsas@gmail.com</v>
          </cell>
          <cell r="F3487" t="str">
            <v>CALLE 122 48-46</v>
          </cell>
          <cell r="G3487">
            <v>11001</v>
          </cell>
        </row>
        <row r="3488">
          <cell r="A3488" t="str">
            <v>901552112</v>
          </cell>
          <cell r="B3488" t="str">
            <v>3</v>
          </cell>
          <cell r="C3488" t="str">
            <v>CONJUNTO RESIDENCIAL EL ARROYO PROPIEDAD HORIZONTAL</v>
          </cell>
          <cell r="D3488" t="str">
            <v>3118421614</v>
          </cell>
          <cell r="E3488" t="str">
            <v>admon.elarroyo@gmail.com</v>
          </cell>
          <cell r="F3488" t="str">
            <v>CR 77 21 05</v>
          </cell>
          <cell r="G3488">
            <v>11001</v>
          </cell>
        </row>
        <row r="3489">
          <cell r="A3489" t="str">
            <v>901552958</v>
          </cell>
          <cell r="B3489" t="str">
            <v>7</v>
          </cell>
          <cell r="C3489" t="str">
            <v>INVERSIONES AMORE MIO SUITES SAS</v>
          </cell>
          <cell r="D3489" t="str">
            <v>6012129029</v>
          </cell>
          <cell r="E3489" t="str">
            <v>amoremiosuites@gmail.com</v>
          </cell>
          <cell r="F3489" t="str">
            <v>CR 13 A 59 A 15</v>
          </cell>
          <cell r="G3489">
            <v>11001</v>
          </cell>
        </row>
        <row r="3490">
          <cell r="A3490" t="str">
            <v>901553472</v>
          </cell>
          <cell r="B3490" t="str">
            <v>4</v>
          </cell>
          <cell r="C3490" t="str">
            <v>EDIFICIO AZALEA DEL RIO PROPIEDAD HORIZONTAL</v>
          </cell>
          <cell r="D3490" t="str">
            <v>3116378745</v>
          </cell>
          <cell r="E3490" t="str">
            <v>cuotasadmon-5@hotmail.com</v>
          </cell>
          <cell r="F3490" t="str">
            <v xml:space="preserve">CR 63 33 63 65 67 69
</v>
          </cell>
          <cell r="G3490">
            <v>11001</v>
          </cell>
        </row>
        <row r="3491">
          <cell r="A3491" t="str">
            <v>901555265</v>
          </cell>
          <cell r="B3491" t="str">
            <v>5</v>
          </cell>
          <cell r="C3491" t="str">
            <v>INTEGRADORES LOGISTICOS DEL CARIBE INLOGCAR S.A.S.</v>
          </cell>
          <cell r="D3491" t="str">
            <v>3155533625</v>
          </cell>
          <cell r="E3491" t="str">
            <v>inlogcarhotel@gmail.com</v>
          </cell>
          <cell r="F3491" t="str">
            <v>CR 7 84 A 29 OF 604</v>
          </cell>
          <cell r="G3491">
            <v>11001</v>
          </cell>
        </row>
        <row r="3492">
          <cell r="A3492" t="str">
            <v>901558032</v>
          </cell>
          <cell r="B3492" t="str">
            <v>1</v>
          </cell>
          <cell r="C3492" t="str">
            <v>RÍO LILY S.A.S.</v>
          </cell>
          <cell r="D3492" t="str">
            <v>6023331000</v>
          </cell>
          <cell r="E3492" t="str">
            <v>edificio.rio.lily@gmail.com</v>
          </cell>
          <cell r="F3492" t="str">
            <v>CR 108 14 A 40 ESQ</v>
          </cell>
          <cell r="G3492">
            <v>11001</v>
          </cell>
        </row>
        <row r="3493">
          <cell r="A3493" t="str">
            <v>901559041</v>
          </cell>
          <cell r="B3493" t="str">
            <v>0</v>
          </cell>
          <cell r="C3493" t="str">
            <v>"UNIDAD CERRADA MONTEFLOR" - PROPIEDAD HORIZONTAL, ETAPA ACACIA</v>
          </cell>
          <cell r="D3493" t="str">
            <v>3182545160</v>
          </cell>
          <cell r="E3493" t="str">
            <v>facturacionmontefloracacia@gmail.com</v>
          </cell>
          <cell r="F3493" t="str">
            <v>CALLE 63 B SUR 32 552</v>
          </cell>
          <cell r="G3493">
            <v>11001</v>
          </cell>
        </row>
        <row r="3494">
          <cell r="A3494" t="str">
            <v>901561614</v>
          </cell>
          <cell r="B3494" t="str">
            <v>7</v>
          </cell>
          <cell r="C3494" t="str">
            <v>EDIFICIO MULTIFAMILIAR ATENAS</v>
          </cell>
          <cell r="D3494" t="str">
            <v>3137332538</v>
          </cell>
          <cell r="E3494" t="str">
            <v>gloriapineda@hotmail.com</v>
          </cell>
          <cell r="F3494" t="str">
            <v>CRA 3  12 40</v>
          </cell>
          <cell r="G3494">
            <v>11001</v>
          </cell>
        </row>
        <row r="3495">
          <cell r="A3495" t="str">
            <v>901562955</v>
          </cell>
          <cell r="B3495" t="str">
            <v>8</v>
          </cell>
          <cell r="C3495" t="str">
            <v>CONJUNTO RESIDENCIAL EL LAGO - PROPIEDAD HORIZONTAL</v>
          </cell>
          <cell r="D3495" t="str">
            <v>3208007527</v>
          </cell>
          <cell r="E3495" t="str">
            <v>admon.ellagoph1@gmail.com</v>
          </cell>
          <cell r="F3495" t="str">
            <v>CR 77 20 53 LOCALIDAD FONTIBON</v>
          </cell>
          <cell r="G3495">
            <v>11001</v>
          </cell>
        </row>
        <row r="3496">
          <cell r="A3496" t="str">
            <v>901562955</v>
          </cell>
          <cell r="B3496" t="str">
            <v>8</v>
          </cell>
          <cell r="C3496" t="str">
            <v>CONJUNTO RESIDENCIAL EL LAGO - PROPIEDAD HORIZONTAL</v>
          </cell>
          <cell r="D3496" t="str">
            <v>3208007527</v>
          </cell>
          <cell r="E3496" t="str">
            <v>admon.ellagoph1@gmail.com</v>
          </cell>
          <cell r="F3496" t="str">
            <v>CR 77 20 53 LOCALIDAD FONTIBON</v>
          </cell>
          <cell r="G3496">
            <v>11001</v>
          </cell>
        </row>
        <row r="3497">
          <cell r="A3497" t="str">
            <v>901563805</v>
          </cell>
          <cell r="B3497" t="str">
            <v>6</v>
          </cell>
          <cell r="C3497" t="str">
            <v>URBANIZACIÓN FAROVERDE - PROPIEDAD HORIZONTAL</v>
          </cell>
          <cell r="D3497" t="str">
            <v>3136506781</v>
          </cell>
          <cell r="E3497" t="str">
            <v>faroverdeph@gmail.com</v>
          </cell>
          <cell r="F3497" t="str">
            <v>CALLE 54 N 86 C 220</v>
          </cell>
          <cell r="G3497">
            <v>11001</v>
          </cell>
        </row>
        <row r="3498">
          <cell r="A3498" t="str">
            <v>901564240</v>
          </cell>
          <cell r="B3498" t="str">
            <v>1</v>
          </cell>
          <cell r="C3498" t="str">
            <v>PRIMITIVA PARQUE NATURAL PROPIEDAD HORIZONTAL</v>
          </cell>
          <cell r="D3498" t="str">
            <v>3113725800</v>
          </cell>
          <cell r="E3498" t="str">
            <v>primitivaparquenaturalph@gmail.com</v>
          </cell>
          <cell r="F3498" t="str">
            <v>CR 51 96 B SUR 125</v>
          </cell>
          <cell r="G3498">
            <v>11001</v>
          </cell>
        </row>
        <row r="3499">
          <cell r="A3499" t="str">
            <v>901564720</v>
          </cell>
          <cell r="B3499" t="str">
            <v>3</v>
          </cell>
          <cell r="C3499" t="str">
            <v>BELA VISTA CIUDAD NATURAL S.A.S</v>
          </cell>
          <cell r="D3499" t="str">
            <v>3246426</v>
          </cell>
          <cell r="E3499" t="str">
            <v>contabilidad@raizconstructora.com.co</v>
          </cell>
          <cell r="F3499" t="str">
            <v>CR 15 15 50 LC 103 EX CC PEREIRA PLAZA</v>
          </cell>
          <cell r="G3499">
            <v>11001</v>
          </cell>
        </row>
        <row r="3500">
          <cell r="A3500" t="str">
            <v>901564742</v>
          </cell>
          <cell r="B3500" t="str">
            <v>5</v>
          </cell>
          <cell r="C3500" t="str">
            <v>CONJUNTO RESIDENCIAL URBAN SALITRE ZURICH - PROPIEDAD HORIZONTAL</v>
          </cell>
          <cell r="D3500" t="str">
            <v>3115388139</v>
          </cell>
          <cell r="E3500" t="str">
            <v>admonzurichsalitre@gmail.com</v>
          </cell>
          <cell r="F3500" t="str">
            <v>CR 66 19 72</v>
          </cell>
          <cell r="G3500">
            <v>11001</v>
          </cell>
        </row>
        <row r="3501">
          <cell r="A3501" t="str">
            <v>901564742</v>
          </cell>
          <cell r="B3501" t="str">
            <v>5</v>
          </cell>
          <cell r="C3501" t="str">
            <v>CONJUNTO RESIDENCIAL URBAN SALITRE ZURICH - PROPIEDAD HORIZONTAL</v>
          </cell>
          <cell r="D3501" t="str">
            <v>3115388139</v>
          </cell>
          <cell r="E3501" t="str">
            <v>admonzurichsalitre@gmail.com</v>
          </cell>
          <cell r="F3501" t="str">
            <v>CR 66 19 72</v>
          </cell>
          <cell r="G3501">
            <v>11001</v>
          </cell>
        </row>
        <row r="3502">
          <cell r="A3502" t="str">
            <v>901567289</v>
          </cell>
          <cell r="B3502" t="str">
            <v>3</v>
          </cell>
          <cell r="C3502" t="str">
            <v>BUENOS PROYECTOS SAS</v>
          </cell>
          <cell r="D3502" t="str">
            <v>3218351154</v>
          </cell>
          <cell r="E3502" t="str">
            <v>lorenadirector@oblicuo.co</v>
          </cell>
          <cell r="F3502" t="str">
            <v>CALLE 11A #31A - 118</v>
          </cell>
          <cell r="G3502">
            <v>11001</v>
          </cell>
        </row>
        <row r="3503">
          <cell r="A3503" t="str">
            <v>901568216</v>
          </cell>
          <cell r="B3503" t="str">
            <v>0</v>
          </cell>
          <cell r="C3503" t="str">
            <v>CONJUNTO CERRADO MONTERIZZO - PROPIEDAD HORIZONTAL</v>
          </cell>
          <cell r="D3503" t="str">
            <v>3143475287</v>
          </cell>
          <cell r="E3503" t="str">
            <v>cr.monterizzoph@gmail.com</v>
          </cell>
          <cell r="F3503" t="str">
            <v>CL 24 SUR 1A 26</v>
          </cell>
          <cell r="G3503">
            <v>11001</v>
          </cell>
        </row>
        <row r="3504">
          <cell r="A3504" t="str">
            <v>901568925</v>
          </cell>
          <cell r="B3504" t="str">
            <v>4</v>
          </cell>
          <cell r="C3504" t="str">
            <v>CONSTRUORTIZ 2022 S.A.S</v>
          </cell>
          <cell r="D3504" t="str">
            <v>3 1 1 2 8 1 7 5 9 2</v>
          </cell>
          <cell r="E3504" t="str">
            <v>construortiz22@gmail.com</v>
          </cell>
          <cell r="F3504" t="str">
            <v>CL 27 7 50</v>
          </cell>
          <cell r="G3504">
            <v>11001</v>
          </cell>
        </row>
        <row r="3505">
          <cell r="A3505" t="str">
            <v>901569786</v>
          </cell>
          <cell r="B3505" t="str">
            <v>1</v>
          </cell>
          <cell r="C3505" t="str">
            <v>INVERSIONES CP MALRO S.A.S.</v>
          </cell>
          <cell r="D3505" t="str">
            <v>316 823 62 37</v>
          </cell>
          <cell r="E3505" t="str">
            <v>facturacion.malro@gmail.com</v>
          </cell>
          <cell r="F3505" t="str">
            <v>CARRERA 13 N° 82-35</v>
          </cell>
          <cell r="G3505">
            <v>11001</v>
          </cell>
        </row>
        <row r="3506">
          <cell r="A3506" t="str">
            <v>901569786</v>
          </cell>
          <cell r="B3506" t="str">
            <v>1</v>
          </cell>
          <cell r="C3506" t="str">
            <v>INVERSIONES CP MALRO S.A.S.</v>
          </cell>
          <cell r="D3506" t="str">
            <v>316 823 62 37</v>
          </cell>
          <cell r="E3506" t="str">
            <v>facturacion.malro@gmail.com</v>
          </cell>
          <cell r="F3506" t="str">
            <v>CARRERA 13 N° 82-35</v>
          </cell>
          <cell r="G3506">
            <v>11001</v>
          </cell>
        </row>
        <row r="3507">
          <cell r="A3507" t="str">
            <v>901571708</v>
          </cell>
          <cell r="B3507" t="str">
            <v>3</v>
          </cell>
          <cell r="C3507" t="str">
            <v>EDIFICIO UMBRACLE - PROPIEDAD HORIZONTAL</v>
          </cell>
          <cell r="D3507" t="str">
            <v>321 297 7696</v>
          </cell>
          <cell r="E3507" t="str">
            <v>admon.umbraclepasadena@gmail.com</v>
          </cell>
          <cell r="F3507" t="str">
            <v>CALLE 51 # 103 B - 53 PASADENA</v>
          </cell>
          <cell r="G3507">
            <v>11001</v>
          </cell>
        </row>
        <row r="3508">
          <cell r="A3508" t="str">
            <v>901571878</v>
          </cell>
          <cell r="B3508" t="str">
            <v>7</v>
          </cell>
          <cell r="C3508" t="str">
            <v>MAGNUS PROMOTORA DE PROYECTOS SAS</v>
          </cell>
          <cell r="D3508" t="str">
            <v>3167095819</v>
          </cell>
          <cell r="E3508" t="str">
            <v>santelmoguatape@gmail.com</v>
          </cell>
          <cell r="F3508" t="str">
            <v>CL 31 31 37</v>
          </cell>
          <cell r="G3508">
            <v>11001</v>
          </cell>
        </row>
        <row r="3509">
          <cell r="A3509" t="str">
            <v>901572847</v>
          </cell>
          <cell r="B3509" t="str">
            <v>3</v>
          </cell>
          <cell r="C3509" t="str">
            <v>PROMOTORA EL SOLAR S.A.S.</v>
          </cell>
          <cell r="D3509" t="str">
            <v>3 2 1 8 1 2 5 8 3 5</v>
          </cell>
          <cell r="E3509" t="str">
            <v>facturacion@conexoinmobiliario.com</v>
          </cell>
          <cell r="F3509" t="str">
            <v>CL 7 39 215 OF 501</v>
          </cell>
          <cell r="G3509">
            <v>11001</v>
          </cell>
        </row>
        <row r="3510">
          <cell r="A3510" t="str">
            <v>901573148</v>
          </cell>
          <cell r="B3510" t="str">
            <v>8</v>
          </cell>
          <cell r="C3510" t="str">
            <v>EDIFICIO CRZ 4 - PROPIEDAD HORIZONTAL</v>
          </cell>
          <cell r="D3510" t="str">
            <v>3102109574</v>
          </cell>
          <cell r="E3510" t="str">
            <v>Edificiocrz4bogota@gmail.com</v>
          </cell>
          <cell r="F3510" t="str">
            <v>DG 54 No 24 -57</v>
          </cell>
          <cell r="G3510">
            <v>11001</v>
          </cell>
        </row>
        <row r="3511">
          <cell r="A3511" t="str">
            <v>901573148</v>
          </cell>
          <cell r="B3511" t="str">
            <v>8</v>
          </cell>
          <cell r="C3511" t="str">
            <v>EDIFICIO CRZ 4 - PROPIEDAD HORIZONTAL</v>
          </cell>
          <cell r="D3511" t="str">
            <v>3102109574</v>
          </cell>
          <cell r="E3511" t="str">
            <v>Edificiocrz4bogota@gmail.com</v>
          </cell>
          <cell r="F3511" t="str">
            <v>DG 54 No 24 -57</v>
          </cell>
          <cell r="G3511">
            <v>11001</v>
          </cell>
        </row>
        <row r="3512">
          <cell r="A3512" t="str">
            <v>901575648</v>
          </cell>
          <cell r="B3512" t="str">
            <v>8</v>
          </cell>
          <cell r="C3512" t="str">
            <v>CONJUNTO RESIDENCIAL SENDEROS DE GRANADA P.H.</v>
          </cell>
          <cell r="D3512" t="str">
            <v>3213136733</v>
          </cell>
          <cell r="E3512" t="str">
            <v>"mesadecontrol@facturatech.co"</v>
          </cell>
          <cell r="F3512" t="str">
            <v>CALLE 78B N°116B-50</v>
          </cell>
          <cell r="G3512">
            <v>11001</v>
          </cell>
        </row>
        <row r="3513">
          <cell r="A3513" t="str">
            <v>901575648</v>
          </cell>
          <cell r="B3513" t="str">
            <v>8</v>
          </cell>
          <cell r="C3513" t="str">
            <v>CONJUNTO RESIDENCIAL SENDEROS DE GRANADA P.H.</v>
          </cell>
          <cell r="D3513" t="str">
            <v>3213136733</v>
          </cell>
          <cell r="E3513" t="str">
            <v>"mesadecontrol@facturatech.co"</v>
          </cell>
          <cell r="F3513" t="str">
            <v>CALLE 78B N°116B-50</v>
          </cell>
          <cell r="G3513">
            <v>11001</v>
          </cell>
        </row>
        <row r="3514">
          <cell r="A3514" t="str">
            <v>901576709</v>
          </cell>
          <cell r="B3514" t="str">
            <v>3</v>
          </cell>
          <cell r="C3514" t="str">
            <v>NEGOCIOS E INVERSIONES INMOBILIARIAS J&amp;G S.A.S.</v>
          </cell>
          <cell r="D3514" t="str">
            <v>6 0 4 3 5 6 1 1 1 1</v>
          </cell>
          <cell r="E3514" t="str">
            <v>obrajatisa2023@gmail.com</v>
          </cell>
          <cell r="F3514" t="str">
            <v>CL 23 43 A 100</v>
          </cell>
          <cell r="G3514">
            <v>11001</v>
          </cell>
        </row>
        <row r="3515">
          <cell r="A3515" t="str">
            <v>901577375</v>
          </cell>
          <cell r="B3515" t="str">
            <v>1</v>
          </cell>
          <cell r="C3515" t="str">
            <v>CONJUNTO RESIDENCIAL LA CAMPIÑA - PROPIEDAD HORIZONTAL</v>
          </cell>
          <cell r="D3515" t="str">
            <v>321 437 56 28</v>
          </cell>
          <cell r="E3515" t="str">
            <v>conjuntolacampiph@gmail.com</v>
          </cell>
          <cell r="F3515" t="str">
            <v>DIAGONAL 21 N°78-43</v>
          </cell>
          <cell r="G3515">
            <v>11001</v>
          </cell>
        </row>
        <row r="3516">
          <cell r="A3516" t="str">
            <v>901577375</v>
          </cell>
          <cell r="B3516" t="str">
            <v>1</v>
          </cell>
          <cell r="C3516" t="str">
            <v>CONJUNTO RESIDENCIAL LA CAMPIÑA - PROPIEDAD HORIZONTAL</v>
          </cell>
          <cell r="D3516" t="str">
            <v>321 437 56 28</v>
          </cell>
          <cell r="E3516" t="str">
            <v>conjuntolacampiph@gmail.com</v>
          </cell>
          <cell r="F3516" t="str">
            <v>DIAGONAL 21 N°78-43</v>
          </cell>
          <cell r="G3516">
            <v>11001</v>
          </cell>
        </row>
        <row r="3517">
          <cell r="A3517" t="str">
            <v>901578778</v>
          </cell>
          <cell r="B3517" t="str">
            <v>0</v>
          </cell>
          <cell r="C3517" t="str">
            <v>CONJUNTO RESIDENCIAL CARACOLI</v>
          </cell>
          <cell r="D3517" t="str">
            <v>4845158</v>
          </cell>
          <cell r="E3517" t="str">
            <v>crcaracoli@gmail.com</v>
          </cell>
          <cell r="F3517" t="str">
            <v>CL 60 B 107 75</v>
          </cell>
          <cell r="G3517">
            <v>11001</v>
          </cell>
        </row>
        <row r="3518">
          <cell r="A3518" t="str">
            <v>901582611</v>
          </cell>
          <cell r="B3518" t="str">
            <v>5</v>
          </cell>
          <cell r="C3518" t="str">
            <v>EDIFICIO APARTAMENTOS MENTA PH - PROPIEDAD HORIZONTAL</v>
          </cell>
          <cell r="D3518" t="str">
            <v>3115388139</v>
          </cell>
          <cell r="E3518" t="str">
            <v>admonmentaph@gmail.com</v>
          </cell>
          <cell r="F3518" t="str">
            <v>CR 7 A 146 89</v>
          </cell>
          <cell r="G3518">
            <v>11001</v>
          </cell>
        </row>
        <row r="3519">
          <cell r="A3519" t="str">
            <v>901582611</v>
          </cell>
          <cell r="B3519" t="str">
            <v>5</v>
          </cell>
          <cell r="C3519" t="str">
            <v>EDIFICIO APARTAMENTOS MENTA PH - PROPIEDAD HORIZONTAL</v>
          </cell>
          <cell r="D3519" t="str">
            <v>3115388139</v>
          </cell>
          <cell r="E3519" t="str">
            <v>admonmentaph@gmail.com</v>
          </cell>
          <cell r="F3519" t="str">
            <v>CR 7 A 146 89</v>
          </cell>
          <cell r="G3519">
            <v>11001</v>
          </cell>
        </row>
        <row r="3520">
          <cell r="A3520" t="str">
            <v>901585722</v>
          </cell>
          <cell r="B3520" t="str">
            <v>8</v>
          </cell>
          <cell r="C3520" t="str">
            <v>EDIFICIO NATUA 110 - PROPIEDAD HORIZONTAL</v>
          </cell>
          <cell r="D3520" t="str">
            <v>6207822</v>
          </cell>
          <cell r="E3520" t="str">
            <v>edificionatua110@gmail.com</v>
          </cell>
          <cell r="F3520" t="str">
            <v>CL 110 15 36</v>
          </cell>
          <cell r="G3520">
            <v>11001</v>
          </cell>
        </row>
        <row r="3521">
          <cell r="A3521" t="str">
            <v>901587935</v>
          </cell>
          <cell r="B3521" t="str">
            <v>9</v>
          </cell>
          <cell r="C3521" t="str">
            <v>JALO HASHTAG 98 S.A.S</v>
          </cell>
          <cell r="D3521" t="str">
            <v>3103213272</v>
          </cell>
          <cell r="E3521" t="str">
            <v>contabilidad@hashtag.com.co</v>
          </cell>
          <cell r="F3521" t="str">
            <v>Cra 41 No. 10-37</v>
          </cell>
          <cell r="G3521">
            <v>11001</v>
          </cell>
        </row>
        <row r="3522">
          <cell r="A3522" t="str">
            <v>901588735</v>
          </cell>
          <cell r="B3522" t="str">
            <v>7</v>
          </cell>
          <cell r="C3522" t="str">
            <v>EDIFICIO MULTIFAMILIAR VIS TERRITORIO MIO - PROPIEDAD HORIZONTAL</v>
          </cell>
          <cell r="D3522" t="str">
            <v>3245316780</v>
          </cell>
          <cell r="E3522" t="str">
            <v>admonterritoriomio@gmail.com</v>
          </cell>
          <cell r="F3522" t="str">
            <v>TERNERA DIAG 36E TRANSV 54 LT C</v>
          </cell>
          <cell r="G3522">
            <v>11001</v>
          </cell>
        </row>
        <row r="3523">
          <cell r="A3523" t="str">
            <v>901591116</v>
          </cell>
          <cell r="B3523" t="str">
            <v>9</v>
          </cell>
          <cell r="C3523" t="str">
            <v>CONJUNTO RESIDENCIAL LAZIO</v>
          </cell>
          <cell r="D3523" t="str">
            <v>3147558631</v>
          </cell>
          <cell r="E3523" t="str">
            <v>conjuntolazio@gmail.com</v>
          </cell>
          <cell r="F3523" t="str">
            <v>Avenida 2c # 71n-62</v>
          </cell>
          <cell r="G3523">
            <v>11001</v>
          </cell>
        </row>
        <row r="3524">
          <cell r="A3524" t="str">
            <v>901591892</v>
          </cell>
          <cell r="B3524" t="str">
            <v>6</v>
          </cell>
          <cell r="C3524" t="str">
            <v>CONJUNTO RESIDENCIAL TOSCANA 70 Y MALL TOSCANA 70</v>
          </cell>
          <cell r="D3524" t="str">
            <v>3147558631</v>
          </cell>
          <cell r="E3524" t="str">
            <v>toscana070@gmail.com</v>
          </cell>
          <cell r="F3524" t="str">
            <v>CL 70 NORTE 2B 30</v>
          </cell>
          <cell r="G3524">
            <v>11001</v>
          </cell>
        </row>
        <row r="3525">
          <cell r="A3525" t="str">
            <v>901593393</v>
          </cell>
          <cell r="B3525" t="str">
            <v>1</v>
          </cell>
          <cell r="C3525" t="str">
            <v>ULIFE OPERADOR DE EXPERIENCIAS SAS</v>
          </cell>
          <cell r="D3525" t="str">
            <v>7459058</v>
          </cell>
          <cell r="E3525" t="str">
            <v>proveedores@ulife.com.co</v>
          </cell>
          <cell r="F3525" t="str">
            <v>CL19 NO. 2 A - 10 P 4 BRR LAS AGUAS</v>
          </cell>
          <cell r="G3525">
            <v>11001</v>
          </cell>
        </row>
        <row r="3526">
          <cell r="A3526" t="str">
            <v>901593393</v>
          </cell>
          <cell r="B3526" t="str">
            <v>1</v>
          </cell>
          <cell r="C3526" t="str">
            <v>ULIFE OPERADOR DE EXPERIENCIAS SAS</v>
          </cell>
          <cell r="D3526" t="str">
            <v>7459058</v>
          </cell>
          <cell r="E3526" t="str">
            <v>proveedores@ulife.com.co</v>
          </cell>
          <cell r="F3526" t="str">
            <v>CL19 NO. 2 A - 10 P 4 BRR LAS AGUAS</v>
          </cell>
          <cell r="G3526">
            <v>11001</v>
          </cell>
        </row>
        <row r="3527">
          <cell r="A3527" t="str">
            <v>901596575</v>
          </cell>
          <cell r="B3527" t="str">
            <v>9</v>
          </cell>
          <cell r="C3527" t="str">
            <v>CONJUNTO CERRADO PARQUE CENTRAL FONTIBON 1 - PROPIEDAD HORIZONTAL</v>
          </cell>
          <cell r="D3527" t="str">
            <v>3182850898</v>
          </cell>
          <cell r="E3527" t="str">
            <v>administracion@parquecentralfontibon1.com</v>
          </cell>
          <cell r="F3527" t="str">
            <v>CL 16 F 99 72</v>
          </cell>
          <cell r="G3527">
            <v>11001</v>
          </cell>
        </row>
        <row r="3528">
          <cell r="A3528" t="str">
            <v>901596575</v>
          </cell>
          <cell r="B3528" t="str">
            <v>9</v>
          </cell>
          <cell r="C3528" t="str">
            <v>CONJUNTO CERRADO PARQUE CENTRAL FONTIBON 1 - PROPIEDAD HORIZONTAL</v>
          </cell>
          <cell r="D3528" t="str">
            <v>3182850898</v>
          </cell>
          <cell r="E3528" t="str">
            <v>administracion@parquecentralfontibon1.com</v>
          </cell>
          <cell r="F3528" t="str">
            <v>CL 16 F 99 72</v>
          </cell>
          <cell r="G3528">
            <v>11001</v>
          </cell>
        </row>
        <row r="3529">
          <cell r="A3529" t="str">
            <v>901598389</v>
          </cell>
          <cell r="B3529" t="str">
            <v>4</v>
          </cell>
          <cell r="C3529" t="str">
            <v>CONJUNTO CERRADO PRIMAVERA 6-39 I PROPIEDAD HORIZONTAL</v>
          </cell>
          <cell r="D3529" t="str">
            <v>3502028175</v>
          </cell>
          <cell r="E3529" t="str">
            <v>primavera639ph@gmail.com</v>
          </cell>
          <cell r="F3529" t="str">
            <v>CL 4 F 39 B - 20</v>
          </cell>
          <cell r="G3529">
            <v>11001</v>
          </cell>
        </row>
        <row r="3530">
          <cell r="A3530" t="str">
            <v>901598389</v>
          </cell>
          <cell r="B3530" t="str">
            <v>4</v>
          </cell>
          <cell r="C3530" t="str">
            <v>CONJUNTO CERRADO PRIMAVERA 6-39 I PROPIEDAD HORIZONTAL</v>
          </cell>
          <cell r="D3530" t="str">
            <v>3502028175</v>
          </cell>
          <cell r="E3530" t="str">
            <v>primavera639ph@gmail.com</v>
          </cell>
          <cell r="F3530" t="str">
            <v>CL 4 F 39 B - 20</v>
          </cell>
          <cell r="G3530">
            <v>11001</v>
          </cell>
        </row>
        <row r="3531">
          <cell r="A3531" t="str">
            <v>901607083</v>
          </cell>
          <cell r="B3531" t="str">
            <v>6</v>
          </cell>
          <cell r="C3531" t="str">
            <v>RESERVA LAS MERCEDES SAS</v>
          </cell>
          <cell r="D3531" t="str">
            <v>6019261525</v>
          </cell>
          <cell r="E3531" t="str">
            <v>residenteadmonreserva@gmail.com</v>
          </cell>
          <cell r="F3531" t="str">
            <v>CL 98 22 64 OF 201</v>
          </cell>
          <cell r="G3531">
            <v>11001</v>
          </cell>
        </row>
        <row r="3532">
          <cell r="A3532" t="str">
            <v>901612409</v>
          </cell>
          <cell r="B3532" t="str">
            <v>3</v>
          </cell>
          <cell r="C3532" t="str">
            <v>EDIFICIO OCEANLIFE</v>
          </cell>
          <cell r="D3532" t="str">
            <v>3145500818</v>
          </cell>
          <cell r="E3532" t="str">
            <v>admonoceanlife@gmail.com</v>
          </cell>
          <cell r="F3532" t="str">
            <v>BRR CRESPO CR 4 65 81</v>
          </cell>
          <cell r="G3532">
            <v>11001</v>
          </cell>
        </row>
        <row r="3533">
          <cell r="A3533" t="str">
            <v>901615674</v>
          </cell>
          <cell r="B3533" t="str">
            <v>2</v>
          </cell>
          <cell r="C3533" t="str">
            <v>EDIFICIO "SIENNA CLUB HOUSE" ETAPA I</v>
          </cell>
          <cell r="D3533" t="str">
            <v>3 1 0 7 0 7 9 5 8 3</v>
          </cell>
          <cell r="E3533" t="str">
            <v>edificiosiennaclubhouse@gmail.com</v>
          </cell>
          <cell r="F3533" t="str">
            <v>BRR PIE DE LA POPA K 20 29 B 98 Y CR 20 A 29 B 91</v>
          </cell>
          <cell r="G3533">
            <v>11001</v>
          </cell>
        </row>
        <row r="3534">
          <cell r="A3534" t="str">
            <v>901615906</v>
          </cell>
          <cell r="B3534" t="str">
            <v>6</v>
          </cell>
          <cell r="C3534" t="str">
            <v>EL ROBLE - PROPIEDAD HORIZONTAL</v>
          </cell>
          <cell r="D3534" t="str">
            <v>3 42092517</v>
          </cell>
          <cell r="E3534" t="str">
            <v>crelrobleph@gmail.com</v>
          </cell>
          <cell r="F3534" t="str">
            <v>CR 75 A 20 31</v>
          </cell>
          <cell r="G3534">
            <v>11001</v>
          </cell>
        </row>
        <row r="3535">
          <cell r="A3535" t="str">
            <v>901616174</v>
          </cell>
          <cell r="B3535" t="str">
            <v>6</v>
          </cell>
          <cell r="C3535" t="str">
            <v>PROYECTO FLAMENGO</v>
          </cell>
          <cell r="D3535" t="str">
            <v>3022311673</v>
          </cell>
          <cell r="E3535" t="str">
            <v>conjuntoflamengo@gmail.com</v>
          </cell>
          <cell r="F3535" t="str">
            <v>CALLE 32B No 80 - 589 VIA LA CORDIALIDAD</v>
          </cell>
          <cell r="G3535">
            <v>11001</v>
          </cell>
        </row>
        <row r="3536">
          <cell r="A3536" t="str">
            <v>901616688</v>
          </cell>
          <cell r="B3536" t="str">
            <v>1</v>
          </cell>
          <cell r="C3536" t="str">
            <v>CENTRO COMERCIAL PLAZA CAMPESTRE PRIMERA ETAPA P.H</v>
          </cell>
          <cell r="D3536" t="str">
            <v>3116478947</v>
          </cell>
          <cell r="E3536" t="str">
            <v>admon@plazacampestre.com.co</v>
          </cell>
          <cell r="F3536" t="str">
            <v>CR 30 2 C 118 CORREDOR UNIVERSITARIO CORR SABANILLA</v>
          </cell>
          <cell r="G3536">
            <v>11001</v>
          </cell>
        </row>
        <row r="3537">
          <cell r="A3537" t="str">
            <v>901619094</v>
          </cell>
          <cell r="B3537" t="str">
            <v>9</v>
          </cell>
          <cell r="C3537" t="str">
            <v>INSTITUCION AUXILIAR DEL COOPERATIVISMO PARA EL BIENESTAR DE LOS ASOCIADOS DE COOPROFESORESUN</v>
          </cell>
          <cell r="D3537" t="str">
            <v>6 0 1 7 3 9 3 9 0 0</v>
          </cell>
          <cell r="E3537" t="str">
            <v>asistentecontable1caph@gmail.com</v>
          </cell>
          <cell r="F3537" t="str">
            <v>CL 45 A 28 62</v>
          </cell>
          <cell r="G3537">
            <v>11001</v>
          </cell>
        </row>
        <row r="3538">
          <cell r="A3538" t="str">
            <v>901622655</v>
          </cell>
          <cell r="B3538" t="str">
            <v>1</v>
          </cell>
          <cell r="C3538" t="str">
            <v>EDIFICIO TORRE PRIMI P.H.</v>
          </cell>
          <cell r="D3538" t="str">
            <v>3215418703</v>
          </cell>
          <cell r="E3538" t="str">
            <v>edificiotorreprimi@gmail.com</v>
          </cell>
          <cell r="F3538" t="str">
            <v>carrera 14-4b-13 y 48-21</v>
          </cell>
          <cell r="G3538">
            <v>11001</v>
          </cell>
        </row>
        <row r="3539">
          <cell r="A3539" t="str">
            <v>901623033</v>
          </cell>
          <cell r="B3539" t="str">
            <v>5</v>
          </cell>
          <cell r="C3539" t="str">
            <v>CONJUNTO CERRADO ACQUA HILLS</v>
          </cell>
          <cell r="D3539" t="str">
            <v>3182324927</v>
          </cell>
          <cell r="E3539" t="str">
            <v>conjuntoacquahillsph@gmail.com</v>
          </cell>
          <cell r="F3539" t="str">
            <v>DG 3 34 T 02 SEC VIA FRAILES</v>
          </cell>
          <cell r="G3539">
            <v>11001</v>
          </cell>
        </row>
        <row r="3540">
          <cell r="A3540" t="str">
            <v>901623460</v>
          </cell>
          <cell r="B3540" t="str">
            <v>7</v>
          </cell>
          <cell r="C3540" t="str">
            <v>CONJUNTO NACAR B - VIS - PROPIEDAD HORIZONTAL</v>
          </cell>
          <cell r="D3540" t="str">
            <v>3103327727</v>
          </cell>
          <cell r="E3540" t="str">
            <v>conjuntonacarb@gmail.com</v>
          </cell>
          <cell r="F3540" t="str">
            <v>Cra 97 BIS 58 - 50</v>
          </cell>
          <cell r="G3540">
            <v>11001</v>
          </cell>
        </row>
        <row r="3541">
          <cell r="A3541" t="str">
            <v>901623472</v>
          </cell>
          <cell r="B3541" t="str">
            <v>5</v>
          </cell>
          <cell r="C3541" t="str">
            <v>CONJUNTO NACAR A - VIS - PROPIEDAD HORIZONTAL</v>
          </cell>
          <cell r="D3541" t="str">
            <v>3103327727</v>
          </cell>
          <cell r="E3541" t="str">
            <v>conjuntonacara@gmail.com</v>
          </cell>
          <cell r="F3541" t="str">
            <v>CL 59 97 BIS 46 BRR CIUDAD MELENDEZ</v>
          </cell>
          <cell r="G3541">
            <v>11001</v>
          </cell>
        </row>
        <row r="3542">
          <cell r="A3542" t="str">
            <v>901624279</v>
          </cell>
          <cell r="B3542" t="str">
            <v>4</v>
          </cell>
          <cell r="C3542" t="str">
            <v>MCONSTRUCTION, S.A.S.</v>
          </cell>
          <cell r="D3542" t="str">
            <v>3052952099</v>
          </cell>
          <cell r="E3542" t="str">
            <v>MCONSTRUCTIONSAS2022@GMAIL.COM</v>
          </cell>
          <cell r="F3542" t="str">
            <v xml:space="preserve">CR 35 1 A SUR 4 IN 702 CON OBRA DIECINUEVE
</v>
          </cell>
          <cell r="G3542">
            <v>11001</v>
          </cell>
        </row>
        <row r="3543">
          <cell r="A3543" t="str">
            <v>901624279</v>
          </cell>
          <cell r="B3543" t="str">
            <v>4</v>
          </cell>
          <cell r="C3543" t="str">
            <v>MCONSTRUCTION, S.A.S.</v>
          </cell>
          <cell r="D3543" t="str">
            <v>3052952099</v>
          </cell>
          <cell r="E3543" t="str">
            <v>MCONSTRUCTIONSAS2022@GMAIL.COM</v>
          </cell>
          <cell r="F3543" t="str">
            <v xml:space="preserve">CR 35 1 A SUR 4 IN 702 CON OBRA DIECINUEVE
</v>
          </cell>
          <cell r="G3543">
            <v>11001</v>
          </cell>
        </row>
        <row r="3544">
          <cell r="A3544" t="str">
            <v>901629909</v>
          </cell>
          <cell r="B3544" t="str">
            <v>9</v>
          </cell>
          <cell r="C3544" t="str">
            <v>CONJUNTO RESIDENCIAL ACACIAS - PROPIEDAD HORIZONTAL</v>
          </cell>
          <cell r="D3544" t="str">
            <v>3218465382</v>
          </cell>
          <cell r="E3544" t="str">
            <v>cracacias.admon@gmail.com</v>
          </cell>
          <cell r="F3544" t="str">
            <v>CL 60 B 107 148</v>
          </cell>
          <cell r="G3544">
            <v>11001</v>
          </cell>
        </row>
        <row r="3545">
          <cell r="A3545" t="str">
            <v>901632883</v>
          </cell>
          <cell r="B3545" t="str">
            <v>7</v>
          </cell>
          <cell r="C3545" t="str">
            <v>CONDOMINIO EDIFICIO DALI P.H.</v>
          </cell>
          <cell r="D3545" t="str">
            <v>3 0 0 4 4 5 9 2 8 0</v>
          </cell>
          <cell r="E3545" t="str">
            <v>gerenciaedificiodali@gmail.com</v>
          </cell>
          <cell r="F3545" t="str">
            <v>AV 3 57 70 LT 19 MZ B CON BUGANBILES BELLA VISTA - LOS PATIOS</v>
          </cell>
          <cell r="G3545">
            <v>11001</v>
          </cell>
        </row>
        <row r="3546">
          <cell r="A3546" t="str">
            <v>901633043</v>
          </cell>
          <cell r="B3546" t="str">
            <v>1</v>
          </cell>
          <cell r="C3546" t="str">
            <v>BOX DISEÑO Y CONSTRUCCION J.C. SAS</v>
          </cell>
          <cell r="D3546" t="str">
            <v>3158933672</v>
          </cell>
          <cell r="E3546" t="str">
            <v>boxdyc@outlook.com</v>
          </cell>
          <cell r="F3546" t="str">
            <v>CR 20 NO. 14 56</v>
          </cell>
          <cell r="G3546">
            <v>11001</v>
          </cell>
        </row>
        <row r="3547">
          <cell r="A3547" t="str">
            <v>901633043</v>
          </cell>
          <cell r="B3547" t="str">
            <v>1</v>
          </cell>
          <cell r="C3547" t="str">
            <v>BOX DISEÑO Y CONSTRUCCION J.C. SAS</v>
          </cell>
          <cell r="D3547" t="str">
            <v>3158933672</v>
          </cell>
          <cell r="E3547" t="str">
            <v>boxdyc@outlook.com</v>
          </cell>
          <cell r="F3547" t="str">
            <v>CR 20 NO. 14 56</v>
          </cell>
          <cell r="G3547">
            <v>11001</v>
          </cell>
        </row>
        <row r="3548">
          <cell r="A3548" t="str">
            <v>901633701</v>
          </cell>
          <cell r="B3548" t="str">
            <v>1</v>
          </cell>
          <cell r="C3548" t="str">
            <v>EDIFICIO HABITAT 118 - PROPIEDAD HORIZONTAL</v>
          </cell>
          <cell r="D3548" t="str">
            <v>3105561679</v>
          </cell>
          <cell r="E3548" t="str">
            <v>homecentrosltda@gmail.com</v>
          </cell>
          <cell r="F3548" t="str">
            <v>CL 118 21 05</v>
          </cell>
          <cell r="G3548">
            <v>11001</v>
          </cell>
        </row>
        <row r="3549">
          <cell r="A3549" t="str">
            <v>901638612</v>
          </cell>
          <cell r="B3549" t="str">
            <v>5</v>
          </cell>
          <cell r="C3549" t="str">
            <v>EDIFICIO TORRES DILUGANO-PROPIEDAD HORIZONTAL</v>
          </cell>
          <cell r="D3549" t="str">
            <v>3 1 8 6 9 3 5 5 1 0</v>
          </cell>
          <cell r="E3549" t="str">
            <v>njcaba@gmail.com</v>
          </cell>
          <cell r="F3549" t="str">
            <v>CR 58 79 121 ED TORRES DILUGANO</v>
          </cell>
          <cell r="G3549">
            <v>11001</v>
          </cell>
        </row>
        <row r="3550">
          <cell r="A3550" t="str">
            <v>901639207</v>
          </cell>
          <cell r="B3550" t="str">
            <v>1</v>
          </cell>
          <cell r="C3550" t="str">
            <v>EDIFICIO BUSSINES CENTER PROPIEDAD HORIZONTAL</v>
          </cell>
          <cell r="D3550" t="str">
            <v>3175709917</v>
          </cell>
          <cell r="E3550" t="str">
            <v>bussinescenterph@gmail.com</v>
          </cell>
          <cell r="F3550" t="str">
            <v>CARRERA 45 No 93-95</v>
          </cell>
          <cell r="G3550">
            <v>11001</v>
          </cell>
        </row>
        <row r="3551">
          <cell r="A3551" t="str">
            <v>901639207</v>
          </cell>
          <cell r="B3551" t="str">
            <v>1</v>
          </cell>
          <cell r="C3551" t="str">
            <v>EDIFICIO BUSSINES CENTER PROPIEDAD HORIZONTAL</v>
          </cell>
          <cell r="D3551" t="str">
            <v>3175709917</v>
          </cell>
          <cell r="E3551" t="str">
            <v>bussinescenterph@gmail.com</v>
          </cell>
          <cell r="F3551" t="str">
            <v>CARRERA 45 No 93-95</v>
          </cell>
          <cell r="G3551">
            <v>11001</v>
          </cell>
        </row>
        <row r="3552">
          <cell r="A3552" t="str">
            <v>901644062</v>
          </cell>
          <cell r="B3552" t="str">
            <v>9</v>
          </cell>
          <cell r="C3552" t="str">
            <v>"CONJUNTO RESIDENCIAL RIOJA" - PROPIEDAD HORIZONTAL</v>
          </cell>
          <cell r="D3552" t="str">
            <v>311 748 12 12</v>
          </cell>
          <cell r="E3552" t="str">
            <v>c.residencialrioja@gmail.com</v>
          </cell>
          <cell r="F3552" t="str">
            <v>CL 54 94 24</v>
          </cell>
          <cell r="G3552">
            <v>11001</v>
          </cell>
        </row>
        <row r="3553">
          <cell r="A3553" t="str">
            <v>901644431</v>
          </cell>
          <cell r="B3553" t="str">
            <v>3</v>
          </cell>
          <cell r="C3553" t="str">
            <v>UNIDAD RESIDENCIAL SOLARE - PROPIEDAD HORIZONTAL</v>
          </cell>
          <cell r="D3553" t="str">
            <v>3113725800</v>
          </cell>
          <cell r="E3553" t="str">
            <v>unidadresidencialsolareph@gmail.com</v>
          </cell>
          <cell r="F3553" t="str">
            <v>CL 50 60D 136</v>
          </cell>
          <cell r="G3553">
            <v>11001</v>
          </cell>
        </row>
        <row r="3554">
          <cell r="A3554" t="str">
            <v>901647822</v>
          </cell>
          <cell r="B3554" t="str">
            <v>3</v>
          </cell>
          <cell r="C3554" t="str">
            <v>CONSORCIO SOMAC</v>
          </cell>
          <cell r="D3554" t="str">
            <v>604-5298999</v>
          </cell>
          <cell r="E3554" t="str">
            <v>asistente@macro.com.co</v>
          </cell>
          <cell r="F3554" t="str">
            <v>CR 43 27 18 IN 1</v>
          </cell>
          <cell r="G3554">
            <v>11001</v>
          </cell>
        </row>
        <row r="3555">
          <cell r="A3555" t="str">
            <v>901652347</v>
          </cell>
          <cell r="B3555" t="str">
            <v>6</v>
          </cell>
          <cell r="C3555" t="str">
            <v>EDIFICIO PREMIUM DE LA AVENIDA PROPIEDAD HORIZONTAL</v>
          </cell>
          <cell r="D3555" t="str">
            <v>3185863328</v>
          </cell>
          <cell r="E3555" t="str">
            <v>maharabravo@hotmail.com</v>
          </cell>
          <cell r="F3555" t="str">
            <v>CL 19 B 36 26</v>
          </cell>
          <cell r="G3555">
            <v>11001</v>
          </cell>
        </row>
        <row r="3556">
          <cell r="A3556" t="str">
            <v>901653427</v>
          </cell>
          <cell r="B3556" t="str">
            <v>1</v>
          </cell>
          <cell r="C3556" t="str">
            <v>UNION TEMPORAL COTES-B&amp;BUNION TEMPORAL COTES-B&amp;B</v>
          </cell>
          <cell r="D3556" t="str">
            <v>6076334435</v>
          </cell>
          <cell r="E3556" t="str">
            <v>feuniontemporalcotesbyb@gmail.com</v>
          </cell>
          <cell r="F3556" t="str">
            <v>CL 35 17 56 ED DAVIVIENDA OF 901</v>
          </cell>
          <cell r="G3556">
            <v>11001</v>
          </cell>
        </row>
        <row r="3557">
          <cell r="A3557" t="str">
            <v>901655609</v>
          </cell>
          <cell r="B3557" t="str">
            <v>4</v>
          </cell>
          <cell r="C3557" t="str">
            <v>CONSORCIO CONSTRUCCIONES STDER</v>
          </cell>
          <cell r="D3557" t="str">
            <v>3183705209</v>
          </cell>
          <cell r="E3557" t="str">
            <v>fpobrasyservicios@gmail.com</v>
          </cell>
          <cell r="F3557" t="str">
            <v>CR 36 35 44</v>
          </cell>
          <cell r="G3557">
            <v>11001</v>
          </cell>
        </row>
        <row r="3558">
          <cell r="A3558" t="str">
            <v>901656889</v>
          </cell>
          <cell r="B3558" t="str">
            <v>4</v>
          </cell>
          <cell r="C3558" t="str">
            <v>EDIFICIO ALTO PALERMO- PROPIEDAD HORIZONTAL</v>
          </cell>
          <cell r="D3558" t="str">
            <v>3174044429</v>
          </cell>
          <cell r="E3558" t="str">
            <v>cartera@pactoinmobiliario.com</v>
          </cell>
          <cell r="F3558" t="str">
            <v>CR 3 OESTE 5 124 128</v>
          </cell>
          <cell r="G3558">
            <v>11001</v>
          </cell>
        </row>
        <row r="3559">
          <cell r="A3559" t="str">
            <v>901657402</v>
          </cell>
          <cell r="B3559" t="str">
            <v>6</v>
          </cell>
          <cell r="C3559" t="str">
            <v>OZ MEDICAL SAS</v>
          </cell>
          <cell r="D3559" t="str">
            <v>3 1 1 6 4 2 1 3 0 9</v>
          </cell>
          <cell r="E3559" t="str">
            <v>admin@ozlatam.com</v>
          </cell>
          <cell r="F3559" t="str">
            <v>CL 93 NO. 14 55 P 7</v>
          </cell>
          <cell r="G3559">
            <v>11001</v>
          </cell>
        </row>
        <row r="3560">
          <cell r="A3560" t="str">
            <v>901659955</v>
          </cell>
          <cell r="B3560" t="str">
            <v>6</v>
          </cell>
          <cell r="C3560" t="str">
            <v>LA RESERVA - PROPIEDAD HORIZONTAL</v>
          </cell>
          <cell r="D3560" t="str">
            <v>6 0 1 9 1 9 2 0 0 4</v>
          </cell>
          <cell r="E3560" t="str">
            <v>adm.lareservaph@gmail.com</v>
          </cell>
          <cell r="F3560" t="str">
            <v>CR 79 20 26</v>
          </cell>
          <cell r="G3560">
            <v>11001</v>
          </cell>
        </row>
        <row r="3561">
          <cell r="A3561" t="str">
            <v>901659955</v>
          </cell>
          <cell r="B3561" t="str">
            <v>6</v>
          </cell>
          <cell r="C3561" t="str">
            <v>LA RESERVA - PROPIEDAD HORIZONTAL</v>
          </cell>
          <cell r="D3561" t="str">
            <v>6 0 1 9 1 9 2 0 0 4</v>
          </cell>
          <cell r="E3561" t="str">
            <v>adm.lareservaph@gmail.com</v>
          </cell>
          <cell r="F3561" t="str">
            <v>CR 79 20 26</v>
          </cell>
          <cell r="G3561">
            <v>11001</v>
          </cell>
        </row>
        <row r="3562">
          <cell r="A3562" t="str">
            <v>901661777</v>
          </cell>
          <cell r="B3562" t="str">
            <v>8</v>
          </cell>
          <cell r="C3562" t="str">
            <v>CONJUNTO MULTIFAMILAR AVELLANA - PROPIEDAD HORIZONTAL</v>
          </cell>
          <cell r="D3562">
            <v>3219664011</v>
          </cell>
          <cell r="E3562" t="str">
            <v>admonavellana24@gmail.com</v>
          </cell>
          <cell r="F3562" t="str">
            <v>CL 55 103 125</v>
          </cell>
          <cell r="G3562">
            <v>11001</v>
          </cell>
        </row>
        <row r="3563">
          <cell r="A3563" t="str">
            <v>901663012</v>
          </cell>
          <cell r="B3563" t="str">
            <v>1</v>
          </cell>
          <cell r="C3563" t="str">
            <v>CONJUNTO RESIDENCIAL PALLADIO</v>
          </cell>
          <cell r="D3563" t="str">
            <v>3 2 1 3 1 3 6 7 3 3</v>
          </cell>
          <cell r="E3563" t="str">
            <v>conjuntopalladio@gmail.com</v>
          </cell>
          <cell r="F3563" t="str">
            <v>CL 7 A 7 E 477 DEL CORREGIMIENTO DE LA BOQUILLA</v>
          </cell>
          <cell r="G3563">
            <v>11001</v>
          </cell>
        </row>
        <row r="3564">
          <cell r="A3564" t="str">
            <v>901663918</v>
          </cell>
          <cell r="B3564" t="str">
            <v>9</v>
          </cell>
          <cell r="C3564" t="str">
            <v>TRENTTO CENTRAL VIVIENDA DE INTERES SOCIAL - PROPIEDAD HORIZONTAL</v>
          </cell>
          <cell r="D3564" t="str">
            <v>3054509958</v>
          </cell>
          <cell r="E3564" t="str">
            <v>Admontrentto741@gmail.com</v>
          </cell>
          <cell r="F3564" t="str">
            <v>CARRERA 7 N° 9A - 41 SUR</v>
          </cell>
          <cell r="G3564">
            <v>11001</v>
          </cell>
        </row>
        <row r="3565">
          <cell r="A3565" t="str">
            <v>901667067</v>
          </cell>
          <cell r="B3565" t="str">
            <v>4</v>
          </cell>
          <cell r="C3565" t="str">
            <v>CONJUNTO RESIDENCIAL MAZZARO - PROPIEDAD HORIZONTAL</v>
          </cell>
          <cell r="D3565" t="str">
            <v>2104926</v>
          </cell>
          <cell r="E3565" t="str">
            <v>conjuntomazzaroph@gmail.com</v>
          </cell>
          <cell r="F3565" t="str">
            <v>CALLE 4B N° 34A - 85</v>
          </cell>
          <cell r="G3565">
            <v>11001</v>
          </cell>
        </row>
        <row r="3566">
          <cell r="A3566" t="str">
            <v>901668301</v>
          </cell>
          <cell r="B3566" t="str">
            <v>8</v>
          </cell>
          <cell r="C3566" t="str">
            <v>EL SOL DE MEXICO S.A.S.</v>
          </cell>
          <cell r="D3566" t="str">
            <v>3137235344</v>
          </cell>
          <cell r="E3566" t="str">
            <v>elsoldemexicosas@gmail.com</v>
          </cell>
          <cell r="F3566" t="str">
            <v>VRD UVITAL 76 20</v>
          </cell>
          <cell r="G3566">
            <v>11001</v>
          </cell>
        </row>
        <row r="3567">
          <cell r="A3567" t="str">
            <v>901668934</v>
          </cell>
          <cell r="B3567" t="str">
            <v>1</v>
          </cell>
          <cell r="C3567" t="str">
            <v>CONJUNTO CERRADO MAJESTIC II</v>
          </cell>
          <cell r="D3567" t="str">
            <v>3116484411</v>
          </cell>
          <cell r="E3567" t="str">
            <v>admmajesticii@outlook.com</v>
          </cell>
          <cell r="F3567" t="str">
            <v>TV 35 DG 2 74 SEC VIA FRAILES JAPON</v>
          </cell>
          <cell r="G3567">
            <v>11001</v>
          </cell>
        </row>
        <row r="3568">
          <cell r="A3568" t="str">
            <v>901669189</v>
          </cell>
          <cell r="B3568" t="str">
            <v>3</v>
          </cell>
          <cell r="C3568" t="str">
            <v>EDIFICIO TORRE SANTAMARIA</v>
          </cell>
          <cell r="D3568" t="str">
            <v>3128143228</v>
          </cell>
          <cell r="E3568" t="str">
            <v>edificiotorresantamaria2022@gmail.com</v>
          </cell>
          <cell r="F3568" t="str">
            <v>CL 13 4 32</v>
          </cell>
          <cell r="G3568">
            <v>11001</v>
          </cell>
        </row>
        <row r="3569">
          <cell r="A3569" t="str">
            <v>901670428</v>
          </cell>
          <cell r="B3569" t="str">
            <v>0</v>
          </cell>
          <cell r="C3569" t="str">
            <v>"BOSQUE RESERVADO" PROPIEDAD HORIZONTAL</v>
          </cell>
          <cell r="D3569" t="str">
            <v>3134139383</v>
          </cell>
          <cell r="E3569" t="str">
            <v>bosquereservado.ibague.admon@gmail.com</v>
          </cell>
          <cell r="F3569" t="str">
            <v>CR 6 SUR 70 70</v>
          </cell>
          <cell r="G3569">
            <v>11001</v>
          </cell>
        </row>
        <row r="3570">
          <cell r="A3570" t="str">
            <v>901670986</v>
          </cell>
          <cell r="B3570" t="str">
            <v>9</v>
          </cell>
          <cell r="C3570" t="str">
            <v>INVERSIONES MACEO SAS</v>
          </cell>
          <cell r="D3570" t="str">
            <v>3 1 0 2 3 7 6 3 5 9</v>
          </cell>
          <cell r="E3570" t="str">
            <v>contabilidad.klbienesraices@gmail.com</v>
          </cell>
          <cell r="F3570" t="str">
            <v>CL 20 NO. 2 A 26</v>
          </cell>
          <cell r="G3570">
            <v>11001</v>
          </cell>
        </row>
        <row r="3571">
          <cell r="A3571" t="str">
            <v>901671035</v>
          </cell>
          <cell r="B3571" t="str">
            <v>4</v>
          </cell>
          <cell r="C3571" t="str">
            <v>CONJUNTO RESIDENCIAL BRISAS DEL RIO</v>
          </cell>
          <cell r="D3571" t="str">
            <v>3185229966</v>
          </cell>
          <cell r="E3571" t="str">
            <v>conjuntobrisasdelrio98@gmail.com</v>
          </cell>
          <cell r="F3571" t="str">
            <v>CL 98 65 54</v>
          </cell>
          <cell r="G3571">
            <v>11001</v>
          </cell>
        </row>
        <row r="3572">
          <cell r="A3572" t="str">
            <v>901671041</v>
          </cell>
          <cell r="B3572" t="str">
            <v>9</v>
          </cell>
          <cell r="C3572" t="str">
            <v>CONJUNTO RESIDENCIAL CELESTE</v>
          </cell>
          <cell r="D3572" t="str">
            <v>3213136733</v>
          </cell>
          <cell r="E3572" t="str">
            <v>celesteparqueheredia@gmail.com</v>
          </cell>
          <cell r="F3572" t="str">
            <v>SUPERMANZANA 11 C 38 87 45 S M 11</v>
          </cell>
          <cell r="G3572">
            <v>11001</v>
          </cell>
        </row>
        <row r="3573">
          <cell r="A3573" t="str">
            <v>901682083</v>
          </cell>
          <cell r="B3573" t="str">
            <v>5</v>
          </cell>
          <cell r="C3573" t="str">
            <v>CONJUNTO CERRADO PALMETUM PARK CLUB HOUSE</v>
          </cell>
          <cell r="D3573" t="str">
            <v>3118695845</v>
          </cell>
          <cell r="E3573" t="str">
            <v>admpalmettum@outlook.com</v>
          </cell>
          <cell r="F3573" t="str">
            <v>CL 14 19 20 BRR SACHAMATE</v>
          </cell>
          <cell r="G3573">
            <v>11001</v>
          </cell>
        </row>
        <row r="3574">
          <cell r="A3574" t="str">
            <v>901682136</v>
          </cell>
          <cell r="B3574" t="str">
            <v>7</v>
          </cell>
          <cell r="C3574" t="str">
            <v>INVERSIONES ARBAL 1A S.A.S.</v>
          </cell>
          <cell r="D3574" t="str">
            <v>3002713293</v>
          </cell>
          <cell r="E3574" t="str">
            <v>inversionesarbal1a@hotmail.com</v>
          </cell>
          <cell r="F3574" t="str">
            <v>cl 14 #8-18</v>
          </cell>
          <cell r="G3574">
            <v>11001</v>
          </cell>
        </row>
        <row r="3575">
          <cell r="A3575" t="str">
            <v>901682422</v>
          </cell>
          <cell r="B3575" t="str">
            <v>9</v>
          </cell>
          <cell r="C3575" t="str">
            <v>CONJUNTO RESIDENCIAL PROVENZA CLUB, EL CONDOMINIO, PH PRIMERA ETAPA</v>
          </cell>
          <cell r="D3575" t="str">
            <v>3103412930</v>
          </cell>
          <cell r="E3575" t="str">
            <v>provenzacec@gmail.com</v>
          </cell>
          <cell r="F3575" t="str">
            <v>CL 105 17 98 BRR PROVENZA</v>
          </cell>
          <cell r="G3575">
            <v>11001</v>
          </cell>
        </row>
        <row r="3576">
          <cell r="A3576" t="str">
            <v>901682898</v>
          </cell>
          <cell r="B3576" t="str">
            <v>0</v>
          </cell>
          <cell r="C3576" t="str">
            <v>CONJUNTO RESIDENCIAL GAIA</v>
          </cell>
          <cell r="D3576" t="str">
            <v>3213136733</v>
          </cell>
          <cell r="E3576" t="str">
            <v>conjuntoresidencialgaia@gmail.com</v>
          </cell>
          <cell r="F3576" t="str">
            <v>CL 38B 86-43 BRR TERNERA</v>
          </cell>
          <cell r="G3576">
            <v>11001</v>
          </cell>
        </row>
        <row r="3577">
          <cell r="A3577" t="str">
            <v>901682908</v>
          </cell>
          <cell r="B3577" t="str">
            <v>6</v>
          </cell>
          <cell r="C3577" t="str">
            <v>CONJUNTO RESIDENCIAL RESERVA DE GRANADA V - PROPIEDAD HORIZONTAL</v>
          </cell>
          <cell r="D3577" t="str">
            <v>3213136733</v>
          </cell>
          <cell r="E3577" t="str">
            <v>reservadegranada5.admon@gmail.com</v>
          </cell>
          <cell r="F3577" t="str">
            <v>CR 120 77 B 82</v>
          </cell>
          <cell r="G3577">
            <v>11001</v>
          </cell>
        </row>
        <row r="3578">
          <cell r="A3578" t="str">
            <v>901682908</v>
          </cell>
          <cell r="B3578" t="str">
            <v>6</v>
          </cell>
          <cell r="C3578" t="str">
            <v>CONJUNTO RESIDENCIAL RESERVA DE GRANADA V - PROPIEDAD HORIZONTAL</v>
          </cell>
          <cell r="D3578" t="str">
            <v>3213136733</v>
          </cell>
          <cell r="E3578" t="str">
            <v>reservadegranada5.admon@gmail.com</v>
          </cell>
          <cell r="F3578" t="str">
            <v>CR 120 77 B 82</v>
          </cell>
          <cell r="G3578">
            <v>11001</v>
          </cell>
        </row>
        <row r="3579">
          <cell r="A3579" t="str">
            <v>901690088</v>
          </cell>
          <cell r="B3579" t="str">
            <v>5</v>
          </cell>
          <cell r="C3579" t="str">
            <v>CONJUNTO PARK LIVING - PROPIEDAD HORIZONTAL</v>
          </cell>
          <cell r="D3579" t="str">
            <v>3 0 2 7 4 5 2 2 4 1</v>
          </cell>
          <cell r="E3579" t="str">
            <v>admon.parkliving@gmail.com</v>
          </cell>
          <cell r="F3579" t="str">
            <v>CR 50 152 57</v>
          </cell>
          <cell r="G3579">
            <v>11001</v>
          </cell>
        </row>
        <row r="3580">
          <cell r="A3580" t="str">
            <v>901690088</v>
          </cell>
          <cell r="B3580" t="str">
            <v>5</v>
          </cell>
          <cell r="C3580" t="str">
            <v>CONJUNTO PARK LIVING - PROPIEDAD HORIZONTAL</v>
          </cell>
          <cell r="D3580" t="str">
            <v>3 0 2 7 4 5 2 2 4 1</v>
          </cell>
          <cell r="E3580" t="str">
            <v>admon.parkliving@gmail.com</v>
          </cell>
          <cell r="F3580" t="str">
            <v>CR 50 152 57</v>
          </cell>
          <cell r="G3580">
            <v>11001</v>
          </cell>
        </row>
        <row r="3581">
          <cell r="A3581" t="str">
            <v>901692192</v>
          </cell>
          <cell r="B3581" t="str">
            <v>2</v>
          </cell>
          <cell r="C3581" t="str">
            <v>EDIFICIO BRUXXEL</v>
          </cell>
          <cell r="D3581" t="str">
            <v>3 0 0 7 5 0 3 2 1 6</v>
          </cell>
          <cell r="E3581" t="str">
            <v>edificiobruxxel@gmail.com</v>
          </cell>
          <cell r="F3581" t="str">
            <v>CR 59 96 153</v>
          </cell>
          <cell r="G3581">
            <v>11001</v>
          </cell>
        </row>
        <row r="3582">
          <cell r="A3582" t="str">
            <v>901698514</v>
          </cell>
          <cell r="B3582" t="str">
            <v>8</v>
          </cell>
          <cell r="C3582" t="str">
            <v>CONJUNTO RESIDENCIAL TORRES DE ANDALUCIA PROPIEDAD HORIZONTAL</v>
          </cell>
          <cell r="D3582" t="str">
            <v>3214567610</v>
          </cell>
          <cell r="E3582" t="str">
            <v>conjuntotorresdeandalucia@outlook.com</v>
          </cell>
          <cell r="F3582" t="str">
            <v>CL 47 30 A 48</v>
          </cell>
          <cell r="G3582">
            <v>11001</v>
          </cell>
        </row>
        <row r="3583">
          <cell r="A3583" t="str">
            <v>901699479</v>
          </cell>
          <cell r="B3583" t="str">
            <v>2</v>
          </cell>
          <cell r="C3583" t="str">
            <v>MULTIFAMILIAR EDIFICIO FOREST 59</v>
          </cell>
          <cell r="D3583" t="str">
            <v>6 0 5 3 4 2 2 1 2 1</v>
          </cell>
          <cell r="E3583" t="str">
            <v>contabilidad.edificioforest59@hotmail.com</v>
          </cell>
          <cell r="F3583" t="str">
            <v>CL 90 58 51</v>
          </cell>
          <cell r="G3583">
            <v>11001</v>
          </cell>
        </row>
        <row r="3584">
          <cell r="A3584" t="str">
            <v>901700114</v>
          </cell>
          <cell r="B3584" t="str">
            <v>3</v>
          </cell>
          <cell r="C3584" t="str">
            <v>CONSORCIO CDV 2023</v>
          </cell>
          <cell r="D3584" t="str">
            <v>6076852120</v>
          </cell>
          <cell r="E3584" t="str">
            <v>consorciocdv2023@gmail.com</v>
          </cell>
          <cell r="F3584" t="str">
            <v>KM 2 ANILLO VIAL TO 1 OF 417 NATURA ECOPARQUE EMPRESARIAL</v>
          </cell>
          <cell r="G3584">
            <v>11001</v>
          </cell>
        </row>
        <row r="3585">
          <cell r="A3585" t="str">
            <v>901706229</v>
          </cell>
          <cell r="B3585" t="str">
            <v>9</v>
          </cell>
          <cell r="C3585" t="str">
            <v>PROYECTO INMOBILIARIO MEGAOBRA SAS</v>
          </cell>
          <cell r="D3585" t="str">
            <v>3172233680</v>
          </cell>
          <cell r="E3585" t="str">
            <v>fernandoserna11@une.net.co</v>
          </cell>
          <cell r="F3585" t="str">
            <v>CL 92 103</v>
          </cell>
          <cell r="G3585">
            <v>11001</v>
          </cell>
        </row>
        <row r="3586">
          <cell r="A3586" t="str">
            <v>901710736</v>
          </cell>
          <cell r="B3586" t="str">
            <v>7</v>
          </cell>
          <cell r="C3586" t="str">
            <v>CONJUNTO RESIDENCIAL IRAWA - PROPIEDAD HORIZONTAL</v>
          </cell>
          <cell r="D3586" t="str">
            <v>3004109518</v>
          </cell>
          <cell r="E3586" t="str">
            <v>crirawa@gmail.com</v>
          </cell>
          <cell r="F3586" t="str">
            <v>TV EL BOSQUE 17 117</v>
          </cell>
          <cell r="G3586">
            <v>11001</v>
          </cell>
        </row>
        <row r="3587">
          <cell r="A3587" t="str">
            <v>901715842</v>
          </cell>
          <cell r="B3587" t="str">
            <v>2</v>
          </cell>
          <cell r="C3587" t="str">
            <v>CONJUNTO RESIDENCIAL STEEL 22 - PROPIEDAD HORIZONTAL</v>
          </cell>
          <cell r="D3587" t="str">
            <v>3023631771</v>
          </cell>
          <cell r="E3587" t="str">
            <v>admonsteel22@gmail.com</v>
          </cell>
          <cell r="F3587" t="str">
            <v>CALLE 22 A BIS A No 94-63</v>
          </cell>
          <cell r="G3587">
            <v>11001</v>
          </cell>
        </row>
        <row r="3588">
          <cell r="A3588" t="str">
            <v>901717382</v>
          </cell>
          <cell r="B3588" t="str">
            <v>5</v>
          </cell>
          <cell r="C3588" t="str">
            <v>INNER BEAUTY SAS</v>
          </cell>
          <cell r="D3588" t="str">
            <v>3 2 0 2 6 1 9 5 2 6</v>
          </cell>
          <cell r="E3588" t="str">
            <v>innerbeauty@drlauracala.com</v>
          </cell>
          <cell r="F3588" t="str">
            <v>AK 15 83 33 CS 202</v>
          </cell>
          <cell r="G3588">
            <v>11001</v>
          </cell>
        </row>
        <row r="3589">
          <cell r="A3589" t="str">
            <v>901718605</v>
          </cell>
          <cell r="B3589" t="str">
            <v>7</v>
          </cell>
          <cell r="C3589" t="str">
            <v>PRO CONSTRUCTION SAS</v>
          </cell>
          <cell r="D3589" t="str">
            <v>3112022403</v>
          </cell>
          <cell r="E3589" t="str">
            <v>PROCONSTRUCTION950@GMAIL.COM</v>
          </cell>
          <cell r="F3589" t="str">
            <v>AV CL 26 NO. 68 C 61 OF 301</v>
          </cell>
          <cell r="G3589">
            <v>11001</v>
          </cell>
        </row>
        <row r="3590">
          <cell r="A3590" t="str">
            <v>901719664</v>
          </cell>
          <cell r="B3590" t="str">
            <v>6</v>
          </cell>
          <cell r="C3590" t="str">
            <v>CONJUNTO RESIDENCIAL FLORA</v>
          </cell>
          <cell r="D3590" t="str">
            <v>3012574497</v>
          </cell>
          <cell r="E3590" t="str">
            <v>florareservadecurinca@gmail.com</v>
          </cell>
          <cell r="F3590" t="str">
            <v>CR 30 50 09 URB SANTA CRUZ DE CURINCA</v>
          </cell>
          <cell r="G3590">
            <v>11001</v>
          </cell>
        </row>
        <row r="3591">
          <cell r="A3591" t="str">
            <v>901722365</v>
          </cell>
          <cell r="B3591" t="str">
            <v>1</v>
          </cell>
          <cell r="C3591" t="str">
            <v>CONJUNTO SEPIA - VIS - PROPIEDAD HORIZONTAL</v>
          </cell>
          <cell r="D3591" t="str">
            <v>6023709280</v>
          </cell>
          <cell r="E3591" t="str">
            <v>crsepia2023@gmail.com</v>
          </cell>
          <cell r="F3591" t="str">
            <v xml:space="preserve">CR 98 59 46 CR 98 B 59 75
</v>
          </cell>
          <cell r="G3591">
            <v>11001</v>
          </cell>
        </row>
        <row r="3592">
          <cell r="A3592" t="str">
            <v>901722602</v>
          </cell>
          <cell r="B3592" t="str">
            <v>0</v>
          </cell>
          <cell r="C3592" t="str">
            <v>CONJUNTO DE USO MIXTO ICONIK 68 - PROPIEDAD HORIZONTAL</v>
          </cell>
          <cell r="D3592" t="str">
            <v>3 1 1 5 3 8 8 1 3 9</v>
          </cell>
          <cell r="E3592" t="str">
            <v>admon.iconik68ph@gmail.com</v>
          </cell>
          <cell r="F3592" t="str">
            <v>AV CR 68 5 93</v>
          </cell>
          <cell r="G3592">
            <v>11001</v>
          </cell>
        </row>
        <row r="3593">
          <cell r="A3593" t="str">
            <v>901722602</v>
          </cell>
          <cell r="B3593" t="str">
            <v>0</v>
          </cell>
          <cell r="C3593" t="str">
            <v>CONJUNTO DE USO MIXTO ICONIK 68 - PROPIEDAD HORIZONTAL</v>
          </cell>
          <cell r="D3593" t="str">
            <v>3 1 1 5 3 8 8 1 3 9</v>
          </cell>
          <cell r="E3593" t="str">
            <v>admon.iconik68ph@gmail.com</v>
          </cell>
          <cell r="F3593" t="str">
            <v>AV CR 68 5 93</v>
          </cell>
          <cell r="G3593">
            <v>11001</v>
          </cell>
        </row>
        <row r="3594">
          <cell r="A3594" t="str">
            <v>901727538</v>
          </cell>
          <cell r="B3594" t="str">
            <v>1</v>
          </cell>
          <cell r="C3594" t="str">
            <v>CONSTRUCTORA C &amp; J S.A.S</v>
          </cell>
          <cell r="D3594" t="str">
            <v>3206664933</v>
          </cell>
          <cell r="E3594" t="str">
            <v>ADMONCONSTRUCTORAMJ@GMAIL.COM</v>
          </cell>
          <cell r="F3594" t="str">
            <v>CALLE  34 82 B 27</v>
          </cell>
          <cell r="G3594">
            <v>11001</v>
          </cell>
        </row>
        <row r="3595">
          <cell r="A3595" t="str">
            <v>901728313</v>
          </cell>
          <cell r="B3595" t="str">
            <v>4</v>
          </cell>
          <cell r="C3595" t="str">
            <v>CONJUNTO RESIDENCIAL URBANO 48 - PROPIEDAD HORIZONTAL</v>
          </cell>
          <cell r="D3595" t="str">
            <v>3132928184</v>
          </cell>
          <cell r="E3595" t="str">
            <v>urbano48ph@gmail.com</v>
          </cell>
          <cell r="F3595" t="str">
            <v>CR 15 48 21</v>
          </cell>
          <cell r="G3595">
            <v>11001</v>
          </cell>
        </row>
        <row r="3596">
          <cell r="A3596" t="str">
            <v>901730144</v>
          </cell>
          <cell r="B3596" t="str">
            <v>2</v>
          </cell>
          <cell r="C3596" t="str">
            <v>URBANIZACION BOSQUE LIBANO PROPIEDAD HORIZONTAL</v>
          </cell>
          <cell r="D3596" t="str">
            <v>3218172367</v>
          </cell>
          <cell r="E3596" t="str">
            <v>proveedores@naturaadmon.com</v>
          </cell>
          <cell r="F3596" t="str">
            <v>CR 24 B 40 A SUR 96</v>
          </cell>
          <cell r="G3596">
            <v>11001</v>
          </cell>
        </row>
        <row r="3597">
          <cell r="A3597" t="str">
            <v>901732824</v>
          </cell>
          <cell r="B3597" t="str">
            <v>1</v>
          </cell>
          <cell r="C3597" t="str">
            <v>INVERSIONES SOLAR 1010 S.A.S.</v>
          </cell>
          <cell r="D3597" t="str">
            <v>3 0 0 3 5 5 2 7 5 1</v>
          </cell>
          <cell r="E3597" t="str">
            <v>NICOLAS@NUCLEOJURIDICO.COM.CO</v>
          </cell>
          <cell r="F3597" t="str">
            <v>CALLE 5 No. 76 - 45 AP 205</v>
          </cell>
          <cell r="G3597">
            <v>11001</v>
          </cell>
        </row>
        <row r="3598">
          <cell r="A3598" t="str">
            <v>901738793</v>
          </cell>
          <cell r="B3598" t="str">
            <v>9</v>
          </cell>
          <cell r="C3598" t="str">
            <v>AGRUPACION SAHARA - VIS - PROPIEDAD HORIZONTAL</v>
          </cell>
          <cell r="D3598" t="str">
            <v>3202596629</v>
          </cell>
          <cell r="E3598" t="str">
            <v>agrupacionsahara@gmail.com</v>
          </cell>
          <cell r="F3598" t="str">
            <v>CL 58 Y 59 CR 98 C Y 98 F</v>
          </cell>
          <cell r="G3598">
            <v>11001</v>
          </cell>
        </row>
        <row r="3599">
          <cell r="A3599" t="str">
            <v>901739188</v>
          </cell>
          <cell r="B3599" t="str">
            <v>7</v>
          </cell>
          <cell r="C3599" t="str">
            <v>LOS NOGALES - PROPIEDAD HORIZONTAL</v>
          </cell>
          <cell r="D3599" t="str">
            <v>3204492767</v>
          </cell>
          <cell r="E3599" t="str">
            <v>admon.losnogales@gmail.com</v>
          </cell>
          <cell r="F3599" t="str">
            <v>CR 76 20 70</v>
          </cell>
          <cell r="G3599">
            <v>11001</v>
          </cell>
        </row>
        <row r="3600">
          <cell r="A3600" t="str">
            <v>901739677</v>
          </cell>
          <cell r="B3600" t="str">
            <v>7</v>
          </cell>
          <cell r="C3600" t="str">
            <v>CONJUNTO SAHARA - A - VIS - PROPIEDAD HORIZONTAL</v>
          </cell>
          <cell r="D3600" t="str">
            <v>3202596629</v>
          </cell>
          <cell r="E3600" t="str">
            <v>admonsaharaa@gmail.com</v>
          </cell>
          <cell r="F3600" t="str">
            <v>CR 98 C 58 72</v>
          </cell>
          <cell r="G3600">
            <v>11001</v>
          </cell>
        </row>
        <row r="3601">
          <cell r="A3601" t="str">
            <v>901741619</v>
          </cell>
          <cell r="B3601" t="str">
            <v>6</v>
          </cell>
          <cell r="C3601" t="str">
            <v>URBANIZACION RECINTO DE GUALANDAY - PROPIEDAD HORIZONTAL</v>
          </cell>
          <cell r="D3601" t="str">
            <v>3013382470</v>
          </cell>
          <cell r="E3601" t="str">
            <v>proveedores@consolidarhabitat.com</v>
          </cell>
          <cell r="F3601" t="str">
            <v>CR 63 31 B 123</v>
          </cell>
          <cell r="G3601">
            <v>11001</v>
          </cell>
        </row>
        <row r="3602">
          <cell r="A3602" t="str">
            <v>901748555</v>
          </cell>
          <cell r="B3602" t="str">
            <v>5</v>
          </cell>
          <cell r="C3602" t="str">
            <v>CONJUNTO RESIDENCIAL VIS VILLA MERCEDES</v>
          </cell>
          <cell r="D3602" t="str">
            <v>3142193350</v>
          </cell>
          <cell r="E3602" t="str">
            <v>phvillamercedessogamoso@outlook.com</v>
          </cell>
          <cell r="F3602" t="str">
            <v>CRA 13 1B No 74 - 78 SUR</v>
          </cell>
          <cell r="G3602">
            <v>11001</v>
          </cell>
        </row>
        <row r="3603">
          <cell r="A3603" t="str">
            <v>901768548</v>
          </cell>
          <cell r="B3603" t="str">
            <v>9</v>
          </cell>
          <cell r="C3603" t="str">
            <v>CONJUNTO RESIDENCIAL ALTOS DE FONTIBON - PROPIEDAD HORIZONTAL</v>
          </cell>
          <cell r="D3603" t="str">
            <v>3 2 3 9 8 8 3 5 0 3</v>
          </cell>
          <cell r="E3603" t="str">
            <v>defontibonaltos@gmail.com</v>
          </cell>
          <cell r="F3603" t="str">
            <v>CL 17 F 129 63</v>
          </cell>
          <cell r="G3603">
            <v>11001</v>
          </cell>
        </row>
        <row r="3604">
          <cell r="A3604" t="str">
            <v>901769268</v>
          </cell>
          <cell r="B3604" t="str">
            <v>6</v>
          </cell>
          <cell r="C3604" t="str">
            <v>EDIFICIO CARTAGENA BEACH EXCLUSIVE RESORT &amp; RESIDENCES - PROPIEDAD HORIZONTAL</v>
          </cell>
          <cell r="D3604" t="str">
            <v>3008168948</v>
          </cell>
          <cell r="E3604" t="str">
            <v>administracion@edfcartagenabeach.com</v>
          </cell>
          <cell r="F3604" t="str">
            <v>BRR CRESPO CR 7 67 77</v>
          </cell>
          <cell r="G3604">
            <v>11001</v>
          </cell>
        </row>
        <row r="3605">
          <cell r="A3605" t="str">
            <v>901776494</v>
          </cell>
          <cell r="B3605" t="str">
            <v>3</v>
          </cell>
          <cell r="C3605" t="str">
            <v>EDIFICIO SEAPORT III CENTRO EMPRESARIAL</v>
          </cell>
          <cell r="D3605" t="str">
            <v>3 1 2 6 7 0 4 2 7 8</v>
          </cell>
          <cell r="E3605" t="str">
            <v>edificioseaport3@gmail.com</v>
          </cell>
          <cell r="F3605" t="str">
            <v>BRR MANGA CR 28 27 23</v>
          </cell>
          <cell r="G3605">
            <v>11001</v>
          </cell>
        </row>
        <row r="3606">
          <cell r="A3606" t="str">
            <v>901776665</v>
          </cell>
          <cell r="B3606" t="str">
            <v>6</v>
          </cell>
          <cell r="C3606" t="str">
            <v>EDIFICIO ESTORIL 100 - PROPIEDAD HORIZONTAL</v>
          </cell>
          <cell r="D3606" t="str">
            <v>3 1 4 3 8 5 7 4 7 8</v>
          </cell>
          <cell r="E3606" t="str">
            <v>estoril100adm@gmail.com</v>
          </cell>
          <cell r="F3606" t="str">
            <v>CR 48 100 17</v>
          </cell>
          <cell r="G3606">
            <v>11001</v>
          </cell>
        </row>
        <row r="3607">
          <cell r="A3607" t="str">
            <v>901781222</v>
          </cell>
          <cell r="B3607" t="str">
            <v>7</v>
          </cell>
          <cell r="C3607" t="str">
            <v>EDIFICIO CHELSEA P.H.</v>
          </cell>
          <cell r="D3607" t="str">
            <v>6 0 4 4 4 4 2 4 2 0</v>
          </cell>
          <cell r="E3607" t="str">
            <v>contabilidad@administracionam.co</v>
          </cell>
          <cell r="F3607" t="str">
            <v>CR 48 19 SUR 100</v>
          </cell>
          <cell r="G3607">
            <v>11001</v>
          </cell>
        </row>
        <row r="3608">
          <cell r="A3608" t="str">
            <v>901781587</v>
          </cell>
          <cell r="B3608" t="str">
            <v>1</v>
          </cell>
          <cell r="C3608" t="str">
            <v>EDIFICIO OFICINAS 90 16 - PROPIEDAD HORIZONTAL</v>
          </cell>
          <cell r="D3608" t="str">
            <v>6016362329</v>
          </cell>
          <cell r="E3608" t="str">
            <v>administracion@oficinas9016.com</v>
          </cell>
          <cell r="F3608" t="str">
            <v>CR 16 88 81</v>
          </cell>
          <cell r="G3608">
            <v>11001</v>
          </cell>
        </row>
        <row r="3609">
          <cell r="A3609" t="str">
            <v>901783385</v>
          </cell>
          <cell r="B3609" t="str">
            <v>8</v>
          </cell>
          <cell r="C3609" t="str">
            <v>EDIFICIO 16 95 - PROPIEDAD HORIZONTAL</v>
          </cell>
          <cell r="D3609" t="str">
            <v>3 1 0 8 5 9 5 2 3 2</v>
          </cell>
          <cell r="E3609" t="str">
            <v>admonedificio1695@gmail.com</v>
          </cell>
          <cell r="F3609" t="str">
            <v>CR 16 95 14 LOCALIDAD DE CHAPINERO</v>
          </cell>
          <cell r="G3609">
            <v>11001</v>
          </cell>
        </row>
        <row r="3610">
          <cell r="A3610" t="str">
            <v>901786003</v>
          </cell>
          <cell r="B3610" t="str">
            <v>3</v>
          </cell>
          <cell r="C3610" t="str">
            <v>CONJUNTO RESIDENCIAL VALLE VERDE P.H.</v>
          </cell>
          <cell r="D3610" t="str">
            <v>3116106285</v>
          </cell>
          <cell r="E3610" t="str">
            <v>valleverdeph@hotmail.com</v>
          </cell>
          <cell r="F3610" t="str">
            <v>Avenida 26 # 52 81</v>
          </cell>
          <cell r="G3610">
            <v>11001</v>
          </cell>
        </row>
        <row r="3611">
          <cell r="A3611" t="str">
            <v>901792700</v>
          </cell>
          <cell r="B3611" t="str">
            <v>3</v>
          </cell>
          <cell r="C3611" t="str">
            <v>CONJUNTO CERRADO TERRAZAS DE MOLINOS - PROPIEDAD HORIZONTAL</v>
          </cell>
          <cell r="D3611" t="str">
            <v>3009695690</v>
          </cell>
          <cell r="E3611" t="str">
            <v>ccterrazasdemolinosph@gmail.com</v>
          </cell>
          <cell r="F3611" t="str">
            <v xml:space="preserve">Diagonal 49c Sur #11b-66 						
</v>
          </cell>
          <cell r="G3611">
            <v>11001</v>
          </cell>
        </row>
        <row r="3612">
          <cell r="A3612" t="str">
            <v>901799162</v>
          </cell>
          <cell r="B3612" t="str">
            <v>2</v>
          </cell>
          <cell r="C3612" t="str">
            <v>EDIFICIO TORRE RESIDENCIAL GRAUN - PROPIEDAD HORIZONTAL</v>
          </cell>
          <cell r="D3612" t="str">
            <v>3 1 4 3 8 5 7 4 7 8</v>
          </cell>
          <cell r="E3612" t="str">
            <v>admgraunsanfelipe@gmail.com</v>
          </cell>
          <cell r="F3612" t="str">
            <v>CL 75 23 43</v>
          </cell>
          <cell r="G3612">
            <v>11001</v>
          </cell>
        </row>
        <row r="3613">
          <cell r="A3613" t="str">
            <v>901801988</v>
          </cell>
          <cell r="B3613" t="str">
            <v>7</v>
          </cell>
          <cell r="C3613" t="str">
            <v>EDIFICIO MANZANA 3 - PROPIEDAD HORIZONTAL</v>
          </cell>
          <cell r="D3613" t="str">
            <v>3002712637</v>
          </cell>
          <cell r="E3613" t="str">
            <v>edificiomanzanatresadm@gmail.com</v>
          </cell>
          <cell r="F3613" t="str">
            <v>AV CR 30 63 D 45</v>
          </cell>
          <cell r="G3613">
            <v>11001</v>
          </cell>
        </row>
        <row r="3614">
          <cell r="A3614" t="str">
            <v>901805556</v>
          </cell>
          <cell r="B3614" t="str">
            <v>7</v>
          </cell>
          <cell r="C3614" t="str">
            <v>PLANEA HOTEL GROUP SAS</v>
          </cell>
          <cell r="D3614" t="str">
            <v>3 1 5 2 5 4 9 2 9 9</v>
          </cell>
          <cell r="E3614" t="str">
            <v>phgfacturacion@gmail.com</v>
          </cell>
          <cell r="F3614" t="str">
            <v>CR 13 16 85 LC 216</v>
          </cell>
          <cell r="G3614">
            <v>11001</v>
          </cell>
        </row>
        <row r="3615">
          <cell r="A3615" t="str">
            <v>901809157</v>
          </cell>
          <cell r="B3615" t="str">
            <v>1</v>
          </cell>
          <cell r="C3615" t="str">
            <v>EDIFICIO CALLE 94 A - PROPIEDAD HORIZONTAL</v>
          </cell>
          <cell r="D3615" t="str">
            <v>3 1 6 2 2 0 2 4 1 2</v>
          </cell>
          <cell r="E3615" t="str">
            <v>lfperdomo@situando.com.co</v>
          </cell>
          <cell r="F3615" t="str">
            <v>CL 94 A 13 72</v>
          </cell>
          <cell r="G3615">
            <v>11001</v>
          </cell>
        </row>
        <row r="3616">
          <cell r="A3616" t="str">
            <v>901812009</v>
          </cell>
          <cell r="B3616" t="str">
            <v>9</v>
          </cell>
          <cell r="C3616" t="str">
            <v>EDIFICIO MORUS - PROPIEDAD HORIZONTAL</v>
          </cell>
          <cell r="D3616" t="str">
            <v>3006412365</v>
          </cell>
          <cell r="E3616" t="str">
            <v>edificiomorusph2023@gmail.com</v>
          </cell>
          <cell r="F3616" t="str">
            <v>CL 127 A 13 A 21</v>
          </cell>
          <cell r="G3616">
            <v>11001</v>
          </cell>
        </row>
        <row r="3617">
          <cell r="A3617" t="str">
            <v>901818335</v>
          </cell>
          <cell r="B3617" t="str">
            <v>2</v>
          </cell>
          <cell r="C3617" t="str">
            <v>CONJUNTO RESIDENCIAL URBANIA BIO - PROPIEDAD HORIZONTAL</v>
          </cell>
          <cell r="D3617" t="str">
            <v>3 1 1 5 3 8 8 1 3 9</v>
          </cell>
          <cell r="E3617" t="str">
            <v>admon.urbaniabioph@gmail.com</v>
          </cell>
          <cell r="F3617" t="str">
            <v>CR 130 22 39</v>
          </cell>
          <cell r="G3617">
            <v>11001</v>
          </cell>
        </row>
        <row r="3618">
          <cell r="A3618" t="str">
            <v>901826664</v>
          </cell>
          <cell r="B3618" t="str">
            <v>4</v>
          </cell>
          <cell r="C3618" t="str">
            <v>EDIFICIO PALACE CONDOMINIO</v>
          </cell>
          <cell r="D3618" t="str">
            <v>3 1 5 8 3 6 3 0 5 7</v>
          </cell>
          <cell r="E3618" t="str">
            <v>palacecondominioph@gmail.com</v>
          </cell>
          <cell r="F3618" t="str">
            <v>CR 29 34 54 38 CL 35 28 63 71 81</v>
          </cell>
          <cell r="G3618">
            <v>11001</v>
          </cell>
        </row>
        <row r="3619">
          <cell r="A3619" t="str">
            <v>901842332</v>
          </cell>
          <cell r="B3619" t="str">
            <v>1</v>
          </cell>
          <cell r="C3619" t="str">
            <v>CONJUNTO RESIDENCIAL ARAGÓN - PROPIEDAD HORIZONTAL</v>
          </cell>
          <cell r="D3619" t="str">
            <v>3 2 1 2 4 0 3 5 8 7</v>
          </cell>
          <cell r="E3619" t="str">
            <v>admonaragonapartamentosph@gmail.com</v>
          </cell>
          <cell r="F3619" t="str">
            <v>CL 17 D BIS 123 A 05</v>
          </cell>
          <cell r="G3619">
            <v>11001</v>
          </cell>
        </row>
        <row r="3620">
          <cell r="A3620" t="str">
            <v>901842332</v>
          </cell>
          <cell r="B3620" t="str">
            <v>1</v>
          </cell>
          <cell r="C3620" t="str">
            <v>CONJUNTO RESIDENCIAL ARAGÓN - PROPIEDAD HORIZONTAL</v>
          </cell>
          <cell r="D3620" t="str">
            <v>3 2 1 2 4 0 3 5 8 7</v>
          </cell>
          <cell r="E3620" t="str">
            <v>admonaragonapartamentosph@gmail.com</v>
          </cell>
          <cell r="F3620" t="str">
            <v>CL 17 D BIS 123 A 05</v>
          </cell>
          <cell r="G3620">
            <v>11001</v>
          </cell>
        </row>
        <row r="3621">
          <cell r="A3621" t="str">
            <v>901859465</v>
          </cell>
          <cell r="B3621" t="str">
            <v>7</v>
          </cell>
          <cell r="C3621" t="str">
            <v>EMPRENDU 90 BTS SAS</v>
          </cell>
          <cell r="D3621" t="str">
            <v>3004157990</v>
          </cell>
          <cell r="E3621" t="str">
            <v>administracion90@emprendu.com</v>
          </cell>
          <cell r="F3621" t="str">
            <v>CL 90 NO. 12 28</v>
          </cell>
          <cell r="G3621">
            <v>11001</v>
          </cell>
        </row>
        <row r="3622">
          <cell r="A3622" t="str">
            <v>901866773</v>
          </cell>
          <cell r="B3622" t="str">
            <v>1</v>
          </cell>
          <cell r="C3622" t="str">
            <v>EDIFICIO SOVERATO - PROPIEDAD HORIZONTAL</v>
          </cell>
          <cell r="D3622" t="str">
            <v>3 1 1 2 5 9 4 6 3 0</v>
          </cell>
          <cell r="E3622" t="str">
            <v>edificiosoverato@gmail.com</v>
          </cell>
          <cell r="F3622" t="str">
            <v>CR 22 120 32</v>
          </cell>
          <cell r="G3622">
            <v>11001</v>
          </cell>
        </row>
        <row r="3623">
          <cell r="A3623" t="str">
            <v>901869968</v>
          </cell>
          <cell r="B3623" t="str">
            <v>2</v>
          </cell>
          <cell r="C3623" t="str">
            <v>EDIFICIO BOSQUE ALTO APARTASUITES - PROPIEDAD HORIZONTAL</v>
          </cell>
          <cell r="D3623" t="str">
            <v>3158520755</v>
          </cell>
          <cell r="E3623" t="str">
            <v>contabilidadumana@gmail.com</v>
          </cell>
          <cell r="F3623" t="str">
            <v>CR 12 113 23</v>
          </cell>
          <cell r="G3623">
            <v>11001</v>
          </cell>
        </row>
        <row r="3624">
          <cell r="A3624" t="str">
            <v>901895581</v>
          </cell>
          <cell r="B3624" t="str">
            <v>6</v>
          </cell>
          <cell r="C3624" t="str">
            <v>EDIFICIO LEVEL VIRREY - PROPIEDAD HORIZONTAL</v>
          </cell>
          <cell r="D3624" t="str">
            <v>3166940074</v>
          </cell>
          <cell r="E3624" t="str">
            <v>edificiolevelvirrey@gmail.com</v>
          </cell>
          <cell r="F3624" t="str">
            <v>CRA 19 C 86 A - 67</v>
          </cell>
          <cell r="G3624">
            <v>11001</v>
          </cell>
        </row>
        <row r="3625">
          <cell r="A3625" t="str">
            <v>91071183</v>
          </cell>
          <cell r="B3625" t="str">
            <v>4</v>
          </cell>
          <cell r="C3625" t="str">
            <v>NESTOR JULIO GARCIA BLANCO</v>
          </cell>
          <cell r="D3625" t="str">
            <v>3153759118</v>
          </cell>
          <cell r="E3625" t="str">
            <v>boticasangilena@hotmail.com</v>
          </cell>
          <cell r="F3625" t="str">
            <v>CR 10 12 81 BRR CENTRO</v>
          </cell>
          <cell r="G3625">
            <v>11001</v>
          </cell>
        </row>
        <row r="3626">
          <cell r="A3626" t="str">
            <v>91216727</v>
          </cell>
          <cell r="B3626" t="str">
            <v>5</v>
          </cell>
          <cell r="C3626" t="str">
            <v>LUIS EDUARDO CASTILLO PEREZ</v>
          </cell>
          <cell r="D3626" t="str">
            <v>3711111</v>
          </cell>
          <cell r="E3626" t="str">
            <v>compras@hotelwindsor.com.co</v>
          </cell>
          <cell r="F3626" t="str">
            <v>CALLE 84  46  25</v>
          </cell>
          <cell r="G3626">
            <v>11001</v>
          </cell>
        </row>
        <row r="3627">
          <cell r="A3627" t="str">
            <v>91224724</v>
          </cell>
          <cell r="B3627" t="str">
            <v>7</v>
          </cell>
          <cell r="C3627" t="str">
            <v>LUIS CARLOS MANTILLA HERNANDEZ</v>
          </cell>
          <cell r="D3627" t="str">
            <v>3107797028</v>
          </cell>
          <cell r="E3627" t="str">
            <v>belcygarcia@hotmail.com</v>
          </cell>
          <cell r="F3627" t="str">
            <v>CR 44 57 31</v>
          </cell>
          <cell r="G3627">
            <v>11001</v>
          </cell>
        </row>
        <row r="3628">
          <cell r="A3628" t="str">
            <v>91231170</v>
          </cell>
          <cell r="B3628" t="str">
            <v>6</v>
          </cell>
          <cell r="C3628" t="str">
            <v>GREGORIO ABRIL HERNÁNDEZ</v>
          </cell>
          <cell r="D3628" t="str">
            <v>3002178033</v>
          </cell>
          <cell r="E3628" t="str">
            <v>gregoabrilh@gmail.com</v>
          </cell>
          <cell r="F3628" t="str">
            <v>CR 55 71 23 CA 15 BRR LAGOS CACIQUE</v>
          </cell>
          <cell r="G3628">
            <v>11001</v>
          </cell>
        </row>
        <row r="3629">
          <cell r="A3629" t="str">
            <v>94324405</v>
          </cell>
          <cell r="B3629" t="str">
            <v>2</v>
          </cell>
          <cell r="C3629" t="str">
            <v>JOHN JAIRO GAVIRIA TABARES</v>
          </cell>
          <cell r="D3629" t="str">
            <v>3176697195</v>
          </cell>
          <cell r="E3629" t="str">
            <v>karolopez0406@hotmail.com</v>
          </cell>
          <cell r="F3629" t="str">
            <v>CARRERA 32 30-13</v>
          </cell>
          <cell r="G3629">
            <v>11001</v>
          </cell>
        </row>
        <row r="3630">
          <cell r="A3630" t="str">
            <v>98388252</v>
          </cell>
          <cell r="B3630" t="str">
            <v>1</v>
          </cell>
          <cell r="C3630" t="str">
            <v>IVAN MAURICIO ROMO LOZANO</v>
          </cell>
          <cell r="D3630">
            <v>3219664011</v>
          </cell>
          <cell r="E3630" t="str">
            <v>mauricioromo@hotmail.com</v>
          </cell>
          <cell r="F3630" t="str">
            <v>KM 7 VIA PANAMERICANA  SUR</v>
          </cell>
          <cell r="G3630">
            <v>11001</v>
          </cell>
        </row>
        <row r="3631">
          <cell r="A3631">
            <v>222222222</v>
          </cell>
          <cell r="B3631" t="str">
            <v/>
          </cell>
          <cell r="C3631" t="str">
            <v>CUANTIAS MENORES</v>
          </cell>
          <cell r="D3631">
            <v>3228184763</v>
          </cell>
          <cell r="E3631" t="str">
            <v>impuestos@estiloingeniera.com</v>
          </cell>
          <cell r="F3631" t="str">
            <v xml:space="preserve">CL 127A 53A 45 TO2 P11 OF1101 </v>
          </cell>
          <cell r="G3631">
            <v>13001</v>
          </cell>
        </row>
        <row r="3632">
          <cell r="A3632" t="str">
            <v>700181820</v>
          </cell>
          <cell r="B3632" t="str">
            <v>8</v>
          </cell>
          <cell r="C3632" t="str">
            <v>CHRISTIAN JOHANNES BOLLINGER</v>
          </cell>
          <cell r="D3632" t="str">
            <v>3015769735</v>
          </cell>
          <cell r="E3632" t="str">
            <v>amcbtperuvian@gmail.com</v>
          </cell>
          <cell r="F3632" t="str">
            <v>BRR BOCAGRANDE CR 1 6 106</v>
          </cell>
          <cell r="G3632">
            <v>13001</v>
          </cell>
        </row>
        <row r="3633">
          <cell r="A3633" t="str">
            <v>800020023</v>
          </cell>
          <cell r="B3633" t="str">
            <v>7</v>
          </cell>
          <cell r="C3633" t="str">
            <v>HOTEL SANTA CLARA S A</v>
          </cell>
          <cell r="D3633" t="str">
            <v>6504735/38</v>
          </cell>
          <cell r="E3633" t="str">
            <v>800020023@factureinbox.co</v>
          </cell>
          <cell r="F3633" t="str">
            <v>CARRERA 8  39  29</v>
          </cell>
          <cell r="G3633">
            <v>13001</v>
          </cell>
        </row>
        <row r="3634">
          <cell r="A3634" t="str">
            <v>800027617</v>
          </cell>
          <cell r="B3634" t="str">
            <v>3</v>
          </cell>
          <cell r="C3634" t="str">
            <v>MENSULA S.A.S.</v>
          </cell>
          <cell r="D3634" t="str">
            <v>3613536</v>
          </cell>
          <cell r="E3634" t="str">
            <v>facturacion@mensulaingenieros.com</v>
          </cell>
          <cell r="F3634" t="str">
            <v>CALLE 10 SUR  50 F F  28  OFICINA 407</v>
          </cell>
          <cell r="G3634">
            <v>13001</v>
          </cell>
        </row>
        <row r="3635">
          <cell r="A3635" t="str">
            <v>800102364</v>
          </cell>
          <cell r="B3635" t="str">
            <v>6</v>
          </cell>
          <cell r="C3635" t="str">
            <v>CONDOMINIO CARTAGENA DE INDIAS</v>
          </cell>
          <cell r="D3635" t="str">
            <v>6793728</v>
          </cell>
          <cell r="E3635" t="str">
            <v>qt+800102364@recepcion.qenta.app</v>
          </cell>
          <cell r="F3635" t="str">
            <v>CALLE 13  1  25</v>
          </cell>
          <cell r="G3635">
            <v>13001</v>
          </cell>
        </row>
        <row r="3636">
          <cell r="A3636" t="str">
            <v>800155725</v>
          </cell>
          <cell r="B3636" t="str">
            <v>9</v>
          </cell>
          <cell r="C3636" t="str">
            <v>COPROPIEDAD EDIFICIO PORTOFINO</v>
          </cell>
          <cell r="D3636" t="str">
            <v>6657651</v>
          </cell>
          <cell r="E3636" t="str">
            <v>edificioportofino@hotmail.com</v>
          </cell>
          <cell r="F3636" t="str">
            <v>CALLE 10  1  61</v>
          </cell>
          <cell r="G3636">
            <v>13001</v>
          </cell>
        </row>
        <row r="3637">
          <cell r="A3637" t="str">
            <v>800176628</v>
          </cell>
          <cell r="B3637" t="str">
            <v>2</v>
          </cell>
          <cell r="C3637" t="str">
            <v>MODAS Y DISEÑOS S A</v>
          </cell>
          <cell r="D3637" t="str">
            <v>3854905</v>
          </cell>
          <cell r="E3637" t="str">
            <v>800176628@factureinbox.co</v>
          </cell>
          <cell r="F3637" t="str">
            <v>CARRERA 23  1  175  PISO 2</v>
          </cell>
          <cell r="G3637">
            <v>13001</v>
          </cell>
        </row>
        <row r="3638">
          <cell r="A3638" t="str">
            <v>800177155</v>
          </cell>
          <cell r="B3638" t="str">
            <v>5</v>
          </cell>
          <cell r="C3638" t="str">
            <v>EDIFICIO MARGARITA DEL MAR</v>
          </cell>
          <cell r="D3638" t="str">
            <v>6794479</v>
          </cell>
          <cell r="E3638" t="str">
            <v>edificiomargaritadelmar@gmail.com</v>
          </cell>
          <cell r="F3638" t="str">
            <v>CARRERA 3  4  10</v>
          </cell>
          <cell r="G3638">
            <v>13001</v>
          </cell>
        </row>
        <row r="3639">
          <cell r="A3639" t="str">
            <v>800184994</v>
          </cell>
          <cell r="B3639" t="str">
            <v>7</v>
          </cell>
          <cell r="C3639" t="str">
            <v>ASOCIACION DE COPROPIETARIOS DEL EDIFICIO CARTAGENA PRINCESS</v>
          </cell>
          <cell r="D3639" t="str">
            <v>6652027</v>
          </cell>
          <cell r="E3639" t="str">
            <v>edificiocartagenaprincess@hotmail.com</v>
          </cell>
          <cell r="F3639" t="str">
            <v>CARRERA 6  6  37</v>
          </cell>
          <cell r="G3639">
            <v>13001</v>
          </cell>
        </row>
        <row r="3640">
          <cell r="A3640" t="str">
            <v>800185295</v>
          </cell>
          <cell r="B3640" t="str">
            <v>1</v>
          </cell>
          <cell r="C3640" t="str">
            <v>AMARILO S.A.S.</v>
          </cell>
          <cell r="D3640" t="str">
            <v>3103180952</v>
          </cell>
          <cell r="E3640" t="str">
            <v>facturaelectronica@amarilo.com</v>
          </cell>
          <cell r="F3640" t="str">
            <v>CL 90 11 A - 27</v>
          </cell>
          <cell r="G3640">
            <v>13001</v>
          </cell>
        </row>
        <row r="3641">
          <cell r="A3641" t="str">
            <v>800200156</v>
          </cell>
          <cell r="B3641" t="str">
            <v>0</v>
          </cell>
          <cell r="C3641" t="str">
            <v>EDIFICIO CENTRO EJECUTIVO</v>
          </cell>
          <cell r="D3641" t="str">
            <v>6653263</v>
          </cell>
          <cell r="E3641" t="str">
            <v>administracion@edificiocentroejecutivo.com</v>
          </cell>
          <cell r="F3641" t="str">
            <v>CARRERA 3  8  129</v>
          </cell>
          <cell r="G3641">
            <v>13001</v>
          </cell>
        </row>
        <row r="3642">
          <cell r="A3642" t="str">
            <v>800219433</v>
          </cell>
          <cell r="B3642" t="str">
            <v>1</v>
          </cell>
          <cell r="C3642" t="str">
            <v>EDIFICIO MAR DE BARU</v>
          </cell>
          <cell r="D3642" t="str">
            <v>6653214</v>
          </cell>
          <cell r="E3642" t="str">
            <v>mardebaruedificio@gmail.com</v>
          </cell>
          <cell r="F3642" t="str">
            <v>CARRERA 5  6  13</v>
          </cell>
          <cell r="G3642">
            <v>13001</v>
          </cell>
        </row>
        <row r="3643">
          <cell r="A3643" t="str">
            <v>800219881</v>
          </cell>
          <cell r="B3643" t="str">
            <v>6</v>
          </cell>
          <cell r="C3643" t="str">
            <v>EDIFICIO LAURA P.H.</v>
          </cell>
          <cell r="D3643" t="str">
            <v>6657495</v>
          </cell>
          <cell r="E3643" t="str">
            <v>admon_edificiolaura@hotmail.com</v>
          </cell>
          <cell r="F3643" t="str">
            <v>DIAGONAL 1 B  1 A  872</v>
          </cell>
          <cell r="G3643">
            <v>13001</v>
          </cell>
        </row>
        <row r="3644">
          <cell r="A3644" t="str">
            <v>800224062</v>
          </cell>
          <cell r="B3644" t="str">
            <v>0</v>
          </cell>
          <cell r="C3644" t="str">
            <v>LAS BOVEDAS S.A.S</v>
          </cell>
          <cell r="D3644" t="str">
            <v>6504465</v>
          </cell>
          <cell r="E3644" t="str">
            <v>800224062@factureinbox.co</v>
          </cell>
          <cell r="F3644" t="str">
            <v>CALLE DEL TORNO  39  114</v>
          </cell>
          <cell r="G3644">
            <v>13001</v>
          </cell>
        </row>
        <row r="3645">
          <cell r="A3645" t="str">
            <v>800225466</v>
          </cell>
          <cell r="B3645" t="str">
            <v>7</v>
          </cell>
          <cell r="C3645" t="str">
            <v>EDIFICIO PUERTO AZUL P.H.</v>
          </cell>
          <cell r="D3645" t="str">
            <v>6656876</v>
          </cell>
          <cell r="E3645" t="str">
            <v>puertoazul2010@hotmail.com</v>
          </cell>
          <cell r="F3645" t="str">
            <v>CARRERA 1  14  26</v>
          </cell>
          <cell r="G3645">
            <v>13001</v>
          </cell>
        </row>
        <row r="3646">
          <cell r="A3646" t="str">
            <v>800235478</v>
          </cell>
          <cell r="B3646" t="str">
            <v>8</v>
          </cell>
          <cell r="C3646" t="str">
            <v>ASOCIACION DE COOPROPIETARIOS EDIFICIO CARTAGENA ESCAPE PLAZA</v>
          </cell>
          <cell r="D3646" t="str">
            <v>6651807</v>
          </cell>
          <cell r="E3646" t="str">
            <v>marlenpr51@hotmail.com</v>
          </cell>
          <cell r="F3646" t="str">
            <v>AVENIDA SAN MARTIN  9  13</v>
          </cell>
          <cell r="G3646">
            <v>13001</v>
          </cell>
        </row>
        <row r="3647">
          <cell r="A3647" t="str">
            <v>800235532</v>
          </cell>
          <cell r="B3647" t="str">
            <v>8</v>
          </cell>
          <cell r="C3647" t="str">
            <v>ASOCIACION DE COPROPIETARIOS EDIFICIO VALDEZCARAY</v>
          </cell>
          <cell r="D3647" t="str">
            <v>3215897503</v>
          </cell>
          <cell r="E3647" t="str">
            <v>edificiovaldezcaray@hotmail.com</v>
          </cell>
          <cell r="F3647" t="str">
            <v>CALLE 6  6  72</v>
          </cell>
          <cell r="G3647">
            <v>13001</v>
          </cell>
        </row>
        <row r="3648">
          <cell r="A3648" t="str">
            <v>805011262</v>
          </cell>
          <cell r="B3648" t="str">
            <v>0</v>
          </cell>
          <cell r="C3648" t="str">
            <v>RTS S A S</v>
          </cell>
          <cell r="D3648" t="str">
            <v>4447471</v>
          </cell>
          <cell r="E3648" t="str">
            <v>recep_rtssas@baxter.com</v>
          </cell>
          <cell r="F3648" t="str">
            <v>DIAGONAL 31  54  215</v>
          </cell>
          <cell r="G3648">
            <v>13001</v>
          </cell>
        </row>
        <row r="3649">
          <cell r="A3649" t="str">
            <v>806000326</v>
          </cell>
          <cell r="B3649" t="str">
            <v>1</v>
          </cell>
          <cell r="C3649" t="str">
            <v>ASOCIACION DE COPROPIETARIOS EDIFICIO MADRIGAL</v>
          </cell>
          <cell r="D3649" t="str">
            <v>6606111</v>
          </cell>
          <cell r="E3649" t="str">
            <v>madrigaledificio@gmail.com</v>
          </cell>
          <cell r="F3649" t="str">
            <v>CALLE DE BOUQUET  23  57</v>
          </cell>
          <cell r="G3649">
            <v>13001</v>
          </cell>
        </row>
        <row r="3650">
          <cell r="A3650" t="str">
            <v>806000591</v>
          </cell>
          <cell r="B3650" t="str">
            <v>5</v>
          </cell>
          <cell r="C3650" t="str">
            <v>ACCORHOTELS COLOMBIA S A</v>
          </cell>
          <cell r="D3650" t="str">
            <v>6363633</v>
          </cell>
          <cell r="E3650" t="str">
            <v>facturacion@estiloingenieria.com</v>
          </cell>
          <cell r="F3650" t="str">
            <v>CR 12A 83 75 OF 502</v>
          </cell>
          <cell r="G3650">
            <v>13001</v>
          </cell>
        </row>
        <row r="3651">
          <cell r="A3651" t="str">
            <v>806000787</v>
          </cell>
          <cell r="B3651" t="str">
            <v>1</v>
          </cell>
          <cell r="C3651" t="str">
            <v>ASOCIACION DE COPROPIETARIOS EDIFICIO MAKUIRA</v>
          </cell>
          <cell r="D3651" t="str">
            <v>6550845</v>
          </cell>
          <cell r="E3651" t="str">
            <v>admonmakuira@gmail.com</v>
          </cell>
          <cell r="F3651" t="str">
            <v>CARRERA 4  4  81</v>
          </cell>
          <cell r="G3651">
            <v>13001</v>
          </cell>
        </row>
        <row r="3652">
          <cell r="A3652" t="str">
            <v>806001351</v>
          </cell>
          <cell r="B3652" t="str">
            <v>9</v>
          </cell>
          <cell r="C3652" t="str">
            <v>COPROPIEDAD EDIFICIO BAHIA BOLIVAR</v>
          </cell>
          <cell r="D3652" t="str">
            <v>6652110</v>
          </cell>
          <cell r="E3652" t="str">
            <v>bahiabolivar2014@hotmail.com</v>
          </cell>
          <cell r="F3652" t="str">
            <v>CALLE 9  3  19</v>
          </cell>
          <cell r="G3652">
            <v>13001</v>
          </cell>
        </row>
        <row r="3653">
          <cell r="A3653" t="str">
            <v>806002301</v>
          </cell>
          <cell r="B3653" t="str">
            <v>5</v>
          </cell>
          <cell r="C3653" t="str">
            <v>EDIFICIO PLAYA BLANCA P.H.</v>
          </cell>
          <cell r="D3653" t="str">
            <v>6560455</v>
          </cell>
          <cell r="E3653" t="str">
            <v>edificioplayablancaph@hotmail.com</v>
          </cell>
          <cell r="F3653" t="str">
            <v>CALLE 93 B  13  44  PISO 5</v>
          </cell>
          <cell r="G3653">
            <v>13001</v>
          </cell>
        </row>
        <row r="3654">
          <cell r="A3654" t="str">
            <v>806002467</v>
          </cell>
          <cell r="B3654" t="str">
            <v>9</v>
          </cell>
          <cell r="C3654" t="str">
            <v>ASOCIACION DE COPROPIETARIOS DEL EDIFICIO ALTOS DE ARANJUEZ</v>
          </cell>
          <cell r="D3654" t="str">
            <v>6561128</v>
          </cell>
          <cell r="E3654" t="str">
            <v>edificioaltosdearanjuez@yahoo.com</v>
          </cell>
          <cell r="F3654" t="str">
            <v>CARRERA 20  29 B  127</v>
          </cell>
          <cell r="G3654">
            <v>13001</v>
          </cell>
        </row>
        <row r="3655">
          <cell r="A3655" t="str">
            <v>806002666</v>
          </cell>
          <cell r="B3655" t="str">
            <v>8</v>
          </cell>
          <cell r="C3655" t="str">
            <v>EDIFICIO FUENGIROLA P. DE H.</v>
          </cell>
          <cell r="D3655" t="str">
            <v>3013633783</v>
          </cell>
          <cell r="E3655" t="str">
            <v>edifuengirola@gmail.com</v>
          </cell>
          <cell r="F3655" t="str">
            <v>AVENIDA 3  22  83</v>
          </cell>
          <cell r="G3655">
            <v>13001</v>
          </cell>
        </row>
        <row r="3656">
          <cell r="A3656" t="str">
            <v>806003007</v>
          </cell>
          <cell r="B3656" t="str">
            <v>9</v>
          </cell>
          <cell r="C3656" t="str">
            <v>EDIFICIO MARBELLA REAL P.H.</v>
          </cell>
          <cell r="D3656">
            <v>3219664011</v>
          </cell>
          <cell r="E3656" t="str">
            <v>isantana19751@gmail.com</v>
          </cell>
          <cell r="F3656" t="str">
            <v>AVENIDA SANTANDER  46 A  120</v>
          </cell>
          <cell r="G3656">
            <v>13001</v>
          </cell>
        </row>
        <row r="3657">
          <cell r="A3657" t="str">
            <v>806003150</v>
          </cell>
          <cell r="B3657" t="str">
            <v>4</v>
          </cell>
          <cell r="C3657" t="str">
            <v>EDIFICIO CASTILLO DEL MAR P H</v>
          </cell>
          <cell r="D3657" t="str">
            <v>6653315</v>
          </cell>
          <cell r="E3657" t="str">
            <v>edificiocastillodelmar@yahoo.es</v>
          </cell>
          <cell r="F3657" t="str">
            <v>CARRERA 9  81  19</v>
          </cell>
          <cell r="G3657">
            <v>13001</v>
          </cell>
        </row>
        <row r="3658">
          <cell r="A3658" t="str">
            <v>806006613</v>
          </cell>
          <cell r="B3658" t="str">
            <v>6</v>
          </cell>
          <cell r="C3658" t="str">
            <v>EDIFICIO BALMORAL P.H</v>
          </cell>
          <cell r="D3658" t="str">
            <v>6551304</v>
          </cell>
          <cell r="E3658" t="str">
            <v>rebecademendez@hotmail.com</v>
          </cell>
          <cell r="F3658" t="str">
            <v>CARRERA 6 A  5  25</v>
          </cell>
          <cell r="G3658">
            <v>13001</v>
          </cell>
        </row>
        <row r="3659">
          <cell r="A3659" t="str">
            <v>830504920</v>
          </cell>
          <cell r="B3659" t="str">
            <v>6</v>
          </cell>
          <cell r="C3659" t="str">
            <v>GALERIA LA TERCERA S.A.S.</v>
          </cell>
          <cell r="D3659" t="str">
            <v>3187078498</v>
          </cell>
          <cell r="E3659" t="str">
            <v>facturacion@galeriaoficinas.com</v>
          </cell>
          <cell r="F3659" t="str">
            <v>CARRERA 3  8  104</v>
          </cell>
          <cell r="G3659">
            <v>13001</v>
          </cell>
        </row>
        <row r="3660">
          <cell r="A3660" t="str">
            <v>860013798</v>
          </cell>
          <cell r="B3660" t="str">
            <v>5</v>
          </cell>
          <cell r="C3660" t="str">
            <v>UNIVERSIDAD LIBRE</v>
          </cell>
          <cell r="D3660" t="str">
            <v>6932344</v>
          </cell>
          <cell r="E3660" t="str">
            <v>facturacion@estiloingenieria.com</v>
          </cell>
          <cell r="F3660" t="str">
            <v>CALLE 8  5  80</v>
          </cell>
          <cell r="G3660">
            <v>13001</v>
          </cell>
        </row>
        <row r="3661">
          <cell r="A3661" t="str">
            <v>860527800</v>
          </cell>
          <cell r="B3661" t="str">
            <v>9</v>
          </cell>
          <cell r="C3661" t="str">
            <v>CONSTRUCCIONES OBYCON S.A.S.</v>
          </cell>
          <cell r="D3661" t="str">
            <v>6228020</v>
          </cell>
          <cell r="E3661" t="str">
            <v>facturacion@obycon.com</v>
          </cell>
          <cell r="F3661" t="str">
            <v>CALLE 93 B  13  92  OFICINA 303</v>
          </cell>
          <cell r="G3661">
            <v>13001</v>
          </cell>
        </row>
        <row r="3662">
          <cell r="A3662" t="str">
            <v>890304099</v>
          </cell>
          <cell r="B3662" t="str">
            <v>3</v>
          </cell>
          <cell r="C3662" t="str">
            <v>HOTELES ESTELAR S.A.</v>
          </cell>
          <cell r="D3662" t="str">
            <v>3173633899</v>
          </cell>
          <cell r="E3662" t="str">
            <v>feproveedoroficinaprincipal@hotelesestelar.com</v>
          </cell>
          <cell r="F3662" t="str">
            <v>AVENIDA COLOMBIA  2  72</v>
          </cell>
          <cell r="G3662">
            <v>13001</v>
          </cell>
        </row>
        <row r="3663">
          <cell r="A3663" t="str">
            <v>890401952</v>
          </cell>
          <cell r="B3663" t="str">
            <v>7</v>
          </cell>
          <cell r="C3663" t="str">
            <v>COPROPIEDAD EDIFICIO BANCO DE COLOMBIA</v>
          </cell>
          <cell r="D3663" t="str">
            <v>6645483</v>
          </cell>
          <cell r="E3663" t="str">
            <v>copropiedadbancodecolombia@gmail.com</v>
          </cell>
          <cell r="F3663" t="str">
            <v>CL 33 8 129 P 1</v>
          </cell>
          <cell r="G3663">
            <v>13001</v>
          </cell>
        </row>
        <row r="3664">
          <cell r="A3664" t="str">
            <v>890402047</v>
          </cell>
          <cell r="B3664" t="str">
            <v>0</v>
          </cell>
          <cell r="C3664" t="str">
            <v>FUNERARIA LORDUY S.A.</v>
          </cell>
          <cell r="D3664" t="str">
            <v>6661141</v>
          </cell>
          <cell r="E3664" t="str">
            <v>890402047@glerpmail.com</v>
          </cell>
          <cell r="F3664" t="str">
            <v>CALLE 30  18  24</v>
          </cell>
          <cell r="G3664">
            <v>13001</v>
          </cell>
        </row>
        <row r="3665">
          <cell r="A3665" t="str">
            <v>890480878</v>
          </cell>
          <cell r="B3665" t="str">
            <v>7</v>
          </cell>
          <cell r="C3665" t="str">
            <v>COPROPIEDAD EDIFICIO DON PEDRO DE HEREDIA</v>
          </cell>
          <cell r="D3665" t="str">
            <v>6794071</v>
          </cell>
          <cell r="E3665" t="str">
            <v>donpedrodeheredia@hotmail.com</v>
          </cell>
          <cell r="F3665" t="str">
            <v>CALLE 11  12  76</v>
          </cell>
          <cell r="G3665">
            <v>13001</v>
          </cell>
        </row>
        <row r="3666">
          <cell r="A3666" t="str">
            <v>900035438</v>
          </cell>
          <cell r="B3666" t="str">
            <v>8</v>
          </cell>
          <cell r="C3666" t="str">
            <v>EDIFICIO BOCA BAHIA PROPIEDAD HORIZONTAL</v>
          </cell>
          <cell r="D3666">
            <v>3219664011</v>
          </cell>
          <cell r="E3666" t="str">
            <v>edificiobocabahia@gmail.com</v>
          </cell>
          <cell r="F3666" t="str">
            <v>CARRERA 5  6  21</v>
          </cell>
          <cell r="G3666">
            <v>13001</v>
          </cell>
        </row>
        <row r="3667">
          <cell r="A3667" t="str">
            <v>900042103</v>
          </cell>
          <cell r="B3667" t="str">
            <v>5</v>
          </cell>
          <cell r="C3667" t="str">
            <v>ESE HOSPITAL UNIVERSITARIO DEL CARIBE</v>
          </cell>
          <cell r="D3667" t="str">
            <v>3008368086</v>
          </cell>
          <cell r="E3667" t="str">
            <v>facturas.contabilidad.huc@gmail.com</v>
          </cell>
          <cell r="F3667" t="str">
            <v>CARRERA 50  29  35</v>
          </cell>
          <cell r="G3667">
            <v>13001</v>
          </cell>
        </row>
        <row r="3668">
          <cell r="A3668" t="str">
            <v>900125826</v>
          </cell>
          <cell r="B3668" t="str">
            <v>9</v>
          </cell>
          <cell r="C3668" t="str">
            <v>COPROPIEDAD EDIFICIO MIRADOR DEL LAGUITO</v>
          </cell>
          <cell r="D3668" t="str">
            <v>6651692</v>
          </cell>
          <cell r="E3668" t="str">
            <v>edificio.mirador@yahoo.com</v>
          </cell>
          <cell r="F3668" t="str">
            <v>AVENIDA ALMIRANTE BRION  3  109</v>
          </cell>
          <cell r="G3668">
            <v>13001</v>
          </cell>
        </row>
        <row r="3669">
          <cell r="A3669" t="str">
            <v>900126499</v>
          </cell>
          <cell r="B3669" t="str">
            <v>8</v>
          </cell>
          <cell r="C3669" t="str">
            <v>EDIFICIO CONJUNTO RESIDENCIAL PARQUE CENTENARIO</v>
          </cell>
          <cell r="D3669" t="str">
            <v>6640022</v>
          </cell>
          <cell r="E3669" t="str">
            <v>edificioparquecentenario1@gmail.com</v>
          </cell>
          <cell r="F3669" t="str">
            <v>CALLE 30  8 B  108</v>
          </cell>
          <cell r="G3669">
            <v>13001</v>
          </cell>
        </row>
        <row r="3670">
          <cell r="A3670" t="str">
            <v>900168758</v>
          </cell>
          <cell r="B3670" t="str">
            <v>0</v>
          </cell>
          <cell r="C3670" t="str">
            <v>COPROPIEDAD EDIFICIO BELLAMARE</v>
          </cell>
          <cell r="D3670" t="str">
            <v>6 6 0 5 6 5 2</v>
          </cell>
          <cell r="E3670" t="str">
            <v>edificiobellamare@gmail.com</v>
          </cell>
          <cell r="F3670" t="str">
            <v>BRR MANGA AV MIRAMAR CL 24 18 63</v>
          </cell>
          <cell r="G3670">
            <v>13001</v>
          </cell>
        </row>
        <row r="3671">
          <cell r="A3671" t="str">
            <v>900212260</v>
          </cell>
          <cell r="B3671" t="str">
            <v>3</v>
          </cell>
          <cell r="C3671" t="str">
            <v>CENTRO DE SALUD Y NEGOCIOS RONDA REAL 2 ETAPA</v>
          </cell>
          <cell r="D3671" t="str">
            <v>3205688794</v>
          </cell>
          <cell r="E3671" t="str">
            <v>centrorondareal2@yahoo.com</v>
          </cell>
          <cell r="F3671" t="str">
            <v>CARRERA 69  31  139</v>
          </cell>
          <cell r="G3671">
            <v>13001</v>
          </cell>
        </row>
        <row r="3672">
          <cell r="A3672" t="str">
            <v>900233968</v>
          </cell>
          <cell r="B3672" t="str">
            <v>9</v>
          </cell>
          <cell r="C3672" t="str">
            <v>CARIBE PLAZA CENTRO COMERCIAL</v>
          </cell>
          <cell r="D3672" t="str">
            <v>3004913631</v>
          </cell>
          <cell r="E3672" t="str">
            <v>900233968@factureinbox.co</v>
          </cell>
          <cell r="F3672" t="str">
            <v>CALLE 29 D  22  108</v>
          </cell>
          <cell r="G3672">
            <v>13001</v>
          </cell>
        </row>
        <row r="3673">
          <cell r="A3673" t="str">
            <v>900240956</v>
          </cell>
          <cell r="B3673" t="str">
            <v>1</v>
          </cell>
          <cell r="C3673" t="str">
            <v>PARQUE RESIDENCIAL PLAZUELA 21</v>
          </cell>
          <cell r="D3673" t="str">
            <v>6510076</v>
          </cell>
          <cell r="E3673" t="str">
            <v>prplazuela21@hotmail.com</v>
          </cell>
          <cell r="F3673" t="str">
            <v>CARRERA 71  31  129  LOTE 7</v>
          </cell>
          <cell r="G3673">
            <v>13001</v>
          </cell>
        </row>
        <row r="3674">
          <cell r="A3674" t="str">
            <v>900252072</v>
          </cell>
          <cell r="B3674" t="str">
            <v>6</v>
          </cell>
          <cell r="C3674" t="str">
            <v>EDIFICIO AKASHI</v>
          </cell>
          <cell r="D3674" t="str">
            <v>6552656</v>
          </cell>
          <cell r="E3674" t="str">
            <v>edificioakashi@gmail.com</v>
          </cell>
          <cell r="F3674" t="str">
            <v>CARRERA 7  5  71</v>
          </cell>
          <cell r="G3674">
            <v>13001</v>
          </cell>
        </row>
        <row r="3675">
          <cell r="A3675" t="str">
            <v>900253884</v>
          </cell>
          <cell r="B3675" t="str">
            <v>4</v>
          </cell>
          <cell r="C3675" t="str">
            <v>EDIFICIO ZAFIRO</v>
          </cell>
          <cell r="D3675" t="str">
            <v>6564235</v>
          </cell>
          <cell r="E3675" t="str">
            <v>edificio.zafiro@hotmail.com</v>
          </cell>
          <cell r="F3675" t="str">
            <v>BRR EL CABRERO SEC MARBELLA CR 1 43 18</v>
          </cell>
          <cell r="G3675">
            <v>13001</v>
          </cell>
        </row>
        <row r="3676">
          <cell r="A3676" t="str">
            <v>900297183</v>
          </cell>
          <cell r="B3676" t="str">
            <v>9</v>
          </cell>
          <cell r="C3676" t="str">
            <v>EDIFICIO SKY II PROPIEDAD HORIZONTAL</v>
          </cell>
          <cell r="D3676" t="str">
            <v>6552800</v>
          </cell>
          <cell r="E3676" t="str">
            <v>edificiosky2@hotmail.com</v>
          </cell>
          <cell r="F3676" t="str">
            <v>CARRERA 2  10  59</v>
          </cell>
          <cell r="G3676">
            <v>13001</v>
          </cell>
        </row>
        <row r="3677">
          <cell r="A3677" t="str">
            <v>900307343</v>
          </cell>
          <cell r="B3677" t="str">
            <v>5</v>
          </cell>
          <cell r="C3677" t="str">
            <v>CONJUNTO RESIDENCIAL CASA DEL VIRREY ESLAVA</v>
          </cell>
          <cell r="D3677" t="str">
            <v>6791374</v>
          </cell>
          <cell r="E3677" t="str">
            <v>casadelvirrey@gmail.com</v>
          </cell>
          <cell r="F3677" t="str">
            <v>CARRERA 6  38  68</v>
          </cell>
          <cell r="G3677">
            <v>13001</v>
          </cell>
        </row>
        <row r="3678">
          <cell r="A3678" t="str">
            <v>900341322</v>
          </cell>
          <cell r="B3678" t="str">
            <v>4</v>
          </cell>
          <cell r="C3678" t="str">
            <v>METRO OPERACION INMOBILIARIA S A S</v>
          </cell>
          <cell r="D3678" t="str">
            <v>6194509</v>
          </cell>
          <cell r="E3678" t="str">
            <v>facturacionmetro@metro-op.com</v>
          </cell>
          <cell r="F3678" t="str">
            <v>CLL 119 6 A 47</v>
          </cell>
          <cell r="G3678">
            <v>13001</v>
          </cell>
        </row>
        <row r="3679">
          <cell r="A3679" t="str">
            <v>900349998</v>
          </cell>
          <cell r="B3679" t="str">
            <v>9</v>
          </cell>
          <cell r="C3679" t="str">
            <v>CONJUNTO RESIDENCIAL TERRAZAS DEL CARIBE</v>
          </cell>
          <cell r="D3679" t="str">
            <v>6056568847</v>
          </cell>
          <cell r="E3679" t="str">
            <v>EDIFICIOTERRAZASDELCARIBE@GMAIL.COM</v>
          </cell>
          <cell r="F3679" t="str">
            <v>CRESPO ED TERRAZAS DEL CARIBE 63 1 42 SEGE 1</v>
          </cell>
          <cell r="G3679">
            <v>13001</v>
          </cell>
        </row>
        <row r="3680">
          <cell r="A3680" t="str">
            <v>900350579</v>
          </cell>
          <cell r="B3680" t="str">
            <v>8</v>
          </cell>
          <cell r="C3680" t="str">
            <v>EDIFICIO BARLOVENTO 106</v>
          </cell>
          <cell r="D3680" t="str">
            <v>6794815</v>
          </cell>
          <cell r="E3680" t="str">
            <v>barlovento106edificio@gmail.com</v>
          </cell>
          <cell r="F3680" t="str">
            <v>AVENIDA 2  21  06</v>
          </cell>
          <cell r="G3680">
            <v>13001</v>
          </cell>
        </row>
        <row r="3681">
          <cell r="A3681" t="str">
            <v>900356952</v>
          </cell>
          <cell r="B3681" t="str">
            <v>1</v>
          </cell>
          <cell r="C3681" t="str">
            <v>EDIFICIO GALEON AZUL</v>
          </cell>
          <cell r="D3681" t="str">
            <v>6795411</v>
          </cell>
          <cell r="E3681" t="str">
            <v>edificiogaleonazul@gmail.com</v>
          </cell>
          <cell r="F3681" t="str">
            <v>AVENIDA SAN MARTIN  11  169</v>
          </cell>
          <cell r="G3681">
            <v>13001</v>
          </cell>
        </row>
        <row r="3682">
          <cell r="A3682" t="str">
            <v>900395762</v>
          </cell>
          <cell r="B3682" t="str">
            <v>3</v>
          </cell>
          <cell r="C3682" t="str">
            <v>INVERSIONES SALMERO S.A.S.</v>
          </cell>
          <cell r="D3682" t="str">
            <v>6720118</v>
          </cell>
          <cell r="E3682" t="str">
            <v>facturacion@ozhotel.com.co</v>
          </cell>
          <cell r="F3682" t="str">
            <v>CALLE 30  25  11</v>
          </cell>
          <cell r="G3682">
            <v>13001</v>
          </cell>
        </row>
        <row r="3683">
          <cell r="A3683" t="str">
            <v>900417735</v>
          </cell>
          <cell r="B3683" t="str">
            <v>0</v>
          </cell>
          <cell r="C3683" t="str">
            <v>CENTRO DE RECREACION DE OFICIALES CLUB NAVAL SANTA CRUZ DE CASTILLO GRANDE</v>
          </cell>
          <cell r="D3683" t="str">
            <v>3164529115</v>
          </cell>
          <cell r="E3683" t="str">
            <v>facturacionelectronica@clubnaval.mil.co</v>
          </cell>
          <cell r="F3683" t="str">
            <v>CARRERA 15  6  97</v>
          </cell>
          <cell r="G3683">
            <v>13001</v>
          </cell>
        </row>
        <row r="3684">
          <cell r="A3684" t="str">
            <v>900464398</v>
          </cell>
          <cell r="B3684" t="str">
            <v>1</v>
          </cell>
          <cell r="C3684" t="str">
            <v>KARIBANA BEACH &amp; GOLF CONDOMINIUM ETAPA I</v>
          </cell>
          <cell r="D3684" t="str">
            <v>6435857</v>
          </cell>
          <cell r="E3684" t="str">
            <v>karibana.admon2@gmail.com</v>
          </cell>
          <cell r="F3684" t="str">
            <v>KILOMETRO 12 DEL ANILLO VIAL VIA BARRANQUILLA</v>
          </cell>
          <cell r="G3684">
            <v>13001</v>
          </cell>
        </row>
        <row r="3685">
          <cell r="A3685" t="str">
            <v>900475484</v>
          </cell>
          <cell r="B3685" t="str">
            <v>4</v>
          </cell>
          <cell r="C3685" t="str">
            <v>BC HOTELES S.A.</v>
          </cell>
          <cell r="D3685" t="str">
            <v>7440506</v>
          </cell>
          <cell r="E3685" t="str">
            <v>facturacion@hotelalmirante.co</v>
          </cell>
          <cell r="F3685" t="str">
            <v>CARRERA 9  113  52 OFICINA 2001</v>
          </cell>
          <cell r="G3685">
            <v>13001</v>
          </cell>
        </row>
        <row r="3686">
          <cell r="A3686" t="str">
            <v>900561801</v>
          </cell>
          <cell r="B3686" t="str">
            <v>4</v>
          </cell>
          <cell r="C3686" t="str">
            <v>EDIFICIO ISLA DE MANGA</v>
          </cell>
          <cell r="D3686" t="str">
            <v>6430077</v>
          </cell>
          <cell r="E3686" t="str">
            <v>islademanga@gmail.com</v>
          </cell>
          <cell r="F3686" t="str">
            <v>CALLE 28  22  114</v>
          </cell>
          <cell r="G3686">
            <v>13001</v>
          </cell>
        </row>
        <row r="3687">
          <cell r="A3687" t="str">
            <v>900579458</v>
          </cell>
          <cell r="B3687" t="str">
            <v>1</v>
          </cell>
          <cell r="C3687" t="str">
            <v>CONJUNTO RESIDENCIAL PLAZA CARIBE</v>
          </cell>
          <cell r="D3687" t="str">
            <v>3154801648</v>
          </cell>
          <cell r="E3687" t="str">
            <v>crplazacaribe@gmail.com</v>
          </cell>
          <cell r="F3687" t="str">
            <v>CALLE 29 D  22  62</v>
          </cell>
          <cell r="G3687">
            <v>13001</v>
          </cell>
        </row>
        <row r="3688">
          <cell r="A3688" t="str">
            <v>900602320</v>
          </cell>
          <cell r="B3688" t="str">
            <v>0</v>
          </cell>
          <cell r="C3688" t="str">
            <v>CLINICA LA MISERICORDIA S.A.S</v>
          </cell>
          <cell r="D3688" t="str">
            <v>3135477039</v>
          </cell>
          <cell r="E3688" t="str">
            <v>facturacion@lamisericordiacartagena.com.co</v>
          </cell>
          <cell r="F3688" t="str">
            <v>CALLE 30  41  26</v>
          </cell>
          <cell r="G3688">
            <v>13001</v>
          </cell>
        </row>
        <row r="3689">
          <cell r="A3689" t="str">
            <v>900604440</v>
          </cell>
          <cell r="B3689" t="str">
            <v>5</v>
          </cell>
          <cell r="C3689" t="str">
            <v>INVERSIONES L&amp; P S.A.S</v>
          </cell>
          <cell r="D3689" t="str">
            <v>6431169</v>
          </cell>
          <cell r="E3689" t="str">
            <v>inversioneslpsas@gmail.com</v>
          </cell>
          <cell r="F3689" t="str">
            <v>CR 1 1 231 BRR LAGUITO ED EL GALEON AP 7 B</v>
          </cell>
          <cell r="G3689">
            <v>13001</v>
          </cell>
        </row>
        <row r="3690">
          <cell r="A3690" t="str">
            <v>900636017</v>
          </cell>
          <cell r="B3690" t="str">
            <v>1</v>
          </cell>
          <cell r="C3690" t="str">
            <v>EDIFICIO ORION 421</v>
          </cell>
          <cell r="D3690" t="str">
            <v>3157172965</v>
          </cell>
          <cell r="E3690" t="str">
            <v>edificioorion421@gmail.com</v>
          </cell>
          <cell r="F3690" t="str">
            <v>AVENIDA 4  21 A  29</v>
          </cell>
          <cell r="G3690">
            <v>13001</v>
          </cell>
        </row>
        <row r="3691">
          <cell r="A3691" t="str">
            <v>900677969</v>
          </cell>
          <cell r="B3691" t="str">
            <v>1</v>
          </cell>
          <cell r="C3691" t="str">
            <v>EDIFICIO EL CABRERO 272</v>
          </cell>
          <cell r="D3691" t="str">
            <v>6431126</v>
          </cell>
          <cell r="E3691" t="str">
            <v>cabrero272@hotmail.com</v>
          </cell>
          <cell r="F3691" t="str">
            <v>CALLE REAL DEL CABRERO  42  28</v>
          </cell>
          <cell r="G3691">
            <v>13001</v>
          </cell>
        </row>
        <row r="3692">
          <cell r="A3692" t="str">
            <v>900681257</v>
          </cell>
          <cell r="B3692" t="str">
            <v>1</v>
          </cell>
          <cell r="C3692" t="str">
            <v>EDIFICIO BALI CONDOMINIO CLUB</v>
          </cell>
          <cell r="D3692" t="str">
            <v>6601606</v>
          </cell>
          <cell r="E3692" t="str">
            <v>edificio.bali@hotmail.com</v>
          </cell>
          <cell r="F3692" t="str">
            <v>CARRERA 22  26  01</v>
          </cell>
          <cell r="G3692">
            <v>13001</v>
          </cell>
        </row>
        <row r="3693">
          <cell r="A3693" t="str">
            <v>900691272</v>
          </cell>
          <cell r="B3693" t="str">
            <v>5</v>
          </cell>
          <cell r="C3693" t="str">
            <v>EDIFICIO ANTONELLA</v>
          </cell>
          <cell r="D3693" t="str">
            <v>6903020</v>
          </cell>
          <cell r="E3693" t="str">
            <v>marguicantillo@yahoo.com</v>
          </cell>
          <cell r="F3693" t="str">
            <v>CALLE 26  22  218</v>
          </cell>
          <cell r="G3693">
            <v>13001</v>
          </cell>
        </row>
        <row r="3694">
          <cell r="A3694" t="str">
            <v>900695749</v>
          </cell>
          <cell r="B3694" t="str">
            <v>4</v>
          </cell>
          <cell r="C3694" t="str">
            <v>PROMOTORA RUMIE CAÑATE S.A.S.</v>
          </cell>
          <cell r="D3694" t="str">
            <v>3008031456</v>
          </cell>
          <cell r="E3694" t="str">
            <v>yerlisolascoaga@gmail.com</v>
          </cell>
          <cell r="F3694" t="str">
            <v>URBANIZACION SAN JUAN BLOQUE 9 APARTAMENTO 5 C</v>
          </cell>
          <cell r="G3694">
            <v>13001</v>
          </cell>
        </row>
        <row r="3695">
          <cell r="A3695" t="str">
            <v>900698474</v>
          </cell>
          <cell r="B3695" t="str">
            <v>8</v>
          </cell>
          <cell r="C3695" t="str">
            <v>HOTELES DE LA ANTIGUA SOCIEDAD POR ACCIONES SIMPLIFICADA</v>
          </cell>
          <cell r="D3695">
            <v>3219664011</v>
          </cell>
          <cell r="E3695" t="str">
            <v>contabilidad.bastion@ghlhoteles.com</v>
          </cell>
          <cell r="F3695" t="str">
            <v>CALLE SARGENTO MAYOR 6-87</v>
          </cell>
          <cell r="G3695">
            <v>13001</v>
          </cell>
        </row>
        <row r="3696">
          <cell r="A3696" t="str">
            <v>900703092</v>
          </cell>
          <cell r="B3696" t="str">
            <v>1</v>
          </cell>
          <cell r="C3696" t="str">
            <v>CONDOMINIO BARCELONETA PRIMERA ETAPA</v>
          </cell>
          <cell r="D3696" t="str">
            <v>6437314</v>
          </cell>
          <cell r="E3696" t="str">
            <v>facturasbarcelonetaetapa1@gmail.com</v>
          </cell>
          <cell r="F3696" t="str">
            <v>KILOMETRO 9 ANILLO VIAL SENTIDO CARTAGENA BARRANQUILLA</v>
          </cell>
          <cell r="G3696">
            <v>13001</v>
          </cell>
        </row>
        <row r="3697">
          <cell r="A3697" t="str">
            <v>900711140</v>
          </cell>
          <cell r="B3697" t="str">
            <v>9</v>
          </cell>
          <cell r="C3697" t="str">
            <v>INMOBILIARIA VENICE S.A.S.</v>
          </cell>
          <cell r="D3697" t="str">
            <v>3005571999</v>
          </cell>
          <cell r="E3697" t="str">
            <v>inmobiliariaruedaguerrero@hotmail.com</v>
          </cell>
          <cell r="F3697" t="str">
            <v>CR 51 B 80 58 ED SMART OFFICE OF 1103</v>
          </cell>
          <cell r="G3697">
            <v>13001</v>
          </cell>
        </row>
        <row r="3698">
          <cell r="A3698" t="str">
            <v>900775399</v>
          </cell>
          <cell r="B3698" t="str">
            <v>3</v>
          </cell>
          <cell r="C3698" t="str">
            <v>BOUTIQUE CARTAGENA S.A.S.</v>
          </cell>
          <cell r="D3698" t="str">
            <v>6916050</v>
          </cell>
          <cell r="E3698" t="str">
            <v>factnacar@oxohotel.com</v>
          </cell>
          <cell r="F3698" t="str">
            <v>BRR CENTRO  CR 38 6 21</v>
          </cell>
          <cell r="G3698">
            <v>13001</v>
          </cell>
        </row>
        <row r="3699">
          <cell r="A3699" t="str">
            <v>900807010</v>
          </cell>
          <cell r="B3699" t="str">
            <v>3</v>
          </cell>
          <cell r="C3699" t="str">
            <v>EDIFICIO BAMBU CLUB HOUSE</v>
          </cell>
          <cell r="D3699" t="str">
            <v>3114258550</v>
          </cell>
          <cell r="E3699" t="str">
            <v>edificio.bambu@hotmail.com</v>
          </cell>
          <cell r="F3699" t="str">
            <v>CALLE 27  20  61</v>
          </cell>
          <cell r="G3699">
            <v>13001</v>
          </cell>
        </row>
        <row r="3700">
          <cell r="A3700" t="str">
            <v>900810339</v>
          </cell>
          <cell r="B3700" t="str">
            <v>1</v>
          </cell>
          <cell r="C3700" t="str">
            <v>PROMOTORA PARQUE DE GALILEA S.A.S.</v>
          </cell>
          <cell r="D3700" t="str">
            <v>3015954643</v>
          </cell>
          <cell r="E3700" t="str">
            <v>coordcompras.proyectos@gmail.com</v>
          </cell>
          <cell r="F3700" t="str">
            <v>CARRERA 53  74  117  PISO 2</v>
          </cell>
          <cell r="G3700">
            <v>13001</v>
          </cell>
        </row>
        <row r="3701">
          <cell r="A3701" t="str">
            <v>900817525</v>
          </cell>
          <cell r="B3701" t="str">
            <v>7</v>
          </cell>
          <cell r="C3701" t="str">
            <v>PROMOTORA LAGOS S.A.S.</v>
          </cell>
          <cell r="D3701" t="str">
            <v>6604280</v>
          </cell>
          <cell r="E3701" t="str">
            <v>facturas@mejiavillegas.com</v>
          </cell>
          <cell r="F3701" t="str">
            <v>AVENIDA PEDRO DE HEREDIA 50 57</v>
          </cell>
          <cell r="G3701">
            <v>13001</v>
          </cell>
        </row>
        <row r="3702">
          <cell r="A3702" t="str">
            <v>900820818</v>
          </cell>
          <cell r="B3702" t="str">
            <v>0</v>
          </cell>
          <cell r="C3702" t="str">
            <v>MULTIFAMILIAR  IO  - EDIFICIO</v>
          </cell>
          <cell r="D3702" t="str">
            <v>3157581189</v>
          </cell>
          <cell r="E3702" t="str">
            <v>ioedificio@gmail.com</v>
          </cell>
          <cell r="F3702" t="str">
            <v>CALLE 46 C  3  10</v>
          </cell>
          <cell r="G3702">
            <v>13001</v>
          </cell>
        </row>
        <row r="3703">
          <cell r="A3703" t="str">
            <v>900829850</v>
          </cell>
          <cell r="B3703" t="str">
            <v>8</v>
          </cell>
          <cell r="C3703" t="str">
            <v>EDIFICIO TAURUS</v>
          </cell>
          <cell r="D3703" t="str">
            <v>8600988</v>
          </cell>
          <cell r="E3703" t="str">
            <v>edificiokentaurus@gmail.com</v>
          </cell>
          <cell r="F3703" t="str">
            <v>BARRIO MANGA CUARTA AV  CL 29 21A  49</v>
          </cell>
          <cell r="G3703">
            <v>13001</v>
          </cell>
        </row>
        <row r="3704">
          <cell r="A3704" t="str">
            <v>900833982</v>
          </cell>
          <cell r="B3704" t="str">
            <v>7</v>
          </cell>
          <cell r="C3704" t="str">
            <v>CONJUNTO RESIDENCIAL MASERATTI</v>
          </cell>
          <cell r="D3704" t="str">
            <v>3003027340</v>
          </cell>
          <cell r="E3704" t="str">
            <v>conjuntoresidencialmaseratti@hotmail.com</v>
          </cell>
          <cell r="F3704" t="str">
            <v>CARRERA 2  65  62</v>
          </cell>
          <cell r="G3704">
            <v>13001</v>
          </cell>
        </row>
        <row r="3705">
          <cell r="A3705" t="str">
            <v>900848267</v>
          </cell>
          <cell r="B3705" t="str">
            <v>4</v>
          </cell>
          <cell r="C3705" t="str">
            <v>EDIFICIO CASA DUQUE</v>
          </cell>
          <cell r="D3705" t="str">
            <v>6793641</v>
          </cell>
          <cell r="E3705" t="str">
            <v>ed.casaduque@gmail.com</v>
          </cell>
          <cell r="F3705" t="str">
            <v>CARRERA 22  25  102</v>
          </cell>
          <cell r="G3705">
            <v>13001</v>
          </cell>
        </row>
        <row r="3706">
          <cell r="A3706" t="str">
            <v>900865735</v>
          </cell>
          <cell r="B3706" t="str">
            <v>1</v>
          </cell>
          <cell r="C3706" t="str">
            <v>FOX HOTELES S.A.S.</v>
          </cell>
          <cell r="D3706" t="str">
            <v>3174286518</v>
          </cell>
          <cell r="E3706" t="str">
            <v>contabilidad@hotelsummer.com.co</v>
          </cell>
          <cell r="F3706" t="str">
            <v>CARRERA 9  19  20</v>
          </cell>
          <cell r="G3706">
            <v>13001</v>
          </cell>
        </row>
        <row r="3707">
          <cell r="A3707" t="str">
            <v>900902431</v>
          </cell>
          <cell r="B3707" t="str">
            <v>7</v>
          </cell>
          <cell r="C3707" t="str">
            <v>HOTEL CARTAGENA PLAZA DE LA ADUANA S.A.S.</v>
          </cell>
          <cell r="D3707" t="str">
            <v>3107633036</v>
          </cell>
          <cell r="E3707" t="str">
            <v>factsophia@oxohotel.com</v>
          </cell>
          <cell r="F3707" t="str">
            <v>CALLE 32  4  45</v>
          </cell>
          <cell r="G3707">
            <v>13001</v>
          </cell>
        </row>
        <row r="3708">
          <cell r="A3708" t="str">
            <v>900921345</v>
          </cell>
          <cell r="B3708" t="str">
            <v>2</v>
          </cell>
          <cell r="C3708" t="str">
            <v>SOLUCA SOLUCIONES CONSTRUCCIONES Y ACABADOS S.A.S</v>
          </cell>
          <cell r="D3708" t="str">
            <v>3006300334</v>
          </cell>
          <cell r="E3708" t="str">
            <v>solucasas@hotmail.com</v>
          </cell>
          <cell r="F3708" t="str">
            <v>BRR SAN FERNANDO CRA 81 22 D 183 B 4 AP 1 C ED BALCONES DE LA ALAMEDA</v>
          </cell>
          <cell r="G3708">
            <v>13001</v>
          </cell>
        </row>
        <row r="3709">
          <cell r="A3709" t="str">
            <v>900939501</v>
          </cell>
          <cell r="B3709" t="str">
            <v>4</v>
          </cell>
          <cell r="C3709" t="str">
            <v>EDIFICIO PALMA SORIANA</v>
          </cell>
          <cell r="D3709" t="str">
            <v>6793641</v>
          </cell>
          <cell r="E3709" t="str">
            <v>edificiopalmasoriana@gmail.com</v>
          </cell>
          <cell r="F3709" t="str">
            <v>CARRERA 22  25  114</v>
          </cell>
          <cell r="G3709">
            <v>13001</v>
          </cell>
        </row>
        <row r="3710">
          <cell r="A3710" t="str">
            <v>900947738</v>
          </cell>
          <cell r="B3710" t="str">
            <v>6</v>
          </cell>
          <cell r="C3710" t="str">
            <v>SEAPORT CENTRO EMPRESARIAL</v>
          </cell>
          <cell r="D3710">
            <v>3219664011</v>
          </cell>
          <cell r="E3710" t="str">
            <v>claucastillo0408@hotmail.com</v>
          </cell>
          <cell r="F3710" t="str">
            <v>AVENIDA 3  27  05</v>
          </cell>
          <cell r="G3710">
            <v>13001</v>
          </cell>
        </row>
        <row r="3711">
          <cell r="A3711" t="str">
            <v>900957974</v>
          </cell>
          <cell r="B3711" t="str">
            <v>0</v>
          </cell>
          <cell r="C3711" t="str">
            <v>ARBOREA S A S</v>
          </cell>
          <cell r="D3711" t="str">
            <v>6641583</v>
          </cell>
          <cell r="E3711" t="str">
            <v>asistente.proyectos@qstars.com.co</v>
          </cell>
          <cell r="F3711" t="str">
            <v>CALLE 90  15  17 OFICINA 302</v>
          </cell>
          <cell r="G3711">
            <v>13001</v>
          </cell>
        </row>
        <row r="3712">
          <cell r="A3712" t="str">
            <v>901000145</v>
          </cell>
          <cell r="B3712" t="str">
            <v>8</v>
          </cell>
          <cell r="C3712" t="str">
            <v>CONJUNTO RESIDENCIAL "PORTAL DE LOS ABETOS" PROPIEDAD HORIZONTAL</v>
          </cell>
          <cell r="D3712" t="str">
            <v>3018454913</v>
          </cell>
          <cell r="E3712" t="str">
            <v>PORTALDELOSABETOS@gmail.com</v>
          </cell>
          <cell r="F3712" t="str">
            <v>CARRETERA A TURBACO ZONA DE RESERVA MANZANA K</v>
          </cell>
          <cell r="G3712">
            <v>13001</v>
          </cell>
        </row>
        <row r="3713">
          <cell r="A3713" t="str">
            <v>901004020</v>
          </cell>
          <cell r="B3713" t="str">
            <v>4</v>
          </cell>
          <cell r="C3713" t="str">
            <v>CONJUNTO RESIDENCIAL TERRAZAS DE CALICANTO</v>
          </cell>
          <cell r="D3713" t="str">
            <v>6421958</v>
          </cell>
          <cell r="E3713" t="str">
            <v>contabilidadterrazascalicanto@gmail.com</v>
          </cell>
          <cell r="F3713" t="str">
            <v>DIAGONAL 38  54  84</v>
          </cell>
          <cell r="G3713">
            <v>13001</v>
          </cell>
        </row>
        <row r="3714">
          <cell r="A3714" t="str">
            <v>901019197</v>
          </cell>
          <cell r="B3714" t="str">
            <v>4</v>
          </cell>
          <cell r="C3714" t="str">
            <v>INMOBILIARIA LA TERMINAL PLAZA SAS</v>
          </cell>
          <cell r="D3714" t="str">
            <v>6933070</v>
          </cell>
          <cell r="E3714" t="str">
            <v>cramirez@megatiendas.co</v>
          </cell>
          <cell r="F3714" t="str">
            <v>BRR EL PRADO DG 21 30 238</v>
          </cell>
          <cell r="G3714">
            <v>13001</v>
          </cell>
        </row>
        <row r="3715">
          <cell r="A3715" t="str">
            <v>901022343</v>
          </cell>
          <cell r="B3715" t="str">
            <v>4</v>
          </cell>
          <cell r="C3715" t="str">
            <v>EDIFICIO TORRES DE MADEIRA</v>
          </cell>
          <cell r="D3715" t="str">
            <v>3014092145</v>
          </cell>
          <cell r="E3715" t="str">
            <v>edificiotorresdemadeira@gmail.com</v>
          </cell>
          <cell r="F3715" t="str">
            <v>CALLE 31 F  71  60</v>
          </cell>
          <cell r="G3715">
            <v>13001</v>
          </cell>
        </row>
        <row r="3716">
          <cell r="A3716" t="str">
            <v>901037795</v>
          </cell>
          <cell r="B3716" t="str">
            <v>5</v>
          </cell>
          <cell r="C3716" t="str">
            <v>JCA SOLUCIONES INMOBILIARIAS SAS</v>
          </cell>
          <cell r="D3716" t="str">
            <v>3662056</v>
          </cell>
          <cell r="E3716" t="str">
            <v>contabilidad@jcasolucionesinmobiliarias.com</v>
          </cell>
          <cell r="F3716" t="str">
            <v>CL 10 SUR 51 A 55 OF 403</v>
          </cell>
          <cell r="G3716">
            <v>13001</v>
          </cell>
        </row>
        <row r="3717">
          <cell r="A3717" t="str">
            <v>901041691</v>
          </cell>
          <cell r="B3717" t="str">
            <v>3</v>
          </cell>
          <cell r="C3717" t="str">
            <v>CENTROS MEDICOS COLSANITAS SAS</v>
          </cell>
          <cell r="D3717" t="str">
            <v>6466060</v>
          </cell>
          <cell r="E3717" t="str">
            <v>recepcioncentrosmedicoscolsanitas@fe.keralty.com</v>
          </cell>
          <cell r="F3717" t="str">
            <v>AV CL 100 11B 67</v>
          </cell>
          <cell r="G3717">
            <v>13001</v>
          </cell>
        </row>
        <row r="3718">
          <cell r="A3718" t="str">
            <v>901042289</v>
          </cell>
          <cell r="B3718" t="str">
            <v>1</v>
          </cell>
          <cell r="C3718" t="str">
            <v>EDIFICIO BAMBU 320</v>
          </cell>
          <cell r="D3718" t="str">
            <v>3003027340</v>
          </cell>
          <cell r="E3718" t="str">
            <v>edificiobambu320@hotmail.com</v>
          </cell>
          <cell r="F3718" t="str">
            <v>CALLE 28  20  36</v>
          </cell>
          <cell r="G3718">
            <v>13001</v>
          </cell>
        </row>
        <row r="3719">
          <cell r="A3719" t="str">
            <v>901058192</v>
          </cell>
          <cell r="B3719" t="str">
            <v>4</v>
          </cell>
          <cell r="C3719" t="str">
            <v>EDIFICIO TORRE ZAPHIRA</v>
          </cell>
          <cell r="D3719" t="str">
            <v>3157074265</v>
          </cell>
          <cell r="E3719" t="str">
            <v>admontorrezaphira@gmail.com</v>
          </cell>
          <cell r="F3719" t="str">
            <v>CALLE 30 A  78  71</v>
          </cell>
          <cell r="G3719">
            <v>13001</v>
          </cell>
        </row>
        <row r="3720">
          <cell r="A3720" t="str">
            <v>901065412</v>
          </cell>
          <cell r="B3720" t="str">
            <v>9</v>
          </cell>
          <cell r="C3720" t="str">
            <v>CONJUNTO RESIDENCIAL SALAMANDRA</v>
          </cell>
          <cell r="D3720" t="str">
            <v>3005537278</v>
          </cell>
          <cell r="E3720" t="str">
            <v>parqueherediasalamandra@gmail.com</v>
          </cell>
          <cell r="F3720" t="str">
            <v>DIAGONAL 36 B  80 M  227</v>
          </cell>
          <cell r="G3720">
            <v>13001</v>
          </cell>
        </row>
        <row r="3721">
          <cell r="A3721" t="str">
            <v>901065601</v>
          </cell>
          <cell r="B3721" t="str">
            <v>4</v>
          </cell>
          <cell r="C3721" t="str">
            <v>CONJUNTO RESIDENCIAL AQUALINA P.H.</v>
          </cell>
          <cell r="D3721" t="str">
            <v>3163890163</v>
          </cell>
          <cell r="E3721" t="str">
            <v>conjuntoresidencialaqualinaph@gmail.com</v>
          </cell>
          <cell r="F3721" t="str">
            <v>CL 47 13 91</v>
          </cell>
          <cell r="G3721">
            <v>13001</v>
          </cell>
        </row>
        <row r="3722">
          <cell r="A3722" t="str">
            <v>901076735</v>
          </cell>
          <cell r="B3722" t="str">
            <v>1</v>
          </cell>
          <cell r="C3722" t="str">
            <v>EDIFICIO MENTA-PROPIEDAD HORIZONTAL</v>
          </cell>
          <cell r="D3722" t="str">
            <v>3016454913</v>
          </cell>
          <cell r="E3722" t="str">
            <v>admonedificiomenta@gmail.com</v>
          </cell>
          <cell r="F3722" t="str">
            <v>CALLE 1 A  71 C  30</v>
          </cell>
          <cell r="G3722">
            <v>13001</v>
          </cell>
        </row>
        <row r="3723">
          <cell r="A3723" t="str">
            <v>901090848</v>
          </cell>
          <cell r="B3723" t="str">
            <v>1</v>
          </cell>
          <cell r="C3723" t="str">
            <v>PROMOTORA SEAPORT S.A.S</v>
          </cell>
          <cell r="D3723" t="str">
            <v>3162414841</v>
          </cell>
          <cell r="E3723" t="str">
            <v>kjimenez@promotoraseaport.com</v>
          </cell>
          <cell r="F3723" t="str">
            <v>CALLE 28 No. 27-05 ED. SEAPORT CENTRO EMPRESARIAL LOCAL 202</v>
          </cell>
          <cell r="G3723">
            <v>13001</v>
          </cell>
        </row>
        <row r="3724">
          <cell r="A3724" t="str">
            <v>901099741</v>
          </cell>
          <cell r="B3724" t="str">
            <v>3</v>
          </cell>
          <cell r="C3724" t="str">
            <v>CONJUNTO MONTE SION PROPIEDAD HORIZONTAL - PRIMERA ETAPA</v>
          </cell>
          <cell r="D3724" t="str">
            <v>6450265</v>
          </cell>
          <cell r="E3724" t="str">
            <v>contabilidadmontesion@gmail.com</v>
          </cell>
          <cell r="F3724" t="str">
            <v>Transversal  54 # 106-99 BARRIO VILLAS DE LA CANDELARIA</v>
          </cell>
          <cell r="G3724">
            <v>13001</v>
          </cell>
        </row>
        <row r="3725">
          <cell r="A3725" t="str">
            <v>901114073</v>
          </cell>
          <cell r="B3725" t="str">
            <v>6</v>
          </cell>
          <cell r="C3725" t="str">
            <v>EDIFICIO VENTURA 49</v>
          </cell>
          <cell r="D3725" t="str">
            <v>3003960625</v>
          </cell>
          <cell r="E3725" t="str">
            <v>edificioventura49@gmail.com</v>
          </cell>
          <cell r="F3725" t="str">
            <v>BRR BOSQUE CRA 49 CL SENA 21B 76</v>
          </cell>
          <cell r="G3725">
            <v>13001</v>
          </cell>
        </row>
        <row r="3726">
          <cell r="A3726" t="str">
            <v>901120547</v>
          </cell>
          <cell r="B3726" t="str">
            <v>1</v>
          </cell>
          <cell r="C3726" t="str">
            <v>NOVASIS S.A.S</v>
          </cell>
          <cell r="D3726" t="str">
            <v>6455320</v>
          </cell>
          <cell r="E3726" t="str">
            <v>facturaelectronicanovasis@asys.com.co</v>
          </cell>
          <cell r="F3726" t="str">
            <v>SERENA DEL MAR VIA AL MAR KM 8</v>
          </cell>
          <cell r="G3726">
            <v>13001</v>
          </cell>
        </row>
        <row r="3727">
          <cell r="A3727" t="str">
            <v>901120943</v>
          </cell>
          <cell r="B3727" t="str">
            <v>3</v>
          </cell>
          <cell r="C3727" t="str">
            <v>MALLPLAZA SERVICIOS S A S</v>
          </cell>
          <cell r="D3727" t="str">
            <v>7458787</v>
          </cell>
          <cell r="E3727" t="str">
            <v>facelectronica.col@mallplaza.com</v>
          </cell>
          <cell r="F3727" t="str">
            <v>AV  CL 19 28 80  P 6 OF AD</v>
          </cell>
          <cell r="G3727">
            <v>13001</v>
          </cell>
        </row>
        <row r="3728">
          <cell r="A3728" t="str">
            <v>901133906</v>
          </cell>
          <cell r="B3728" t="str">
            <v>7</v>
          </cell>
          <cell r="C3728" t="str">
            <v>CONJUNTO RESIDENCIAL MANATI</v>
          </cell>
          <cell r="D3728" t="str">
            <v>3113757493</v>
          </cell>
          <cell r="E3728" t="str">
            <v>manatiedificio@gmail.com</v>
          </cell>
          <cell r="F3728" t="str">
            <v>CR 83 B 36 B 145</v>
          </cell>
          <cell r="G3728">
            <v>13001</v>
          </cell>
        </row>
        <row r="3729">
          <cell r="A3729" t="str">
            <v>901133921</v>
          </cell>
          <cell r="B3729" t="str">
            <v>8</v>
          </cell>
          <cell r="C3729" t="str">
            <v>CONJUNTO RESIDENCIAL CALAMARI</v>
          </cell>
          <cell r="D3729" t="str">
            <v>3017480532</v>
          </cell>
          <cell r="E3729" t="str">
            <v>pherediacalamari2017@gmail.com</v>
          </cell>
          <cell r="F3729" t="str">
            <v>CR 83B 37C 59</v>
          </cell>
          <cell r="G3729">
            <v>13001</v>
          </cell>
        </row>
        <row r="3730">
          <cell r="A3730" t="str">
            <v>901139510</v>
          </cell>
          <cell r="B3730" t="str">
            <v>1</v>
          </cell>
          <cell r="C3730" t="str">
            <v>CONJUNTO RESIDENCIAL GINGER</v>
          </cell>
          <cell r="D3730" t="str">
            <v>3017480532</v>
          </cell>
          <cell r="E3730" t="str">
            <v>parqueherediaginger@gmail.com</v>
          </cell>
          <cell r="F3730" t="str">
            <v>CR 83 B 36 B 79</v>
          </cell>
          <cell r="G3730">
            <v>13001</v>
          </cell>
        </row>
        <row r="3731">
          <cell r="A3731" t="str">
            <v>901154093</v>
          </cell>
          <cell r="B3731" t="str">
            <v>4</v>
          </cell>
          <cell r="C3731" t="str">
            <v>EDIFICIO INFINITUM CARTAGENA - PROPIEDAD HORIZONTAL</v>
          </cell>
          <cell r="D3731" t="str">
            <v>3134625822</v>
          </cell>
          <cell r="E3731" t="str">
            <v>edificioinfinitum@gmail.com</v>
          </cell>
          <cell r="F3731" t="str">
            <v>CARRERA 4  7  147</v>
          </cell>
          <cell r="G3731">
            <v>13001</v>
          </cell>
        </row>
        <row r="3732">
          <cell r="A3732" t="str">
            <v>901155508</v>
          </cell>
          <cell r="B3732" t="str">
            <v>3</v>
          </cell>
          <cell r="C3732" t="str">
            <v>REDCOL HOLDING S.A.S.</v>
          </cell>
          <cell r="D3732" t="str">
            <v>6185035</v>
          </cell>
          <cell r="E3732" t="str">
            <v>facturacionelectronica@redcol.co</v>
          </cell>
          <cell r="F3732" t="str">
            <v>CR 15 88 21 OF 602</v>
          </cell>
          <cell r="G3732">
            <v>13001</v>
          </cell>
        </row>
        <row r="3733">
          <cell r="A3733" t="str">
            <v>901168543</v>
          </cell>
          <cell r="B3733" t="str">
            <v>8</v>
          </cell>
          <cell r="C3733" t="str">
            <v>CONJUNTO RESIDENCIAL EL CLUB- ETAPA 1</v>
          </cell>
          <cell r="D3733" t="str">
            <v>3042035041</v>
          </cell>
          <cell r="E3733" t="str">
            <v>contabilidad@conjuntoelclub.com</v>
          </cell>
          <cell r="F3733" t="str">
            <v>TRANSVERSAL 54 CARRETERA LA CORDIALIDAD LOTE 3</v>
          </cell>
          <cell r="G3733">
            <v>13001</v>
          </cell>
        </row>
        <row r="3734">
          <cell r="A3734" t="str">
            <v>901173382</v>
          </cell>
          <cell r="B3734" t="str">
            <v>9</v>
          </cell>
          <cell r="C3734" t="str">
            <v>EDIFICIO NOVA 179" - PROPIEDAD HORIZONTAL</v>
          </cell>
          <cell r="D3734" t="str">
            <v>3126693948</v>
          </cell>
          <cell r="E3734" t="str">
            <v>edificionova179@gmail.com</v>
          </cell>
          <cell r="F3734" t="str">
            <v>BRR  MANGA CR  18 24</v>
          </cell>
          <cell r="G3734">
            <v>13001</v>
          </cell>
        </row>
        <row r="3735">
          <cell r="A3735" t="str">
            <v>901173942</v>
          </cell>
          <cell r="B3735" t="str">
            <v>3</v>
          </cell>
          <cell r="C3735" t="str">
            <v>EDIFICIO MULTIFAMILIAR PRAIA TOWER HOUSE - P.H.</v>
          </cell>
          <cell r="D3735" t="str">
            <v>3006621540</v>
          </cell>
          <cell r="E3735" t="str">
            <v>edificiopraiaph@gmail.com</v>
          </cell>
          <cell r="F3735" t="str">
            <v>cr 5 67 130</v>
          </cell>
          <cell r="G3735">
            <v>13001</v>
          </cell>
        </row>
        <row r="3736">
          <cell r="A3736" t="str">
            <v>901177024</v>
          </cell>
          <cell r="B3736" t="str">
            <v>5</v>
          </cell>
          <cell r="C3736" t="str">
            <v>EDIFICIO DE OFICINA BRP TOWER BUSINESS</v>
          </cell>
          <cell r="D3736" t="str">
            <v>3008161104</v>
          </cell>
          <cell r="E3736" t="str">
            <v>brptowerbusiness@gmail.com</v>
          </cell>
          <cell r="F3736" t="str">
            <v>BRR MANGA AV 4 CL 29 25 13</v>
          </cell>
          <cell r="G3736">
            <v>13001</v>
          </cell>
        </row>
        <row r="3737">
          <cell r="A3737" t="str">
            <v>901178786</v>
          </cell>
          <cell r="B3737" t="str">
            <v>3</v>
          </cell>
          <cell r="C3737" t="str">
            <v>EDIFICIO "MARE CLUB HOUSE"</v>
          </cell>
          <cell r="D3737" t="str">
            <v>6456830</v>
          </cell>
          <cell r="E3737" t="str">
            <v>edf.mare@gmail.com</v>
          </cell>
          <cell r="F3737" t="str">
            <v>BRR CRESPO  CR 3 67 08 ED MARE CLUB HOUSE P 1 AD</v>
          </cell>
          <cell r="G3737">
            <v>13001</v>
          </cell>
        </row>
        <row r="3738">
          <cell r="A3738" t="str">
            <v>901188381</v>
          </cell>
          <cell r="B3738" t="str">
            <v>7</v>
          </cell>
          <cell r="C3738" t="str">
            <v>SANTA CATALINA DE INDIAS S.A.S.</v>
          </cell>
          <cell r="D3738" t="str">
            <v>3222163262</v>
          </cell>
          <cell r="E3738" t="str">
            <v>factsantacatalina@oxohotel.com</v>
          </cell>
          <cell r="F3738" t="str">
            <v>BRR CENTRO CR 6 32 62</v>
          </cell>
          <cell r="G3738">
            <v>13001</v>
          </cell>
        </row>
        <row r="3739">
          <cell r="A3739" t="str">
            <v>901197919</v>
          </cell>
          <cell r="B3739" t="str">
            <v>7</v>
          </cell>
          <cell r="C3739" t="str">
            <v>EDIFICIO TERRA CLUB HOUSE PROPIEDAD HORIZONTAL</v>
          </cell>
          <cell r="D3739" t="str">
            <v>3126704278</v>
          </cell>
          <cell r="E3739" t="str">
            <v>terraclubhouse@gmail.com</v>
          </cell>
          <cell r="F3739" t="str">
            <v>CR 20 A 29 B 24</v>
          </cell>
          <cell r="G3739">
            <v>13001</v>
          </cell>
        </row>
        <row r="3740">
          <cell r="A3740" t="str">
            <v>901210498</v>
          </cell>
          <cell r="B3740" t="str">
            <v>3</v>
          </cell>
          <cell r="C3740" t="str">
            <v>EDIFICIO ANGELUS</v>
          </cell>
          <cell r="D3740" t="str">
            <v>3105698989</v>
          </cell>
          <cell r="E3740" t="str">
            <v>edificioangelusa@gmail.com</v>
          </cell>
          <cell r="F3740" t="str">
            <v>URB EL BIFFI LT 28 BRR TERNERA</v>
          </cell>
          <cell r="G3740">
            <v>13001</v>
          </cell>
        </row>
        <row r="3741">
          <cell r="A3741" t="str">
            <v>901218702</v>
          </cell>
          <cell r="B3741" t="str">
            <v>8</v>
          </cell>
          <cell r="C3741" t="str">
            <v>CONJUNTO RESIDENCIAL BURANO</v>
          </cell>
          <cell r="D3741" t="str">
            <v>3003715472</v>
          </cell>
          <cell r="E3741" t="str">
            <v>buranoadmon1@gmail.com</v>
          </cell>
          <cell r="F3741" t="str">
            <v>BRR LA BOQUILLA VIA 90 A KM 4 50</v>
          </cell>
          <cell r="G3741">
            <v>13001</v>
          </cell>
        </row>
        <row r="3742">
          <cell r="A3742" t="str">
            <v>901225952</v>
          </cell>
          <cell r="B3742" t="str">
            <v>1</v>
          </cell>
          <cell r="C3742" t="str">
            <v>EDIFICIO OCEANA</v>
          </cell>
          <cell r="D3742" t="str">
            <v>3205211993</v>
          </cell>
          <cell r="E3742" t="str">
            <v>edificiooceana@gmail.com</v>
          </cell>
          <cell r="F3742" t="str">
            <v>CL 63 2 54</v>
          </cell>
          <cell r="G3742">
            <v>13001</v>
          </cell>
        </row>
        <row r="3743">
          <cell r="A3743" t="str">
            <v>901227926</v>
          </cell>
          <cell r="B3743" t="str">
            <v>9</v>
          </cell>
          <cell r="C3743" t="str">
            <v>EDIFICIO MIRADOR DEL CASTILLO - PH</v>
          </cell>
          <cell r="D3743" t="str">
            <v>3126704278</v>
          </cell>
          <cell r="E3743" t="str">
            <v>edf.miradordelcastillo@gmail.com</v>
          </cell>
          <cell r="F3743" t="str">
            <v>CL 29 18 B 18</v>
          </cell>
          <cell r="G3743">
            <v>13001</v>
          </cell>
        </row>
        <row r="3744">
          <cell r="A3744" t="str">
            <v>901239171</v>
          </cell>
          <cell r="B3744" t="str">
            <v>7</v>
          </cell>
          <cell r="C3744" t="str">
            <v>CENTRO CORPORATIVO SERENA DEL MAR - EDIFICIO UNIVERSIDAD DE LOS ANDES</v>
          </cell>
          <cell r="D3744" t="str">
            <v>6517252</v>
          </cell>
          <cell r="E3744" t="str">
            <v>admccsdm@outlook.com</v>
          </cell>
          <cell r="F3744" t="str">
            <v>KM 8 ANILLO VIAL ZONA NORTE SERENA DEL MAR</v>
          </cell>
          <cell r="G3744">
            <v>13001</v>
          </cell>
        </row>
        <row r="3745">
          <cell r="A3745" t="str">
            <v>901249443</v>
          </cell>
          <cell r="B3745" t="str">
            <v>8</v>
          </cell>
          <cell r="C3745" t="str">
            <v>CONDOMINIO TORRES DE SAN JOSE</v>
          </cell>
          <cell r="D3745" t="str">
            <v>3041301743</v>
          </cell>
          <cell r="E3745" t="str">
            <v>torresdesanjoseph199@gmail.com</v>
          </cell>
          <cell r="F3745" t="str">
            <v>CL 32 95 48</v>
          </cell>
          <cell r="G3745">
            <v>13001</v>
          </cell>
        </row>
        <row r="3746">
          <cell r="A3746" t="str">
            <v>901253117</v>
          </cell>
          <cell r="B3746" t="str">
            <v>7</v>
          </cell>
          <cell r="C3746" t="str">
            <v>EDIFICIO ALTAVISTA 49 PROPIEDAD HORIZONTAL</v>
          </cell>
          <cell r="D3746" t="str">
            <v>6624694</v>
          </cell>
          <cell r="E3746" t="str">
            <v>edificioaltavista49@gmail.com</v>
          </cell>
          <cell r="F3746" t="str">
            <v>TV 49 21 B 56</v>
          </cell>
          <cell r="G3746">
            <v>13001</v>
          </cell>
        </row>
        <row r="3747">
          <cell r="A3747" t="str">
            <v>901256161</v>
          </cell>
          <cell r="B3747" t="str">
            <v>5</v>
          </cell>
          <cell r="C3747" t="str">
            <v>PROMOTORA BOULEVARD II S.A.S.</v>
          </cell>
          <cell r="D3747" t="str">
            <v>3226325358</v>
          </cell>
          <cell r="E3747" t="str">
            <v>qt+901256161@recepcion.qenta.app</v>
          </cell>
          <cell r="F3747" t="str">
            <v>BOCAGRANDE CRA 3 NO 9-30 EDIFICIO TORRE EMPRESARIAL PRODEGUI OF 1901</v>
          </cell>
          <cell r="G3747">
            <v>13001</v>
          </cell>
        </row>
        <row r="3748">
          <cell r="A3748" t="str">
            <v>901274593</v>
          </cell>
          <cell r="B3748" t="str">
            <v>1</v>
          </cell>
          <cell r="C3748" t="str">
            <v>TECNOMARF S.A.S</v>
          </cell>
          <cell r="D3748" t="str">
            <v>3118237838</v>
          </cell>
          <cell r="E3748" t="str">
            <v>fabiomarf2@gmail.com</v>
          </cell>
          <cell r="F3748" t="str">
            <v>BRR BOCAGRANDE CL 14 1 60</v>
          </cell>
          <cell r="G3748">
            <v>13001</v>
          </cell>
        </row>
        <row r="3749">
          <cell r="A3749" t="str">
            <v>901302246</v>
          </cell>
          <cell r="B3749" t="str">
            <v>1</v>
          </cell>
          <cell r="C3749" t="str">
            <v>EDIFICIO VISTAMARE</v>
          </cell>
          <cell r="D3749" t="str">
            <v>3126704278</v>
          </cell>
          <cell r="E3749" t="str">
            <v>edf.vistamare@gmail.com</v>
          </cell>
          <cell r="F3749" t="str">
            <v>LA BOQUILLA SECTOR CIELO MAR CALLE 21 10-39</v>
          </cell>
          <cell r="G3749">
            <v>13001</v>
          </cell>
        </row>
        <row r="3750">
          <cell r="A3750" t="str">
            <v>901307871</v>
          </cell>
          <cell r="B3750" t="str">
            <v>6</v>
          </cell>
          <cell r="C3750" t="str">
            <v>PROMOTORA BARLOVENTO DEL MAR S.A.S</v>
          </cell>
          <cell r="D3750" t="str">
            <v>3104782842</v>
          </cell>
          <cell r="E3750" t="str">
            <v>recepcion@aed.com.co</v>
          </cell>
          <cell r="F3750" t="str">
            <v>ZONA NORTE ANILLO VIAL KM 12 655</v>
          </cell>
          <cell r="G3750">
            <v>13001</v>
          </cell>
        </row>
        <row r="3751">
          <cell r="A3751" t="str">
            <v>901308774</v>
          </cell>
          <cell r="B3751" t="str">
            <v>4</v>
          </cell>
          <cell r="C3751" t="str">
            <v>EDIFICIO OCEANDRIVE</v>
          </cell>
          <cell r="D3751" t="str">
            <v>3116650670</v>
          </cell>
          <cell r="E3751" t="str">
            <v>admonoceandrive2019@gmail.com</v>
          </cell>
          <cell r="F3751" t="str">
            <v>BRR CRESPO CL 72 10 45</v>
          </cell>
          <cell r="G3751">
            <v>13001</v>
          </cell>
        </row>
        <row r="3752">
          <cell r="A3752" t="str">
            <v>901317679</v>
          </cell>
          <cell r="B3752" t="str">
            <v>0</v>
          </cell>
          <cell r="C3752" t="str">
            <v>EDIFICIO MIRADOR DE LAS PALMAS - PROPIEDAD HORIZONTAL</v>
          </cell>
          <cell r="D3752" t="str">
            <v>3103713800</v>
          </cell>
          <cell r="E3752" t="str">
            <v>admonmiradorlaspalmas1@gmail.com</v>
          </cell>
          <cell r="F3752" t="str">
            <v>BARRIO MANGA CARRERA 23 29A-67</v>
          </cell>
          <cell r="G3752">
            <v>13001</v>
          </cell>
        </row>
        <row r="3753">
          <cell r="A3753" t="str">
            <v>901320181</v>
          </cell>
          <cell r="B3753" t="str">
            <v>6</v>
          </cell>
          <cell r="C3753" t="str">
            <v>NEW PORT PROPIEDAD HORIZONTAL</v>
          </cell>
          <cell r="D3753" t="str">
            <v>3016134702</v>
          </cell>
          <cell r="E3753" t="str">
            <v>conjuntonewport1@gmail.com</v>
          </cell>
          <cell r="F3753" t="str">
            <v>BELLA VISTA CRA 57 9 29</v>
          </cell>
          <cell r="G3753">
            <v>13001</v>
          </cell>
        </row>
        <row r="3754">
          <cell r="A3754" t="str">
            <v>901323754</v>
          </cell>
          <cell r="B3754" t="str">
            <v>1</v>
          </cell>
          <cell r="C3754" t="str">
            <v>EDIFICIO CYGNUS 262</v>
          </cell>
          <cell r="D3754" t="str">
            <v>3013387449</v>
          </cell>
          <cell r="E3754" t="str">
            <v>cygnus262@gmail.com</v>
          </cell>
          <cell r="F3754" t="str">
            <v>BARRIO MANGA CALLE 26 21-124</v>
          </cell>
          <cell r="G3754">
            <v>13001</v>
          </cell>
        </row>
        <row r="3755">
          <cell r="A3755" t="str">
            <v>901330683</v>
          </cell>
          <cell r="B3755" t="str">
            <v>4</v>
          </cell>
          <cell r="C3755" t="str">
            <v>CONJUNTO URBANISTICO SPIAGGIA DI CARTAGENA</v>
          </cell>
          <cell r="D3755" t="str">
            <v>3145355929</v>
          </cell>
          <cell r="E3755" t="str">
            <v>edf.spiaggia@gmail.com</v>
          </cell>
          <cell r="F3755" t="str">
            <v>CORR LA BOQUILLA CR 9 22 620</v>
          </cell>
          <cell r="G3755">
            <v>13001</v>
          </cell>
        </row>
        <row r="3756">
          <cell r="A3756" t="str">
            <v>901337664</v>
          </cell>
          <cell r="B3756" t="str">
            <v>6</v>
          </cell>
          <cell r="C3756" t="str">
            <v>SERVICIOS E INVERSIONES RJ SAS</v>
          </cell>
          <cell r="D3756" t="str">
            <v>4122626</v>
          </cell>
          <cell r="E3756" t="str">
            <v>CONTABILIDADINVERSIONESRJ@gmail.com</v>
          </cell>
          <cell r="F3756" t="str">
            <v>CALLE 17A 69B 74</v>
          </cell>
          <cell r="G3756">
            <v>13001</v>
          </cell>
        </row>
        <row r="3757">
          <cell r="A3757" t="str">
            <v>901342845</v>
          </cell>
          <cell r="B3757" t="str">
            <v>2</v>
          </cell>
          <cell r="C3757" t="str">
            <v>EDIFICIO ASTORGA 414</v>
          </cell>
          <cell r="D3757" t="str">
            <v>3146886826</v>
          </cell>
          <cell r="E3757" t="str">
            <v>admoastorga@gmail.com</v>
          </cell>
          <cell r="F3757" t="str">
            <v>CARRERA 22 28 -38</v>
          </cell>
          <cell r="G3757">
            <v>13001</v>
          </cell>
        </row>
        <row r="3758">
          <cell r="A3758" t="str">
            <v>901347758</v>
          </cell>
          <cell r="B3758" t="str">
            <v>2</v>
          </cell>
          <cell r="C3758" t="str">
            <v>MULTIFAMILIAR PARQUE DE GALILEA</v>
          </cell>
          <cell r="D3758" t="str">
            <v>3048919</v>
          </cell>
          <cell r="E3758" t="str">
            <v>admonparquegalilea@gmail.com</v>
          </cell>
          <cell r="F3758" t="str">
            <v>CR 81 B 39 J 75 CARR LA CORDIALIDAD CAMINO A CAMPAÑA</v>
          </cell>
          <cell r="G3758">
            <v>13001</v>
          </cell>
        </row>
        <row r="3759">
          <cell r="A3759" t="str">
            <v>901374716</v>
          </cell>
          <cell r="B3759" t="str">
            <v>8</v>
          </cell>
          <cell r="C3759" t="str">
            <v>EDIFICIO BARI CLUB HOUSE</v>
          </cell>
          <cell r="D3759" t="str">
            <v>3164630206</v>
          </cell>
          <cell r="E3759" t="str">
            <v>edf.bariclubhouse@gmail.com</v>
          </cell>
          <cell r="F3759" t="str">
            <v>CARRERA 20 No. 27-87, Barrio Manga</v>
          </cell>
          <cell r="G3759">
            <v>13001</v>
          </cell>
        </row>
        <row r="3760">
          <cell r="A3760" t="str">
            <v>901377829</v>
          </cell>
          <cell r="B3760" t="str">
            <v>5</v>
          </cell>
          <cell r="C3760" t="str">
            <v>MORROS EOS SAS</v>
          </cell>
          <cell r="D3760" t="str">
            <v>6652267</v>
          </cell>
          <cell r="E3760" t="str">
            <v>facturacion@morros.com.co</v>
          </cell>
          <cell r="F3760" t="str">
            <v>BRR BOCAGRANDE CR 3 A 8 104</v>
          </cell>
          <cell r="G3760">
            <v>13001</v>
          </cell>
        </row>
        <row r="3761">
          <cell r="A3761" t="str">
            <v>901403268</v>
          </cell>
          <cell r="B3761" t="str">
            <v>5</v>
          </cell>
          <cell r="C3761" t="str">
            <v>HOTELES DORADO PLAZA COLOMBIA SAS</v>
          </cell>
          <cell r="D3761" t="str">
            <v>3145966945</v>
          </cell>
          <cell r="E3761" t="str">
            <v>contabilidad@doradoplaza.com</v>
          </cell>
          <cell r="F3761" t="str">
            <v>CR 2 AV SAN MARTIN 4 41 BRR BOCAGRANDE</v>
          </cell>
          <cell r="G3761">
            <v>13001</v>
          </cell>
        </row>
        <row r="3762">
          <cell r="A3762" t="str">
            <v>901404913</v>
          </cell>
          <cell r="B3762" t="str">
            <v>2</v>
          </cell>
          <cell r="C3762" t="str">
            <v>CONJUNTO RESIDENCIAL CARACOLI</v>
          </cell>
          <cell r="D3762" t="str">
            <v>3015035626</v>
          </cell>
          <cell r="E3762" t="str">
            <v>conjuntoresidencialcaracoli@gmail.com</v>
          </cell>
          <cell r="F3762" t="str">
            <v>SEC UNIVERSIDAD SAN BUENAVENTURA SUPERMANZANA 8 HOY CL 32 80 965</v>
          </cell>
          <cell r="G3762">
            <v>13001</v>
          </cell>
        </row>
        <row r="3763">
          <cell r="A3763" t="str">
            <v>901405359</v>
          </cell>
          <cell r="B3763" t="str">
            <v>6</v>
          </cell>
          <cell r="C3763" t="str">
            <v>EDIFICIO CASTELLON SANTA CLARA</v>
          </cell>
          <cell r="D3763">
            <v>3219664011</v>
          </cell>
          <cell r="E3763" t="str">
            <v>phcastellonsantaclara@gmail.com</v>
          </cell>
          <cell r="F3763" t="str">
            <v>BARRIO MANGA CARRERA 19 24 127</v>
          </cell>
          <cell r="G3763">
            <v>13001</v>
          </cell>
        </row>
        <row r="3764">
          <cell r="A3764" t="str">
            <v>901420538</v>
          </cell>
          <cell r="B3764" t="str">
            <v>0</v>
          </cell>
          <cell r="C3764" t="str">
            <v>PROMOTORA ANTILIA 96</v>
          </cell>
          <cell r="D3764" t="str">
            <v>3103676594</v>
          </cell>
          <cell r="E3764" t="str">
            <v>contabilidad@antilia96cartagena.com</v>
          </cell>
          <cell r="F3764" t="str">
            <v>Marbella cra 3, edificio laguna 46 oficina 101</v>
          </cell>
          <cell r="G3764">
            <v>13001</v>
          </cell>
        </row>
        <row r="3765">
          <cell r="A3765" t="str">
            <v>901483485</v>
          </cell>
          <cell r="B3765" t="str">
            <v>9</v>
          </cell>
          <cell r="C3765" t="str">
            <v>HOTEL CASA PEDEGRAL PROPIEDAD HORIZONTAL</v>
          </cell>
          <cell r="D3765" t="str">
            <v>6630248</v>
          </cell>
          <cell r="E3765" t="str">
            <v>admoncasapedregal@gmail.com</v>
          </cell>
          <cell r="F3765" t="str">
            <v>CR 11 29 171 BRR GETSEMANI</v>
          </cell>
          <cell r="G3765">
            <v>13001</v>
          </cell>
        </row>
        <row r="3766">
          <cell r="A3766" t="str">
            <v>901485834</v>
          </cell>
          <cell r="B3766" t="str">
            <v>5</v>
          </cell>
          <cell r="C3766" t="str">
            <v>EDIFICIO ICON 8 PH</v>
          </cell>
          <cell r="D3766" t="str">
            <v>5-6482817</v>
          </cell>
          <cell r="E3766" t="str">
            <v>edificioicon8@gmail.com</v>
          </cell>
          <cell r="F3766" t="str">
            <v>CARRERA 8 No 5A-23</v>
          </cell>
          <cell r="G3766">
            <v>13001</v>
          </cell>
        </row>
        <row r="3767">
          <cell r="A3767" t="str">
            <v>901502270</v>
          </cell>
          <cell r="B3767" t="str">
            <v>5</v>
          </cell>
          <cell r="C3767" t="str">
            <v>CONJUNTO RESIDENCIAL COPACABANA</v>
          </cell>
          <cell r="D3767" t="str">
            <v>3014437283</v>
          </cell>
          <cell r="E3767" t="str">
            <v>conjuntoresidencial.copacabana@gmail.com</v>
          </cell>
          <cell r="F3767" t="str">
            <v>CL 32B 80 589 BRR LA CORDIALIDAD</v>
          </cell>
          <cell r="G3767">
            <v>13001</v>
          </cell>
        </row>
        <row r="3768">
          <cell r="A3768" t="str">
            <v>901502537</v>
          </cell>
          <cell r="B3768" t="str">
            <v>6</v>
          </cell>
          <cell r="C3768" t="str">
            <v>PROMOTORA CASA DE LAS CARRETAS S.A.S.</v>
          </cell>
          <cell r="D3768" t="str">
            <v>315 5533625</v>
          </cell>
          <cell r="E3768" t="str">
            <v>accountingvoila@huespedia.com</v>
          </cell>
          <cell r="F3768" t="str">
            <v>BRR BOCAGRANDE CR 3 7 61</v>
          </cell>
          <cell r="G3768">
            <v>13001</v>
          </cell>
        </row>
        <row r="3769">
          <cell r="A3769" t="str">
            <v>901516233</v>
          </cell>
          <cell r="B3769" t="str">
            <v>3</v>
          </cell>
          <cell r="C3769" t="str">
            <v>MORROS KAI SAS</v>
          </cell>
          <cell r="D3769" t="str">
            <v>6653068</v>
          </cell>
          <cell r="E3769" t="str">
            <v>facturacion@morros.com.co</v>
          </cell>
          <cell r="F3769" t="str">
            <v>BRR BOCAGRANDE CR 3 A 8 104</v>
          </cell>
          <cell r="G3769">
            <v>13001</v>
          </cell>
        </row>
        <row r="3770">
          <cell r="A3770" t="str">
            <v>901538639</v>
          </cell>
          <cell r="B3770" t="str">
            <v>4</v>
          </cell>
          <cell r="C3770" t="str">
            <v>PORTAL DE RECREO</v>
          </cell>
          <cell r="D3770" t="str">
            <v>3004340633</v>
          </cell>
          <cell r="E3770" t="str">
            <v>admon.portaldelrecreo@gmail.com</v>
          </cell>
          <cell r="F3770" t="str">
            <v>DG 31 C 80 B 75</v>
          </cell>
          <cell r="G3770">
            <v>13001</v>
          </cell>
        </row>
        <row r="3771">
          <cell r="A3771" t="str">
            <v>901541728</v>
          </cell>
          <cell r="B3771" t="str">
            <v>2</v>
          </cell>
          <cell r="C3771" t="str">
            <v>CONJUNTO RESIDENCIAL FRAGATA</v>
          </cell>
          <cell r="D3771" t="str">
            <v>3013259023</v>
          </cell>
          <cell r="E3771" t="str">
            <v>fragataparqueheredia@gmail.com</v>
          </cell>
          <cell r="F3771" t="str">
            <v>DG 32 80 542</v>
          </cell>
          <cell r="G3771">
            <v>13001</v>
          </cell>
        </row>
        <row r="3772">
          <cell r="A3772" t="str">
            <v>901541734</v>
          </cell>
          <cell r="B3772" t="str">
            <v>7</v>
          </cell>
          <cell r="C3772" t="str">
            <v>CONJUNTO RESIDENCIAL FLAMENCO</v>
          </cell>
          <cell r="D3772" t="str">
            <v>3245678054</v>
          </cell>
          <cell r="E3772" t="str">
            <v>flamencoparqueheredia@gmail.com</v>
          </cell>
          <cell r="F3772" t="str">
            <v>CALLE 38B Nª 85 - 31</v>
          </cell>
          <cell r="G3772">
            <v>13001</v>
          </cell>
        </row>
        <row r="3773">
          <cell r="A3773" t="str">
            <v>901549968</v>
          </cell>
          <cell r="B3773" t="str">
            <v>1</v>
          </cell>
          <cell r="C3773" t="str">
            <v>EDIFICIO MAREA 511</v>
          </cell>
          <cell r="D3773" t="str">
            <v>3 1 4 5 3 5 5 9 2 9</v>
          </cell>
          <cell r="E3773" t="str">
            <v>edfmarea511@gmail.com</v>
          </cell>
          <cell r="F3773" t="str">
            <v>CR 11 5 55 BRR CASTILLOGRANDE</v>
          </cell>
          <cell r="G3773">
            <v>13001</v>
          </cell>
        </row>
        <row r="3774">
          <cell r="A3774" t="str">
            <v>901555265</v>
          </cell>
          <cell r="B3774" t="str">
            <v>5</v>
          </cell>
          <cell r="C3774" t="str">
            <v>INTEGRADORES LOGISTICOS DEL CARIBE INLOGCAR S.A.S.</v>
          </cell>
          <cell r="D3774" t="str">
            <v>3155533625</v>
          </cell>
          <cell r="E3774" t="str">
            <v>inlogcarhotel@gmail.com</v>
          </cell>
          <cell r="F3774" t="str">
            <v>CR 7 84 A 29 OF 604</v>
          </cell>
          <cell r="G3774">
            <v>13001</v>
          </cell>
        </row>
        <row r="3775">
          <cell r="A3775" t="str">
            <v>901576120</v>
          </cell>
          <cell r="B3775" t="str">
            <v>6</v>
          </cell>
          <cell r="C3775" t="str">
            <v>MVC ENTRELAGOS SAS</v>
          </cell>
          <cell r="D3775" t="str">
            <v>3107428085</v>
          </cell>
          <cell r="E3775" t="str">
            <v>mvcentrelagos@gmail.com</v>
          </cell>
          <cell r="F3775" t="str">
            <v>BRR TESCA AV PEDRO HEREDIA SEC LA VILLA 50 A 57 P 2</v>
          </cell>
          <cell r="G3775">
            <v>13001</v>
          </cell>
        </row>
        <row r="3776">
          <cell r="A3776" t="str">
            <v>901587027</v>
          </cell>
          <cell r="B3776" t="str">
            <v>6</v>
          </cell>
          <cell r="C3776" t="str">
            <v>EDIFICIO ACUARELA - PROPIEDAD HORIZONTAL</v>
          </cell>
          <cell r="D3776" t="str">
            <v>6 0 5 6 7 8 8 4 8 6</v>
          </cell>
          <cell r="E3776" t="str">
            <v>EDIFICIOACUARELASAS@GMAIL.COM</v>
          </cell>
          <cell r="F3776" t="str">
            <v>CR 4 5 123 BRR BOCAGRANDE</v>
          </cell>
          <cell r="G3776">
            <v>13001</v>
          </cell>
        </row>
        <row r="3777">
          <cell r="A3777" t="str">
            <v>901588735</v>
          </cell>
          <cell r="B3777" t="str">
            <v>7</v>
          </cell>
          <cell r="C3777" t="str">
            <v>EDIFICIO MULTIFAMILIAR VIS TERRITORIO MIO - PROPIEDAD HORIZONTAL</v>
          </cell>
          <cell r="D3777" t="str">
            <v>3245316780</v>
          </cell>
          <cell r="E3777" t="str">
            <v>admonterritoriomio@gmail.com</v>
          </cell>
          <cell r="F3777" t="str">
            <v>TERNERA DIAG 36E TRANSV 54 LT C</v>
          </cell>
          <cell r="G3777">
            <v>13001</v>
          </cell>
        </row>
        <row r="3778">
          <cell r="A3778" t="str">
            <v>901589132</v>
          </cell>
          <cell r="B3778" t="str">
            <v>0</v>
          </cell>
          <cell r="C3778" t="str">
            <v>EDIFICIO CUATRO VIENTOS P.H.</v>
          </cell>
          <cell r="D3778" t="str">
            <v>3008085491</v>
          </cell>
          <cell r="E3778" t="str">
            <v>ingheberman@gmail.com</v>
          </cell>
          <cell r="F3778" t="str">
            <v>BRR ARMENIA CRA 49 3O 104 PIEDRA DE BOLIVAR</v>
          </cell>
          <cell r="G3778">
            <v>13001</v>
          </cell>
        </row>
        <row r="3779">
          <cell r="A3779" t="str">
            <v>901591209</v>
          </cell>
          <cell r="B3779" t="str">
            <v>5</v>
          </cell>
          <cell r="C3779" t="str">
            <v>MULTIFAMILIAR EDIFICIO BILBAO</v>
          </cell>
          <cell r="D3779" t="str">
            <v>3017429616</v>
          </cell>
          <cell r="E3779" t="str">
            <v>edificiobilbao22@gmail.com</v>
          </cell>
          <cell r="F3779" t="str">
            <v>BRR LA CONCEPCION CRA 71 C 31 B 108</v>
          </cell>
          <cell r="G3779">
            <v>13001</v>
          </cell>
        </row>
        <row r="3780">
          <cell r="A3780" t="str">
            <v>901612409</v>
          </cell>
          <cell r="B3780" t="str">
            <v>3</v>
          </cell>
          <cell r="C3780" t="str">
            <v>EDIFICIO OCEANLIFE</v>
          </cell>
          <cell r="D3780" t="str">
            <v>3145500818</v>
          </cell>
          <cell r="E3780" t="str">
            <v>admonoceanlife@gmail.com</v>
          </cell>
          <cell r="F3780" t="str">
            <v>BRR CRESPO CR 4 65 81</v>
          </cell>
          <cell r="G3780">
            <v>13001</v>
          </cell>
        </row>
        <row r="3781">
          <cell r="A3781" t="str">
            <v>901615674</v>
          </cell>
          <cell r="B3781" t="str">
            <v>2</v>
          </cell>
          <cell r="C3781" t="str">
            <v>EDIFICIO "SIENNA CLUB HOUSE" ETAPA I</v>
          </cell>
          <cell r="D3781" t="str">
            <v>3 1 0 7 0 7 9 5 8 3</v>
          </cell>
          <cell r="E3781" t="str">
            <v>edificiosiennaclubhouse@gmail.com</v>
          </cell>
          <cell r="F3781" t="str">
            <v>BRR PIE DE LA POPA K 20 29 B 98 Y CR 20 A 29 B 91</v>
          </cell>
          <cell r="G3781">
            <v>13001</v>
          </cell>
        </row>
        <row r="3782">
          <cell r="A3782" t="str">
            <v>901616174</v>
          </cell>
          <cell r="B3782" t="str">
            <v>6</v>
          </cell>
          <cell r="C3782" t="str">
            <v>PROYECTO FLAMENGO</v>
          </cell>
          <cell r="D3782" t="str">
            <v>3022311673</v>
          </cell>
          <cell r="E3782" t="str">
            <v>conjuntoflamengo@gmail.com</v>
          </cell>
          <cell r="F3782" t="str">
            <v>CALLE 32B No 80 - 589 VIA LA CORDIALIDAD</v>
          </cell>
          <cell r="G3782">
            <v>13001</v>
          </cell>
        </row>
        <row r="3783">
          <cell r="A3783" t="str">
            <v>901619877</v>
          </cell>
          <cell r="B3783" t="str">
            <v>9</v>
          </cell>
          <cell r="C3783" t="str">
            <v>EDIFICIO MORROS ZOE P.H</v>
          </cell>
          <cell r="D3783" t="str">
            <v>3160283087</v>
          </cell>
          <cell r="E3783" t="str">
            <v>administracion@morroszoe.com</v>
          </cell>
          <cell r="F3783" t="str">
            <v>SERENA DEL MAR SECTOR MANZANILLO KM 10 LT4 EDIFICIO MORROS ZOE</v>
          </cell>
          <cell r="G3783">
            <v>13001</v>
          </cell>
        </row>
        <row r="3784">
          <cell r="A3784" t="str">
            <v>901622655</v>
          </cell>
          <cell r="B3784" t="str">
            <v>1</v>
          </cell>
          <cell r="C3784" t="str">
            <v>EDIFICIO TORRE PRIMI P.H.</v>
          </cell>
          <cell r="D3784" t="str">
            <v>3215418703</v>
          </cell>
          <cell r="E3784" t="str">
            <v>edificiotorreprimi@gmail.com</v>
          </cell>
          <cell r="F3784" t="str">
            <v>carrera 14-4b-13 y 48-21</v>
          </cell>
          <cell r="G3784">
            <v>13001</v>
          </cell>
        </row>
        <row r="3785">
          <cell r="A3785" t="str">
            <v>901645415</v>
          </cell>
          <cell r="B3785" t="str">
            <v>1</v>
          </cell>
          <cell r="C3785" t="str">
            <v>OSHPITALITY GROUP S.A.S</v>
          </cell>
          <cell r="D3785" t="str">
            <v>3148902328</v>
          </cell>
          <cell r="E3785" t="str">
            <v>leidy@oshhotels.com</v>
          </cell>
          <cell r="F3785" t="str">
            <v>CL 31 1077 CL DE LA MAGDALENA</v>
          </cell>
          <cell r="G3785">
            <v>13001</v>
          </cell>
        </row>
        <row r="3786">
          <cell r="A3786" t="str">
            <v>901663012</v>
          </cell>
          <cell r="B3786" t="str">
            <v>1</v>
          </cell>
          <cell r="C3786" t="str">
            <v>CONJUNTO RESIDENCIAL PALLADIO</v>
          </cell>
          <cell r="D3786" t="str">
            <v>3 2 1 3 1 3 6 7 3 3</v>
          </cell>
          <cell r="E3786" t="str">
            <v>conjuntopalladio@gmail.com</v>
          </cell>
          <cell r="F3786" t="str">
            <v>CL 7 A 7 E 477 DEL CORREGIMIENTO DE LA BOQUILLA</v>
          </cell>
          <cell r="G3786">
            <v>13001</v>
          </cell>
        </row>
        <row r="3787">
          <cell r="A3787" t="str">
            <v>901671041</v>
          </cell>
          <cell r="B3787" t="str">
            <v>9</v>
          </cell>
          <cell r="C3787" t="str">
            <v>CONJUNTO RESIDENCIAL CELESTE</v>
          </cell>
          <cell r="D3787" t="str">
            <v>3213136733</v>
          </cell>
          <cell r="E3787" t="str">
            <v>celesteparqueheredia@gmail.com</v>
          </cell>
          <cell r="F3787" t="str">
            <v>SUPERMANZANA 11 C 38 87 45 S M 11</v>
          </cell>
          <cell r="G3787">
            <v>13001</v>
          </cell>
        </row>
        <row r="3788">
          <cell r="A3788" t="str">
            <v>901682898</v>
          </cell>
          <cell r="B3788" t="str">
            <v>0</v>
          </cell>
          <cell r="C3788" t="str">
            <v>CONJUNTO RESIDENCIAL GAIA</v>
          </cell>
          <cell r="D3788" t="str">
            <v>3213136733</v>
          </cell>
          <cell r="E3788" t="str">
            <v>conjuntoresidencialgaia@gmail.com</v>
          </cell>
          <cell r="F3788" t="str">
            <v>CL 38B 86-43 BRR TERNERA</v>
          </cell>
          <cell r="G3788">
            <v>13001</v>
          </cell>
        </row>
        <row r="3789">
          <cell r="A3789" t="str">
            <v>901694423</v>
          </cell>
          <cell r="B3789" t="str">
            <v>8</v>
          </cell>
          <cell r="C3789" t="str">
            <v>RENTSTARS SAS</v>
          </cell>
          <cell r="D3789" t="str">
            <v>3194371806</v>
          </cell>
          <cell r="E3789" t="str">
            <v>gina@gioinmobiliaria.com</v>
          </cell>
          <cell r="F3789" t="str">
            <v xml:space="preserve">CL 84 C NO. 8 48 AP 301
</v>
          </cell>
          <cell r="G3789">
            <v>13001</v>
          </cell>
        </row>
        <row r="3790">
          <cell r="A3790" t="str">
            <v>901723529</v>
          </cell>
          <cell r="B3790" t="str">
            <v>5</v>
          </cell>
          <cell r="C3790" t="str">
            <v>EDIFICIO CABRERO MARINA CLUB - PROPIEDAD HORIZONTAL</v>
          </cell>
          <cell r="D3790">
            <v>3219664011</v>
          </cell>
          <cell r="E3790" t="str">
            <v>admcabreromarinaclub@gmail.com</v>
          </cell>
          <cell r="F3790" t="str">
            <v>LOTE SECTOR MARBELLA BRR EL CABRERO CR 4 46 C 29</v>
          </cell>
          <cell r="G3790">
            <v>13001</v>
          </cell>
        </row>
        <row r="3791">
          <cell r="A3791" t="str">
            <v>901762451</v>
          </cell>
          <cell r="B3791" t="str">
            <v>6</v>
          </cell>
          <cell r="C3791" t="str">
            <v>ISALUNA S.A.S.</v>
          </cell>
          <cell r="D3791" t="str">
            <v>3 0 5 2 0 6 9 3 4 0</v>
          </cell>
          <cell r="E3791" t="str">
            <v>isalunasas@gmail.com</v>
          </cell>
          <cell r="F3791" t="str">
            <v>CL 50 CR 41 44OF 202</v>
          </cell>
          <cell r="G3791">
            <v>13001</v>
          </cell>
        </row>
        <row r="3792">
          <cell r="A3792" t="str">
            <v>901769268</v>
          </cell>
          <cell r="B3792" t="str">
            <v>6</v>
          </cell>
          <cell r="C3792" t="str">
            <v>EDIFICIO CARTAGENA BEACH EXCLUSIVE RESORT &amp; RESIDENCES - PROPIEDAD HORIZONTAL</v>
          </cell>
          <cell r="D3792" t="str">
            <v>3008168948</v>
          </cell>
          <cell r="E3792" t="str">
            <v>administracion@edfcartagenabeach.com</v>
          </cell>
          <cell r="F3792" t="str">
            <v>BRR CRESPO CR 7 67 77</v>
          </cell>
          <cell r="G3792">
            <v>13001</v>
          </cell>
        </row>
        <row r="3793">
          <cell r="A3793" t="str">
            <v>901776494</v>
          </cell>
          <cell r="B3793" t="str">
            <v>3</v>
          </cell>
          <cell r="C3793" t="str">
            <v>EDIFICIO SEAPORT III CENTRO EMPRESARIAL</v>
          </cell>
          <cell r="D3793" t="str">
            <v>3 1 2 6 7 0 4 2 7 8</v>
          </cell>
          <cell r="E3793" t="str">
            <v>edificioseaport3@gmail.com</v>
          </cell>
          <cell r="F3793" t="str">
            <v>BRR MANGA CR 28 27 23</v>
          </cell>
          <cell r="G3793">
            <v>13001</v>
          </cell>
        </row>
        <row r="3794">
          <cell r="A3794" t="str">
            <v>901790688</v>
          </cell>
          <cell r="B3794" t="str">
            <v>3</v>
          </cell>
          <cell r="C3794" t="str">
            <v>ALTANA - PROPIEDAD HORIZONTAL</v>
          </cell>
          <cell r="D3794" t="str">
            <v>3102349993</v>
          </cell>
          <cell r="E3794" t="str">
            <v>admcraltana@gmail.com</v>
          </cell>
          <cell r="F3794" t="str">
            <v>BRR LA BOQUILLA VIA 90 A KM 4 FSOA SERENA DEL MAR CON ALTANA PROPIEDAD HORIZONTAL OF ADMINISTRACION</v>
          </cell>
          <cell r="G3794">
            <v>13001</v>
          </cell>
        </row>
        <row r="3795">
          <cell r="A3795" t="str">
            <v>901864010</v>
          </cell>
          <cell r="B3795" t="str">
            <v>1</v>
          </cell>
          <cell r="C3795" t="str">
            <v>EDIFICIO BALUARTE DEL CARIBE PROPIEDAD HORIZONTAL</v>
          </cell>
          <cell r="D3795" t="str">
            <v>3 1 0 8 2 6 6 4 3 5</v>
          </cell>
          <cell r="E3795" t="str">
            <v>baluartedelcaribe@gmail.com</v>
          </cell>
          <cell r="F3795" t="str">
            <v>BRR DANIEL LEMAITRE CL 70 15 B 47</v>
          </cell>
          <cell r="G3795">
            <v>13001</v>
          </cell>
        </row>
        <row r="3796">
          <cell r="A3796" t="str">
            <v>901578020</v>
          </cell>
          <cell r="B3796" t="str">
            <v>7</v>
          </cell>
          <cell r="C3796" t="str">
            <v>CEMMA INMOBILIARIA S.A.S.</v>
          </cell>
          <cell r="D3796" t="str">
            <v>6424505</v>
          </cell>
          <cell r="E3796" t="str">
            <v>901578020@factureinbox.co</v>
          </cell>
          <cell r="F3796" t="str">
            <v>BRR MANGA CL 25 24 A 16 ED TWINS BAY P 9</v>
          </cell>
          <cell r="G3796">
            <v>13836</v>
          </cell>
        </row>
        <row r="3797">
          <cell r="A3797" t="str">
            <v>901692013</v>
          </cell>
          <cell r="B3797" t="str">
            <v>2</v>
          </cell>
          <cell r="C3797" t="str">
            <v>LAS PALMAS CARTAGENA</v>
          </cell>
          <cell r="D3797" t="str">
            <v>3162467044</v>
          </cell>
          <cell r="E3797" t="str">
            <v>las.palmas.cartagena@hotmail.com</v>
          </cell>
          <cell r="F3797" t="str">
            <v>TURBACO SECTOR LA ESQ. LAMBARENE DETRAS DETRAS DE
ROSARIO LT2</v>
          </cell>
          <cell r="G3797">
            <v>13836</v>
          </cell>
        </row>
        <row r="3798">
          <cell r="A3798">
            <v>222222222</v>
          </cell>
          <cell r="B3798" t="str">
            <v/>
          </cell>
          <cell r="C3798" t="str">
            <v>CUANTIAS MENORES</v>
          </cell>
          <cell r="D3798">
            <v>3228184763</v>
          </cell>
          <cell r="E3798" t="str">
            <v>impuestos@estiloingeniera.com</v>
          </cell>
          <cell r="F3798" t="str">
            <v xml:space="preserve">CL 127A 53A 45 TO2 P11 OF1101 </v>
          </cell>
          <cell r="G3798">
            <v>15001</v>
          </cell>
        </row>
        <row r="3799">
          <cell r="A3799" t="str">
            <v>832008540</v>
          </cell>
          <cell r="B3799" t="str">
            <v>0</v>
          </cell>
          <cell r="C3799" t="str">
            <v>MAKRO CONSTRUCCIONES SAS</v>
          </cell>
          <cell r="D3799">
            <v>3219664011</v>
          </cell>
          <cell r="E3799" t="str">
            <v>carteramakroconstrucciones@gmail.com</v>
          </cell>
          <cell r="F3799" t="str">
            <v>CARRERA 10  15 D  27</v>
          </cell>
          <cell r="G3799">
            <v>15001</v>
          </cell>
        </row>
        <row r="3800">
          <cell r="A3800" t="str">
            <v>860007336</v>
          </cell>
          <cell r="B3800" t="str">
            <v>1</v>
          </cell>
          <cell r="C3800" t="str">
            <v>CAJA COLOMBIANA DE SUBSIDIO FAMILIAR COLSUBSIDIO</v>
          </cell>
          <cell r="D3800" t="str">
            <v>7420100</v>
          </cell>
          <cell r="E3800" t="str">
            <v>recepcion.facturaelectronica@colsubsidio.com</v>
          </cell>
          <cell r="F3800" t="str">
            <v>CL 26 25 50</v>
          </cell>
          <cell r="G3800">
            <v>15001</v>
          </cell>
        </row>
        <row r="3801">
          <cell r="A3801" t="str">
            <v>900274338</v>
          </cell>
          <cell r="B3801" t="str">
            <v>4</v>
          </cell>
          <cell r="C3801" t="str">
            <v>EDIFICIO GRAN RESERVA HACIENDA SANTA INES</v>
          </cell>
          <cell r="D3801" t="str">
            <v>3125411149</v>
          </cell>
          <cell r="E3801" t="str">
            <v>edificiogranreserva@gmail.com</v>
          </cell>
          <cell r="F3801" t="str">
            <v>CALLE 41  1 C  48</v>
          </cell>
          <cell r="G3801">
            <v>15001</v>
          </cell>
        </row>
        <row r="3802">
          <cell r="A3802" t="str">
            <v>900861726</v>
          </cell>
          <cell r="B3802" t="str">
            <v>7</v>
          </cell>
          <cell r="C3802" t="str">
            <v>EDIFICIO BUENAVISTA CLUB HOUSE</v>
          </cell>
          <cell r="D3802" t="str">
            <v>3016862343</v>
          </cell>
          <cell r="E3802" t="str">
            <v>edificiobuenavistaclubhouse@gmail.com</v>
          </cell>
          <cell r="F3802" t="str">
            <v>CALLE 40  1 A  71 ESTE</v>
          </cell>
          <cell r="G3802">
            <v>15001</v>
          </cell>
        </row>
        <row r="3803">
          <cell r="A3803" t="str">
            <v>900926031</v>
          </cell>
          <cell r="B3803" t="str">
            <v>8</v>
          </cell>
          <cell r="C3803" t="str">
            <v>GRUPO DE HOTELERIA Y RESTAURANTES INTERNACIONAL S.A.S</v>
          </cell>
          <cell r="D3803">
            <v>3219664011</v>
          </cell>
          <cell r="E3803" t="str">
            <v>gerencia.ghr.hoteles@gmail.com</v>
          </cell>
          <cell r="F3803" t="str">
            <v>AVENIDA UNIVERSITARIA  35  230</v>
          </cell>
          <cell r="G3803">
            <v>15001</v>
          </cell>
        </row>
        <row r="3804">
          <cell r="A3804" t="str">
            <v>901041691</v>
          </cell>
          <cell r="B3804" t="str">
            <v>3</v>
          </cell>
          <cell r="C3804" t="str">
            <v>CENTROS MEDICOS COLSANITAS SAS</v>
          </cell>
          <cell r="D3804" t="str">
            <v>6466060</v>
          </cell>
          <cell r="E3804" t="str">
            <v>recepcioncentrosmedicoscolsanitas@fe.keralty.com</v>
          </cell>
          <cell r="F3804" t="str">
            <v>AV CL 100 11B 67</v>
          </cell>
          <cell r="G3804">
            <v>15001</v>
          </cell>
        </row>
        <row r="3805">
          <cell r="A3805" t="str">
            <v>901055072</v>
          </cell>
          <cell r="B3805" t="str">
            <v>5</v>
          </cell>
          <cell r="C3805" t="str">
            <v>CONJUNTO TORRES DE SAN FELIPE</v>
          </cell>
          <cell r="D3805" t="str">
            <v>3202023125</v>
          </cell>
          <cell r="E3805" t="str">
            <v>torresdesanfelipeph@gmail.com</v>
          </cell>
          <cell r="F3805" t="str">
            <v>CL 67 6 39</v>
          </cell>
          <cell r="G3805">
            <v>15001</v>
          </cell>
        </row>
        <row r="3806">
          <cell r="A3806" t="str">
            <v>901167612</v>
          </cell>
          <cell r="B3806" t="str">
            <v>3</v>
          </cell>
          <cell r="C3806" t="str">
            <v>PROPIEDA HORIZONTAL "EDIFICIO IN ALTEZZA"</v>
          </cell>
          <cell r="D3806" t="str">
            <v>3133448202</v>
          </cell>
          <cell r="E3806" t="str">
            <v>inaltezzatunja22@gmail.com</v>
          </cell>
          <cell r="F3806" t="str">
            <v>AV UNIVERSITARIA 29 92</v>
          </cell>
          <cell r="G3806">
            <v>15001</v>
          </cell>
        </row>
        <row r="3807">
          <cell r="A3807" t="str">
            <v>901229672</v>
          </cell>
          <cell r="B3807" t="str">
            <v>2</v>
          </cell>
          <cell r="C3807" t="str">
            <v>CIUDAD HAYUELOS SANTIAGO DE TUNJA</v>
          </cell>
          <cell r="D3807" t="str">
            <v>3017789561</v>
          </cell>
          <cell r="E3807" t="str">
            <v>ciudadhayuelossantiagodetunja@gmail.com</v>
          </cell>
          <cell r="F3807" t="str">
            <v>AV UNIVERSITARIA 58 B 291</v>
          </cell>
          <cell r="G3807">
            <v>15001</v>
          </cell>
        </row>
        <row r="3808">
          <cell r="A3808" t="str">
            <v>901380159</v>
          </cell>
          <cell r="B3808" t="str">
            <v>1</v>
          </cell>
          <cell r="C3808" t="str">
            <v>EDIFICIO MURANO</v>
          </cell>
          <cell r="D3808" t="str">
            <v>3142193350</v>
          </cell>
          <cell r="E3808" t="str">
            <v>edificio.muranoadmon@gmail.com</v>
          </cell>
          <cell r="F3808" t="str">
            <v>CR 1 F 40 63 ED MURANO</v>
          </cell>
          <cell r="G3808">
            <v>15001</v>
          </cell>
        </row>
        <row r="3809">
          <cell r="A3809" t="str">
            <v>901448374</v>
          </cell>
          <cell r="B3809" t="str">
            <v>1</v>
          </cell>
          <cell r="C3809" t="str">
            <v>CONJUNTO ALAMEDA DE UNICENTRO PRIMERA ETAPA</v>
          </cell>
          <cell r="D3809" t="str">
            <v>3212184961</v>
          </cell>
          <cell r="E3809" t="str">
            <v>alamedaunicentrotunja@gmail.com</v>
          </cell>
          <cell r="F3809" t="str">
            <v>AV. UNIVERSITARIA NO. 42 A - 30</v>
          </cell>
          <cell r="G3809">
            <v>15001</v>
          </cell>
        </row>
        <row r="3810">
          <cell r="A3810">
            <v>222222222</v>
          </cell>
          <cell r="B3810" t="str">
            <v/>
          </cell>
          <cell r="C3810" t="str">
            <v>CUANTIAS MENORES</v>
          </cell>
          <cell r="D3810">
            <v>3228184763</v>
          </cell>
          <cell r="E3810" t="str">
            <v>impuestos@estiloingeniera.com</v>
          </cell>
          <cell r="F3810" t="str">
            <v xml:space="preserve">CL 127A 53A 45 TO2 P11 OF1101 </v>
          </cell>
          <cell r="G3810">
            <v>15238</v>
          </cell>
        </row>
        <row r="3811">
          <cell r="A3811" t="str">
            <v>1049810</v>
          </cell>
          <cell r="B3811" t="str">
            <v>5</v>
          </cell>
          <cell r="C3811" t="str">
            <v>ARGEMIRO LEON NIÑO</v>
          </cell>
          <cell r="D3811" t="str">
            <v>3112839815</v>
          </cell>
          <cell r="E3811" t="str">
            <v>algemiro50@hotmail.com</v>
          </cell>
          <cell r="F3811" t="str">
            <v>CL 15 16 22 CENTRO</v>
          </cell>
          <cell r="G3811">
            <v>15238</v>
          </cell>
        </row>
        <row r="3812">
          <cell r="A3812" t="str">
            <v>4110372</v>
          </cell>
          <cell r="B3812" t="str">
            <v>1</v>
          </cell>
          <cell r="C3812" t="str">
            <v>RICARDO IGNACIO MOJICA MEDINA</v>
          </cell>
          <cell r="D3812" t="str">
            <v>7603450</v>
          </cell>
          <cell r="E3812" t="str">
            <v>crismojica@hotmail.com</v>
          </cell>
          <cell r="F3812" t="str">
            <v>CARRERA 18  13  69</v>
          </cell>
          <cell r="G3812">
            <v>15238</v>
          </cell>
        </row>
        <row r="3813">
          <cell r="A3813" t="str">
            <v>46664104</v>
          </cell>
          <cell r="B3813" t="str">
            <v>4</v>
          </cell>
          <cell r="C3813" t="str">
            <v>NORA NANCY MORENO TORRES</v>
          </cell>
          <cell r="D3813" t="str">
            <v>700234</v>
          </cell>
          <cell r="E3813" t="str">
            <v>nancymoreno2025@hotmail.com</v>
          </cell>
          <cell r="F3813" t="str">
            <v>CL 15 19 75</v>
          </cell>
          <cell r="G3813">
            <v>15238</v>
          </cell>
        </row>
        <row r="3814">
          <cell r="A3814" t="str">
            <v>826001086</v>
          </cell>
          <cell r="B3814" t="str">
            <v>4</v>
          </cell>
          <cell r="C3814" t="str">
            <v>EDIFICIO CENTRO COMERCIAL LA CALLEJA</v>
          </cell>
          <cell r="D3814" t="str">
            <v>3132099381</v>
          </cell>
          <cell r="E3814" t="str">
            <v>cccalleja15@gmail.com</v>
          </cell>
          <cell r="F3814" t="str">
            <v>CALLE 15  16  25</v>
          </cell>
          <cell r="G3814">
            <v>15238</v>
          </cell>
        </row>
        <row r="3815">
          <cell r="A3815" t="str">
            <v>826001390</v>
          </cell>
          <cell r="B3815" t="str">
            <v>9</v>
          </cell>
          <cell r="C3815" t="str">
            <v>EDIFICIO CENTER PLAZA PROPIEDAD HORIZONTAL</v>
          </cell>
          <cell r="D3815" t="str">
            <v>7611972</v>
          </cell>
          <cell r="E3815" t="str">
            <v>alac609@hotmail.com</v>
          </cell>
          <cell r="F3815" t="str">
            <v>CALLE 16  15  43</v>
          </cell>
          <cell r="G3815">
            <v>15238</v>
          </cell>
        </row>
        <row r="3816">
          <cell r="A3816" t="str">
            <v>826002049</v>
          </cell>
          <cell r="B3816" t="str">
            <v>6</v>
          </cell>
          <cell r="C3816" t="str">
            <v>EDIFICIO CAMARA DE COMERCIO</v>
          </cell>
          <cell r="D3816" t="str">
            <v>3002085357</v>
          </cell>
          <cell r="E3816" t="str">
            <v>edif.camaradecomercio@gmail.com</v>
          </cell>
          <cell r="F3816" t="str">
            <v>CALLE 16  15  21</v>
          </cell>
          <cell r="G3816">
            <v>15238</v>
          </cell>
        </row>
        <row r="3817">
          <cell r="A3817" t="str">
            <v>891855571</v>
          </cell>
          <cell r="B3817" t="str">
            <v>6</v>
          </cell>
          <cell r="C3817" t="str">
            <v>TRANSPORTES DEL TUNDAMA S. A.</v>
          </cell>
          <cell r="D3817" t="str">
            <v>7603166</v>
          </cell>
          <cell r="E3817" t="str">
            <v>rosatuliatundama@hotmail.com</v>
          </cell>
          <cell r="F3817" t="str">
            <v>CALLE 12  17  46</v>
          </cell>
          <cell r="G3817">
            <v>15238</v>
          </cell>
        </row>
        <row r="3818">
          <cell r="A3818" t="str">
            <v>900315872</v>
          </cell>
          <cell r="B3818" t="str">
            <v>3</v>
          </cell>
          <cell r="C3818" t="str">
            <v>EDIFICIO MULTIFAMILIAR IBIZA PROPIEDAD HORIZONTAL</v>
          </cell>
          <cell r="D3818" t="str">
            <v>3144300030</v>
          </cell>
          <cell r="E3818" t="str">
            <v>multifamiliaribizaph@gmail.com</v>
          </cell>
          <cell r="F3818" t="str">
            <v>CALLE 15  13  38</v>
          </cell>
          <cell r="G3818">
            <v>15238</v>
          </cell>
        </row>
        <row r="3819">
          <cell r="A3819" t="str">
            <v>900332913</v>
          </cell>
          <cell r="B3819" t="str">
            <v>9</v>
          </cell>
          <cell r="C3819" t="str">
            <v>PROPIEDAD HORIZONTAL EDIFICIO TAMANAE DE DUITAMA</v>
          </cell>
          <cell r="D3819" t="str">
            <v>3107941973</v>
          </cell>
          <cell r="E3819" t="str">
            <v>luisE-rojas@hotmail.com</v>
          </cell>
          <cell r="F3819" t="str">
            <v>CALLE 15  16  25  OFICINA 204</v>
          </cell>
          <cell r="G3819">
            <v>15238</v>
          </cell>
        </row>
        <row r="3820">
          <cell r="A3820" t="str">
            <v>900518521</v>
          </cell>
          <cell r="B3820" t="str">
            <v>5</v>
          </cell>
          <cell r="C3820" t="str">
            <v>EDIFICIO MULTIFAMILIAR COMERCIAL OPORTO PROPIEDAD HORIZONTAL</v>
          </cell>
          <cell r="D3820" t="str">
            <v>3138620287</v>
          </cell>
          <cell r="E3820" t="str">
            <v>carvajalpedraza@hotmail.com</v>
          </cell>
          <cell r="F3820" t="str">
            <v>CALLE 18  13  47</v>
          </cell>
          <cell r="G3820">
            <v>15238</v>
          </cell>
        </row>
        <row r="3821">
          <cell r="A3821" t="str">
            <v>900819269</v>
          </cell>
          <cell r="B3821" t="str">
            <v>5</v>
          </cell>
          <cell r="C3821" t="str">
            <v>EDIFICIO MULTIFAMILIAR LUCIANA PROPIEDAD HORIZONTAL</v>
          </cell>
          <cell r="D3821" t="str">
            <v>3133936806</v>
          </cell>
          <cell r="E3821" t="str">
            <v>edificiolucianaduitama@gmail.com</v>
          </cell>
          <cell r="F3821" t="str">
            <v>CALLE 15  8  60</v>
          </cell>
          <cell r="G3821">
            <v>15238</v>
          </cell>
        </row>
        <row r="3822">
          <cell r="A3822" t="str">
            <v>900823854</v>
          </cell>
          <cell r="B3822" t="str">
            <v>1</v>
          </cell>
          <cell r="C3822" t="str">
            <v>EDIFICIO TORRE QUINCE PROPIEDAD HORIZONTAL</v>
          </cell>
          <cell r="D3822" t="str">
            <v>3112457262</v>
          </cell>
          <cell r="E3822" t="str">
            <v>facturacion@estiloingenieria.com</v>
          </cell>
          <cell r="F3822" t="str">
            <v>CALLE 15  13  56</v>
          </cell>
          <cell r="G3822">
            <v>15238</v>
          </cell>
        </row>
        <row r="3823">
          <cell r="A3823" t="str">
            <v>900870457</v>
          </cell>
          <cell r="B3823" t="str">
            <v>9</v>
          </cell>
          <cell r="C3823" t="str">
            <v>EDIFICIO TORRE SAN PIETRO PROPIEDAD HORIZONTAL</v>
          </cell>
          <cell r="D3823" t="str">
            <v>3112457262</v>
          </cell>
          <cell r="E3823" t="str">
            <v>facturacion@estiloingenieria.com</v>
          </cell>
          <cell r="F3823" t="str">
            <v>CALLE 12  15  37</v>
          </cell>
          <cell r="G3823">
            <v>15238</v>
          </cell>
        </row>
        <row r="3824">
          <cell r="A3824" t="str">
            <v>901133768</v>
          </cell>
          <cell r="B3824" t="str">
            <v>7</v>
          </cell>
          <cell r="C3824" t="str">
            <v>EDIFICIO MARIA FERNANDA</v>
          </cell>
          <cell r="D3824" t="str">
            <v>3002085857</v>
          </cell>
          <cell r="E3824" t="str">
            <v>edif.mariafernanda@gmail.com</v>
          </cell>
          <cell r="F3824" t="str">
            <v>CL 16 8 19</v>
          </cell>
          <cell r="G3824">
            <v>15238</v>
          </cell>
        </row>
        <row r="3825">
          <cell r="A3825" t="str">
            <v>901144210</v>
          </cell>
          <cell r="B3825" t="str">
            <v>7</v>
          </cell>
          <cell r="C3825" t="str">
            <v>COMERCIALIZADORA RIANDE S.A.S.</v>
          </cell>
          <cell r="D3825" t="str">
            <v>3 1 7 4 3 1 1 1 2 5</v>
          </cell>
          <cell r="E3825" t="str">
            <v>crismojica@hotmail.com</v>
          </cell>
          <cell r="F3825" t="str">
            <v>CR 18 12 47</v>
          </cell>
          <cell r="G3825">
            <v>15238</v>
          </cell>
        </row>
        <row r="3826">
          <cell r="A3826" t="str">
            <v>901338264</v>
          </cell>
          <cell r="B3826" t="str">
            <v>8</v>
          </cell>
          <cell r="C3826" t="str">
            <v>EDIFICIO SANTA MONIKA PROPIEDAD HORIZONTAL</v>
          </cell>
          <cell r="D3826" t="str">
            <v>3125548344</v>
          </cell>
          <cell r="E3826" t="str">
            <v>edificiosantamonika@gmail.com</v>
          </cell>
          <cell r="F3826" t="str">
            <v>CALLE 13 13 50</v>
          </cell>
          <cell r="G3826">
            <v>15238</v>
          </cell>
        </row>
        <row r="3827">
          <cell r="A3827" t="str">
            <v>901499901</v>
          </cell>
          <cell r="B3827" t="str">
            <v>1</v>
          </cell>
          <cell r="C3827" t="str">
            <v>DURDAN CENTRO EMPRESARIAL PROPIEDAD HORIZONTAL</v>
          </cell>
          <cell r="D3827" t="str">
            <v>3154379472</v>
          </cell>
          <cell r="E3827" t="str">
            <v>contabilidad.durdan@gmail.com</v>
          </cell>
          <cell r="F3827" t="str">
            <v>CL 17 15 44</v>
          </cell>
          <cell r="G3827">
            <v>15238</v>
          </cell>
        </row>
        <row r="3828">
          <cell r="A3828" t="str">
            <v>901620569</v>
          </cell>
          <cell r="B3828" t="str">
            <v>7</v>
          </cell>
          <cell r="C3828" t="str">
            <v>EDIFICIO MULTIFAMILIAR COMERCIAL "SAN FELIPE" PROPIEDAD HORIZONTAL</v>
          </cell>
          <cell r="D3828" t="str">
            <v>3134880114</v>
          </cell>
          <cell r="E3828" t="str">
            <v>edi.sanfelipe@gmail.com</v>
          </cell>
          <cell r="F3828" t="str">
            <v>CR 37 9 14 9 20 CL 9 37 05 37 13</v>
          </cell>
          <cell r="G3828">
            <v>15238</v>
          </cell>
        </row>
        <row r="3829">
          <cell r="A3829">
            <v>222222222</v>
          </cell>
          <cell r="B3829" t="str">
            <v/>
          </cell>
          <cell r="C3829" t="str">
            <v>CUANTIAS MENORES</v>
          </cell>
          <cell r="D3829">
            <v>3228184763</v>
          </cell>
          <cell r="E3829" t="str">
            <v>impuestos@estiloingeniera.com</v>
          </cell>
          <cell r="F3829" t="str">
            <v xml:space="preserve">CL 127A 53A 45 TO2 P11 OF1101 </v>
          </cell>
          <cell r="G3829">
            <v>15759</v>
          </cell>
        </row>
        <row r="3830">
          <cell r="A3830" t="str">
            <v>900250835</v>
          </cell>
          <cell r="B3830" t="str">
            <v>1</v>
          </cell>
          <cell r="C3830" t="str">
            <v>CONJUNTO RESIDENCIAL SANTIAGO DE COMPOSTELA</v>
          </cell>
          <cell r="D3830" t="str">
            <v>7700389</v>
          </cell>
          <cell r="E3830" t="str">
            <v>cr.santiagodecompostela@gmail.com</v>
          </cell>
          <cell r="F3830" t="str">
            <v>CARRERA 9 A  14  55</v>
          </cell>
          <cell r="G3830">
            <v>15759</v>
          </cell>
        </row>
        <row r="3831">
          <cell r="A3831" t="str">
            <v>901151426</v>
          </cell>
          <cell r="B3831" t="str">
            <v>1</v>
          </cell>
          <cell r="C3831" t="str">
            <v>PROPIEDAD HORIZONTAL CONJUNTO RESIDENCIAL CANDELARIA REAL</v>
          </cell>
          <cell r="D3831" t="str">
            <v>3142193350</v>
          </cell>
          <cell r="E3831" t="str">
            <v>candelariareal.sogamoso@gmail.com</v>
          </cell>
          <cell r="F3831" t="str">
            <v>CR 11 1 153 SUR</v>
          </cell>
          <cell r="G3831">
            <v>15759</v>
          </cell>
        </row>
        <row r="3832">
          <cell r="A3832" t="str">
            <v>901488815</v>
          </cell>
          <cell r="B3832" t="str">
            <v>9</v>
          </cell>
          <cell r="C3832" t="str">
            <v>PARQUE RESIDENCIAL SAN MIGUEL ARCANGEL</v>
          </cell>
          <cell r="D3832" t="str">
            <v>3105768851</v>
          </cell>
          <cell r="E3832" t="str">
            <v>u.tsanmiguelarcangel@gmail.com</v>
          </cell>
          <cell r="F3832" t="str">
            <v>CLL 42 A 9 74</v>
          </cell>
          <cell r="G3832">
            <v>15759</v>
          </cell>
        </row>
        <row r="3833">
          <cell r="A3833" t="str">
            <v>901748555</v>
          </cell>
          <cell r="B3833" t="str">
            <v>5</v>
          </cell>
          <cell r="C3833" t="str">
            <v>CONJUNTO RESIDENCIAL VIS VILLA MERCEDES</v>
          </cell>
          <cell r="D3833" t="str">
            <v>3142193350</v>
          </cell>
          <cell r="E3833" t="str">
            <v>phvillamercedessogamoso@outlook.com</v>
          </cell>
          <cell r="F3833" t="str">
            <v>CRA 13 1B No 74 - 78 SUR</v>
          </cell>
          <cell r="G3833">
            <v>15759</v>
          </cell>
        </row>
        <row r="3834">
          <cell r="A3834" t="str">
            <v>10262055</v>
          </cell>
          <cell r="B3834" t="str">
            <v>5</v>
          </cell>
          <cell r="C3834" t="str">
            <v>LUIS GONZAGA DUQUE GARCIA</v>
          </cell>
          <cell r="D3834" t="str">
            <v>3113835958</v>
          </cell>
          <cell r="E3834" t="str">
            <v>lugoduga@hotmail.com</v>
          </cell>
          <cell r="F3834" t="str">
            <v>CR 22 #27-47 AP 303</v>
          </cell>
          <cell r="G3834">
            <v>17001</v>
          </cell>
        </row>
        <row r="3835">
          <cell r="A3835" t="str">
            <v>800081054</v>
          </cell>
          <cell r="B3835" t="str">
            <v>6</v>
          </cell>
          <cell r="C3835" t="str">
            <v>EDIFICIO BANCO SUDAMERIS GNB COLOMBIA - PROPIEDAD HORIZONTAL</v>
          </cell>
          <cell r="D3835" t="str">
            <v>8900063</v>
          </cell>
          <cell r="E3835" t="str">
            <v>eatlas95@gmail.com</v>
          </cell>
          <cell r="F3835" t="str">
            <v>CALLE 21  22  42</v>
          </cell>
          <cell r="G3835">
            <v>17001</v>
          </cell>
        </row>
        <row r="3836">
          <cell r="A3836" t="str">
            <v>800221059</v>
          </cell>
          <cell r="B3836" t="str">
            <v>4</v>
          </cell>
          <cell r="C3836" t="str">
            <v>EDIFICIO SOCIEDAD CALDENSE DE INGENIEROS PROPIEDAD HORIZONTAL</v>
          </cell>
          <cell r="D3836" t="str">
            <v>8841278</v>
          </cell>
          <cell r="E3836" t="str">
            <v>edfsciph@gmail.com</v>
          </cell>
          <cell r="F3836" t="str">
            <v>CARRERA 24  22  36</v>
          </cell>
          <cell r="G3836">
            <v>17001</v>
          </cell>
        </row>
        <row r="3837">
          <cell r="A3837" t="str">
            <v>800227535</v>
          </cell>
          <cell r="B3837" t="str">
            <v>6</v>
          </cell>
          <cell r="C3837" t="str">
            <v>EDIFICIO GAVILANES PROPIEDAD HORIZONTAL</v>
          </cell>
          <cell r="D3837" t="str">
            <v>8872005</v>
          </cell>
          <cell r="E3837" t="str">
            <v>edificiogavilanes@gmail.com</v>
          </cell>
          <cell r="F3837" t="str">
            <v>CARRERA 25  65  260</v>
          </cell>
          <cell r="G3837">
            <v>17001</v>
          </cell>
        </row>
        <row r="3838">
          <cell r="A3838" t="str">
            <v>800232500</v>
          </cell>
          <cell r="B3838" t="str">
            <v>9</v>
          </cell>
          <cell r="C3838" t="str">
            <v>EDIFICIO ACROPOLIS SANCANCIO PROPIEDAD HORIZONTAL</v>
          </cell>
          <cell r="D3838" t="str">
            <v>8850044</v>
          </cell>
          <cell r="E3838" t="str">
            <v>Acropolissancancio@gmail.com</v>
          </cell>
          <cell r="F3838" t="str">
            <v>CARRERA 23  51  111</v>
          </cell>
          <cell r="G3838">
            <v>17001</v>
          </cell>
        </row>
        <row r="3839">
          <cell r="A3839" t="str">
            <v>800246256</v>
          </cell>
          <cell r="B3839" t="str">
            <v>7</v>
          </cell>
          <cell r="C3839" t="str">
            <v>EDIFICIO APARCADERO CENTRO - PROPIEDAD HORIZONTAL</v>
          </cell>
          <cell r="D3839" t="str">
            <v>3166987105</v>
          </cell>
          <cell r="E3839" t="str">
            <v>ruben.gil@lapatria.com</v>
          </cell>
          <cell r="F3839" t="str">
            <v>CARRERA 20  21  51</v>
          </cell>
          <cell r="G3839">
            <v>17001</v>
          </cell>
        </row>
        <row r="3840">
          <cell r="A3840" t="str">
            <v>800252447</v>
          </cell>
          <cell r="B3840" t="str">
            <v>1</v>
          </cell>
          <cell r="C3840" t="str">
            <v>EDIFICIO DA VINCI PROPIEDAD HORIZONTAL</v>
          </cell>
          <cell r="D3840" t="str">
            <v>3116355615</v>
          </cell>
          <cell r="E3840" t="str">
            <v>LSGARCIAG@YAHOO.ES</v>
          </cell>
          <cell r="F3840" t="str">
            <v>CARRERA 25  65  140</v>
          </cell>
          <cell r="G3840">
            <v>17001</v>
          </cell>
        </row>
        <row r="3841">
          <cell r="A3841" t="str">
            <v>800254746</v>
          </cell>
          <cell r="B3841" t="str">
            <v>8</v>
          </cell>
          <cell r="C3841" t="str">
            <v>EDIFICIO AVENTINO PROPIEDAD HORIZONTAL</v>
          </cell>
          <cell r="D3841" t="str">
            <v>3122631888</v>
          </cell>
          <cell r="E3841" t="str">
            <v>facturacion@estiloingenieria.com</v>
          </cell>
          <cell r="F3841" t="str">
            <v>CARRERA 23  51  111</v>
          </cell>
          <cell r="G3841">
            <v>17001</v>
          </cell>
        </row>
        <row r="3842">
          <cell r="A3842" t="str">
            <v>810000207</v>
          </cell>
          <cell r="B3842" t="str">
            <v>6</v>
          </cell>
          <cell r="C3842" t="str">
            <v>EDIFICIO ALTO DE LA SIERRA PROPIEDAD HORIZONTAL</v>
          </cell>
          <cell r="D3842" t="str">
            <v>3104234429</v>
          </cell>
          <cell r="E3842" t="str">
            <v>altodelasierra@outlook.com</v>
          </cell>
          <cell r="F3842" t="str">
            <v>CARRERA 8  72  04</v>
          </cell>
          <cell r="G3842">
            <v>17001</v>
          </cell>
        </row>
        <row r="3843">
          <cell r="A3843" t="str">
            <v>810000278</v>
          </cell>
          <cell r="B3843" t="str">
            <v>9</v>
          </cell>
          <cell r="C3843" t="str">
            <v>EDIFICIO EL CASTILLO PROPIEDAD HORIZONTAL</v>
          </cell>
          <cell r="D3843" t="str">
            <v>8850044</v>
          </cell>
          <cell r="E3843" t="str">
            <v>rodriguezmoni1@hotmail.com</v>
          </cell>
          <cell r="F3843" t="str">
            <v>CARRERA 23  63  15</v>
          </cell>
          <cell r="G3843">
            <v>17001</v>
          </cell>
        </row>
        <row r="3844">
          <cell r="A3844" t="str">
            <v>810000284</v>
          </cell>
          <cell r="B3844" t="str">
            <v>3</v>
          </cell>
          <cell r="C3844" t="str">
            <v>EDIFICIO CENTRO PROFESIONAL PROPIEDAD HORIZONTAL</v>
          </cell>
          <cell r="D3844" t="str">
            <v>3173625308</v>
          </cell>
          <cell r="E3844" t="str">
            <v>edificiocentroprofesionalph@hotmail.com</v>
          </cell>
          <cell r="F3844" t="str">
            <v>CALLE 25  22  23</v>
          </cell>
          <cell r="G3844">
            <v>17001</v>
          </cell>
        </row>
        <row r="3845">
          <cell r="A3845" t="str">
            <v>810000996</v>
          </cell>
          <cell r="B3845" t="str">
            <v>9</v>
          </cell>
          <cell r="C3845" t="str">
            <v>EDIFICIO CAMINO DEL PARQUE PROPIEDAD HORIZONTAL</v>
          </cell>
          <cell r="D3845" t="str">
            <v>8850044</v>
          </cell>
          <cell r="E3845" t="str">
            <v>rodriguezmoni1@hotmail.com</v>
          </cell>
          <cell r="F3845" t="str">
            <v>CARRERA 28 B  71  05</v>
          </cell>
          <cell r="G3845">
            <v>17001</v>
          </cell>
        </row>
        <row r="3846">
          <cell r="A3846" t="str">
            <v>810003093</v>
          </cell>
          <cell r="B3846" t="str">
            <v>7</v>
          </cell>
          <cell r="C3846" t="str">
            <v>EDIFICIO TORRE MEDITERRANEA PROPIEDAD HORIZONTAL</v>
          </cell>
          <cell r="D3846" t="str">
            <v>3173625308</v>
          </cell>
          <cell r="E3846" t="str">
            <v>luzmcastano27@hotmail.com</v>
          </cell>
          <cell r="F3846" t="str">
            <v>CRA 27A # 71-27</v>
          </cell>
          <cell r="G3846">
            <v>17001</v>
          </cell>
        </row>
        <row r="3847">
          <cell r="A3847" t="str">
            <v>810004707</v>
          </cell>
          <cell r="B3847" t="str">
            <v>5</v>
          </cell>
          <cell r="C3847" t="str">
            <v>G Y J S.A.S</v>
          </cell>
          <cell r="D3847" t="str">
            <v>8873353</v>
          </cell>
          <cell r="E3847" t="str">
            <v>FELECTRONICAGYJ@GMAIL.COM</v>
          </cell>
          <cell r="F3847" t="str">
            <v>CR 23 A 74 71 P 6
marcegjj@</v>
          </cell>
          <cell r="G3847">
            <v>17001</v>
          </cell>
        </row>
        <row r="3848">
          <cell r="A3848" t="str">
            <v>810006362</v>
          </cell>
          <cell r="B3848" t="str">
            <v>7</v>
          </cell>
          <cell r="C3848" t="str">
            <v>EDIFICIO CENTRO COMERCIAL CABLE PLAZA PROPIEDAD HORIZONTAL</v>
          </cell>
          <cell r="D3848" t="str">
            <v>8756595</v>
          </cell>
          <cell r="E3848" t="str">
            <v>recepciondocumentos@cableplaza.com.co</v>
          </cell>
          <cell r="F3848" t="str">
            <v>CARRERA 23  65  11</v>
          </cell>
          <cell r="G3848">
            <v>17001</v>
          </cell>
        </row>
        <row r="3849">
          <cell r="A3849" t="str">
            <v>860006334</v>
          </cell>
          <cell r="B3849" t="str">
            <v>2</v>
          </cell>
          <cell r="C3849" t="str">
            <v>ORDEN DE AGUSTINOS RECOLETOS</v>
          </cell>
          <cell r="D3849" t="str">
            <v>7395310</v>
          </cell>
          <cell r="E3849" t="str">
            <v>contabilidad@agustinosrecoletos.com.co</v>
          </cell>
          <cell r="F3849" t="str">
            <v>CR 70 C 117 22</v>
          </cell>
          <cell r="G3849">
            <v>17001</v>
          </cell>
        </row>
        <row r="3850">
          <cell r="A3850" t="str">
            <v>890803285</v>
          </cell>
          <cell r="B3850" t="str">
            <v>8</v>
          </cell>
          <cell r="C3850" t="str">
            <v>TERMINAL DE TRANSPORTES DE MANIZALES S.A</v>
          </cell>
          <cell r="D3850" t="str">
            <v>3503098274</v>
          </cell>
          <cell r="E3850" t="str">
            <v>serviciosadministrativos@terminaldemanizales.com.co</v>
          </cell>
          <cell r="F3850" t="str">
            <v>CARRERA 43  65  100</v>
          </cell>
          <cell r="G3850">
            <v>17001</v>
          </cell>
        </row>
        <row r="3851">
          <cell r="A3851" t="str">
            <v>890804209</v>
          </cell>
          <cell r="B3851" t="str">
            <v>2</v>
          </cell>
          <cell r="C3851" t="str">
            <v>PROPIEDAD HORIZONTAL EDIFICIO EL TRIANGULO</v>
          </cell>
          <cell r="D3851" t="str">
            <v>8810416</v>
          </cell>
          <cell r="E3851" t="str">
            <v>edificioeltriangulo1963@gmail.com</v>
          </cell>
          <cell r="F3851" t="str">
            <v>CALLE 54  23  25</v>
          </cell>
          <cell r="G3851">
            <v>17001</v>
          </cell>
        </row>
        <row r="3852">
          <cell r="A3852" t="str">
            <v>890805603</v>
          </cell>
          <cell r="B3852" t="str">
            <v>6</v>
          </cell>
          <cell r="C3852" t="str">
            <v>PROPIEDAD HORIZONTAL EDIFICIO MULTICENTRO ESTRELLA</v>
          </cell>
          <cell r="D3852" t="str">
            <v>8863956</v>
          </cell>
          <cell r="E3852" t="str">
            <v>phmulticentroestrella@gmail.com</v>
          </cell>
          <cell r="F3852" t="str">
            <v>CR 23 59 70</v>
          </cell>
          <cell r="G3852">
            <v>17001</v>
          </cell>
        </row>
        <row r="3853">
          <cell r="A3853" t="str">
            <v>890806490</v>
          </cell>
          <cell r="B3853" t="str">
            <v>5</v>
          </cell>
          <cell r="C3853" t="str">
            <v>CAJA DE COMPENSACION FAMILIAR DE CALDAS</v>
          </cell>
          <cell r="D3853" t="str">
            <v>8748680</v>
          </cell>
          <cell r="E3853" t="str">
            <v>radicacion.facturas@confa.co</v>
          </cell>
          <cell r="F3853" t="str">
            <v>CARRERA 30  93  25</v>
          </cell>
          <cell r="G3853">
            <v>17001</v>
          </cell>
        </row>
        <row r="3854">
          <cell r="A3854" t="str">
            <v>900018934</v>
          </cell>
          <cell r="B3854" t="str">
            <v>8</v>
          </cell>
          <cell r="C3854" t="str">
            <v>CONSTRUCTORA URBANO S.A.S.</v>
          </cell>
          <cell r="D3854" t="str">
            <v>8862040</v>
          </cell>
          <cell r="E3854" t="str">
            <v>facturacion@constructoraurbano.com</v>
          </cell>
          <cell r="F3854" t="str">
            <v>CR 23 C 62 06 OF 901 ED FORUM</v>
          </cell>
          <cell r="G3854">
            <v>17001</v>
          </cell>
        </row>
        <row r="3855">
          <cell r="A3855" t="str">
            <v>900082077</v>
          </cell>
          <cell r="B3855" t="str">
            <v>2</v>
          </cell>
          <cell r="C3855" t="str">
            <v>CONSTRUCTORA J Y P S.A.S.</v>
          </cell>
          <cell r="D3855" t="str">
            <v>8867880</v>
          </cell>
          <cell r="E3855" t="str">
            <v>fe.recibido@constructorajyp.com</v>
          </cell>
          <cell r="F3855" t="str">
            <v>CARRERA 23  70 B  57  LOCAL 17</v>
          </cell>
          <cell r="G3855">
            <v>17001</v>
          </cell>
        </row>
        <row r="3856">
          <cell r="A3856" t="str">
            <v>900147844</v>
          </cell>
          <cell r="B3856" t="str">
            <v>6</v>
          </cell>
          <cell r="C3856" t="str">
            <v>CONJUNTO RESIDENCIAL MIRADOR DE LA COLINA PROPIEDAD HORIZONTAL</v>
          </cell>
          <cell r="D3856" t="str">
            <v>8850044</v>
          </cell>
          <cell r="E3856" t="str">
            <v>rodriguezmoni1@hotmail.com</v>
          </cell>
          <cell r="F3856" t="str">
            <v>CALLE 72 A  27 A  60</v>
          </cell>
          <cell r="G3856">
            <v>17001</v>
          </cell>
        </row>
        <row r="3857">
          <cell r="A3857" t="str">
            <v>900155103</v>
          </cell>
          <cell r="B3857" t="str">
            <v>0</v>
          </cell>
          <cell r="C3857" t="str">
            <v>INVERSIONES VARUNA S.A.</v>
          </cell>
          <cell r="D3857" t="str">
            <v>8811122</v>
          </cell>
          <cell r="E3857" t="str">
            <v>contabilidad@varunahotel.com</v>
          </cell>
          <cell r="F3857" t="str">
            <v>CALLE 62  23  34</v>
          </cell>
          <cell r="G3857">
            <v>17001</v>
          </cell>
        </row>
        <row r="3858">
          <cell r="A3858" t="str">
            <v>900181419</v>
          </cell>
          <cell r="B3858" t="str">
            <v>2</v>
          </cell>
          <cell r="C3858" t="str">
            <v>MEINTEGRAL SAS</v>
          </cell>
          <cell r="D3858" t="str">
            <v>4634625</v>
          </cell>
          <cell r="E3858" t="str">
            <v>facturacion@estiloingenieria.com</v>
          </cell>
          <cell r="F3858" t="str">
            <v>CARRERA 32  25 B  34</v>
          </cell>
          <cell r="G3858">
            <v>17001</v>
          </cell>
        </row>
        <row r="3859">
          <cell r="A3859" t="str">
            <v>900222424</v>
          </cell>
          <cell r="B3859" t="str">
            <v>7</v>
          </cell>
          <cell r="C3859" t="str">
            <v>EDIFICIO PASEO VERSALLES - PROPIEDAD HORIZONTAL</v>
          </cell>
          <cell r="D3859" t="str">
            <v>8853737</v>
          </cell>
          <cell r="E3859" t="str">
            <v>paseoversallesph@gmail.com</v>
          </cell>
          <cell r="F3859" t="str">
            <v>CALLE 50  26 69</v>
          </cell>
          <cell r="G3859">
            <v>17001</v>
          </cell>
        </row>
        <row r="3860">
          <cell r="A3860" t="str">
            <v>900227508</v>
          </cell>
          <cell r="B3860" t="str">
            <v>1</v>
          </cell>
          <cell r="C3860" t="str">
            <v>EDIFICIO TORRE PLAZA DE LA 70 - PROPIEDAD HORIZONTAL</v>
          </cell>
          <cell r="D3860" t="str">
            <v>3212281920</v>
          </cell>
          <cell r="E3860" t="str">
            <v>facturacion@estiloingenieria.com</v>
          </cell>
          <cell r="F3860" t="str">
            <v>CARRERA 23  70 B  57</v>
          </cell>
          <cell r="G3860">
            <v>17001</v>
          </cell>
        </row>
        <row r="3861">
          <cell r="A3861" t="str">
            <v>900296991</v>
          </cell>
          <cell r="B3861" t="str">
            <v>9</v>
          </cell>
          <cell r="C3861" t="str">
            <v>EDIFICIO MULTIFAMILIAR MONTEVEDRA-PROPIEDAD HORIZONTAL</v>
          </cell>
          <cell r="D3861" t="str">
            <v>8873226</v>
          </cell>
          <cell r="E3861" t="str">
            <v>teretrujillo237@hotmail.com</v>
          </cell>
          <cell r="F3861" t="str">
            <v>CARRERA 20 BIS  65 A  101</v>
          </cell>
          <cell r="G3861">
            <v>17001</v>
          </cell>
        </row>
        <row r="3862">
          <cell r="A3862" t="str">
            <v>900304411</v>
          </cell>
          <cell r="B3862" t="str">
            <v>4</v>
          </cell>
          <cell r="C3862" t="str">
            <v>EDIFICIO ALTAVISTA PROPIEDAD HORIZONTAL</v>
          </cell>
          <cell r="D3862" t="str">
            <v>8924442</v>
          </cell>
          <cell r="E3862" t="str">
            <v>sofyaristizabal@hayoo.com</v>
          </cell>
          <cell r="F3862" t="str">
            <v>CALLE 72  27  104</v>
          </cell>
          <cell r="G3862">
            <v>17001</v>
          </cell>
        </row>
        <row r="3863">
          <cell r="A3863" t="str">
            <v>900323025</v>
          </cell>
          <cell r="B3863" t="str">
            <v>5</v>
          </cell>
          <cell r="C3863" t="str">
            <v>EDIFICIO EL MIRADOR PROPIEDAD HORIZONTAL</v>
          </cell>
          <cell r="D3863" t="str">
            <v>3147132679</v>
          </cell>
          <cell r="E3863" t="str">
            <v>aljani52@hotmail.com</v>
          </cell>
          <cell r="F3863" t="str">
            <v>CARRERA 23  73  126</v>
          </cell>
          <cell r="G3863">
            <v>17001</v>
          </cell>
        </row>
        <row r="3864">
          <cell r="A3864" t="str">
            <v>900398649</v>
          </cell>
          <cell r="B3864" t="str">
            <v>2</v>
          </cell>
          <cell r="C3864" t="str">
            <v>EDIFICIO VERSALLES PLAZA PROPIEDAD HORIZONTAL</v>
          </cell>
          <cell r="D3864">
            <v>3219664011</v>
          </cell>
          <cell r="E3864" t="str">
            <v>versallesplaza@gmail.com</v>
          </cell>
          <cell r="F3864" t="str">
            <v>CARRERA 25  52  30</v>
          </cell>
          <cell r="G3864">
            <v>17001</v>
          </cell>
        </row>
        <row r="3865">
          <cell r="A3865" t="str">
            <v>900399936</v>
          </cell>
          <cell r="B3865" t="str">
            <v>6</v>
          </cell>
          <cell r="C3865" t="str">
            <v>EDIFICIO MILENA PROPIEDAD HORIZONTAL</v>
          </cell>
          <cell r="D3865" t="str">
            <v>3122868717</v>
          </cell>
          <cell r="E3865" t="str">
            <v>edificiomilenapropiedadhorizontal@hotmail.com</v>
          </cell>
          <cell r="F3865" t="str">
            <v>CARRERA 25  67  35</v>
          </cell>
          <cell r="G3865">
            <v>17001</v>
          </cell>
        </row>
        <row r="3866">
          <cell r="A3866" t="str">
            <v>900437923</v>
          </cell>
          <cell r="B3866" t="str">
            <v>4</v>
          </cell>
          <cell r="C3866" t="str">
            <v>EDIFICIO BALCONES DE SAN LUIS - PROPIEDAD HORIZONTAL</v>
          </cell>
          <cell r="D3866" t="str">
            <v>3004120684</v>
          </cell>
          <cell r="E3866" t="str">
            <v>lucycolombiaramirez@gmail.com</v>
          </cell>
          <cell r="F3866" t="str">
            <v>CALLE 51  26  19</v>
          </cell>
          <cell r="G3866">
            <v>17001</v>
          </cell>
        </row>
        <row r="3867">
          <cell r="A3867" t="str">
            <v>900459771</v>
          </cell>
          <cell r="B3867" t="str">
            <v>6</v>
          </cell>
          <cell r="C3867" t="str">
            <v>EDIFICIO MERIDIANO - PROPIEDAD HORIZONTAL</v>
          </cell>
          <cell r="D3867" t="str">
            <v>3104487401</v>
          </cell>
          <cell r="E3867" t="str">
            <v>FACTURACION@ESTILOINGENIERIA.COM</v>
          </cell>
          <cell r="F3867" t="str">
            <v>CARRERA 23  52 31</v>
          </cell>
          <cell r="G3867">
            <v>17001</v>
          </cell>
        </row>
        <row r="3868">
          <cell r="A3868" t="str">
            <v>900489559</v>
          </cell>
          <cell r="B3868" t="str">
            <v>9</v>
          </cell>
          <cell r="C3868" t="str">
            <v>EDIFICIO COLINA SUIZA - PROPIEDAD HORIZONTAL</v>
          </cell>
          <cell r="D3868" t="str">
            <v>8792914</v>
          </cell>
          <cell r="E3868" t="str">
            <v>colinasuiza@gmail.com</v>
          </cell>
          <cell r="F3868" t="str">
            <v>CALLE 75 A  20  42</v>
          </cell>
          <cell r="G3868">
            <v>17001</v>
          </cell>
        </row>
        <row r="3869">
          <cell r="A3869" t="str">
            <v>900501388</v>
          </cell>
          <cell r="B3869" t="str">
            <v>7</v>
          </cell>
          <cell r="C3869" t="str">
            <v>EDIFICIO TORRE DEL SOL PROPIEDAD HORIZONTAL</v>
          </cell>
          <cell r="D3869" t="str">
            <v>8840978</v>
          </cell>
          <cell r="E3869" t="str">
            <v>Torresdelsol22@gmail.com</v>
          </cell>
          <cell r="F3869" t="str">
            <v>CALLE 50  20  64</v>
          </cell>
          <cell r="G3869">
            <v>17001</v>
          </cell>
        </row>
        <row r="3870">
          <cell r="A3870" t="str">
            <v>900527736</v>
          </cell>
          <cell r="B3870" t="str">
            <v>1</v>
          </cell>
          <cell r="C3870" t="str">
            <v>EDIFICIO MIRADOR DE LA SUIZA - PROPIEDAD HORIZONTAL</v>
          </cell>
          <cell r="D3870" t="str">
            <v>3137332538</v>
          </cell>
          <cell r="E3870" t="str">
            <v>glorialpineda@hotmail.com</v>
          </cell>
          <cell r="F3870" t="str">
            <v>CL 71  17 - 24 ED MIRADOR DE LA SUIZA</v>
          </cell>
          <cell r="G3870">
            <v>17001</v>
          </cell>
        </row>
        <row r="3871">
          <cell r="A3871" t="str">
            <v>900549670</v>
          </cell>
          <cell r="B3871" t="str">
            <v>7</v>
          </cell>
          <cell r="C3871" t="str">
            <v>CONJUNTO CERRADO MIRADOR DE SAN CANCIO - PROPIEDAD HORIZONTAL</v>
          </cell>
          <cell r="D3871" t="str">
            <v>3 1 2 7 0 9 4 1 5 3</v>
          </cell>
          <cell r="E3871" t="str">
            <v>mirador.sancancio@hotmail.com</v>
          </cell>
          <cell r="F3871" t="str">
            <v>AV PARALELA SUR CON CRA 24 C MIRADOR DE SANCANCIO</v>
          </cell>
          <cell r="G3871">
            <v>17001</v>
          </cell>
        </row>
        <row r="3872">
          <cell r="A3872" t="str">
            <v>900657885</v>
          </cell>
          <cell r="B3872" t="str">
            <v>6</v>
          </cell>
          <cell r="C3872" t="str">
            <v>EDIFICIO MULTIFAMILIAR TORRE LUNA-PROPIEDAD HORIZONTAL</v>
          </cell>
          <cell r="D3872" t="str">
            <v>3117886961</v>
          </cell>
          <cell r="E3872" t="str">
            <v>edificiotorreluna2024@gmail.com</v>
          </cell>
          <cell r="F3872" t="str">
            <v>AVENIDA BERNARDO ARANGO  12  20</v>
          </cell>
          <cell r="G3872">
            <v>17001</v>
          </cell>
        </row>
        <row r="3873">
          <cell r="A3873" t="str">
            <v>900675130</v>
          </cell>
          <cell r="B3873" t="str">
            <v>0</v>
          </cell>
          <cell r="C3873" t="str">
            <v>EDIFICIO TORRES DE BARCELONA - PROPIEDAD HORIZONTAL</v>
          </cell>
          <cell r="D3873" t="str">
            <v>3122939323</v>
          </cell>
          <cell r="E3873" t="str">
            <v>edificiotorresdebarcelona@gmail.com</v>
          </cell>
          <cell r="F3873" t="str">
            <v>CALLE 54  34  32</v>
          </cell>
          <cell r="G3873">
            <v>17001</v>
          </cell>
        </row>
        <row r="3874">
          <cell r="A3874" t="str">
            <v>900695195</v>
          </cell>
          <cell r="B3874" t="str">
            <v>4</v>
          </cell>
          <cell r="C3874" t="str">
            <v>PRANHA URBANO S.A.S.</v>
          </cell>
          <cell r="D3874" t="str">
            <v>3147917023</v>
          </cell>
          <cell r="E3874" t="str">
            <v>900695195@recepciondefacturas.co</v>
          </cell>
          <cell r="F3874" t="str">
            <v>CARRERA 23 C  62  06  OFICINA 901</v>
          </cell>
          <cell r="G3874">
            <v>17001</v>
          </cell>
        </row>
        <row r="3875">
          <cell r="A3875" t="str">
            <v>900804823</v>
          </cell>
          <cell r="B3875" t="str">
            <v>0</v>
          </cell>
          <cell r="C3875" t="str">
            <v>EDIFICIO PLAZUELA DE LOS ALAMOS PROPIEDAD HORIZONTAL</v>
          </cell>
          <cell r="D3875" t="str">
            <v>8853613</v>
          </cell>
          <cell r="E3875" t="str">
            <v>plazueladealamos7@gmail.com</v>
          </cell>
          <cell r="F3875" t="str">
            <v>CALLE 105  29  17</v>
          </cell>
          <cell r="G3875">
            <v>17001</v>
          </cell>
        </row>
        <row r="3876">
          <cell r="A3876" t="str">
            <v>900809614</v>
          </cell>
          <cell r="B3876" t="str">
            <v>0</v>
          </cell>
          <cell r="C3876" t="str">
            <v>RAIZ GRUPO CONSTRUCTOR S.A.S.</v>
          </cell>
          <cell r="D3876" t="str">
            <v>3147460275</v>
          </cell>
          <cell r="E3876" t="str">
            <v>centronia2024@Gmail.com</v>
          </cell>
          <cell r="F3876" t="str">
            <v xml:space="preserve">CR 13 A 12 55 ED POLANCO CHIPRE AP 502
</v>
          </cell>
          <cell r="G3876">
            <v>17001</v>
          </cell>
        </row>
        <row r="3877">
          <cell r="A3877" t="str">
            <v>900823932</v>
          </cell>
          <cell r="B3877" t="str">
            <v>6</v>
          </cell>
          <cell r="C3877" t="str">
            <v>EDIFICIO VIALE - PROPIEDAD HORIZONTAL</v>
          </cell>
          <cell r="D3877" t="str">
            <v>3122739072</v>
          </cell>
          <cell r="E3877" t="str">
            <v>marianydiaalzate@hotmail.com</v>
          </cell>
          <cell r="F3877" t="str">
            <v>CALLE 69  24  100</v>
          </cell>
          <cell r="G3877">
            <v>17001</v>
          </cell>
        </row>
        <row r="3878">
          <cell r="A3878" t="str">
            <v>900832687</v>
          </cell>
          <cell r="B3878" t="str">
            <v>4</v>
          </cell>
          <cell r="C3878" t="str">
            <v>EDIFICIO KIEV - PROPIEDAD HORIZONTAL</v>
          </cell>
          <cell r="D3878" t="str">
            <v>8734332</v>
          </cell>
          <cell r="E3878" t="str">
            <v>edificiokiev@gmail.com</v>
          </cell>
          <cell r="F3878" t="str">
            <v>CARRERA 22  44  68</v>
          </cell>
          <cell r="G3878">
            <v>17001</v>
          </cell>
        </row>
        <row r="3879">
          <cell r="A3879" t="str">
            <v>900853003</v>
          </cell>
          <cell r="B3879" t="str">
            <v>7</v>
          </cell>
          <cell r="C3879" t="str">
            <v>ALTOS DE GUZMAN - PROPIEDAD HORIZONTAL</v>
          </cell>
          <cell r="D3879" t="str">
            <v>8904308</v>
          </cell>
          <cell r="E3879" t="str">
            <v>gloriacriscorrea@gmail.com</v>
          </cell>
          <cell r="F3879" t="str">
            <v>CALLE 8 A  11  09</v>
          </cell>
          <cell r="G3879">
            <v>17001</v>
          </cell>
        </row>
        <row r="3880">
          <cell r="A3880" t="str">
            <v>900856229</v>
          </cell>
          <cell r="B3880" t="str">
            <v>8</v>
          </cell>
          <cell r="C3880" t="str">
            <v>TORRES MEDITERRANEO - PROPIEDAD HORIZONTAL</v>
          </cell>
          <cell r="D3880" t="str">
            <v>3128143228</v>
          </cell>
          <cell r="E3880" t="str">
            <v>torresmediterraneoph@gmail.com</v>
          </cell>
          <cell r="F3880" t="str">
            <v>CARRERA 23  48  113</v>
          </cell>
          <cell r="G3880">
            <v>17001</v>
          </cell>
        </row>
        <row r="3881">
          <cell r="A3881" t="str">
            <v>900879283</v>
          </cell>
          <cell r="B3881" t="str">
            <v>5</v>
          </cell>
          <cell r="C3881" t="str">
            <v>EDIFICIO FLORES DEL RIO - PROPIEDAD HORIZONTAL</v>
          </cell>
          <cell r="D3881" t="str">
            <v>8853737</v>
          </cell>
          <cell r="E3881" t="str">
            <v>rigojaco18@hotmail.com</v>
          </cell>
          <cell r="F3881" t="str">
            <v>CARRERA 23  51  67</v>
          </cell>
          <cell r="G3881">
            <v>17001</v>
          </cell>
        </row>
        <row r="3882">
          <cell r="A3882" t="str">
            <v>900896782</v>
          </cell>
          <cell r="B3882" t="str">
            <v>0</v>
          </cell>
          <cell r="C3882" t="str">
            <v>INVERSIONES PAISAJES DEL CERRO S.A.S</v>
          </cell>
          <cell r="D3882" t="str">
            <v>8853790</v>
          </cell>
          <cell r="E3882" t="str">
            <v>facturacion@perfek.com.co</v>
          </cell>
          <cell r="F3882" t="str">
            <v>CALLE 58 No. 24 - 35</v>
          </cell>
          <cell r="G3882">
            <v>17001</v>
          </cell>
        </row>
        <row r="3883">
          <cell r="A3883" t="str">
            <v>900922022</v>
          </cell>
          <cell r="B3883" t="str">
            <v>3</v>
          </cell>
          <cell r="C3883" t="str">
            <v>EDIFICIO BAMBU - PROPIEDAD HORIZONTAL</v>
          </cell>
          <cell r="D3883" t="str">
            <v>8910910</v>
          </cell>
          <cell r="E3883" t="str">
            <v>bambuadmon@hotmail.com</v>
          </cell>
          <cell r="F3883" t="str">
            <v>CARRERA 30  87  62</v>
          </cell>
          <cell r="G3883">
            <v>17001</v>
          </cell>
        </row>
        <row r="3884">
          <cell r="A3884" t="str">
            <v>900929244</v>
          </cell>
          <cell r="B3884" t="str">
            <v>3</v>
          </cell>
          <cell r="C3884" t="str">
            <v>EDIFICIO TIKAL - PROPIEDAD HORIZONTAL</v>
          </cell>
          <cell r="D3884" t="str">
            <v>3136618142</v>
          </cell>
          <cell r="E3884" t="str">
            <v>ph.tikal@gmail.com</v>
          </cell>
          <cell r="F3884" t="str">
            <v>CARRERA 22  44  69</v>
          </cell>
          <cell r="G3884">
            <v>17001</v>
          </cell>
        </row>
        <row r="3885">
          <cell r="A3885" t="str">
            <v>900955193</v>
          </cell>
          <cell r="B3885" t="str">
            <v>6</v>
          </cell>
          <cell r="C3885" t="str">
            <v>CONJUNTO HABITACIONAL LOS CAMBULOS  PROPIEDAD HORIZONTAL</v>
          </cell>
          <cell r="D3885" t="str">
            <v>3122939323</v>
          </cell>
          <cell r="E3885" t="str">
            <v>chcambulos@gmail.com</v>
          </cell>
          <cell r="F3885" t="str">
            <v>CALLE 65 B  42  70</v>
          </cell>
          <cell r="G3885">
            <v>17001</v>
          </cell>
        </row>
        <row r="3886">
          <cell r="A3886" t="str">
            <v>901005006</v>
          </cell>
          <cell r="B3886" t="str">
            <v>5</v>
          </cell>
          <cell r="C3886" t="str">
            <v>EDIFICIO SINDAMANOY - PROPIEDAD HORIZONTAL</v>
          </cell>
          <cell r="D3886" t="str">
            <v>3207882076</v>
          </cell>
          <cell r="E3886" t="str">
            <v>glorialpineda@hotmail.com</v>
          </cell>
          <cell r="F3886" t="str">
            <v>CALLE 8 B 11 22</v>
          </cell>
          <cell r="G3886">
            <v>17001</v>
          </cell>
        </row>
        <row r="3887">
          <cell r="A3887" t="str">
            <v>901015722</v>
          </cell>
          <cell r="B3887" t="str">
            <v>3</v>
          </cell>
          <cell r="C3887" t="str">
            <v>EDIFICIO MULTIFAMILIAR HIPONA P.H.</v>
          </cell>
          <cell r="D3887" t="str">
            <v>3122939323</v>
          </cell>
          <cell r="E3887" t="str">
            <v>edificiohipona@gmail.com</v>
          </cell>
          <cell r="F3887" t="str">
            <v>CARRERA 20  15  39</v>
          </cell>
          <cell r="G3887">
            <v>17001</v>
          </cell>
        </row>
        <row r="3888">
          <cell r="A3888" t="str">
            <v>901074940</v>
          </cell>
          <cell r="B3888" t="str">
            <v>4</v>
          </cell>
          <cell r="C3888" t="str">
            <v>EDIFICIO VITTANZA - PROPIEDAD HORIZONTAL</v>
          </cell>
          <cell r="D3888">
            <v>3219664011</v>
          </cell>
          <cell r="E3888" t="str">
            <v>Chamy_116@hotmail.com</v>
          </cell>
          <cell r="F3888" t="str">
            <v>CALLE 8 B  11  44</v>
          </cell>
          <cell r="G3888">
            <v>17001</v>
          </cell>
        </row>
        <row r="3889">
          <cell r="A3889" t="str">
            <v>901078686</v>
          </cell>
          <cell r="B3889" t="str">
            <v>6</v>
          </cell>
          <cell r="C3889" t="str">
            <v>EDIFICIO PUNTA DEL ESTE - PROPIEDAD HORIZONTAL</v>
          </cell>
          <cell r="D3889" t="str">
            <v>3113038252</v>
          </cell>
          <cell r="E3889" t="str">
            <v>puntadelesteedificio@hotmail.com</v>
          </cell>
          <cell r="F3889" t="str">
            <v>CALLE 72  25  75</v>
          </cell>
          <cell r="G3889">
            <v>17001</v>
          </cell>
        </row>
        <row r="3890">
          <cell r="A3890" t="str">
            <v>901096004</v>
          </cell>
          <cell r="B3890" t="str">
            <v>1</v>
          </cell>
          <cell r="C3890" t="str">
            <v>CONJUNTO RESIDENCIAL TORRES DE MILAN - PROPIEDAD HORIZONTAL</v>
          </cell>
          <cell r="D3890" t="str">
            <v>3136961702</v>
          </cell>
          <cell r="E3890" t="str">
            <v>torresdemilanapartamentos@gmail.com</v>
          </cell>
          <cell r="F3890" t="str">
            <v>CARRERA 23  75 A  140</v>
          </cell>
          <cell r="G3890">
            <v>17001</v>
          </cell>
        </row>
        <row r="3891">
          <cell r="A3891" t="str">
            <v>901104926</v>
          </cell>
          <cell r="B3891" t="str">
            <v>0</v>
          </cell>
          <cell r="C3891" t="str">
            <v>EDIFICIO MACADAMIA PROPIEDAD HORIZONTAL</v>
          </cell>
          <cell r="D3891" t="str">
            <v>3113953674</v>
          </cell>
          <cell r="E3891" t="str">
            <v>edificiomacadamiaph@gmail.com</v>
          </cell>
          <cell r="F3891" t="str">
            <v>CARRERA 9  9  35</v>
          </cell>
          <cell r="G3891">
            <v>17001</v>
          </cell>
        </row>
        <row r="3892">
          <cell r="A3892" t="str">
            <v>901141901</v>
          </cell>
          <cell r="B3892" t="str">
            <v>4</v>
          </cell>
          <cell r="C3892" t="str">
            <v>CONJUNTO DE VIVIENDA MULTIFAMILIAR MIRADOR DE LA FRANCIA</v>
          </cell>
          <cell r="D3892" t="str">
            <v>3103824984</v>
          </cell>
          <cell r="E3892" t="str">
            <v>miradordelafrancia@gmail.com</v>
          </cell>
          <cell r="F3892" t="str">
            <v>CARRERA 15  4 B  63</v>
          </cell>
          <cell r="G3892">
            <v>17001</v>
          </cell>
        </row>
        <row r="3893">
          <cell r="A3893" t="str">
            <v>901159545</v>
          </cell>
          <cell r="B3893" t="str">
            <v>4</v>
          </cell>
          <cell r="C3893" t="str">
            <v>SERVICIOS BOLIVAR FACILITIES S.A.S</v>
          </cell>
          <cell r="D3893" t="str">
            <v>3410077</v>
          </cell>
          <cell r="E3893" t="str">
            <v>soluciones.bolivar@segurosbolivar.com</v>
          </cell>
          <cell r="F3893" t="str">
            <v>AV. Dorado 68b 31</v>
          </cell>
          <cell r="G3893">
            <v>17001</v>
          </cell>
        </row>
        <row r="3894">
          <cell r="A3894" t="str">
            <v>901175727</v>
          </cell>
          <cell r="B3894" t="str">
            <v>5</v>
          </cell>
          <cell r="C3894" t="str">
            <v>HABITAT 360 SAS</v>
          </cell>
          <cell r="D3894" t="str">
            <v>3128704088</v>
          </cell>
          <cell r="E3894" t="str">
            <v>constructorahabitat360@gmail.com</v>
          </cell>
          <cell r="F3894" t="str">
            <v>Conjunto san maria de las lomas, lote 5 vía al cerro de oro, construcción torre 360</v>
          </cell>
          <cell r="G3894">
            <v>17001</v>
          </cell>
        </row>
        <row r="3895">
          <cell r="A3895" t="str">
            <v>901215361</v>
          </cell>
          <cell r="B3895" t="str">
            <v>6</v>
          </cell>
          <cell r="C3895" t="str">
            <v>EDIFICIO VERONA - PH</v>
          </cell>
          <cell r="D3895" t="str">
            <v>31110038252</v>
          </cell>
          <cell r="E3895" t="str">
            <v>phtorreverona@gmail.com</v>
          </cell>
          <cell r="F3895" t="str">
            <v>CL 57 G 10 A 43</v>
          </cell>
          <cell r="G3895">
            <v>17001</v>
          </cell>
        </row>
        <row r="3896">
          <cell r="A3896" t="str">
            <v>901216387</v>
          </cell>
          <cell r="B3896" t="str">
            <v>1</v>
          </cell>
          <cell r="C3896" t="str">
            <v>EDIFICIO SHANTTI - PROPIEDAD HORIZONTAL</v>
          </cell>
          <cell r="D3896" t="str">
            <v>8878384</v>
          </cell>
          <cell r="E3896" t="str">
            <v>marthaluciabuitragoperez@gmail.com</v>
          </cell>
          <cell r="F3896" t="str">
            <v>CL 15 20 44</v>
          </cell>
          <cell r="G3896">
            <v>17001</v>
          </cell>
        </row>
        <row r="3897">
          <cell r="A3897" t="str">
            <v>901224554</v>
          </cell>
          <cell r="B3897" t="str">
            <v>9</v>
          </cell>
          <cell r="C3897" t="str">
            <v>EDIFICIO GRAN ESTACION - PROPIEDAD HORIZONTAL</v>
          </cell>
          <cell r="D3897" t="str">
            <v>3113733218</v>
          </cell>
          <cell r="E3897" t="str">
            <v>gloriacriscorrea@gmail.com</v>
          </cell>
          <cell r="F3897" t="str">
            <v>CR 21 38 55</v>
          </cell>
          <cell r="G3897">
            <v>17001</v>
          </cell>
        </row>
        <row r="3898">
          <cell r="A3898" t="str">
            <v>901229120</v>
          </cell>
          <cell r="B3898" t="str">
            <v>9</v>
          </cell>
          <cell r="C3898" t="str">
            <v>EDIFICIO TORRES DE BULEVAR ETAPA 1 - P.H.</v>
          </cell>
          <cell r="D3898" t="str">
            <v>6865095</v>
          </cell>
          <cell r="E3898" t="str">
            <v>admcctb@gmail.com</v>
          </cell>
          <cell r="F3898" t="str">
            <v>CLL 43 5 175</v>
          </cell>
          <cell r="G3898">
            <v>17001</v>
          </cell>
        </row>
        <row r="3899">
          <cell r="A3899" t="str">
            <v>901240789</v>
          </cell>
          <cell r="B3899" t="str">
            <v>1</v>
          </cell>
          <cell r="C3899" t="str">
            <v>MONTEVISTA S.A.S.</v>
          </cell>
          <cell r="D3899" t="str">
            <v>301 294 33 23</v>
          </cell>
          <cell r="E3899" t="str">
            <v>montevistasas@gmail.com</v>
          </cell>
          <cell r="F3899" t="str">
            <v>Carrera 18 con calle 40</v>
          </cell>
          <cell r="G3899">
            <v>17001</v>
          </cell>
        </row>
        <row r="3900">
          <cell r="A3900" t="str">
            <v>901256357</v>
          </cell>
          <cell r="B3900" t="str">
            <v>1</v>
          </cell>
          <cell r="C3900" t="str">
            <v>CONJUNTO CERRADO LA QUINTA TORRES 1 Y 2 (PRIMERA ETAPA) - PROPIEDAD HORIZONTAL</v>
          </cell>
          <cell r="D3900" t="str">
            <v>3 1 2 2 9 3 9 3 2 3</v>
          </cell>
          <cell r="E3900" t="str">
            <v>laquintadelafrancia@gmail.com</v>
          </cell>
          <cell r="F3900" t="str">
            <v>CR 17 4 33</v>
          </cell>
          <cell r="G3900">
            <v>17001</v>
          </cell>
        </row>
        <row r="3901">
          <cell r="A3901" t="str">
            <v>901281696</v>
          </cell>
          <cell r="B3901" t="str">
            <v>9</v>
          </cell>
          <cell r="C3901" t="str">
            <v>EDIFICIO MULTIFAMILIAR SAN AMBROSIO PROPIEDAD HORIZONTAL</v>
          </cell>
          <cell r="D3901" t="str">
            <v>8923110</v>
          </cell>
          <cell r="E3901" t="str">
            <v>harveycortes@hotmail.com</v>
          </cell>
          <cell r="F3901" t="str">
            <v>CR 19 13 48</v>
          </cell>
          <cell r="G3901">
            <v>17001</v>
          </cell>
        </row>
        <row r="3902">
          <cell r="A3902" t="str">
            <v>901285655</v>
          </cell>
          <cell r="B3902" t="str">
            <v>5</v>
          </cell>
          <cell r="C3902" t="str">
            <v>CONJUNTO CERRADO MULTIFAMILIAR MORATTO PROPIEDAD HORIZONTAL</v>
          </cell>
          <cell r="D3902" t="str">
            <v>3012531121</v>
          </cell>
          <cell r="E3902" t="str">
            <v>morattoliving@gmail.com</v>
          </cell>
          <cell r="F3902" t="str">
            <v>AV ALBERTO MENDOZA 77 40 ED MORATTOLIVING AP 1401</v>
          </cell>
          <cell r="G3902">
            <v>17001</v>
          </cell>
        </row>
        <row r="3903">
          <cell r="A3903" t="str">
            <v>901291374</v>
          </cell>
          <cell r="B3903" t="str">
            <v>5</v>
          </cell>
          <cell r="C3903" t="str">
            <v>EDIFICIO CUMBRES DE LOS ROSALES PROPIEDAD HORIZONTAL</v>
          </cell>
          <cell r="D3903">
            <v>3219664011</v>
          </cell>
          <cell r="E3903" t="str">
            <v>cumbresdelosrosales@gmail.com</v>
          </cell>
          <cell r="F3903" t="str">
            <v>CALLE 57 21 15</v>
          </cell>
          <cell r="G3903">
            <v>17001</v>
          </cell>
        </row>
        <row r="3904">
          <cell r="A3904" t="str">
            <v>901307309</v>
          </cell>
          <cell r="B3904" t="str">
            <v>8</v>
          </cell>
          <cell r="C3904" t="str">
            <v>EDIFICIO AMARETTO-PROPIEDAD HORIZONTAL</v>
          </cell>
          <cell r="D3904" t="str">
            <v>3104138550</v>
          </cell>
          <cell r="E3904" t="str">
            <v>phamaretto1@gmail.com</v>
          </cell>
          <cell r="F3904" t="str">
            <v>CARRERA 23 N° 44-33</v>
          </cell>
          <cell r="G3904">
            <v>17001</v>
          </cell>
        </row>
        <row r="3905">
          <cell r="A3905" t="str">
            <v>901380968</v>
          </cell>
          <cell r="B3905" t="str">
            <v>1</v>
          </cell>
          <cell r="C3905" t="str">
            <v>CONJUNTO CERRADO BOSQUES DEL CERRO - PROPIEDAD HORIZONTAL</v>
          </cell>
          <cell r="D3905" t="str">
            <v>3122860436</v>
          </cell>
          <cell r="E3905" t="str">
            <v>bosquesdelcerroph@gmail.com</v>
          </cell>
          <cell r="F3905" t="str">
            <v>VIA AL CERRO DE ORO 67 02 BARRIO BOSQUES DE NIZA</v>
          </cell>
          <cell r="G3905">
            <v>17001</v>
          </cell>
        </row>
        <row r="3906">
          <cell r="A3906" t="str">
            <v>901381036</v>
          </cell>
          <cell r="B3906" t="str">
            <v>7</v>
          </cell>
          <cell r="C3906" t="str">
            <v>SERRAT MULTIFAMILIAR - PROPIEDAD HORIZONTAL</v>
          </cell>
          <cell r="D3906" t="str">
            <v>3122739072</v>
          </cell>
          <cell r="E3906" t="str">
            <v>lucy.garcia@estiloingenieria.com</v>
          </cell>
          <cell r="F3906" t="str">
            <v>CR 23 B 70 A 71</v>
          </cell>
          <cell r="G3906">
            <v>17001</v>
          </cell>
        </row>
        <row r="3907">
          <cell r="A3907" t="str">
            <v>901418674</v>
          </cell>
          <cell r="B3907" t="str">
            <v>8</v>
          </cell>
          <cell r="C3907" t="str">
            <v>CONJUNTO CERRADO RESERVA CAMPESTRE PROPIEDAD HORIZONTAL</v>
          </cell>
          <cell r="D3907" t="str">
            <v>3113038252</v>
          </cell>
          <cell r="E3907" t="str">
            <v>reservacampestre2020@hotmail.com</v>
          </cell>
          <cell r="F3907" t="str">
            <v>VIA PANAMERICANA SUR 49-114 GUAMAL</v>
          </cell>
          <cell r="G3907">
            <v>17001</v>
          </cell>
        </row>
        <row r="3908">
          <cell r="A3908" t="str">
            <v>901437092</v>
          </cell>
          <cell r="B3908" t="str">
            <v>2</v>
          </cell>
          <cell r="C3908" t="str">
            <v>EDIFICIO ATUA  PROPIEDAD HORIZONTAL</v>
          </cell>
          <cell r="D3908" t="str">
            <v>3122939323</v>
          </cell>
          <cell r="E3908" t="str">
            <v>edificioatua@gmail.com</v>
          </cell>
          <cell r="F3908" t="str">
            <v>CR 23 B 69 69 A</v>
          </cell>
          <cell r="G3908">
            <v>17001</v>
          </cell>
        </row>
        <row r="3909">
          <cell r="A3909" t="str">
            <v>901438824</v>
          </cell>
          <cell r="B3909" t="str">
            <v>1</v>
          </cell>
          <cell r="C3909" t="str">
            <v>CONJUNTO CERRADO AMARELLO  PROPIEDAD HORIZONTAL</v>
          </cell>
          <cell r="D3909" t="str">
            <v>3122939323</v>
          </cell>
          <cell r="E3909" t="str">
            <v>amarelloph@gmail.com</v>
          </cell>
          <cell r="F3909" t="str">
            <v>CL 85 25 110</v>
          </cell>
          <cell r="G3909">
            <v>17001</v>
          </cell>
        </row>
        <row r="3910">
          <cell r="A3910" t="str">
            <v>901442616</v>
          </cell>
          <cell r="B3910" t="str">
            <v>1</v>
          </cell>
          <cell r="C3910" t="str">
            <v>EDIFICIO PASEO DEL BOSQUE PROPIEDAD HORIZONTAL</v>
          </cell>
          <cell r="D3910" t="str">
            <v>3104513940</v>
          </cell>
          <cell r="E3910" t="str">
            <v>phpaseodelbosque@gmail.com</v>
          </cell>
          <cell r="F3910" t="str">
            <v>AV ALBERTO MENDOZA 89 94</v>
          </cell>
          <cell r="G3910">
            <v>17001</v>
          </cell>
        </row>
        <row r="3911">
          <cell r="A3911" t="str">
            <v>901455851</v>
          </cell>
          <cell r="B3911" t="str">
            <v>2</v>
          </cell>
          <cell r="C3911" t="str">
            <v>EDIFICIO MULTIFAMILIAR MIRADOR DE ESTAMBUL - PROPIEDAD HORIZONTAL</v>
          </cell>
          <cell r="D3911" t="str">
            <v>3165283285</v>
          </cell>
          <cell r="E3911" t="str">
            <v>admonmiradorestambul@gmail.com</v>
          </cell>
          <cell r="F3911" t="str">
            <v>CALLE 10 NO 39 151</v>
          </cell>
          <cell r="G3911">
            <v>17001</v>
          </cell>
        </row>
        <row r="3912">
          <cell r="A3912" t="str">
            <v>901506769</v>
          </cell>
          <cell r="B3912" t="str">
            <v>6</v>
          </cell>
          <cell r="C3912" t="str">
            <v>EDIFICIO PRELUDIUM PROPIEDAD HORIZONTAL</v>
          </cell>
          <cell r="D3912" t="str">
            <v>3106752535</v>
          </cell>
          <cell r="E3912" t="str">
            <v>epreludium@gmail.com</v>
          </cell>
          <cell r="F3912" t="str">
            <v>CR 23 C 63  25</v>
          </cell>
          <cell r="G3912">
            <v>17001</v>
          </cell>
        </row>
        <row r="3913">
          <cell r="A3913" t="str">
            <v>901528452</v>
          </cell>
          <cell r="B3913" t="str">
            <v>1</v>
          </cell>
          <cell r="C3913" t="str">
            <v>CONDOMINIO RESERVA DE HUNGRIA - PROPIEDAD HORIZONTAL</v>
          </cell>
          <cell r="D3913" t="str">
            <v>312-2860436 - 312-73</v>
          </cell>
          <cell r="E3913" t="str">
            <v>reservadehungriaph@gmail.com</v>
          </cell>
          <cell r="F3913" t="str">
            <v>CALLE 85 N° 25 A 120 BARRIO LA ALHAMBRA</v>
          </cell>
          <cell r="G3913">
            <v>17001</v>
          </cell>
        </row>
        <row r="3914">
          <cell r="A3914" t="str">
            <v>901612633</v>
          </cell>
          <cell r="B3914" t="str">
            <v>7</v>
          </cell>
          <cell r="C3914" t="str">
            <v>EDIFICIO TORRES DE SAN VICENTE PROPIEDAD HORIZONTAL</v>
          </cell>
          <cell r="D3914" t="str">
            <v>311373321</v>
          </cell>
          <cell r="E3914" t="str">
            <v>torresdesanvicentemanizales@gmail.com</v>
          </cell>
          <cell r="F3914" t="str">
            <v>CR 25 Y 26 CL 21 Y 22</v>
          </cell>
          <cell r="G3914">
            <v>17001</v>
          </cell>
        </row>
        <row r="3915">
          <cell r="A3915" t="str">
            <v>901620666</v>
          </cell>
          <cell r="B3915" t="str">
            <v>3</v>
          </cell>
          <cell r="C3915" t="str">
            <v>EDIFICIO MAWI PROPIEDAD HORIZONTAL</v>
          </cell>
          <cell r="D3915" t="str">
            <v>301 7575817</v>
          </cell>
          <cell r="E3915" t="str">
            <v>Multifamiliarmawi@gmail.com</v>
          </cell>
          <cell r="F3915" t="str">
            <v>CR 1B 3 41 BRR LA FRANCIA</v>
          </cell>
          <cell r="G3915">
            <v>17001</v>
          </cell>
        </row>
        <row r="3916">
          <cell r="A3916" t="str">
            <v>901682981</v>
          </cell>
          <cell r="B3916" t="str">
            <v>4</v>
          </cell>
          <cell r="C3916" t="str">
            <v>EDIFICIO MULTIFAMILIAR PLAZA CORALES PROPIEDAD HORIZONTAL</v>
          </cell>
          <cell r="D3916" t="str">
            <v>3144242393</v>
          </cell>
          <cell r="E3916" t="str">
            <v>plazacoralesph@gmail.com</v>
          </cell>
          <cell r="F3916" t="str">
            <v>AVENIDA KEVIN ANGEL CARRERA 14 55D - 30</v>
          </cell>
          <cell r="G3916">
            <v>17001</v>
          </cell>
        </row>
        <row r="3917">
          <cell r="A3917" t="str">
            <v>901744199</v>
          </cell>
          <cell r="B3917" t="str">
            <v>8</v>
          </cell>
          <cell r="C3917" t="str">
            <v>CONJUNTO CERRADO ICARÚ PROPIEDAD HORIZONTAL</v>
          </cell>
          <cell r="D3917" t="str">
            <v>3122860436-300164208</v>
          </cell>
          <cell r="E3917" t="str">
            <v>Icaruph@gmail.com</v>
          </cell>
          <cell r="F3917" t="str">
            <v>CALLE 69 No.8-01</v>
          </cell>
          <cell r="G3917">
            <v>17001</v>
          </cell>
        </row>
        <row r="3918">
          <cell r="A3918" t="str">
            <v>901745214</v>
          </cell>
          <cell r="B3918" t="str">
            <v>5</v>
          </cell>
          <cell r="C3918" t="str">
            <v>EDIFICIO CENTRIKO PROPIEDAD HORIZONTAL</v>
          </cell>
          <cell r="D3918" t="str">
            <v>3128433646</v>
          </cell>
          <cell r="E3918" t="str">
            <v>adm.centriko@outlook.com</v>
          </cell>
          <cell r="F3918" t="str">
            <v>CL 11B 4D 34</v>
          </cell>
          <cell r="G3918">
            <v>17001</v>
          </cell>
        </row>
        <row r="3919">
          <cell r="A3919" t="str">
            <v>901751805</v>
          </cell>
          <cell r="B3919" t="str">
            <v>2</v>
          </cell>
          <cell r="C3919" t="str">
            <v>CONJUNTO CERRADO VERDE NIZA PROPIEDAD HORIZONTAL ETAPAS 1 Y 2</v>
          </cell>
          <cell r="D3919" t="str">
            <v>3502028175</v>
          </cell>
          <cell r="E3919" t="str">
            <v>verdenizamanizalesph@gmail.com</v>
          </cell>
          <cell r="F3919" t="str">
            <v>CR 11 69 42</v>
          </cell>
          <cell r="G3919">
            <v>17001</v>
          </cell>
        </row>
        <row r="3920">
          <cell r="A3920" t="str">
            <v>901843655</v>
          </cell>
          <cell r="B3920" t="str">
            <v>1</v>
          </cell>
          <cell r="C3920" t="str">
            <v>EDIFICIO "9-20" - PROPIEDAD HORIZONTAL</v>
          </cell>
          <cell r="D3920" t="str">
            <v>3137201764</v>
          </cell>
          <cell r="E3920" t="str">
            <v>edificio920@gmail.com</v>
          </cell>
          <cell r="F3920" t="str">
            <v>CR 10 9 20</v>
          </cell>
          <cell r="G3920">
            <v>17001</v>
          </cell>
        </row>
        <row r="3921">
          <cell r="A3921" t="str">
            <v>901856653</v>
          </cell>
          <cell r="B3921" t="str">
            <v>1</v>
          </cell>
          <cell r="C3921" t="str">
            <v>EDIFICIO MULTIFAMILIAR ARNIKA-PROPIEDAD HORIZONTAL</v>
          </cell>
          <cell r="D3921" t="str">
            <v>3 1 4 8 9 2 0 2 7 3</v>
          </cell>
          <cell r="E3921" t="str">
            <v>admonedificioarnika@gmail.com</v>
          </cell>
          <cell r="F3921" t="str">
            <v>CR 21 B 55 25 BRR LA LEONORA</v>
          </cell>
          <cell r="G3921">
            <v>17001</v>
          </cell>
        </row>
        <row r="3922">
          <cell r="A3922" t="str">
            <v>901244183</v>
          </cell>
          <cell r="B3922" t="str">
            <v>5</v>
          </cell>
          <cell r="C3922" t="str">
            <v>CONJUNTO CERRADO GUADUALES DE LA LIBIA</v>
          </cell>
          <cell r="D3922" t="str">
            <v>3137172061</v>
          </cell>
          <cell r="E3922" t="str">
            <v>lucy.garcia@estiloingenieria.com</v>
          </cell>
          <cell r="F3922" t="str">
            <v>CL 18 3 A 41 - SALIDA PALESTINA</v>
          </cell>
          <cell r="G3922">
            <v>17174</v>
          </cell>
        </row>
        <row r="3923">
          <cell r="A3923" t="str">
            <v>901622504</v>
          </cell>
          <cell r="B3923" t="str">
            <v>8</v>
          </cell>
          <cell r="C3923" t="str">
            <v>EDIFICIO MULTIFAMILIAR TABELLA</v>
          </cell>
          <cell r="D3923" t="str">
            <v>3215253287</v>
          </cell>
          <cell r="E3923" t="str">
            <v>edificiotabella@gmail.com</v>
          </cell>
          <cell r="F3923" t="str">
            <v>CARRERA 4 A 21 C 7 BRR LA CEIBA</v>
          </cell>
          <cell r="G3923">
            <v>17174</v>
          </cell>
        </row>
        <row r="3924">
          <cell r="A3924" t="str">
            <v>901678850</v>
          </cell>
          <cell r="B3924" t="str">
            <v>2</v>
          </cell>
          <cell r="C3924" t="str">
            <v>EDIFICIO MULTIFAMILIAR LA CEIBA - PH</v>
          </cell>
          <cell r="D3924" t="str">
            <v>3152559505</v>
          </cell>
          <cell r="E3924" t="str">
            <v>multifamiliarlaceibaph@gmail.com</v>
          </cell>
          <cell r="F3924" t="str">
            <v>CRA 4 22 31 Y 22 43 BRR LA CEIBA</v>
          </cell>
          <cell r="G3924">
            <v>17174</v>
          </cell>
        </row>
        <row r="3925">
          <cell r="A3925" t="str">
            <v>890805175</v>
          </cell>
          <cell r="B3925" t="str">
            <v>5</v>
          </cell>
          <cell r="C3925" t="str">
            <v>ASOCIACION COLEGIO GRANADINO</v>
          </cell>
          <cell r="D3925" t="str">
            <v>8745774</v>
          </cell>
          <cell r="E3925" t="str">
            <v>890805175@factureinbox.co</v>
          </cell>
          <cell r="F3925" t="str">
            <v>CL 71 No. 1 - 998 LA FLORIDA</v>
          </cell>
          <cell r="G3925">
            <v>17873</v>
          </cell>
        </row>
        <row r="3926">
          <cell r="A3926" t="str">
            <v>901561614</v>
          </cell>
          <cell r="B3926" t="str">
            <v>7</v>
          </cell>
          <cell r="C3926" t="str">
            <v>EDIFICIO MULTIFAMILIAR ATENAS</v>
          </cell>
          <cell r="D3926" t="str">
            <v>3137332538</v>
          </cell>
          <cell r="E3926" t="str">
            <v>gloriapineda@hotmail.com</v>
          </cell>
          <cell r="F3926" t="str">
            <v>CRA 3  12 40</v>
          </cell>
          <cell r="G3926">
            <v>17873</v>
          </cell>
        </row>
        <row r="3927">
          <cell r="A3927" t="str">
            <v>901669189</v>
          </cell>
          <cell r="B3927" t="str">
            <v>3</v>
          </cell>
          <cell r="C3927" t="str">
            <v>EDIFICIO TORRE SANTAMARIA</v>
          </cell>
          <cell r="D3927" t="str">
            <v>3128143228</v>
          </cell>
          <cell r="E3927" t="str">
            <v>edificiotorresantamaria2022@gmail.com</v>
          </cell>
          <cell r="F3927" t="str">
            <v>CL 13 4 32</v>
          </cell>
          <cell r="G3927">
            <v>17873</v>
          </cell>
        </row>
        <row r="3928">
          <cell r="A3928" t="str">
            <v>805024076</v>
          </cell>
          <cell r="B3928" t="str">
            <v>3</v>
          </cell>
          <cell r="C3928" t="str">
            <v>ANGLO ANGULO &amp; CIA S C A</v>
          </cell>
          <cell r="D3928" t="str">
            <v>6662113</v>
          </cell>
          <cell r="E3928" t="str">
            <v>reservadelahacienda2020@gmail.com</v>
          </cell>
          <cell r="F3928" t="str">
            <v>AVENIDA 4 A NORTE  45 N  92</v>
          </cell>
          <cell r="G3928">
            <v>19001</v>
          </cell>
        </row>
        <row r="3929">
          <cell r="A3929" t="str">
            <v>805027743</v>
          </cell>
          <cell r="B3929" t="str">
            <v>1</v>
          </cell>
          <cell r="C3929" t="str">
            <v>DUMIAN MEDICAL S.A.S.</v>
          </cell>
          <cell r="D3929" t="str">
            <v>5141810</v>
          </cell>
          <cell r="E3929" t="str">
            <v>recepcionfacturacion@dumianmedical.net</v>
          </cell>
          <cell r="F3929" t="str">
            <v>CARRERA 36 A  6  42</v>
          </cell>
          <cell r="G3929">
            <v>19001</v>
          </cell>
        </row>
        <row r="3930">
          <cell r="A3930" t="str">
            <v>817004535</v>
          </cell>
          <cell r="B3930" t="str">
            <v>0</v>
          </cell>
          <cell r="C3930" t="str">
            <v>CORPORACION UNIVERSITARIA COMFACAUCA</v>
          </cell>
          <cell r="D3930" t="str">
            <v>8386000</v>
          </cell>
          <cell r="E3930" t="str">
            <v>facturacionelectronica@unicomfacauca.edu.co</v>
          </cell>
          <cell r="F3930" t="str">
            <v>CALLE 4  8  30</v>
          </cell>
          <cell r="G3930">
            <v>19001</v>
          </cell>
        </row>
        <row r="3931">
          <cell r="A3931" t="str">
            <v>817006728</v>
          </cell>
          <cell r="B3931" t="str">
            <v>4</v>
          </cell>
          <cell r="C3931" t="str">
            <v>URBANIZACION LOS LAURELES</v>
          </cell>
          <cell r="D3931" t="str">
            <v>8237404</v>
          </cell>
          <cell r="E3931" t="str">
            <v>urbanizacionloslaureles@hotmail.com</v>
          </cell>
          <cell r="F3931" t="str">
            <v>CALLE 17 A NORTE  16 A  18</v>
          </cell>
          <cell r="G3931">
            <v>19001</v>
          </cell>
        </row>
        <row r="3932">
          <cell r="A3932" t="str">
            <v>891500319</v>
          </cell>
          <cell r="B3932" t="str">
            <v>2</v>
          </cell>
          <cell r="C3932" t="str">
            <v>UNIVERSIDAD DEL CAUCA</v>
          </cell>
          <cell r="D3932" t="str">
            <v>8209800</v>
          </cell>
          <cell r="E3932" t="str">
            <v>891500319_2@recepciondefacturas.co</v>
          </cell>
          <cell r="F3932" t="str">
            <v>CALLE 5  4  70</v>
          </cell>
          <cell r="G3932">
            <v>19001</v>
          </cell>
        </row>
        <row r="3933">
          <cell r="A3933" t="str">
            <v>900218859</v>
          </cell>
          <cell r="B3933" t="str">
            <v>1</v>
          </cell>
          <cell r="C3933" t="str">
            <v>CAMPANARIO CENTRO COMERCIAL</v>
          </cell>
          <cell r="D3933" t="str">
            <v>8353505</v>
          </cell>
          <cell r="E3933" t="str">
            <v>facturacion@campanariopopayan.com</v>
          </cell>
          <cell r="F3933" t="str">
            <v>CARRERA 9  24 A N  21</v>
          </cell>
          <cell r="G3933">
            <v>19001</v>
          </cell>
        </row>
        <row r="3934">
          <cell r="A3934" t="str">
            <v>900349220</v>
          </cell>
          <cell r="B3934" t="str">
            <v>8</v>
          </cell>
          <cell r="C3934" t="str">
            <v>EDIFICIO ALTOS DE SANTA CLARA</v>
          </cell>
          <cell r="D3934" t="str">
            <v>8334046</v>
          </cell>
          <cell r="E3934" t="str">
            <v>vigamado@hotmail.com</v>
          </cell>
          <cell r="F3934" t="str">
            <v>CALLE 11 NORTE  9  58</v>
          </cell>
          <cell r="G3934">
            <v>19001</v>
          </cell>
        </row>
        <row r="3935">
          <cell r="A3935" t="str">
            <v>900373535</v>
          </cell>
          <cell r="B3935" t="str">
            <v>3</v>
          </cell>
          <cell r="C3935" t="str">
            <v>CONJUNTO RESIDENCIAL CAMPO REAL</v>
          </cell>
          <cell r="D3935">
            <v>3219664011</v>
          </cell>
          <cell r="E3935" t="str">
            <v>conjuntoresidencialcamporeal07@gmail.com</v>
          </cell>
          <cell r="F3935" t="str">
            <v>CARRERA 2  22 B N  115</v>
          </cell>
          <cell r="G3935">
            <v>19001</v>
          </cell>
        </row>
        <row r="3936">
          <cell r="A3936" t="str">
            <v>900376454</v>
          </cell>
          <cell r="B3936" t="str">
            <v>9</v>
          </cell>
          <cell r="C3936" t="str">
            <v>CONDOMINIO CAMPO VERDE</v>
          </cell>
          <cell r="D3936" t="str">
            <v>8200795</v>
          </cell>
          <cell r="E3936" t="str">
            <v>condominiocampoverdepopayan@gmail.com</v>
          </cell>
          <cell r="F3936" t="str">
            <v>CARRERA 10  34 RTE  47</v>
          </cell>
          <cell r="G3936">
            <v>19001</v>
          </cell>
        </row>
        <row r="3937">
          <cell r="A3937" t="str">
            <v>900427696</v>
          </cell>
          <cell r="B3937" t="str">
            <v>4</v>
          </cell>
          <cell r="C3937" t="str">
            <v>CONJUNTO CERRADO TERRAZAS DEL CAMPESTRE</v>
          </cell>
          <cell r="D3937" t="str">
            <v>8331160</v>
          </cell>
          <cell r="E3937" t="str">
            <v>terrazasdelcampestre2021@gmail.com</v>
          </cell>
          <cell r="F3937" t="str">
            <v>CARRERA 6  40 RTE  179</v>
          </cell>
          <cell r="G3937">
            <v>19001</v>
          </cell>
        </row>
        <row r="3938">
          <cell r="A3938" t="str">
            <v>900452158</v>
          </cell>
          <cell r="B3938" t="str">
            <v>9</v>
          </cell>
          <cell r="C3938" t="str">
            <v>CONJUNTO RESIDENCIAL LA ESTACION</v>
          </cell>
          <cell r="D3938" t="str">
            <v>8232416</v>
          </cell>
          <cell r="E3938" t="str">
            <v>vecinosdelaestacion@gmail.com</v>
          </cell>
          <cell r="F3938" t="str">
            <v>CALLE 5 NORTE  6 A  116</v>
          </cell>
          <cell r="G3938">
            <v>19001</v>
          </cell>
        </row>
        <row r="3939">
          <cell r="A3939" t="str">
            <v>900503541</v>
          </cell>
          <cell r="B3939" t="str">
            <v>7</v>
          </cell>
          <cell r="C3939" t="str">
            <v>CONDOMINIO SANTORINI</v>
          </cell>
          <cell r="D3939" t="str">
            <v>8232308</v>
          </cell>
          <cell r="E3939" t="str">
            <v>santorinicondominio@yahoo.com.co</v>
          </cell>
          <cell r="F3939" t="str">
            <v>CARRERA 8  11 N  09</v>
          </cell>
          <cell r="G3939">
            <v>19001</v>
          </cell>
        </row>
        <row r="3940">
          <cell r="A3940" t="str">
            <v>900644443</v>
          </cell>
          <cell r="B3940" t="str">
            <v>8</v>
          </cell>
          <cell r="C3940" t="str">
            <v>EDIFICIO FONTAINE BLEAU</v>
          </cell>
          <cell r="D3940" t="str">
            <v>8239024</v>
          </cell>
          <cell r="E3940" t="str">
            <v>edificiofontainebleaupopayan@hotmail.com</v>
          </cell>
          <cell r="F3940" t="str">
            <v>CARRERA 10  18 N  146</v>
          </cell>
          <cell r="G3940">
            <v>19001</v>
          </cell>
        </row>
        <row r="3941">
          <cell r="A3941" t="str">
            <v>900658575</v>
          </cell>
          <cell r="B3941" t="str">
            <v>2</v>
          </cell>
          <cell r="C3941" t="str">
            <v>EDIFICIO MIRAVALLE</v>
          </cell>
          <cell r="D3941" t="str">
            <v>3154669900</v>
          </cell>
          <cell r="E3941" t="str">
            <v>edificiomiravalle@gmail.com</v>
          </cell>
          <cell r="F3941" t="str">
            <v>CARRERA 9  4 N  05</v>
          </cell>
          <cell r="G3941">
            <v>19001</v>
          </cell>
        </row>
        <row r="3942">
          <cell r="A3942" t="str">
            <v>900687791</v>
          </cell>
          <cell r="B3942" t="str">
            <v>0</v>
          </cell>
          <cell r="C3942" t="str">
            <v>CONDOMINIO TORRES DE CATTANIA</v>
          </cell>
          <cell r="D3942" t="str">
            <v>8372605</v>
          </cell>
          <cell r="E3942" t="str">
            <v>CONDOMINIOCATTANIA@GMAIL.COM</v>
          </cell>
          <cell r="F3942" t="str">
            <v>CARRERA 8  15 N  10</v>
          </cell>
          <cell r="G3942">
            <v>19001</v>
          </cell>
        </row>
        <row r="3943">
          <cell r="A3943" t="str">
            <v>900704045</v>
          </cell>
          <cell r="B3943" t="str">
            <v>8</v>
          </cell>
          <cell r="C3943" t="str">
            <v>CONSTRUCTORA SIMBRA SAS</v>
          </cell>
          <cell r="D3943" t="str">
            <v>3104032818</v>
          </cell>
          <cell r="E3943" t="str">
            <v>900704045@recepciondefacturas.co</v>
          </cell>
          <cell r="F3943" t="str">
            <v>CL 80 N 7 215</v>
          </cell>
          <cell r="G3943">
            <v>19001</v>
          </cell>
        </row>
        <row r="3944">
          <cell r="A3944" t="str">
            <v>900705252</v>
          </cell>
          <cell r="B3944" t="str">
            <v>0</v>
          </cell>
          <cell r="C3944" t="str">
            <v>EDIFICIO NAVARRA</v>
          </cell>
          <cell r="D3944" t="str">
            <v>8353291</v>
          </cell>
          <cell r="E3944" t="str">
            <v>edificionavarra2014@gmail.com</v>
          </cell>
          <cell r="F3944" t="str">
            <v>CALLE 4  7  82  OFICINA 102</v>
          </cell>
          <cell r="G3944">
            <v>19001</v>
          </cell>
        </row>
        <row r="3945">
          <cell r="A3945" t="str">
            <v>900755600</v>
          </cell>
          <cell r="B3945" t="str">
            <v>4</v>
          </cell>
          <cell r="C3945" t="str">
            <v>CONJUNTO TORRES DEL BOSQUE</v>
          </cell>
          <cell r="D3945" t="str">
            <v>3104062935</v>
          </cell>
          <cell r="E3945" t="str">
            <v>torresdelbosquepopayan@gmail.com</v>
          </cell>
          <cell r="F3945" t="str">
            <v>TRANSVERSAL 9  56 A N  58</v>
          </cell>
          <cell r="G3945">
            <v>19001</v>
          </cell>
        </row>
        <row r="3946">
          <cell r="A3946" t="str">
            <v>900813917</v>
          </cell>
          <cell r="B3946" t="str">
            <v>2</v>
          </cell>
          <cell r="C3946" t="str">
            <v>EDIFICIO MAYARI</v>
          </cell>
          <cell r="D3946" t="str">
            <v>8372315</v>
          </cell>
          <cell r="E3946" t="str">
            <v>edificiomayaripopayan@gmail.com</v>
          </cell>
          <cell r="F3946" t="str">
            <v>CARRERA 6 A  24 N  73</v>
          </cell>
          <cell r="G3946">
            <v>19001</v>
          </cell>
        </row>
        <row r="3947">
          <cell r="A3947" t="str">
            <v>900869168</v>
          </cell>
          <cell r="B3947" t="str">
            <v>3</v>
          </cell>
          <cell r="C3947" t="str">
            <v>EDIFICIO TRENTO 21</v>
          </cell>
          <cell r="D3947">
            <v>3219664011</v>
          </cell>
          <cell r="E3947" t="str">
            <v>edificiotrento21@gmail.com</v>
          </cell>
          <cell r="F3947" t="str">
            <v>CALLE 4  7  82  OFICINA 102</v>
          </cell>
          <cell r="G3947">
            <v>19001</v>
          </cell>
        </row>
        <row r="3948">
          <cell r="A3948" t="str">
            <v>900935126</v>
          </cell>
          <cell r="B3948" t="str">
            <v>7</v>
          </cell>
          <cell r="C3948" t="str">
            <v>ASMET SALUD EPS SAS</v>
          </cell>
          <cell r="D3948" t="str">
            <v>8312000</v>
          </cell>
          <cell r="E3948" t="str">
            <v>facturacion.salud@asmetsalud.com</v>
          </cell>
          <cell r="F3948" t="str">
            <v>CR 4  18 N  46  BRR  LA ESTANCIA</v>
          </cell>
          <cell r="G3948">
            <v>19001</v>
          </cell>
        </row>
        <row r="3949">
          <cell r="A3949" t="str">
            <v>900936902</v>
          </cell>
          <cell r="B3949" t="str">
            <v>0</v>
          </cell>
          <cell r="C3949" t="str">
            <v>CONDOMINIO BARCELONA</v>
          </cell>
          <cell r="D3949" t="str">
            <v>3128909938</v>
          </cell>
          <cell r="E3949" t="str">
            <v>condominiobarcelonapopayan@gmail.com</v>
          </cell>
          <cell r="F3949" t="str">
            <v>CALLE 34 NORTE  9  76</v>
          </cell>
          <cell r="G3949">
            <v>19001</v>
          </cell>
        </row>
        <row r="3950">
          <cell r="A3950" t="str">
            <v>900959559</v>
          </cell>
          <cell r="B3950" t="str">
            <v>6</v>
          </cell>
          <cell r="C3950" t="str">
            <v>CONDOMINIO MONSERRAT</v>
          </cell>
          <cell r="D3950" t="str">
            <v>3127933899</v>
          </cell>
          <cell r="E3950" t="str">
            <v>condominiomonserrat.popayan@gmail.com</v>
          </cell>
          <cell r="F3950" t="str">
            <v>TRANSVERSAL 9  56 N  76</v>
          </cell>
          <cell r="G3950">
            <v>19001</v>
          </cell>
        </row>
        <row r="3951">
          <cell r="A3951" t="str">
            <v>900989285</v>
          </cell>
          <cell r="B3951" t="str">
            <v>1</v>
          </cell>
          <cell r="C3951" t="str">
            <v>EDIFICIO TRENTO 21 ETAPA II</v>
          </cell>
          <cell r="D3951" t="str">
            <v>3128909938</v>
          </cell>
          <cell r="E3951" t="str">
            <v>edificiotrento212@gmail.com</v>
          </cell>
          <cell r="F3951" t="str">
            <v>CALLE 21 N  7 A  35</v>
          </cell>
          <cell r="G3951">
            <v>19001</v>
          </cell>
        </row>
        <row r="3952">
          <cell r="A3952" t="str">
            <v>901041691</v>
          </cell>
          <cell r="B3952" t="str">
            <v>3</v>
          </cell>
          <cell r="C3952" t="str">
            <v>CENTROS MEDICOS COLSANITAS SAS</v>
          </cell>
          <cell r="D3952" t="str">
            <v>6466060</v>
          </cell>
          <cell r="E3952" t="str">
            <v>recepcioncentrosmedicoscolsanitas@fe.keralty.com</v>
          </cell>
          <cell r="F3952" t="str">
            <v>AV CL 100 11B 67</v>
          </cell>
          <cell r="G3952">
            <v>19001</v>
          </cell>
        </row>
        <row r="3953">
          <cell r="A3953" t="str">
            <v>901064697</v>
          </cell>
          <cell r="B3953" t="str">
            <v>6</v>
          </cell>
          <cell r="C3953" t="str">
            <v>INVERSIONES NARVAEZ VANEGAS SAS</v>
          </cell>
          <cell r="D3953" t="str">
            <v>3146410586</v>
          </cell>
          <cell r="E3953" t="str">
            <v>inarvaezvanegassas@gmail.com</v>
          </cell>
          <cell r="F3953" t="str">
            <v>CARRERA 9 A  3 N  36</v>
          </cell>
          <cell r="G3953">
            <v>19001</v>
          </cell>
        </row>
        <row r="3954">
          <cell r="A3954" t="str">
            <v>901073846</v>
          </cell>
          <cell r="B3954" t="str">
            <v>5</v>
          </cell>
          <cell r="C3954" t="str">
            <v>EDIFICIO ALTEA CLUB HOUSE</v>
          </cell>
          <cell r="D3954" t="str">
            <v>3108927700</v>
          </cell>
          <cell r="E3954" t="str">
            <v>alteaclubhouse@gmail.com</v>
          </cell>
          <cell r="F3954" t="str">
            <v>CARRERA 10  17 N  58</v>
          </cell>
          <cell r="G3954">
            <v>19001</v>
          </cell>
        </row>
        <row r="3955">
          <cell r="A3955" t="str">
            <v>901100056</v>
          </cell>
          <cell r="B3955" t="str">
            <v>1</v>
          </cell>
          <cell r="C3955" t="str">
            <v>EDIFICIO TORINO</v>
          </cell>
          <cell r="D3955" t="str">
            <v>3205640490</v>
          </cell>
          <cell r="E3955" t="str">
            <v>edificiotorino2017@gmail.com</v>
          </cell>
          <cell r="F3955" t="str">
            <v>CARRERA 8  17 N  15</v>
          </cell>
          <cell r="G3955">
            <v>19001</v>
          </cell>
        </row>
        <row r="3956">
          <cell r="A3956" t="str">
            <v>901177395</v>
          </cell>
          <cell r="B3956" t="str">
            <v>2</v>
          </cell>
          <cell r="C3956" t="str">
            <v>EDIFICIO MULTIFAMILIAR BOSQUES DE CAMPO BELLO</v>
          </cell>
          <cell r="D3956" t="str">
            <v>3016294943</v>
          </cell>
          <cell r="E3956" t="str">
            <v>pccam217@gmail.com</v>
          </cell>
          <cell r="F3956" t="str">
            <v>CL 32 N 9 174</v>
          </cell>
          <cell r="G3956">
            <v>19001</v>
          </cell>
        </row>
        <row r="3957">
          <cell r="A3957" t="str">
            <v>901277040</v>
          </cell>
          <cell r="B3957" t="str">
            <v>2</v>
          </cell>
          <cell r="C3957" t="str">
            <v>CONJUNTO RESIDENCIAL TORRES DEL CAMPESTRE</v>
          </cell>
          <cell r="D3957" t="str">
            <v>9218007163</v>
          </cell>
          <cell r="E3957" t="str">
            <v>juancarlosvallejosarasti@gmail.com</v>
          </cell>
          <cell r="F3957" t="str">
            <v>CL 42 N 75</v>
          </cell>
          <cell r="G3957">
            <v>19001</v>
          </cell>
        </row>
        <row r="3958">
          <cell r="A3958" t="str">
            <v>901315579</v>
          </cell>
          <cell r="B3958" t="str">
            <v>3</v>
          </cell>
          <cell r="C3958" t="str">
            <v>CONJUNTO MULTIFAMILIAR RESERVA DE LA HACIENDA PROPIEDAD HORIZONTAL</v>
          </cell>
          <cell r="D3958" t="str">
            <v>3103757536</v>
          </cell>
          <cell r="E3958" t="str">
            <v>reservadelahacienda2020@gmail.com</v>
          </cell>
          <cell r="F3958" t="str">
            <v>CARRERA 6 C 35 N 98 BARRIO RESERVA DE LA  HACIENDA</v>
          </cell>
          <cell r="G3958">
            <v>19001</v>
          </cell>
        </row>
        <row r="3959">
          <cell r="A3959" t="str">
            <v>901331099</v>
          </cell>
          <cell r="B3959" t="str">
            <v>7</v>
          </cell>
          <cell r="C3959" t="str">
            <v>CENTRO COMERCIAL MONSERRAT PLAZA</v>
          </cell>
          <cell r="D3959" t="str">
            <v>3118034238</v>
          </cell>
          <cell r="E3959" t="str">
            <v>monserratplazacentrocomercial@gmail.com</v>
          </cell>
          <cell r="F3959" t="str">
            <v>TRANSVERSAL 9 No. 56 - 33</v>
          </cell>
          <cell r="G3959">
            <v>19001</v>
          </cell>
        </row>
        <row r="3960">
          <cell r="A3960" t="str">
            <v>901547553</v>
          </cell>
          <cell r="B3960" t="str">
            <v>8</v>
          </cell>
          <cell r="C3960" t="str">
            <v>CONDOMINIO RESIDENCIAL SAN NICOLAS</v>
          </cell>
          <cell r="D3960" t="str">
            <v>3182091599</v>
          </cell>
          <cell r="E3960" t="str">
            <v>condominiosannicolaspop@gmail.com</v>
          </cell>
          <cell r="F3960" t="str">
            <v>CALLE 80N #7-215</v>
          </cell>
          <cell r="G3960">
            <v>19001</v>
          </cell>
        </row>
        <row r="3961">
          <cell r="A3961" t="str">
            <v>901691206</v>
          </cell>
          <cell r="B3961" t="str">
            <v>2</v>
          </cell>
          <cell r="C3961" t="str">
            <v>EDIFICIO MULTIFAMILIAR Y COMERCIAL NATURA</v>
          </cell>
          <cell r="D3961" t="str">
            <v>31132 0 2 1 1 6</v>
          </cell>
          <cell r="E3961" t="str">
            <v>contabilidadedificionatura2024@gmail.com</v>
          </cell>
          <cell r="F3961" t="str">
            <v>CR 10 18 N 151 BRR CATAY</v>
          </cell>
          <cell r="G3961">
            <v>19001</v>
          </cell>
        </row>
        <row r="3962">
          <cell r="A3962" t="str">
            <v>817000680</v>
          </cell>
          <cell r="B3962" t="str">
            <v>2</v>
          </cell>
          <cell r="C3962" t="str">
            <v>FAMILIA DEL PACIFICO S . A . S</v>
          </cell>
          <cell r="D3962" t="str">
            <v>5555555</v>
          </cell>
          <cell r="E3962" t="str">
            <v>facturazfrancacol.gf@essity.com</v>
          </cell>
          <cell r="F3962" t="str">
            <v>CARRERA 50  8 SUR  117</v>
          </cell>
          <cell r="G3962">
            <v>19300</v>
          </cell>
        </row>
        <row r="3963">
          <cell r="A3963" t="str">
            <v>891300237</v>
          </cell>
          <cell r="B3963" t="str">
            <v>9</v>
          </cell>
          <cell r="C3963" t="str">
            <v>INGENIO DEL CAUCA S.A.S</v>
          </cell>
          <cell r="D3963" t="str">
            <v>4183000</v>
          </cell>
          <cell r="E3963" t="str">
            <v>facturaelectronica@incauca.com</v>
          </cell>
          <cell r="F3963" t="str">
            <v>CARRERA 9  28  103</v>
          </cell>
          <cell r="G3963">
            <v>19455</v>
          </cell>
        </row>
        <row r="3964">
          <cell r="A3964" t="str">
            <v>891500182</v>
          </cell>
          <cell r="B3964" t="str">
            <v>0</v>
          </cell>
          <cell r="C3964" t="str">
            <v>CAJA DE COMPENSACION FAMILIAR DEL CAUCA</v>
          </cell>
          <cell r="D3964" t="str">
            <v>8231868</v>
          </cell>
          <cell r="E3964" t="str">
            <v>fraelectronicarecibida@comfacauca.com</v>
          </cell>
          <cell r="F3964" t="str">
            <v>CALLE 2 NORTE  6A  54</v>
          </cell>
          <cell r="G3964">
            <v>19573</v>
          </cell>
        </row>
        <row r="3965">
          <cell r="A3965" t="str">
            <v>891500182</v>
          </cell>
          <cell r="B3965" t="str">
            <v>0</v>
          </cell>
          <cell r="C3965" t="str">
            <v>CAJA DE COMPENSACION FAMILIAR DEL CAUCA</v>
          </cell>
          <cell r="D3965" t="str">
            <v>8231868</v>
          </cell>
          <cell r="E3965" t="str">
            <v>fraelectronicarecibida@comfacauca.com</v>
          </cell>
          <cell r="F3965" t="str">
            <v>CALLE 2 NORTE  6A  54</v>
          </cell>
          <cell r="G3965">
            <v>19698</v>
          </cell>
        </row>
        <row r="3966">
          <cell r="A3966" t="str">
            <v>900297016</v>
          </cell>
          <cell r="B3966" t="str">
            <v>7</v>
          </cell>
          <cell r="C3966" t="str">
            <v>CONJUNTO RESIDENCIAL ARBOLEDA DE LILI ETAPA I</v>
          </cell>
          <cell r="D3966" t="str">
            <v>3709280</v>
          </cell>
          <cell r="E3966" t="str">
            <v>arboledadellili.ph@gmail.com</v>
          </cell>
          <cell r="F3966" t="str">
            <v>CARRERA 92  25  40</v>
          </cell>
          <cell r="G3966">
            <v>19698</v>
          </cell>
        </row>
        <row r="3967">
          <cell r="A3967" t="str">
            <v>900549129</v>
          </cell>
          <cell r="B3967" t="str">
            <v>3</v>
          </cell>
          <cell r="C3967" t="str">
            <v>SICOL HOLDING SOCIEDAD POR ACCIONES SIMPLIFICADA</v>
          </cell>
          <cell r="D3967" t="str">
            <v>3183714544</v>
          </cell>
          <cell r="E3967" t="str">
            <v>900549129@recepciondefacturas.co</v>
          </cell>
          <cell r="F3967" t="str">
            <v>ZF CONJUNTO INDUSTRIAL PARQUE SUR</v>
          </cell>
          <cell r="G3967">
            <v>19845</v>
          </cell>
        </row>
        <row r="3968">
          <cell r="A3968">
            <v>222222222</v>
          </cell>
          <cell r="B3968" t="str">
            <v/>
          </cell>
          <cell r="C3968" t="str">
            <v>CUANTIAS MENORES</v>
          </cell>
          <cell r="D3968">
            <v>3228184763</v>
          </cell>
          <cell r="E3968" t="str">
            <v>impuestos@estiloingeniera.com</v>
          </cell>
          <cell r="F3968" t="str">
            <v xml:space="preserve">CL 127A 53A 45 TO2 P11 OF1101 </v>
          </cell>
          <cell r="G3968">
            <v>20001</v>
          </cell>
        </row>
        <row r="3969">
          <cell r="A3969" t="str">
            <v>22391391</v>
          </cell>
          <cell r="B3969" t="str">
            <v>1</v>
          </cell>
          <cell r="C3969" t="str">
            <v>SARI MAGALY GUERRERO DE RUIZ</v>
          </cell>
          <cell r="D3969" t="str">
            <v>3205740059</v>
          </cell>
          <cell r="E3969" t="str">
            <v>decorplantas@hotmail.com</v>
          </cell>
          <cell r="F3969" t="str">
            <v>CALLE 12 7-43</v>
          </cell>
          <cell r="G3969">
            <v>20001</v>
          </cell>
        </row>
        <row r="3970">
          <cell r="A3970" t="str">
            <v>800182895</v>
          </cell>
          <cell r="B3970" t="str">
            <v>7</v>
          </cell>
          <cell r="C3970" t="str">
            <v>ORBE S. A.S. CONSTRUCCIONES</v>
          </cell>
          <cell r="D3970" t="str">
            <v>3004160190</v>
          </cell>
          <cell r="E3970" t="str">
            <v>intercambio@getfel.co</v>
          </cell>
          <cell r="F3970" t="str">
            <v>CALLE 12  8  42  OFICINA 221</v>
          </cell>
          <cell r="G3970">
            <v>20001</v>
          </cell>
        </row>
        <row r="3971">
          <cell r="A3971" t="str">
            <v>804001890</v>
          </cell>
          <cell r="B3971" t="str">
            <v>1</v>
          </cell>
          <cell r="C3971" t="str">
            <v>UNIVERSIDAD DE SANTANDER</v>
          </cell>
          <cell r="D3971" t="str">
            <v>6 5 1 6 5 0 0</v>
          </cell>
          <cell r="E3971" t="str">
            <v>804001890@factureinbox.co</v>
          </cell>
          <cell r="F3971" t="str">
            <v>CR 29 47 32 BRR SOTOMAYOR</v>
          </cell>
          <cell r="G3971">
            <v>20001</v>
          </cell>
        </row>
        <row r="3972">
          <cell r="A3972" t="str">
            <v>860517302</v>
          </cell>
          <cell r="B3972" t="str">
            <v>1</v>
          </cell>
          <cell r="C3972" t="str">
            <v>FUNDACIÓN UNIVERSITARIA DEL AREA ANDINA</v>
          </cell>
          <cell r="D3972" t="str">
            <v>7421964</v>
          </cell>
          <cell r="E3972" t="str">
            <v>facturacion@estiloingenieria.com</v>
          </cell>
          <cell r="F3972" t="str">
            <v>CL 71 13 21</v>
          </cell>
          <cell r="G3972">
            <v>20001</v>
          </cell>
        </row>
        <row r="3973">
          <cell r="A3973" t="str">
            <v>860527800</v>
          </cell>
          <cell r="B3973" t="str">
            <v>9</v>
          </cell>
          <cell r="C3973" t="str">
            <v>CONSTRUCCIONES OBYCON S.A.S.</v>
          </cell>
          <cell r="D3973" t="str">
            <v>6228020</v>
          </cell>
          <cell r="E3973" t="str">
            <v>facturacion@obycon.com</v>
          </cell>
          <cell r="F3973" t="str">
            <v>CALLE 93 B  13  92  OFICINA 303</v>
          </cell>
          <cell r="G3973">
            <v>20001</v>
          </cell>
        </row>
        <row r="3974">
          <cell r="A3974" t="str">
            <v>892301291</v>
          </cell>
          <cell r="B3974" t="str">
            <v>5</v>
          </cell>
          <cell r="C3974" t="str">
            <v>VIVA MAYALES S.A.S</v>
          </cell>
          <cell r="D3974" t="str">
            <v>5743600</v>
          </cell>
          <cell r="E3974" t="str">
            <v>intercambio-piloto@getfel.co</v>
          </cell>
          <cell r="F3974" t="str">
            <v>CR 10 CL 16 B 43 BRR CENTRO</v>
          </cell>
          <cell r="G3974">
            <v>20001</v>
          </cell>
        </row>
        <row r="3975">
          <cell r="A3975" t="str">
            <v>900922720</v>
          </cell>
          <cell r="B3975" t="str">
            <v>6</v>
          </cell>
          <cell r="C3975" t="str">
            <v>CONJUNTO RESIDENCIAL MULTICENTRO VALLEDUPAR</v>
          </cell>
          <cell r="D3975" t="str">
            <v>3003944531</v>
          </cell>
          <cell r="E3975" t="str">
            <v>multicentroedificiovalledupar@gmail.com</v>
          </cell>
          <cell r="F3975" t="str">
            <v>CALLE 118  19  09 OFICINA 404</v>
          </cell>
          <cell r="G3975">
            <v>20001</v>
          </cell>
        </row>
        <row r="3976">
          <cell r="A3976" t="str">
            <v>901018652</v>
          </cell>
          <cell r="B3976" t="str">
            <v>1</v>
          </cell>
          <cell r="C3976" t="str">
            <v>CENTRO COMERCIAL UNICENTRO VALLEDUPAR - PROPIEDAD HORIZONTAL</v>
          </cell>
          <cell r="D3976" t="str">
            <v>3164716876</v>
          </cell>
          <cell r="E3976" t="str">
            <v>contabilidad@unicentrovalledupar.com.co</v>
          </cell>
          <cell r="F3976" t="str">
            <v>CARRERA 12  6  42</v>
          </cell>
          <cell r="G3976">
            <v>20001</v>
          </cell>
        </row>
        <row r="3977">
          <cell r="A3977" t="str">
            <v>901055458</v>
          </cell>
          <cell r="B3977" t="str">
            <v>4</v>
          </cell>
          <cell r="C3977" t="str">
            <v>EDIFICIO ANKARA LIVING</v>
          </cell>
          <cell r="D3977" t="str">
            <v>3003033491</v>
          </cell>
          <cell r="E3977" t="str">
            <v>ankaralivingvalledupar@gmail.com</v>
          </cell>
          <cell r="F3977" t="str">
            <v>CALLE 7 D  14 A  39</v>
          </cell>
          <cell r="G3977">
            <v>20001</v>
          </cell>
        </row>
        <row r="3978">
          <cell r="A3978" t="str">
            <v>901152903</v>
          </cell>
          <cell r="B3978" t="str">
            <v>6</v>
          </cell>
          <cell r="C3978" t="str">
            <v>PROMOTORA PORTOBELO SAS</v>
          </cell>
          <cell r="D3978" t="str">
            <v>3165265281</v>
          </cell>
          <cell r="E3978" t="str">
            <v>luis1982ortis@gmail.com</v>
          </cell>
          <cell r="F3978" t="str">
            <v>CR 10 16B 43</v>
          </cell>
          <cell r="G3978">
            <v>20001</v>
          </cell>
        </row>
        <row r="3979">
          <cell r="A3979" t="str">
            <v>901204050</v>
          </cell>
          <cell r="B3979" t="str">
            <v>3</v>
          </cell>
          <cell r="C3979" t="str">
            <v>CENTRO COMERCIAL MEGAMALL</v>
          </cell>
          <cell r="D3979" t="str">
            <v>3194954847</v>
          </cell>
          <cell r="E3979" t="str">
            <v>ccmegamallvpar@gmail.com</v>
          </cell>
          <cell r="F3979" t="str">
            <v>CL 16 19 B 56 BRR LA FLORES</v>
          </cell>
          <cell r="G3979">
            <v>20001</v>
          </cell>
        </row>
        <row r="3980">
          <cell r="A3980" t="str">
            <v>901306556</v>
          </cell>
          <cell r="B3980" t="str">
            <v>6</v>
          </cell>
          <cell r="C3980" t="str">
            <v>PROPIEDD HORIZONTAL " MIRADOR DE CERRITO - CONDOMINIO "</v>
          </cell>
          <cell r="D3980" t="str">
            <v>3004160190</v>
          </cell>
          <cell r="E3980" t="str">
            <v>miradordelcerrito19@gmail.com</v>
          </cell>
          <cell r="F3980" t="str">
            <v>TRANSVERSAL 24A 16-45</v>
          </cell>
          <cell r="G3980">
            <v>20001</v>
          </cell>
        </row>
        <row r="3981">
          <cell r="A3981" t="str">
            <v>901347001</v>
          </cell>
          <cell r="B3981" t="str">
            <v>6</v>
          </cell>
          <cell r="C3981" t="str">
            <v>CONJUNTO CERRADO PORTOBELO</v>
          </cell>
          <cell r="D3981" t="str">
            <v>3014349892</v>
          </cell>
          <cell r="E3981" t="str">
            <v>contabilidadportobello@gmail.com</v>
          </cell>
          <cell r="F3981" t="str">
            <v>CARRERA 41 6 - 70</v>
          </cell>
          <cell r="G3981">
            <v>20001</v>
          </cell>
        </row>
        <row r="3982">
          <cell r="A3982" t="str">
            <v>901385516</v>
          </cell>
          <cell r="B3982" t="str">
            <v>9</v>
          </cell>
          <cell r="C3982" t="str">
            <v>CONJUNTO RESIDENCIAL VALPARAISO</v>
          </cell>
          <cell r="D3982" t="str">
            <v>3215036003</v>
          </cell>
          <cell r="E3982" t="str">
            <v>valparaisoph2020@gmail.com</v>
          </cell>
          <cell r="F3982" t="str">
            <v>CL 38 CRA 5A - 106</v>
          </cell>
          <cell r="G3982">
            <v>20001</v>
          </cell>
        </row>
        <row r="3983">
          <cell r="A3983" t="str">
            <v>901438316</v>
          </cell>
          <cell r="B3983" t="str">
            <v>1</v>
          </cell>
          <cell r="C3983" t="str">
            <v>CONJUNTO RESIDENCIAL MIXTO SENDEROS DEL COUNTRY</v>
          </cell>
          <cell r="D3983" t="str">
            <v>3014349892</v>
          </cell>
          <cell r="E3983" t="str">
            <v>senderosdelcountry1@gmail.com</v>
          </cell>
          <cell r="F3983" t="str">
            <v>CRA 22B 1 239</v>
          </cell>
          <cell r="G3983">
            <v>20001</v>
          </cell>
        </row>
        <row r="3984">
          <cell r="A3984" t="str">
            <v>901734043</v>
          </cell>
          <cell r="B3984" t="str">
            <v>5</v>
          </cell>
          <cell r="C3984" t="str">
            <v>PROPIEDAD HORIZONTAL UNIDAD MEDICA LAS FLORES</v>
          </cell>
          <cell r="D3984" t="str">
            <v>3103862339</v>
          </cell>
          <cell r="E3984" t="str">
            <v>josejoaquin.orozco@orbesa.com.co</v>
          </cell>
          <cell r="F3984" t="str">
            <v>CL 16 19 D 28 BRR LAS FLORES</v>
          </cell>
          <cell r="G3984">
            <v>20001</v>
          </cell>
        </row>
        <row r="3985">
          <cell r="A3985" t="str">
            <v>860029924</v>
          </cell>
          <cell r="B3985" t="str">
            <v>7</v>
          </cell>
          <cell r="C3985" t="str">
            <v>UNIVERSIDAD COOPERATIVA DE COLOMBIA</v>
          </cell>
          <cell r="D3985" t="str">
            <v>3112781877</v>
          </cell>
          <cell r="E3985" t="str">
            <v>facturacion@estiloingenieria.com</v>
          </cell>
          <cell r="F3985" t="str">
            <v>Avenida Caracas No. 37 63</v>
          </cell>
          <cell r="G3985">
            <v>23001</v>
          </cell>
        </row>
        <row r="3986">
          <cell r="A3986" t="str">
            <v>900132559</v>
          </cell>
          <cell r="B3986" t="str">
            <v>6</v>
          </cell>
          <cell r="C3986" t="str">
            <v>ALCIELO CONSTRUCTORA S.A.S.</v>
          </cell>
          <cell r="D3986" t="str">
            <v>7890210</v>
          </cell>
          <cell r="E3986" t="str">
            <v>contabilidad@alcieloconstructora.com</v>
          </cell>
          <cell r="F3986" t="str">
            <v>CL 61 7 75 BRR LA CASTELLANA</v>
          </cell>
          <cell r="G3986">
            <v>23001</v>
          </cell>
        </row>
        <row r="3987">
          <cell r="A3987" t="str">
            <v>900892364</v>
          </cell>
          <cell r="B3987" t="str">
            <v>7</v>
          </cell>
          <cell r="C3987" t="str">
            <v>EDIFICIO ALTOS DE MONTEVERDE ETAPA I- PROPIEDAD HORIZONTAL</v>
          </cell>
          <cell r="D3987" t="str">
            <v>3182152790</v>
          </cell>
          <cell r="E3987" t="str">
            <v>altosdemonteverde@hotmail.com</v>
          </cell>
          <cell r="F3987" t="str">
            <v>CARRERA 16 B  48  68</v>
          </cell>
          <cell r="G3987">
            <v>23001</v>
          </cell>
        </row>
        <row r="3988">
          <cell r="A3988" t="str">
            <v>900919128</v>
          </cell>
          <cell r="B3988" t="str">
            <v>4</v>
          </cell>
          <cell r="C3988" t="str">
            <v>COLORS CONSTRUCTORES SAS</v>
          </cell>
          <cell r="D3988" t="str">
            <v>3207325159</v>
          </cell>
          <cell r="E3988" t="str">
            <v>californiapremium2018@gmail.com</v>
          </cell>
          <cell r="F3988" t="str">
            <v>CR 14 44 106</v>
          </cell>
          <cell r="G3988">
            <v>23001</v>
          </cell>
        </row>
        <row r="3989">
          <cell r="A3989" t="str">
            <v>901094591</v>
          </cell>
          <cell r="B3989" t="str">
            <v>2</v>
          </cell>
          <cell r="C3989" t="str">
            <v>CONJUNTO MULTIFAMILIAR CORAL-PROPIEDAD HORIZONTAL</v>
          </cell>
          <cell r="D3989" t="str">
            <v>3043455399</v>
          </cell>
          <cell r="E3989" t="str">
            <v>admoncoralmonteria@gmail.com</v>
          </cell>
          <cell r="F3989" t="str">
            <v>CALLE 65 10-99</v>
          </cell>
          <cell r="G3989">
            <v>23001</v>
          </cell>
        </row>
        <row r="3990">
          <cell r="A3990" t="str">
            <v>901135910</v>
          </cell>
          <cell r="B3990" t="str">
            <v>6</v>
          </cell>
          <cell r="C3990" t="str">
            <v>CONJUNTO RESIDENCIAL INDIGO - PROPIEDAD HORIZONTAL</v>
          </cell>
          <cell r="D3990" t="str">
            <v>3184110080</v>
          </cell>
          <cell r="E3990" t="str">
            <v>conjuntoresidencialindigoph@gmail.com</v>
          </cell>
          <cell r="F3990" t="str">
            <v>CARRERA 9 A  68  70</v>
          </cell>
          <cell r="G3990">
            <v>23001</v>
          </cell>
        </row>
        <row r="3991">
          <cell r="A3991" t="str">
            <v>901307355</v>
          </cell>
          <cell r="B3991" t="str">
            <v>7</v>
          </cell>
          <cell r="C3991" t="str">
            <v>CONJUNTO RESIDENCIAL SEVILLA CAMPESTRE PROPIEDAD HORIZONTAL</v>
          </cell>
          <cell r="D3991" t="str">
            <v>3022022913</v>
          </cell>
          <cell r="E3991" t="str">
            <v>crsevillacampestreph@gmail.com</v>
          </cell>
          <cell r="F3991" t="str">
            <v>CALLE 78 06-146 IN</v>
          </cell>
          <cell r="G3991">
            <v>23001</v>
          </cell>
        </row>
        <row r="3992">
          <cell r="A3992" t="str">
            <v>901470268</v>
          </cell>
          <cell r="B3992" t="str">
            <v>0</v>
          </cell>
          <cell r="C3992" t="str">
            <v>EDIFICIO GRAN VITA PROPIEDAD HORIZONTAL</v>
          </cell>
          <cell r="D3992" t="str">
            <v>3135122466</v>
          </cell>
          <cell r="E3992" t="str">
            <v>admonedificiogranvita@gmail.com</v>
          </cell>
          <cell r="F3992" t="str">
            <v>CARRERA 8 #64a - 31</v>
          </cell>
          <cell r="G3992">
            <v>23001</v>
          </cell>
        </row>
        <row r="3993">
          <cell r="A3993" t="str">
            <v>901555421</v>
          </cell>
          <cell r="B3993" t="str">
            <v>8</v>
          </cell>
          <cell r="C3993" t="str">
            <v>EDIFICIO AZAHAR - PROPIEDAD HORIZONTAL</v>
          </cell>
          <cell r="D3993" t="str">
            <v>3042568881</v>
          </cell>
          <cell r="E3993" t="str">
            <v>elianagarciafacturacion@gmail.com</v>
          </cell>
          <cell r="F3993" t="str">
            <v>CL 64 A 2 107 ET IV BRR EL RECREO</v>
          </cell>
          <cell r="G3993">
            <v>23001</v>
          </cell>
        </row>
        <row r="3994">
          <cell r="A3994">
            <v>222222222</v>
          </cell>
          <cell r="B3994" t="str">
            <v/>
          </cell>
          <cell r="C3994" t="str">
            <v>CUANTIAS MENORES</v>
          </cell>
          <cell r="D3994">
            <v>3228184763</v>
          </cell>
          <cell r="E3994" t="str">
            <v>impuestos@estiloingeniera.com</v>
          </cell>
          <cell r="F3994" t="str">
            <v xml:space="preserve">CL 127A 53A 45 TO2 P11 OF1101 </v>
          </cell>
          <cell r="G3994">
            <v>25126</v>
          </cell>
        </row>
        <row r="3995">
          <cell r="A3995" t="str">
            <v>860007336</v>
          </cell>
          <cell r="B3995" t="str">
            <v>1</v>
          </cell>
          <cell r="C3995" t="str">
            <v>CAJA COLOMBIANA DE SUBSIDIO FAMILIAR COLSUBSIDIO</v>
          </cell>
          <cell r="D3995" t="str">
            <v>7420100</v>
          </cell>
          <cell r="E3995" t="str">
            <v>recepcion.facturaelectronica@colsubsidio.com</v>
          </cell>
          <cell r="F3995" t="str">
            <v>CL 26 25 50</v>
          </cell>
          <cell r="G3995">
            <v>25126</v>
          </cell>
        </row>
        <row r="3996">
          <cell r="A3996" t="str">
            <v>860513493</v>
          </cell>
          <cell r="B3996" t="str">
            <v>1</v>
          </cell>
          <cell r="C3996" t="str">
            <v>CONSTRUCTORA BOLIVAR BOGOTA S.A. CONSTRUCTORA BOLIVAR S.A.</v>
          </cell>
          <cell r="D3996" t="str">
            <v>6258330</v>
          </cell>
          <cell r="E3996" t="str">
            <v>faelectronica@constructorabolivar.com</v>
          </cell>
          <cell r="F3996" t="str">
            <v>CALLE 134  72  31</v>
          </cell>
          <cell r="G3996">
            <v>25126</v>
          </cell>
        </row>
        <row r="3997">
          <cell r="A3997" t="str">
            <v>900777383</v>
          </cell>
          <cell r="B3997" t="str">
            <v>5</v>
          </cell>
          <cell r="C3997" t="str">
            <v>GRUPO DESARROLLADOR DE LA SABANA S. A. S</v>
          </cell>
          <cell r="D3997" t="str">
            <v>4674178</v>
          </cell>
          <cell r="E3997" t="str">
            <v>facturacion@grupods.co</v>
          </cell>
          <cell r="F3997" t="str">
            <v>CARRERA 15 A  120  42  OFICINA 501</v>
          </cell>
          <cell r="G3997">
            <v>25126</v>
          </cell>
        </row>
        <row r="3998">
          <cell r="A3998" t="str">
            <v>900998312</v>
          </cell>
          <cell r="B3998" t="str">
            <v>0</v>
          </cell>
          <cell r="C3998" t="str">
            <v>CONJUNTO RESIDENCIAL LAS HUERTAS DE CAJICA RESERVADO II, PROPIEDAD HORIZONTAL</v>
          </cell>
          <cell r="D3998" t="str">
            <v>3103180952</v>
          </cell>
          <cell r="E3998" t="str">
            <v>admonhuertasreservado2@gmail.com</v>
          </cell>
          <cell r="F3998" t="str">
            <v>CARRERA 6 A ESTE  2  62</v>
          </cell>
          <cell r="G3998">
            <v>25126</v>
          </cell>
        </row>
        <row r="3999">
          <cell r="A3999" t="str">
            <v>901068821</v>
          </cell>
          <cell r="B3999" t="str">
            <v>1</v>
          </cell>
          <cell r="C3999" t="str">
            <v>CONJUNTO RESIDENCIAL EL CORTIJO DE CAJICA - PROPIEDAD HORIZONTAL</v>
          </cell>
          <cell r="D3999" t="str">
            <v>3134995552</v>
          </cell>
          <cell r="E3999" t="str">
            <v>elcortijodecajica@gmail.com</v>
          </cell>
          <cell r="F3999" t="str">
            <v>CALLE 10  12  85</v>
          </cell>
          <cell r="G3999">
            <v>25126</v>
          </cell>
        </row>
        <row r="4000">
          <cell r="A4000" t="str">
            <v>901128797</v>
          </cell>
          <cell r="B4000" t="str">
            <v>0</v>
          </cell>
          <cell r="C4000" t="str">
            <v>NOU CENTRO EMPRESARIAL, PROPIEDAD HORIZONTAL</v>
          </cell>
          <cell r="D4000" t="str">
            <v>3185069294</v>
          </cell>
          <cell r="E4000" t="str">
            <v>cuentasnoucentroempresarial22@gmail.com</v>
          </cell>
          <cell r="F4000" t="str">
            <v>LOTE BOLONIA ANTIGUA VEREDA CALAHORRA VIA CHIA - CAJICA</v>
          </cell>
          <cell r="G4000">
            <v>25126</v>
          </cell>
        </row>
        <row r="4001">
          <cell r="A4001" t="str">
            <v>901150531</v>
          </cell>
          <cell r="B4001" t="str">
            <v>0</v>
          </cell>
          <cell r="C4001" t="str">
            <v>CONJUNTO RESIDENCIAL DOWNTOWN PROPIEDAD HORIZONTAL</v>
          </cell>
          <cell r="D4001" t="str">
            <v>3143684554</v>
          </cell>
          <cell r="E4001" t="str">
            <v>conjuntodowntown@gmail.com</v>
          </cell>
          <cell r="F4001" t="str">
            <v>CL 3 2 30</v>
          </cell>
          <cell r="G4001">
            <v>25126</v>
          </cell>
        </row>
        <row r="4002">
          <cell r="A4002" t="str">
            <v>901153772</v>
          </cell>
          <cell r="B4002" t="str">
            <v>2</v>
          </cell>
          <cell r="C4002" t="str">
            <v>"CONDOMINIO BOSQUE CANELO, PROPIEDAD HORIZONTAL"</v>
          </cell>
          <cell r="D4002" t="str">
            <v>3134533872</v>
          </cell>
          <cell r="E4002" t="str">
            <v>condominiobosquecanelo@gmail.com</v>
          </cell>
          <cell r="F4002" t="str">
            <v>VDA CANELON DELMUNICIPIO DE CAJICA</v>
          </cell>
          <cell r="G4002">
            <v>25126</v>
          </cell>
        </row>
        <row r="4003">
          <cell r="A4003" t="str">
            <v>901160325</v>
          </cell>
          <cell r="B4003" t="str">
            <v>2</v>
          </cell>
          <cell r="C4003" t="str">
            <v>CONJUNTO RESIDENCIAL MID TOWN PROPIEDAD HORIZONTAL</v>
          </cell>
          <cell r="D4003" t="str">
            <v>3143684554</v>
          </cell>
          <cell r="E4003" t="str">
            <v>admon.midtown@gmail.com</v>
          </cell>
          <cell r="F4003" t="str">
            <v>CR 6 4 106</v>
          </cell>
          <cell r="G4003">
            <v>25126</v>
          </cell>
        </row>
        <row r="4004">
          <cell r="A4004" t="str">
            <v>901210816</v>
          </cell>
          <cell r="B4004" t="str">
            <v>2</v>
          </cell>
          <cell r="C4004" t="str">
            <v>CONJUNTO RESIDENCIAL CANARIAS PROPIEDAD HORIZONTAL</v>
          </cell>
          <cell r="D4004" t="str">
            <v>3143600916</v>
          </cell>
          <cell r="E4004" t="str">
            <v>administracion@conjuntocanarias.com</v>
          </cell>
          <cell r="F4004" t="str">
            <v>CR 6 9 258</v>
          </cell>
          <cell r="G4004">
            <v>25126</v>
          </cell>
        </row>
        <row r="4005">
          <cell r="A4005" t="str">
            <v>901619729</v>
          </cell>
          <cell r="B4005" t="str">
            <v>7</v>
          </cell>
          <cell r="C4005" t="str">
            <v>CONJUNTO RESIDENCIAL TORRES KOUN PROPIEDAD HORIZONTAL</v>
          </cell>
          <cell r="D4005" t="str">
            <v>3138780735</v>
          </cell>
          <cell r="E4005" t="str">
            <v>conjuntokounph@gmail.com</v>
          </cell>
          <cell r="F4005" t="str">
            <v>LT DE TERRENODISTINGUIDO CON 37 DE LA PARCELACION BUENA SUERTE</v>
          </cell>
          <cell r="G4005">
            <v>25126</v>
          </cell>
        </row>
        <row r="4006">
          <cell r="A4006" t="str">
            <v>901641687</v>
          </cell>
          <cell r="B4006" t="str">
            <v>8</v>
          </cell>
          <cell r="C4006" t="str">
            <v>CONJUNTO RESIDENCIAL EL MOLINO, PROPIEDAD HORIZONTAL</v>
          </cell>
          <cell r="D4006" t="str">
            <v>3127998397</v>
          </cell>
          <cell r="E4006" t="str">
            <v>conjuntoelmolinoph@gmail.com</v>
          </cell>
          <cell r="F4006" t="str">
            <v>CL 2 SUR 2 100</v>
          </cell>
          <cell r="G4006">
            <v>25126</v>
          </cell>
        </row>
        <row r="4007">
          <cell r="A4007" t="str">
            <v>901834822</v>
          </cell>
          <cell r="B4007" t="str">
            <v>5</v>
          </cell>
          <cell r="C4007" t="str">
            <v>PROYECTO VERDHIA CAJICÁ - PROPIEDAD HORIZONTAL</v>
          </cell>
          <cell r="D4007" t="str">
            <v>3154428910</v>
          </cell>
          <cell r="E4007" t="str">
            <v>verdhiacajicaph@gmail.com</v>
          </cell>
          <cell r="F4007" t="str">
            <v>CR 5 5 179</v>
          </cell>
          <cell r="G4007">
            <v>25126</v>
          </cell>
        </row>
        <row r="4008">
          <cell r="A4008">
            <v>222222222</v>
          </cell>
          <cell r="B4008" t="str">
            <v/>
          </cell>
          <cell r="C4008" t="str">
            <v>CUANTIAS MENORES</v>
          </cell>
          <cell r="D4008">
            <v>3228184763</v>
          </cell>
          <cell r="E4008" t="str">
            <v>impuestos@estiloingeniera.com</v>
          </cell>
          <cell r="F4008" t="str">
            <v xml:space="preserve">CL 127A 53A 45 TO2 P11 OF1101 </v>
          </cell>
          <cell r="G4008">
            <v>25175</v>
          </cell>
        </row>
        <row r="4009">
          <cell r="A4009" t="str">
            <v>800071491</v>
          </cell>
          <cell r="B4009" t="str">
            <v>9</v>
          </cell>
          <cell r="C4009" t="str">
            <v>CRAYOLA Y LAPIZ SAS</v>
          </cell>
          <cell r="D4009">
            <v>3219664011</v>
          </cell>
          <cell r="E4009" t="str">
            <v>auxiliarcontable@gimnasiohontanar.edu.co</v>
          </cell>
          <cell r="F4009" t="str">
            <v>CARRERA 76  150  26</v>
          </cell>
          <cell r="G4009">
            <v>25175</v>
          </cell>
        </row>
        <row r="4010">
          <cell r="A4010" t="str">
            <v>900018975</v>
          </cell>
          <cell r="B4010" t="str">
            <v>1</v>
          </cell>
          <cell r="C4010" t="str">
            <v>CASS CONSTRUCTORES S.A.S</v>
          </cell>
          <cell r="D4010" t="str">
            <v>3103089313</v>
          </cell>
          <cell r="E4010" t="str">
            <v>facturaradcass@cassconstructores.com</v>
          </cell>
          <cell r="F4010" t="str">
            <v>CR 7 KM 16 VDA FUSCA LT CHOSUA</v>
          </cell>
          <cell r="G4010">
            <v>25175</v>
          </cell>
        </row>
        <row r="4011">
          <cell r="A4011" t="str">
            <v>900321227</v>
          </cell>
          <cell r="B4011" t="str">
            <v>7</v>
          </cell>
          <cell r="C4011" t="str">
            <v>OFICHIA P.H.</v>
          </cell>
          <cell r="D4011" t="str">
            <v>8708537</v>
          </cell>
          <cell r="E4011" t="str">
            <v>ofichia@gmail.com</v>
          </cell>
          <cell r="F4011" t="str">
            <v>CARRERA 1 A  111  30</v>
          </cell>
          <cell r="G4011">
            <v>25175</v>
          </cell>
        </row>
        <row r="4012">
          <cell r="A4012" t="str">
            <v>901061794</v>
          </cell>
          <cell r="B4012" t="str">
            <v>9</v>
          </cell>
          <cell r="C4012" t="str">
            <v>CONJUNTO BOSQUE DE LUNA CLUB RESIDENCIAL - PROPIEDAD HORIZONTAL</v>
          </cell>
          <cell r="D4012" t="str">
            <v>3213136733</v>
          </cell>
          <cell r="E4012" t="str">
            <v>conjuntobosquedelunaclub@gmail.com</v>
          </cell>
          <cell r="F4012" t="str">
            <v>CALLE 11  1 A  95</v>
          </cell>
          <cell r="G4012">
            <v>25175</v>
          </cell>
        </row>
        <row r="4013">
          <cell r="A4013" t="str">
            <v>901167607</v>
          </cell>
          <cell r="B4013" t="str">
            <v>6</v>
          </cell>
          <cell r="C4013" t="str">
            <v>CONJUNTO TERRANOVA CENTRO COMERCIAL Y TORRES DE VIVIENDA - PROPIEDAD HORIZONTAL</v>
          </cell>
          <cell r="D4013" t="str">
            <v>8858088</v>
          </cell>
          <cell r="E4013" t="str">
            <v>contabilidad@terranovacentrocomercial.com.co</v>
          </cell>
          <cell r="F4013" t="str">
            <v>VDA FONQUETA</v>
          </cell>
          <cell r="G4013">
            <v>25175</v>
          </cell>
        </row>
        <row r="4014">
          <cell r="A4014" t="str">
            <v>901358382</v>
          </cell>
          <cell r="B4014" t="str">
            <v>4</v>
          </cell>
          <cell r="C4014" t="str">
            <v>TORRES XIAGUA CLUB RESIDENCIAL PROPIEDAD HORIZONTAL</v>
          </cell>
          <cell r="D4014" t="str">
            <v>3175109352</v>
          </cell>
          <cell r="E4014" t="str">
            <v>admontorresdexiagua@gmail.com</v>
          </cell>
          <cell r="F4014" t="str">
            <v>CARRERA 2 ESTE 21A 56 CHIA</v>
          </cell>
          <cell r="G4014">
            <v>25175</v>
          </cell>
        </row>
        <row r="4015">
          <cell r="A4015" t="str">
            <v>901392183</v>
          </cell>
          <cell r="B4015" t="str">
            <v>9</v>
          </cell>
          <cell r="C4015" t="str">
            <v>CONJUNTO RESIDENCIAL SORRENTO P.H.</v>
          </cell>
          <cell r="D4015" t="str">
            <v>3213136733</v>
          </cell>
          <cell r="E4015" t="str">
            <v>monica.salamanca@amarilo.com</v>
          </cell>
          <cell r="F4015" t="str">
            <v>CL 7 1 B 65</v>
          </cell>
          <cell r="G4015">
            <v>25175</v>
          </cell>
        </row>
        <row r="4016">
          <cell r="A4016" t="str">
            <v>901650697</v>
          </cell>
          <cell r="B4016" t="str">
            <v>1</v>
          </cell>
          <cell r="C4016" t="str">
            <v>PARADISE FOREST- ETAPA I P.H</v>
          </cell>
          <cell r="D4016" t="str">
            <v>3134848748</v>
          </cell>
          <cell r="E4016" t="str">
            <v>admonparadiseforest@gmail.com</v>
          </cell>
          <cell r="F4016" t="str">
            <v>calle 2ª No. 1ª-171 Variante Chía Cota</v>
          </cell>
          <cell r="G4016">
            <v>25175</v>
          </cell>
        </row>
        <row r="4017">
          <cell r="A4017" t="str">
            <v>901750908</v>
          </cell>
          <cell r="B4017" t="str">
            <v>8</v>
          </cell>
          <cell r="C4017" t="str">
            <v>COUNTRY PARADISE- ETAPA 1 Y ETAPA 2 - PROPIEDAD HORIZONTAL</v>
          </cell>
          <cell r="D4017" t="str">
            <v>3 2 0 2 8 6 7 6 6 4</v>
          </cell>
          <cell r="E4017" t="str">
            <v>countryparadise.admon@gmail.com</v>
          </cell>
          <cell r="F4017" t="str">
            <v>CL 2 1 C 00 PA UNO</v>
          </cell>
          <cell r="G4017">
            <v>25175</v>
          </cell>
        </row>
        <row r="4018">
          <cell r="A4018" t="str">
            <v>800153993</v>
          </cell>
          <cell r="B4018" t="str">
            <v>7</v>
          </cell>
          <cell r="C4018" t="str">
            <v>COMUNICACION CELULAR SA COMCEL SA</v>
          </cell>
          <cell r="D4018" t="str">
            <v>7430174</v>
          </cell>
          <cell r="E4018" t="str">
            <v>facturacion.plazaclaro@multiplika.com.co</v>
          </cell>
          <cell r="F4018" t="str">
            <v>CALLE 90  14  37</v>
          </cell>
          <cell r="G4018">
            <v>25214</v>
          </cell>
        </row>
        <row r="4019">
          <cell r="A4019" t="str">
            <v>900166056</v>
          </cell>
          <cell r="B4019" t="str">
            <v>1</v>
          </cell>
          <cell r="C4019" t="str">
            <v>TERMINAL TERRESTRE DE CARGA DE BOGOTA OIKOS-OK</v>
          </cell>
          <cell r="D4019" t="str">
            <v>8966156</v>
          </cell>
          <cell r="E4019" t="str">
            <v>contabilidad@terminaltcb.com</v>
          </cell>
          <cell r="F4019" t="str">
            <v>KILOMETRO 3,5 COSTADO SUR AUTOPISTA MEDELLIN</v>
          </cell>
          <cell r="G4019">
            <v>25214</v>
          </cell>
        </row>
        <row r="4020">
          <cell r="A4020" t="str">
            <v>900262219</v>
          </cell>
          <cell r="B4020" t="str">
            <v>4</v>
          </cell>
          <cell r="C4020" t="str">
            <v>CENTRO EMPRESARIAL METROPOLITANO P.H.</v>
          </cell>
          <cell r="D4020" t="str">
            <v>8219201</v>
          </cell>
          <cell r="E4020" t="str">
            <v>contabilidadcem@grupovalcas.co</v>
          </cell>
          <cell r="F4020" t="str">
            <v>AUT MEDELLIN KM TRES PUNTO CINCO VIA BOGOTA SIBERIA COSTADO NORTE</v>
          </cell>
          <cell r="G4020">
            <v>25214</v>
          </cell>
        </row>
        <row r="4021">
          <cell r="A4021" t="str">
            <v>901346157</v>
          </cell>
          <cell r="B4021" t="str">
            <v>1</v>
          </cell>
          <cell r="C4021" t="str">
            <v>HOTEL FACTORY GREEN SAS</v>
          </cell>
          <cell r="D4021" t="str">
            <v>9000602</v>
          </cell>
          <cell r="E4021" t="str">
            <v>contabilidad@3chotels.com</v>
          </cell>
          <cell r="F4021" t="str">
            <v>AUTOPISTA MEDELLIN KM 3.5 VIA SIBERIA COTA</v>
          </cell>
          <cell r="G4021">
            <v>25214</v>
          </cell>
        </row>
        <row r="4022">
          <cell r="A4022" t="str">
            <v>860013570</v>
          </cell>
          <cell r="B4022" t="str">
            <v>3</v>
          </cell>
          <cell r="C4022" t="str">
            <v>CAJA DE COMPENSACION FAMILIAR CAFAM</v>
          </cell>
          <cell r="D4022" t="str">
            <v>6016468000</v>
          </cell>
          <cell r="E4022" t="str">
            <v>recepcionfe@cafam.com.co</v>
          </cell>
          <cell r="F4022" t="str">
            <v>AV CR 68 90 88</v>
          </cell>
          <cell r="G4022">
            <v>25269</v>
          </cell>
        </row>
        <row r="4023">
          <cell r="A4023" t="str">
            <v>804010412</v>
          </cell>
          <cell r="B4023" t="str">
            <v>0</v>
          </cell>
          <cell r="C4023" t="str">
            <v>AGROMILENIO SAS</v>
          </cell>
          <cell r="D4023" t="str">
            <v>3114804759</v>
          </cell>
          <cell r="E4023" t="str">
            <v>recepcionfacturas-e@agromileniosa.com</v>
          </cell>
          <cell r="F4023" t="str">
            <v>AUT MEDELLIN KM 7 PAR CELTA TRADE PARK BG 142</v>
          </cell>
          <cell r="G4023">
            <v>25286</v>
          </cell>
        </row>
        <row r="4024">
          <cell r="A4024" t="str">
            <v>900744099</v>
          </cell>
          <cell r="B4024" t="str">
            <v>6</v>
          </cell>
          <cell r="C4024" t="str">
            <v>CONJUNTO RESIDENCIAL ALCARAVAN - PROPIEDAD HORIZONTAL</v>
          </cell>
          <cell r="D4024" t="str">
            <v>3503138827</v>
          </cell>
          <cell r="E4024" t="str">
            <v>admonalcaravan1@gmail.com</v>
          </cell>
          <cell r="F4024" t="str">
            <v>CARRERA 12 N 20A-121</v>
          </cell>
          <cell r="G4024">
            <v>25286</v>
          </cell>
        </row>
        <row r="4025">
          <cell r="A4025">
            <v>222222222</v>
          </cell>
          <cell r="B4025" t="str">
            <v/>
          </cell>
          <cell r="C4025" t="str">
            <v>CUANTIAS MENORES</v>
          </cell>
          <cell r="D4025">
            <v>3228184763</v>
          </cell>
          <cell r="E4025" t="str">
            <v>impuestos@estiloingeniera.com</v>
          </cell>
          <cell r="F4025" t="str">
            <v xml:space="preserve">CL 127A 53A 45 TO2 P11 OF1101 </v>
          </cell>
          <cell r="G4025">
            <v>25290</v>
          </cell>
        </row>
        <row r="4026">
          <cell r="A4026" t="str">
            <v>860007336</v>
          </cell>
          <cell r="B4026" t="str">
            <v>1</v>
          </cell>
          <cell r="C4026" t="str">
            <v>CAJA COLOMBIANA DE SUBSIDIO FAMILIAR COLSUBSIDIO</v>
          </cell>
          <cell r="D4026" t="str">
            <v>7420100</v>
          </cell>
          <cell r="E4026" t="str">
            <v>recepcion.facturaelectronica@colsubsidio.com</v>
          </cell>
          <cell r="F4026" t="str">
            <v>CL 26 25 50</v>
          </cell>
          <cell r="G4026">
            <v>25290</v>
          </cell>
        </row>
        <row r="4027">
          <cell r="A4027" t="str">
            <v>900367625</v>
          </cell>
          <cell r="B4027" t="str">
            <v>3</v>
          </cell>
          <cell r="C4027" t="str">
            <v>EDIFICIO SAN FELIPE</v>
          </cell>
          <cell r="D4027" t="str">
            <v>8719972</v>
          </cell>
          <cell r="E4027" t="str">
            <v>edificiosanfelipefusa@gmail.com</v>
          </cell>
          <cell r="F4027" t="str">
            <v>CALLE 16  14  21</v>
          </cell>
          <cell r="G4027">
            <v>25290</v>
          </cell>
        </row>
        <row r="4028">
          <cell r="A4028" t="str">
            <v>901607083</v>
          </cell>
          <cell r="B4028" t="str">
            <v>6</v>
          </cell>
          <cell r="C4028" t="str">
            <v>RESERVA LAS MERCEDES SAS</v>
          </cell>
          <cell r="D4028" t="str">
            <v>6019261525</v>
          </cell>
          <cell r="E4028" t="str">
            <v>residenteadmonreserva@gmail.com</v>
          </cell>
          <cell r="F4028" t="str">
            <v>CL 98 22 64 OF 201</v>
          </cell>
          <cell r="G4028">
            <v>25290</v>
          </cell>
        </row>
        <row r="4029">
          <cell r="A4029" t="str">
            <v>901840560</v>
          </cell>
          <cell r="B4029" t="str">
            <v>5</v>
          </cell>
          <cell r="C4029" t="str">
            <v>MULTIFAMILIAR TORRES DE VENTURA VIS PRIMERA ETAPA</v>
          </cell>
          <cell r="D4029" t="str">
            <v>3015881992</v>
          </cell>
          <cell r="E4029" t="str">
            <v>admontorresdeventura24@gmail.com</v>
          </cell>
          <cell r="F4029" t="str">
            <v>CR 8 2 D NORTE 23 BRR LA CABAÑA</v>
          </cell>
          <cell r="G4029">
            <v>25290</v>
          </cell>
        </row>
        <row r="4030">
          <cell r="A4030">
            <v>222222222</v>
          </cell>
          <cell r="B4030" t="str">
            <v/>
          </cell>
          <cell r="C4030" t="str">
            <v>CUANTIAS MENORES</v>
          </cell>
          <cell r="D4030">
            <v>3228184763</v>
          </cell>
          <cell r="E4030" t="str">
            <v>impuestos@estiloingeniera.com</v>
          </cell>
          <cell r="F4030" t="str">
            <v xml:space="preserve">CL 127A 53A 45 TO2 P11 OF1101 </v>
          </cell>
          <cell r="G4030">
            <v>25307</v>
          </cell>
        </row>
        <row r="4031">
          <cell r="A4031" t="str">
            <v>805027743</v>
          </cell>
          <cell r="B4031" t="str">
            <v>1</v>
          </cell>
          <cell r="C4031" t="str">
            <v>DUMIAN MEDICAL S.A.S.</v>
          </cell>
          <cell r="D4031" t="str">
            <v>5141810</v>
          </cell>
          <cell r="E4031" t="str">
            <v>recepcionfacturacion@dumianmedical.net</v>
          </cell>
          <cell r="F4031" t="str">
            <v>CARRERA 36 A  6  42</v>
          </cell>
          <cell r="G4031">
            <v>25307</v>
          </cell>
        </row>
        <row r="4032">
          <cell r="A4032" t="str">
            <v>808001329</v>
          </cell>
          <cell r="B4032" t="str">
            <v>3</v>
          </cell>
          <cell r="C4032" t="str">
            <v>EDIFICIO LAGOS DEL MEDITERRANEO</v>
          </cell>
          <cell r="D4032" t="str">
            <v>3164070834</v>
          </cell>
          <cell r="E4032" t="str">
            <v>lagosdelmediterraneo@outlook.com</v>
          </cell>
          <cell r="F4032" t="str">
            <v>LOTE 18 CONDOMINIOS LAGOS DEL PEÑON</v>
          </cell>
          <cell r="G4032">
            <v>25307</v>
          </cell>
        </row>
        <row r="4033">
          <cell r="A4033" t="str">
            <v>860007336</v>
          </cell>
          <cell r="B4033" t="str">
            <v>1</v>
          </cell>
          <cell r="C4033" t="str">
            <v>CAJA COLOMBIANA DE SUBSIDIO FAMILIAR COLSUBSIDIO</v>
          </cell>
          <cell r="D4033" t="str">
            <v>7420100</v>
          </cell>
          <cell r="E4033" t="str">
            <v>recepcion.facturaelectronica@colsubsidio.com</v>
          </cell>
          <cell r="F4033" t="str">
            <v>CL 26 25 50</v>
          </cell>
          <cell r="G4033">
            <v>25307</v>
          </cell>
        </row>
        <row r="4034">
          <cell r="A4034" t="str">
            <v>901167009</v>
          </cell>
          <cell r="B4034" t="str">
            <v>1</v>
          </cell>
          <cell r="C4034" t="str">
            <v>CONJUNTO BARLOVENTO APARTAMENTOS</v>
          </cell>
          <cell r="D4034" t="str">
            <v>3213941344</v>
          </cell>
          <cell r="E4034" t="str">
            <v>conjuntobarloventoaptos@gmail.com</v>
          </cell>
          <cell r="F4034" t="str">
            <v>CR 19 37 25 BRR SANTA ISABEL</v>
          </cell>
          <cell r="G4034">
            <v>25307</v>
          </cell>
        </row>
        <row r="4035">
          <cell r="A4035" t="str">
            <v>860000531</v>
          </cell>
          <cell r="B4035" t="str">
            <v>1</v>
          </cell>
          <cell r="C4035" t="str">
            <v>CUSEZAR S.A.</v>
          </cell>
          <cell r="D4035" t="str">
            <v>6516066</v>
          </cell>
          <cell r="E4035" t="str">
            <v>facturacion_bog@cusezar.com</v>
          </cell>
          <cell r="F4035" t="str">
            <v>AVENIDA CALLE 116  7  15  PISO 16</v>
          </cell>
          <cell r="G4035">
            <v>25377</v>
          </cell>
        </row>
        <row r="4036">
          <cell r="A4036" t="str">
            <v>900560251</v>
          </cell>
          <cell r="B4036" t="str">
            <v>9</v>
          </cell>
          <cell r="C4036" t="str">
            <v>CONJUNTO RESIDENCIAL SENDEROS DEL TEUSACA ETAPA I Y II PROPIEDAD HORIZONTAL</v>
          </cell>
          <cell r="D4036" t="str">
            <v>8756657</v>
          </cell>
          <cell r="E4036" t="str">
            <v>admonsenderosdelteusaca@gmail.com</v>
          </cell>
          <cell r="F4036" t="str">
            <v>CARRERA 2 B  12 A  19</v>
          </cell>
          <cell r="G4036">
            <v>25377</v>
          </cell>
        </row>
        <row r="4037">
          <cell r="A4037" t="str">
            <v>900872162</v>
          </cell>
          <cell r="B4037" t="str">
            <v>0</v>
          </cell>
          <cell r="C4037" t="str">
            <v>CONJUNTO RESIDENCIAL MONTEALTO PROPIEDAD HORIZONTAL</v>
          </cell>
          <cell r="D4037" t="str">
            <v>3146697590</v>
          </cell>
          <cell r="E4037" t="str">
            <v>conjuntoresidencialmontealto@gmail.com</v>
          </cell>
          <cell r="F4037" t="str">
            <v>CARRERA 12  6  07</v>
          </cell>
          <cell r="G4037">
            <v>25377</v>
          </cell>
        </row>
        <row r="4038">
          <cell r="A4038" t="str">
            <v>900928569</v>
          </cell>
          <cell r="B4038" t="str">
            <v>7</v>
          </cell>
          <cell r="C4038" t="str">
            <v>CENTRO MEDICO SANTUARIO SAS</v>
          </cell>
          <cell r="D4038" t="str">
            <v>3 1 6 5 2 8 8 1 0 5</v>
          </cell>
          <cell r="E4038" t="str">
            <v>facturacionelectronicacms@santuario.com.co</v>
          </cell>
          <cell r="F4038" t="str">
            <v>CL 4 35 A 08</v>
          </cell>
          <cell r="G4038">
            <v>25377</v>
          </cell>
        </row>
        <row r="4039">
          <cell r="A4039" t="str">
            <v>901066151</v>
          </cell>
          <cell r="B4039" t="str">
            <v>6</v>
          </cell>
          <cell r="C4039" t="str">
            <v>GREEN PARK - APARTAMENTOS CON SERVICIOS HOTELEROS, - CENTRO VACACIONAL LA CALERA (CUND) TORRES 1 Y 2</v>
          </cell>
          <cell r="D4039" t="str">
            <v>3156638322</v>
          </cell>
          <cell r="E4039" t="str">
            <v>yolanda@cardenasabogados.com.co</v>
          </cell>
          <cell r="F4039" t="str">
            <v>KM 9 VIA BOGOTA LA CALERA VEREDA EL SALITRE</v>
          </cell>
          <cell r="G4039">
            <v>25377</v>
          </cell>
        </row>
        <row r="4040">
          <cell r="A4040" t="str">
            <v>901619429</v>
          </cell>
          <cell r="B4040" t="str">
            <v>2</v>
          </cell>
          <cell r="C4040" t="str">
            <v>CONJUNTO RESIDENCIAL Y COMERCIAL CALERA HILLS PROPIEDAD HORIZONTAL</v>
          </cell>
          <cell r="D4040" t="str">
            <v>3102558356</v>
          </cell>
          <cell r="E4040" t="str">
            <v>admoncalerahills@gmail.com</v>
          </cell>
          <cell r="F4040" t="str">
            <v>AK 2 9 40</v>
          </cell>
          <cell r="G4040">
            <v>25377</v>
          </cell>
        </row>
        <row r="4041">
          <cell r="A4041" t="str">
            <v>901720476</v>
          </cell>
          <cell r="B4041" t="str">
            <v>1</v>
          </cell>
          <cell r="C4041" t="str">
            <v>CONJUNTO RESIDENCIAL VERDEMONTE - PROPIEDAD HORIZONTAL</v>
          </cell>
          <cell r="D4041" t="str">
            <v>3 1 2 3 1 8 8 3 5 3</v>
          </cell>
          <cell r="E4041" t="str">
            <v>cr.verdemonte@gmail.com</v>
          </cell>
          <cell r="F4041" t="str">
            <v>CR 3 4 53 SUR</v>
          </cell>
          <cell r="G4041">
            <v>25377</v>
          </cell>
        </row>
        <row r="4042">
          <cell r="A4042" t="str">
            <v>901017432</v>
          </cell>
          <cell r="B4042" t="str">
            <v>1</v>
          </cell>
          <cell r="C4042" t="str">
            <v>CONJUNTO RESIDENCIAL ARBOLEDA</v>
          </cell>
          <cell r="D4042" t="str">
            <v>3213136733</v>
          </cell>
          <cell r="E4042" t="str">
            <v>conjuntoarboleda2016@gmail.com</v>
          </cell>
          <cell r="F4042" t="str">
            <v>CARRERA 2 ESTE  5  20</v>
          </cell>
          <cell r="G4042">
            <v>25430</v>
          </cell>
        </row>
        <row r="4043">
          <cell r="A4043" t="str">
            <v>901130381</v>
          </cell>
          <cell r="B4043" t="str">
            <v>7</v>
          </cell>
          <cell r="C4043" t="str">
            <v>CASABLANCA CENTRO COMERCIAL - PROPIEDAD HORIZONTAL</v>
          </cell>
          <cell r="D4043" t="str">
            <v>3144022383</v>
          </cell>
          <cell r="E4043" t="str">
            <v>recepcion@casablancacentrocomercial.com</v>
          </cell>
          <cell r="F4043" t="str">
            <v>CALLE 7  1 A  91</v>
          </cell>
          <cell r="G4043">
            <v>25430</v>
          </cell>
        </row>
        <row r="4044">
          <cell r="A4044" t="str">
            <v>900192711</v>
          </cell>
          <cell r="B4044" t="str">
            <v>6</v>
          </cell>
          <cell r="C4044" t="str">
            <v>CONSTRUCTORA CAPITAL BOGOTA S.A.S</v>
          </cell>
          <cell r="D4044" t="str">
            <v>6417033</v>
          </cell>
          <cell r="E4044" t="str">
            <v>facturacionelectronica@constructoracapital.com</v>
          </cell>
          <cell r="F4044" t="str">
            <v>CARRERA 80 C  8 D  60</v>
          </cell>
          <cell r="G4044">
            <v>25473</v>
          </cell>
        </row>
        <row r="4045">
          <cell r="A4045" t="str">
            <v>901014018</v>
          </cell>
          <cell r="B4045" t="str">
            <v>1</v>
          </cell>
          <cell r="C4045" t="str">
            <v>PARQUE RESIDENCIAL SOL NACIENTE ETAPA 1 PROPIEDAD HORIZONTAL</v>
          </cell>
          <cell r="D4045" t="str">
            <v>2104926</v>
          </cell>
          <cell r="E4045" t="str">
            <v>facturacion@solnacientemosquera.com</v>
          </cell>
          <cell r="F4045" t="str">
            <v>CALLE 9  14 A  88 SUR</v>
          </cell>
          <cell r="G4045">
            <v>25473</v>
          </cell>
        </row>
        <row r="4046">
          <cell r="A4046" t="str">
            <v>901718605</v>
          </cell>
          <cell r="B4046" t="str">
            <v>7</v>
          </cell>
          <cell r="C4046" t="str">
            <v>PRO CONSTRUCTION SAS</v>
          </cell>
          <cell r="D4046" t="str">
            <v>3112022403</v>
          </cell>
          <cell r="E4046" t="str">
            <v>PROCONSTRUCTION950@GMAIL.COM</v>
          </cell>
          <cell r="F4046" t="str">
            <v>AV CL 26 NO. 68 C 61 OF 301</v>
          </cell>
          <cell r="G4046">
            <v>25473</v>
          </cell>
        </row>
        <row r="4047">
          <cell r="A4047" t="str">
            <v>860007336</v>
          </cell>
          <cell r="B4047" t="str">
            <v>1</v>
          </cell>
          <cell r="C4047" t="str">
            <v>CAJA COLOMBIANA DE SUBSIDIO FAMILIAR COLSUBSIDIO</v>
          </cell>
          <cell r="D4047" t="str">
            <v>7420100</v>
          </cell>
          <cell r="E4047" t="str">
            <v>recepcion.facturaelectronica@colsubsidio.com</v>
          </cell>
          <cell r="F4047" t="str">
            <v>CL 26 25 50</v>
          </cell>
          <cell r="G4047">
            <v>25612</v>
          </cell>
        </row>
        <row r="4048">
          <cell r="A4048" t="str">
            <v>900899934</v>
          </cell>
          <cell r="B4048" t="str">
            <v>7</v>
          </cell>
          <cell r="C4048" t="str">
            <v>CONJUNTO RESIDENCIAL VALKINA RESIDENCE CLUB</v>
          </cell>
          <cell r="D4048" t="str">
            <v>3134249070</v>
          </cell>
          <cell r="E4048" t="str">
            <v>conjuntovalkina@gmail.com</v>
          </cell>
          <cell r="F4048" t="str">
            <v>CALLE 10  26  35</v>
          </cell>
          <cell r="G4048">
            <v>25612</v>
          </cell>
        </row>
        <row r="4049">
          <cell r="A4049" t="str">
            <v>900984824</v>
          </cell>
          <cell r="B4049" t="str">
            <v>9</v>
          </cell>
          <cell r="C4049" t="str">
            <v>CONJUNTO RESIDENCIAL CARANDAY</v>
          </cell>
          <cell r="D4049" t="str">
            <v>3134999569</v>
          </cell>
          <cell r="E4049" t="str">
            <v>conjuntoresidencialcaranday@gmail.com</v>
          </cell>
          <cell r="F4049" t="str">
            <v>CALLE 13 B  17  63</v>
          </cell>
          <cell r="G4049">
            <v>25612</v>
          </cell>
        </row>
        <row r="4050">
          <cell r="A4050" t="str">
            <v>901005416</v>
          </cell>
          <cell r="B4050" t="str">
            <v>1</v>
          </cell>
          <cell r="C4050" t="str">
            <v>CONJUNTO RESIDENCIAL HACIENDA PEÑALISA ALMENDRO</v>
          </cell>
          <cell r="D4050" t="str">
            <v>3002379166</v>
          </cell>
          <cell r="E4050" t="str">
            <v>conjuntoalmendroph1@gmail.com</v>
          </cell>
          <cell r="F4050" t="str">
            <v>CARRERA 11  11  61</v>
          </cell>
          <cell r="G4050">
            <v>25612</v>
          </cell>
        </row>
        <row r="4051">
          <cell r="A4051" t="str">
            <v>901041736</v>
          </cell>
          <cell r="B4051" t="str">
            <v>6</v>
          </cell>
          <cell r="C4051" t="str">
            <v>CONJUNTO RESIDENCIAL HACIENDA PEÑALISA TAGUA</v>
          </cell>
          <cell r="D4051" t="str">
            <v>3157966171</v>
          </cell>
          <cell r="E4051" t="str">
            <v>taguaph@gmail.com</v>
          </cell>
          <cell r="F4051" t="str">
            <v>CARRERA 11  11  239</v>
          </cell>
          <cell r="G4051">
            <v>25612</v>
          </cell>
        </row>
        <row r="4052">
          <cell r="A4052" t="str">
            <v>901054835</v>
          </cell>
          <cell r="B4052" t="str">
            <v>3</v>
          </cell>
          <cell r="C4052" t="str">
            <v>CONJUNTO RESIDENCIAL CANARIA</v>
          </cell>
          <cell r="D4052" t="str">
            <v>3213136733</v>
          </cell>
          <cell r="E4052" t="str">
            <v>canariaph@gmail.com</v>
          </cell>
          <cell r="F4052" t="str">
            <v>CL 12 12 60 ZONA URBANA</v>
          </cell>
          <cell r="G4052">
            <v>25612</v>
          </cell>
        </row>
        <row r="4053">
          <cell r="A4053" t="str">
            <v>901071802</v>
          </cell>
          <cell r="B4053" t="str">
            <v>2</v>
          </cell>
          <cell r="C4053" t="str">
            <v>CONJUNTO RESIDENCIAL ROSARIO LAS PALMAS</v>
          </cell>
          <cell r="D4053" t="str">
            <v>3213136733</v>
          </cell>
          <cell r="E4053" t="str">
            <v>rosariolaspalmas@gmail.com</v>
          </cell>
          <cell r="F4053" t="str">
            <v>CARRERA 13 B  12  63</v>
          </cell>
          <cell r="G4053">
            <v>25612</v>
          </cell>
        </row>
        <row r="4054">
          <cell r="A4054" t="str">
            <v>901186185</v>
          </cell>
          <cell r="B4054" t="str">
            <v>0</v>
          </cell>
          <cell r="C4054" t="str">
            <v>CONJUNTO RESIDENCIAL CARIOTA</v>
          </cell>
          <cell r="D4054" t="str">
            <v>3 2 2 3 6 1 2 4 9 8</v>
          </cell>
          <cell r="E4054" t="str">
            <v>cariotalaspalmas@gmail.com</v>
          </cell>
          <cell r="F4054" t="str">
            <v>CL 12 13 01 ZONA URBANA</v>
          </cell>
          <cell r="G4054">
            <v>25612</v>
          </cell>
        </row>
        <row r="4055">
          <cell r="A4055" t="str">
            <v>901415259</v>
          </cell>
          <cell r="B4055" t="str">
            <v>0</v>
          </cell>
          <cell r="C4055" t="str">
            <v>CONJUNTO RESIDENCIAL HACIENDA PEÑALISA LIMONAR - PROPIEDAD HORIZONTAL</v>
          </cell>
          <cell r="D4055" t="str">
            <v>3 1 2 5 2 8 0 3 1 7</v>
          </cell>
          <cell r="E4055" t="str">
            <v>conjuntolimonarph@gmail.com</v>
          </cell>
          <cell r="F4055" t="str">
            <v>CL 17 12 11 ZONA URBANA</v>
          </cell>
          <cell r="G4055">
            <v>25612</v>
          </cell>
        </row>
        <row r="4056">
          <cell r="A4056" t="str">
            <v>800185295</v>
          </cell>
          <cell r="B4056" t="str">
            <v>1</v>
          </cell>
          <cell r="C4056" t="str">
            <v>AMARILO S.A.S.</v>
          </cell>
          <cell r="D4056" t="str">
            <v>3103180952</v>
          </cell>
          <cell r="E4056" t="str">
            <v>facturaelectronica@amarilo.com</v>
          </cell>
          <cell r="F4056" t="str">
            <v>CL 90 11 A - 27</v>
          </cell>
          <cell r="G4056">
            <v>25754</v>
          </cell>
        </row>
        <row r="4057">
          <cell r="A4057" t="str">
            <v>901132859</v>
          </cell>
          <cell r="B4057" t="str">
            <v>4</v>
          </cell>
          <cell r="C4057" t="str">
            <v>VENTURA TERREROS CENTRO COMERCIAL PRIMERA ETAPA-PROPIEDAD HORIZONTAL</v>
          </cell>
          <cell r="D4057" t="str">
            <v>3267060</v>
          </cell>
          <cell r="E4057" t="str">
            <v>facturacion@venturaterreros.com</v>
          </cell>
          <cell r="F4057" t="str">
            <v>CARRERA 1  38  89</v>
          </cell>
          <cell r="G4057">
            <v>25754</v>
          </cell>
        </row>
        <row r="4058">
          <cell r="A4058" t="str">
            <v>901871315</v>
          </cell>
          <cell r="B4058" t="str">
            <v>1</v>
          </cell>
          <cell r="C4058" t="str">
            <v>CONJUNTO RESIDENCIAL CAYENA III</v>
          </cell>
          <cell r="D4058" t="str">
            <v>3213136733</v>
          </cell>
          <cell r="E4058" t="str">
            <v>admon.cayena3@gmail.com</v>
          </cell>
          <cell r="F4058" t="str">
            <v>CL 38 24 B 61</v>
          </cell>
          <cell r="G4058">
            <v>25754</v>
          </cell>
        </row>
        <row r="4059">
          <cell r="A4059" t="str">
            <v>830083392</v>
          </cell>
          <cell r="B4059" t="str">
            <v>9</v>
          </cell>
          <cell r="C4059" t="str">
            <v>PRODUCTORA DE TEXTILES DE TOCANCIPA S A TOPTEX S A</v>
          </cell>
          <cell r="D4059" t="str">
            <v>3072000</v>
          </cell>
          <cell r="E4059" t="str">
            <v>facturae@toptex.com.co</v>
          </cell>
          <cell r="F4059" t="str">
            <v>PD EL PORVENIR VDA CANAVITA ZN INDUSTRIAL DE TOCANCIPA</v>
          </cell>
          <cell r="G4059">
            <v>25817</v>
          </cell>
        </row>
        <row r="4060">
          <cell r="A4060" t="str">
            <v>900617225</v>
          </cell>
          <cell r="B4060" t="str">
            <v>4</v>
          </cell>
          <cell r="C4060" t="str">
            <v>CONSTRUVIN S.A.S.</v>
          </cell>
          <cell r="D4060" t="str">
            <v>6166400</v>
          </cell>
          <cell r="E4060" t="str">
            <v>luiseduardo0912@hotmail.com</v>
          </cell>
          <cell r="F4060" t="str">
            <v>CALLE 93  13  24  OFICINA 401</v>
          </cell>
          <cell r="G4060">
            <v>25817</v>
          </cell>
        </row>
        <row r="4061">
          <cell r="A4061" t="str">
            <v>901214578</v>
          </cell>
          <cell r="B4061" t="str">
            <v>2</v>
          </cell>
          <cell r="C4061" t="str">
            <v>MONTEVERDE PARQUE RESIDENCIAL II ETAPA - PROPIEDAD HORIZONTAL</v>
          </cell>
          <cell r="D4061" t="str">
            <v>3162224953</v>
          </cell>
          <cell r="E4061" t="str">
            <v>monteverdeetp2@gmail.com</v>
          </cell>
          <cell r="F4061" t="str">
            <v>CR 3 9 220</v>
          </cell>
          <cell r="G4061">
            <v>25817</v>
          </cell>
        </row>
        <row r="4062">
          <cell r="A4062" t="str">
            <v>901631722</v>
          </cell>
          <cell r="B4062" t="str">
            <v>5</v>
          </cell>
          <cell r="C4062" t="str">
            <v>URBANIZACION SENDEROS DE CANAVITA</v>
          </cell>
          <cell r="D4062" t="str">
            <v>3023736718</v>
          </cell>
          <cell r="E4062" t="str">
            <v>luiseduardo0912@hotmail.com</v>
          </cell>
          <cell r="F4062" t="str">
            <v>TV 3 4 55</v>
          </cell>
          <cell r="G4062">
            <v>25817</v>
          </cell>
        </row>
        <row r="4063">
          <cell r="A4063">
            <v>222222222</v>
          </cell>
          <cell r="B4063" t="str">
            <v/>
          </cell>
          <cell r="C4063" t="str">
            <v>CUANTIAS MENORES</v>
          </cell>
          <cell r="D4063">
            <v>3228184763</v>
          </cell>
          <cell r="E4063" t="str">
            <v>impuestos@estiloingeniera.com</v>
          </cell>
          <cell r="F4063" t="str">
            <v xml:space="preserve">CL 127A 53A 45 TO2 P11 OF1101 </v>
          </cell>
          <cell r="G4063">
            <v>25899</v>
          </cell>
        </row>
        <row r="4064">
          <cell r="A4064" t="str">
            <v>900959751</v>
          </cell>
          <cell r="B4064" t="str">
            <v>4</v>
          </cell>
          <cell r="C4064" t="str">
            <v>CONJUNTO RESIDENCIAL LOS SAUCES P.H.</v>
          </cell>
          <cell r="D4064" t="str">
            <v>8876557</v>
          </cell>
          <cell r="E4064" t="str">
            <v>lossaucesph@gmail.com</v>
          </cell>
          <cell r="F4064" t="str">
            <v>CARRERA 22  9  68</v>
          </cell>
          <cell r="G4064">
            <v>25899</v>
          </cell>
        </row>
        <row r="4065">
          <cell r="A4065" t="str">
            <v>901444281</v>
          </cell>
          <cell r="B4065" t="str">
            <v>7</v>
          </cell>
          <cell r="C4065" t="str">
            <v>VIVIENDAS Y ESTRATEGIAS S.A.S</v>
          </cell>
          <cell r="D4065" t="str">
            <v>3160102018</v>
          </cell>
          <cell r="E4065" t="str">
            <v>viviendasyestrategias@gmail.com</v>
          </cell>
          <cell r="F4065" t="str">
            <v>CR 47 A 96 41 OF 402</v>
          </cell>
          <cell r="G4065">
            <v>25899</v>
          </cell>
        </row>
        <row r="4066">
          <cell r="A4066" t="str">
            <v>901488843</v>
          </cell>
          <cell r="B4066" t="str">
            <v>5</v>
          </cell>
          <cell r="C4066" t="str">
            <v>CONJUNTO RESIDENCIAL FIRENZE PH</v>
          </cell>
          <cell r="D4066" t="str">
            <v>321 4022003</v>
          </cell>
          <cell r="E4066" t="str">
            <v>firenzelatoscanaph@gmail.com</v>
          </cell>
          <cell r="F4066" t="str">
            <v>DIAGONAL 4 B BIS #29-23C</v>
          </cell>
          <cell r="G4066">
            <v>25899</v>
          </cell>
        </row>
        <row r="4067">
          <cell r="A4067" t="str">
            <v>901700191</v>
          </cell>
          <cell r="B4067" t="str">
            <v>0</v>
          </cell>
          <cell r="C4067" t="str">
            <v>EDIFICIO "KOA PARK"</v>
          </cell>
          <cell r="D4067" t="str">
            <v>3058034903</v>
          </cell>
          <cell r="E4067" t="str">
            <v>edificiokoapark@gmail.com</v>
          </cell>
          <cell r="F4067" t="str">
            <v>CARRERA 21 #1 SUR 31</v>
          </cell>
          <cell r="G4067">
            <v>25899</v>
          </cell>
        </row>
        <row r="4068">
          <cell r="A4068" t="str">
            <v>36146165</v>
          </cell>
          <cell r="B4068" t="str">
            <v>5</v>
          </cell>
          <cell r="C4068" t="str">
            <v>MARIA ILDA QUESADA DE PERDOMO</v>
          </cell>
          <cell r="D4068" t="str">
            <v>3228462205</v>
          </cell>
          <cell r="E4068" t="str">
            <v>appq1980@yahoo.com</v>
          </cell>
          <cell r="F4068" t="str">
            <v>CARRERA 11  5  26  APARTAMENTO 302</v>
          </cell>
          <cell r="G4068">
            <v>41001</v>
          </cell>
        </row>
        <row r="4069">
          <cell r="A4069" t="str">
            <v>800091489</v>
          </cell>
          <cell r="B4069" t="str">
            <v>9</v>
          </cell>
          <cell r="C4069" t="str">
            <v>PROPIEDAD HORIZONTAL DEL EDIFICIO LOS ALPES</v>
          </cell>
          <cell r="D4069" t="str">
            <v>3166197191</v>
          </cell>
          <cell r="E4069" t="str">
            <v>edificiolosalpesneiva@outlook.es</v>
          </cell>
          <cell r="F4069" t="str">
            <v>CALLE 9  9  28</v>
          </cell>
          <cell r="G4069">
            <v>41001</v>
          </cell>
        </row>
        <row r="4070">
          <cell r="A4070" t="str">
            <v>800161519</v>
          </cell>
          <cell r="B4070" t="str">
            <v>2</v>
          </cell>
          <cell r="C4070" t="str">
            <v>EDIFICIO EL CAIMO</v>
          </cell>
          <cell r="D4070" t="str">
            <v>3168725216</v>
          </cell>
          <cell r="E4070" t="str">
            <v>aligaly@gmail.com</v>
          </cell>
          <cell r="F4070" t="str">
            <v>CALLE 11  9  69</v>
          </cell>
          <cell r="G4070">
            <v>41001</v>
          </cell>
        </row>
        <row r="4071">
          <cell r="A4071" t="str">
            <v>800186518</v>
          </cell>
          <cell r="B4071" t="str">
            <v>3</v>
          </cell>
          <cell r="C4071" t="str">
            <v>EDIFICIO SANTA BARBARA</v>
          </cell>
          <cell r="D4071" t="str">
            <v>8718219</v>
          </cell>
          <cell r="E4071" t="str">
            <v>amparo.perdomo@hotmail.com</v>
          </cell>
          <cell r="F4071" t="str">
            <v>CALLE 9  11  29</v>
          </cell>
          <cell r="G4071">
            <v>41001</v>
          </cell>
        </row>
        <row r="4072">
          <cell r="A4072" t="str">
            <v>813000162</v>
          </cell>
          <cell r="B4072" t="str">
            <v>4</v>
          </cell>
          <cell r="C4072" t="str">
            <v>CONDOMINIO EDIFICIO COVADONGA</v>
          </cell>
          <cell r="D4072" t="str">
            <v>3173763622</v>
          </cell>
          <cell r="E4072" t="str">
            <v>covadonga744@gmail.com</v>
          </cell>
          <cell r="F4072" t="str">
            <v>AVENIDA LA TOMA  7  44</v>
          </cell>
          <cell r="G4072">
            <v>41001</v>
          </cell>
        </row>
        <row r="4073">
          <cell r="A4073" t="str">
            <v>813001266</v>
          </cell>
          <cell r="B4073" t="str">
            <v>6</v>
          </cell>
          <cell r="C4073" t="str">
            <v>EDIFICIO VERSALLES</v>
          </cell>
          <cell r="D4073" t="str">
            <v>3178370957</v>
          </cell>
          <cell r="E4073" t="str">
            <v>aligaly@gmail.com</v>
          </cell>
          <cell r="F4073" t="str">
            <v>CARRERA 6  14  23</v>
          </cell>
          <cell r="G4073">
            <v>41001</v>
          </cell>
        </row>
        <row r="4074">
          <cell r="A4074" t="str">
            <v>813002551</v>
          </cell>
          <cell r="B4074" t="str">
            <v>5</v>
          </cell>
          <cell r="C4074" t="str">
            <v>EDIFICIO KOKORICO PROPIEDAD HORIZONTAL</v>
          </cell>
          <cell r="D4074" t="str">
            <v>3114880539</v>
          </cell>
          <cell r="E4074" t="str">
            <v>damitas17@hotmail.com</v>
          </cell>
          <cell r="F4074" t="str">
            <v>CALLE 10  5  05</v>
          </cell>
          <cell r="G4074">
            <v>41001</v>
          </cell>
        </row>
        <row r="4075">
          <cell r="A4075" t="str">
            <v>813011577</v>
          </cell>
          <cell r="B4075" t="str">
            <v>4</v>
          </cell>
          <cell r="C4075" t="str">
            <v>CLINICA UROS S.A</v>
          </cell>
          <cell r="D4075" t="str">
            <v>3142190109</v>
          </cell>
          <cell r="E4075" t="str">
            <v>facturacion.electronica@clinicauros.com</v>
          </cell>
          <cell r="F4075" t="str">
            <v>CARRERA 6  16  35</v>
          </cell>
          <cell r="G4075">
            <v>41001</v>
          </cell>
        </row>
        <row r="4076">
          <cell r="A4076" t="str">
            <v>830126170</v>
          </cell>
          <cell r="B4076" t="str">
            <v>7</v>
          </cell>
          <cell r="C4076" t="str">
            <v>PROMOTORA VIVENDUM S.A.</v>
          </cell>
          <cell r="D4076">
            <v>3219664011</v>
          </cell>
          <cell r="E4076" t="str">
            <v>facturacion@promotoravivendum.com</v>
          </cell>
          <cell r="F4076" t="str">
            <v>CARRERA 6  26  85  PISO 15</v>
          </cell>
          <cell r="G4076">
            <v>41001</v>
          </cell>
        </row>
        <row r="4077">
          <cell r="A4077" t="str">
            <v>860005216</v>
          </cell>
          <cell r="B4077" t="str">
            <v>7</v>
          </cell>
          <cell r="C4077" t="str">
            <v>BANCO DE LA REPUBLICA</v>
          </cell>
          <cell r="D4077" t="str">
            <v>6847772</v>
          </cell>
          <cell r="E4077" t="str">
            <v>dcin-facturacionelectronica@banrep.gov.co</v>
          </cell>
          <cell r="F4077" t="str">
            <v>CARRERA 4  7  14</v>
          </cell>
          <cell r="G4077">
            <v>41001</v>
          </cell>
        </row>
        <row r="4078">
          <cell r="A4078" t="str">
            <v>860029924</v>
          </cell>
          <cell r="B4078" t="str">
            <v>7</v>
          </cell>
          <cell r="C4078" t="str">
            <v>UNIVERSIDAD COOPERATIVA DE COLOMBIA</v>
          </cell>
          <cell r="D4078" t="str">
            <v>3112781877</v>
          </cell>
          <cell r="E4078" t="str">
            <v>facturacion@estiloingenieria.com</v>
          </cell>
          <cell r="F4078" t="str">
            <v>Avenida Caracas No. 37 63</v>
          </cell>
          <cell r="G4078">
            <v>41001</v>
          </cell>
        </row>
        <row r="4079">
          <cell r="A4079" t="str">
            <v>900262756</v>
          </cell>
          <cell r="B4079" t="str">
            <v>8</v>
          </cell>
          <cell r="C4079" t="str">
            <v>EDIFICIO LAURELES DE LA CONCHA</v>
          </cell>
          <cell r="D4079" t="str">
            <v>3228462205</v>
          </cell>
          <cell r="E4079" t="str">
            <v>laurelesdelaconcha2014@yahoo.com</v>
          </cell>
          <cell r="F4079" t="str">
            <v>CARRERA 11  5  26</v>
          </cell>
          <cell r="G4079">
            <v>41001</v>
          </cell>
        </row>
        <row r="4080">
          <cell r="A4080" t="str">
            <v>900350290</v>
          </cell>
          <cell r="B4080" t="str">
            <v>5</v>
          </cell>
          <cell r="C4080" t="str">
            <v>EDIFICIO SALTO DE BORDONES</v>
          </cell>
          <cell r="D4080" t="str">
            <v>8723428</v>
          </cell>
          <cell r="E4080" t="str">
            <v>saltodebordones1733@gmail.com</v>
          </cell>
          <cell r="F4080" t="str">
            <v>CALLE 10  5  47</v>
          </cell>
          <cell r="G4080">
            <v>41001</v>
          </cell>
        </row>
        <row r="4081">
          <cell r="A4081" t="str">
            <v>900453172</v>
          </cell>
          <cell r="B4081" t="str">
            <v>7</v>
          </cell>
          <cell r="C4081" t="str">
            <v>CONJUNTO RESIDENCIAL BOSQUES DE SANTA ANA</v>
          </cell>
          <cell r="D4081" t="str">
            <v>3175047922</v>
          </cell>
          <cell r="E4081" t="str">
            <v>admon.bdesantaana@gmail.com</v>
          </cell>
          <cell r="F4081" t="str">
            <v>CARRERA 42  18 A  08</v>
          </cell>
          <cell r="G4081">
            <v>41001</v>
          </cell>
        </row>
        <row r="4082">
          <cell r="A4082" t="str">
            <v>900487602</v>
          </cell>
          <cell r="B4082" t="str">
            <v>9</v>
          </cell>
          <cell r="C4082" t="str">
            <v>CONDOMINIO TORRES DE IPACARAI II ETAPA</v>
          </cell>
          <cell r="D4082" t="str">
            <v>8 6 6 2 9 7 3</v>
          </cell>
          <cell r="E4082" t="str">
            <v>condominioipacarai2@gmail.com</v>
          </cell>
          <cell r="F4082" t="str">
            <v>CL 58 1 W 98</v>
          </cell>
          <cell r="G4082">
            <v>41001</v>
          </cell>
        </row>
        <row r="4083">
          <cell r="A4083" t="str">
            <v>900501029</v>
          </cell>
          <cell r="B4083" t="str">
            <v>8</v>
          </cell>
          <cell r="C4083" t="str">
            <v>INVERSIONES L.J.C. S.A.S.</v>
          </cell>
          <cell r="D4083" t="str">
            <v>8713060</v>
          </cell>
          <cell r="E4083" t="str">
            <v>mercadeo@sulicam.com</v>
          </cell>
          <cell r="F4083" t="str">
            <v>CARRERA 3  5  51</v>
          </cell>
          <cell r="G4083">
            <v>41001</v>
          </cell>
        </row>
        <row r="4084">
          <cell r="A4084" t="str">
            <v>900529319</v>
          </cell>
          <cell r="B4084" t="str">
            <v>0</v>
          </cell>
          <cell r="C4084" t="str">
            <v>EDIFICIO BALCONES DEL MARQUEZ - ANDALUCIA IV</v>
          </cell>
          <cell r="D4084" t="str">
            <v>8700836</v>
          </cell>
          <cell r="E4084" t="str">
            <v>balconesdelmarquez@gmail.com</v>
          </cell>
          <cell r="F4084" t="str">
            <v>CARRERA 2  18  41</v>
          </cell>
          <cell r="G4084">
            <v>41001</v>
          </cell>
        </row>
        <row r="4085">
          <cell r="A4085" t="str">
            <v>900553537</v>
          </cell>
          <cell r="B4085" t="str">
            <v>0</v>
          </cell>
          <cell r="C4085" t="str">
            <v>CONDOMINIO RESERVA DE LA SIERRA</v>
          </cell>
          <cell r="D4085" t="str">
            <v>8661727</v>
          </cell>
          <cell r="E4085" t="str">
            <v>reservadelasierra.admon2@gmail.com</v>
          </cell>
          <cell r="F4085" t="str">
            <v>CARRERA 55  11  49</v>
          </cell>
          <cell r="G4085">
            <v>41001</v>
          </cell>
        </row>
        <row r="4086">
          <cell r="A4086" t="str">
            <v>900732325</v>
          </cell>
          <cell r="B4086" t="str">
            <v>4</v>
          </cell>
          <cell r="C4086" t="str">
            <v>CONJUNTO RESIDENCIAL TORRES DE ALEJANDRIA</v>
          </cell>
          <cell r="D4086" t="str">
            <v>8762033</v>
          </cell>
          <cell r="E4086" t="str">
            <v>torresalejandrianeiva@gmail.com</v>
          </cell>
          <cell r="F4086" t="str">
            <v>CARRERA 50  27 C  01</v>
          </cell>
          <cell r="G4086">
            <v>41001</v>
          </cell>
        </row>
        <row r="4087">
          <cell r="A4087" t="str">
            <v>900750307</v>
          </cell>
          <cell r="B4087" t="str">
            <v>8</v>
          </cell>
          <cell r="C4087" t="str">
            <v>EDIFICIO MONTECARLO</v>
          </cell>
          <cell r="D4087" t="str">
            <v>8766173</v>
          </cell>
          <cell r="E4087" t="str">
            <v>facturacion@estiloingenieria.com</v>
          </cell>
          <cell r="F4087" t="str">
            <v>CALLE 7  47  32</v>
          </cell>
          <cell r="G4087">
            <v>41001</v>
          </cell>
        </row>
        <row r="4088">
          <cell r="A4088" t="str">
            <v>900867405</v>
          </cell>
          <cell r="B4088" t="str">
            <v>5</v>
          </cell>
          <cell r="C4088" t="str">
            <v>EDIFICIO MONTANAR</v>
          </cell>
          <cell r="D4088" t="str">
            <v>3153232332</v>
          </cell>
          <cell r="E4088" t="str">
            <v>edificiomontanar2024@yahoo.com</v>
          </cell>
          <cell r="F4088" t="str">
            <v>CALLE 5  28  05</v>
          </cell>
          <cell r="G4088">
            <v>41001</v>
          </cell>
        </row>
        <row r="4089">
          <cell r="A4089" t="str">
            <v>900868947</v>
          </cell>
          <cell r="B4089" t="str">
            <v>1</v>
          </cell>
          <cell r="C4089" t="str">
            <v>CONJUNTO RESIDENCIAL RESERVA DE AVICHENTE</v>
          </cell>
          <cell r="D4089" t="str">
            <v>8676014</v>
          </cell>
          <cell r="E4089" t="str">
            <v>reservadeavichente2023@gmail.com</v>
          </cell>
          <cell r="F4089" t="str">
            <v>CALLE 24  40  108</v>
          </cell>
          <cell r="G4089">
            <v>41001</v>
          </cell>
        </row>
        <row r="4090">
          <cell r="A4090" t="str">
            <v>901002667</v>
          </cell>
          <cell r="B4090" t="str">
            <v>1</v>
          </cell>
          <cell r="C4090" t="str">
            <v>CONJUNTO CERRADO MONTEVERDE</v>
          </cell>
          <cell r="D4090" t="str">
            <v>3182744742</v>
          </cell>
          <cell r="E4090" t="str">
            <v>conjuntocerradomonteverde@gmail.com</v>
          </cell>
          <cell r="F4090" t="str">
            <v>CARRERA 2  26  02 SUR</v>
          </cell>
          <cell r="G4090">
            <v>41001</v>
          </cell>
        </row>
        <row r="4091">
          <cell r="A4091" t="str">
            <v>901003188</v>
          </cell>
          <cell r="B4091" t="str">
            <v>8</v>
          </cell>
          <cell r="C4091" t="str">
            <v>CENTRO COMERCIAL SANTA LUCIA PLAZA</v>
          </cell>
          <cell r="D4091">
            <v>3219664011</v>
          </cell>
          <cell r="E4091" t="str">
            <v>facturacion@santaluciaplaza.com.co</v>
          </cell>
          <cell r="F4091" t="str">
            <v>CALLE 8  48  145</v>
          </cell>
          <cell r="G4091">
            <v>41001</v>
          </cell>
        </row>
        <row r="4092">
          <cell r="A4092" t="str">
            <v>901033851</v>
          </cell>
          <cell r="B4092" t="str">
            <v>1</v>
          </cell>
          <cell r="C4092" t="str">
            <v>CONJUNTO PORTAL DEL RIO ETAPA I</v>
          </cell>
          <cell r="D4092" t="str">
            <v>3182744742</v>
          </cell>
          <cell r="E4092" t="str">
            <v>crportaldelrio2@gmail.com</v>
          </cell>
          <cell r="F4092" t="str">
            <v>AVENIDA SURABASTOS  26  02</v>
          </cell>
          <cell r="G4092">
            <v>41001</v>
          </cell>
        </row>
        <row r="4093">
          <cell r="A4093" t="str">
            <v>901135916</v>
          </cell>
          <cell r="B4093" t="str">
            <v>1</v>
          </cell>
          <cell r="C4093" t="str">
            <v>CONJUNTO RESIDENCIAL MULTICENTRO ETAPA 1</v>
          </cell>
          <cell r="D4093" t="str">
            <v>7141642</v>
          </cell>
          <cell r="E4093" t="str">
            <v>conjuntomulticentro@gmail.com</v>
          </cell>
          <cell r="F4093" t="str">
            <v>CR 15 23 A 41</v>
          </cell>
          <cell r="G4093">
            <v>41001</v>
          </cell>
        </row>
        <row r="4094">
          <cell r="A4094" t="str">
            <v>901171799</v>
          </cell>
          <cell r="B4094" t="str">
            <v>7</v>
          </cell>
          <cell r="C4094" t="str">
            <v>CENTRO COMERCIAL UNICENTRO NEIVA</v>
          </cell>
          <cell r="D4094" t="str">
            <v>8640340</v>
          </cell>
          <cell r="E4094" t="str">
            <v>auxcontableunicentro@gmail.com</v>
          </cell>
          <cell r="F4094" t="str">
            <v>CR 15 23A 13 SUR</v>
          </cell>
          <cell r="G4094">
            <v>41001</v>
          </cell>
        </row>
        <row r="4095">
          <cell r="A4095" t="str">
            <v>900343819</v>
          </cell>
          <cell r="B4095" t="str">
            <v>1</v>
          </cell>
          <cell r="C4095" t="str">
            <v>CENTRO COMERCIAL UNIPLAZA</v>
          </cell>
          <cell r="D4095">
            <v>3219664011</v>
          </cell>
          <cell r="E4095" t="str">
            <v>admonuniplaza@gmail.com</v>
          </cell>
          <cell r="F4095" t="str">
            <v>CALLE 6  3  55</v>
          </cell>
          <cell r="G4095">
            <v>41551</v>
          </cell>
        </row>
        <row r="4096">
          <cell r="A4096">
            <v>222222222</v>
          </cell>
          <cell r="B4096" t="str">
            <v/>
          </cell>
          <cell r="C4096" t="str">
            <v>CUANTIAS MENORES</v>
          </cell>
          <cell r="D4096">
            <v>3228184763</v>
          </cell>
          <cell r="E4096" t="str">
            <v>impuestos@estiloingeniera.com</v>
          </cell>
          <cell r="F4096" t="str">
            <v xml:space="preserve">CL 127A 53A 45 TO2 P11 OF1101 </v>
          </cell>
          <cell r="G4096">
            <v>47001</v>
          </cell>
        </row>
        <row r="4097">
          <cell r="A4097">
            <v>222222222</v>
          </cell>
          <cell r="B4097" t="str">
            <v/>
          </cell>
          <cell r="C4097" t="str">
            <v>CUANTIAS MENORES</v>
          </cell>
          <cell r="D4097">
            <v>3228184763</v>
          </cell>
          <cell r="E4097" t="str">
            <v>impuestos@estiloingeniera.com</v>
          </cell>
          <cell r="F4097" t="str">
            <v xml:space="preserve">CL 127A 53A 45 TO2 P11 OF1101 </v>
          </cell>
          <cell r="G4097">
            <v>47001</v>
          </cell>
        </row>
        <row r="4098">
          <cell r="A4098" t="str">
            <v>17844609</v>
          </cell>
          <cell r="B4098" t="str">
            <v>9</v>
          </cell>
          <cell r="C4098" t="str">
            <v>VICTOR JULIO DIAZ DAZA</v>
          </cell>
          <cell r="D4098" t="str">
            <v>4206415</v>
          </cell>
          <cell r="E4098" t="str">
            <v>victorjdiazfe@gmail.com</v>
          </cell>
          <cell r="F4098" t="str">
            <v>CARRERA 28  14  52</v>
          </cell>
          <cell r="G4098">
            <v>47001</v>
          </cell>
        </row>
        <row r="4099">
          <cell r="A4099" t="str">
            <v>72179484</v>
          </cell>
          <cell r="B4099" t="str">
            <v>2</v>
          </cell>
          <cell r="C4099" t="str">
            <v>RAUL ALFONSO CASTAÑO CORCHUELO</v>
          </cell>
          <cell r="D4099" t="str">
            <v>4312469</v>
          </cell>
          <cell r="E4099" t="str">
            <v>hotelgairaka@hotmail.com</v>
          </cell>
          <cell r="F4099" t="str">
            <v>CALLE 12  18  83</v>
          </cell>
          <cell r="G4099">
            <v>47001</v>
          </cell>
        </row>
        <row r="4100">
          <cell r="A4100" t="str">
            <v>72240871</v>
          </cell>
          <cell r="B4100" t="str">
            <v>1</v>
          </cell>
          <cell r="C4100" t="str">
            <v>BRAULIO FABIAN GOMEZ CARREÑO</v>
          </cell>
          <cell r="D4100" t="str">
            <v>4365104</v>
          </cell>
          <cell r="E4100" t="str">
            <v>Hotelsanfranciscorodadero@hotmail.es</v>
          </cell>
          <cell r="F4100" t="str">
            <v>CARRERA 3  9  50</v>
          </cell>
          <cell r="G4100">
            <v>47001</v>
          </cell>
        </row>
        <row r="4101">
          <cell r="A4101" t="str">
            <v>800006608</v>
          </cell>
          <cell r="B4101" t="str">
            <v>7</v>
          </cell>
          <cell r="C4101" t="str">
            <v>MIPKO CONSTRUCTORES S. A. S.</v>
          </cell>
          <cell r="D4101">
            <v>3219664011</v>
          </cell>
          <cell r="E4101" t="str">
            <v>facturas@mipko.co</v>
          </cell>
          <cell r="F4101" t="str">
            <v>CALLE 23  6  18  OFICINA 302</v>
          </cell>
          <cell r="G4101">
            <v>47001</v>
          </cell>
        </row>
        <row r="4102">
          <cell r="A4102" t="str">
            <v>800098315</v>
          </cell>
          <cell r="B4102" t="str">
            <v>8</v>
          </cell>
          <cell r="C4102" t="str">
            <v>EDIFICIO PLAYA BLANCA</v>
          </cell>
          <cell r="D4102" t="str">
            <v>3215466225</v>
          </cell>
          <cell r="E4102" t="str">
            <v>edificioplayablanca@gmail.com</v>
          </cell>
          <cell r="F4102" t="str">
            <v>CARRERA 3  9  70</v>
          </cell>
          <cell r="G4102">
            <v>47001</v>
          </cell>
        </row>
        <row r="4103">
          <cell r="A4103" t="str">
            <v>800130907</v>
          </cell>
          <cell r="B4103" t="str">
            <v>4</v>
          </cell>
          <cell r="C4103" t="str">
            <v>SALUD TOTAL ENTIDAD PROMOTORA DE SALUD DEL REGIMEN CONTRIBUTIVO Y DEL REGIMEN SUBSIDIADO S A</v>
          </cell>
          <cell r="D4103" t="str">
            <v>6 2 9 6 6 6 0</v>
          </cell>
          <cell r="E4103" t="str">
            <v>recepcionfactelectronica@saludtotal.com.co</v>
          </cell>
          <cell r="F4103" t="str">
            <v>CR 18 109 15</v>
          </cell>
          <cell r="G4103">
            <v>47001</v>
          </cell>
        </row>
        <row r="4104">
          <cell r="A4104" t="str">
            <v>800132674</v>
          </cell>
          <cell r="B4104" t="str">
            <v>2</v>
          </cell>
          <cell r="C4104" t="str">
            <v>LABORATORIO CLINICO CONTINENTAL S.A.S.</v>
          </cell>
          <cell r="D4104" t="str">
            <v>3157383550</v>
          </cell>
          <cell r="E4104" t="str">
            <v>felectronica@laboratoriolcc.com</v>
          </cell>
          <cell r="F4104" t="str">
            <v>CALLE 80  49 C  32</v>
          </cell>
          <cell r="G4104">
            <v>47001</v>
          </cell>
        </row>
        <row r="4105">
          <cell r="A4105" t="str">
            <v>800134804</v>
          </cell>
          <cell r="B4105" t="str">
            <v>2</v>
          </cell>
          <cell r="C4105" t="str">
            <v>EDIFICIO NABUSIMAKE</v>
          </cell>
          <cell r="D4105" t="str">
            <v>3106422921</v>
          </cell>
          <cell r="E4105" t="str">
            <v>edinabusimake@hotmail.com</v>
          </cell>
          <cell r="F4105" t="str">
            <v>CALLE 6  3  20</v>
          </cell>
          <cell r="G4105">
            <v>47001</v>
          </cell>
        </row>
        <row r="4106">
          <cell r="A4106" t="str">
            <v>800148420</v>
          </cell>
          <cell r="B4106" t="str">
            <v>9</v>
          </cell>
          <cell r="C4106" t="str">
            <v>EDIFICIO PERLA DEL CARIBE PROPIEDAD HORIZONTAL</v>
          </cell>
          <cell r="D4106" t="str">
            <v>4229390</v>
          </cell>
          <cell r="E4106" t="str">
            <v>edificioperladelcaribe2016@hotmail.com</v>
          </cell>
          <cell r="F4106" t="str">
            <v>CARRERA 3  9  69</v>
          </cell>
          <cell r="G4106">
            <v>47001</v>
          </cell>
        </row>
        <row r="4107">
          <cell r="A4107" t="str">
            <v>800169077</v>
          </cell>
          <cell r="B4107" t="str">
            <v>5</v>
          </cell>
          <cell r="C4107" t="str">
            <v>EDIFICIO CLAUDIA 2</v>
          </cell>
          <cell r="D4107" t="str">
            <v>3106315791</v>
          </cell>
          <cell r="E4107" t="str">
            <v>nibal.cera@hotmail.com</v>
          </cell>
          <cell r="F4107" t="str">
            <v>CALLE 29  28  180</v>
          </cell>
          <cell r="G4107">
            <v>47001</v>
          </cell>
        </row>
        <row r="4108">
          <cell r="A4108" t="str">
            <v>800182641</v>
          </cell>
          <cell r="B4108" t="str">
            <v>3</v>
          </cell>
          <cell r="C4108" t="str">
            <v>SOCIEDAD DE INVERSIONES VIVES Y CIA. S.A.</v>
          </cell>
          <cell r="D4108">
            <v>3219664011</v>
          </cell>
          <cell r="E4108" t="str">
            <v>800182641@factureinbox.co</v>
          </cell>
          <cell r="F4108" t="str">
            <v>CALLE 15  1 C  74  OFICINA 702</v>
          </cell>
          <cell r="G4108">
            <v>47001</v>
          </cell>
        </row>
        <row r="4109">
          <cell r="A4109" t="str">
            <v>800198578</v>
          </cell>
          <cell r="B4109" t="str">
            <v>7</v>
          </cell>
          <cell r="C4109" t="str">
            <v>EDIFICIO LOS ROSALES</v>
          </cell>
          <cell r="D4109" t="str">
            <v>3008427052</v>
          </cell>
          <cell r="E4109" t="str">
            <v>copropiedadrosales@outlook.com</v>
          </cell>
          <cell r="F4109" t="str">
            <v>CR 1 A 5 59 SEC RODADERO</v>
          </cell>
          <cell r="G4109">
            <v>47001</v>
          </cell>
        </row>
        <row r="4110">
          <cell r="A4110" t="str">
            <v>800199119</v>
          </cell>
          <cell r="B4110" t="str">
            <v>4</v>
          </cell>
          <cell r="C4110" t="str">
            <v>EDIFICIO MAR DE GAIRA</v>
          </cell>
          <cell r="D4110" t="str">
            <v>4323483</v>
          </cell>
          <cell r="E4110" t="str">
            <v>edificiomardegaira@outlook.com</v>
          </cell>
          <cell r="F4110" t="str">
            <v>CARRERA 2  5  162</v>
          </cell>
          <cell r="G4110">
            <v>47001</v>
          </cell>
        </row>
        <row r="4111">
          <cell r="A4111" t="str">
            <v>800238121</v>
          </cell>
          <cell r="B4111" t="str">
            <v>8</v>
          </cell>
          <cell r="C4111" t="str">
            <v>EDIFICIO DINERS</v>
          </cell>
          <cell r="D4111" t="str">
            <v>3006049472</v>
          </cell>
          <cell r="E4111" t="str">
            <v>Edificiodiners2014@hotmail.com</v>
          </cell>
          <cell r="F4111" t="str">
            <v>CALLE 6  1  54</v>
          </cell>
          <cell r="G4111">
            <v>47001</v>
          </cell>
        </row>
        <row r="4112">
          <cell r="A4112" t="str">
            <v>800248317</v>
          </cell>
          <cell r="B4112" t="str">
            <v>7</v>
          </cell>
          <cell r="C4112" t="str">
            <v>CONDOMINIO NUEVO RODADERO</v>
          </cell>
          <cell r="D4112" t="str">
            <v>4363633</v>
          </cell>
          <cell r="E4112" t="str">
            <v>copropietariosgestorescnr2022@gmail.com</v>
          </cell>
          <cell r="F4112" t="str">
            <v>CALLE 5 A  4  40</v>
          </cell>
          <cell r="G4112">
            <v>47001</v>
          </cell>
        </row>
        <row r="4113">
          <cell r="A4113" t="str">
            <v>800248557</v>
          </cell>
          <cell r="B4113" t="str">
            <v>8</v>
          </cell>
          <cell r="C4113" t="str">
            <v>EDIFICIO ESTRELLA DEL MAR</v>
          </cell>
          <cell r="D4113" t="str">
            <v>4220190</v>
          </cell>
          <cell r="E4113" t="str">
            <v>estrelladelmaredificio@gmail.com</v>
          </cell>
          <cell r="F4113" t="str">
            <v>CARRERA 1  5  131 APARTAMENTO 1202</v>
          </cell>
          <cell r="G4113">
            <v>47001</v>
          </cell>
        </row>
        <row r="4114">
          <cell r="A4114" t="str">
            <v>806000591</v>
          </cell>
          <cell r="B4114" t="str">
            <v>5</v>
          </cell>
          <cell r="C4114" t="str">
            <v>ACCORHOTELS COLOMBIA S A</v>
          </cell>
          <cell r="D4114" t="str">
            <v>6363633</v>
          </cell>
          <cell r="E4114" t="str">
            <v>facturacion@estiloingenieria.com</v>
          </cell>
          <cell r="F4114" t="str">
            <v>CR 12A 83 75 OF 502</v>
          </cell>
          <cell r="G4114">
            <v>47001</v>
          </cell>
        </row>
        <row r="4115">
          <cell r="A4115" t="str">
            <v>819000310</v>
          </cell>
          <cell r="B4115" t="str">
            <v>1</v>
          </cell>
          <cell r="C4115" t="str">
            <v>EDIFICIO ARRECIFES</v>
          </cell>
          <cell r="D4115" t="str">
            <v>4320606</v>
          </cell>
          <cell r="E4115" t="str">
            <v>navarro60@hotmail.com</v>
          </cell>
          <cell r="F4115" t="str">
            <v>CARRERA 1  1  04</v>
          </cell>
          <cell r="G4115">
            <v>47001</v>
          </cell>
        </row>
        <row r="4116">
          <cell r="A4116" t="str">
            <v>819000476</v>
          </cell>
          <cell r="B4116" t="str">
            <v>3</v>
          </cell>
          <cell r="C4116" t="str">
            <v>CIUDADELA COMERCIAL PRADO PLAZA</v>
          </cell>
          <cell r="D4116" t="str">
            <v>4315247</v>
          </cell>
          <cell r="E4116" t="str">
            <v>contabilidadpradoplaza@gmail.com</v>
          </cell>
          <cell r="F4116" t="str">
            <v>CARRERA 4  26  40</v>
          </cell>
          <cell r="G4116">
            <v>47001</v>
          </cell>
        </row>
        <row r="4117">
          <cell r="A4117" t="str">
            <v>819000666</v>
          </cell>
          <cell r="B4117" t="str">
            <v>6</v>
          </cell>
          <cell r="C4117" t="str">
            <v>FONDO COMUN PLAYA SALGUERO</v>
          </cell>
          <cell r="D4117" t="str">
            <v>4358573</v>
          </cell>
          <cell r="E4117" t="str">
            <v>edificioplayasalguero@gmail.com</v>
          </cell>
          <cell r="F4117" t="str">
            <v>CALLE 28  11  07</v>
          </cell>
          <cell r="G4117">
            <v>47001</v>
          </cell>
        </row>
        <row r="4118">
          <cell r="A4118" t="str">
            <v>819000952</v>
          </cell>
          <cell r="B4118" t="str">
            <v>8</v>
          </cell>
          <cell r="C4118" t="str">
            <v>EDIFICIO BALCONES DEL COUNTRY-PROPIEDAD HORIZONTAL</v>
          </cell>
          <cell r="D4118" t="str">
            <v>3003071819</v>
          </cell>
          <cell r="E4118" t="str">
            <v>balconesdelcountry@hotmail.com</v>
          </cell>
          <cell r="F4118" t="str">
            <v>CALLE 6  4  10</v>
          </cell>
          <cell r="G4118">
            <v>47001</v>
          </cell>
        </row>
        <row r="4119">
          <cell r="A4119" t="str">
            <v>819001492</v>
          </cell>
          <cell r="B4119" t="str">
            <v>6</v>
          </cell>
          <cell r="C4119" t="str">
            <v>EDIFICIO TORRE UNIVERSAL - EDIFICIO NEOS RODADERO PROPIEDAD HORIZONTAL</v>
          </cell>
          <cell r="D4119" t="str">
            <v>4220906</v>
          </cell>
          <cell r="E4119" t="str">
            <v>edificiotorresuniversal@yahoo.com</v>
          </cell>
          <cell r="F4119" t="str">
            <v>CL 17 1 A 53 BRR RODADERO</v>
          </cell>
          <cell r="G4119">
            <v>47001</v>
          </cell>
        </row>
        <row r="4120">
          <cell r="A4120" t="str">
            <v>819003451</v>
          </cell>
          <cell r="B4120" t="str">
            <v>3</v>
          </cell>
          <cell r="C4120" t="str">
            <v>EDIFICIO CRISTIMAR</v>
          </cell>
          <cell r="D4120" t="str">
            <v>4 2 2 8 3 4 9</v>
          </cell>
          <cell r="E4120" t="str">
            <v>edificiocristimar@hotmail.com</v>
          </cell>
          <cell r="F4120" t="str">
            <v>CR 1 15 11 SEC RODADERO</v>
          </cell>
          <cell r="G4120">
            <v>47001</v>
          </cell>
        </row>
        <row r="4121">
          <cell r="A4121" t="str">
            <v>819006193</v>
          </cell>
          <cell r="B4121" t="str">
            <v>1</v>
          </cell>
          <cell r="C4121" t="str">
            <v>INSTITUTO NEUROPSIQUIATRICO NUESTRA SEÑORA DEL CARMEN INSECAR S.A.S.</v>
          </cell>
          <cell r="D4121" t="str">
            <v>54215937</v>
          </cell>
          <cell r="E4121" t="str">
            <v>contabilidad.insecar@hotmail.com</v>
          </cell>
          <cell r="F4121" t="str">
            <v>AV DEL LIBERTADOR 15 61</v>
          </cell>
          <cell r="G4121">
            <v>47001</v>
          </cell>
        </row>
        <row r="4122">
          <cell r="A4122" t="str">
            <v>819006340</v>
          </cell>
          <cell r="B4122" t="str">
            <v>8</v>
          </cell>
          <cell r="C4122" t="str">
            <v>TRILLOS FRANCO S.A.S</v>
          </cell>
          <cell r="D4122" t="str">
            <v>4225978</v>
          </cell>
          <cell r="E4122" t="str">
            <v>819006340@factureinbox.co</v>
          </cell>
          <cell r="F4122" t="str">
            <v>CARRERA 3  5  28</v>
          </cell>
          <cell r="G4122">
            <v>47001</v>
          </cell>
        </row>
        <row r="4123">
          <cell r="A4123" t="str">
            <v>860029924</v>
          </cell>
          <cell r="B4123" t="str">
            <v>7</v>
          </cell>
          <cell r="C4123" t="str">
            <v>UNIVERSIDAD COOPERATIVA DE COLOMBIA</v>
          </cell>
          <cell r="D4123" t="str">
            <v>3112781877</v>
          </cell>
          <cell r="E4123" t="str">
            <v>facturacion@estiloingenieria.com</v>
          </cell>
          <cell r="F4123" t="str">
            <v>Avenida Caracas No. 37 63</v>
          </cell>
          <cell r="G4123">
            <v>47001</v>
          </cell>
        </row>
        <row r="4124">
          <cell r="A4124" t="str">
            <v>860513493</v>
          </cell>
          <cell r="B4124" t="str">
            <v>1</v>
          </cell>
          <cell r="C4124" t="str">
            <v>CONSTRUCTORA BOLIVAR BOGOTA S.A. CONSTRUCTORA BOLIVAR S.A.</v>
          </cell>
          <cell r="D4124" t="str">
            <v>6258330</v>
          </cell>
          <cell r="E4124" t="str">
            <v>faelectronica@constructorabolivar.com</v>
          </cell>
          <cell r="F4124" t="str">
            <v>CALLE 134  72  31</v>
          </cell>
          <cell r="G4124">
            <v>47001</v>
          </cell>
        </row>
        <row r="4125">
          <cell r="A4125" t="str">
            <v>891700341</v>
          </cell>
          <cell r="B4125" t="str">
            <v>3</v>
          </cell>
          <cell r="C4125" t="str">
            <v>CORPORACION CLUB SANTA MARTA</v>
          </cell>
          <cell r="D4125" t="str">
            <v>4213477</v>
          </cell>
          <cell r="E4125" t="str">
            <v>891700341@factureinbox.co</v>
          </cell>
          <cell r="F4125" t="str">
            <v>CARRERA 1  22  110</v>
          </cell>
          <cell r="G4125">
            <v>47001</v>
          </cell>
        </row>
        <row r="4126">
          <cell r="A4126" t="str">
            <v>891701522</v>
          </cell>
          <cell r="B4126" t="str">
            <v>4</v>
          </cell>
          <cell r="C4126" t="str">
            <v>FONDO COMUN LOS ALCATRACES</v>
          </cell>
          <cell r="D4126" t="str">
            <v>4380251</v>
          </cell>
          <cell r="E4126" t="str">
            <v>injodile@hotmail.com</v>
          </cell>
          <cell r="F4126" t="str">
            <v>km 17 via cienega</v>
          </cell>
          <cell r="G4126">
            <v>47001</v>
          </cell>
        </row>
        <row r="4127">
          <cell r="A4127" t="str">
            <v>891701538</v>
          </cell>
          <cell r="B4127" t="str">
            <v>1</v>
          </cell>
          <cell r="C4127" t="str">
            <v>GRUPO LUVASAN S.A.S</v>
          </cell>
          <cell r="D4127">
            <v>3219664011</v>
          </cell>
          <cell r="E4127" t="str">
            <v>contabilidad@hotelyuldamarodadero.com</v>
          </cell>
          <cell r="F4127" t="str">
            <v>CARRERA 3  10  40 Barrio Rodadero</v>
          </cell>
          <cell r="G4127">
            <v>47001</v>
          </cell>
        </row>
        <row r="4128">
          <cell r="A4128" t="str">
            <v>891702516</v>
          </cell>
          <cell r="B4128" t="str">
            <v>4</v>
          </cell>
          <cell r="C4128" t="str">
            <v>EDIFICIO MARA</v>
          </cell>
          <cell r="D4128" t="str">
            <v>4227751</v>
          </cell>
          <cell r="E4128" t="str">
            <v>edificiomara@hotmail.com</v>
          </cell>
          <cell r="F4128" t="str">
            <v>CALLE 6  1  27</v>
          </cell>
          <cell r="G4128">
            <v>47001</v>
          </cell>
        </row>
        <row r="4129">
          <cell r="A4129" t="str">
            <v>891780093</v>
          </cell>
          <cell r="B4129" t="str">
            <v>3</v>
          </cell>
          <cell r="C4129" t="str">
            <v>CAJA DE COMPENSACION FAMILIAR DEL MAGDALENA</v>
          </cell>
          <cell r="D4129" t="str">
            <v>4217900</v>
          </cell>
          <cell r="E4129" t="str">
            <v>891780093@recepciondefacturas.co</v>
          </cell>
          <cell r="F4129" t="str">
            <v>CALLE 23 N. 7 - 78</v>
          </cell>
          <cell r="G4129">
            <v>47001</v>
          </cell>
        </row>
        <row r="4130">
          <cell r="A4130" t="str">
            <v>900022943</v>
          </cell>
          <cell r="B4130" t="str">
            <v>1</v>
          </cell>
          <cell r="C4130" t="str">
            <v>CONSTRUCTORA INFANTE VIVES S.A.S</v>
          </cell>
          <cell r="D4130">
            <v>3219664011</v>
          </cell>
          <cell r="E4130" t="str">
            <v>facturaciv@cinfantevives.com</v>
          </cell>
          <cell r="F4130" t="str">
            <v>CARRERA 2 B  26  49</v>
          </cell>
          <cell r="G4130">
            <v>47001</v>
          </cell>
        </row>
        <row r="4131">
          <cell r="A4131" t="str">
            <v>900026211</v>
          </cell>
          <cell r="B4131" t="str">
            <v>5</v>
          </cell>
          <cell r="C4131" t="str">
            <v>DISTRIBUCIONES SANTA MARTA SAS</v>
          </cell>
          <cell r="D4131">
            <v>3219664011</v>
          </cell>
          <cell r="E4131" t="str">
            <v>facturas@disam.com.co</v>
          </cell>
          <cell r="F4131" t="str">
            <v>CL 24 2 66 OF 708 BRR BELLAVISTA</v>
          </cell>
          <cell r="G4131">
            <v>47001</v>
          </cell>
        </row>
        <row r="4132">
          <cell r="A4132" t="str">
            <v>900029610</v>
          </cell>
          <cell r="B4132" t="str">
            <v>4</v>
          </cell>
          <cell r="C4132" t="str">
            <v>CONJUNTO SINTANA RESORT</v>
          </cell>
          <cell r="D4132" t="str">
            <v>4358148</v>
          </cell>
          <cell r="E4132" t="str">
            <v>resortsintanaph@gmail.com</v>
          </cell>
          <cell r="F4132" t="str">
            <v>CALLE 133  1  112</v>
          </cell>
          <cell r="G4132">
            <v>47001</v>
          </cell>
        </row>
        <row r="4133">
          <cell r="A4133" t="str">
            <v>900223667</v>
          </cell>
          <cell r="B4133" t="str">
            <v>4</v>
          </cell>
          <cell r="C4133" t="str">
            <v>PERFECT BODY MEDICAL CENTER LTDA</v>
          </cell>
          <cell r="D4133" t="str">
            <v>4217901</v>
          </cell>
          <cell r="E4133" t="str">
            <v>contabilidad.perfectbody@gmail.com</v>
          </cell>
          <cell r="F4133" t="str">
            <v>CARRERA 20  151  10</v>
          </cell>
          <cell r="G4133">
            <v>47001</v>
          </cell>
        </row>
        <row r="4134">
          <cell r="A4134" t="str">
            <v>900245386</v>
          </cell>
          <cell r="B4134" t="str">
            <v>4</v>
          </cell>
          <cell r="C4134" t="str">
            <v>EDIFICIO BAHIA LINDA</v>
          </cell>
          <cell r="D4134" t="str">
            <v>4312923</v>
          </cell>
          <cell r="E4134" t="str">
            <v>edbahialinda@gmail.com</v>
          </cell>
          <cell r="F4134" t="str">
            <v>CARRERA 1  28  70</v>
          </cell>
          <cell r="G4134">
            <v>47001</v>
          </cell>
        </row>
        <row r="4135">
          <cell r="A4135" t="str">
            <v>900250846</v>
          </cell>
          <cell r="B4135" t="str">
            <v>0</v>
          </cell>
          <cell r="C4135" t="str">
            <v>SIERRALAGUNA CONDOMINIO MARINO</v>
          </cell>
          <cell r="D4135" t="str">
            <v>3 1 0 3 6 6 0 6 9 2</v>
          </cell>
          <cell r="E4135" t="str">
            <v>contablesierralaguna@hotmail.com</v>
          </cell>
          <cell r="F4135" t="str">
            <v>CL 74 A 1 107 SEC LAGOS DEL DULCINO</v>
          </cell>
          <cell r="G4135">
            <v>47001</v>
          </cell>
        </row>
        <row r="4136">
          <cell r="A4136" t="str">
            <v>900297845</v>
          </cell>
          <cell r="B4136" t="str">
            <v>6</v>
          </cell>
          <cell r="C4136" t="str">
            <v>EDIFICIO TORRES DE COLON III</v>
          </cell>
          <cell r="D4136" t="str">
            <v>4394245</v>
          </cell>
          <cell r="E4136" t="str">
            <v>edificiotorresdecolonc@yahoo.es</v>
          </cell>
          <cell r="F4136" t="str">
            <v>CARRERA 1 A  20  120</v>
          </cell>
          <cell r="G4136">
            <v>47001</v>
          </cell>
        </row>
        <row r="4137">
          <cell r="A4137" t="str">
            <v>900302843</v>
          </cell>
          <cell r="B4137" t="str">
            <v>3</v>
          </cell>
          <cell r="C4137" t="str">
            <v>IMAGENOLOGIA DEL MAGDALENA CENTRO RADIOLOGICO SAS</v>
          </cell>
          <cell r="D4137" t="str">
            <v>4206401</v>
          </cell>
          <cell r="E4137" t="str">
            <v>imagenologiadelmagdalena@hotmail.com</v>
          </cell>
          <cell r="F4137" t="str">
            <v>CL 14 27 11</v>
          </cell>
          <cell r="G4137">
            <v>47001</v>
          </cell>
        </row>
        <row r="4138">
          <cell r="A4138" t="str">
            <v>900310653</v>
          </cell>
          <cell r="B4138" t="str">
            <v>4</v>
          </cell>
          <cell r="C4138" t="str">
            <v>EDIFICIO BRISA MARINA</v>
          </cell>
          <cell r="D4138" t="str">
            <v>4356777</v>
          </cell>
          <cell r="E4138" t="str">
            <v>edificiobrisamarinaph@hotmail.com</v>
          </cell>
          <cell r="F4138" t="str">
            <v>CALLE 32  2  11</v>
          </cell>
          <cell r="G4138">
            <v>47001</v>
          </cell>
        </row>
        <row r="4139">
          <cell r="A4139" t="str">
            <v>900375454</v>
          </cell>
          <cell r="B4139" t="str">
            <v>4</v>
          </cell>
          <cell r="C4139" t="str">
            <v>EL VIAJERO HOSTELS S.A.S.</v>
          </cell>
          <cell r="D4139" t="str">
            <v>3152768715</v>
          </cell>
          <cell r="E4139" t="str">
            <v>facturacioncolombia@viajerohostels.com</v>
          </cell>
          <cell r="F4139" t="str">
            <v>CALLE 26 4-100</v>
          </cell>
          <cell r="G4139">
            <v>47001</v>
          </cell>
        </row>
        <row r="4140">
          <cell r="A4140" t="str">
            <v>900424412</v>
          </cell>
          <cell r="B4140" t="str">
            <v>6</v>
          </cell>
          <cell r="C4140" t="str">
            <v>CONJUNTO PLAYA DORMIDA PROPIEDAD HORIZONTAL</v>
          </cell>
          <cell r="D4140" t="str">
            <v>3175023849</v>
          </cell>
          <cell r="E4140" t="str">
            <v>playadormida1.admon@gmail.com</v>
          </cell>
          <cell r="F4140" t="str">
            <v>CL 142 1 99 SEC BELLO SOL</v>
          </cell>
          <cell r="G4140">
            <v>47001</v>
          </cell>
        </row>
        <row r="4141">
          <cell r="A4141" t="str">
            <v>900455310</v>
          </cell>
          <cell r="B4141" t="str">
            <v>6</v>
          </cell>
          <cell r="C4141" t="str">
            <v>EDIFICIO OCEAN CONDOMINIO CLUB HOUSE SPA PROPIEDAD HORIZONTAL</v>
          </cell>
          <cell r="D4141" t="str">
            <v>3158191340</v>
          </cell>
          <cell r="E4141" t="str">
            <v>edificiooceancondominio@gmail.com</v>
          </cell>
          <cell r="F4141" t="str">
            <v>CALLE 19  1  66</v>
          </cell>
          <cell r="G4141">
            <v>47001</v>
          </cell>
        </row>
        <row r="4142">
          <cell r="A4142" t="str">
            <v>900541932</v>
          </cell>
          <cell r="B4142" t="str">
            <v>5</v>
          </cell>
          <cell r="C4142" t="str">
            <v>LOGISTICA E INVERSIONES EN TURISMO S.A.S</v>
          </cell>
          <cell r="D4142" t="str">
            <v>4221692</v>
          </cell>
          <cell r="E4142" t="str">
            <v>900541932@factureinbox.co</v>
          </cell>
          <cell r="F4142" t="str">
            <v>AVENIDA 68  43  67 SUR</v>
          </cell>
          <cell r="G4142">
            <v>47001</v>
          </cell>
        </row>
        <row r="4143">
          <cell r="A4143" t="str">
            <v>900573179</v>
          </cell>
          <cell r="B4143" t="str">
            <v>2</v>
          </cell>
          <cell r="C4143" t="str">
            <v>EDIFICIO AREIA</v>
          </cell>
          <cell r="D4143" t="str">
            <v>3218411384</v>
          </cell>
          <cell r="E4143" t="str">
            <v>edificioareia@hotmail.com</v>
          </cell>
          <cell r="F4143" t="str">
            <v>CARRERA 3 A  75  120</v>
          </cell>
          <cell r="G4143">
            <v>47001</v>
          </cell>
        </row>
        <row r="4144">
          <cell r="A4144" t="str">
            <v>900585330</v>
          </cell>
          <cell r="B4144" t="str">
            <v>0</v>
          </cell>
          <cell r="C4144" t="str">
            <v>G Y P INGENIERIA SAS</v>
          </cell>
          <cell r="D4144" t="str">
            <v>4685016</v>
          </cell>
          <cell r="E4144" t="str">
            <v>gypingenieriasas@gmail.com</v>
          </cell>
          <cell r="F4144" t="str">
            <v>CR 12 A 145 A 22 AP 306</v>
          </cell>
          <cell r="G4144">
            <v>47001</v>
          </cell>
        </row>
        <row r="4145">
          <cell r="A4145" t="str">
            <v>900592984</v>
          </cell>
          <cell r="B4145" t="str">
            <v>6</v>
          </cell>
          <cell r="C4145" t="str">
            <v>EDIFICIO TORRES DEL MAYOR</v>
          </cell>
          <cell r="D4145" t="str">
            <v>3004765686</v>
          </cell>
          <cell r="E4145" t="str">
            <v>ediftorresdelmayor@gmail.com</v>
          </cell>
          <cell r="F4145" t="str">
            <v>AVENIDA DEL FERROCARRIL  29  200</v>
          </cell>
          <cell r="G4145">
            <v>47001</v>
          </cell>
        </row>
        <row r="4146">
          <cell r="A4146" t="str">
            <v>900608746</v>
          </cell>
          <cell r="B4146" t="str">
            <v>1</v>
          </cell>
          <cell r="C4146" t="str">
            <v>EDIFICIO BAVARIA GREEN</v>
          </cell>
          <cell r="D4146" t="str">
            <v>3138910872</v>
          </cell>
          <cell r="E4146" t="str">
            <v>bavariagreen2983@hotmail.com</v>
          </cell>
          <cell r="F4146" t="str">
            <v>CARRERA 7 B  29  83</v>
          </cell>
          <cell r="G4146">
            <v>47001</v>
          </cell>
        </row>
        <row r="4147">
          <cell r="A4147" t="str">
            <v>900632170</v>
          </cell>
          <cell r="B4147" t="str">
            <v>0</v>
          </cell>
          <cell r="C4147" t="str">
            <v>CONDOMINIO ZAZUE</v>
          </cell>
          <cell r="D4147" t="str">
            <v>3105090343</v>
          </cell>
          <cell r="E4147" t="str">
            <v>condominiozazue@hotmail.com</v>
          </cell>
          <cell r="F4147" t="str">
            <v>CARRERA 7  116 A  40</v>
          </cell>
          <cell r="G4147">
            <v>47001</v>
          </cell>
        </row>
        <row r="4148">
          <cell r="A4148" t="str">
            <v>900676346</v>
          </cell>
          <cell r="B4148" t="str">
            <v>9</v>
          </cell>
          <cell r="C4148" t="str">
            <v>EDIFICIO EL PRADO</v>
          </cell>
          <cell r="D4148" t="str">
            <v>3012814927</v>
          </cell>
          <cell r="E4148" t="str">
            <v>edificioelpradoph@gmail.com</v>
          </cell>
          <cell r="F4148" t="str">
            <v>CARRERA 3  24  95</v>
          </cell>
          <cell r="G4148">
            <v>47001</v>
          </cell>
        </row>
        <row r="4149">
          <cell r="A4149" t="str">
            <v>900678649</v>
          </cell>
          <cell r="B4149" t="str">
            <v>4</v>
          </cell>
          <cell r="C4149" t="str">
            <v>EDIFICIO AQUARELLA</v>
          </cell>
          <cell r="D4149" t="str">
            <v>3003146172</v>
          </cell>
          <cell r="E4149" t="str">
            <v>aquarellaedificio@gmail.com</v>
          </cell>
          <cell r="F4149" t="str">
            <v>CARRERA 1 A  27 A  80</v>
          </cell>
          <cell r="G4149">
            <v>47001</v>
          </cell>
        </row>
        <row r="4150">
          <cell r="A4150" t="str">
            <v>900682822</v>
          </cell>
          <cell r="B4150" t="str">
            <v>8</v>
          </cell>
          <cell r="C4150" t="str">
            <v>CONDOMINIO KANKURUA</v>
          </cell>
          <cell r="D4150" t="str">
            <v>3166940530</v>
          </cell>
          <cell r="E4150" t="str">
            <v>condominiokankurua@gmail.com</v>
          </cell>
          <cell r="F4150" t="str">
            <v>CARRERA 4  114  76</v>
          </cell>
          <cell r="G4150">
            <v>47001</v>
          </cell>
        </row>
        <row r="4151">
          <cell r="A4151" t="str">
            <v>900718228</v>
          </cell>
          <cell r="B4151" t="str">
            <v>1</v>
          </cell>
          <cell r="C4151" t="str">
            <v>ARCAS INMOBILIARIA SAS</v>
          </cell>
          <cell r="D4151" t="str">
            <v>4336636</v>
          </cell>
          <cell r="E4151" t="str">
            <v>facturacionelec@grupoarcas.com</v>
          </cell>
          <cell r="F4151" t="str">
            <v>AV DEL RIO 29 85</v>
          </cell>
          <cell r="G4151">
            <v>47001</v>
          </cell>
        </row>
        <row r="4152">
          <cell r="A4152" t="str">
            <v>900735729</v>
          </cell>
          <cell r="B4152" t="str">
            <v>1</v>
          </cell>
          <cell r="C4152" t="str">
            <v>CENTRO DE REHABILITACION Y TRATAMIENTO DEL DOLOR KINESIS SAS</v>
          </cell>
          <cell r="D4152" t="str">
            <v>4358117</v>
          </cell>
          <cell r="E4152" t="str">
            <v>asesorjuricontablekinesis@gmail.com</v>
          </cell>
          <cell r="F4152" t="str">
            <v>CR 24 17 10</v>
          </cell>
          <cell r="G4152">
            <v>47001</v>
          </cell>
        </row>
        <row r="4153">
          <cell r="A4153" t="str">
            <v>900750294</v>
          </cell>
          <cell r="B4153" t="str">
            <v>0</v>
          </cell>
          <cell r="C4153" t="str">
            <v>EDIFICIO BANCO DE BOGOTA</v>
          </cell>
          <cell r="D4153" t="str">
            <v>3168775603</v>
          </cell>
          <cell r="E4153" t="str">
            <v>ed.bancodebogota@gmail.com</v>
          </cell>
          <cell r="F4153" t="str">
            <v>CL 24 3 95</v>
          </cell>
          <cell r="G4153">
            <v>47001</v>
          </cell>
        </row>
        <row r="4154">
          <cell r="A4154" t="str">
            <v>900761639</v>
          </cell>
          <cell r="B4154" t="str">
            <v>5</v>
          </cell>
          <cell r="C4154" t="str">
            <v>EDIFICIO BAVARIA PARK</v>
          </cell>
          <cell r="D4154" t="str">
            <v>4358058</v>
          </cell>
          <cell r="E4154" t="str">
            <v>bavariapark@gmail.com</v>
          </cell>
          <cell r="F4154" t="str">
            <v>AVENIDA DEL FERROCARRIL  28 C  28</v>
          </cell>
          <cell r="G4154">
            <v>47001</v>
          </cell>
        </row>
        <row r="4155">
          <cell r="A4155" t="str">
            <v>900807763</v>
          </cell>
          <cell r="B4155" t="str">
            <v>0</v>
          </cell>
          <cell r="C4155" t="str">
            <v>CONDOMINIO CABO TORTUGA</v>
          </cell>
          <cell r="D4155" t="str">
            <v>3103660692</v>
          </cell>
          <cell r="E4155" t="str">
            <v>auxiliarcontablecabotortuga@gmail.com</v>
          </cell>
          <cell r="F4155" t="str">
            <v>CALLE 74  1  169</v>
          </cell>
          <cell r="G4155">
            <v>47001</v>
          </cell>
        </row>
        <row r="4156">
          <cell r="A4156" t="str">
            <v>900842128</v>
          </cell>
          <cell r="B4156" t="str">
            <v>1</v>
          </cell>
          <cell r="C4156" t="str">
            <v>EDIFICIO EL MAYOR</v>
          </cell>
          <cell r="D4156" t="str">
            <v>4378970</v>
          </cell>
          <cell r="E4156" t="str">
            <v>edificioelmayorbc@gmail.com</v>
          </cell>
          <cell r="F4156" t="str">
            <v>AVENIDA DEL FERROCARRIL 29-200</v>
          </cell>
          <cell r="G4156">
            <v>47001</v>
          </cell>
        </row>
        <row r="4157">
          <cell r="A4157" t="str">
            <v>900888298</v>
          </cell>
          <cell r="B4157" t="str">
            <v>3</v>
          </cell>
          <cell r="C4157" t="str">
            <v>EDIFICIO CENTRO EMPRESARIAL 2.23 PROPIEDAD HORIZONTAL</v>
          </cell>
          <cell r="D4157" t="str">
            <v>3175134769</v>
          </cell>
          <cell r="E4157" t="str">
            <v>centroempresarial223@gmail.com</v>
          </cell>
          <cell r="F4157" t="str">
            <v>CALLE 23  2 A  50</v>
          </cell>
          <cell r="G4157">
            <v>47001</v>
          </cell>
        </row>
        <row r="4158">
          <cell r="A4158" t="str">
            <v>900890315</v>
          </cell>
          <cell r="B4158" t="str">
            <v>7</v>
          </cell>
          <cell r="C4158" t="str">
            <v>AGRUPACION RESERVA DEL MAR</v>
          </cell>
          <cell r="D4158" t="str">
            <v>3225942840</v>
          </cell>
          <cell r="E4158" t="str">
            <v>facturacion.reservadelmarph@outlook.com</v>
          </cell>
          <cell r="F4158" t="str">
            <v>CALLE 22  1  67</v>
          </cell>
          <cell r="G4158">
            <v>47001</v>
          </cell>
        </row>
        <row r="4159">
          <cell r="A4159" t="str">
            <v>900920741</v>
          </cell>
          <cell r="B4159" t="str">
            <v>1</v>
          </cell>
          <cell r="C4159" t="str">
            <v>EDIFICIO KUALI APARTAMENTOS PROPIEDAD HORIZONTAL</v>
          </cell>
          <cell r="D4159" t="str">
            <v>3176484949</v>
          </cell>
          <cell r="E4159" t="str">
            <v>admon.kualiph@gmail.com</v>
          </cell>
          <cell r="F4159" t="str">
            <v>CALLE 115  2  39</v>
          </cell>
          <cell r="G4159">
            <v>47001</v>
          </cell>
        </row>
        <row r="4160">
          <cell r="A4160" t="str">
            <v>900928755</v>
          </cell>
          <cell r="B4160" t="str">
            <v>0</v>
          </cell>
          <cell r="C4160" t="str">
            <v>EDIFICIO VERONA</v>
          </cell>
          <cell r="D4160">
            <v>3219664011</v>
          </cell>
          <cell r="E4160" t="str">
            <v>edificio-verona@hotmail.com</v>
          </cell>
          <cell r="F4160" t="str">
            <v>CALLE 11 A  21  02</v>
          </cell>
          <cell r="G4160">
            <v>47001</v>
          </cell>
        </row>
        <row r="4161">
          <cell r="A4161" t="str">
            <v>900929739</v>
          </cell>
          <cell r="B4161" t="str">
            <v>7</v>
          </cell>
          <cell r="C4161" t="str">
            <v>STANZIA SANTA MARTA S.A.S.</v>
          </cell>
          <cell r="D4161" t="str">
            <v>3022591829</v>
          </cell>
          <cell r="E4161" t="str">
            <v>facturacion@bwsantamartahotel.com</v>
          </cell>
          <cell r="F4161" t="str">
            <v>CL 24 3 65 BRR PRADO</v>
          </cell>
          <cell r="G4161">
            <v>47001</v>
          </cell>
        </row>
        <row r="4162">
          <cell r="A4162" t="str">
            <v>900945566</v>
          </cell>
          <cell r="B4162" t="str">
            <v>7</v>
          </cell>
          <cell r="C4162" t="str">
            <v>CONJUNTO RESIDENCIAL MIRADOR DE SAN PEDRO</v>
          </cell>
          <cell r="D4162" t="str">
            <v>3132583575</v>
          </cell>
          <cell r="E4162" t="str">
            <v>conjuntomiradorsanpedro@gmail.com</v>
          </cell>
          <cell r="F4162" t="str">
            <v>DIAGONAL 33  13  100</v>
          </cell>
          <cell r="G4162">
            <v>47001</v>
          </cell>
        </row>
        <row r="4163">
          <cell r="A4163" t="str">
            <v>900961946</v>
          </cell>
          <cell r="B4163" t="str">
            <v>1</v>
          </cell>
          <cell r="C4163" t="str">
            <v>CONJUNTO RESIDENCIAL TORRES DE PUERTO BANUS PROPIEDAD HORIZONTAL</v>
          </cell>
          <cell r="D4163" t="str">
            <v>4378823</v>
          </cell>
          <cell r="E4163" t="str">
            <v>torrespuertobanus1@gmail.com</v>
          </cell>
          <cell r="F4163" t="str">
            <v>CARRERA 4  21  180</v>
          </cell>
          <cell r="G4163">
            <v>47001</v>
          </cell>
        </row>
        <row r="4164">
          <cell r="A4164" t="str">
            <v>900962591</v>
          </cell>
          <cell r="B4164" t="str">
            <v>3</v>
          </cell>
          <cell r="C4164" t="str">
            <v>COMBUSTIBLES PALMAR S.A.S.</v>
          </cell>
          <cell r="D4164" t="str">
            <v>6053587050</v>
          </cell>
          <cell r="E4164" t="str">
            <v>combustiblespalmar@gmail.com</v>
          </cell>
          <cell r="F4164" t="str">
            <v>CR 4 3 74 47</v>
          </cell>
          <cell r="G4164">
            <v>47001</v>
          </cell>
        </row>
        <row r="4165">
          <cell r="A4165" t="str">
            <v>900985404</v>
          </cell>
          <cell r="B4165" t="str">
            <v>3</v>
          </cell>
          <cell r="C4165" t="str">
            <v>JIMENEZ CONSTRUCTORES S.A.S</v>
          </cell>
          <cell r="D4165" t="str">
            <v>3106056340</v>
          </cell>
          <cell r="E4165" t="str">
            <v>facturacion@jconstructores.com</v>
          </cell>
          <cell r="F4165" t="str">
            <v>CALLE 24 N° 2-66 ED CAMARA DE COMERCIO OFICINA 810</v>
          </cell>
          <cell r="G4165">
            <v>47001</v>
          </cell>
        </row>
        <row r="4166">
          <cell r="A4166" t="str">
            <v>901062685</v>
          </cell>
          <cell r="B4166" t="str">
            <v>9</v>
          </cell>
          <cell r="C4166" t="str">
            <v>EDIFICIO TORRE 19-24</v>
          </cell>
          <cell r="D4166" t="str">
            <v>3152539033</v>
          </cell>
          <cell r="E4166" t="str">
            <v>edificio1924@gmail.com</v>
          </cell>
          <cell r="F4166" t="str">
            <v>AVENIDA 19  24  16</v>
          </cell>
          <cell r="G4166">
            <v>47001</v>
          </cell>
        </row>
        <row r="4167">
          <cell r="A4167" t="str">
            <v>901086734</v>
          </cell>
          <cell r="B4167" t="str">
            <v>5</v>
          </cell>
          <cell r="C4167" t="str">
            <v>EDIFICIO PLAZA 16</v>
          </cell>
          <cell r="D4167" t="str">
            <v>3006705886</v>
          </cell>
          <cell r="E4167" t="str">
            <v>edificioplaza16@gmail.com</v>
          </cell>
          <cell r="F4167" t="str">
            <v>CARRERA 16 D  11 C  41</v>
          </cell>
          <cell r="G4167">
            <v>47001</v>
          </cell>
        </row>
        <row r="4168">
          <cell r="A4168" t="str">
            <v>901087200</v>
          </cell>
          <cell r="B4168" t="str">
            <v>9</v>
          </cell>
          <cell r="C4168" t="str">
            <v>CONJUNTO MULTIFAMILIAR VELAS AL MAR</v>
          </cell>
          <cell r="D4168">
            <v>3219664011</v>
          </cell>
          <cell r="E4168" t="str">
            <v>conjmultifavelasalmar@gmail.com</v>
          </cell>
          <cell r="F4168" t="str">
            <v>CL 20 3 06 SEC RODADERO</v>
          </cell>
          <cell r="G4168">
            <v>47001</v>
          </cell>
        </row>
        <row r="4169">
          <cell r="A4169" t="str">
            <v>901089919</v>
          </cell>
          <cell r="B4169" t="str">
            <v>4</v>
          </cell>
          <cell r="C4169" t="str">
            <v>EDIFICIO AZUL 1.1 PROPIEDAD HORIZONTAL</v>
          </cell>
          <cell r="D4169" t="str">
            <v>3175134769</v>
          </cell>
          <cell r="E4169" t="str">
            <v>centroempresarial223@gmail.com</v>
          </cell>
          <cell r="F4169" t="str">
            <v>CALLE 22  1  102</v>
          </cell>
          <cell r="G4169">
            <v>47001</v>
          </cell>
        </row>
        <row r="4170">
          <cell r="A4170" t="str">
            <v>901122252</v>
          </cell>
          <cell r="B4170" t="str">
            <v>1</v>
          </cell>
          <cell r="C4170" t="str">
            <v>EDIFICIO ALUNA</v>
          </cell>
          <cell r="D4170" t="str">
            <v>3002119797</v>
          </cell>
          <cell r="E4170" t="str">
            <v>edificioaluna@gmail.com</v>
          </cell>
          <cell r="F4170" t="str">
            <v>CL 28 8 37</v>
          </cell>
          <cell r="G4170">
            <v>47001</v>
          </cell>
        </row>
        <row r="4171">
          <cell r="A4171" t="str">
            <v>901128687</v>
          </cell>
          <cell r="B4171" t="str">
            <v>9</v>
          </cell>
          <cell r="C4171" t="str">
            <v>WV HOTELS S.A.S.</v>
          </cell>
          <cell r="D4171" t="str">
            <v>4368270</v>
          </cell>
          <cell r="E4171" t="str">
            <v>facturacionsmrgi@satcomla.com</v>
          </cell>
          <cell r="F4171" t="str">
            <v>CARRERA 1 C  24  03</v>
          </cell>
          <cell r="G4171">
            <v>47001</v>
          </cell>
        </row>
        <row r="4172">
          <cell r="A4172" t="str">
            <v>901137814</v>
          </cell>
          <cell r="B4172" t="str">
            <v>6</v>
          </cell>
          <cell r="C4172" t="str">
            <v>EDIFICIO MULTIFAMILIAR PALO ALTO CLUB RESIDENCIAL ETAPA 1 2</v>
          </cell>
          <cell r="D4172" t="str">
            <v>3106215831</v>
          </cell>
          <cell r="E4172" t="str">
            <v>clubresidencialpaloalto@gmail.com</v>
          </cell>
          <cell r="F4172" t="str">
            <v>TV 9 17 A 55</v>
          </cell>
          <cell r="G4172">
            <v>47001</v>
          </cell>
        </row>
        <row r="4173">
          <cell r="A4173" t="str">
            <v>901188057</v>
          </cell>
          <cell r="B4173" t="str">
            <v>5</v>
          </cell>
          <cell r="C4173" t="str">
            <v>EDIFICIO DE USO RESIDENCIAL JARDIN DE SANTANA</v>
          </cell>
          <cell r="D4173" t="str">
            <v>3135190789</v>
          </cell>
          <cell r="E4173" t="str">
            <v>edificiojardindesantana@gmail.com</v>
          </cell>
          <cell r="F4173" t="str">
            <v>CR 24 16 4</v>
          </cell>
          <cell r="G4173">
            <v>47001</v>
          </cell>
        </row>
        <row r="4174">
          <cell r="A4174" t="str">
            <v>901230741</v>
          </cell>
          <cell r="B4174" t="str">
            <v>4</v>
          </cell>
          <cell r="C4174" t="str">
            <v xml:space="preserve">PROYECTOS CIVILES Y MECANICOS S.A.S	</v>
          </cell>
          <cell r="D4174" t="str">
            <v>3 0 0 2 6 0 5 0 43</v>
          </cell>
          <cell r="E4174" t="str">
            <v xml:space="preserve">procymsas@gmail.com	</v>
          </cell>
          <cell r="F4174" t="str">
            <v xml:space="preserve">CR 1 B 26 A 109 BRR BELLAVISTA ED ALMIRANTE AP 1501	</v>
          </cell>
          <cell r="G4174">
            <v>47001</v>
          </cell>
        </row>
        <row r="4175">
          <cell r="A4175" t="str">
            <v>901271426</v>
          </cell>
          <cell r="B4175" t="str">
            <v>4</v>
          </cell>
          <cell r="C4175" t="str">
            <v>EDIFICIO SAN MARINO</v>
          </cell>
          <cell r="D4175" t="str">
            <v>3205719978</v>
          </cell>
          <cell r="E4175" t="str">
            <v>admonedificiosanmarino@gmail.com</v>
          </cell>
          <cell r="F4175" t="str">
            <v>CL 24 A 2 39</v>
          </cell>
          <cell r="G4175">
            <v>47001</v>
          </cell>
        </row>
        <row r="4176">
          <cell r="A4176" t="str">
            <v>901297953</v>
          </cell>
          <cell r="B4176" t="str">
            <v>7</v>
          </cell>
          <cell r="C4176" t="str">
            <v>PUNTOS ESTILO SAS</v>
          </cell>
          <cell r="D4176">
            <v>3219664011</v>
          </cell>
          <cell r="E4176" t="str">
            <v>johanna.r@puntosestilo.com</v>
          </cell>
          <cell r="F4176" t="str">
            <v>CL 73 7 06 OF 202</v>
          </cell>
          <cell r="G4176">
            <v>47001</v>
          </cell>
        </row>
        <row r="4177">
          <cell r="A4177" t="str">
            <v>901305891</v>
          </cell>
          <cell r="B4177" t="str">
            <v>4</v>
          </cell>
          <cell r="C4177" t="str">
            <v>EDIFICIO NATURA OCEANIC - PROPIEDAD HORIZONTAL</v>
          </cell>
          <cell r="D4177" t="str">
            <v>3007663530</v>
          </cell>
          <cell r="E4177" t="str">
            <v>naturaoceanic@gmail.com</v>
          </cell>
          <cell r="F4177" t="str">
            <v>CR 1 17 113 SEC RODADERO</v>
          </cell>
          <cell r="G4177">
            <v>47001</v>
          </cell>
        </row>
        <row r="4178">
          <cell r="A4178" t="str">
            <v>901316819</v>
          </cell>
          <cell r="B4178" t="str">
            <v>0</v>
          </cell>
          <cell r="C4178" t="str">
            <v>EDIFICIO PLAYA DORMIDA D OS</v>
          </cell>
          <cell r="D4178" t="str">
            <v>3134245346</v>
          </cell>
          <cell r="E4178" t="str">
            <v>admonplayadormidados@gmail.com</v>
          </cell>
          <cell r="F4178" t="str">
            <v>CARRERA 3 N° 142-60  SEC BELLO SOL</v>
          </cell>
          <cell r="G4178">
            <v>47001</v>
          </cell>
        </row>
        <row r="4179">
          <cell r="A4179" t="str">
            <v>901349626</v>
          </cell>
          <cell r="B4179" t="str">
            <v>8</v>
          </cell>
          <cell r="C4179" t="str">
            <v>INVERSIONES LOS ANGELES A&amp;F S.A.S</v>
          </cell>
          <cell r="D4179" t="str">
            <v>3105401972</v>
          </cell>
          <cell r="E4179" t="str">
            <v>caribe.motor@hotmail.com</v>
          </cell>
          <cell r="F4179" t="str">
            <v>CR 5 28 55</v>
          </cell>
          <cell r="G4179">
            <v>47001</v>
          </cell>
        </row>
        <row r="4180">
          <cell r="A4180" t="str">
            <v>901383598</v>
          </cell>
          <cell r="B4180" t="str">
            <v>3</v>
          </cell>
          <cell r="C4180" t="str">
            <v>EDIFICIO AMBAR INFINITY</v>
          </cell>
          <cell r="D4180" t="str">
            <v>3012158323</v>
          </cell>
          <cell r="E4180" t="str">
            <v>ambarinfinityadmon@gmail.com</v>
          </cell>
          <cell r="F4180" t="str">
            <v>CR 1 13 92 SEC RODADERO</v>
          </cell>
          <cell r="G4180">
            <v>47001</v>
          </cell>
        </row>
        <row r="4181">
          <cell r="A4181" t="str">
            <v>901412912</v>
          </cell>
          <cell r="B4181" t="str">
            <v>9</v>
          </cell>
          <cell r="C4181" t="str">
            <v>COPROPIEDAD CONDOMINIO SAN SEBASTIAN</v>
          </cell>
          <cell r="D4181" t="str">
            <v>3126193083</v>
          </cell>
          <cell r="E4181" t="str">
            <v>admoncondominiosansebastian@gmail.com</v>
          </cell>
          <cell r="F4181" t="str">
            <v>CR 19 C 19 B 4 52 BRR SAN PEDRO</v>
          </cell>
          <cell r="G4181">
            <v>47001</v>
          </cell>
        </row>
        <row r="4182">
          <cell r="A4182" t="str">
            <v>901493760</v>
          </cell>
          <cell r="B4182" t="str">
            <v>2</v>
          </cell>
          <cell r="C4182" t="str">
            <v>EDIFICIO VIVARIUM</v>
          </cell>
          <cell r="D4182" t="str">
            <v>3168708270</v>
          </cell>
          <cell r="E4182" t="str">
            <v>edificiovivariumsantamarta@gmail.com</v>
          </cell>
          <cell r="F4182" t="str">
            <v>CALLE 26A # 30 B - 36 BARRIO SAN PEDRO ALEJANDRINO</v>
          </cell>
          <cell r="G4182">
            <v>47001</v>
          </cell>
        </row>
        <row r="4183">
          <cell r="A4183" t="str">
            <v>901558088</v>
          </cell>
          <cell r="B4183" t="str">
            <v>1</v>
          </cell>
          <cell r="C4183" t="str">
            <v>CONJUNTO RESIDENCIAL POBLADO</v>
          </cell>
          <cell r="D4183" t="str">
            <v>3 0 0 4 5 4 7 8 8 0</v>
          </cell>
          <cell r="E4183" t="str">
            <v>reservasdecurincapobladoph@gmail.com</v>
          </cell>
          <cell r="F4183" t="str">
            <v>CR 30 50 09</v>
          </cell>
          <cell r="G4183">
            <v>47001</v>
          </cell>
        </row>
        <row r="4184">
          <cell r="A4184" t="str">
            <v>901602645</v>
          </cell>
          <cell r="B4184" t="str">
            <v>2</v>
          </cell>
          <cell r="C4184" t="str">
            <v>EDIFICIO BALTIMORE</v>
          </cell>
          <cell r="D4184" t="str">
            <v>3013557998</v>
          </cell>
          <cell r="E4184" t="str">
            <v>edificiobaltimoreph@gmail.com</v>
          </cell>
          <cell r="F4184" t="str">
            <v>CALLE 28E No 13A-12</v>
          </cell>
          <cell r="G4184">
            <v>47001</v>
          </cell>
        </row>
        <row r="4185">
          <cell r="A4185" t="str">
            <v>901620773</v>
          </cell>
          <cell r="B4185" t="str">
            <v>3</v>
          </cell>
          <cell r="C4185" t="str">
            <v>CONJUNTO RESIDENCIAL NEVADO</v>
          </cell>
          <cell r="D4185" t="str">
            <v>3174301889</v>
          </cell>
          <cell r="E4185" t="str">
            <v>conjuntonevadoph@gmail.com</v>
          </cell>
          <cell r="F4185" t="str">
            <v>CARRERA 30 #50-09</v>
          </cell>
          <cell r="G4185">
            <v>47001</v>
          </cell>
        </row>
        <row r="4186">
          <cell r="A4186" t="str">
            <v>901655787</v>
          </cell>
          <cell r="B4186" t="str">
            <v>7</v>
          </cell>
          <cell r="C4186" t="str">
            <v>BELLO HORIZONTE PLAZA - PROPIEDAD HORIZONTAL, I ETAPA</v>
          </cell>
          <cell r="D4186">
            <v>3219664011</v>
          </cell>
          <cell r="E4186" t="str">
            <v>conjuntobellohorizonteplaza@gmail.com</v>
          </cell>
          <cell r="F4186" t="str">
            <v>CR 4 103 417</v>
          </cell>
          <cell r="G4186">
            <v>47001</v>
          </cell>
        </row>
        <row r="4187">
          <cell r="A4187" t="str">
            <v>901670986</v>
          </cell>
          <cell r="B4187" t="str">
            <v>9</v>
          </cell>
          <cell r="C4187" t="str">
            <v>INVERSIONES MACEO SAS</v>
          </cell>
          <cell r="D4187" t="str">
            <v>3 1 0 2 3 7 6 3 5 9</v>
          </cell>
          <cell r="E4187" t="str">
            <v>contabilidad.klbienesraices@gmail.com</v>
          </cell>
          <cell r="F4187" t="str">
            <v>CL 20 NO. 2 A 26</v>
          </cell>
          <cell r="G4187">
            <v>47001</v>
          </cell>
        </row>
        <row r="4188">
          <cell r="A4188" t="str">
            <v>901698514</v>
          </cell>
          <cell r="B4188" t="str">
            <v>8</v>
          </cell>
          <cell r="C4188" t="str">
            <v>CONJUNTO RESIDENCIAL TORRES DE ANDALUCIA PROPIEDAD HORIZONTAL</v>
          </cell>
          <cell r="D4188" t="str">
            <v>3214567610</v>
          </cell>
          <cell r="E4188" t="str">
            <v>conjuntotorresdeandalucia@outlook.com</v>
          </cell>
          <cell r="F4188" t="str">
            <v>CL 47 30 A 48</v>
          </cell>
          <cell r="G4188">
            <v>47001</v>
          </cell>
        </row>
        <row r="4189">
          <cell r="A4189" t="str">
            <v>901700016</v>
          </cell>
          <cell r="B4189" t="str">
            <v>1</v>
          </cell>
          <cell r="C4189" t="str">
            <v>CONJUNTO PORTALES TEJARES DEL LIBERTADOR</v>
          </cell>
          <cell r="D4189" t="str">
            <v>3013315776</v>
          </cell>
          <cell r="E4189" t="str">
            <v>portalestejaresdellibertador@gmail.com</v>
          </cell>
          <cell r="F4189" t="str">
            <v>CL 45 35 46 BRR EL LIBANO</v>
          </cell>
          <cell r="G4189">
            <v>47001</v>
          </cell>
        </row>
        <row r="4190">
          <cell r="A4190" t="str">
            <v>901719664</v>
          </cell>
          <cell r="B4190" t="str">
            <v>6</v>
          </cell>
          <cell r="C4190" t="str">
            <v>CONJUNTO RESIDENCIAL FLORA</v>
          </cell>
          <cell r="D4190" t="str">
            <v>3012574497</v>
          </cell>
          <cell r="E4190" t="str">
            <v>florareservadecurinca@gmail.com</v>
          </cell>
          <cell r="F4190" t="str">
            <v>CR 30 50 09 URB SANTA CRUZ DE CURINCA</v>
          </cell>
          <cell r="G4190">
            <v>47001</v>
          </cell>
        </row>
        <row r="4191">
          <cell r="A4191" t="str">
            <v>901750999</v>
          </cell>
          <cell r="B4191" t="str">
            <v>8</v>
          </cell>
          <cell r="C4191" t="str">
            <v>EDIFICIO RIVIERA PLAZA PRIMERA ETAPA - PROPIEDAD HORIZONTAL</v>
          </cell>
          <cell r="D4191" t="str">
            <v>3 0 4 6 0 6 1 6 1 8</v>
          </cell>
          <cell r="E4191" t="str">
            <v>rivieraplazaetapa1admon@gmail.com</v>
          </cell>
          <cell r="F4191" t="str">
            <v>CL 29 B 1 173 SEC BELLAVISTA</v>
          </cell>
          <cell r="G4191">
            <v>47001</v>
          </cell>
        </row>
        <row r="4192">
          <cell r="A4192" t="str">
            <v>901751138</v>
          </cell>
          <cell r="B4192" t="str">
            <v>8</v>
          </cell>
          <cell r="C4192" t="str">
            <v>CONJUNTO SALINAS DEL MAR - PROPIEDAD HORIZONTAL</v>
          </cell>
          <cell r="D4192" t="str">
            <v>3125280317</v>
          </cell>
          <cell r="E4192" t="str">
            <v>admon.salinasdelmarph@gmail.com</v>
          </cell>
          <cell r="F4192" t="str">
            <v>CR 4 102 40 SEC POZOS COLORADO</v>
          </cell>
          <cell r="G4192">
            <v>47001</v>
          </cell>
        </row>
        <row r="4193">
          <cell r="A4193" t="str">
            <v>901753289</v>
          </cell>
          <cell r="B4193" t="str">
            <v>0</v>
          </cell>
          <cell r="C4193" t="str">
            <v>EDIFICIO AMBAR ROCA - PROPIEDAD HORIZONTAL</v>
          </cell>
          <cell r="D4193" t="str">
            <v>3138704986</v>
          </cell>
          <cell r="E4193" t="str">
            <v>ambar.roca@hotmail.com</v>
          </cell>
          <cell r="F4193" t="str">
            <v>CL 15 1 A 25 SEC RODADERO SUR</v>
          </cell>
          <cell r="G4193">
            <v>47001</v>
          </cell>
        </row>
        <row r="4194">
          <cell r="A4194" t="str">
            <v>901755486</v>
          </cell>
          <cell r="B4194" t="str">
            <v>4</v>
          </cell>
          <cell r="C4194" t="str">
            <v>CONJUNTO ALUNA BEACH CLUB SANTA MARTA</v>
          </cell>
          <cell r="D4194" t="str">
            <v>3 1 5 3 9 5 3 3 9 9</v>
          </cell>
          <cell r="E4194" t="str">
            <v>contabilidad@luxurylandmarksgroup.com</v>
          </cell>
          <cell r="F4194" t="str">
            <v>CR 3 145 126</v>
          </cell>
          <cell r="G4194">
            <v>47001</v>
          </cell>
        </row>
        <row r="4195">
          <cell r="A4195" t="str">
            <v>901805820</v>
          </cell>
          <cell r="B4195" t="str">
            <v>7</v>
          </cell>
          <cell r="C4195" t="str">
            <v>EDIFICIO PORTO HORIZONTE CONDOHOTEL PRIMERA ETAPA</v>
          </cell>
          <cell r="D4195" t="str">
            <v>3013800842</v>
          </cell>
          <cell r="E4195" t="str">
            <v>administrativoportohorizonte@oxohotel.com</v>
          </cell>
          <cell r="F4195" t="str">
            <v>CR 2 107 31 SEC POZOS COLORADOS</v>
          </cell>
          <cell r="G4195">
            <v>47001</v>
          </cell>
        </row>
        <row r="4196">
          <cell r="A4196">
            <v>222222222</v>
          </cell>
          <cell r="B4196" t="str">
            <v/>
          </cell>
          <cell r="C4196" t="str">
            <v>CUANTIAS MENORES</v>
          </cell>
          <cell r="D4196">
            <v>3228184763</v>
          </cell>
          <cell r="E4196" t="str">
            <v>impuestos@estiloingeniera.com</v>
          </cell>
          <cell r="F4196" t="str">
            <v xml:space="preserve">CL 127A 53A 45 TO2 P11 OF1101 </v>
          </cell>
          <cell r="G4196">
            <v>50001</v>
          </cell>
        </row>
        <row r="4197">
          <cell r="A4197" t="str">
            <v>800116217</v>
          </cell>
          <cell r="B4197" t="str">
            <v>2</v>
          </cell>
          <cell r="C4197" t="str">
            <v>CORPORACION UNIVERSITARIA MINUTO DE DIOS</v>
          </cell>
          <cell r="D4197" t="str">
            <v>2916520</v>
          </cell>
          <cell r="E4197" t="str">
            <v>facturacionradian@uniminuto.edu</v>
          </cell>
          <cell r="F4197" t="str">
            <v>CR 73 A 81 B 70</v>
          </cell>
          <cell r="G4197">
            <v>50001</v>
          </cell>
        </row>
        <row r="4198">
          <cell r="A4198" t="str">
            <v>800151106</v>
          </cell>
          <cell r="B4198" t="str">
            <v>1</v>
          </cell>
          <cell r="C4198" t="str">
            <v>INCOTOP SAS</v>
          </cell>
          <cell r="D4198" t="str">
            <v>6 6 2 7 8 3 8</v>
          </cell>
          <cell r="E4198" t="str">
            <v>contabilidad@incotop.com</v>
          </cell>
          <cell r="F4198" t="str">
            <v>ED PARQUE SANTANDER OF 1005 CL 38 32 41 P 10</v>
          </cell>
          <cell r="G4198">
            <v>50001</v>
          </cell>
        </row>
        <row r="4199">
          <cell r="A4199" t="str">
            <v>800185295</v>
          </cell>
          <cell r="B4199" t="str">
            <v>1</v>
          </cell>
          <cell r="C4199" t="str">
            <v>AMARILO S.A.S.</v>
          </cell>
          <cell r="D4199" t="str">
            <v>3103180952</v>
          </cell>
          <cell r="E4199" t="str">
            <v>facturaelectronica@amarilo.com</v>
          </cell>
          <cell r="F4199" t="str">
            <v>CL 90 11 A - 27</v>
          </cell>
          <cell r="G4199">
            <v>50001</v>
          </cell>
        </row>
        <row r="4200">
          <cell r="A4200" t="str">
            <v>822001763</v>
          </cell>
          <cell r="B4200" t="str">
            <v>8</v>
          </cell>
          <cell r="C4200" t="str">
            <v>EDIFICIO TERRAZAS DEL LLANO 1A ETAPA</v>
          </cell>
          <cell r="D4200" t="str">
            <v>3203085992</v>
          </cell>
          <cell r="E4200" t="str">
            <v>terrazasdelllano@gmail.com</v>
          </cell>
          <cell r="F4200" t="str">
            <v>CARRERA 30  48  60</v>
          </cell>
          <cell r="G4200">
            <v>50001</v>
          </cell>
        </row>
        <row r="4201">
          <cell r="A4201" t="str">
            <v>860012357</v>
          </cell>
          <cell r="B4201" t="str">
            <v>6</v>
          </cell>
          <cell r="C4201" t="str">
            <v>UNIVERSIDAD SANTO TOMAS</v>
          </cell>
          <cell r="D4201" t="str">
            <v>5878922</v>
          </cell>
          <cell r="E4201" t="str">
            <v>radicacionfacturas@ustavillavicencio.edu.co</v>
          </cell>
          <cell r="F4201" t="str">
            <v>CARRERA 9  51  23</v>
          </cell>
          <cell r="G4201">
            <v>50001</v>
          </cell>
        </row>
        <row r="4202">
          <cell r="A4202" t="str">
            <v>860029924</v>
          </cell>
          <cell r="B4202" t="str">
            <v>7</v>
          </cell>
          <cell r="C4202" t="str">
            <v>UNIVERSIDAD COOPERATIVA DE COLOMBIA</v>
          </cell>
          <cell r="D4202" t="str">
            <v>3112781877</v>
          </cell>
          <cell r="E4202" t="str">
            <v>facturacion@estiloingenieria.com</v>
          </cell>
          <cell r="F4202" t="str">
            <v>Avenida Caracas No. 37 63</v>
          </cell>
          <cell r="G4202">
            <v>50001</v>
          </cell>
        </row>
        <row r="4203">
          <cell r="A4203" t="str">
            <v>860078828</v>
          </cell>
          <cell r="B4203" t="str">
            <v>7</v>
          </cell>
          <cell r="C4203" t="str">
            <v>COMPAÑIA DE MEDICINA PREPAGADA COLSANITAS S.A.</v>
          </cell>
          <cell r="D4203" t="str">
            <v>6466060</v>
          </cell>
          <cell r="E4203" t="str">
            <v>facturacionadministrativamp@fe.keralty.com</v>
          </cell>
          <cell r="F4203" t="str">
            <v>CALLE 100  11 B  67</v>
          </cell>
          <cell r="G4203">
            <v>50001</v>
          </cell>
        </row>
        <row r="4204">
          <cell r="A4204" t="str">
            <v>890304099</v>
          </cell>
          <cell r="B4204" t="str">
            <v>3</v>
          </cell>
          <cell r="C4204" t="str">
            <v>HOTELES ESTELAR S.A.</v>
          </cell>
          <cell r="D4204" t="str">
            <v>3173633899</v>
          </cell>
          <cell r="E4204" t="str">
            <v>feproveedoroficinaprincipal@hotelesestelar.com</v>
          </cell>
          <cell r="F4204" t="str">
            <v>AVENIDA COLOMBIA  2  72</v>
          </cell>
          <cell r="G4204">
            <v>50001</v>
          </cell>
        </row>
        <row r="4205">
          <cell r="A4205" t="str">
            <v>892000146</v>
          </cell>
          <cell r="B4205" t="str">
            <v>3</v>
          </cell>
          <cell r="C4205" t="str">
            <v>CAJA DE COMPENSACION FAMILIAR COFREM</v>
          </cell>
          <cell r="D4205" t="str">
            <v>6822743</v>
          </cell>
          <cell r="E4205" t="str">
            <v>facturaelectronica@cofrem.com.co</v>
          </cell>
          <cell r="F4205" t="str">
            <v>AVENIDA 40  35 A  19</v>
          </cell>
          <cell r="G4205">
            <v>50001</v>
          </cell>
        </row>
        <row r="4206">
          <cell r="A4206" t="str">
            <v>900156200</v>
          </cell>
          <cell r="B4206" t="str">
            <v>1</v>
          </cell>
          <cell r="C4206" t="str">
            <v>CONSTRUCTORA GARCIA E HIJOS S.A.S</v>
          </cell>
          <cell r="D4206" t="str">
            <v>6 0 8 6 7 1 3 0 4 8</v>
          </cell>
          <cell r="E4206" t="str">
            <v>garvasec@hotmail.com</v>
          </cell>
          <cell r="F4206" t="str">
            <v>CR 39 C 29 C 15 OF 402 CC LLANOCENTRO</v>
          </cell>
          <cell r="G4206">
            <v>50001</v>
          </cell>
        </row>
        <row r="4207">
          <cell r="A4207" t="str">
            <v>900458521</v>
          </cell>
          <cell r="B4207" t="str">
            <v>7</v>
          </cell>
          <cell r="C4207" t="str">
            <v>TERRAZAS DEL CAUDAL</v>
          </cell>
          <cell r="D4207" t="str">
            <v>6640248</v>
          </cell>
          <cell r="E4207" t="str">
            <v>terrazasdelcaudal.1@gmail.com</v>
          </cell>
          <cell r="F4207" t="str">
            <v>CARRERA 28  47  20</v>
          </cell>
          <cell r="G4207">
            <v>50001</v>
          </cell>
        </row>
        <row r="4208">
          <cell r="A4208" t="str">
            <v>900647364</v>
          </cell>
          <cell r="B4208" t="str">
            <v>8</v>
          </cell>
          <cell r="C4208" t="str">
            <v>EDIFICIO SAN SILVESTRE</v>
          </cell>
          <cell r="D4208" t="str">
            <v>3165273789</v>
          </cell>
          <cell r="E4208" t="str">
            <v>edificio.san.silvestre.villavo@gmail.com</v>
          </cell>
          <cell r="F4208" t="str">
            <v>CALLE 3 SUR  18  45</v>
          </cell>
          <cell r="G4208">
            <v>50001</v>
          </cell>
        </row>
        <row r="4209">
          <cell r="A4209" t="str">
            <v>900689584</v>
          </cell>
          <cell r="B4209" t="str">
            <v>1</v>
          </cell>
          <cell r="C4209" t="str">
            <v>EDIFICIO TORRES DE MARSELLA</v>
          </cell>
          <cell r="D4209">
            <v>3219664011</v>
          </cell>
          <cell r="E4209" t="str">
            <v>edificiotorresdemarsella@gmail.com</v>
          </cell>
          <cell r="F4209" t="str">
            <v>CALLE 44  48  12</v>
          </cell>
          <cell r="G4209">
            <v>50001</v>
          </cell>
        </row>
        <row r="4210">
          <cell r="A4210" t="str">
            <v>900710093</v>
          </cell>
          <cell r="B4210" t="str">
            <v>6</v>
          </cell>
          <cell r="C4210" t="str">
            <v>EDIFICIO TERRAZAS DEL CAUDAL 2</v>
          </cell>
          <cell r="D4210" t="str">
            <v>6640248</v>
          </cell>
          <cell r="E4210" t="str">
            <v>admonterrazasdelcaudal2@hotmail.com</v>
          </cell>
          <cell r="F4210" t="str">
            <v>CALLE 48  28  55</v>
          </cell>
          <cell r="G4210">
            <v>50001</v>
          </cell>
        </row>
        <row r="4211">
          <cell r="A4211" t="str">
            <v>901061783</v>
          </cell>
          <cell r="B4211" t="str">
            <v>8</v>
          </cell>
          <cell r="C4211" t="str">
            <v>CONJUNTO RESIDENCIAL CANAGUAY - HACIENDA ROSA BLANCA</v>
          </cell>
          <cell r="D4211" t="str">
            <v>3213136733</v>
          </cell>
          <cell r="E4211" t="str">
            <v>canaguayrosablanca@gmail.com</v>
          </cell>
          <cell r="F4211" t="str">
            <v>CR 40 SUR 5A 271</v>
          </cell>
          <cell r="G4211">
            <v>50001</v>
          </cell>
        </row>
        <row r="4212">
          <cell r="A4212" t="str">
            <v>901127794</v>
          </cell>
          <cell r="B4212" t="str">
            <v>4</v>
          </cell>
          <cell r="C4212" t="str">
            <v>CONDOMINIO SAN SILVESTRE II</v>
          </cell>
          <cell r="D4212" t="str">
            <v>3214351915</v>
          </cell>
          <cell r="E4212" t="str">
            <v>sansilvestredos@gmail.com</v>
          </cell>
          <cell r="F4212" t="str">
            <v>CALLE 3 SUR  14  26</v>
          </cell>
          <cell r="G4212">
            <v>50001</v>
          </cell>
        </row>
        <row r="4213">
          <cell r="A4213" t="str">
            <v>901179015</v>
          </cell>
          <cell r="B4213" t="str">
            <v>8</v>
          </cell>
          <cell r="C4213" t="str">
            <v>OPERADORA CLINICA AZUL SAS</v>
          </cell>
          <cell r="D4213" t="str">
            <v>5 9 3 8 1 1 1</v>
          </cell>
          <cell r="E4213" t="str">
            <v>FacturaProveedorOperadora@cienogroup.com</v>
          </cell>
          <cell r="F4213" t="str">
            <v>CR 14 93 B 15</v>
          </cell>
          <cell r="G4213">
            <v>50001</v>
          </cell>
        </row>
        <row r="4214">
          <cell r="A4214" t="str">
            <v>901203437</v>
          </cell>
          <cell r="B4214" t="str">
            <v>5</v>
          </cell>
          <cell r="C4214" t="str">
            <v>CONJUNTO RESIDENCIAL LLANO ALTO - PH</v>
          </cell>
          <cell r="D4214" t="str">
            <v>3213136733</v>
          </cell>
          <cell r="E4214" t="str">
            <v>conjuntollanoaltoadmon@gmail.com</v>
          </cell>
          <cell r="F4214" t="str">
            <v>CR 31 ESTE 34 70</v>
          </cell>
          <cell r="G4214">
            <v>50001</v>
          </cell>
        </row>
        <row r="4215">
          <cell r="A4215" t="str">
            <v>901531784</v>
          </cell>
          <cell r="B4215" t="str">
            <v>2</v>
          </cell>
          <cell r="C4215" t="str">
            <v>CONJUNTO RESIDENCIAL LLANO ALTO 2 - PROPIEDAD HORIZONTAL</v>
          </cell>
          <cell r="D4215" t="str">
            <v>321 313 67 33</v>
          </cell>
          <cell r="E4215" t="str">
            <v>llanoaltoadmon2@gmail.com</v>
          </cell>
          <cell r="F4215" t="str">
            <v>CR 32 ESTE 31 55</v>
          </cell>
          <cell r="G4215">
            <v>50001</v>
          </cell>
        </row>
        <row r="4216">
          <cell r="A4216" t="str">
            <v>901803654</v>
          </cell>
          <cell r="B4216" t="str">
            <v>1</v>
          </cell>
          <cell r="C4216" t="str">
            <v>CONJUNTO RESIDENCIAL PASOLLANO 3 - PROPIEDAD HORIZONTAL</v>
          </cell>
          <cell r="D4216" t="str">
            <v>3 2 1 3 1 3 6 7 3 3</v>
          </cell>
          <cell r="E4216" t="str">
            <v>conjuntopasollano3@gmail.com</v>
          </cell>
          <cell r="F4216" t="str">
            <v>DG 8 SUR 41 100</v>
          </cell>
          <cell r="G4216">
            <v>50001</v>
          </cell>
        </row>
        <row r="4217">
          <cell r="A4217" t="str">
            <v>901858759</v>
          </cell>
          <cell r="B4217" t="str">
            <v>2</v>
          </cell>
          <cell r="C4217" t="str">
            <v>EDIFICIO RESIDENCIAL BALCONES DEL CAUDAL RINCON PROPIEDAD HORIZONTAL</v>
          </cell>
          <cell r="D4217" t="str">
            <v>3118279352</v>
          </cell>
          <cell r="E4217" t="str">
            <v>anac_ruiz@hotmail.com</v>
          </cell>
          <cell r="F4217" t="str">
            <v>CR 34 NO. 49 B-11 BRR CAUDAL</v>
          </cell>
          <cell r="G4217">
            <v>50001</v>
          </cell>
        </row>
        <row r="4218">
          <cell r="A4218" t="str">
            <v>901169422</v>
          </cell>
          <cell r="B4218" t="str">
            <v>1</v>
          </cell>
          <cell r="C4218" t="str">
            <v>GRUPO PREFERENCIAL SANAR IPS SAS</v>
          </cell>
          <cell r="D4218" t="str">
            <v>3143324682</v>
          </cell>
          <cell r="E4218" t="str">
            <v>administrativo@gruposanar.com.co</v>
          </cell>
          <cell r="F4218" t="str">
            <v>CR 12 8 51 BRR CENTRO</v>
          </cell>
          <cell r="G4218">
            <v>50568</v>
          </cell>
        </row>
        <row r="4219">
          <cell r="A4219" t="str">
            <v>900151049</v>
          </cell>
          <cell r="B4219" t="str">
            <v>2</v>
          </cell>
          <cell r="C4219" t="str">
            <v>INMOBILIARIA JERMARTINEZ FINCA RAIZ LTDA</v>
          </cell>
          <cell r="D4219" t="str">
            <v>3212426486</v>
          </cell>
          <cell r="E4219" t="str">
            <v>ghsfinancierovcio@gmail.com</v>
          </cell>
          <cell r="F4219" t="str">
            <v>CALLE 31  29  73</v>
          </cell>
          <cell r="G4219">
            <v>50606</v>
          </cell>
        </row>
        <row r="4220">
          <cell r="A4220">
            <v>222222222</v>
          </cell>
          <cell r="B4220" t="str">
            <v/>
          </cell>
          <cell r="C4220" t="str">
            <v>CUANTIAS MENORES</v>
          </cell>
          <cell r="D4220">
            <v>3228184763</v>
          </cell>
          <cell r="E4220" t="str">
            <v>impuestos@estiloingeniera.com</v>
          </cell>
          <cell r="F4220" t="str">
            <v xml:space="preserve">CL 127A 53A 45 TO2 P11 OF1101 </v>
          </cell>
          <cell r="G4220">
            <v>52001</v>
          </cell>
        </row>
        <row r="4221">
          <cell r="A4221" t="str">
            <v>12988375</v>
          </cell>
          <cell r="B4221" t="str">
            <v>0</v>
          </cell>
          <cell r="C4221" t="str">
            <v>ANIBAL GUERRA ZAMBRANO</v>
          </cell>
          <cell r="D4221" t="str">
            <v>3104094053</v>
          </cell>
          <cell r="E4221" t="str">
            <v>anibalg10@hotmail.com</v>
          </cell>
          <cell r="F4221" t="str">
            <v>CRA 36 17 73</v>
          </cell>
          <cell r="G4221">
            <v>52001</v>
          </cell>
        </row>
        <row r="4222">
          <cell r="A4222" t="str">
            <v>30702552</v>
          </cell>
          <cell r="B4222" t="str">
            <v>6</v>
          </cell>
          <cell r="C4222" t="str">
            <v>RUTH DEL CARMEN ROMO ROSERO</v>
          </cell>
          <cell r="D4222" t="str">
            <v>7 3 6 0 4 1 9</v>
          </cell>
          <cell r="E4222" t="str">
            <v>ruckyconejita@hotmail.com</v>
          </cell>
          <cell r="F4222" t="str">
            <v>CL 20 42 A 122 BRR MORASURCO</v>
          </cell>
          <cell r="G4222">
            <v>52001</v>
          </cell>
        </row>
        <row r="4223">
          <cell r="A4223" t="str">
            <v>800020449</v>
          </cell>
          <cell r="B4223" t="str">
            <v>0</v>
          </cell>
          <cell r="C4223" t="str">
            <v>HERMANAS BETHLEMITAS PROVINCIA DEL SAGRADO CORAZON DE JESUS</v>
          </cell>
          <cell r="D4223" t="str">
            <v>2853270</v>
          </cell>
          <cell r="E4223" t="str">
            <v>secretariaadministrativa@bethlemitaspasto.edu.co</v>
          </cell>
          <cell r="F4223" t="str">
            <v>CL 39A 18A 37</v>
          </cell>
          <cell r="G4223">
            <v>52001</v>
          </cell>
        </row>
        <row r="4224">
          <cell r="A4224" t="str">
            <v>860029924</v>
          </cell>
          <cell r="B4224" t="str">
            <v>7</v>
          </cell>
          <cell r="C4224" t="str">
            <v>UNIVERSIDAD COOPERATIVA DE COLOMBIA</v>
          </cell>
          <cell r="D4224" t="str">
            <v>3112781877</v>
          </cell>
          <cell r="E4224" t="str">
            <v>facturacion@estiloingenieria.com</v>
          </cell>
          <cell r="F4224" t="str">
            <v>Avenida Caracas No. 37 63</v>
          </cell>
          <cell r="G4224">
            <v>52001</v>
          </cell>
        </row>
        <row r="4225">
          <cell r="A4225" t="str">
            <v>891224762</v>
          </cell>
          <cell r="B4225" t="str">
            <v>9</v>
          </cell>
          <cell r="C4225" t="str">
            <v>CORPORACION UNIVERSITARIA AUTONOMA DE NARIÑO "AUNAR"</v>
          </cell>
          <cell r="D4225" t="str">
            <v>7226020</v>
          </cell>
          <cell r="E4225" t="str">
            <v>fraelectronica@aunar.edu.co</v>
          </cell>
          <cell r="F4225" t="str">
            <v>CALLE 19  27  80</v>
          </cell>
          <cell r="G4225">
            <v>52001</v>
          </cell>
        </row>
        <row r="4226">
          <cell r="A4226" t="str">
            <v>900304302</v>
          </cell>
          <cell r="B4226" t="str">
            <v>1</v>
          </cell>
          <cell r="C4226" t="str">
            <v>EDIFICIO TERRAZAS DE MORASURSO PROPIEDAD HORIZONTAL</v>
          </cell>
          <cell r="D4226" t="str">
            <v>3003439660</v>
          </cell>
          <cell r="E4226" t="str">
            <v>lourdesyolima@gmail.com</v>
          </cell>
          <cell r="F4226" t="str">
            <v>CARRERA 41  20 A  15</v>
          </cell>
          <cell r="G4226">
            <v>52001</v>
          </cell>
        </row>
        <row r="4227">
          <cell r="A4227" t="str">
            <v>901294742</v>
          </cell>
          <cell r="B4227" t="str">
            <v>6</v>
          </cell>
          <cell r="C4227" t="str">
            <v>EDIFICIO TORRES DE MALAGA PROPIEDAD HORIZONTAL</v>
          </cell>
          <cell r="D4227" t="str">
            <v>3127766277</v>
          </cell>
          <cell r="E4227" t="str">
            <v>edificiotorresmalaga@gmail.com</v>
          </cell>
          <cell r="F4227" t="str">
            <v>CRA 6 18A 130</v>
          </cell>
          <cell r="G4227">
            <v>52001</v>
          </cell>
        </row>
        <row r="4228">
          <cell r="A4228" t="str">
            <v>901652347</v>
          </cell>
          <cell r="B4228" t="str">
            <v>6</v>
          </cell>
          <cell r="C4228" t="str">
            <v>EDIFICIO PREMIUM DE LA AVENIDA PROPIEDAD HORIZONTAL</v>
          </cell>
          <cell r="D4228" t="str">
            <v>3185863328</v>
          </cell>
          <cell r="E4228" t="str">
            <v>maharabravo@hotmail.com</v>
          </cell>
          <cell r="F4228" t="str">
            <v>CL 19 B 36 26</v>
          </cell>
          <cell r="G4228">
            <v>52001</v>
          </cell>
        </row>
        <row r="4229">
          <cell r="A4229">
            <v>222222222</v>
          </cell>
          <cell r="B4229" t="str">
            <v/>
          </cell>
          <cell r="C4229" t="str">
            <v>CUANTIAS MENORES</v>
          </cell>
          <cell r="D4229">
            <v>3228184763</v>
          </cell>
          <cell r="E4229" t="str">
            <v>impuestos@estiloingeniera.com</v>
          </cell>
          <cell r="F4229" t="str">
            <v xml:space="preserve">CL 127A 53A 45 TO2 P11 OF1101 </v>
          </cell>
          <cell r="G4229">
            <v>54001</v>
          </cell>
        </row>
        <row r="4230">
          <cell r="A4230" t="str">
            <v>1090405519</v>
          </cell>
          <cell r="B4230" t="str">
            <v>8</v>
          </cell>
          <cell r="C4230" t="str">
            <v>NAYARITH VANESSA IBARRA ORTEGA</v>
          </cell>
          <cell r="D4230" t="str">
            <v>3012493436</v>
          </cell>
          <cell r="E4230" t="str">
            <v>vanessaibarraortega@hotmail.com</v>
          </cell>
          <cell r="F4230" t="str">
            <v>CL 17 AV 18 E AV DEL RIO URBANIZACION NIZA</v>
          </cell>
          <cell r="G4230">
            <v>54001</v>
          </cell>
        </row>
        <row r="4231">
          <cell r="A4231" t="str">
            <v>13386056</v>
          </cell>
          <cell r="B4231" t="str">
            <v>6</v>
          </cell>
          <cell r="C4231" t="str">
            <v>ELIMELECH PEREZ RODRIGUEZ</v>
          </cell>
          <cell r="D4231" t="str">
            <v>3174233959</v>
          </cell>
          <cell r="E4231" t="str">
            <v>edificiotitanio2008@gmail.com</v>
          </cell>
          <cell r="F4231" t="str">
            <v>CL 29 3 45 AP 402 URB BELLAVISTA ED TITANIO</v>
          </cell>
          <cell r="G4231">
            <v>54001</v>
          </cell>
        </row>
        <row r="4232">
          <cell r="A4232" t="str">
            <v>800012189</v>
          </cell>
          <cell r="B4232" t="str">
            <v>7</v>
          </cell>
          <cell r="C4232" t="str">
            <v>CLINICA SAN JOSE DE CUCUTA S.A.</v>
          </cell>
          <cell r="D4232" t="str">
            <v>5821111</v>
          </cell>
          <cell r="E4232" t="str">
            <v>recepcionfe@clinicasanjosedecucuta.com</v>
          </cell>
          <cell r="F4232" t="str">
            <v>CALLE 13  1 E  74</v>
          </cell>
          <cell r="G4232">
            <v>54001</v>
          </cell>
        </row>
        <row r="4233">
          <cell r="A4233" t="str">
            <v>800165874</v>
          </cell>
          <cell r="B4233" t="str">
            <v>0</v>
          </cell>
          <cell r="C4233" t="str">
            <v>RAMA JUDICIAL DIRECCION SECCIONAL DE ADMINISTRACION JUDICIAL NORTE DE SANTANDER - CUCUTA</v>
          </cell>
          <cell r="D4233">
            <v>3219664011</v>
          </cell>
          <cell r="E4233" t="str">
            <v>siifnacion.facturaelectronica@minhacienda.gov.co</v>
          </cell>
          <cell r="F4233" t="str">
            <v>PALACIO DE JUSTICIA POPULAR  PISO 2</v>
          </cell>
          <cell r="G4233">
            <v>54001</v>
          </cell>
        </row>
        <row r="4234">
          <cell r="A4234" t="str">
            <v>800176890</v>
          </cell>
          <cell r="B4234" t="str">
            <v>6</v>
          </cell>
          <cell r="C4234" t="str">
            <v>CLINICA MEDICO QUIRURGICA S.A.</v>
          </cell>
          <cell r="D4234" t="str">
            <v>5756400</v>
          </cell>
          <cell r="E4234" t="str">
            <v>recepcionfacturaelectronica@cmqcucuta.com</v>
          </cell>
          <cell r="F4234" t="str">
            <v>CALLE 16  0  53</v>
          </cell>
          <cell r="G4234">
            <v>54001</v>
          </cell>
        </row>
        <row r="4235">
          <cell r="A4235" t="str">
            <v>804001890</v>
          </cell>
          <cell r="B4235" t="str">
            <v>1</v>
          </cell>
          <cell r="C4235" t="str">
            <v>UNIVERSIDAD DE SANTANDER</v>
          </cell>
          <cell r="D4235" t="str">
            <v>6 5 1 6 5 0 0</v>
          </cell>
          <cell r="E4235" t="str">
            <v>804001890@factureinbox.co</v>
          </cell>
          <cell r="F4235" t="str">
            <v>CR 29 47 32 BRR SOTOMAYOR</v>
          </cell>
          <cell r="G4235">
            <v>54001</v>
          </cell>
        </row>
        <row r="4236">
          <cell r="A4236" t="str">
            <v>806000591</v>
          </cell>
          <cell r="B4236" t="str">
            <v>5</v>
          </cell>
          <cell r="C4236" t="str">
            <v>ACCORHOTELS COLOMBIA S A</v>
          </cell>
          <cell r="D4236" t="str">
            <v>6363633</v>
          </cell>
          <cell r="E4236" t="str">
            <v>facturacion@estiloingenieria.com</v>
          </cell>
          <cell r="F4236" t="str">
            <v>CR 12A 83 75 OF 502</v>
          </cell>
          <cell r="G4236">
            <v>54001</v>
          </cell>
        </row>
        <row r="4237">
          <cell r="A4237" t="str">
            <v>807002152</v>
          </cell>
          <cell r="B4237" t="str">
            <v>8</v>
          </cell>
          <cell r="C4237" t="str">
            <v>CLINICA OFTALMOLOGICA PEÑARANDA S.A.S</v>
          </cell>
          <cell r="D4237" t="str">
            <v>5717442</v>
          </cell>
          <cell r="E4237" t="str">
            <v>proveedorescop@gmail.com</v>
          </cell>
          <cell r="F4237" t="str">
            <v>CL 17 N 0 88 BRR LA PLAYA</v>
          </cell>
          <cell r="G4237">
            <v>54001</v>
          </cell>
        </row>
        <row r="4238">
          <cell r="A4238" t="str">
            <v>807004110</v>
          </cell>
          <cell r="B4238" t="str">
            <v>8</v>
          </cell>
          <cell r="C4238" t="str">
            <v>CONDOMINIO EDIFICIO EL CARRETERO</v>
          </cell>
          <cell r="D4238" t="str">
            <v>3114771709</v>
          </cell>
          <cell r="E4238" t="str">
            <v>condominioelcarretero@hotmail.com</v>
          </cell>
          <cell r="F4238" t="str">
            <v>CALLE 21  0 B  78</v>
          </cell>
          <cell r="G4238">
            <v>54001</v>
          </cell>
        </row>
        <row r="4239">
          <cell r="A4239" t="str">
            <v>890501434</v>
          </cell>
          <cell r="B4239" t="str">
            <v>2</v>
          </cell>
          <cell r="C4239" t="str">
            <v>MUNICIPIO DE SAN JOSE DE CUCUTA</v>
          </cell>
          <cell r="D4239" t="str">
            <v>3203052033</v>
          </cell>
          <cell r="E4239" t="str">
            <v>contactenos@cucuta-nortedesantander.gov.co</v>
          </cell>
          <cell r="F4239" t="str">
            <v>CALLE 11  5  49</v>
          </cell>
          <cell r="G4239">
            <v>54001</v>
          </cell>
        </row>
        <row r="4240">
          <cell r="A4240" t="str">
            <v>890506038</v>
          </cell>
          <cell r="B4240" t="str">
            <v>1</v>
          </cell>
          <cell r="C4240" t="str">
            <v>PROMOTORA DE INVERSIONES S.A.S. PROINSA</v>
          </cell>
          <cell r="D4240" t="str">
            <v>5740202</v>
          </cell>
          <cell r="E4240" t="str">
            <v>intercambio@getfel.co</v>
          </cell>
          <cell r="F4240" t="str">
            <v>CLL 11 1 E 125 OF 301 BRR QUINTA VELEZ</v>
          </cell>
          <cell r="G4240">
            <v>54001</v>
          </cell>
        </row>
        <row r="4241">
          <cell r="A4241" t="str">
            <v>900168865</v>
          </cell>
          <cell r="B4241" t="str">
            <v>0</v>
          </cell>
          <cell r="C4241" t="str">
            <v>VENTURA PLAZA CENTRO COMERCIAL Y DE NEGOCIOS</v>
          </cell>
          <cell r="D4241" t="str">
            <v>5756194</v>
          </cell>
          <cell r="E4241" t="str">
            <v>facturacion@venturaplaza.com.co</v>
          </cell>
          <cell r="F4241" t="str">
            <v>CALLE 10  25  82</v>
          </cell>
          <cell r="G4241">
            <v>54001</v>
          </cell>
        </row>
        <row r="4242">
          <cell r="A4242" t="str">
            <v>900221080</v>
          </cell>
          <cell r="B4242" t="str">
            <v>2</v>
          </cell>
          <cell r="C4242" t="str">
            <v>CONDOMINIO EDIFICIO ALTAMIRA</v>
          </cell>
          <cell r="D4242" t="str">
            <v>3114771709</v>
          </cell>
          <cell r="E4242" t="str">
            <v>elsuca17@hotmail.com</v>
          </cell>
          <cell r="F4242" t="str">
            <v>AVENIDA 2 ESTE  11 A  20 urb quinta velez</v>
          </cell>
          <cell r="G4242">
            <v>54001</v>
          </cell>
        </row>
        <row r="4243">
          <cell r="A4243" t="str">
            <v>900232060</v>
          </cell>
          <cell r="B4243" t="str">
            <v>2</v>
          </cell>
          <cell r="C4243" t="str">
            <v>CONDOMINIO EDIFICIO GANVI</v>
          </cell>
          <cell r="D4243" t="str">
            <v>3166919575</v>
          </cell>
          <cell r="E4243" t="str">
            <v>danielfaria999@hotmail.com</v>
          </cell>
          <cell r="F4243" t="str">
            <v>CALLE 17  0 E  06</v>
          </cell>
          <cell r="G4243">
            <v>54001</v>
          </cell>
        </row>
        <row r="4244">
          <cell r="A4244" t="str">
            <v>900285656</v>
          </cell>
          <cell r="B4244" t="str">
            <v>9</v>
          </cell>
          <cell r="C4244" t="str">
            <v>CONDOMINIO EDIFICIO MULTIFAMILIAR TERRAZAS DEL PARQUE-PROPIEDAD HORIZONTAL</v>
          </cell>
          <cell r="D4244" t="str">
            <v>3005045451</v>
          </cell>
          <cell r="E4244" t="str">
            <v>gladysmelov@gmail.com</v>
          </cell>
          <cell r="F4244" t="str">
            <v>CALLE 7 A  11 E  67 APARTAMENTO 1</v>
          </cell>
          <cell r="G4244">
            <v>54001</v>
          </cell>
        </row>
        <row r="4245">
          <cell r="A4245" t="str">
            <v>900301770</v>
          </cell>
          <cell r="B4245" t="str">
            <v>1</v>
          </cell>
          <cell r="C4245" t="str">
            <v>NEUROCOOP REHABILITACION FISICA Y MEDICA INTEGRAL S A S</v>
          </cell>
          <cell r="D4245" t="str">
            <v>3002042383</v>
          </cell>
          <cell r="E4245" t="str">
            <v>neurocoop_facturaelectronica@hotmail.com</v>
          </cell>
          <cell r="F4245" t="str">
            <v>CL 14 A   2 E   85</v>
          </cell>
          <cell r="G4245">
            <v>54001</v>
          </cell>
        </row>
        <row r="4246">
          <cell r="A4246" t="str">
            <v>900377870</v>
          </cell>
          <cell r="B4246" t="str">
            <v>4</v>
          </cell>
          <cell r="C4246" t="str">
            <v>CONDOMINIO PLENITUD CONJUNTO B- PROPIEDAD HORIZONTAL</v>
          </cell>
          <cell r="D4246" t="str">
            <v>3102445809</v>
          </cell>
          <cell r="E4246" t="str">
            <v>CONDOMINIOPLENITUDB@HOTMAIL.COM</v>
          </cell>
          <cell r="F4246" t="str">
            <v>CALLE 30  11  40</v>
          </cell>
          <cell r="G4246">
            <v>54001</v>
          </cell>
        </row>
        <row r="4247">
          <cell r="A4247" t="str">
            <v>900431463</v>
          </cell>
          <cell r="B4247" t="str">
            <v>0</v>
          </cell>
          <cell r="C4247" t="str">
            <v>EDIFICIO RIVIERA IMPERIAL PROPIEDAD HORIZONTAL</v>
          </cell>
          <cell r="D4247" t="str">
            <v>3186235727</v>
          </cell>
          <cell r="E4247" t="str">
            <v>edificiorivieraimperial@gmail.com</v>
          </cell>
          <cell r="F4247" t="str">
            <v>CALLE 12  6 A E  82</v>
          </cell>
          <cell r="G4247">
            <v>54001</v>
          </cell>
        </row>
        <row r="4248">
          <cell r="A4248" t="str">
            <v>900452965</v>
          </cell>
          <cell r="B4248" t="str">
            <v>6</v>
          </cell>
          <cell r="C4248" t="str">
            <v>EDIFICIO GAUDI</v>
          </cell>
          <cell r="D4248" t="str">
            <v>3153838458</v>
          </cell>
          <cell r="E4248" t="str">
            <v>condominioedificiogaudi@hotmail.com</v>
          </cell>
          <cell r="F4248" t="str">
            <v>AVENIDA 12 E  5 A  30</v>
          </cell>
          <cell r="G4248">
            <v>54001</v>
          </cell>
        </row>
        <row r="4249">
          <cell r="A4249" t="str">
            <v>900525110</v>
          </cell>
          <cell r="B4249" t="str">
            <v>0</v>
          </cell>
          <cell r="C4249" t="str">
            <v>EDIFICIO EL TULIPAN - PROPIEDAD  HORIZONTAL</v>
          </cell>
          <cell r="D4249" t="str">
            <v>3102096548</v>
          </cell>
          <cell r="E4249" t="str">
            <v>condominiotulipan@hotmail.com</v>
          </cell>
          <cell r="F4249" t="str">
            <v>CALLE 18  4  31</v>
          </cell>
          <cell r="G4249">
            <v>54001</v>
          </cell>
        </row>
        <row r="4250">
          <cell r="A4250" t="str">
            <v>900550154</v>
          </cell>
          <cell r="B4250" t="str">
            <v>1</v>
          </cell>
          <cell r="C4250" t="str">
            <v>EDIFICIO VIVALDI - PROPIEDAD HORIZONTAL-</v>
          </cell>
          <cell r="D4250" t="str">
            <v>3012387950</v>
          </cell>
          <cell r="E4250" t="str">
            <v>edificiovivaldicucuta@hotmail.com</v>
          </cell>
          <cell r="F4250" t="str">
            <v>AVENIDA 1 E  17 A  19</v>
          </cell>
          <cell r="G4250">
            <v>54001</v>
          </cell>
        </row>
        <row r="4251">
          <cell r="A4251" t="str">
            <v>900550169</v>
          </cell>
          <cell r="B4251" t="str">
            <v>1</v>
          </cell>
          <cell r="C4251" t="str">
            <v>CONJUNTO MULTIFAMILIAR CERRADO LA ESTACIÓN P.H.</v>
          </cell>
          <cell r="D4251" t="str">
            <v>3214912928</v>
          </cell>
          <cell r="E4251" t="str">
            <v>conjuntolaestacioncucuta@gmail.com</v>
          </cell>
          <cell r="F4251" t="str">
            <v>CALLE 23 A  1  52</v>
          </cell>
          <cell r="G4251">
            <v>54001</v>
          </cell>
        </row>
        <row r="4252">
          <cell r="A4252" t="str">
            <v>900582280</v>
          </cell>
          <cell r="B4252" t="str">
            <v>7</v>
          </cell>
          <cell r="C4252" t="str">
            <v>CONJUNTO CERRADO LA PRIMAVERA PROPIEDAD HORIZONTAL</v>
          </cell>
          <cell r="D4252" t="str">
            <v>3213121874</v>
          </cell>
          <cell r="E4252" t="str">
            <v>conjunto2023laprimavera@gmail.com</v>
          </cell>
          <cell r="F4252" t="str">
            <v>CALLE 19  15 E  30</v>
          </cell>
          <cell r="G4252">
            <v>54001</v>
          </cell>
        </row>
        <row r="4253">
          <cell r="A4253" t="str">
            <v>900586694</v>
          </cell>
          <cell r="B4253" t="str">
            <v>0</v>
          </cell>
          <cell r="C4253" t="str">
            <v>EDIFICIO MONETT, PROPIEDAD HORIZONTAL</v>
          </cell>
          <cell r="D4253" t="str">
            <v>3214347394</v>
          </cell>
          <cell r="E4253" t="str">
            <v>ascondominiossas@gmail.com</v>
          </cell>
          <cell r="F4253" t="str">
            <v>CALLE 14  2 E  21</v>
          </cell>
          <cell r="G4253">
            <v>54001</v>
          </cell>
        </row>
        <row r="4254">
          <cell r="A4254" t="str">
            <v>900601350</v>
          </cell>
          <cell r="B4254" t="str">
            <v>7</v>
          </cell>
          <cell r="C4254" t="str">
            <v>EDIFICIO ZAFIRO</v>
          </cell>
          <cell r="D4254" t="str">
            <v>3203483087</v>
          </cell>
          <cell r="E4254" t="str">
            <v>hermanosmedrano@hotmail.com</v>
          </cell>
          <cell r="F4254" t="str">
            <v>CALLE 11  6 A E  21</v>
          </cell>
          <cell r="G4254">
            <v>54001</v>
          </cell>
        </row>
        <row r="4255">
          <cell r="A4255" t="str">
            <v>900634856</v>
          </cell>
          <cell r="B4255" t="str">
            <v>3</v>
          </cell>
          <cell r="C4255" t="str">
            <v>CONJUNTO CERRADO TORRES DEL CENTENARIO PROPIEDAD HORIZONTAL</v>
          </cell>
          <cell r="D4255" t="str">
            <v>5725521</v>
          </cell>
          <cell r="E4255" t="str">
            <v>torresdelcentenario@gmail.com</v>
          </cell>
          <cell r="F4255" t="str">
            <v>CALLE 11 A N  11 A E  68</v>
          </cell>
          <cell r="G4255">
            <v>54001</v>
          </cell>
        </row>
        <row r="4256">
          <cell r="A4256" t="str">
            <v>900635068</v>
          </cell>
          <cell r="B4256" t="str">
            <v>0</v>
          </cell>
          <cell r="C4256" t="str">
            <v>EDIFICIO SOHO PROPIEDAD HORIZONTAL</v>
          </cell>
          <cell r="D4256" t="str">
            <v>3184013697</v>
          </cell>
          <cell r="E4256" t="str">
            <v>mlromerochacon@gmail.com</v>
          </cell>
          <cell r="F4256" t="str">
            <v>CL 7 10 E 41 BRR EL COLSAG</v>
          </cell>
          <cell r="G4256">
            <v>54001</v>
          </cell>
        </row>
        <row r="4257">
          <cell r="A4257" t="str">
            <v>900644945</v>
          </cell>
          <cell r="B4257" t="str">
            <v>3</v>
          </cell>
          <cell r="C4257" t="str">
            <v>CONDOMINIO EDIFICIO SAN GIORGIO</v>
          </cell>
          <cell r="D4257" t="str">
            <v>3008397972</v>
          </cell>
          <cell r="E4257" t="str">
            <v>sangiorgio.edificiocolsag@gmail.com</v>
          </cell>
          <cell r="F4257" t="str">
            <v>CALLE 7  9 E  80 BRR COLSAG</v>
          </cell>
          <cell r="G4257">
            <v>54001</v>
          </cell>
        </row>
        <row r="4258">
          <cell r="A4258" t="str">
            <v>900649338</v>
          </cell>
          <cell r="B4258" t="str">
            <v>5</v>
          </cell>
          <cell r="C4258" t="str">
            <v>CONJUNTO CERRADO TORRES DE SANTA INES</v>
          </cell>
          <cell r="D4258" t="str">
            <v>3187143122</v>
          </cell>
          <cell r="E4258" t="str">
            <v>consejoacctsi2021@gmail.com</v>
          </cell>
          <cell r="F4258" t="str">
            <v>CALLE 1 B  2  14</v>
          </cell>
          <cell r="G4258">
            <v>54001</v>
          </cell>
        </row>
        <row r="4259">
          <cell r="A4259" t="str">
            <v>900676628</v>
          </cell>
          <cell r="B4259" t="str">
            <v>0</v>
          </cell>
          <cell r="C4259" t="str">
            <v>EDIFICIO ALTOS DE LOS ROSALES - PROPIEDAD HORIZONTAL</v>
          </cell>
          <cell r="D4259" t="str">
            <v>3103125660</v>
          </cell>
          <cell r="E4259" t="str">
            <v>altosderosales2012@gmail.com</v>
          </cell>
          <cell r="F4259" t="str">
            <v>CALLE 18  2  57</v>
          </cell>
          <cell r="G4259">
            <v>54001</v>
          </cell>
        </row>
        <row r="4260">
          <cell r="A4260" t="str">
            <v>900695212</v>
          </cell>
          <cell r="B4260" t="str">
            <v>1</v>
          </cell>
          <cell r="C4260" t="str">
            <v>CONSTRUYE ESPINOSA S.A.S.</v>
          </cell>
          <cell r="D4260" t="str">
            <v>5972542</v>
          </cell>
          <cell r="E4260" t="str">
            <v>construyeespinosasas@gmail.com</v>
          </cell>
          <cell r="F4260" t="str">
            <v>CC VENTURA PLAZA - CENTRO DE NEGOCIOS OF 3 113</v>
          </cell>
          <cell r="G4260">
            <v>54001</v>
          </cell>
        </row>
        <row r="4261">
          <cell r="A4261" t="str">
            <v>900711085</v>
          </cell>
          <cell r="B4261" t="str">
            <v>1</v>
          </cell>
          <cell r="C4261" t="str">
            <v>EDIFICIO DA VINCI</v>
          </cell>
          <cell r="D4261" t="str">
            <v>3003670974</v>
          </cell>
          <cell r="E4261" t="str">
            <v>carlosramirezcerm@hotmail.com</v>
          </cell>
          <cell r="F4261" t="str">
            <v>CALLE 7  9 E  42</v>
          </cell>
          <cell r="G4261">
            <v>54001</v>
          </cell>
        </row>
        <row r="4262">
          <cell r="A4262" t="str">
            <v>900747599</v>
          </cell>
          <cell r="B4262" t="str">
            <v>0</v>
          </cell>
          <cell r="C4262" t="str">
            <v>INMOBILIARIOS CUFOR S.A.S.</v>
          </cell>
          <cell r="D4262" t="str">
            <v>5751089</v>
          </cell>
          <cell r="E4262" t="str">
            <v>inmobiliarioscufor@gmail.com</v>
          </cell>
          <cell r="F4262" t="str">
            <v>CALLE 10  6 A  45</v>
          </cell>
          <cell r="G4262">
            <v>54001</v>
          </cell>
        </row>
        <row r="4263">
          <cell r="A4263" t="str">
            <v>900753033</v>
          </cell>
          <cell r="B4263" t="str">
            <v>9</v>
          </cell>
          <cell r="C4263" t="str">
            <v>CUCUTA SUITES S A S</v>
          </cell>
          <cell r="D4263" t="str">
            <v>5888007</v>
          </cell>
          <cell r="E4263" t="str">
            <v>tesoreria@csoperador.com</v>
          </cell>
          <cell r="F4263" t="str">
            <v>CL 11A 1 E 132</v>
          </cell>
          <cell r="G4263">
            <v>54001</v>
          </cell>
        </row>
        <row r="4264">
          <cell r="A4264" t="str">
            <v>900758573</v>
          </cell>
          <cell r="B4264" t="str">
            <v>7</v>
          </cell>
          <cell r="C4264" t="str">
            <v>NORDVITAL IPS S.A.S.</v>
          </cell>
          <cell r="D4264" t="str">
            <v>5892750</v>
          </cell>
          <cell r="E4264" t="str">
            <v>facturacionelectronica@nordvitalips.com</v>
          </cell>
          <cell r="F4264" t="str">
            <v>CALLE 15 2E 07 CAOBOS</v>
          </cell>
          <cell r="G4264">
            <v>54001</v>
          </cell>
        </row>
        <row r="4265">
          <cell r="A4265" t="str">
            <v>900810450</v>
          </cell>
          <cell r="B4265" t="str">
            <v>1</v>
          </cell>
          <cell r="C4265" t="str">
            <v>CONJUNTO CERRADO "CONDADO DEL ESTE -PROPIEDAD HORIZONTAL"</v>
          </cell>
          <cell r="D4265" t="str">
            <v>3125594181</v>
          </cell>
          <cell r="E4265" t="str">
            <v>phcucuta@gmail.com</v>
          </cell>
          <cell r="F4265" t="str">
            <v>AVENIDA 8 A C  70  25</v>
          </cell>
          <cell r="G4265">
            <v>54001</v>
          </cell>
        </row>
        <row r="4266">
          <cell r="A4266" t="str">
            <v>900817045</v>
          </cell>
          <cell r="B4266" t="str">
            <v>3</v>
          </cell>
          <cell r="C4266" t="str">
            <v>CONJUNTO CERRADO BILBAO - PROPIEDAD HORIZONTAL</v>
          </cell>
          <cell r="D4266" t="str">
            <v>3165392345</v>
          </cell>
          <cell r="E4266" t="str">
            <v>conjuntocerradobilbaofacturacion@hotmail.com</v>
          </cell>
          <cell r="F4266" t="str">
            <v>AVENIDA 5  1 A  32</v>
          </cell>
          <cell r="G4266">
            <v>54001</v>
          </cell>
        </row>
        <row r="4267">
          <cell r="A4267" t="str">
            <v>900851788</v>
          </cell>
          <cell r="B4267" t="str">
            <v>0</v>
          </cell>
          <cell r="C4267" t="str">
            <v>CONJUNTO CERRADO FRAILEJONES - PROPIEDAD HORIZONTAL</v>
          </cell>
          <cell r="D4267" t="str">
            <v>3134331071</v>
          </cell>
          <cell r="E4267" t="str">
            <v>atencionalclientefrailejones@gmail.com</v>
          </cell>
          <cell r="F4267" t="str">
            <v>AVENIDA 4  18 N  53</v>
          </cell>
          <cell r="G4267">
            <v>54001</v>
          </cell>
        </row>
        <row r="4268">
          <cell r="A4268" t="str">
            <v>900853340</v>
          </cell>
          <cell r="B4268" t="str">
            <v>4</v>
          </cell>
          <cell r="C4268" t="str">
            <v>EDIFICIO NIZA RESERVADO</v>
          </cell>
          <cell r="D4268" t="str">
            <v>5710328</v>
          </cell>
          <cell r="E4268" t="str">
            <v>admonnizareservado@gmail.com</v>
          </cell>
          <cell r="F4268" t="str">
            <v>CALLE 24  18 E  53</v>
          </cell>
          <cell r="G4268">
            <v>54001</v>
          </cell>
        </row>
        <row r="4269">
          <cell r="A4269" t="str">
            <v>900889268</v>
          </cell>
          <cell r="B4269" t="str">
            <v>7</v>
          </cell>
          <cell r="C4269" t="str">
            <v>CONJUNTO CERRADO SANTA CATALINA</v>
          </cell>
          <cell r="D4269" t="str">
            <v>3204263798</v>
          </cell>
          <cell r="E4269" t="str">
            <v>conjuntocerradosantacatalina@gmail.com</v>
          </cell>
          <cell r="F4269" t="str">
            <v>AVENIDA 2  1 A  60</v>
          </cell>
          <cell r="G4269">
            <v>54001</v>
          </cell>
        </row>
        <row r="4270">
          <cell r="A4270" t="str">
            <v>900898065</v>
          </cell>
          <cell r="B4270" t="str">
            <v>7</v>
          </cell>
          <cell r="C4270" t="str">
            <v>CONJUNTO CERRADO TORRES DE PICABIA - PROPIEDAD HORIZONTAL</v>
          </cell>
          <cell r="D4270" t="str">
            <v>3183934529</v>
          </cell>
          <cell r="E4270" t="str">
            <v>elsuca17@hotmail.com</v>
          </cell>
          <cell r="F4270" t="str">
            <v>AVENIDA 18 E  7 N  166</v>
          </cell>
          <cell r="G4270">
            <v>54001</v>
          </cell>
        </row>
        <row r="4271">
          <cell r="A4271" t="str">
            <v>900908891</v>
          </cell>
          <cell r="B4271" t="str">
            <v>9</v>
          </cell>
          <cell r="C4271" t="str">
            <v>CONJUNTO BARCELONA PROPIEDAD HORIZONTAL</v>
          </cell>
          <cell r="D4271">
            <v>3219664011</v>
          </cell>
          <cell r="E4271" t="str">
            <v>cforero220360@gmail.com</v>
          </cell>
          <cell r="F4271" t="str">
            <v>AVENIDA 1 E  1 N  20</v>
          </cell>
          <cell r="G4271">
            <v>54001</v>
          </cell>
        </row>
        <row r="4272">
          <cell r="A4272" t="str">
            <v>900910416</v>
          </cell>
          <cell r="B4272" t="str">
            <v>1</v>
          </cell>
          <cell r="C4272" t="str">
            <v>CONJUNTO CERRADO TORRES DE PORTACHUELO - PROPIEDAD HORIZONTAL</v>
          </cell>
          <cell r="D4272" t="str">
            <v>3004459280</v>
          </cell>
          <cell r="E4272" t="str">
            <v>torresdeportachuelo@gmail.com</v>
          </cell>
          <cell r="F4272" t="str">
            <v>AVENIDA 4 A  12 N  04</v>
          </cell>
          <cell r="G4272">
            <v>54001</v>
          </cell>
        </row>
        <row r="4273">
          <cell r="A4273" t="str">
            <v>900916810</v>
          </cell>
          <cell r="B4273" t="str">
            <v>6</v>
          </cell>
          <cell r="C4273" t="str">
            <v>EDIFICIO PASEO DEL PRADO- PROPIEDAD HORIZONTAL</v>
          </cell>
          <cell r="D4273" t="str">
            <v>3214912928</v>
          </cell>
          <cell r="E4273" t="str">
            <v>edificiopaseodelpradoph@gmail.com</v>
          </cell>
          <cell r="F4273" t="str">
            <v>CALLE 18  0  43</v>
          </cell>
          <cell r="G4273">
            <v>54001</v>
          </cell>
        </row>
        <row r="4274">
          <cell r="A4274" t="str">
            <v>900924145</v>
          </cell>
          <cell r="B4274" t="str">
            <v>1</v>
          </cell>
          <cell r="C4274" t="str">
            <v>CONDOMINIO BOSQUES DEL VENADO</v>
          </cell>
          <cell r="D4274" t="str">
            <v>3112353998</v>
          </cell>
          <cell r="E4274" t="str">
            <v>edificiobosquesdelvenado@hotmail.com</v>
          </cell>
          <cell r="F4274" t="str">
            <v>AVENIDA 1  31  79</v>
          </cell>
          <cell r="G4274">
            <v>54001</v>
          </cell>
        </row>
        <row r="4275">
          <cell r="A4275" t="str">
            <v>900951237</v>
          </cell>
          <cell r="B4275" t="str">
            <v>3</v>
          </cell>
          <cell r="C4275" t="str">
            <v>CONJUNTO CERRADO BONAIRE PROPIEDAD HORIZONTAL</v>
          </cell>
          <cell r="D4275" t="str">
            <v>3183838939</v>
          </cell>
          <cell r="E4275" t="str">
            <v>facturacionbonaire@gmail.com</v>
          </cell>
          <cell r="F4275" t="str">
            <v>CARRERA 11  9  90</v>
          </cell>
          <cell r="G4275">
            <v>54001</v>
          </cell>
        </row>
        <row r="4276">
          <cell r="A4276" t="str">
            <v>900989511</v>
          </cell>
          <cell r="B4276" t="str">
            <v>1</v>
          </cell>
          <cell r="C4276" t="str">
            <v>CONJUNTO A TORRES DE ASTURIAS - PROPIEDAD HORIZONTAL</v>
          </cell>
          <cell r="D4276" t="str">
            <v>3505473113</v>
          </cell>
          <cell r="E4276" t="str">
            <v>torresdeasturias2023@gmail.com</v>
          </cell>
          <cell r="F4276" t="str">
            <v>CALLE 7  18 E  09</v>
          </cell>
          <cell r="G4276">
            <v>54001</v>
          </cell>
        </row>
        <row r="4277">
          <cell r="A4277" t="str">
            <v>901041691</v>
          </cell>
          <cell r="B4277" t="str">
            <v>3</v>
          </cell>
          <cell r="C4277" t="str">
            <v>CENTROS MEDICOS COLSANITAS SAS</v>
          </cell>
          <cell r="D4277" t="str">
            <v>6466060</v>
          </cell>
          <cell r="E4277" t="str">
            <v>recepcioncentrosmedicoscolsanitas@fe.keralty.com</v>
          </cell>
          <cell r="F4277" t="str">
            <v>AV CL 100 11B 67</v>
          </cell>
          <cell r="G4277">
            <v>54001</v>
          </cell>
        </row>
        <row r="4278">
          <cell r="A4278" t="str">
            <v>901056905</v>
          </cell>
          <cell r="B4278" t="str">
            <v>1</v>
          </cell>
          <cell r="C4278" t="str">
            <v>CONJUNTO RESIDENCIAL TORRES DEL BOSQUE PRIMERA ETAPA P H</v>
          </cell>
          <cell r="D4278" t="str">
            <v>3227005035</v>
          </cell>
          <cell r="E4278" t="str">
            <v>conjuntotorresdelbosque@gmail.com</v>
          </cell>
          <cell r="F4278" t="str">
            <v>AVENIDA 7  9 N  63</v>
          </cell>
          <cell r="G4278">
            <v>54001</v>
          </cell>
        </row>
        <row r="4279">
          <cell r="A4279" t="str">
            <v>901093314</v>
          </cell>
          <cell r="B4279" t="str">
            <v>4</v>
          </cell>
          <cell r="C4279" t="str">
            <v>EDIFICIO OPORTO PROPIEDAD HORIZONTAL</v>
          </cell>
          <cell r="D4279" t="str">
            <v>3106971072</v>
          </cell>
          <cell r="E4279" t="str">
            <v>condominioedificiooporto@gmail.com</v>
          </cell>
          <cell r="F4279" t="str">
            <v>CALLE 8 A  9  43</v>
          </cell>
          <cell r="G4279">
            <v>54001</v>
          </cell>
        </row>
        <row r="4280">
          <cell r="A4280" t="str">
            <v>901102148</v>
          </cell>
          <cell r="B4280" t="str">
            <v>8</v>
          </cell>
          <cell r="C4280" t="str">
            <v>CONJUNTO CERRADO AMBAR DEL ESTE - PROPIEDAD HORIZONTAL</v>
          </cell>
          <cell r="D4280" t="str">
            <v>3012897163</v>
          </cell>
          <cell r="E4280" t="str">
            <v>conjuntocambardeleste@gmail.com</v>
          </cell>
          <cell r="F4280" t="str">
            <v>AVENIDA 8  4  99</v>
          </cell>
          <cell r="G4280">
            <v>54001</v>
          </cell>
        </row>
        <row r="4281">
          <cell r="A4281" t="str">
            <v>901108105</v>
          </cell>
          <cell r="B4281" t="str">
            <v>9</v>
          </cell>
          <cell r="C4281" t="str">
            <v>CONJUNTO CERRADO VENTUS - PROPIEDAD HORIZONTAL</v>
          </cell>
          <cell r="D4281" t="str">
            <v>3105670973</v>
          </cell>
          <cell r="E4281" t="str">
            <v>conjuntocerradoventus@gmail.com</v>
          </cell>
          <cell r="F4281" t="str">
            <v>AVENIDA 8  11  46</v>
          </cell>
          <cell r="G4281">
            <v>54001</v>
          </cell>
        </row>
        <row r="4282">
          <cell r="A4282" t="str">
            <v>901112944</v>
          </cell>
          <cell r="B4282" t="str">
            <v>7</v>
          </cell>
          <cell r="C4282" t="str">
            <v>CONDOMINIO CLUB MILANO</v>
          </cell>
          <cell r="D4282" t="str">
            <v>3208397671</v>
          </cell>
          <cell r="E4282" t="str">
            <v>milanocondominioclub04@gmail.com</v>
          </cell>
          <cell r="F4282" t="str">
            <v>CL 44 0A 26 MZ 1 SEC SIERRAS DEL ESTE</v>
          </cell>
          <cell r="G4282">
            <v>54001</v>
          </cell>
        </row>
        <row r="4283">
          <cell r="A4283" t="str">
            <v>901115771</v>
          </cell>
          <cell r="B4283" t="str">
            <v>3</v>
          </cell>
          <cell r="C4283" t="str">
            <v>EDIFICIO IGUAZU PROPIEDAD HORIZONTAL</v>
          </cell>
          <cell r="D4283" t="str">
            <v>3166960481</v>
          </cell>
          <cell r="E4283" t="str">
            <v>edificioiguazuph@hotmail.com</v>
          </cell>
          <cell r="F4283" t="str">
            <v>CALLE 6  10 E  30</v>
          </cell>
          <cell r="G4283">
            <v>54001</v>
          </cell>
        </row>
        <row r="4284">
          <cell r="A4284" t="str">
            <v>901198725</v>
          </cell>
          <cell r="B4284" t="str">
            <v>1</v>
          </cell>
          <cell r="C4284" t="str">
            <v>EDIFICIO DELTA PARK TOWERS - PROPIEDAD HORIZONTAL</v>
          </cell>
          <cell r="D4284" t="str">
            <v>3213124874</v>
          </cell>
          <cell r="E4284" t="str">
            <v>pcardenasinmobiliaria@gmail.com</v>
          </cell>
          <cell r="F4284" t="str">
            <v>AV 2 19 90</v>
          </cell>
          <cell r="G4284">
            <v>54001</v>
          </cell>
        </row>
        <row r="4285">
          <cell r="A4285" t="str">
            <v>901202191</v>
          </cell>
          <cell r="B4285" t="str">
            <v>4</v>
          </cell>
          <cell r="C4285" t="str">
            <v>EDIFICIO DUO</v>
          </cell>
          <cell r="D4285" t="str">
            <v>3177306311</v>
          </cell>
          <cell r="E4285" t="str">
            <v>phedificioduo@gmail.com</v>
          </cell>
          <cell r="F4285" t="str">
            <v>AV 3 57 70</v>
          </cell>
          <cell r="G4285">
            <v>54001</v>
          </cell>
        </row>
        <row r="4286">
          <cell r="A4286" t="str">
            <v>901218725</v>
          </cell>
          <cell r="B4286" t="str">
            <v>7</v>
          </cell>
          <cell r="C4286" t="str">
            <v>CONJUNTO TORRES DE MONSERRAT</v>
          </cell>
          <cell r="D4286" t="str">
            <v>3004459280</v>
          </cell>
          <cell r="E4286" t="str">
            <v>conjuntocerradomonserrat@gmail.com</v>
          </cell>
          <cell r="F4286" t="str">
            <v>LT 2 RESERVA EL PREDIO DEL LOTE B- EL LIMON BRREL ESCOBAL</v>
          </cell>
          <cell r="G4286">
            <v>54001</v>
          </cell>
        </row>
        <row r="4287">
          <cell r="A4287" t="str">
            <v>901233167</v>
          </cell>
          <cell r="B4287" t="str">
            <v>1</v>
          </cell>
          <cell r="C4287" t="str">
            <v>LA NOTA COLOMBIA SAS</v>
          </cell>
          <cell r="D4287" t="str">
            <v>3014011853</v>
          </cell>
          <cell r="E4287" t="str">
            <v>administracion@grupolanota.com</v>
          </cell>
          <cell r="F4287" t="str">
            <v>AV 7 16 A 23 AP 102 BRR EL PARAMO</v>
          </cell>
          <cell r="G4287">
            <v>54001</v>
          </cell>
        </row>
        <row r="4288">
          <cell r="A4288" t="str">
            <v>901248636</v>
          </cell>
          <cell r="B4288" t="str">
            <v>8</v>
          </cell>
          <cell r="C4288" t="str">
            <v>CONJUNTO RESIDENCIAL ALTOS DE SAN JUAN - PROPIEDAD HORIZONTAL</v>
          </cell>
          <cell r="D4288" t="str">
            <v>3208628932</v>
          </cell>
          <cell r="E4288" t="str">
            <v>conjuntoaltosdesanjuan@gmail.com</v>
          </cell>
          <cell r="F4288" t="str">
            <v>CALLE 13 28-40</v>
          </cell>
          <cell r="G4288">
            <v>54001</v>
          </cell>
        </row>
        <row r="4289">
          <cell r="A4289" t="str">
            <v>901262021</v>
          </cell>
          <cell r="B4289" t="str">
            <v>7</v>
          </cell>
          <cell r="C4289" t="str">
            <v>EDIFICIO VERONA</v>
          </cell>
          <cell r="D4289" t="str">
            <v>3003670974</v>
          </cell>
          <cell r="E4289" t="str">
            <v>carlosramirezcerm@hotmail.com</v>
          </cell>
          <cell r="F4289" t="str">
            <v>CL 7 9 E 62</v>
          </cell>
          <cell r="G4289">
            <v>54001</v>
          </cell>
        </row>
        <row r="4290">
          <cell r="A4290" t="str">
            <v>901273213</v>
          </cell>
          <cell r="B4290" t="str">
            <v>1</v>
          </cell>
          <cell r="C4290" t="str">
            <v>CONJUNTO CERRADO ASTURIAS IMPERAL - PROPIEDAD HORIZONTAL</v>
          </cell>
          <cell r="D4290" t="str">
            <v>3012897163</v>
          </cell>
          <cell r="E4290" t="str">
            <v>asturiasimperial@gmail.com</v>
          </cell>
          <cell r="F4290" t="str">
            <v>AV 18 E 7N  75 CON ASTURIAS IMPERIAL</v>
          </cell>
          <cell r="G4290">
            <v>54001</v>
          </cell>
        </row>
        <row r="4291">
          <cell r="A4291" t="str">
            <v>901302390</v>
          </cell>
          <cell r="B4291" t="str">
            <v>2</v>
          </cell>
          <cell r="C4291" t="str">
            <v>CONJUNTO CERRADO BRISAS - PROPIEDAD HORIZONTAL</v>
          </cell>
          <cell r="D4291" t="str">
            <v>3204508517</v>
          </cell>
          <cell r="E4291" t="str">
            <v>brisasconjuntocerrado@gmail.com</v>
          </cell>
          <cell r="F4291" t="str">
            <v>AVENIDA 8 11 150 URB PARQUE RESIDENCIAL BONAVENTO</v>
          </cell>
          <cell r="G4291">
            <v>54001</v>
          </cell>
        </row>
        <row r="4292">
          <cell r="A4292" t="str">
            <v>901338815</v>
          </cell>
          <cell r="B4292" t="str">
            <v>6</v>
          </cell>
          <cell r="C4292" t="str">
            <v>EDIFICIO CEIBA REAL</v>
          </cell>
          <cell r="D4292" t="str">
            <v>3125633151</v>
          </cell>
          <cell r="E4292" t="str">
            <v>edificioceibarealph@gmail.com</v>
          </cell>
          <cell r="F4292" t="str">
            <v>CALLE 2A 1E-67</v>
          </cell>
          <cell r="G4292">
            <v>54001</v>
          </cell>
        </row>
        <row r="4293">
          <cell r="A4293" t="str">
            <v>901479893</v>
          </cell>
          <cell r="B4293" t="str">
            <v>5</v>
          </cell>
          <cell r="C4293" t="str">
            <v>CONJUNTO CERRADO BARLOVENTO</v>
          </cell>
          <cell r="D4293" t="str">
            <v>3005524245</v>
          </cell>
          <cell r="E4293" t="str">
            <v>conjuntocbarlovento2021@gmail.com</v>
          </cell>
          <cell r="F4293" t="str">
            <v>AV 5 BIS 9 97 URB PARQUE RESIDENCIAL BONAVENTO SEC PRADOS DEL ESTE</v>
          </cell>
          <cell r="G4293">
            <v>54001</v>
          </cell>
        </row>
        <row r="4294">
          <cell r="A4294" t="str">
            <v>901509489</v>
          </cell>
          <cell r="B4294" t="str">
            <v>2</v>
          </cell>
          <cell r="C4294" t="str">
            <v>EDIFICIO VIAMONTE APARTAMENTOS - PROPIEDAD HORIZONTAL</v>
          </cell>
          <cell r="D4294" t="str">
            <v>3012792491</v>
          </cell>
          <cell r="E4294" t="str">
            <v>edificioviamontecucuta@hotmail.com</v>
          </cell>
          <cell r="F4294" t="str">
            <v>CALLE 7 11 E 45 BRR. COLSAG</v>
          </cell>
          <cell r="G4294">
            <v>54001</v>
          </cell>
        </row>
        <row r="4295">
          <cell r="A4295" t="str">
            <v>901526147</v>
          </cell>
          <cell r="B4295" t="str">
            <v>0</v>
          </cell>
          <cell r="C4295" t="str">
            <v>CONDOMINIO ROBLES</v>
          </cell>
          <cell r="D4295" t="str">
            <v>3 1 6 6 9 6 0 4 8 1</v>
          </cell>
          <cell r="E4295" t="str">
            <v>conjuntorobles242@gmail.com</v>
          </cell>
          <cell r="F4295" t="str">
            <v>CL 6 9 29 URB ALAMEDA DEL ESTE</v>
          </cell>
          <cell r="G4295">
            <v>54001</v>
          </cell>
        </row>
        <row r="4296">
          <cell r="A4296" t="str">
            <v>901651724</v>
          </cell>
          <cell r="B4296" t="str">
            <v>5</v>
          </cell>
          <cell r="C4296" t="str">
            <v>EDIFICIO NOVA APARTAMENTOS PROPIEDAD HORIZONTAL</v>
          </cell>
          <cell r="D4296" t="str">
            <v>3134758873</v>
          </cell>
          <cell r="E4296" t="str">
            <v>edificionova2023@gmail.com</v>
          </cell>
          <cell r="F4296" t="str">
            <v>CL 9 B N 7 A E 51 BRR GUAIMARAL</v>
          </cell>
          <cell r="G4296">
            <v>54001</v>
          </cell>
        </row>
        <row r="4297">
          <cell r="A4297" t="str">
            <v>901669036</v>
          </cell>
          <cell r="B4297" t="str">
            <v>5</v>
          </cell>
          <cell r="C4297" t="str">
            <v>EDIFICIO NAVIO TOWER</v>
          </cell>
          <cell r="D4297" t="str">
            <v>3118397405</v>
          </cell>
          <cell r="E4297" t="str">
            <v>admnaviotower@gmail.com</v>
          </cell>
          <cell r="F4297" t="str">
            <v>CL 14 2 27 ED NAVIO TOWER BRR SAN LUIS</v>
          </cell>
          <cell r="G4297">
            <v>54001</v>
          </cell>
        </row>
        <row r="4298">
          <cell r="A4298" t="str">
            <v>901761512</v>
          </cell>
          <cell r="B4298" t="str">
            <v>2</v>
          </cell>
          <cell r="C4298" t="str">
            <v>CONJUNTO CERRADO CALLEJAS TORRES</v>
          </cell>
          <cell r="D4298" t="str">
            <v>3 0 0 5 5 2 4 2 4 5</v>
          </cell>
          <cell r="E4298" t="str">
            <v>cccallejastorres2023@gmail.com</v>
          </cell>
          <cell r="F4298" t="str">
            <v>CL 9 6 260 BRR PRADOS DEL ESTE</v>
          </cell>
          <cell r="G4298">
            <v>54001</v>
          </cell>
        </row>
        <row r="4299">
          <cell r="A4299" t="str">
            <v>901783367</v>
          </cell>
          <cell r="B4299" t="str">
            <v>5</v>
          </cell>
          <cell r="C4299" t="str">
            <v>CONDOMINIO GUAYACAN</v>
          </cell>
          <cell r="D4299" t="str">
            <v>3 0 0 5 5 2 4 2 4 5</v>
          </cell>
          <cell r="E4299" t="str">
            <v>cccguayacan2023@gmail.com</v>
          </cell>
          <cell r="F4299" t="str">
            <v>DG 5 9 75 URB URB ALAMEDA DEL ESTE</v>
          </cell>
          <cell r="G4299">
            <v>54001</v>
          </cell>
        </row>
        <row r="4300">
          <cell r="A4300" t="str">
            <v>900273328</v>
          </cell>
          <cell r="B4300" t="str">
            <v>6</v>
          </cell>
          <cell r="C4300" t="str">
            <v>CONDOMINIO EDIFICIO PLATINO</v>
          </cell>
          <cell r="D4300" t="str">
            <v>3112765286</v>
          </cell>
          <cell r="E4300" t="str">
            <v>Breyda2005@hotmail.com</v>
          </cell>
          <cell r="F4300" t="str">
            <v>AVENIDA 8  66  19</v>
          </cell>
          <cell r="G4300">
            <v>54405</v>
          </cell>
        </row>
        <row r="4301">
          <cell r="A4301" t="str">
            <v>900618401</v>
          </cell>
          <cell r="B4301" t="str">
            <v>9</v>
          </cell>
          <cell r="C4301" t="str">
            <v>GRUPO HABITACIONAL EDIFICIO BLUE TOWER Y ADMINISTRADOR</v>
          </cell>
          <cell r="D4301" t="str">
            <v>3102445809</v>
          </cell>
          <cell r="E4301" t="str">
            <v>edificiobluetower@hotmail.com</v>
          </cell>
          <cell r="F4301" t="str">
            <v>CALLE 54 A  6  125</v>
          </cell>
          <cell r="G4301">
            <v>54405</v>
          </cell>
        </row>
        <row r="4302">
          <cell r="A4302" t="str">
            <v>900708791</v>
          </cell>
          <cell r="B4302" t="str">
            <v>2</v>
          </cell>
          <cell r="C4302" t="str">
            <v>CONDOMINIO EDIFICIO SOLAIRE</v>
          </cell>
          <cell r="D4302" t="str">
            <v>3005045451</v>
          </cell>
          <cell r="E4302" t="str">
            <v>solairecondomio@gmail.com</v>
          </cell>
          <cell r="F4302" t="str">
            <v>AVENIDA 3  57  70</v>
          </cell>
          <cell r="G4302">
            <v>54405</v>
          </cell>
        </row>
        <row r="4303">
          <cell r="A4303" t="str">
            <v>900817054</v>
          </cell>
          <cell r="B4303" t="str">
            <v>1</v>
          </cell>
          <cell r="C4303" t="str">
            <v>CONJUNTO CERRADO ALTOS DEL MORAL</v>
          </cell>
          <cell r="D4303">
            <v>3219664011</v>
          </cell>
          <cell r="E4303" t="str">
            <v>conjuntocerradoaltosdelmoral@gmail.com</v>
          </cell>
          <cell r="F4303" t="str">
            <v>CALLE 44  1  32</v>
          </cell>
          <cell r="G4303">
            <v>54405</v>
          </cell>
        </row>
        <row r="4304">
          <cell r="A4304" t="str">
            <v>900859211</v>
          </cell>
          <cell r="B4304" t="str">
            <v>1</v>
          </cell>
          <cell r="C4304" t="str">
            <v>CONJUNTO CERRADO CAMINO LOS ARRAYANES</v>
          </cell>
          <cell r="D4304" t="str">
            <v>3107506983</v>
          </cell>
          <cell r="E4304" t="str">
            <v>conjuntocaminolosarrayanes@gmail.com</v>
          </cell>
          <cell r="F4304" t="str">
            <v>AVENIDA 2 E  12 A  25</v>
          </cell>
          <cell r="G4304">
            <v>54405</v>
          </cell>
        </row>
        <row r="4305">
          <cell r="A4305" t="str">
            <v>900900892</v>
          </cell>
          <cell r="B4305" t="str">
            <v>1</v>
          </cell>
          <cell r="C4305" t="str">
            <v>AGRUPACION RESIDENCIAL EDIFICIO ONIX, PROPIEDAD HORIZONTAL</v>
          </cell>
          <cell r="D4305" t="str">
            <v>3176752510</v>
          </cell>
          <cell r="E4305" t="str">
            <v>Onixconjunto@gmail.com</v>
          </cell>
          <cell r="F4305" t="str">
            <v>CALLE 30  6  39</v>
          </cell>
          <cell r="G4305">
            <v>54405</v>
          </cell>
        </row>
        <row r="4306">
          <cell r="A4306" t="str">
            <v>900989356</v>
          </cell>
          <cell r="B4306" t="str">
            <v>6</v>
          </cell>
          <cell r="C4306" t="str">
            <v>EDIFICIO SAN REMO</v>
          </cell>
          <cell r="D4306" t="str">
            <v>3208397671</v>
          </cell>
          <cell r="E4306" t="str">
            <v>edificiosanremo2021@gmail.com</v>
          </cell>
          <cell r="F4306" t="str">
            <v>AVENIDA 1 A  42 A  12</v>
          </cell>
          <cell r="G4306">
            <v>54405</v>
          </cell>
        </row>
        <row r="4307">
          <cell r="A4307" t="str">
            <v>901102640</v>
          </cell>
          <cell r="B4307" t="str">
            <v>0</v>
          </cell>
          <cell r="C4307" t="str">
            <v>CONJUNTO CERRADO PIEMONTE</v>
          </cell>
          <cell r="D4307" t="str">
            <v>3204508517</v>
          </cell>
          <cell r="E4307" t="str">
            <v>conjuntocerradopiemonte@gmail.com</v>
          </cell>
          <cell r="F4307" t="str">
            <v>CALLE 54 B AVENIDA 8 Y 9</v>
          </cell>
          <cell r="G4307">
            <v>54405</v>
          </cell>
        </row>
        <row r="4308">
          <cell r="A4308" t="str">
            <v>901193085</v>
          </cell>
          <cell r="B4308" t="str">
            <v>1</v>
          </cell>
          <cell r="C4308" t="str">
            <v>CONJUNTO CERRADO MORATTO DE LA FLORESTA</v>
          </cell>
          <cell r="D4308" t="str">
            <v>3134853402</v>
          </cell>
          <cell r="E4308" t="str">
            <v>conjuntomorattodelafloresta@gmail.com</v>
          </cell>
          <cell r="F4308" t="str">
            <v>VTE LA FLORESTA 7 139</v>
          </cell>
          <cell r="G4308">
            <v>54405</v>
          </cell>
        </row>
        <row r="4309">
          <cell r="A4309" t="str">
            <v>901228111</v>
          </cell>
          <cell r="B4309" t="str">
            <v>8</v>
          </cell>
          <cell r="C4309" t="str">
            <v>CONDOMINIO PUERTO MADERO PLATINO</v>
          </cell>
          <cell r="D4309" t="str">
            <v>5497816</v>
          </cell>
          <cell r="E4309" t="str">
            <v>condominiopuertomaderoplatino@gmail.com</v>
          </cell>
          <cell r="F4309" t="str">
            <v>AV 3 N 43 80</v>
          </cell>
          <cell r="G4309">
            <v>54405</v>
          </cell>
        </row>
        <row r="4310">
          <cell r="A4310" t="str">
            <v>901275059</v>
          </cell>
          <cell r="B4310" t="str">
            <v>2</v>
          </cell>
          <cell r="C4310" t="str">
            <v>CONJUNTO MÚNN APARTAMENTOS</v>
          </cell>
          <cell r="D4310" t="str">
            <v>320 839 76 71</v>
          </cell>
          <cell r="E4310" t="str">
            <v>servicioalclientemunn@gmail.com</v>
          </cell>
          <cell r="F4310" t="str">
            <v>AV 10 56 58 CONJ MUNN APARTAMENTOS - LOS CORRALES SEC LA FLORESTA</v>
          </cell>
          <cell r="G4310">
            <v>54405</v>
          </cell>
        </row>
        <row r="4311">
          <cell r="A4311" t="str">
            <v>901367176</v>
          </cell>
          <cell r="B4311" t="str">
            <v>1</v>
          </cell>
          <cell r="C4311" t="str">
            <v>ZULUAGA PATIOS S.A.S.</v>
          </cell>
          <cell r="D4311" t="str">
            <v>3212073002</v>
          </cell>
          <cell r="E4311" t="str">
            <v>luisleonardopr@hotmail.com</v>
          </cell>
          <cell r="F4311" t="str">
            <v xml:space="preserve"> AV. 10 No. 26-30 CENTRO</v>
          </cell>
          <cell r="G4311">
            <v>54405</v>
          </cell>
        </row>
        <row r="4312">
          <cell r="A4312" t="str">
            <v>901372563</v>
          </cell>
          <cell r="B4312" t="str">
            <v>9</v>
          </cell>
          <cell r="C4312" t="str">
            <v>CONJUNTO TIERRALINDA APARTAMENTOS-PROPIEDAD HORIZONTAL</v>
          </cell>
          <cell r="D4312" t="str">
            <v>3204508517</v>
          </cell>
          <cell r="E4312" t="str">
            <v>conjuntotierralindaapartamentosph@hotmail.com</v>
          </cell>
          <cell r="F4312" t="str">
            <v>CL 3 8 117 BRR TIERRA LINDA (I) APARTAMENTOS</v>
          </cell>
          <cell r="G4312">
            <v>54405</v>
          </cell>
        </row>
        <row r="4313">
          <cell r="A4313" t="str">
            <v>901516411</v>
          </cell>
          <cell r="B4313" t="str">
            <v>8</v>
          </cell>
          <cell r="C4313" t="str">
            <v>EDIFFICO S.A.S</v>
          </cell>
          <cell r="D4313" t="str">
            <v>3132792693</v>
          </cell>
          <cell r="E4313" t="str">
            <v>edifficosas@gmail.com</v>
          </cell>
          <cell r="F4313" t="str">
            <v>CL 5 D 11 62 LC 1 BRR KM 8</v>
          </cell>
          <cell r="G4313">
            <v>54405</v>
          </cell>
        </row>
        <row r="4314">
          <cell r="A4314" t="str">
            <v>901610442</v>
          </cell>
          <cell r="B4314" t="str">
            <v>8</v>
          </cell>
          <cell r="C4314" t="str">
            <v>CONJUNTO TUCAN APARTAMENTOS PARQUE RESIDENSIAL</v>
          </cell>
          <cell r="D4314" t="str">
            <v>3005524245</v>
          </cell>
          <cell r="E4314" t="str">
            <v>ctucan2022patios@gmail.com</v>
          </cell>
          <cell r="F4314" t="str">
            <v>AV 1 (!) ANILLO ORIENTAL 23 144 BRR LA CORDIALIDAD</v>
          </cell>
          <cell r="G4314">
            <v>54405</v>
          </cell>
        </row>
        <row r="4315">
          <cell r="A4315" t="str">
            <v>901632883</v>
          </cell>
          <cell r="B4315" t="str">
            <v>7</v>
          </cell>
          <cell r="C4315" t="str">
            <v>CONDOMINIO EDIFICIO DALI P.H.</v>
          </cell>
          <cell r="D4315" t="str">
            <v>3 0 0 4 4 5 9 2 8 0</v>
          </cell>
          <cell r="E4315" t="str">
            <v>gerenciaedificiodali@gmail.com</v>
          </cell>
          <cell r="F4315" t="str">
            <v>AV 3 57 70 LT 19 MZ B CON BUGANBILES BELLA VISTA - LOS PATIOS</v>
          </cell>
          <cell r="G4315">
            <v>54405</v>
          </cell>
        </row>
        <row r="4316">
          <cell r="A4316" t="str">
            <v>901734741</v>
          </cell>
          <cell r="B4316" t="str">
            <v>8</v>
          </cell>
          <cell r="C4316" t="str">
            <v>CONJUNTO CERRADO PATIOS CLUB - PROPIEDAD HORIZONTAL</v>
          </cell>
          <cell r="D4316" t="str">
            <v>3 1 0 4 1 1 4 5 0 1</v>
          </cell>
          <cell r="E4316" t="str">
            <v>patiosclubconjuntocerrado@gmail.com</v>
          </cell>
          <cell r="F4316" t="str">
            <v>CL 5 D 11 62 BRR KILOMETRO 8</v>
          </cell>
          <cell r="G4316">
            <v>54405</v>
          </cell>
        </row>
        <row r="4317">
          <cell r="A4317">
            <v>222222222</v>
          </cell>
          <cell r="B4317" t="str">
            <v/>
          </cell>
          <cell r="C4317" t="str">
            <v>CUANTIAS MENORES</v>
          </cell>
          <cell r="D4317">
            <v>3228184763</v>
          </cell>
          <cell r="E4317" t="str">
            <v>impuestos@estiloingeniera.com</v>
          </cell>
          <cell r="F4317" t="str">
            <v xml:space="preserve">CL 127A 53A 45 TO2 P11 OF1101 </v>
          </cell>
          <cell r="G4317">
            <v>54498</v>
          </cell>
        </row>
        <row r="4318">
          <cell r="A4318" t="str">
            <v>51936573</v>
          </cell>
          <cell r="B4318" t="str">
            <v>1</v>
          </cell>
          <cell r="C4318" t="str">
            <v>LEDY KARINA ROPERO PACHECO</v>
          </cell>
          <cell r="D4318" t="str">
            <v>3174395706</v>
          </cell>
          <cell r="E4318" t="str">
            <v>kropero07@gmail.com</v>
          </cell>
          <cell r="F4318" t="str">
            <v xml:space="preserve"> CALLE 12 16A-65</v>
          </cell>
          <cell r="G4318">
            <v>54498</v>
          </cell>
        </row>
        <row r="4319">
          <cell r="A4319" t="str">
            <v>5466460</v>
          </cell>
          <cell r="B4319" t="str">
            <v>3</v>
          </cell>
          <cell r="C4319" t="str">
            <v>JOSE EUSEBIO VACA TORRADO</v>
          </cell>
          <cell r="D4319" t="str">
            <v>6 0 7 6 8 2 9 4 2 8</v>
          </cell>
          <cell r="E4319" t="str">
            <v>eusebiovaca44@hotmail.com</v>
          </cell>
          <cell r="F4319" t="str">
            <v>CR 27 54 10 AP 2507</v>
          </cell>
          <cell r="G4319">
            <v>54498</v>
          </cell>
        </row>
        <row r="4320">
          <cell r="A4320" t="str">
            <v>88283650</v>
          </cell>
          <cell r="B4320" t="str">
            <v>1</v>
          </cell>
          <cell r="C4320" t="str">
            <v>SAUL PINZON LOPEZ</v>
          </cell>
          <cell r="D4320" t="str">
            <v>310564825</v>
          </cell>
          <cell r="E4320" t="str">
            <v>jairopinzon2012@hotmail.com</v>
          </cell>
          <cell r="F4320" t="str">
            <v>MZ 36 LT 12 AP 3 BRR ZULIMA ET 1</v>
          </cell>
          <cell r="G4320">
            <v>54498</v>
          </cell>
        </row>
        <row r="4321">
          <cell r="A4321" t="str">
            <v>900527925</v>
          </cell>
          <cell r="B4321" t="str">
            <v>5</v>
          </cell>
          <cell r="C4321" t="str">
            <v>SINERGOS SAS</v>
          </cell>
          <cell r="D4321" t="str">
            <v>5691716</v>
          </cell>
          <cell r="E4321" t="str">
            <v>j.r.quintero@hotmail.com</v>
          </cell>
          <cell r="F4321" t="str">
            <v>CL 12 5 75</v>
          </cell>
          <cell r="G4321">
            <v>54498</v>
          </cell>
        </row>
        <row r="4322">
          <cell r="A4322" t="str">
            <v>900779804</v>
          </cell>
          <cell r="B4322" t="str">
            <v>3</v>
          </cell>
          <cell r="C4322" t="str">
            <v>EDIFICIO RESIDENCIAL LAGOS CLUB</v>
          </cell>
          <cell r="D4322">
            <v>3219664011</v>
          </cell>
          <cell r="E4322" t="str">
            <v>linalicethrp@hotmail.com</v>
          </cell>
          <cell r="F4322" t="str">
            <v>BRR EL LAGO TRANSVERSAL 29 1 53</v>
          </cell>
          <cell r="G4322">
            <v>54498</v>
          </cell>
        </row>
        <row r="4323">
          <cell r="A4323" t="str">
            <v>900962483</v>
          </cell>
          <cell r="B4323" t="str">
            <v>6</v>
          </cell>
          <cell r="C4323" t="str">
            <v>CONSTRUCTORA ARDICO S.A.S</v>
          </cell>
          <cell r="D4323" t="str">
            <v>3218424234</v>
          </cell>
          <cell r="E4323" t="str">
            <v>constructoraardicosas@gmail.com</v>
          </cell>
          <cell r="F4323" t="str">
            <v>CALLE 12  13  19  OFICINA 211</v>
          </cell>
          <cell r="G4323">
            <v>54498</v>
          </cell>
        </row>
        <row r="4324">
          <cell r="A4324" t="str">
            <v>901065883</v>
          </cell>
          <cell r="B4324" t="str">
            <v>4</v>
          </cell>
          <cell r="C4324" t="str">
            <v>INVERSIONES INMOBILIARIA DUQUE S.A.S</v>
          </cell>
          <cell r="D4324" t="str">
            <v>3 1 8 2 0 1 2 9 0 4</v>
          </cell>
          <cell r="E4324" t="str">
            <v>compraventaduque@gmail.com</v>
          </cell>
          <cell r="F4324" t="str">
            <v>CR 27 A 40 39 LC 40 43 CON NIZA BRR MEJORAS PUBLICAS</v>
          </cell>
          <cell r="G4324">
            <v>54498</v>
          </cell>
        </row>
        <row r="4325">
          <cell r="A4325" t="str">
            <v>901074425</v>
          </cell>
          <cell r="B4325" t="str">
            <v>2</v>
          </cell>
          <cell r="C4325" t="str">
            <v>EDIFICIO COMERCIAL SANTA MARIA</v>
          </cell>
          <cell r="D4325" t="str">
            <v>3004773407</v>
          </cell>
          <cell r="E4325" t="str">
            <v>edificiosantamariaocana@gmail.com</v>
          </cell>
          <cell r="F4325" t="str">
            <v>CALLE 10  11  91</v>
          </cell>
          <cell r="G4325">
            <v>54498</v>
          </cell>
        </row>
        <row r="4326">
          <cell r="A4326" t="str">
            <v>901123512</v>
          </cell>
          <cell r="B4326" t="str">
            <v>6</v>
          </cell>
          <cell r="C4326" t="str">
            <v>EDIFICIO MIXTO AURA EVA</v>
          </cell>
          <cell r="D4326" t="str">
            <v>3182732950</v>
          </cell>
          <cell r="E4326" t="str">
            <v>auraevaedificiomixto@outlook.es</v>
          </cell>
          <cell r="F4326" t="str">
            <v>CALLE 7  21 A  04</v>
          </cell>
          <cell r="G4326">
            <v>54498</v>
          </cell>
        </row>
        <row r="4327">
          <cell r="A4327" t="str">
            <v>901133777</v>
          </cell>
          <cell r="B4327" t="str">
            <v>3</v>
          </cell>
          <cell r="C4327" t="str">
            <v>EDIFICIO MIXTO BULEVAR PLAZA</v>
          </cell>
          <cell r="D4327" t="str">
            <v>3004773407</v>
          </cell>
          <cell r="E4327" t="str">
            <v>bulevarplazaph@hotmail.com</v>
          </cell>
          <cell r="F4327" t="str">
            <v>CALLE 11  21  15</v>
          </cell>
          <cell r="G4327">
            <v>54498</v>
          </cell>
        </row>
        <row r="4328">
          <cell r="A4328" t="str">
            <v>901177176</v>
          </cell>
          <cell r="B4328" t="str">
            <v>6</v>
          </cell>
          <cell r="C4328" t="str">
            <v>EDIFICIO RESIDENCIAL VALENCIA</v>
          </cell>
          <cell r="D4328" t="str">
            <v>3164713255</v>
          </cell>
          <cell r="E4328" t="str">
            <v>edificiovalencia000@gmail.com</v>
          </cell>
          <cell r="F4328" t="str">
            <v>CL 8 29  163</v>
          </cell>
          <cell r="G4328">
            <v>54498</v>
          </cell>
        </row>
        <row r="4329">
          <cell r="A4329" t="str">
            <v>901216727</v>
          </cell>
          <cell r="B4329" t="str">
            <v>2</v>
          </cell>
          <cell r="C4329" t="str">
            <v>CONJUNTO CERRADO MIXTO DENOMINADO URBANIZACION PARQUE 34</v>
          </cell>
          <cell r="D4329" t="str">
            <v>3163343385</v>
          </cell>
          <cell r="E4329" t="str">
            <v>conjuntoparque34@gmail.com</v>
          </cell>
          <cell r="F4329" t="str">
            <v>CR 34 11 94 BR BUENOS AIRES</v>
          </cell>
          <cell r="G4329">
            <v>54498</v>
          </cell>
        </row>
        <row r="4330">
          <cell r="A4330" t="str">
            <v>901501206</v>
          </cell>
          <cell r="B4330" t="str">
            <v>9</v>
          </cell>
          <cell r="C4330" t="str">
            <v>PROPIEDAD HORIZONTAL EDIFICIO MIXTO BETHEL</v>
          </cell>
          <cell r="D4330" t="str">
            <v>3 1 7 4 6 2 3 6 9 8</v>
          </cell>
          <cell r="E4330" t="str">
            <v>edificiomixtobethel@hotmail.com</v>
          </cell>
          <cell r="F4330" t="str">
            <v>CR 11 11 57 BRR CENTRO</v>
          </cell>
          <cell r="G4330">
            <v>54498</v>
          </cell>
        </row>
        <row r="4331">
          <cell r="A4331" t="str">
            <v>901505533</v>
          </cell>
          <cell r="B4331" t="str">
            <v>0</v>
          </cell>
          <cell r="C4331" t="str">
            <v>EDIFICIO RESIDENCIAL TORRE ISA</v>
          </cell>
          <cell r="D4331" t="str">
            <v>3175736859</v>
          </cell>
          <cell r="E4331" t="str">
            <v>jolegar26@gmail.com</v>
          </cell>
          <cell r="F4331" t="str">
            <v>CL 2 28B 81 BRR LOS LAGOS</v>
          </cell>
          <cell r="G4331">
            <v>54498</v>
          </cell>
        </row>
        <row r="4332">
          <cell r="A4332" t="str">
            <v>901568925</v>
          </cell>
          <cell r="B4332" t="str">
            <v>4</v>
          </cell>
          <cell r="C4332" t="str">
            <v>CONSTRUORTIZ 2022 S.A.S</v>
          </cell>
          <cell r="D4332" t="str">
            <v>3 1 1 2 8 1 7 5 9 2</v>
          </cell>
          <cell r="E4332" t="str">
            <v>construortiz22@gmail.com</v>
          </cell>
          <cell r="F4332" t="str">
            <v>CL 27 7 50</v>
          </cell>
          <cell r="G4332">
            <v>54498</v>
          </cell>
        </row>
        <row r="4333">
          <cell r="A4333" t="str">
            <v>901113182</v>
          </cell>
          <cell r="B4333" t="str">
            <v>6</v>
          </cell>
          <cell r="C4333" t="str">
            <v>CONJUNTO RESIDENCIAL MARANTA</v>
          </cell>
          <cell r="D4333" t="str">
            <v>3158757979</v>
          </cell>
          <cell r="E4333" t="str">
            <v>conjuntomaranta@hotmail.com</v>
          </cell>
          <cell r="F4333" t="str">
            <v>CALLE 12  3  59</v>
          </cell>
          <cell r="G4333">
            <v>54874</v>
          </cell>
        </row>
        <row r="4334">
          <cell r="A4334">
            <v>222222222</v>
          </cell>
          <cell r="B4334" t="str">
            <v/>
          </cell>
          <cell r="C4334" t="str">
            <v>CUANTIAS MENORES</v>
          </cell>
          <cell r="D4334">
            <v>3228184763</v>
          </cell>
          <cell r="E4334" t="str">
            <v>impuestos@estiloingeniera.com</v>
          </cell>
          <cell r="F4334" t="str">
            <v xml:space="preserve">CL 127A 53A 45 TO2 P11 OF1101 </v>
          </cell>
          <cell r="G4334">
            <v>63001</v>
          </cell>
        </row>
        <row r="4335">
          <cell r="A4335" t="str">
            <v>800135582</v>
          </cell>
          <cell r="B4335" t="str">
            <v>7</v>
          </cell>
          <cell r="C4335" t="str">
            <v>FUNDACION ALEJANDRO LONDOÑO</v>
          </cell>
          <cell r="D4335" t="str">
            <v>3105193539</v>
          </cell>
          <cell r="E4335" t="str">
            <v>financiero@fundacional.org</v>
          </cell>
          <cell r="F4335" t="str">
            <v>CARRERA 15 # 1N-49</v>
          </cell>
          <cell r="G4335">
            <v>63001</v>
          </cell>
        </row>
        <row r="4336">
          <cell r="A4336" t="str">
            <v>800165939</v>
          </cell>
          <cell r="B4336" t="str">
            <v>0</v>
          </cell>
          <cell r="C4336" t="str">
            <v>DIRECCION SECCIONAL DE ADMINISTRACION JUDICIAL DE ARMENIA QUINDIO</v>
          </cell>
          <cell r="D4336" t="str">
            <v>7440597</v>
          </cell>
          <cell r="E4336" t="str">
            <v xml:space="preserve">	siifnacion.facturaelectronica@minhacienda.gov.co</v>
          </cell>
          <cell r="F4336" t="str">
            <v>CARRERA 12  20  63 PISO 4</v>
          </cell>
          <cell r="G4336">
            <v>63001</v>
          </cell>
        </row>
        <row r="4337">
          <cell r="A4337" t="str">
            <v>800178729</v>
          </cell>
          <cell r="B4337" t="str">
            <v>7</v>
          </cell>
          <cell r="C4337" t="str">
            <v>EDIFICIO MONTEBELLO PROPIEDAD HORIZONTAL</v>
          </cell>
          <cell r="D4337" t="str">
            <v>3174959360</v>
          </cell>
          <cell r="E4337" t="str">
            <v>facturacion@estiloingenieria.com</v>
          </cell>
          <cell r="F4337" t="str">
            <v>CARRERA 10  12 N  31</v>
          </cell>
          <cell r="G4337">
            <v>63001</v>
          </cell>
        </row>
        <row r="4338">
          <cell r="A4338" t="str">
            <v>800195467</v>
          </cell>
          <cell r="B4338" t="str">
            <v>4</v>
          </cell>
          <cell r="C4338" t="str">
            <v>EDIFICIO SAN JORGE PROPIEDAD HORIZONTAL</v>
          </cell>
          <cell r="D4338" t="str">
            <v>7494722</v>
          </cell>
          <cell r="E4338" t="str">
            <v>ingjlmosquera@hotmail.com</v>
          </cell>
          <cell r="F4338" t="str">
            <v>CARRERA 13  16 N  12</v>
          </cell>
          <cell r="G4338">
            <v>63001</v>
          </cell>
        </row>
        <row r="4339">
          <cell r="A4339" t="str">
            <v>800205390</v>
          </cell>
          <cell r="B4339" t="str">
            <v>0</v>
          </cell>
          <cell r="C4339" t="str">
            <v>EDIFICIO LOS NEVADOS</v>
          </cell>
          <cell r="D4339" t="str">
            <v>3113112577</v>
          </cell>
          <cell r="E4339" t="str">
            <v>mariarocio1956@hotmail.com</v>
          </cell>
          <cell r="F4339" t="str">
            <v>CALLE 15  9 NORTE  66</v>
          </cell>
          <cell r="G4339">
            <v>63001</v>
          </cell>
        </row>
        <row r="4340">
          <cell r="A4340" t="str">
            <v>800217385</v>
          </cell>
          <cell r="B4340" t="str">
            <v>5</v>
          </cell>
          <cell r="C4340" t="str">
            <v>EDIFICIO CAMARA DE COMERCIO</v>
          </cell>
          <cell r="D4340" t="str">
            <v>7412158</v>
          </cell>
          <cell r="E4340" t="str">
            <v>r.facturasedif@gmail.com</v>
          </cell>
          <cell r="F4340" t="str">
            <v>CARRERA 14  23  15</v>
          </cell>
          <cell r="G4340">
            <v>63001</v>
          </cell>
        </row>
        <row r="4341">
          <cell r="A4341" t="str">
            <v>800218362</v>
          </cell>
          <cell r="B4341" t="str">
            <v>0</v>
          </cell>
          <cell r="C4341" t="str">
            <v>EDIFICIO TORRE ALHAMBRA</v>
          </cell>
          <cell r="D4341" t="str">
            <v>3104517194</v>
          </cell>
          <cell r="E4341" t="str">
            <v>torrealhambraedificio@gmail.com</v>
          </cell>
          <cell r="F4341" t="str">
            <v>CARRERA 13  1 NORTE  10</v>
          </cell>
          <cell r="G4341">
            <v>63001</v>
          </cell>
        </row>
        <row r="4342">
          <cell r="A4342" t="str">
            <v>800219615</v>
          </cell>
          <cell r="B4342" t="str">
            <v>3</v>
          </cell>
          <cell r="C4342" t="str">
            <v>EDIFICIO PORTOBELO</v>
          </cell>
          <cell r="D4342" t="str">
            <v>3155909421</v>
          </cell>
          <cell r="E4342" t="str">
            <v>edificioportobeloph@gmail.com</v>
          </cell>
          <cell r="F4342" t="str">
            <v>CALLE 10 NORTE  14  27</v>
          </cell>
          <cell r="G4342">
            <v>63001</v>
          </cell>
        </row>
        <row r="4343">
          <cell r="A4343" t="str">
            <v>800224877</v>
          </cell>
          <cell r="B4343" t="str">
            <v>6</v>
          </cell>
          <cell r="C4343" t="str">
            <v>CENTRO COMERCIAL I.B.G. LTDA</v>
          </cell>
          <cell r="D4343">
            <v>3219664011</v>
          </cell>
          <cell r="E4343" t="str">
            <v>centrocomercialibg@hotmail.com</v>
          </cell>
          <cell r="F4343" t="str">
            <v>CARRERA 14  18  56 LOCAL 41</v>
          </cell>
          <cell r="G4343">
            <v>63001</v>
          </cell>
        </row>
        <row r="4344">
          <cell r="A4344" t="str">
            <v>800236302</v>
          </cell>
          <cell r="B4344" t="str">
            <v>5</v>
          </cell>
          <cell r="C4344" t="str">
            <v>EDIFICIO TORRE VERSALLES</v>
          </cell>
          <cell r="D4344" t="str">
            <v>7452822</v>
          </cell>
          <cell r="E4344" t="str">
            <v>blankis60@hotmail.com</v>
          </cell>
          <cell r="F4344" t="str">
            <v>CARRERA 11 A  12 NORTE  73</v>
          </cell>
          <cell r="G4344">
            <v>63001</v>
          </cell>
        </row>
        <row r="4345">
          <cell r="A4345" t="str">
            <v>800240349</v>
          </cell>
          <cell r="B4345" t="str">
            <v>6</v>
          </cell>
          <cell r="C4345" t="str">
            <v>EDIFICIO MADRIGALES DEL PARQUE</v>
          </cell>
          <cell r="D4345" t="str">
            <v>3148819844</v>
          </cell>
          <cell r="E4345" t="str">
            <v>facturacion@estiloingenieria.com</v>
          </cell>
          <cell r="F4345" t="str">
            <v>CARRERA 13 A  1 A  39</v>
          </cell>
          <cell r="G4345">
            <v>63001</v>
          </cell>
        </row>
        <row r="4346">
          <cell r="A4346" t="str">
            <v>800251262</v>
          </cell>
          <cell r="B4346" t="str">
            <v>1</v>
          </cell>
          <cell r="C4346" t="str">
            <v>EDIFICIO CENTRO COMERCIAL FIRENZE</v>
          </cell>
          <cell r="D4346" t="str">
            <v>3128376859</v>
          </cell>
          <cell r="E4346" t="str">
            <v>edificiofirenze1995@yahoo.com</v>
          </cell>
          <cell r="F4346" t="str">
            <v>CARRERA 15  18  42</v>
          </cell>
          <cell r="G4346">
            <v>63001</v>
          </cell>
        </row>
        <row r="4347">
          <cell r="A4347" t="str">
            <v>800252042</v>
          </cell>
          <cell r="B4347" t="str">
            <v>2</v>
          </cell>
          <cell r="C4347" t="str">
            <v>EDIFICIO TARANTELLA</v>
          </cell>
          <cell r="D4347" t="str">
            <v>7457730</v>
          </cell>
          <cell r="E4347" t="str">
            <v>tarantellafacturacion@gmail.com</v>
          </cell>
          <cell r="F4347" t="str">
            <v>CARRERA 14  9  18</v>
          </cell>
          <cell r="G4347">
            <v>63001</v>
          </cell>
        </row>
        <row r="4348">
          <cell r="A4348" t="str">
            <v>801000120</v>
          </cell>
          <cell r="B4348" t="str">
            <v>1</v>
          </cell>
          <cell r="C4348" t="str">
            <v>EDIFICIO TORRE ALICANTE PROPIEDAD HORIZONTAL</v>
          </cell>
          <cell r="D4348" t="str">
            <v>3128415450</v>
          </cell>
          <cell r="E4348" t="str">
            <v>torrealicanteedificio@gmail.com</v>
          </cell>
          <cell r="F4348" t="str">
            <v>CARRERA 11  12 NORTE  60</v>
          </cell>
          <cell r="G4348">
            <v>63001</v>
          </cell>
        </row>
        <row r="4349">
          <cell r="A4349" t="str">
            <v>801000209</v>
          </cell>
          <cell r="B4349" t="str">
            <v>8</v>
          </cell>
          <cell r="C4349" t="str">
            <v>CENTRO COMERCIAL Y RESIDENCIAL EL BOSQUE</v>
          </cell>
          <cell r="D4349" t="str">
            <v>7497985</v>
          </cell>
          <cell r="E4349" t="str">
            <v>ccyrelbosque@gmail.com</v>
          </cell>
          <cell r="F4349" t="str">
            <v>CARRERA 14  14 N  80</v>
          </cell>
          <cell r="G4349">
            <v>63001</v>
          </cell>
        </row>
        <row r="4350">
          <cell r="A4350" t="str">
            <v>801000361</v>
          </cell>
          <cell r="B4350" t="str">
            <v>1</v>
          </cell>
          <cell r="C4350" t="str">
            <v>EDIFICIO ALCAZARES  PROPIEDAD HORIZONTAL</v>
          </cell>
          <cell r="D4350" t="str">
            <v>3166068372</v>
          </cell>
          <cell r="E4350" t="str">
            <v>edificioalcazares1@hotmail.com</v>
          </cell>
          <cell r="F4350" t="str">
            <v>CALLE 4 NORTE  13  43</v>
          </cell>
          <cell r="G4350">
            <v>63001</v>
          </cell>
        </row>
        <row r="4351">
          <cell r="A4351" t="str">
            <v>801000475</v>
          </cell>
          <cell r="B4351" t="str">
            <v>0</v>
          </cell>
          <cell r="C4351" t="str">
            <v>EDIFICIO CENTRO COMERCIAL I.B.G. PROPIEDAD HORIZONTAL</v>
          </cell>
          <cell r="D4351" t="str">
            <v>7413920</v>
          </cell>
          <cell r="E4351" t="str">
            <v>contabilidadibg@hotmail.com</v>
          </cell>
          <cell r="F4351" t="str">
            <v>CARRERA 14  19  25</v>
          </cell>
          <cell r="G4351">
            <v>63001</v>
          </cell>
        </row>
        <row r="4352">
          <cell r="A4352" t="str">
            <v>801000507</v>
          </cell>
          <cell r="B4352" t="str">
            <v>8</v>
          </cell>
          <cell r="C4352" t="str">
            <v>EDIFICIO TORRES DE LOS ANDES TORRES A Y B</v>
          </cell>
          <cell r="D4352" t="str">
            <v>3128512057</v>
          </cell>
          <cell r="E4352" t="str">
            <v>edificiotorresdelosandes@gmail.com</v>
          </cell>
          <cell r="F4352" t="str">
            <v>CARRERA 13  16  47</v>
          </cell>
          <cell r="G4352">
            <v>63001</v>
          </cell>
        </row>
        <row r="4353">
          <cell r="A4353" t="str">
            <v>801001096</v>
          </cell>
          <cell r="B4353" t="str">
            <v>7</v>
          </cell>
          <cell r="C4353" t="str">
            <v>ECHEVERRI HERRAN SOCIEDAD POR ACCIONES SIMPLIFICADA S.A.S.</v>
          </cell>
          <cell r="D4353" t="str">
            <v>7445555</v>
          </cell>
          <cell r="E4353" t="str">
            <v>echeverriherransasco@gmail.com</v>
          </cell>
          <cell r="F4353" t="str">
            <v>CALLE 20  18  37</v>
          </cell>
          <cell r="G4353">
            <v>63001</v>
          </cell>
        </row>
        <row r="4354">
          <cell r="A4354" t="str">
            <v>801003135</v>
          </cell>
          <cell r="B4354" t="str">
            <v>5</v>
          </cell>
          <cell r="C4354" t="str">
            <v>CORPORACION UNIVERSITARIA EMPRESARIAL ALEXANDER VON HUMBOLD</v>
          </cell>
          <cell r="D4354">
            <v>3219664011</v>
          </cell>
          <cell r="E4354" t="str">
            <v>recepciondefacturas@cue.edu.co</v>
          </cell>
          <cell r="F4354" t="str">
            <v>AVENIDA BOLIVAR  1  189</v>
          </cell>
          <cell r="G4354">
            <v>63001</v>
          </cell>
        </row>
        <row r="4355">
          <cell r="A4355" t="str">
            <v>801004861</v>
          </cell>
          <cell r="B4355" t="str">
            <v>9</v>
          </cell>
          <cell r="C4355" t="str">
            <v>EDIFICIO MONTEVERDE</v>
          </cell>
          <cell r="D4355" t="str">
            <v>3218116722</v>
          </cell>
          <cell r="E4355" t="str">
            <v>carlosanorenaarbelaez@gmail.com</v>
          </cell>
          <cell r="F4355" t="str">
            <v>CALLE 17  1 A  53</v>
          </cell>
          <cell r="G4355">
            <v>63001</v>
          </cell>
        </row>
        <row r="4356">
          <cell r="A4356" t="str">
            <v>806012958</v>
          </cell>
          <cell r="B4356" t="str">
            <v>6</v>
          </cell>
          <cell r="C4356" t="str">
            <v>INSTITUCION PRESTADORA DE SERVICIOS DE SALUD DEL CARIBE S A S</v>
          </cell>
          <cell r="D4356" t="str">
            <v>6932177</v>
          </cell>
          <cell r="E4356" t="str">
            <v>facturaelectronica@contabilidad.saluddelcaribe.com</v>
          </cell>
          <cell r="F4356" t="str">
            <v>BARRIO PIE DE LA POPA  CL 3  0 21 51</v>
          </cell>
          <cell r="G4356">
            <v>63001</v>
          </cell>
        </row>
        <row r="4357">
          <cell r="A4357" t="str">
            <v>890000381</v>
          </cell>
          <cell r="B4357" t="str">
            <v>0</v>
          </cell>
          <cell r="C4357" t="str">
            <v>CAJA DE COMPENSACION FAMILIAR DE FENALCO COMFENALCO QUINDIO</v>
          </cell>
          <cell r="D4357">
            <v>3219664011</v>
          </cell>
          <cell r="E4357" t="str">
            <v>recepcionfe@comfenalcoquindio.co</v>
          </cell>
          <cell r="F4357" t="str">
            <v>CALLE 16  15  22</v>
          </cell>
          <cell r="G4357">
            <v>63001</v>
          </cell>
        </row>
        <row r="4358">
          <cell r="A4358" t="str">
            <v>890000464</v>
          </cell>
          <cell r="B4358">
            <v>3</v>
          </cell>
          <cell r="C4358" t="str">
            <v>MUNICIPIO DE ARMENIA</v>
          </cell>
          <cell r="D4358">
            <v>6067310106</v>
          </cell>
          <cell r="E4358" t="str">
            <v>servicioalcliente@armenia.gov.co</v>
          </cell>
          <cell r="F4358" t="str">
            <v>Carrera 16 # 15–28 CAM</v>
          </cell>
          <cell r="G4358">
            <v>63001</v>
          </cell>
        </row>
        <row r="4359">
          <cell r="A4359" t="str">
            <v>890001600</v>
          </cell>
          <cell r="B4359" t="str">
            <v>3</v>
          </cell>
          <cell r="C4359" t="str">
            <v>IVAN BOTERO GOMEZ S A S</v>
          </cell>
          <cell r="D4359" t="str">
            <v>7418250</v>
          </cell>
          <cell r="E4359" t="str">
            <v>itcprefabricados@gmail.com</v>
          </cell>
          <cell r="F4359" t="str">
            <v>CARRERA 15  20  08</v>
          </cell>
          <cell r="G4359">
            <v>63001</v>
          </cell>
        </row>
        <row r="4360">
          <cell r="A4360" t="str">
            <v>890001639</v>
          </cell>
          <cell r="B4360" t="str">
            <v>1</v>
          </cell>
          <cell r="C4360" t="str">
            <v>DEPARTAMENTO DEL QUINDIO</v>
          </cell>
          <cell r="D4360" t="str">
            <v>3104526632</v>
          </cell>
          <cell r="E4360" t="str">
            <v>direccionrecursosfisicos@quindio.gov.co</v>
          </cell>
          <cell r="F4360" t="str">
            <v>CALLE 26 NORTE  13  62</v>
          </cell>
          <cell r="G4360">
            <v>63001</v>
          </cell>
        </row>
        <row r="4361">
          <cell r="A4361" t="str">
            <v>900160972</v>
          </cell>
          <cell r="B4361" t="str">
            <v>4</v>
          </cell>
          <cell r="C4361" t="str">
            <v>INVERSIONES E INMOBILIARIA ARCIVIL S.A.S</v>
          </cell>
          <cell r="D4361" t="str">
            <v>7498364</v>
          </cell>
          <cell r="E4361" t="str">
            <v>auxcontable@arquitecturacivil.com</v>
          </cell>
          <cell r="F4361" t="str">
            <v>CARRERA 13  14  26</v>
          </cell>
          <cell r="G4361">
            <v>63001</v>
          </cell>
        </row>
        <row r="4362">
          <cell r="A4362" t="str">
            <v>900173931</v>
          </cell>
          <cell r="B4362" t="str">
            <v>9</v>
          </cell>
          <cell r="C4362" t="str">
            <v>EDIFICIO SOLARIS</v>
          </cell>
          <cell r="D4362" t="str">
            <v>3157831184</v>
          </cell>
          <cell r="E4362" t="str">
            <v>edificiosolarispha@gmail.com</v>
          </cell>
          <cell r="F4362" t="str">
            <v>CARRERA 13  8 NORTE  40</v>
          </cell>
          <cell r="G4362">
            <v>63001</v>
          </cell>
        </row>
        <row r="4363">
          <cell r="A4363" t="str">
            <v>900248725</v>
          </cell>
          <cell r="B4363" t="str">
            <v>1</v>
          </cell>
          <cell r="C4363" t="str">
            <v>PARQUE RESIDENCIAL LAS RAMBLAS</v>
          </cell>
          <cell r="D4363" t="str">
            <v>3166176770</v>
          </cell>
          <cell r="E4363" t="str">
            <v>lasramblasph@gmail.com</v>
          </cell>
          <cell r="F4363" t="str">
            <v>CARRERA 19  10 N  89</v>
          </cell>
          <cell r="G4363">
            <v>63001</v>
          </cell>
        </row>
        <row r="4364">
          <cell r="A4364" t="str">
            <v>900327534</v>
          </cell>
          <cell r="B4364" t="str">
            <v>0</v>
          </cell>
          <cell r="C4364" t="str">
            <v>EDIFICIO NOGALES DEL PARQUE</v>
          </cell>
          <cell r="D4364" t="str">
            <v>3206734685</v>
          </cell>
          <cell r="E4364" t="str">
            <v>facturacion@estiloingenieria.com</v>
          </cell>
          <cell r="F4364" t="str">
            <v>CALLE 17 N  11  70</v>
          </cell>
          <cell r="G4364">
            <v>63001</v>
          </cell>
        </row>
        <row r="4365">
          <cell r="A4365" t="str">
            <v>900336199</v>
          </cell>
          <cell r="B4365" t="str">
            <v>4</v>
          </cell>
          <cell r="C4365" t="str">
            <v>EDIFICIO MONTE CARMELO</v>
          </cell>
          <cell r="D4365" t="str">
            <v>3154427448</v>
          </cell>
          <cell r="E4365" t="str">
            <v>montecarmeloedificio1@gmail.com</v>
          </cell>
          <cell r="F4365" t="str">
            <v>CARRERA 12  9 N  07</v>
          </cell>
          <cell r="G4365">
            <v>63001</v>
          </cell>
        </row>
        <row r="4366">
          <cell r="A4366" t="str">
            <v>900365103</v>
          </cell>
          <cell r="B4366" t="str">
            <v>1</v>
          </cell>
          <cell r="C4366" t="str">
            <v>EDIFICIO OASIS DE LAURELES</v>
          </cell>
          <cell r="D4366" t="str">
            <v>3176405009</v>
          </cell>
          <cell r="E4366" t="str">
            <v>edificiooasisdelaureles@hotmail.com</v>
          </cell>
          <cell r="F4366" t="str">
            <v>CALLE 23 NORTE  15  21</v>
          </cell>
          <cell r="G4366">
            <v>63001</v>
          </cell>
        </row>
        <row r="4367">
          <cell r="A4367" t="str">
            <v>900385533</v>
          </cell>
          <cell r="B4367" t="str">
            <v>0</v>
          </cell>
          <cell r="C4367" t="str">
            <v>FAMILIA ARANGO SOCIEDAD POR ACCIONES SIMPLIFICADA</v>
          </cell>
          <cell r="D4367" t="str">
            <v>7440655</v>
          </cell>
          <cell r="E4367" t="str">
            <v>parqueaderoacuarioarmenia@gmail.com</v>
          </cell>
          <cell r="F4367" t="str">
            <v>CARRERA 14  19  15</v>
          </cell>
          <cell r="G4367">
            <v>63001</v>
          </cell>
        </row>
        <row r="4368">
          <cell r="A4368" t="str">
            <v>900420751</v>
          </cell>
          <cell r="B4368" t="str">
            <v>1</v>
          </cell>
          <cell r="C4368" t="str">
            <v>SPORT MEDICAL CENTER IPS GUSTAVO PORTELA S.A.S.</v>
          </cell>
          <cell r="D4368" t="str">
            <v>7312561</v>
          </cell>
          <cell r="E4368" t="str">
            <v>ipsgustavoportela@gmail.com</v>
          </cell>
          <cell r="F4368" t="str">
            <v>CR 15 5 NORTE 07</v>
          </cell>
          <cell r="G4368">
            <v>63001</v>
          </cell>
        </row>
        <row r="4369">
          <cell r="A4369" t="str">
            <v>900433915</v>
          </cell>
          <cell r="B4369" t="str">
            <v>7</v>
          </cell>
          <cell r="C4369" t="str">
            <v>EDIFICIO TORRE BALCANES</v>
          </cell>
          <cell r="D4369" t="str">
            <v>3147876460</v>
          </cell>
          <cell r="E4369" t="str">
            <v>edificiotorrebalcanes@gmail.com</v>
          </cell>
          <cell r="F4369" t="str">
            <v>CALLE 23  15  21</v>
          </cell>
          <cell r="G4369">
            <v>63001</v>
          </cell>
        </row>
        <row r="4370">
          <cell r="A4370" t="str">
            <v>900449718</v>
          </cell>
          <cell r="B4370" t="str">
            <v>2</v>
          </cell>
          <cell r="C4370" t="str">
            <v>URBANIZACION QUINTAS DE SAN MIGUEL</v>
          </cell>
          <cell r="D4370" t="str">
            <v>3165783799</v>
          </cell>
          <cell r="E4370" t="str">
            <v>facturacion@estiloingenieria.com</v>
          </cell>
          <cell r="F4370" t="str">
            <v>AVENIDA 19  23 NORTE  21</v>
          </cell>
          <cell r="G4370">
            <v>63001</v>
          </cell>
        </row>
        <row r="4371">
          <cell r="A4371" t="str">
            <v>900466703</v>
          </cell>
          <cell r="B4371" t="str">
            <v>4</v>
          </cell>
          <cell r="C4371" t="str">
            <v>METROLOFT APARTASUITES</v>
          </cell>
          <cell r="D4371">
            <v>3219664011</v>
          </cell>
          <cell r="E4371" t="str">
            <v>metroloftedificio@gmail.com</v>
          </cell>
          <cell r="F4371" t="str">
            <v>CARRERA 19  26 NORTE  49</v>
          </cell>
          <cell r="G4371">
            <v>63001</v>
          </cell>
        </row>
        <row r="4372">
          <cell r="A4372" t="str">
            <v>900483518</v>
          </cell>
          <cell r="B4372" t="str">
            <v>1</v>
          </cell>
          <cell r="C4372" t="str">
            <v>HUMANIZAR SALUD INTEGRAL S.A.S</v>
          </cell>
          <cell r="D4372" t="str">
            <v>7312277</v>
          </cell>
          <cell r="E4372" t="str">
            <v>humanizarsaludintegral@gmail.com</v>
          </cell>
          <cell r="F4372" t="str">
            <v>CR 13 1 A NORTE 50</v>
          </cell>
          <cell r="G4372">
            <v>63001</v>
          </cell>
        </row>
        <row r="4373">
          <cell r="A4373" t="str">
            <v>900487755</v>
          </cell>
          <cell r="B4373" t="str">
            <v>7</v>
          </cell>
          <cell r="C4373" t="str">
            <v>EDIFICIO BAHIA BLANCA</v>
          </cell>
          <cell r="D4373" t="str">
            <v>3156495960</v>
          </cell>
          <cell r="E4373" t="str">
            <v>edificiobahiablanca2023@gmail.com</v>
          </cell>
          <cell r="F4373" t="str">
            <v>CARRERA 18  70  20</v>
          </cell>
          <cell r="G4373">
            <v>63001</v>
          </cell>
        </row>
        <row r="4374">
          <cell r="A4374" t="str">
            <v>900495414</v>
          </cell>
          <cell r="B4374" t="str">
            <v>4</v>
          </cell>
          <cell r="C4374" t="str">
            <v>CONJUNTO RESIDENCIAL BOREAL</v>
          </cell>
          <cell r="D4374" t="str">
            <v>7379123</v>
          </cell>
          <cell r="E4374" t="str">
            <v>conjuntoboreal@gmail.com</v>
          </cell>
          <cell r="F4374" t="str">
            <v>CALLE 2  6  371</v>
          </cell>
          <cell r="G4374">
            <v>63001</v>
          </cell>
        </row>
        <row r="4375">
          <cell r="A4375" t="str">
            <v>900524978</v>
          </cell>
          <cell r="B4375" t="str">
            <v>1</v>
          </cell>
          <cell r="C4375" t="str">
            <v>EDIFICIO MARIA JOSE</v>
          </cell>
          <cell r="D4375" t="str">
            <v>3133464656</v>
          </cell>
          <cell r="E4375" t="str">
            <v>luber1980@hotmail.com</v>
          </cell>
          <cell r="F4375" t="str">
            <v>AVENIDA BOLIVAR  36 N  12</v>
          </cell>
          <cell r="G4375">
            <v>63001</v>
          </cell>
        </row>
        <row r="4376">
          <cell r="A4376" t="str">
            <v>900528234</v>
          </cell>
          <cell r="B4376" t="str">
            <v>9</v>
          </cell>
          <cell r="C4376" t="str">
            <v>CONJUNTO COCORA PARQUE RESIDENCIAL</v>
          </cell>
          <cell r="D4376" t="str">
            <v>7313151</v>
          </cell>
          <cell r="E4376" t="str">
            <v>cocoraparqueresidencial@gmail.com</v>
          </cell>
          <cell r="F4376" t="str">
            <v>CALLE 10 A RTE  18  36</v>
          </cell>
          <cell r="G4376">
            <v>63001</v>
          </cell>
        </row>
        <row r="4377">
          <cell r="A4377" t="str">
            <v>900528879</v>
          </cell>
          <cell r="B4377" t="str">
            <v>9</v>
          </cell>
          <cell r="C4377" t="str">
            <v>EDIFICIO LA RESERVA DEL PARQUE</v>
          </cell>
          <cell r="D4377" t="str">
            <v>3218116722</v>
          </cell>
          <cell r="E4377" t="str">
            <v>reservadelparque21@gmail.com</v>
          </cell>
          <cell r="F4377" t="str">
            <v>CARRERA 15  48  92</v>
          </cell>
          <cell r="G4377">
            <v>63001</v>
          </cell>
        </row>
        <row r="4378">
          <cell r="A4378" t="str">
            <v>900554485</v>
          </cell>
          <cell r="B4378" t="str">
            <v>0</v>
          </cell>
          <cell r="C4378" t="str">
            <v>ISA VICTORY HOTEL BOUTIQUE S.A.S</v>
          </cell>
          <cell r="D4378" t="str">
            <v>7340909</v>
          </cell>
          <cell r="E4378" t="str">
            <v>contador@isavictoryhotelboutique.com</v>
          </cell>
          <cell r="F4378" t="str">
            <v>CARRERA 21  47  52</v>
          </cell>
          <cell r="G4378">
            <v>63001</v>
          </cell>
        </row>
        <row r="4379">
          <cell r="A4379" t="str">
            <v>900577494</v>
          </cell>
          <cell r="B4379" t="str">
            <v>6</v>
          </cell>
          <cell r="C4379" t="str">
            <v>SUPERMERCADO Y PASAJE COMERCIAL SAN DIEGO PLAZA</v>
          </cell>
          <cell r="D4379" t="str">
            <v>3104591692</v>
          </cell>
          <cell r="E4379" t="str">
            <v>sandiegoplazaarmenia@gmail.com</v>
          </cell>
          <cell r="F4379" t="str">
            <v>CALLE 30  40  40</v>
          </cell>
          <cell r="G4379">
            <v>63001</v>
          </cell>
        </row>
        <row r="4380">
          <cell r="A4380" t="str">
            <v>900614001</v>
          </cell>
          <cell r="B4380" t="str">
            <v>8</v>
          </cell>
          <cell r="C4380" t="str">
            <v>EDIFICIO TORRE NISA CENTRO</v>
          </cell>
          <cell r="D4380" t="str">
            <v>3128376859</v>
          </cell>
          <cell r="E4380" t="str">
            <v>edificiotorrenisa2013@yahoo.com</v>
          </cell>
          <cell r="F4380" t="str">
            <v>CARRERA 17  22  20</v>
          </cell>
          <cell r="G4380">
            <v>63001</v>
          </cell>
        </row>
        <row r="4381">
          <cell r="A4381" t="str">
            <v>900634355</v>
          </cell>
          <cell r="B4381" t="str">
            <v>5</v>
          </cell>
          <cell r="C4381" t="str">
            <v>EDIFICIO PUERTA DE AGUA</v>
          </cell>
          <cell r="D4381" t="str">
            <v>3157831184</v>
          </cell>
          <cell r="E4381" t="str">
            <v>edpuertadeagua@gmail.com</v>
          </cell>
          <cell r="F4381" t="str">
            <v>CALLE 19 NORTE  15  86</v>
          </cell>
          <cell r="G4381">
            <v>63001</v>
          </cell>
        </row>
        <row r="4382">
          <cell r="A4382" t="str">
            <v>900668150</v>
          </cell>
          <cell r="B4382" t="str">
            <v>9</v>
          </cell>
          <cell r="C4382" t="str">
            <v>CONJUNTO TORRE VERDE PARQUE RESIDENCIAL - PROPIEDAD HORIZONTAL</v>
          </cell>
          <cell r="D4382" t="str">
            <v>7316948</v>
          </cell>
          <cell r="E4382" t="str">
            <v>admontorreverde@gmail.com</v>
          </cell>
          <cell r="F4382" t="str">
            <v>CARRERA 19  31 NORTE  91</v>
          </cell>
          <cell r="G4382">
            <v>63001</v>
          </cell>
        </row>
        <row r="4383">
          <cell r="A4383" t="str">
            <v>900670040</v>
          </cell>
          <cell r="B4383" t="str">
            <v>3</v>
          </cell>
          <cell r="C4383" t="str">
            <v>EDIFICIO TORRE DEL PARQUE</v>
          </cell>
          <cell r="D4383" t="str">
            <v>3176904654</v>
          </cell>
          <cell r="E4383" t="str">
            <v>soniebeltranie@hotmail.com</v>
          </cell>
          <cell r="F4383" t="str">
            <v>CARRERA 11 A  12 NORTE  43</v>
          </cell>
          <cell r="G4383">
            <v>63001</v>
          </cell>
        </row>
        <row r="4384">
          <cell r="A4384" t="str">
            <v>900683108</v>
          </cell>
          <cell r="B4384" t="str">
            <v>1</v>
          </cell>
          <cell r="C4384" t="str">
            <v>EDIFICIO PROVENZA</v>
          </cell>
          <cell r="D4384" t="str">
            <v>3128763569</v>
          </cell>
          <cell r="E4384" t="str">
            <v>provenzaedificio@gmail.com</v>
          </cell>
          <cell r="F4384" t="str">
            <v>CALLE 10  15  23</v>
          </cell>
          <cell r="G4384">
            <v>63001</v>
          </cell>
        </row>
        <row r="4385">
          <cell r="A4385" t="str">
            <v>900710607</v>
          </cell>
          <cell r="B4385" t="str">
            <v>1</v>
          </cell>
          <cell r="C4385" t="str">
            <v>EDIFICIO EL MIRADOR</v>
          </cell>
          <cell r="D4385" t="str">
            <v>7409284</v>
          </cell>
          <cell r="E4385" t="str">
            <v>edmirador.48@gmail.com</v>
          </cell>
          <cell r="F4385" t="str">
            <v>AVENIDA 19  26 N  69</v>
          </cell>
          <cell r="G4385">
            <v>63001</v>
          </cell>
        </row>
        <row r="4386">
          <cell r="A4386" t="str">
            <v>900713870</v>
          </cell>
          <cell r="B4386" t="str">
            <v>6</v>
          </cell>
          <cell r="C4386" t="str">
            <v>EDIFICIO CANA</v>
          </cell>
          <cell r="D4386" t="str">
            <v>3002045108</v>
          </cell>
          <cell r="E4386" t="str">
            <v>administracion-crs@hotmail.com</v>
          </cell>
          <cell r="F4386" t="str">
            <v>CALLE 19 NORTE  19  54</v>
          </cell>
          <cell r="G4386">
            <v>63001</v>
          </cell>
        </row>
        <row r="4387">
          <cell r="A4387" t="str">
            <v>900716796</v>
          </cell>
          <cell r="B4387" t="str">
            <v>2</v>
          </cell>
          <cell r="C4387" t="str">
            <v>EDIFICIO OZONO</v>
          </cell>
          <cell r="D4387" t="str">
            <v>3188267321</v>
          </cell>
          <cell r="E4387" t="str">
            <v>ozonoedificio@hotmail.com</v>
          </cell>
          <cell r="F4387" t="str">
            <v>CALLE 22  17  15</v>
          </cell>
          <cell r="G4387">
            <v>63001</v>
          </cell>
        </row>
        <row r="4388">
          <cell r="A4388" t="str">
            <v>900720719</v>
          </cell>
          <cell r="B4388" t="str">
            <v>0</v>
          </cell>
          <cell r="C4388" t="str">
            <v>EDIFICIO SIENA - PROPIEDAD HORIZONTAL</v>
          </cell>
          <cell r="D4388" t="str">
            <v>3177258689</v>
          </cell>
          <cell r="E4388" t="str">
            <v>sienaarmenia.ph@gmail.com</v>
          </cell>
          <cell r="F4388" t="str">
            <v>AVENIDA 19  32 N  100</v>
          </cell>
          <cell r="G4388">
            <v>63001</v>
          </cell>
        </row>
        <row r="4389">
          <cell r="A4389" t="str">
            <v>900726399</v>
          </cell>
          <cell r="B4389" t="str">
            <v>4</v>
          </cell>
          <cell r="C4389" t="str">
            <v>EDIFICIO PARQUE RESIDENCIAL TORRE CRISTAL APARTAMENTOS</v>
          </cell>
          <cell r="D4389" t="str">
            <v>7316948</v>
          </cell>
          <cell r="E4389" t="str">
            <v>Admontorrecristal@gmail.com</v>
          </cell>
          <cell r="F4389" t="str">
            <v>CARRERA 11  9 A  14</v>
          </cell>
          <cell r="G4389">
            <v>63001</v>
          </cell>
        </row>
        <row r="4390">
          <cell r="A4390" t="str">
            <v>900754210</v>
          </cell>
          <cell r="B4390" t="str">
            <v>0</v>
          </cell>
          <cell r="C4390" t="str">
            <v>ATIKA APARTAMENTOS</v>
          </cell>
          <cell r="D4390" t="str">
            <v>7380895</v>
          </cell>
          <cell r="E4390" t="str">
            <v>apartamentosatika@gmail.com</v>
          </cell>
          <cell r="F4390" t="str">
            <v>CARRERA 18  3 N  28</v>
          </cell>
          <cell r="G4390">
            <v>63001</v>
          </cell>
        </row>
        <row r="4391">
          <cell r="A4391" t="str">
            <v>900755730</v>
          </cell>
          <cell r="B4391" t="str">
            <v>3</v>
          </cell>
          <cell r="C4391" t="str">
            <v>CENTRO MEDICO Y EMPRESARIAL CENTENARIO</v>
          </cell>
          <cell r="D4391" t="str">
            <v>3002692114</v>
          </cell>
          <cell r="E4391" t="str">
            <v>centromedico8132@gmail.con</v>
          </cell>
          <cell r="F4391" t="str">
            <v>AVENIDA CENTENARIO  2  56</v>
          </cell>
          <cell r="G4391">
            <v>63001</v>
          </cell>
        </row>
        <row r="4392">
          <cell r="A4392" t="str">
            <v>900773225</v>
          </cell>
          <cell r="B4392" t="str">
            <v>1</v>
          </cell>
          <cell r="C4392" t="str">
            <v>EDIFICIO TORRE YANUBA PROPIEDAD HORIZONTAL</v>
          </cell>
          <cell r="D4392" t="str">
            <v>311 6000706</v>
          </cell>
          <cell r="E4392" t="str">
            <v>dayanna.galeano@thekeyinmobiliaria.com</v>
          </cell>
          <cell r="F4392" t="str">
            <v>CALLE 20 A 15 16</v>
          </cell>
          <cell r="G4392">
            <v>63001</v>
          </cell>
        </row>
        <row r="4393">
          <cell r="A4393" t="str">
            <v>900794797</v>
          </cell>
          <cell r="B4393" t="str">
            <v>2</v>
          </cell>
          <cell r="C4393" t="str">
            <v>EDIFICIO ENTREPARQUES</v>
          </cell>
          <cell r="D4393" t="str">
            <v>7445493</v>
          </cell>
          <cell r="E4393" t="str">
            <v>entreparques@hotmail.com</v>
          </cell>
          <cell r="F4393" t="str">
            <v>CARRERA 13  26  13</v>
          </cell>
          <cell r="G4393">
            <v>63001</v>
          </cell>
        </row>
        <row r="4394">
          <cell r="A4394" t="str">
            <v>900816972</v>
          </cell>
          <cell r="B4394" t="str">
            <v>1</v>
          </cell>
          <cell r="C4394" t="str">
            <v>EDIFICIO AQUAZUL PROPIEDAD HORIZONTAL</v>
          </cell>
          <cell r="D4394" t="str">
            <v>3117707131</v>
          </cell>
          <cell r="E4394" t="str">
            <v>facturacion@estiloingenieria.com</v>
          </cell>
          <cell r="F4394" t="str">
            <v>CALLE 24  19 NORTE  24</v>
          </cell>
          <cell r="G4394">
            <v>63001</v>
          </cell>
        </row>
        <row r="4395">
          <cell r="A4395" t="str">
            <v>900822805</v>
          </cell>
          <cell r="B4395" t="str">
            <v>4</v>
          </cell>
          <cell r="C4395" t="str">
            <v>EDIFICIO RESERVA DE COCORA</v>
          </cell>
          <cell r="D4395" t="str">
            <v>7108979</v>
          </cell>
          <cell r="E4395" t="str">
            <v>edificioreservadecocora@gmail.com</v>
          </cell>
          <cell r="F4395" t="str">
            <v>CALLE 10 A NORTE  19  34</v>
          </cell>
          <cell r="G4395">
            <v>63001</v>
          </cell>
        </row>
        <row r="4396">
          <cell r="A4396" t="str">
            <v>900861009</v>
          </cell>
          <cell r="B4396" t="str">
            <v>4</v>
          </cell>
          <cell r="C4396" t="str">
            <v>CENTRO COMERCIAL SAN SUR PROPIEDAD HORIZONTAL</v>
          </cell>
          <cell r="D4396">
            <v>3219664011</v>
          </cell>
          <cell r="E4396" t="str">
            <v>administracion@sansur.com.co</v>
          </cell>
          <cell r="F4396" t="str">
            <v>CARRERA 18  59  67</v>
          </cell>
          <cell r="G4396">
            <v>63001</v>
          </cell>
        </row>
        <row r="4397">
          <cell r="A4397" t="str">
            <v>900861637</v>
          </cell>
          <cell r="B4397" t="str">
            <v>1</v>
          </cell>
          <cell r="C4397" t="str">
            <v>CONJUNTO RESIDENCIAL MIRADOR DEL QUINDÍO</v>
          </cell>
          <cell r="D4397" t="str">
            <v>3162349573</v>
          </cell>
          <cell r="E4397" t="str">
            <v>admonmiradorq@gmail.com</v>
          </cell>
          <cell r="F4397" t="str">
            <v>CARRERA 4  26  82</v>
          </cell>
          <cell r="G4397">
            <v>63001</v>
          </cell>
        </row>
        <row r="4398">
          <cell r="A4398" t="str">
            <v>900905228</v>
          </cell>
          <cell r="B4398" t="str">
            <v>1</v>
          </cell>
          <cell r="C4398" t="str">
            <v>EDIFICIO HABITAT APARTAMENTOS ETAPA 1</v>
          </cell>
          <cell r="D4398" t="str">
            <v>3165275377</v>
          </cell>
          <cell r="E4398" t="str">
            <v>alex.771g@gmail.com</v>
          </cell>
          <cell r="F4398" t="str">
            <v>CALLE 2  14  131</v>
          </cell>
          <cell r="G4398">
            <v>63001</v>
          </cell>
        </row>
        <row r="4399">
          <cell r="A4399" t="str">
            <v>900917933</v>
          </cell>
          <cell r="B4399" t="str">
            <v>8</v>
          </cell>
          <cell r="C4399" t="str">
            <v>EDIFICIO PORTAL DE COCORA</v>
          </cell>
          <cell r="D4399" t="str">
            <v>7379580</v>
          </cell>
          <cell r="E4399" t="str">
            <v>edificioportaldecocora@gmail.com</v>
          </cell>
          <cell r="F4399" t="str">
            <v>CARRERA 14  50 NORTE  50</v>
          </cell>
          <cell r="G4399">
            <v>63001</v>
          </cell>
        </row>
        <row r="4400">
          <cell r="A4400" t="str">
            <v>900922820</v>
          </cell>
          <cell r="B4400" t="str">
            <v>4</v>
          </cell>
          <cell r="C4400" t="str">
            <v>CONJUNTO CERRADO HEBRON APARTAMENTOS - PROPIEDAD HORIZONTAL</v>
          </cell>
          <cell r="D4400" t="str">
            <v>3002045108</v>
          </cell>
          <cell r="E4400" t="str">
            <v>hebronapartamentos@gmail.com</v>
          </cell>
          <cell r="F4400" t="str">
            <v>CALLE 19 NORTE  19  23</v>
          </cell>
          <cell r="G4400">
            <v>63001</v>
          </cell>
        </row>
        <row r="4401">
          <cell r="A4401" t="str">
            <v>900936631</v>
          </cell>
          <cell r="B4401" t="str">
            <v>1</v>
          </cell>
          <cell r="C4401" t="str">
            <v>EDIFICIO TORRE 100</v>
          </cell>
          <cell r="D4401" t="str">
            <v>3114577781</v>
          </cell>
          <cell r="E4401" t="str">
            <v>edificiotorre100@gmail.com</v>
          </cell>
          <cell r="F4401" t="str">
            <v>CALLE 4 N  13  77</v>
          </cell>
          <cell r="G4401">
            <v>63001</v>
          </cell>
        </row>
        <row r="4402">
          <cell r="A4402" t="str">
            <v>900948943</v>
          </cell>
          <cell r="B4402" t="str">
            <v>4</v>
          </cell>
          <cell r="C4402" t="str">
            <v>EDIFICIO TORRE EPIC</v>
          </cell>
          <cell r="D4402" t="str">
            <v>7312311</v>
          </cell>
          <cell r="E4402" t="str">
            <v>torreepic@hotmail.com</v>
          </cell>
          <cell r="F4402" t="str">
            <v>CARRERA 12  11 NORTE  95</v>
          </cell>
          <cell r="G4402">
            <v>63001</v>
          </cell>
        </row>
        <row r="4403">
          <cell r="A4403" t="str">
            <v>900998885</v>
          </cell>
          <cell r="B4403" t="str">
            <v>9</v>
          </cell>
          <cell r="C4403" t="str">
            <v>MIRADOR DE LOS OCOBOS CONJUNTO RESIDENCIAL</v>
          </cell>
          <cell r="D4403" t="str">
            <v>3148728860</v>
          </cell>
          <cell r="E4403" t="str">
            <v>miradordelosocobos@gmail.com</v>
          </cell>
          <cell r="F4403" t="str">
            <v>CALLE 31 NORTE  20  15</v>
          </cell>
          <cell r="G4403">
            <v>63001</v>
          </cell>
        </row>
        <row r="4404">
          <cell r="A4404" t="str">
            <v>901050707</v>
          </cell>
          <cell r="B4404" t="str">
            <v>0</v>
          </cell>
          <cell r="C4404" t="str">
            <v>TESALONICA APARTAMENTOS ETAPA I - PROPIEDAD HORIZONTAL</v>
          </cell>
          <cell r="D4404" t="str">
            <v>3002045108</v>
          </cell>
          <cell r="E4404" t="str">
            <v>tesalonica2022@gmail.com</v>
          </cell>
          <cell r="F4404" t="str">
            <v>CALLE 23  37  25</v>
          </cell>
          <cell r="G4404">
            <v>63001</v>
          </cell>
        </row>
        <row r="4405">
          <cell r="A4405" t="str">
            <v>901098394</v>
          </cell>
          <cell r="B4405" t="str">
            <v>6</v>
          </cell>
          <cell r="C4405" t="str">
            <v>CONDOMINIO CAMPESTRE LA RESERVA APARTAMENTOS</v>
          </cell>
          <cell r="D4405" t="str">
            <v>3117628088</v>
          </cell>
          <cell r="E4405" t="str">
            <v>reservaaptos@gmail.com</v>
          </cell>
          <cell r="F4405" t="str">
            <v>CARRERA 5  10 N  25</v>
          </cell>
          <cell r="G4405">
            <v>63001</v>
          </cell>
        </row>
        <row r="4406">
          <cell r="A4406" t="str">
            <v>901122961</v>
          </cell>
          <cell r="B4406" t="str">
            <v>5</v>
          </cell>
          <cell r="C4406" t="str">
            <v>EDIFICIO LAURELES EPIC</v>
          </cell>
          <cell r="D4406" t="str">
            <v>3155911097</v>
          </cell>
          <cell r="E4406" t="str">
            <v>admonlaurelesepic@gmail.com</v>
          </cell>
          <cell r="F4406" t="str">
            <v>CARRERA 15  21 N  45</v>
          </cell>
          <cell r="G4406">
            <v>63001</v>
          </cell>
        </row>
        <row r="4407">
          <cell r="A4407" t="str">
            <v>901142051</v>
          </cell>
          <cell r="B4407" t="str">
            <v>3</v>
          </cell>
          <cell r="C4407" t="str">
            <v>SANTA SOFIA CLUB RESIDENCIAL V.I.S</v>
          </cell>
          <cell r="D4407" t="str">
            <v>3108272737</v>
          </cell>
          <cell r="E4407" t="str">
            <v>santasofia.clubresidencial@gmail.com</v>
          </cell>
          <cell r="F4407" t="str">
            <v>CARRERA 27  44  25</v>
          </cell>
          <cell r="G4407">
            <v>63001</v>
          </cell>
        </row>
        <row r="4408">
          <cell r="A4408" t="str">
            <v>901148885</v>
          </cell>
          <cell r="B4408" t="str">
            <v>6</v>
          </cell>
          <cell r="C4408" t="str">
            <v>EDIFICIO VERTICE 2 NORTE</v>
          </cell>
          <cell r="D4408" t="str">
            <v>3122963735</v>
          </cell>
          <cell r="E4408" t="str">
            <v>edificiovertice35@gmail.com</v>
          </cell>
          <cell r="F4408" t="str">
            <v>CARRERA 15  2 N  10</v>
          </cell>
          <cell r="G4408">
            <v>63001</v>
          </cell>
        </row>
        <row r="4409">
          <cell r="A4409" t="str">
            <v>901169493</v>
          </cell>
          <cell r="B4409" t="str">
            <v>2</v>
          </cell>
          <cell r="C4409" t="str">
            <v>CONJUNTO RESIDENCIAL HOREB APARTAMENTOS ETAPAS 1 Y 2</v>
          </cell>
          <cell r="D4409" t="str">
            <v>3002045108</v>
          </cell>
          <cell r="E4409" t="str">
            <v>torreshorebarmenia@gmail.com</v>
          </cell>
          <cell r="F4409" t="str">
            <v>CR 6 13 N 27</v>
          </cell>
          <cell r="G4409">
            <v>63001</v>
          </cell>
        </row>
        <row r="4410">
          <cell r="A4410" t="str">
            <v>901330272</v>
          </cell>
          <cell r="B4410" t="str">
            <v>0</v>
          </cell>
          <cell r="C4410" t="str">
            <v>HORIZONTE VERDE CONJUNTO RESIDENCIAL - PROPIEDAD HORIZONTAL</v>
          </cell>
          <cell r="D4410" t="str">
            <v>3004956735</v>
          </cell>
          <cell r="E4410" t="str">
            <v>conjuntohorizonteverde@gmail.com</v>
          </cell>
          <cell r="F4410" t="str">
            <v>CALLE 27 NORTE 5-02</v>
          </cell>
          <cell r="G4410">
            <v>63001</v>
          </cell>
        </row>
        <row r="4411">
          <cell r="A4411" t="str">
            <v>901616830</v>
          </cell>
          <cell r="B4411" t="str">
            <v>1</v>
          </cell>
          <cell r="C4411" t="str">
            <v>EDIFICIO QUIMBAYA E Q - PROPIEDAD HORIZONTAL</v>
          </cell>
          <cell r="D4411" t="str">
            <v>3 0 2 4 1 5 9 7 2 9</v>
          </cell>
          <cell r="E4411" t="str">
            <v>edificioquimbayaeq@gmail.com</v>
          </cell>
          <cell r="F4411" t="str">
            <v>CR 12 14 N 41</v>
          </cell>
          <cell r="G4411">
            <v>63001</v>
          </cell>
        </row>
        <row r="4412">
          <cell r="A4412" t="str">
            <v>800165939</v>
          </cell>
          <cell r="B4412" t="str">
            <v>0</v>
          </cell>
          <cell r="C4412" t="str">
            <v>DIRECCION SECCIONAL DE ADMINISTRACION JUDICIAL DE ARMENIA QUINDIO</v>
          </cell>
          <cell r="D4412" t="str">
            <v>7440597</v>
          </cell>
          <cell r="E4412" t="str">
            <v xml:space="preserve">	siifnacion.facturaelectronica@minhacienda.gov.co</v>
          </cell>
          <cell r="F4412" t="str">
            <v>CARRERA 12  20  63 PISO 4</v>
          </cell>
          <cell r="G4412">
            <v>63130</v>
          </cell>
        </row>
        <row r="4413">
          <cell r="A4413" t="str">
            <v>900987664</v>
          </cell>
          <cell r="B4413" t="str">
            <v>0</v>
          </cell>
          <cell r="C4413" t="str">
            <v>CONSTRUCTORA CIUDAD FUTURA S.A.S.</v>
          </cell>
          <cell r="D4413" t="str">
            <v>3113839900</v>
          </cell>
          <cell r="E4413" t="str">
            <v>ciudadfuturasas@gmail.com</v>
          </cell>
          <cell r="F4413" t="str">
            <v>CALLE 21  16  31  OFICINA 502</v>
          </cell>
          <cell r="G4413">
            <v>63130</v>
          </cell>
        </row>
        <row r="4414">
          <cell r="A4414" t="str">
            <v>901549648</v>
          </cell>
          <cell r="B4414" t="str">
            <v>8</v>
          </cell>
          <cell r="C4414" t="str">
            <v>EDIFICIO CK-23 APARTAMENTOS</v>
          </cell>
          <cell r="D4414">
            <v>3219664011</v>
          </cell>
          <cell r="E4414" t="str">
            <v>amparolopezdelopez@hotmail.com</v>
          </cell>
          <cell r="F4414" t="str">
            <v>CR 23 37 15 17 EDIFICIO CK 23 APARATAMENTOS</v>
          </cell>
          <cell r="G4414">
            <v>63130</v>
          </cell>
        </row>
        <row r="4415">
          <cell r="A4415" t="str">
            <v>901080678</v>
          </cell>
          <cell r="B4415" t="str">
            <v>3</v>
          </cell>
          <cell r="C4415" t="str">
            <v>CONSTRUCCIONES DIMICHI S.A.S.</v>
          </cell>
          <cell r="D4415" t="str">
            <v>3103708685</v>
          </cell>
          <cell r="E4415" t="str">
            <v>hernan26111@outlook.com</v>
          </cell>
          <cell r="F4415" t="str">
            <v>URB LA IRLANDA MZ A CA 25</v>
          </cell>
          <cell r="G4415">
            <v>63594</v>
          </cell>
        </row>
        <row r="4416">
          <cell r="A4416" t="str">
            <v>901852203</v>
          </cell>
          <cell r="B4416" t="str">
            <v>2</v>
          </cell>
          <cell r="C4416" t="str">
            <v>EDIFICIO SIXTH AVENUE</v>
          </cell>
          <cell r="D4416" t="str">
            <v>311 3283701</v>
          </cell>
          <cell r="E4416" t="str">
            <v>ait.sas@yahoo.com</v>
          </cell>
          <cell r="F4416" t="str">
            <v>CR 6 # 13-31</v>
          </cell>
          <cell r="G4416">
            <v>63594</v>
          </cell>
        </row>
        <row r="4417">
          <cell r="A4417">
            <v>222222222</v>
          </cell>
          <cell r="B4417" t="str">
            <v/>
          </cell>
          <cell r="C4417" t="str">
            <v>CUANTIAS MENORES</v>
          </cell>
          <cell r="D4417">
            <v>3228184763</v>
          </cell>
          <cell r="E4417" t="str">
            <v>impuestos@estiloingeniera.com</v>
          </cell>
          <cell r="F4417" t="str">
            <v xml:space="preserve">CL 127A 53A 45 TO2 P11 OF1101 </v>
          </cell>
          <cell r="G4417">
            <v>66001</v>
          </cell>
        </row>
        <row r="4418">
          <cell r="A4418" t="str">
            <v>10094400</v>
          </cell>
          <cell r="B4418" t="str">
            <v>2</v>
          </cell>
          <cell r="C4418" t="str">
            <v>GUILLERMO LEON TRUJILLO RESTREPO</v>
          </cell>
          <cell r="D4418" t="str">
            <v>3251774</v>
          </cell>
          <cell r="E4418" t="str">
            <v>trujilloycompania@gmail.com</v>
          </cell>
          <cell r="F4418" t="str">
            <v>CARRERA 8  16  71  OFICINA 203</v>
          </cell>
          <cell r="G4418">
            <v>66001</v>
          </cell>
        </row>
        <row r="4419">
          <cell r="A4419" t="str">
            <v>42058301</v>
          </cell>
          <cell r="B4419" t="str">
            <v>5</v>
          </cell>
          <cell r="C4419" t="str">
            <v>MARIA CECILIA TRUJILLO RESTREPO</v>
          </cell>
          <cell r="D4419" t="str">
            <v>4205830</v>
          </cell>
          <cell r="E4419" t="str">
            <v>trujilloycompania@gmail.com</v>
          </cell>
          <cell r="F4419" t="str">
            <v>CR 8  16 71 OF 204</v>
          </cell>
          <cell r="G4419">
            <v>66001</v>
          </cell>
        </row>
        <row r="4420">
          <cell r="A4420" t="str">
            <v>42062513</v>
          </cell>
          <cell r="B4420" t="str">
            <v>5</v>
          </cell>
          <cell r="C4420" t="str">
            <v>BEATRIZ ELENA TRUJILLO RESTREPO</v>
          </cell>
          <cell r="D4420" t="str">
            <v>3218005582</v>
          </cell>
          <cell r="E4420" t="str">
            <v>uparquesdeboquia@hotmail.com</v>
          </cell>
          <cell r="F4420" t="str">
            <v>CARRERA 8 16-71 OF 201</v>
          </cell>
          <cell r="G4420">
            <v>66001</v>
          </cell>
        </row>
        <row r="4421">
          <cell r="A4421" t="str">
            <v>42083900</v>
          </cell>
          <cell r="B4421" t="str">
            <v>2</v>
          </cell>
          <cell r="C4421" t="str">
            <v>ADRIANA PATRICIA TRUJILLO RESTREPO</v>
          </cell>
          <cell r="D4421" t="str">
            <v>3054208946</v>
          </cell>
          <cell r="E4421" t="str">
            <v>atrujilloycompania@gmail.com</v>
          </cell>
          <cell r="F4421" t="str">
            <v>CARRERA 8 16-71 OF 201</v>
          </cell>
          <cell r="G4421">
            <v>66001</v>
          </cell>
        </row>
        <row r="4422">
          <cell r="A4422" t="str">
            <v>79433853</v>
          </cell>
          <cell r="B4422" t="str">
            <v>1</v>
          </cell>
          <cell r="C4422" t="str">
            <v>ALEXANDER GUTIERREZ PELAEZ</v>
          </cell>
          <cell r="D4422" t="str">
            <v>3710343</v>
          </cell>
          <cell r="E4422" t="str">
            <v>contabilidadalexandergutierrez@gmail.com</v>
          </cell>
          <cell r="F4422" t="str">
            <v>CALLE 9  37 A  62 OFICINA 4006</v>
          </cell>
          <cell r="G4422">
            <v>66001</v>
          </cell>
        </row>
        <row r="4423">
          <cell r="A4423" t="str">
            <v>800003765</v>
          </cell>
          <cell r="B4423" t="str">
            <v>1</v>
          </cell>
          <cell r="C4423" t="str">
            <v>VIRREY SOLIS I.P.S. S A</v>
          </cell>
          <cell r="D4423" t="str">
            <v>4473535</v>
          </cell>
          <cell r="E4423" t="str">
            <v>myfactura@virreysolisips.com.co</v>
          </cell>
          <cell r="F4423" t="str">
            <v>CR 67 4 G 68</v>
          </cell>
          <cell r="G4423">
            <v>66001</v>
          </cell>
        </row>
        <row r="4424">
          <cell r="A4424" t="str">
            <v>800020999</v>
          </cell>
          <cell r="B4424" t="str">
            <v>1</v>
          </cell>
          <cell r="C4424" t="str">
            <v>INVERSIONES SANTA CECILIA RESTREPO Y CIA S. EN C.</v>
          </cell>
          <cell r="D4424" t="str">
            <v>3251774</v>
          </cell>
          <cell r="E4424" t="str">
            <v>trujillorestrepo01@gmail.com</v>
          </cell>
          <cell r="F4424" t="str">
            <v>CARRERA 8 A No. 16 - 71 OFI. 203</v>
          </cell>
          <cell r="G4424">
            <v>66001</v>
          </cell>
        </row>
        <row r="4425">
          <cell r="A4425" t="str">
            <v>800075197</v>
          </cell>
          <cell r="B4425" t="str">
            <v>6</v>
          </cell>
          <cell r="C4425" t="str">
            <v>EDIFICIO NAVARRA PROPIEDAD HORIZONTAL</v>
          </cell>
          <cell r="D4425" t="str">
            <v>3103892669</v>
          </cell>
          <cell r="E4425" t="str">
            <v>gertecnica15@gmail.com</v>
          </cell>
          <cell r="F4425" t="str">
            <v>CALLE 16  6  67</v>
          </cell>
          <cell r="G4425">
            <v>66001</v>
          </cell>
        </row>
        <row r="4426">
          <cell r="A4426" t="str">
            <v>800085754</v>
          </cell>
          <cell r="B4426" t="str">
            <v>1</v>
          </cell>
          <cell r="C4426" t="str">
            <v>EDIFICIO LOS SAMANES P H</v>
          </cell>
          <cell r="D4426" t="str">
            <v>3128503005</v>
          </cell>
          <cell r="E4426" t="str">
            <v>teposada@hotmail.com</v>
          </cell>
          <cell r="F4426" t="str">
            <v>CALLE 11  22  34</v>
          </cell>
          <cell r="G4426">
            <v>66001</v>
          </cell>
        </row>
        <row r="4427">
          <cell r="A4427" t="str">
            <v>800109462</v>
          </cell>
          <cell r="B4427" t="str">
            <v>1</v>
          </cell>
          <cell r="C4427" t="str">
            <v>EDIFICIO LOS CAOBOS PROPIEDAD HORIZONTAL</v>
          </cell>
          <cell r="D4427" t="str">
            <v>3360520</v>
          </cell>
          <cell r="E4427" t="str">
            <v>martha.conta@yahoo.com</v>
          </cell>
          <cell r="F4427" t="str">
            <v>CALLE 44 10 23</v>
          </cell>
          <cell r="G4427">
            <v>66001</v>
          </cell>
        </row>
        <row r="4428">
          <cell r="A4428" t="str">
            <v>800114830</v>
          </cell>
          <cell r="B4428" t="str">
            <v>9</v>
          </cell>
          <cell r="C4428" t="str">
            <v>EDIFICIO TORRELAVEGA PROPIEDAD HORIZONTAL</v>
          </cell>
          <cell r="D4428" t="str">
            <v>3359063</v>
          </cell>
          <cell r="E4428" t="str">
            <v>edificiotorrelavega.admon@gmail.com</v>
          </cell>
          <cell r="F4428" t="str">
            <v>CARRERA 17  10  81</v>
          </cell>
          <cell r="G4428">
            <v>66001</v>
          </cell>
        </row>
        <row r="4429">
          <cell r="A4429" t="str">
            <v>800165940</v>
          </cell>
          <cell r="B4429" t="str">
            <v>9</v>
          </cell>
          <cell r="C4429" t="str">
            <v>RAMA JUDICIAL DIR. SECC. DE ADMON JUDICIAL RISARALDA</v>
          </cell>
          <cell r="D4429" t="str">
            <v>3137343088</v>
          </cell>
          <cell r="E4429" t="str">
            <v>siifnacion.facturaelectronica@minhacienda.gov.co</v>
          </cell>
          <cell r="F4429" t="str">
            <v>CARRERA 7  41  05  PISO 1</v>
          </cell>
          <cell r="G4429">
            <v>66001</v>
          </cell>
        </row>
        <row r="4430">
          <cell r="A4430" t="str">
            <v>800235398</v>
          </cell>
          <cell r="B4430" t="str">
            <v>7</v>
          </cell>
          <cell r="C4430" t="str">
            <v>PARQUE RESIDENCIAL ALBURQUERQUE P.H.</v>
          </cell>
          <cell r="D4430" t="str">
            <v>3212498</v>
          </cell>
          <cell r="E4430" t="str">
            <v>alburquerque010@hotmail.com</v>
          </cell>
          <cell r="F4430" t="str">
            <v>CARRERA 23  14  37</v>
          </cell>
          <cell r="G4430">
            <v>66001</v>
          </cell>
        </row>
        <row r="4431">
          <cell r="A4431" t="str">
            <v>816000262</v>
          </cell>
          <cell r="B4431" t="str">
            <v>3</v>
          </cell>
          <cell r="C4431" t="str">
            <v>EDIFICIO MOLINOS DE ARAGON PROPIEDAD HORIZONTAL</v>
          </cell>
          <cell r="D4431" t="str">
            <v>3311396</v>
          </cell>
          <cell r="E4431" t="str">
            <v>edificiomolinosdearagon@gmail.com</v>
          </cell>
          <cell r="F4431" t="str">
            <v>CARRERA 15  4  50</v>
          </cell>
          <cell r="G4431">
            <v>66001</v>
          </cell>
        </row>
        <row r="4432">
          <cell r="A4432" t="str">
            <v>890901389</v>
          </cell>
          <cell r="B4432" t="str">
            <v>5</v>
          </cell>
          <cell r="C4432" t="str">
            <v>UNIVERSIDAD EAFIT</v>
          </cell>
          <cell r="D4432" t="str">
            <v>2619500</v>
          </cell>
          <cell r="E4432" t="str">
            <v>recepcionfacturas@eafit.edu.co</v>
          </cell>
          <cell r="F4432" t="str">
            <v>CARRERA 49  7 SUR  50</v>
          </cell>
          <cell r="G4432">
            <v>66001</v>
          </cell>
        </row>
        <row r="4433">
          <cell r="A4433" t="str">
            <v>891400093</v>
          </cell>
          <cell r="B4433" t="str">
            <v>4</v>
          </cell>
          <cell r="C4433" t="str">
            <v>CORPORACION CULTURAL Y DEPORTIVA DEL COMERCIO</v>
          </cell>
          <cell r="D4433" t="str">
            <v>3358666</v>
          </cell>
          <cell r="E4433" t="str">
            <v>facturacion_e@clubcomerciopereira.com.co</v>
          </cell>
          <cell r="F4433" t="str">
            <v>AVENIDA CIRCUNVALAR  7  19</v>
          </cell>
          <cell r="G4433">
            <v>66001</v>
          </cell>
        </row>
        <row r="4434">
          <cell r="A4434" t="str">
            <v>891400669</v>
          </cell>
          <cell r="B4434" t="str">
            <v>6</v>
          </cell>
          <cell r="C4434" t="str">
            <v>CAMARA DE COMERCIO DE PEREIRA</v>
          </cell>
          <cell r="D4434" t="str">
            <v>3104908541</v>
          </cell>
          <cell r="E4434" t="str">
            <v>logistica@camarapereira.org.co</v>
          </cell>
          <cell r="F4434" t="str">
            <v>CARRERA 8  23  09  LOCAL 10</v>
          </cell>
          <cell r="G4434">
            <v>66001</v>
          </cell>
        </row>
        <row r="4435">
          <cell r="A4435" t="str">
            <v>899999067</v>
          </cell>
          <cell r="B4435" t="str">
            <v>2</v>
          </cell>
          <cell r="C4435" t="str">
            <v>CONTRALORIA GENERAL DE LA REPUBLICA</v>
          </cell>
          <cell r="D4435" t="str">
            <v>5187000</v>
          </cell>
          <cell r="E4435" t="str">
            <v>patricia.ariasg@contraloria.gov.co</v>
          </cell>
          <cell r="F4435" t="str">
            <v>CR 69 44 35</v>
          </cell>
          <cell r="G4435">
            <v>66001</v>
          </cell>
        </row>
        <row r="4436">
          <cell r="A4436" t="str">
            <v>900042759</v>
          </cell>
          <cell r="B4436" t="str">
            <v>6</v>
          </cell>
          <cell r="C4436" t="str">
            <v>UNIDAD INMOBILIARIA CERRADA CLINICA RISARALDA- PROPIEDAD HORIZONTAL</v>
          </cell>
          <cell r="D4436" t="str">
            <v>3351292</v>
          </cell>
          <cell r="E4436" t="str">
            <v>uicclinicaph@gmail.com</v>
          </cell>
          <cell r="F4436" t="str">
            <v>CALLE 19  5  13</v>
          </cell>
          <cell r="G4436">
            <v>66001</v>
          </cell>
        </row>
        <row r="4437">
          <cell r="A4437" t="str">
            <v>900052981</v>
          </cell>
          <cell r="B4437" t="str">
            <v>8</v>
          </cell>
          <cell r="C4437" t="str">
            <v>EDIFICIO TORCOROMA P.H.</v>
          </cell>
          <cell r="D4437" t="str">
            <v>3174428757</v>
          </cell>
          <cell r="E4437" t="str">
            <v>edificiotorcoroma18@hotmail.com</v>
          </cell>
          <cell r="F4437" t="str">
            <v>CALLE 18  5  27</v>
          </cell>
          <cell r="G4437">
            <v>66001</v>
          </cell>
        </row>
        <row r="4438">
          <cell r="A4438" t="str">
            <v>900117796</v>
          </cell>
          <cell r="B4438" t="str">
            <v>2</v>
          </cell>
          <cell r="C4438" t="str">
            <v>EDIFICIO PORTAL DE LOS ALPES - PROPIEDAD HORIZONTAL</v>
          </cell>
          <cell r="D4438" t="str">
            <v>3250703</v>
          </cell>
          <cell r="E4438" t="str">
            <v>portaldelosalpespereira@gmail.com</v>
          </cell>
          <cell r="F4438" t="str">
            <v>CL 8 BIS 15 33</v>
          </cell>
          <cell r="G4438">
            <v>66001</v>
          </cell>
        </row>
        <row r="4439">
          <cell r="A4439" t="str">
            <v>900191332</v>
          </cell>
          <cell r="B4439" t="str">
            <v>3</v>
          </cell>
          <cell r="C4439" t="str">
            <v>CENTRO MEDICO PREVENIMOS S.A.S</v>
          </cell>
          <cell r="D4439" t="str">
            <v>3252956</v>
          </cell>
          <cell r="E4439" t="str">
            <v>facturacioncmp@hotmail.com</v>
          </cell>
          <cell r="F4439" t="str">
            <v>CALLE 10  12 BIS  11</v>
          </cell>
          <cell r="G4439">
            <v>66001</v>
          </cell>
        </row>
        <row r="4440">
          <cell r="A4440" t="str">
            <v>900211816</v>
          </cell>
          <cell r="B4440" t="str">
            <v>3</v>
          </cell>
          <cell r="C4440" t="str">
            <v>EDIFICIO SOL DEL ESTE PH</v>
          </cell>
          <cell r="D4440" t="str">
            <v>3240770</v>
          </cell>
          <cell r="E4440" t="str">
            <v>soldelesteadmon@gmail.com</v>
          </cell>
          <cell r="F4440" t="str">
            <v>CARRERA 17  9  50</v>
          </cell>
          <cell r="G4440">
            <v>66001</v>
          </cell>
        </row>
        <row r="4441">
          <cell r="A4441" t="str">
            <v>900214510</v>
          </cell>
          <cell r="B4441" t="str">
            <v>9</v>
          </cell>
          <cell r="C4441" t="str">
            <v>CONJUNTO RESIDENCIAL LA JULIA - PROPIEDAD HORIZONTAL</v>
          </cell>
          <cell r="D4441" t="str">
            <v>3214470</v>
          </cell>
          <cell r="E4441" t="str">
            <v>contabilidadlajulia@gmail.com</v>
          </cell>
          <cell r="F4441" t="str">
            <v>CARRERA 20  9  63</v>
          </cell>
          <cell r="G4441">
            <v>66001</v>
          </cell>
        </row>
        <row r="4442">
          <cell r="A4442" t="str">
            <v>900225828</v>
          </cell>
          <cell r="B4442" t="str">
            <v>2</v>
          </cell>
          <cell r="C4442" t="str">
            <v>EDIFICIO MIRADOR DE LOS ALPES PROPIEDAD HORIZONTAL</v>
          </cell>
          <cell r="D4442" t="str">
            <v>3252361</v>
          </cell>
          <cell r="E4442" t="str">
            <v>edificiomiradordelosalpes@gmail.com</v>
          </cell>
          <cell r="F4442" t="str">
            <v>CALLE 10  15 B  40</v>
          </cell>
          <cell r="G4442">
            <v>66001</v>
          </cell>
        </row>
        <row r="4443">
          <cell r="A4443" t="str">
            <v>900230701</v>
          </cell>
          <cell r="B4443" t="str">
            <v>6</v>
          </cell>
          <cell r="C4443" t="str">
            <v>A RAMIREZ Y COMPAÑIA HOTEL PINARES PLAZA S. C. A</v>
          </cell>
          <cell r="D4443">
            <v>3219664011</v>
          </cell>
          <cell r="E4443" t="str">
            <v>contabilidad@hotelpinaresplaza.com</v>
          </cell>
          <cell r="F4443" t="str">
            <v>CALLE 14  27  31 OFICINA 102</v>
          </cell>
          <cell r="G4443">
            <v>66001</v>
          </cell>
        </row>
        <row r="4444">
          <cell r="A4444" t="str">
            <v>900233771</v>
          </cell>
          <cell r="B4444" t="str">
            <v>5</v>
          </cell>
          <cell r="C4444" t="str">
            <v>EDIFICIO ALPES RESERVADO - PROPIEDAD HORIZONTAL</v>
          </cell>
          <cell r="D4444" t="str">
            <v>3448198</v>
          </cell>
          <cell r="E4444" t="str">
            <v>esteban6018@hotmail.com</v>
          </cell>
          <cell r="F4444" t="str">
            <v>CARRERA 16  9  17</v>
          </cell>
          <cell r="G4444">
            <v>66001</v>
          </cell>
        </row>
        <row r="4445">
          <cell r="A4445" t="str">
            <v>900295077</v>
          </cell>
          <cell r="B4445" t="str">
            <v>7</v>
          </cell>
          <cell r="C4445" t="str">
            <v>RESERVA DEL CAMPESTRE LOFT RESORT - PROPIEDAD HORIZONTAL</v>
          </cell>
          <cell r="D4445" t="str">
            <v>3132550</v>
          </cell>
          <cell r="E4445" t="str">
            <v>reservadelcampestreloft@gmail.com</v>
          </cell>
          <cell r="F4445" t="str">
            <v>KILOMETRO 11 VIA CERRITO CARTAGO</v>
          </cell>
          <cell r="G4445">
            <v>66001</v>
          </cell>
        </row>
        <row r="4446">
          <cell r="A4446" t="str">
            <v>900322879</v>
          </cell>
          <cell r="B4446" t="str">
            <v>3</v>
          </cell>
          <cell r="C4446" t="str">
            <v>CONJUNTO RESIDENCIAL PORTAL DE LA PRADERA P.H.</v>
          </cell>
          <cell r="D4446" t="str">
            <v>3113127514</v>
          </cell>
          <cell r="E4446" t="str">
            <v>juanuribe1973@hotmail.com</v>
          </cell>
          <cell r="F4446" t="str">
            <v>CARRERA 16  20 A  41</v>
          </cell>
          <cell r="G4446">
            <v>66001</v>
          </cell>
        </row>
        <row r="4447">
          <cell r="A4447" t="str">
            <v>900341497</v>
          </cell>
          <cell r="B4447" t="str">
            <v>4</v>
          </cell>
          <cell r="C4447" t="str">
            <v>MEGACENTRO PINARES - PROPIEDAD HORIZONTAL</v>
          </cell>
          <cell r="D4447" t="str">
            <v>3213222</v>
          </cell>
          <cell r="E4447" t="str">
            <v>administrativa@megacentropinares.com</v>
          </cell>
          <cell r="F4447" t="str">
            <v>CARRERA 19  12  50</v>
          </cell>
          <cell r="G4447">
            <v>66001</v>
          </cell>
        </row>
        <row r="4448">
          <cell r="A4448" t="str">
            <v>900354174</v>
          </cell>
          <cell r="B4448" t="str">
            <v>7</v>
          </cell>
          <cell r="C4448" t="str">
            <v>EDIFICIO MONTECANELO PROPIEDAD HORIZONTAL</v>
          </cell>
          <cell r="D4448" t="str">
            <v>3313476</v>
          </cell>
          <cell r="E4448" t="str">
            <v>edificiomontecanelo2018@gmail.com</v>
          </cell>
          <cell r="F4448" t="str">
            <v>CALLE 17  5  57</v>
          </cell>
          <cell r="G4448">
            <v>66001</v>
          </cell>
        </row>
        <row r="4449">
          <cell r="A4449" t="str">
            <v>900466713</v>
          </cell>
          <cell r="B4449" t="str">
            <v>8</v>
          </cell>
          <cell r="C4449" t="str">
            <v>PARQUE RESIDENCIAL SAN MARTIN DE LOS ANDES-PROPIEDAD HORIZONTAL</v>
          </cell>
          <cell r="D4449" t="str">
            <v>3212229</v>
          </cell>
          <cell r="E4449" t="str">
            <v>jogadave7@hotmail.com</v>
          </cell>
          <cell r="F4449" t="str">
            <v>CARRERA 19  11  98</v>
          </cell>
          <cell r="G4449">
            <v>66001</v>
          </cell>
        </row>
        <row r="4450">
          <cell r="A4450" t="str">
            <v>900649251</v>
          </cell>
          <cell r="B4450" t="str">
            <v>3</v>
          </cell>
          <cell r="C4450" t="str">
            <v>EDIFICACION MIXTA LAGO PLAZA II PROPIEDAD HORIZONTAL</v>
          </cell>
          <cell r="D4450" t="str">
            <v>3113127514</v>
          </cell>
          <cell r="E4450" t="str">
            <v>juanuribe1973@hotmail.com</v>
          </cell>
          <cell r="F4450" t="str">
            <v>CALLE 22  8  52</v>
          </cell>
          <cell r="G4450">
            <v>66001</v>
          </cell>
        </row>
        <row r="4451">
          <cell r="A4451" t="str">
            <v>900671790</v>
          </cell>
          <cell r="B4451" t="str">
            <v>3</v>
          </cell>
          <cell r="C4451" t="str">
            <v>EDIFICIO BALI - PROPIEDAD HORIZONTAL</v>
          </cell>
          <cell r="D4451" t="str">
            <v>3207537</v>
          </cell>
          <cell r="E4451" t="str">
            <v>netorres7@hotmail.com</v>
          </cell>
          <cell r="F4451" t="str">
            <v>CALLE 13  24  18</v>
          </cell>
          <cell r="G4451">
            <v>66001</v>
          </cell>
        </row>
        <row r="4452">
          <cell r="A4452" t="str">
            <v>900732551</v>
          </cell>
          <cell r="B4452" t="str">
            <v>2</v>
          </cell>
          <cell r="C4452" t="str">
            <v>CONJUNTO RESIDENCIAL TRILOGIA PROPIEDAD HORIZONTAL</v>
          </cell>
          <cell r="D4452" t="str">
            <v>3216345</v>
          </cell>
          <cell r="E4452" t="str">
            <v>trilogiaph@gmail.com</v>
          </cell>
          <cell r="F4452" t="str">
            <v>CARRERA 23  14  148</v>
          </cell>
          <cell r="G4452">
            <v>66001</v>
          </cell>
        </row>
        <row r="4453">
          <cell r="A4453" t="str">
            <v>900826486</v>
          </cell>
          <cell r="B4453" t="str">
            <v>6</v>
          </cell>
          <cell r="C4453" t="str">
            <v>ANTARA APARTAMENTOS PROPIEDAD HORIZONTAL</v>
          </cell>
          <cell r="D4453">
            <v>3219664011</v>
          </cell>
          <cell r="E4453" t="str">
            <v>antaraphpereira@gmail.com</v>
          </cell>
          <cell r="F4453" t="str">
            <v>CALLE 17  26  13</v>
          </cell>
          <cell r="G4453">
            <v>66001</v>
          </cell>
        </row>
        <row r="4454">
          <cell r="A4454" t="str">
            <v>901006748</v>
          </cell>
          <cell r="B4454" t="str">
            <v>6</v>
          </cell>
          <cell r="C4454" t="str">
            <v>EDIFICIO VITRA BUSINESS &amp; HOME - PROPIEDAD HORIZONTAL</v>
          </cell>
          <cell r="D4454" t="str">
            <v>3162278328</v>
          </cell>
          <cell r="E4454" t="str">
            <v>edificiovitraadmon@gmail.com</v>
          </cell>
          <cell r="F4454" t="str">
            <v>CARRERA 15  11  38</v>
          </cell>
          <cell r="G4454">
            <v>66001</v>
          </cell>
        </row>
        <row r="4455">
          <cell r="A4455" t="str">
            <v>901008104</v>
          </cell>
          <cell r="B4455" t="str">
            <v>2</v>
          </cell>
          <cell r="C4455" t="str">
            <v>EDIFICIO LA CANDELARIA - PROPIEDAD HORIZONTAL</v>
          </cell>
          <cell r="D4455" t="str">
            <v>3314050</v>
          </cell>
          <cell r="E4455" t="str">
            <v>candelariapropiedad@gmail.com</v>
          </cell>
          <cell r="F4455" t="str">
            <v>CARRERA 16  4 B  15</v>
          </cell>
          <cell r="G4455">
            <v>66001</v>
          </cell>
        </row>
        <row r="4456">
          <cell r="A4456" t="str">
            <v>901035292</v>
          </cell>
          <cell r="B4456" t="str">
            <v>3</v>
          </cell>
          <cell r="C4456" t="str">
            <v>CONJUNTO RESIDENCIAL PALO DE AGUA P.H.</v>
          </cell>
          <cell r="D4456" t="str">
            <v>3108465836</v>
          </cell>
          <cell r="E4456" t="str">
            <v>palodeaguaph@gmail.com</v>
          </cell>
          <cell r="F4456" t="str">
            <v>CALLE 82  34  100</v>
          </cell>
          <cell r="G4456">
            <v>66001</v>
          </cell>
        </row>
        <row r="4457">
          <cell r="A4457" t="str">
            <v>901075665</v>
          </cell>
          <cell r="B4457" t="str">
            <v>8</v>
          </cell>
          <cell r="C4457" t="str">
            <v>BANSURI HOTEL GROUP S.A.S.</v>
          </cell>
          <cell r="D4457" t="str">
            <v>6063347081</v>
          </cell>
          <cell r="E4457" t="str">
            <v>restrepod@ferratoinversiones.com</v>
          </cell>
          <cell r="F4457" t="str">
            <v>VEREDA LOS PLANES KM5 VIA CERRITOS PEREIRA ENTRADA 16 CADENA EL TIGRE BELMONTE ASTURIAS LOTE 3</v>
          </cell>
          <cell r="G4457">
            <v>66001</v>
          </cell>
        </row>
        <row r="4458">
          <cell r="A4458" t="str">
            <v>901087177</v>
          </cell>
          <cell r="B4458" t="str">
            <v>7</v>
          </cell>
          <cell r="C4458" t="str">
            <v>EDIFICIO SERRAMONTTI- PROPIEDAD HORIZONTAL</v>
          </cell>
          <cell r="D4458" t="str">
            <v>3007875678</v>
          </cell>
          <cell r="E4458" t="str">
            <v>edificioserramonttiph@gmail.com</v>
          </cell>
          <cell r="F4458" t="str">
            <v>CALLE 12  27  64</v>
          </cell>
          <cell r="G4458">
            <v>66001</v>
          </cell>
        </row>
        <row r="4459">
          <cell r="A4459" t="str">
            <v>901215816</v>
          </cell>
          <cell r="B4459" t="str">
            <v>5</v>
          </cell>
          <cell r="C4459" t="str">
            <v>EDIFICIO MARTINEKO PROPIEDAD HORIZONTAL</v>
          </cell>
          <cell r="D4459" t="str">
            <v>606- 3408053</v>
          </cell>
          <cell r="E4459" t="str">
            <v>edificiomartineko@gmail.com</v>
          </cell>
          <cell r="F4459" t="str">
            <v>CL 13 CR 4 12 A 70</v>
          </cell>
          <cell r="G4459">
            <v>66001</v>
          </cell>
        </row>
        <row r="4460">
          <cell r="A4460" t="str">
            <v>901231316</v>
          </cell>
          <cell r="B4460" t="str">
            <v>1</v>
          </cell>
          <cell r="C4460" t="str">
            <v>INGEENIAR S.A.</v>
          </cell>
          <cell r="D4460" t="str">
            <v>3195577552</v>
          </cell>
          <cell r="E4460" t="str">
            <v>contador@ingeniarproyectos.com</v>
          </cell>
          <cell r="F4460" t="str">
            <v>CARRERA 21 N 14 20 BARRIO ALAMOS</v>
          </cell>
          <cell r="G4460">
            <v>66001</v>
          </cell>
        </row>
        <row r="4461">
          <cell r="A4461" t="str">
            <v>901326370</v>
          </cell>
          <cell r="B4461" t="str">
            <v>9</v>
          </cell>
          <cell r="C4461" t="str">
            <v>EDIFICIO TIRRENIA PROPIEDAD-HORIZONTAL</v>
          </cell>
          <cell r="D4461">
            <v>3219664011</v>
          </cell>
          <cell r="E4461" t="str">
            <v>eglfacturacionph@gmail.com</v>
          </cell>
          <cell r="F4461" t="str">
            <v>CRA 23 02-04</v>
          </cell>
          <cell r="G4461">
            <v>66001</v>
          </cell>
        </row>
        <row r="4462">
          <cell r="A4462" t="str">
            <v>901329117</v>
          </cell>
          <cell r="B4462" t="str">
            <v>5</v>
          </cell>
          <cell r="C4462" t="str">
            <v>IVORY CONSTRUCCIONES S.A.S.</v>
          </cell>
          <cell r="D4462" t="str">
            <v>3128905408</v>
          </cell>
          <cell r="E4462" t="str">
            <v>IVORYFACTURACION@GMAIL.COM</v>
          </cell>
          <cell r="F4462" t="str">
            <v>CR 16 BIS 8 42</v>
          </cell>
          <cell r="G4462">
            <v>66001</v>
          </cell>
        </row>
        <row r="4463">
          <cell r="A4463" t="str">
            <v>901341312</v>
          </cell>
          <cell r="B4463" t="str">
            <v>4</v>
          </cell>
          <cell r="C4463" t="str">
            <v>EDIFICIO TORRE EPIC PINARES - PROPIEDAD HORIZONTAL</v>
          </cell>
          <cell r="D4463" t="str">
            <v>3183728858</v>
          </cell>
          <cell r="E4463" t="str">
            <v>torreepicph@gmail.com</v>
          </cell>
          <cell r="F4463" t="str">
            <v>CARRERA 17 10-37</v>
          </cell>
          <cell r="G4463">
            <v>66001</v>
          </cell>
        </row>
        <row r="4464">
          <cell r="A4464" t="str">
            <v>901495709</v>
          </cell>
          <cell r="B4464" t="str">
            <v>5</v>
          </cell>
          <cell r="C4464" t="str">
            <v>CONJUNTO RESIDENCIAL NOBORI – PROPIEDAD HORIZONTAL</v>
          </cell>
          <cell r="D4464" t="str">
            <v>3204910526</v>
          </cell>
          <cell r="E4464" t="str">
            <v>conjuntonoboriph@gmail.com</v>
          </cell>
          <cell r="F4464" t="str">
            <v>CL 153 22 40</v>
          </cell>
          <cell r="G4464">
            <v>66001</v>
          </cell>
        </row>
        <row r="4465">
          <cell r="A4465" t="str">
            <v>901505941</v>
          </cell>
          <cell r="B4465" t="str">
            <v>2</v>
          </cell>
          <cell r="C4465" t="str">
            <v>CONJUNTO RESIDENCIAL Y COMERCIAL CAÑADULCE - PROPIEDAD HORIZONTAL</v>
          </cell>
          <cell r="D4465" t="str">
            <v>311398634</v>
          </cell>
          <cell r="E4465" t="str">
            <v>canadulceph@gmail.com</v>
          </cell>
          <cell r="F4465" t="str">
            <v>AVENIDA 30 DE AGOSTO 74 05</v>
          </cell>
          <cell r="G4465">
            <v>66001</v>
          </cell>
        </row>
        <row r="4466">
          <cell r="A4466" t="str">
            <v>901564720</v>
          </cell>
          <cell r="B4466" t="str">
            <v>3</v>
          </cell>
          <cell r="C4466" t="str">
            <v>BELA VISTA CIUDAD NATURAL S.A.S</v>
          </cell>
          <cell r="D4466" t="str">
            <v>3246426</v>
          </cell>
          <cell r="E4466" t="str">
            <v>contabilidad@raizconstructora.com.co</v>
          </cell>
          <cell r="F4466" t="str">
            <v>CR 15 15 50 LC 103 EX CC PEREIRA PLAZA</v>
          </cell>
          <cell r="G4466">
            <v>66001</v>
          </cell>
        </row>
        <row r="4467">
          <cell r="A4467" t="str">
            <v>901598176</v>
          </cell>
          <cell r="B4467" t="str">
            <v>2</v>
          </cell>
          <cell r="C4467" t="str">
            <v>CONJUNTO RESIDENCIA LA GRAN RESERVA PALMA -PROPIEDAD HORIZONTAL</v>
          </cell>
          <cell r="D4467" t="str">
            <v>3178527809</v>
          </cell>
          <cell r="E4467" t="str">
            <v>contabilidadpalmalagranreserva@gmail.com</v>
          </cell>
          <cell r="F4467" t="str">
            <v>AV SUR 36 A 87 SEC  NARANJITO</v>
          </cell>
          <cell r="G4467">
            <v>66001</v>
          </cell>
        </row>
        <row r="4468">
          <cell r="A4468" t="str">
            <v>1087984808</v>
          </cell>
          <cell r="B4468" t="str">
            <v>3</v>
          </cell>
          <cell r="C4468" t="str">
            <v>ALEXANDER VASCO ALZATE</v>
          </cell>
          <cell r="D4468" t="str">
            <v>3225242</v>
          </cell>
          <cell r="E4468" t="str">
            <v>hotelveneton@gmail.com</v>
          </cell>
          <cell r="F4468" t="str">
            <v>CARRERA 13  34  30  PISO 2</v>
          </cell>
          <cell r="G4468">
            <v>66170</v>
          </cell>
        </row>
        <row r="4469">
          <cell r="A4469" t="str">
            <v>800131881</v>
          </cell>
          <cell r="B4469" t="str">
            <v>6</v>
          </cell>
          <cell r="C4469" t="str">
            <v>CENTRO COMERCIAL PLAZA DEL SOL - PROPIEDAD HORIZONTAL</v>
          </cell>
          <cell r="D4469" t="str">
            <v>3225565</v>
          </cell>
          <cell r="E4469" t="str">
            <v>plazadelsolccom@hotmail.com</v>
          </cell>
          <cell r="F4469" t="str">
            <v>CARRERA 16  24  70</v>
          </cell>
          <cell r="G4469">
            <v>66170</v>
          </cell>
        </row>
        <row r="4470">
          <cell r="A4470" t="str">
            <v>810002455</v>
          </cell>
          <cell r="B4470" t="str">
            <v>5</v>
          </cell>
          <cell r="C4470" t="str">
            <v>CONSTRUCCIONES CFC &amp; ASOCIADOS S.A.S - BIC</v>
          </cell>
          <cell r="D4470" t="str">
            <v>3006321851</v>
          </cell>
          <cell r="E4470" t="str">
            <v>canalfacturas@cfcya.co</v>
          </cell>
          <cell r="F4470" t="str">
            <v>CR 23 62 39 P 11</v>
          </cell>
          <cell r="G4470">
            <v>66170</v>
          </cell>
        </row>
        <row r="4471">
          <cell r="A4471" t="str">
            <v>900368894</v>
          </cell>
          <cell r="B4471" t="str">
            <v>2</v>
          </cell>
          <cell r="C4471" t="str">
            <v>CONJUNTO RESIDENCIAL Y COMERCIAL PORTAL DEL PARQUE - PROPIEDAD HORIZONTAL</v>
          </cell>
          <cell r="D4471" t="str">
            <v>3429855</v>
          </cell>
          <cell r="E4471" t="str">
            <v>portaldelparquep.h@gmail.com</v>
          </cell>
          <cell r="F4471" t="str">
            <v>CALLE 15  16  108 LOCAL 18</v>
          </cell>
          <cell r="G4471">
            <v>66170</v>
          </cell>
        </row>
        <row r="4472">
          <cell r="A4472" t="str">
            <v>900928271</v>
          </cell>
          <cell r="B4472" t="str">
            <v>8</v>
          </cell>
          <cell r="C4472" t="str">
            <v>EDIFICIO ALICANTE P.H.</v>
          </cell>
          <cell r="D4472" t="str">
            <v>3288552</v>
          </cell>
          <cell r="E4472" t="str">
            <v>alicanteph@gmail.com</v>
          </cell>
          <cell r="F4472" t="str">
            <v>CARRERA 8  15  165</v>
          </cell>
          <cell r="G4472">
            <v>66170</v>
          </cell>
        </row>
        <row r="4473">
          <cell r="A4473" t="str">
            <v>900992879</v>
          </cell>
          <cell r="B4473" t="str">
            <v>7</v>
          </cell>
          <cell r="C4473" t="str">
            <v>CONJUNTO RESIDENCIAL TORRES AMBAR APARTAMENTOS P.H.</v>
          </cell>
          <cell r="D4473" t="str">
            <v>3168641</v>
          </cell>
          <cell r="E4473" t="str">
            <v>torresambarapartamentos@gmail.com</v>
          </cell>
          <cell r="F4473" t="str">
            <v>DIAGONAL 25  25 B  234</v>
          </cell>
          <cell r="G4473">
            <v>66170</v>
          </cell>
        </row>
        <row r="4474">
          <cell r="A4474" t="str">
            <v>900993226</v>
          </cell>
          <cell r="B4474" t="str">
            <v>2</v>
          </cell>
          <cell r="C4474" t="str">
            <v>URBANIZACION PORTAL DEL ANGEL P.H.</v>
          </cell>
          <cell r="D4474" t="str">
            <v>3162878105</v>
          </cell>
          <cell r="E4474" t="str">
            <v>portaldelangelph@gmail.com</v>
          </cell>
          <cell r="F4474" t="str">
            <v>CARRERA 9  47 A  125</v>
          </cell>
          <cell r="G4474">
            <v>66170</v>
          </cell>
        </row>
        <row r="4475">
          <cell r="A4475" t="str">
            <v>901092699</v>
          </cell>
          <cell r="B4475" t="str">
            <v>1</v>
          </cell>
          <cell r="C4475" t="str">
            <v>CONJUNTO CERRADO PARQUE JARDIN P.H.</v>
          </cell>
          <cell r="D4475" t="str">
            <v>3217592874</v>
          </cell>
          <cell r="E4475" t="str">
            <v>parquejardinadmon@gmail.com</v>
          </cell>
          <cell r="F4475" t="str">
            <v>TV 26 42 30 CONJUNTO CERRADO PARQUE JARDIN</v>
          </cell>
          <cell r="G4475">
            <v>66170</v>
          </cell>
        </row>
        <row r="4476">
          <cell r="A4476" t="str">
            <v>901140915</v>
          </cell>
          <cell r="B4476" t="str">
            <v>2</v>
          </cell>
          <cell r="C4476" t="str">
            <v>CONJUNTO RESIDENCIAL TORRES DE SANTA MARTA PROPIEDAD HORIZONTAL</v>
          </cell>
          <cell r="D4476" t="str">
            <v>3183308434</v>
          </cell>
          <cell r="E4476" t="str">
            <v>crtorresdesantamartaph@gmail.com</v>
          </cell>
          <cell r="F4476" t="str">
            <v>CARRERA 8 A  15  107</v>
          </cell>
          <cell r="G4476">
            <v>66170</v>
          </cell>
        </row>
        <row r="4477">
          <cell r="A4477" t="str">
            <v>901270447</v>
          </cell>
          <cell r="B4477" t="str">
            <v>4</v>
          </cell>
          <cell r="C4477" t="str">
            <v>CONJUNTO RESIDENCIAL BOREAL PROPIEDAD HORIZONTAL</v>
          </cell>
          <cell r="D4477" t="str">
            <v>3022501606</v>
          </cell>
          <cell r="E4477" t="str">
            <v>borealph.01@gmail.com</v>
          </cell>
          <cell r="F4477" t="str">
            <v>CL 8 31 177</v>
          </cell>
          <cell r="G4477">
            <v>66170</v>
          </cell>
        </row>
        <row r="4478">
          <cell r="A4478" t="str">
            <v>901276066</v>
          </cell>
          <cell r="B4478" t="str">
            <v>9</v>
          </cell>
          <cell r="C4478" t="str">
            <v>CONJUNTO CERRADO METROPOLITAN CLUB RESIDENCIAL</v>
          </cell>
          <cell r="D4478" t="str">
            <v>3148957823</v>
          </cell>
          <cell r="E4478" t="str">
            <v>metropolitanclubresidencial1@gmail.com</v>
          </cell>
          <cell r="F4478" t="str">
            <v>CRA 21 35 68</v>
          </cell>
          <cell r="G4478">
            <v>66170</v>
          </cell>
        </row>
        <row r="4479">
          <cell r="A4479" t="str">
            <v>901373411</v>
          </cell>
          <cell r="B4479" t="str">
            <v>2</v>
          </cell>
          <cell r="C4479" t="str">
            <v>CONJUNTO CERRADO MONSERRATE PH</v>
          </cell>
          <cell r="D4479" t="str">
            <v>3165784396</v>
          </cell>
          <cell r="E4479" t="str">
            <v>phasesoriasintegrales@gmail.com</v>
          </cell>
          <cell r="F4479" t="str">
            <v>CR 21 A 15 20 SEC LOS ALMENDROS ARBOLEDA NEXT DEL AREA URBANA DEL MUNICIPIO DE DOSQUEBRADAS</v>
          </cell>
          <cell r="G4479">
            <v>66170</v>
          </cell>
        </row>
        <row r="4480">
          <cell r="A4480" t="str">
            <v>901389184</v>
          </cell>
          <cell r="B4480" t="str">
            <v>5</v>
          </cell>
          <cell r="C4480" t="str">
            <v>CONJUNTO CERRADO MAJESTIC</v>
          </cell>
          <cell r="D4480" t="str">
            <v>3182324927</v>
          </cell>
          <cell r="E4480" t="str">
            <v>centralparkmajestic@gmail.com</v>
          </cell>
          <cell r="F4480" t="str">
            <v>TV 35 3 D 101 VIA JAPON FRAILES DOSQUEBRADAS</v>
          </cell>
          <cell r="G4480">
            <v>66170</v>
          </cell>
        </row>
        <row r="4481">
          <cell r="A4481" t="str">
            <v>901450738</v>
          </cell>
          <cell r="B4481" t="str">
            <v>5</v>
          </cell>
          <cell r="C4481" t="str">
            <v>EDIFICIO SANTA MARIA DE MILAN P.H.</v>
          </cell>
          <cell r="D4481" t="str">
            <v>3217603350</v>
          </cell>
          <cell r="E4481" t="str">
            <v>edsantamariademilan@gmail.com</v>
          </cell>
          <cell r="F4481" t="str">
            <v>TRANSVERSAL 21 DIAGONAL 25 F 15</v>
          </cell>
          <cell r="G4481">
            <v>66170</v>
          </cell>
        </row>
        <row r="4482">
          <cell r="A4482" t="str">
            <v>901623033</v>
          </cell>
          <cell r="B4482" t="str">
            <v>5</v>
          </cell>
          <cell r="C4482" t="str">
            <v>CONJUNTO CERRADO ACQUA HILLS</v>
          </cell>
          <cell r="D4482" t="str">
            <v>3182324927</v>
          </cell>
          <cell r="E4482" t="str">
            <v>conjuntoacquahillsph@gmail.com</v>
          </cell>
          <cell r="F4482" t="str">
            <v>DG 3 34 T 02 SEC VIA FRAILES</v>
          </cell>
          <cell r="G4482">
            <v>66170</v>
          </cell>
        </row>
        <row r="4483">
          <cell r="A4483" t="str">
            <v>901668934</v>
          </cell>
          <cell r="B4483" t="str">
            <v>1</v>
          </cell>
          <cell r="C4483" t="str">
            <v>CONJUNTO CERRADO MAJESTIC II</v>
          </cell>
          <cell r="D4483" t="str">
            <v>3116484411</v>
          </cell>
          <cell r="E4483" t="str">
            <v>admmajesticii@outlook.com</v>
          </cell>
          <cell r="F4483" t="str">
            <v>TV 35 DG 2 74 SEC VIA FRAILES JAPON</v>
          </cell>
          <cell r="G4483">
            <v>66170</v>
          </cell>
        </row>
        <row r="4484">
          <cell r="A4484" t="str">
            <v>816007746</v>
          </cell>
          <cell r="B4484" t="str">
            <v>8</v>
          </cell>
          <cell r="C4484" t="str">
            <v>FAM SOCIEDAD POR ACCIONES SIMPLIFICADAS</v>
          </cell>
          <cell r="D4484">
            <v>3219664011</v>
          </cell>
          <cell r="E4484" t="str">
            <v>816007746@factureinbox.com</v>
          </cell>
          <cell r="F4484" t="str">
            <v>CALLE 14  15  41</v>
          </cell>
          <cell r="G4484">
            <v>66682</v>
          </cell>
        </row>
        <row r="4485">
          <cell r="A4485" t="str">
            <v>900712828</v>
          </cell>
          <cell r="B4485" t="str">
            <v>1</v>
          </cell>
          <cell r="C4485" t="str">
            <v>CONJUNTO SIERRA VERDE PH ETAPA I</v>
          </cell>
          <cell r="D4485" t="str">
            <v>3655116</v>
          </cell>
          <cell r="E4485" t="str">
            <v>sierraverdeph@gmail.com</v>
          </cell>
          <cell r="F4485" t="str">
            <v>CALLE 5  4  211</v>
          </cell>
          <cell r="G4485">
            <v>66682</v>
          </cell>
        </row>
        <row r="4486">
          <cell r="A4486" t="str">
            <v>901343082</v>
          </cell>
          <cell r="B4486" t="str">
            <v>4</v>
          </cell>
          <cell r="C4486" t="str">
            <v>CONJUNTO RESIDENCIAL CERRADO ALTOS DE MONSERRATE PH</v>
          </cell>
          <cell r="D4486" t="str">
            <v>3651855</v>
          </cell>
          <cell r="E4486" t="str">
            <v>altosdemonserrateph360@gmail.com</v>
          </cell>
          <cell r="F4486" t="str">
            <v>CALLE 13 CARRERA 3A</v>
          </cell>
          <cell r="G4486">
            <v>66682</v>
          </cell>
        </row>
        <row r="4487">
          <cell r="A4487" t="str">
            <v>901542570</v>
          </cell>
          <cell r="B4487" t="str">
            <v>0</v>
          </cell>
          <cell r="C4487" t="str">
            <v>EDIFICIO 14K - PROPIEDAD HORIZONTAL</v>
          </cell>
          <cell r="D4487" t="str">
            <v>321 729 3565</v>
          </cell>
          <cell r="E4487" t="str">
            <v>facturacion@estiloingenieria.com</v>
          </cell>
          <cell r="F4487" t="str">
            <v>CARRERA 14 # 18- 13</v>
          </cell>
          <cell r="G4487">
            <v>66682</v>
          </cell>
        </row>
        <row r="4488">
          <cell r="A4488" t="str">
            <v>901780575</v>
          </cell>
          <cell r="B4488" t="str">
            <v>7</v>
          </cell>
          <cell r="C4488" t="str">
            <v>EDIFICIO MIRLA SERRANA - PROPIEDAD HORIZONTAL</v>
          </cell>
          <cell r="D4488" t="str">
            <v>3136709723</v>
          </cell>
          <cell r="E4488" t="str">
            <v>mirlaserranaph@gmail.com</v>
          </cell>
          <cell r="F4488" t="str">
            <v>CARRERA 12 No.13-30</v>
          </cell>
          <cell r="G4488">
            <v>66682</v>
          </cell>
        </row>
        <row r="4489">
          <cell r="A4489">
            <v>222222222</v>
          </cell>
          <cell r="B4489" t="str">
            <v/>
          </cell>
          <cell r="C4489" t="str">
            <v>CUANTIAS MENORES</v>
          </cell>
          <cell r="D4489">
            <v>3228184763</v>
          </cell>
          <cell r="E4489" t="str">
            <v>impuestos@estiloingeniera.com</v>
          </cell>
          <cell r="F4489" t="str">
            <v xml:space="preserve">CL 127A 53A 45 TO2 P11 OF1101 </v>
          </cell>
          <cell r="G4489">
            <v>68001</v>
          </cell>
        </row>
        <row r="4490">
          <cell r="A4490" t="str">
            <v>1127914513</v>
          </cell>
          <cell r="B4490" t="str">
            <v>1</v>
          </cell>
          <cell r="C4490" t="str">
            <v>BRAULIO CESAR PARADA SANCHEZ</v>
          </cell>
          <cell r="D4490" t="str">
            <v>3174539639</v>
          </cell>
          <cell r="E4490" t="str">
            <v>coninvasas@gmail.com</v>
          </cell>
          <cell r="F4490" t="str">
            <v>CR 37 52 62 AP 301</v>
          </cell>
          <cell r="G4490">
            <v>68001</v>
          </cell>
        </row>
        <row r="4491">
          <cell r="A4491" t="str">
            <v>13848725</v>
          </cell>
          <cell r="B4491" t="str">
            <v>9</v>
          </cell>
          <cell r="C4491" t="str">
            <v>ALBERTO PACHON MANTILLA</v>
          </cell>
          <cell r="D4491" t="str">
            <v>3106808975</v>
          </cell>
          <cell r="E4491" t="str">
            <v>eamadoa@hotmail.com</v>
          </cell>
          <cell r="F4491" t="str">
            <v>CARRERA 47 A  52  32</v>
          </cell>
          <cell r="G4491">
            <v>68001</v>
          </cell>
        </row>
        <row r="4492">
          <cell r="A4492" t="str">
            <v>28167663</v>
          </cell>
          <cell r="B4492" t="str">
            <v>2</v>
          </cell>
          <cell r="C4492" t="str">
            <v>EMMA SILVA BENAVIDES</v>
          </cell>
          <cell r="D4492" t="str">
            <v>3153812646</v>
          </cell>
          <cell r="E4492" t="str">
            <v>contabilidad55hotel@gmail.com</v>
          </cell>
          <cell r="F4492" t="str">
            <v>CALLE 55H 21-59</v>
          </cell>
          <cell r="G4492">
            <v>68001</v>
          </cell>
        </row>
        <row r="4493">
          <cell r="A4493" t="str">
            <v>37844992</v>
          </cell>
          <cell r="B4493" t="str">
            <v>8</v>
          </cell>
          <cell r="C4493" t="str">
            <v>EDDY ROCIO SANABRIA RODRIGUEZ</v>
          </cell>
          <cell r="D4493" t="str">
            <v>3186001181</v>
          </cell>
          <cell r="E4493" t="str">
            <v>fevpreferencialclass@hotmail.com</v>
          </cell>
          <cell r="F4493" t="str">
            <v>CARRERA 17B #54-12 B RICAUTE</v>
          </cell>
          <cell r="G4493">
            <v>68001</v>
          </cell>
        </row>
        <row r="4494">
          <cell r="A4494" t="str">
            <v>52619438</v>
          </cell>
          <cell r="B4494" t="str">
            <v>1</v>
          </cell>
          <cell r="C4494" t="str">
            <v>MARIA CATALINA MESTRE RINCON</v>
          </cell>
          <cell r="D4494" t="str">
            <v>3188041910</v>
          </cell>
          <cell r="E4494" t="str">
            <v>cmestre72@hotmail.com</v>
          </cell>
          <cell r="F4494" t="str">
            <v>CONJUNTO PEÑON DEL LAGO CASA 6 CONDOMINIO RUITOQUE</v>
          </cell>
          <cell r="G4494">
            <v>68001</v>
          </cell>
        </row>
        <row r="4495">
          <cell r="A4495" t="str">
            <v>5475489</v>
          </cell>
          <cell r="B4495" t="str">
            <v>4</v>
          </cell>
          <cell r="C4495" t="str">
            <v>GONZALO VERA CONTRERAS</v>
          </cell>
          <cell r="D4495" t="str">
            <v>3 2 0 8 5 1 7 6 5 6</v>
          </cell>
          <cell r="E4495" t="str">
            <v>govecon@hotmail.com</v>
          </cell>
          <cell r="F4495" t="str">
            <v>CR 40 42 69 AP 1101 ED ALTOS DEL PINAR</v>
          </cell>
          <cell r="G4495">
            <v>68001</v>
          </cell>
        </row>
        <row r="4496">
          <cell r="A4496" t="str">
            <v>60266827</v>
          </cell>
          <cell r="B4496" t="str">
            <v>4</v>
          </cell>
          <cell r="C4496" t="str">
            <v>YUDY VIVIANA VILLAMIZAR PEREZ</v>
          </cell>
          <cell r="D4496" t="str">
            <v>3112937816</v>
          </cell>
          <cell r="E4496" t="str">
            <v>villamizaryudy60266@gmail.com</v>
          </cell>
          <cell r="F4496" t="str">
            <v>CALLE 18</v>
          </cell>
          <cell r="G4496">
            <v>68001</v>
          </cell>
        </row>
        <row r="4497">
          <cell r="A4497" t="str">
            <v>63513761</v>
          </cell>
          <cell r="B4497" t="str">
            <v>8</v>
          </cell>
          <cell r="C4497" t="str">
            <v>MARIA CAROLINA MARTINEZ CUADROS</v>
          </cell>
          <cell r="D4497" t="str">
            <v>6410005</v>
          </cell>
          <cell r="E4497" t="str">
            <v>contabilidad@hotelesbga.com</v>
          </cell>
          <cell r="F4497" t="str">
            <v>CALLE 56  17 A  77</v>
          </cell>
          <cell r="G4497">
            <v>68001</v>
          </cell>
        </row>
        <row r="4498">
          <cell r="A4498" t="str">
            <v>800010415</v>
          </cell>
          <cell r="B4498" t="str">
            <v>8</v>
          </cell>
          <cell r="C4498" t="str">
            <v>TUPI SOCA LTDA</v>
          </cell>
          <cell r="D4498" t="str">
            <v>6437002</v>
          </cell>
          <cell r="E4498" t="str">
            <v>admonharvi@gmail.com</v>
          </cell>
          <cell r="F4498" t="str">
            <v>CALLE 48  31  14  OICINA 412</v>
          </cell>
          <cell r="G4498">
            <v>68001</v>
          </cell>
        </row>
        <row r="4499">
          <cell r="A4499" t="str">
            <v>800052712</v>
          </cell>
          <cell r="B4499" t="str">
            <v>0</v>
          </cell>
          <cell r="C4499" t="str">
            <v>INVERSIONES HAGAMOS S.A.S.</v>
          </cell>
          <cell r="D4499" t="str">
            <v>6833360</v>
          </cell>
          <cell r="E4499" t="str">
            <v>inversioneshagamos@hotmail.com</v>
          </cell>
          <cell r="F4499" t="str">
            <v>CALLE 77 65 62</v>
          </cell>
          <cell r="G4499">
            <v>68001</v>
          </cell>
        </row>
        <row r="4500">
          <cell r="A4500" t="str">
            <v>800106339</v>
          </cell>
          <cell r="B4500" t="str">
            <v>1</v>
          </cell>
          <cell r="C4500" t="str">
            <v>COLMEDICA MEDICINA PREPAGADA S.A.</v>
          </cell>
          <cell r="D4500" t="str">
            <v>6970969</v>
          </cell>
          <cell r="E4500" t="str">
            <v>ConsueloF@colmedica.com</v>
          </cell>
          <cell r="F4500" t="str">
            <v>CALLE 93  19  25</v>
          </cell>
          <cell r="G4500">
            <v>68001</v>
          </cell>
        </row>
        <row r="4501">
          <cell r="A4501" t="str">
            <v>800106361</v>
          </cell>
          <cell r="B4501" t="str">
            <v>2</v>
          </cell>
          <cell r="C4501" t="str">
            <v>CONJUNTO RESIDENCIAL SINDAMANOY</v>
          </cell>
          <cell r="D4501" t="str">
            <v>6323871</v>
          </cell>
          <cell r="E4501" t="str">
            <v>edificiosindamanoyph@gmail.com</v>
          </cell>
          <cell r="F4501" t="str">
            <v>CARRERA 39 A  44  77</v>
          </cell>
          <cell r="G4501">
            <v>68001</v>
          </cell>
        </row>
        <row r="4502">
          <cell r="A4502" t="str">
            <v>800115283</v>
          </cell>
          <cell r="B4502" t="str">
            <v>4</v>
          </cell>
          <cell r="C4502" t="str">
            <v>EDIFICIO TORRE DE IPACARAI</v>
          </cell>
          <cell r="D4502" t="str">
            <v>6190946</v>
          </cell>
          <cell r="E4502" t="str">
            <v>marinasosabernal9@gmail.com</v>
          </cell>
          <cell r="F4502" t="str">
            <v>CARRERA 41  46  44</v>
          </cell>
          <cell r="G4502">
            <v>68001</v>
          </cell>
        </row>
        <row r="4503">
          <cell r="A4503" t="str">
            <v>800121506</v>
          </cell>
          <cell r="B4503" t="str">
            <v>6</v>
          </cell>
          <cell r="C4503" t="str">
            <v>UNIDAD RESIDENCIAL TORRES DE SOTOMAYOR ETAPAS I Y II</v>
          </cell>
          <cell r="D4503" t="str">
            <v>6434405</v>
          </cell>
          <cell r="E4503" t="str">
            <v>tdsotomayor@hotmail.com</v>
          </cell>
          <cell r="F4503" t="str">
            <v>CALLE 45 BIS  27  75</v>
          </cell>
          <cell r="G4503">
            <v>68001</v>
          </cell>
        </row>
        <row r="4504">
          <cell r="A4504" t="str">
            <v>800122289</v>
          </cell>
          <cell r="B4504" t="str">
            <v>7</v>
          </cell>
          <cell r="C4504" t="str">
            <v>CONJUNTO RESIDENCIAL NORMANDIA</v>
          </cell>
          <cell r="D4504" t="str">
            <v>6437193</v>
          </cell>
          <cell r="E4504" t="str">
            <v>normandiaedificio@gmail.com</v>
          </cell>
          <cell r="F4504" t="str">
            <v>CARRERA 28  45  45</v>
          </cell>
          <cell r="G4504">
            <v>68001</v>
          </cell>
        </row>
        <row r="4505">
          <cell r="A4505" t="str">
            <v>800125173</v>
          </cell>
          <cell r="B4505" t="str">
            <v>5</v>
          </cell>
          <cell r="C4505" t="str">
            <v>EDIFICIO TOSCANA</v>
          </cell>
          <cell r="D4505" t="str">
            <v>6433177</v>
          </cell>
          <cell r="E4505" t="str">
            <v>edificiotoscanabucaramanga@gmail.com</v>
          </cell>
          <cell r="F4505" t="str">
            <v>CR 39 48 110</v>
          </cell>
          <cell r="G4505">
            <v>68001</v>
          </cell>
        </row>
        <row r="4506">
          <cell r="A4506" t="str">
            <v>800131970</v>
          </cell>
          <cell r="B4506" t="str">
            <v>3</v>
          </cell>
          <cell r="C4506" t="str">
            <v>EDIFICIO LA POSADA DE IPANEMA</v>
          </cell>
          <cell r="D4506" t="str">
            <v>6430943</v>
          </cell>
          <cell r="E4506" t="str">
            <v>brenda_yrv@yahoo.es</v>
          </cell>
          <cell r="F4506" t="str">
            <v>CARRERA 36  48  131</v>
          </cell>
          <cell r="G4506">
            <v>68001</v>
          </cell>
        </row>
        <row r="4507">
          <cell r="A4507" t="str">
            <v>800143355</v>
          </cell>
          <cell r="B4507" t="str">
            <v>5</v>
          </cell>
          <cell r="C4507" t="str">
            <v>EDIFICIO MULTIFAMILIAR TORREALTA</v>
          </cell>
          <cell r="D4507" t="str">
            <v>6450073</v>
          </cell>
          <cell r="E4507" t="str">
            <v>admon.edificio_torrealta@hotmail.com</v>
          </cell>
          <cell r="F4507" t="str">
            <v>CARRERA 39  44  42</v>
          </cell>
          <cell r="G4507">
            <v>68001</v>
          </cell>
        </row>
        <row r="4508">
          <cell r="A4508" t="str">
            <v>800179730</v>
          </cell>
          <cell r="B4508" t="str">
            <v>1</v>
          </cell>
          <cell r="C4508" t="str">
            <v>UNIDAD RESIDENCIAL LISBOA ANTIGUA</v>
          </cell>
          <cell r="D4508" t="str">
            <v>3173746107</v>
          </cell>
          <cell r="E4508" t="str">
            <v>edlisboaantigua@gmail.com</v>
          </cell>
          <cell r="F4508" t="str">
            <v>CARRERA 39 A  41  22</v>
          </cell>
          <cell r="G4508">
            <v>68001</v>
          </cell>
        </row>
        <row r="4509">
          <cell r="A4509" t="str">
            <v>800211372</v>
          </cell>
          <cell r="B4509" t="str">
            <v>2</v>
          </cell>
          <cell r="C4509" t="str">
            <v>UNIDAD RESIDENCIAL LOS OBELISCOS</v>
          </cell>
          <cell r="D4509" t="str">
            <v>6575279</v>
          </cell>
          <cell r="E4509" t="str">
            <v>edificiolosobeliscos@gmail.com</v>
          </cell>
          <cell r="F4509" t="str">
            <v>CARRERA 28  54  54</v>
          </cell>
          <cell r="G4509">
            <v>68001</v>
          </cell>
        </row>
        <row r="4510">
          <cell r="A4510" t="str">
            <v>800227090</v>
          </cell>
          <cell r="B4510" t="str">
            <v>0</v>
          </cell>
          <cell r="C4510" t="str">
            <v>EDIFICIO PONFERRADA</v>
          </cell>
          <cell r="D4510" t="str">
            <v>6479985</v>
          </cell>
          <cell r="E4510" t="str">
            <v>admonponferrada@gmail.com</v>
          </cell>
          <cell r="F4510" t="str">
            <v>CL 51 28 81</v>
          </cell>
          <cell r="G4510">
            <v>68001</v>
          </cell>
        </row>
        <row r="4511">
          <cell r="A4511" t="str">
            <v>800229161</v>
          </cell>
          <cell r="B4511" t="str">
            <v>4</v>
          </cell>
          <cell r="C4511" t="str">
            <v>EDIFICIO LA ESTRELLA DE LA MAÑANA</v>
          </cell>
          <cell r="D4511" t="str">
            <v>6571956</v>
          </cell>
          <cell r="E4511" t="str">
            <v>edificiolaestrella.44@gmail.com</v>
          </cell>
          <cell r="F4511" t="str">
            <v>CALLE 44  35  41  APARTAMENTO 501</v>
          </cell>
          <cell r="G4511">
            <v>68001</v>
          </cell>
        </row>
        <row r="4512">
          <cell r="A4512" t="str">
            <v>800236265</v>
          </cell>
          <cell r="B4512" t="str">
            <v>0</v>
          </cell>
          <cell r="C4512" t="str">
            <v>EDIFICIO BAKARY</v>
          </cell>
          <cell r="D4512" t="str">
            <v>3143575485</v>
          </cell>
          <cell r="E4512" t="str">
            <v>esperanza_admon@hotmail.com</v>
          </cell>
          <cell r="F4512" t="str">
            <v>CARRERA 26  41  12  APARTAMENTO 201</v>
          </cell>
          <cell r="G4512">
            <v>68001</v>
          </cell>
        </row>
        <row r="4513">
          <cell r="A4513" t="str">
            <v>800242463</v>
          </cell>
          <cell r="B4513" t="str">
            <v>7</v>
          </cell>
          <cell r="C4513" t="str">
            <v>EDIFICIO ALCARAVAN</v>
          </cell>
          <cell r="D4513" t="str">
            <v>6459135</v>
          </cell>
          <cell r="E4513" t="str">
            <v>alcaravancabecera@hotmail.com</v>
          </cell>
          <cell r="F4513" t="str">
            <v>CARRERA 38  41  77</v>
          </cell>
          <cell r="G4513">
            <v>68001</v>
          </cell>
        </row>
        <row r="4514">
          <cell r="A4514" t="str">
            <v>800243134</v>
          </cell>
          <cell r="B4514" t="str">
            <v>3</v>
          </cell>
          <cell r="C4514" t="str">
            <v>CONJUNTO RESIDENCIAL TORRELADERA</v>
          </cell>
          <cell r="D4514" t="str">
            <v>6452459</v>
          </cell>
          <cell r="E4514" t="str">
            <v>crtorreladera@gmail.com</v>
          </cell>
          <cell r="F4514" t="str">
            <v>CR 40  42  06 16 20 BRR CABECERA</v>
          </cell>
          <cell r="G4514">
            <v>68001</v>
          </cell>
        </row>
        <row r="4515">
          <cell r="A4515" t="str">
            <v>800247065</v>
          </cell>
          <cell r="B4515" t="str">
            <v>1</v>
          </cell>
          <cell r="C4515" t="str">
            <v>EDIFICIO BRITANIA</v>
          </cell>
          <cell r="D4515" t="str">
            <v>6437025</v>
          </cell>
          <cell r="E4515" t="str">
            <v>britania27a.ph@gmail.com</v>
          </cell>
          <cell r="F4515" t="str">
            <v>CRR 27A 42 - 51</v>
          </cell>
          <cell r="G4515">
            <v>68001</v>
          </cell>
        </row>
        <row r="4516">
          <cell r="A4516" t="str">
            <v>800250720</v>
          </cell>
          <cell r="B4516" t="str">
            <v>9</v>
          </cell>
          <cell r="C4516" t="str">
            <v>CENTRO INTERNACIONAL DE NEGOCIOS LA TRIADA</v>
          </cell>
          <cell r="D4516" t="str">
            <v>6421235</v>
          </cell>
          <cell r="E4516" t="str">
            <v>cinlatriada@hotmail.com</v>
          </cell>
          <cell r="F4516" t="str">
            <v>CALLE 35  19  41 OFICINA 610</v>
          </cell>
          <cell r="G4516">
            <v>68001</v>
          </cell>
        </row>
        <row r="4517">
          <cell r="A4517" t="str">
            <v>800251440</v>
          </cell>
          <cell r="B4517" t="str">
            <v>6</v>
          </cell>
          <cell r="C4517" t="str">
            <v>ENTIDAD PROMOTORA DE SALUD SANITAS S A S - EN INTERVENCION BAJO LA MEDIDA DE TOMA DE POSESION</v>
          </cell>
          <cell r="D4517" t="str">
            <v>6466060</v>
          </cell>
          <cell r="E4517" t="str">
            <v>recepcionfead@fe.keralty.com</v>
          </cell>
          <cell r="F4517" t="str">
            <v>AC 100 11 B 95</v>
          </cell>
          <cell r="G4517">
            <v>68001</v>
          </cell>
        </row>
        <row r="4518">
          <cell r="A4518" t="str">
            <v>800251602</v>
          </cell>
          <cell r="B4518" t="str">
            <v>2</v>
          </cell>
          <cell r="C4518" t="str">
            <v>EDIFICIO MULTIFAMILIAR VILLA REAL</v>
          </cell>
          <cell r="D4518" t="str">
            <v>3176807419</v>
          </cell>
          <cell r="E4518" t="str">
            <v>edificiomultifamiliarvillareal@hotmail.com</v>
          </cell>
          <cell r="F4518" t="str">
            <v>CARRERA 37  44  60</v>
          </cell>
          <cell r="G4518">
            <v>68001</v>
          </cell>
        </row>
        <row r="4519">
          <cell r="A4519" t="str">
            <v>800254511</v>
          </cell>
          <cell r="B4519" t="str">
            <v>4</v>
          </cell>
          <cell r="C4519" t="str">
            <v>EDIFICIO BUCARAL</v>
          </cell>
          <cell r="D4519" t="str">
            <v>6456052</v>
          </cell>
          <cell r="E4519" t="str">
            <v>edificiobucaral44@gmail.com</v>
          </cell>
          <cell r="F4519" t="str">
            <v>CALLE 31  29  44</v>
          </cell>
          <cell r="G4519">
            <v>68001</v>
          </cell>
        </row>
        <row r="4520">
          <cell r="A4520" t="str">
            <v>800255926</v>
          </cell>
          <cell r="B4520" t="str">
            <v>1</v>
          </cell>
          <cell r="C4520" t="str">
            <v>EDIFICIO MONTELLANO</v>
          </cell>
          <cell r="D4520" t="str">
            <v>6323047</v>
          </cell>
          <cell r="E4520" t="str">
            <v>edificiomontellano@gmail.com</v>
          </cell>
          <cell r="F4520" t="str">
            <v>CARRERA 39 A  42  83</v>
          </cell>
          <cell r="G4520">
            <v>68001</v>
          </cell>
        </row>
        <row r="4521">
          <cell r="A4521" t="str">
            <v>800255971</v>
          </cell>
          <cell r="B4521" t="str">
            <v>3</v>
          </cell>
          <cell r="C4521" t="str">
            <v>CONJUNTO RESIDENCIAL EDIFICIO PRISMA</v>
          </cell>
          <cell r="D4521" t="str">
            <v>6473885</v>
          </cell>
          <cell r="E4521" t="str">
            <v>edificioprisma@hotmail.com</v>
          </cell>
          <cell r="F4521" t="str">
            <v>CARRERA 28  54  28</v>
          </cell>
          <cell r="G4521">
            <v>68001</v>
          </cell>
        </row>
        <row r="4522">
          <cell r="A4522" t="str">
            <v>804000181</v>
          </cell>
          <cell r="B4522" t="str">
            <v>1</v>
          </cell>
          <cell r="C4522" t="str">
            <v>CONJUNTO RESIDENCIAL CARRARA</v>
          </cell>
          <cell r="D4522">
            <v>3219664011</v>
          </cell>
          <cell r="E4522" t="str">
            <v>crcarrara_ph@hotmail.com</v>
          </cell>
          <cell r="F4522" t="str">
            <v>CARRERA 39  46  79</v>
          </cell>
          <cell r="G4522">
            <v>68001</v>
          </cell>
        </row>
        <row r="4523">
          <cell r="A4523" t="str">
            <v>804000252</v>
          </cell>
          <cell r="B4523" t="str">
            <v>6</v>
          </cell>
          <cell r="C4523" t="str">
            <v>EDIFICIO SAINT PIERRE</v>
          </cell>
          <cell r="D4523" t="str">
            <v>6435732</v>
          </cell>
          <cell r="E4523" t="str">
            <v>admon.edificio_saintpierre@hotmail.com</v>
          </cell>
          <cell r="F4523" t="str">
            <v>CARRERA 28  47  03</v>
          </cell>
          <cell r="G4523">
            <v>68001</v>
          </cell>
        </row>
        <row r="4524">
          <cell r="A4524" t="str">
            <v>804000538</v>
          </cell>
          <cell r="B4524" t="str">
            <v>7</v>
          </cell>
          <cell r="C4524" t="str">
            <v>EDIFICIO MULTIFAMILIAR PLAZA PRESTIGIO</v>
          </cell>
          <cell r="D4524" t="str">
            <v>6578557</v>
          </cell>
          <cell r="E4524" t="str">
            <v>soniacortez2@hotmail.com</v>
          </cell>
          <cell r="F4524" t="str">
            <v>CALLE 45  27 A  73</v>
          </cell>
          <cell r="G4524">
            <v>68001</v>
          </cell>
        </row>
        <row r="4525">
          <cell r="A4525" t="str">
            <v>804000561</v>
          </cell>
          <cell r="B4525" t="str">
            <v>7</v>
          </cell>
          <cell r="C4525" t="str">
            <v>PROMOTORA HOTELERA Y TURISTICA LA TRIADA S.A.</v>
          </cell>
          <cell r="D4525" t="str">
            <v>6422410</v>
          </cell>
          <cell r="E4525" t="str">
            <v>804000561@FACTUREINBOX.CO</v>
          </cell>
          <cell r="F4525" t="str">
            <v>CARRERA 20  34  22</v>
          </cell>
          <cell r="G4525">
            <v>68001</v>
          </cell>
        </row>
        <row r="4526">
          <cell r="A4526" t="str">
            <v>804000634</v>
          </cell>
          <cell r="B4526" t="str">
            <v>6</v>
          </cell>
          <cell r="C4526" t="str">
            <v>CONJUNTO MULTIFAMILIAR COLINAS DE MONTEBELLO</v>
          </cell>
          <cell r="D4526" t="str">
            <v>6571909</v>
          </cell>
          <cell r="E4526" t="str">
            <v>colinasdemontebellobga@gmail.com</v>
          </cell>
          <cell r="F4526" t="str">
            <v>CALLE 48  32  14 OFICINA 412</v>
          </cell>
          <cell r="G4526">
            <v>68001</v>
          </cell>
        </row>
        <row r="4527">
          <cell r="A4527" t="str">
            <v>804000714</v>
          </cell>
          <cell r="B4527" t="str">
            <v>7</v>
          </cell>
          <cell r="C4527" t="str">
            <v>EDIFICIO EL PLAZA</v>
          </cell>
          <cell r="D4527" t="str">
            <v>6422661</v>
          </cell>
          <cell r="E4527" t="str">
            <v>elplazacentroprofesional@gmail.com</v>
          </cell>
          <cell r="F4527" t="str">
            <v>CALLE 35  12  76</v>
          </cell>
          <cell r="G4527">
            <v>68001</v>
          </cell>
        </row>
        <row r="4528">
          <cell r="A4528" t="str">
            <v>804000986</v>
          </cell>
          <cell r="B4528" t="str">
            <v>3</v>
          </cell>
          <cell r="C4528" t="str">
            <v>EDIFICIO POSADA PRINCESS</v>
          </cell>
          <cell r="D4528" t="str">
            <v>6575233</v>
          </cell>
          <cell r="E4528" t="str">
            <v>edificioposadaprincess@gmail.com</v>
          </cell>
          <cell r="F4528" t="str">
            <v>CARRERA 39  46  120</v>
          </cell>
          <cell r="G4528">
            <v>68001</v>
          </cell>
        </row>
        <row r="4529">
          <cell r="A4529" t="str">
            <v>804001010</v>
          </cell>
          <cell r="B4529" t="str">
            <v>5</v>
          </cell>
          <cell r="C4529" t="str">
            <v>CONDOMINIO FERRAMONTI</v>
          </cell>
          <cell r="D4529" t="str">
            <v>6190946</v>
          </cell>
          <cell r="E4529" t="str">
            <v>marinasosabernal9@gmail.com</v>
          </cell>
          <cell r="F4529" t="str">
            <v>CARRERA 38 A  46  47</v>
          </cell>
          <cell r="G4529">
            <v>68001</v>
          </cell>
        </row>
        <row r="4530">
          <cell r="A4530" t="str">
            <v>804001521</v>
          </cell>
          <cell r="B4530" t="str">
            <v>7</v>
          </cell>
          <cell r="C4530" t="str">
            <v>UNIDAD RESIDENCIAL EL PORTAL DE LA SIERRA</v>
          </cell>
          <cell r="D4530" t="str">
            <v>6435636</v>
          </cell>
          <cell r="E4530" t="str">
            <v>ur.portaldelasierra@gmail.com</v>
          </cell>
          <cell r="F4530" t="str">
            <v>CALLE 44  36  30</v>
          </cell>
          <cell r="G4530">
            <v>68001</v>
          </cell>
        </row>
        <row r="4531">
          <cell r="A4531" t="str">
            <v>804001861</v>
          </cell>
          <cell r="B4531" t="str">
            <v>6</v>
          </cell>
          <cell r="C4531" t="str">
            <v>EDIFICIO JAN LUI</v>
          </cell>
          <cell r="D4531" t="str">
            <v>6457176</v>
          </cell>
          <cell r="E4531" t="str">
            <v>edificiojanlui33@gmail.com</v>
          </cell>
          <cell r="F4531" t="str">
            <v>CARRERA 20  36  06  OFICINA 506</v>
          </cell>
          <cell r="G4531">
            <v>68001</v>
          </cell>
        </row>
        <row r="4532">
          <cell r="A4532" t="str">
            <v>804001890</v>
          </cell>
          <cell r="B4532" t="str">
            <v>1</v>
          </cell>
          <cell r="C4532" t="str">
            <v>UNIVERSIDAD DE SANTANDER</v>
          </cell>
          <cell r="D4532" t="str">
            <v>6 5 1 6 5 0 0</v>
          </cell>
          <cell r="E4532" t="str">
            <v>804001890@factureinbox.co</v>
          </cell>
          <cell r="F4532" t="str">
            <v>CR 29 47 32 BRR SOTOMAYOR</v>
          </cell>
          <cell r="G4532">
            <v>68001</v>
          </cell>
        </row>
        <row r="4533">
          <cell r="A4533" t="str">
            <v>804002203</v>
          </cell>
          <cell r="B4533" t="str">
            <v>4</v>
          </cell>
          <cell r="C4533" t="str">
            <v>EDIFICIO TORRES DEL PALMAR</v>
          </cell>
          <cell r="D4533" t="str">
            <v>3163379407</v>
          </cell>
          <cell r="E4533" t="str">
            <v>admon.torresdepalmar@gmail.com</v>
          </cell>
          <cell r="F4533" t="str">
            <v>CL 44 28 80 ED TORRES DEL PALMAR - BRR SOTOMAYOR</v>
          </cell>
          <cell r="G4533">
            <v>68001</v>
          </cell>
        </row>
        <row r="4534">
          <cell r="A4534" t="str">
            <v>804002373</v>
          </cell>
          <cell r="B4534" t="str">
            <v>8</v>
          </cell>
          <cell r="C4534" t="str">
            <v>EDIFICIO VALDIVIA</v>
          </cell>
          <cell r="D4534" t="str">
            <v>6349064</v>
          </cell>
          <cell r="E4534" t="str">
            <v>admon.edificiovaldivia@gmail.com</v>
          </cell>
          <cell r="F4534" t="str">
            <v>AVENIDA 2  47  44</v>
          </cell>
          <cell r="G4534">
            <v>68001</v>
          </cell>
        </row>
        <row r="4535">
          <cell r="A4535" t="str">
            <v>804002445</v>
          </cell>
          <cell r="B4535" t="str">
            <v>1</v>
          </cell>
          <cell r="C4535" t="str">
            <v>UNIDAD RESIDENCIAL KALINKA</v>
          </cell>
          <cell r="D4535" t="str">
            <v>6573249</v>
          </cell>
          <cell r="E4535" t="str">
            <v>edificiokalinka@hotmail.com</v>
          </cell>
          <cell r="F4535" t="str">
            <v>CALLE 49  27 A  28</v>
          </cell>
          <cell r="G4535">
            <v>68001</v>
          </cell>
        </row>
        <row r="4536">
          <cell r="A4536" t="str">
            <v>804002738</v>
          </cell>
          <cell r="B4536" t="str">
            <v>2</v>
          </cell>
          <cell r="C4536" t="str">
            <v>UNIDAD RESIDENCIAL ZARDOYA</v>
          </cell>
          <cell r="D4536" t="str">
            <v>6430053</v>
          </cell>
          <cell r="E4536" t="str">
            <v>evenlynmvargas@hotmail.com</v>
          </cell>
          <cell r="F4536" t="str">
            <v>CARRERA 29  51  07</v>
          </cell>
          <cell r="G4536">
            <v>68001</v>
          </cell>
        </row>
        <row r="4537">
          <cell r="A4537" t="str">
            <v>804003441</v>
          </cell>
          <cell r="B4537" t="str">
            <v>5</v>
          </cell>
          <cell r="C4537" t="str">
            <v>CONJUNTO RESIDENCIAL ALTOS DE TAJAMAR</v>
          </cell>
          <cell r="D4537" t="str">
            <v>6317613</v>
          </cell>
          <cell r="E4537" t="str">
            <v>altosdetajamar1@gmail.com</v>
          </cell>
          <cell r="F4537" t="str">
            <v>ANILLO BALCON DEL TEJAR 33 336</v>
          </cell>
          <cell r="G4537">
            <v>68001</v>
          </cell>
        </row>
        <row r="4538">
          <cell r="A4538" t="str">
            <v>804003527</v>
          </cell>
          <cell r="B4538" t="str">
            <v>1</v>
          </cell>
          <cell r="C4538" t="str">
            <v>CONJUNTO RESIDENCIAL Y COMERCIAL RIVIERA PLAZA</v>
          </cell>
          <cell r="D4538" t="str">
            <v>6327513</v>
          </cell>
          <cell r="E4538" t="str">
            <v>conjuntorivieraplaza@hotmail.com</v>
          </cell>
          <cell r="F4538" t="str">
            <v>CL 33 32 153</v>
          </cell>
          <cell r="G4538">
            <v>68001</v>
          </cell>
        </row>
        <row r="4539">
          <cell r="A4539" t="str">
            <v>804004265</v>
          </cell>
          <cell r="B4539" t="str">
            <v>1</v>
          </cell>
          <cell r="C4539" t="str">
            <v>CONJUNTO RESIDENCIAL CIUDAD ACROPOLIS SECTOR 2 TORRE 1, 2 Y 3</v>
          </cell>
          <cell r="D4539" t="str">
            <v>6417634</v>
          </cell>
          <cell r="E4539" t="str">
            <v>conjuntociudadacropolis@gmail.com</v>
          </cell>
          <cell r="F4539" t="str">
            <v>AVENIDA 15  122  75 OFICINA 405</v>
          </cell>
          <cell r="G4539">
            <v>68001</v>
          </cell>
        </row>
        <row r="4540">
          <cell r="A4540" t="str">
            <v>804004668</v>
          </cell>
          <cell r="B4540" t="str">
            <v>4</v>
          </cell>
          <cell r="C4540" t="str">
            <v>EDIFICIO CAMPESTRE COUNTRY</v>
          </cell>
          <cell r="D4540" t="str">
            <v>3107668029</v>
          </cell>
          <cell r="E4540" t="str">
            <v>consultar19@hotmail.com</v>
          </cell>
          <cell r="F4540" t="str">
            <v>CALLE 49  28  59</v>
          </cell>
          <cell r="G4540">
            <v>68001</v>
          </cell>
        </row>
        <row r="4541">
          <cell r="A4541" t="str">
            <v>804005009</v>
          </cell>
          <cell r="B4541" t="str">
            <v>5</v>
          </cell>
          <cell r="C4541" t="str">
            <v>EDIFICIO MULTIFAMILIAR BOSTON PLAZA</v>
          </cell>
          <cell r="D4541" t="str">
            <v>3125661811</v>
          </cell>
          <cell r="E4541" t="str">
            <v>edif_bostonplaza@hotmail.com</v>
          </cell>
          <cell r="F4541" t="str">
            <v>CARRERA 22  31  41</v>
          </cell>
          <cell r="G4541">
            <v>68001</v>
          </cell>
        </row>
        <row r="4542">
          <cell r="A4542" t="str">
            <v>804006414</v>
          </cell>
          <cell r="B4542" t="str">
            <v>1</v>
          </cell>
          <cell r="C4542" t="str">
            <v>EDIFICIO MONTEARROYO PROPIEDAD HORIZONTAL</v>
          </cell>
          <cell r="D4542" t="str">
            <v>6349090</v>
          </cell>
          <cell r="E4542" t="str">
            <v>edmontearroyoph@gmail.com</v>
          </cell>
          <cell r="F4542" t="str">
            <v>CARRERA 41  40  97</v>
          </cell>
          <cell r="G4542">
            <v>68001</v>
          </cell>
        </row>
        <row r="4543">
          <cell r="A4543" t="str">
            <v>804008673</v>
          </cell>
          <cell r="B4543" t="str">
            <v>1</v>
          </cell>
          <cell r="C4543" t="str">
            <v>SUPERCENTRO COMERCIAL ACROPOLIS</v>
          </cell>
          <cell r="D4543" t="str">
            <v>6418097</v>
          </cell>
          <cell r="E4543" t="str">
            <v>contabilidad@ccacropolis.co</v>
          </cell>
          <cell r="F4543" t="str">
            <v>AV. SAMANES
9 140 P 3 ADMON</v>
          </cell>
          <cell r="G4543">
            <v>68001</v>
          </cell>
        </row>
        <row r="4544">
          <cell r="A4544" t="str">
            <v>804008792</v>
          </cell>
          <cell r="B4544" t="str">
            <v>8</v>
          </cell>
          <cell r="C4544" t="str">
            <v>FORPRESALUD I.P.S SAS</v>
          </cell>
          <cell r="D4544" t="str">
            <v>6456905</v>
          </cell>
          <cell r="E4544" t="str">
            <v>facturacion@forpresalud.com.co</v>
          </cell>
          <cell r="F4544" t="str">
            <v>CL  35 28 21</v>
          </cell>
          <cell r="G4544">
            <v>68001</v>
          </cell>
        </row>
        <row r="4545">
          <cell r="A4545" t="str">
            <v>804013299</v>
          </cell>
          <cell r="B4545" t="str">
            <v>8</v>
          </cell>
          <cell r="C4545" t="str">
            <v>EDIFICIO TERRANOVA</v>
          </cell>
          <cell r="D4545" t="str">
            <v>6475087</v>
          </cell>
          <cell r="E4545" t="str">
            <v>eyamo_2908@hotmail.com</v>
          </cell>
          <cell r="F4545" t="str">
            <v>CARRERA 34  42  54</v>
          </cell>
          <cell r="G4545">
            <v>68001</v>
          </cell>
        </row>
        <row r="4546">
          <cell r="A4546" t="str">
            <v>804016032</v>
          </cell>
          <cell r="B4546" t="str">
            <v>2</v>
          </cell>
          <cell r="C4546" t="str">
            <v>EDIFICIO UNIDAD RESIDENCIAL PROCYON</v>
          </cell>
          <cell r="D4546" t="str">
            <v>3174029136</v>
          </cell>
          <cell r="E4546" t="str">
            <v>unreprocyon@gmail.com</v>
          </cell>
          <cell r="F4546" t="str">
            <v>CALLE 18 No 31 - 44</v>
          </cell>
          <cell r="G4546">
            <v>68001</v>
          </cell>
        </row>
        <row r="4547">
          <cell r="A4547" t="str">
            <v>805003626</v>
          </cell>
          <cell r="B4547" t="str">
            <v>4</v>
          </cell>
          <cell r="C4547" t="str">
            <v>STF GROUP S.A.</v>
          </cell>
          <cell r="D4547" t="str">
            <v>6850000</v>
          </cell>
          <cell r="E4547" t="str">
            <v>radicacionfacturas@studiof.com.co</v>
          </cell>
          <cell r="F4547" t="str">
            <v>CARRERA 7  52 N  99</v>
          </cell>
          <cell r="G4547">
            <v>68001</v>
          </cell>
        </row>
        <row r="4548">
          <cell r="A4548" t="str">
            <v>811005425</v>
          </cell>
          <cell r="B4548" t="str">
            <v>1</v>
          </cell>
          <cell r="C4548" t="str">
            <v>CORPORACION UNIVERSITARIA REMINGTON</v>
          </cell>
          <cell r="D4548" t="str">
            <v>6 0 4 3 2 2 1 0 0 0</v>
          </cell>
          <cell r="E4548" t="str">
            <v>facturacion@uniremington.edu.co</v>
          </cell>
          <cell r="F4548" t="str">
            <v>CL 51 51 27</v>
          </cell>
          <cell r="G4548">
            <v>68001</v>
          </cell>
        </row>
        <row r="4549">
          <cell r="A4549" t="str">
            <v>860020290</v>
          </cell>
          <cell r="B4549" t="str">
            <v>5</v>
          </cell>
          <cell r="C4549" t="str">
            <v>HERMANITAS DE LOS POBRES DE SAN PEDRO CLAVER</v>
          </cell>
          <cell r="D4549" t="str">
            <v>6427389</v>
          </cell>
          <cell r="E4549" t="str">
            <v>refugiohpspc21@gmail.com</v>
          </cell>
          <cell r="F4549" t="str">
            <v>CARRERA 11  33  14</v>
          </cell>
          <cell r="G4549">
            <v>68001</v>
          </cell>
        </row>
        <row r="4550">
          <cell r="A4550" t="str">
            <v>860029924</v>
          </cell>
          <cell r="B4550" t="str">
            <v>7</v>
          </cell>
          <cell r="C4550" t="str">
            <v>UNIVERSIDAD COOPERATIVA DE COLOMBIA</v>
          </cell>
          <cell r="D4550" t="str">
            <v>3112781877</v>
          </cell>
          <cell r="E4550" t="str">
            <v>facturacion@estiloingenieria.com</v>
          </cell>
          <cell r="F4550" t="str">
            <v>Avenida Caracas No. 37 63</v>
          </cell>
          <cell r="G4550">
            <v>68001</v>
          </cell>
        </row>
        <row r="4551">
          <cell r="A4551" t="str">
            <v>890200106</v>
          </cell>
          <cell r="B4551" t="str">
            <v>1</v>
          </cell>
          <cell r="C4551" t="str">
            <v>CAJA SANTANDEREANA DE SUBSIDIO FAMILIAR CAJASAN</v>
          </cell>
          <cell r="D4551" t="str">
            <v>6434444</v>
          </cell>
          <cell r="E4551" t="str">
            <v>recepcionfacturacionelectronica@cajasan.com</v>
          </cell>
          <cell r="F4551" t="str">
            <v>CALLE 56  27  15</v>
          </cell>
          <cell r="G4551">
            <v>68001</v>
          </cell>
        </row>
        <row r="4552">
          <cell r="A4552" t="str">
            <v>890200499</v>
          </cell>
          <cell r="B4552" t="str">
            <v>9</v>
          </cell>
          <cell r="C4552" t="str">
            <v>UNIVERSIDAD AUTONOMA DE BUCARAMANGA-UNAB</v>
          </cell>
          <cell r="D4552" t="str">
            <v>6436111</v>
          </cell>
          <cell r="E4552" t="str">
            <v>recepcionfacturas@unab.edu.co</v>
          </cell>
          <cell r="F4552" t="str">
            <v>AVENIDA 42  48  11</v>
          </cell>
          <cell r="G4552">
            <v>68001</v>
          </cell>
        </row>
        <row r="4553">
          <cell r="A4553" t="str">
            <v>890201201</v>
          </cell>
          <cell r="B4553" t="str">
            <v>6</v>
          </cell>
          <cell r="C4553" t="str">
            <v>OTACC S.A.S.</v>
          </cell>
          <cell r="D4553" t="str">
            <v>6435675</v>
          </cell>
          <cell r="E4553" t="str">
            <v>efactura@otacc.com</v>
          </cell>
          <cell r="F4553" t="str">
            <v>CL 49 27 A 34 BRR SOTOMAYOR</v>
          </cell>
          <cell r="G4553">
            <v>68001</v>
          </cell>
        </row>
        <row r="4554">
          <cell r="A4554" t="str">
            <v>890201213</v>
          </cell>
          <cell r="B4554" t="str">
            <v>4</v>
          </cell>
          <cell r="C4554" t="str">
            <v>UNIVERSIDAD INDUSTRIAL DE SANTANDER</v>
          </cell>
          <cell r="D4554" t="str">
            <v>6344000</v>
          </cell>
          <cell r="E4554" t="str">
            <v>facturacion.electron@uis.edu.co</v>
          </cell>
          <cell r="F4554" t="str">
            <v>CR 27 CL 9 UIS</v>
          </cell>
          <cell r="G4554">
            <v>68001</v>
          </cell>
        </row>
        <row r="4555">
          <cell r="A4555" t="str">
            <v>890201222</v>
          </cell>
          <cell r="B4555">
            <v>0</v>
          </cell>
          <cell r="C4555" t="str">
            <v>MUNICIPIO DE BUCARAMANGA</v>
          </cell>
          <cell r="D4555">
            <v>6076337000</v>
          </cell>
          <cell r="E4555" t="str">
            <v>contactenos@bucaramanga.gov.co</v>
          </cell>
          <cell r="F4555" t="str">
            <v xml:space="preserve"> Calle 35 # 10-43</v>
          </cell>
          <cell r="G4555">
            <v>68001</v>
          </cell>
        </row>
        <row r="4556">
          <cell r="A4556" t="str">
            <v>890201235</v>
          </cell>
          <cell r="B4556" t="str">
            <v>6</v>
          </cell>
          <cell r="C4556" t="str">
            <v>DEPARTAMENTO DE SANTANDER</v>
          </cell>
          <cell r="D4556" t="str">
            <v>6339666</v>
          </cell>
          <cell r="E4556" t="str">
            <v>info@santander.gov.co</v>
          </cell>
          <cell r="F4556" t="str">
            <v>CL 37  10  30 PALACIO AMARILLO</v>
          </cell>
          <cell r="G4556">
            <v>68001</v>
          </cell>
        </row>
        <row r="4557">
          <cell r="A4557" t="str">
            <v>890201578</v>
          </cell>
          <cell r="B4557" t="str">
            <v>7</v>
          </cell>
          <cell r="C4557" t="str">
            <v>CAJA DE COMPENSACION FAMILIAR COMFENALCO SANTANDER</v>
          </cell>
          <cell r="D4557" t="str">
            <v>6575829</v>
          </cell>
          <cell r="E4557" t="str">
            <v>radicacion@comfenalcosantander.com.co</v>
          </cell>
          <cell r="F4557" t="str">
            <v>AVENIDA GONZALEZ VALENCIA  52  69</v>
          </cell>
          <cell r="G4557">
            <v>68001</v>
          </cell>
        </row>
        <row r="4558">
          <cell r="A4558" t="str">
            <v>890203975</v>
          </cell>
          <cell r="B4558" t="str">
            <v>7</v>
          </cell>
          <cell r="C4558" t="str">
            <v>INVERSORA HOTELERA COLOMBIANA S.A.</v>
          </cell>
          <cell r="D4558" t="str">
            <v>6343000</v>
          </cell>
          <cell r="E4558" t="str">
            <v>facturaelectronica.chicamocha@solarhoteles.com</v>
          </cell>
          <cell r="F4558" t="str">
            <v>CALLE 31  31  24</v>
          </cell>
          <cell r="G4558">
            <v>68001</v>
          </cell>
        </row>
        <row r="4559">
          <cell r="A4559" t="str">
            <v>890206193</v>
          </cell>
          <cell r="B4559" t="str">
            <v>8</v>
          </cell>
          <cell r="C4559" t="str">
            <v>EDIFICIO GUALANDAY</v>
          </cell>
          <cell r="D4559">
            <v>3219664011</v>
          </cell>
          <cell r="E4559" t="str">
            <v>rebeca.mejia.villamizar@hotmail.com</v>
          </cell>
          <cell r="F4559" t="str">
            <v>CARRERA 20  34  47</v>
          </cell>
          <cell r="G4559">
            <v>68001</v>
          </cell>
        </row>
        <row r="4560">
          <cell r="A4560" t="str">
            <v>890206395</v>
          </cell>
          <cell r="B4560" t="str">
            <v>9</v>
          </cell>
          <cell r="C4560" t="str">
            <v>UNIDAD RESIDENCIAL CABECERA DEL LLANO</v>
          </cell>
          <cell r="D4560" t="str">
            <v>36344865</v>
          </cell>
          <cell r="E4560" t="str">
            <v>urcll2012@hotmail.com</v>
          </cell>
          <cell r="F4560" t="str">
            <v>CL 4138 95 105</v>
          </cell>
          <cell r="G4560">
            <v>68001</v>
          </cell>
        </row>
        <row r="4561">
          <cell r="A4561" t="str">
            <v>890208727</v>
          </cell>
          <cell r="B4561" t="str">
            <v>1</v>
          </cell>
          <cell r="C4561" t="str">
            <v>UNIDADES TECNOLOGICAS DE SANTANDER</v>
          </cell>
          <cell r="D4561" t="str">
            <v>6917700</v>
          </cell>
          <cell r="E4561" t="str">
            <v>infraestructura@correo.uts.edu.co</v>
          </cell>
          <cell r="F4561" t="str">
            <v>AVENIDA LOS ESTUDIANTES No. 9-82</v>
          </cell>
          <cell r="G4561">
            <v>68001</v>
          </cell>
        </row>
        <row r="4562">
          <cell r="A4562" t="str">
            <v>890212317</v>
          </cell>
          <cell r="B4562" t="str">
            <v>9</v>
          </cell>
          <cell r="C4562" t="str">
            <v>JUNTA DE PROPIETARIOS DEL EDIFICIO LLANO ALTO</v>
          </cell>
          <cell r="D4562" t="str">
            <v>6479945</v>
          </cell>
          <cell r="E4562" t="str">
            <v>edificiollanoalto12@gmail.com</v>
          </cell>
          <cell r="F4562" t="str">
            <v>CARRERA 39  46  84</v>
          </cell>
          <cell r="G4562">
            <v>68001</v>
          </cell>
        </row>
        <row r="4563">
          <cell r="A4563" t="str">
            <v>890212433</v>
          </cell>
          <cell r="B4563" t="str">
            <v>5</v>
          </cell>
          <cell r="C4563" t="str">
            <v>CORPORACION UNIVERSIDAD DE INVESTIGACION Y DESARROLLO UDI</v>
          </cell>
          <cell r="D4563" t="str">
            <v>6352525</v>
          </cell>
          <cell r="E4563" t="str">
            <v>contabilidad@udi.edu.co</v>
          </cell>
          <cell r="F4563" t="str">
            <v>CALLE 9  23  55</v>
          </cell>
          <cell r="G4563">
            <v>68001</v>
          </cell>
        </row>
        <row r="4564">
          <cell r="A4564" t="str">
            <v>890212568</v>
          </cell>
          <cell r="B4564" t="str">
            <v>0</v>
          </cell>
          <cell r="C4564" t="str">
            <v>FUNDACIÓN CARDIOVASCULAR DE COLOMBIA</v>
          </cell>
          <cell r="D4564" t="str">
            <v>6399292</v>
          </cell>
          <cell r="E4564" t="str">
            <v>felectronicacte@fcv.org</v>
          </cell>
          <cell r="F4564" t="str">
            <v xml:space="preserve"> Km 7 Autopista Bucaramanga Piedecuesta, Valle de Menzuly Piso 4</v>
          </cell>
          <cell r="G4564">
            <v>68001</v>
          </cell>
        </row>
        <row r="4565">
          <cell r="A4565" t="str">
            <v>890286793</v>
          </cell>
          <cell r="B4565" t="str">
            <v>9</v>
          </cell>
          <cell r="C4565" t="str">
            <v>UNIDAD RESIDENCIAL COOPMAGISTERIO V</v>
          </cell>
          <cell r="D4565" t="str">
            <v>3012296931</v>
          </cell>
          <cell r="E4565" t="str">
            <v>rumarmo@hotmail.com</v>
          </cell>
          <cell r="F4565" t="str">
            <v>CALLE 40  28 A  20</v>
          </cell>
          <cell r="G4565">
            <v>68001</v>
          </cell>
        </row>
        <row r="4566">
          <cell r="A4566" t="str">
            <v>900026307</v>
          </cell>
          <cell r="B4566" t="str">
            <v>3</v>
          </cell>
          <cell r="C4566" t="str">
            <v>CONJUNTO RESIDENCIAL ALTO ALTO</v>
          </cell>
          <cell r="D4566" t="str">
            <v>3156754333</v>
          </cell>
          <cell r="E4566" t="str">
            <v>Edificioalto2020@hotmail.com</v>
          </cell>
          <cell r="F4566" t="str">
            <v>CALLE 41  37  82</v>
          </cell>
          <cell r="G4566">
            <v>68001</v>
          </cell>
        </row>
        <row r="4567">
          <cell r="A4567" t="str">
            <v>900038024</v>
          </cell>
          <cell r="B4567" t="str">
            <v>6</v>
          </cell>
          <cell r="C4567" t="str">
            <v>ALIANZA DIAGNÓSTICA S.A</v>
          </cell>
          <cell r="D4567" t="str">
            <v>6 4 7 4 7 8 8</v>
          </cell>
          <cell r="E4567" t="str">
            <v>facturacionelectronica@alianzadiagnosticasa.com.co</v>
          </cell>
          <cell r="F4567" t="str">
            <v>CL 45 29 55</v>
          </cell>
          <cell r="G4567">
            <v>68001</v>
          </cell>
        </row>
        <row r="4568">
          <cell r="A4568" t="str">
            <v>900086731</v>
          </cell>
          <cell r="B4568" t="str">
            <v>1</v>
          </cell>
          <cell r="C4568" t="str">
            <v>EDIFICIO MONTENOVA</v>
          </cell>
          <cell r="D4568" t="str">
            <v>3002379900</v>
          </cell>
          <cell r="E4568" t="str">
            <v>edificiomontenova@hotmail.com</v>
          </cell>
          <cell r="F4568" t="str">
            <v>CL 66 45 33 BRR LA FLORESTA</v>
          </cell>
          <cell r="G4568">
            <v>68001</v>
          </cell>
        </row>
        <row r="4569">
          <cell r="A4569" t="str">
            <v>900093411</v>
          </cell>
          <cell r="B4569" t="str">
            <v>7</v>
          </cell>
          <cell r="C4569" t="str">
            <v>URBANIZADORA MARTINEZ ESPARZA SAS</v>
          </cell>
          <cell r="D4569">
            <v>3219664011</v>
          </cell>
          <cell r="E4569" t="str">
            <v>recepcion@urbamares.com</v>
          </cell>
          <cell r="F4569" t="str">
            <v>CALLE 36  20  28  OFICINA 207</v>
          </cell>
          <cell r="G4569">
            <v>68001</v>
          </cell>
        </row>
        <row r="4570">
          <cell r="A4570" t="str">
            <v>900094020</v>
          </cell>
          <cell r="B4570" t="str">
            <v>5</v>
          </cell>
          <cell r="C4570" t="str">
            <v>CENTRO COMERCIAL PANAMA</v>
          </cell>
          <cell r="D4570" t="str">
            <v>6304985</v>
          </cell>
          <cell r="E4570" t="str">
            <v>centrocomercialpanama@yahoo.es</v>
          </cell>
          <cell r="F4570" t="str">
            <v>CALLE 37  16  02</v>
          </cell>
          <cell r="G4570">
            <v>68001</v>
          </cell>
        </row>
        <row r="4571">
          <cell r="A4571" t="str">
            <v>900101736</v>
          </cell>
          <cell r="B4571" t="str">
            <v>0</v>
          </cell>
          <cell r="C4571" t="str">
            <v>COOPERATIVA MULTIACTIVA DE SERVICIOS INTEGRALES GESTIONARBIENESTAR</v>
          </cell>
          <cell r="D4571" t="str">
            <v>6346002</v>
          </cell>
          <cell r="E4571" t="str">
            <v>recepcionfacturas.gestionar@gestionarbienestar.com</v>
          </cell>
          <cell r="F4571" t="str">
            <v>CALLE 64 NORTE  5 B  146</v>
          </cell>
          <cell r="G4571">
            <v>68001</v>
          </cell>
        </row>
        <row r="4572">
          <cell r="A4572" t="str">
            <v>900117722</v>
          </cell>
          <cell r="B4572" t="str">
            <v>8</v>
          </cell>
          <cell r="C4572" t="str">
            <v>EDIFICIO MULTIFAMILIAR VALVERDE</v>
          </cell>
          <cell r="D4572" t="str">
            <v>6956340</v>
          </cell>
          <cell r="E4572" t="str">
            <v>multifamiliarvalverde@gmail.com</v>
          </cell>
          <cell r="F4572" t="str">
            <v>CARRERA 27 A  48  94</v>
          </cell>
          <cell r="G4572">
            <v>68001</v>
          </cell>
        </row>
        <row r="4573">
          <cell r="A4573" t="str">
            <v>900119072</v>
          </cell>
          <cell r="B4573" t="str">
            <v>8</v>
          </cell>
          <cell r="C4573" t="str">
            <v>SUPERMERCADOS MAS POR MENOS S.A.</v>
          </cell>
          <cell r="D4573" t="str">
            <v>6370099</v>
          </cell>
          <cell r="E4573" t="str">
            <v>facturaelectronica@mxm.com.co</v>
          </cell>
          <cell r="F4573" t="str">
            <v>CALLE 70  44 W  156</v>
          </cell>
          <cell r="G4573">
            <v>68001</v>
          </cell>
        </row>
        <row r="4574">
          <cell r="A4574" t="str">
            <v>900158777</v>
          </cell>
          <cell r="B4574" t="str">
            <v>8</v>
          </cell>
          <cell r="C4574" t="str">
            <v>EDIFICIO TRAMONTI 39</v>
          </cell>
          <cell r="D4574" t="str">
            <v>6473307</v>
          </cell>
          <cell r="E4574" t="str">
            <v>edificiotramonti39@gmail.com</v>
          </cell>
          <cell r="F4574" t="str">
            <v>CARRERA 39  48  39</v>
          </cell>
          <cell r="G4574">
            <v>68001</v>
          </cell>
        </row>
        <row r="4575">
          <cell r="A4575" t="str">
            <v>900168793</v>
          </cell>
          <cell r="B4575" t="str">
            <v>9</v>
          </cell>
          <cell r="C4575" t="str">
            <v>EDIFICIO PLAZA GRANADA</v>
          </cell>
          <cell r="D4575" t="str">
            <v>3112350229</v>
          </cell>
          <cell r="E4575" t="str">
            <v>edificioplazagranada@hotmail.com</v>
          </cell>
          <cell r="F4575" t="str">
            <v>CALLE 32  32  20 EDIFICO PLAZA GRANADA BRR MEJORAS PUBLICAS</v>
          </cell>
          <cell r="G4575">
            <v>68001</v>
          </cell>
        </row>
        <row r="4576">
          <cell r="A4576" t="str">
            <v>900179221</v>
          </cell>
          <cell r="B4576" t="str">
            <v>5</v>
          </cell>
          <cell r="C4576" t="str">
            <v>EDIFICIO ALTOS DE LA QUINTA</v>
          </cell>
          <cell r="D4576" t="str">
            <v>6578093</v>
          </cell>
          <cell r="E4576" t="str">
            <v>edificioaltodelaquinta@gmail.com</v>
          </cell>
          <cell r="F4576" t="str">
            <v>CARRERA 39  48  152</v>
          </cell>
          <cell r="G4576">
            <v>68001</v>
          </cell>
        </row>
        <row r="4577">
          <cell r="A4577" t="str">
            <v>900186276</v>
          </cell>
          <cell r="B4577" t="str">
            <v>9</v>
          </cell>
          <cell r="C4577" t="str">
            <v>EDIFICIO INTERLAGOS CONDOMINIO</v>
          </cell>
          <cell r="D4577" t="str">
            <v>6433311</v>
          </cell>
          <cell r="E4577" t="str">
            <v>interlagos20@gmail.com</v>
          </cell>
          <cell r="F4577" t="str">
            <v>CALLE 55 A  29  14</v>
          </cell>
          <cell r="G4577">
            <v>68001</v>
          </cell>
        </row>
        <row r="4578">
          <cell r="A4578" t="str">
            <v>900208732</v>
          </cell>
          <cell r="B4578" t="str">
            <v>2</v>
          </cell>
          <cell r="C4578" t="str">
            <v>CONJUNTO RESIDENCIAL PRADO LEXUS</v>
          </cell>
          <cell r="D4578" t="str">
            <v>6325471</v>
          </cell>
          <cell r="E4578" t="str">
            <v>Edipradolexus@hotmail.com</v>
          </cell>
          <cell r="F4578" t="str">
            <v>CARRERA 34  35  29</v>
          </cell>
          <cell r="G4578">
            <v>68001</v>
          </cell>
        </row>
        <row r="4579">
          <cell r="A4579" t="str">
            <v>900208855</v>
          </cell>
          <cell r="B4579" t="str">
            <v>1</v>
          </cell>
          <cell r="C4579" t="str">
            <v>UNIDAD RESIDENCIAL PALMAR - SOTOMAYOR</v>
          </cell>
          <cell r="D4579" t="str">
            <v>6494955</v>
          </cell>
          <cell r="E4579" t="str">
            <v>palmarsotomayor2019@gmail.com</v>
          </cell>
          <cell r="F4579" t="str">
            <v>CALLE 51  23  62</v>
          </cell>
          <cell r="G4579">
            <v>68001</v>
          </cell>
        </row>
        <row r="4580">
          <cell r="A4580" t="str">
            <v>900212155</v>
          </cell>
          <cell r="B4580" t="str">
            <v>8</v>
          </cell>
          <cell r="C4580" t="str">
            <v>EDIFICIO SANTA CLARA</v>
          </cell>
          <cell r="D4580" t="str">
            <v>6450881</v>
          </cell>
          <cell r="E4580" t="str">
            <v>admedificiosantaclara@gmail.com</v>
          </cell>
          <cell r="F4580" t="str">
            <v>CARRERA 39 A  42  56 76</v>
          </cell>
          <cell r="G4580">
            <v>68001</v>
          </cell>
        </row>
        <row r="4581">
          <cell r="A4581" t="str">
            <v>900220974</v>
          </cell>
          <cell r="B4581" t="str">
            <v>7</v>
          </cell>
          <cell r="C4581" t="str">
            <v>EDIFICIO ANDORRA PROPIEDAD HORIZONTAL</v>
          </cell>
          <cell r="D4581" t="str">
            <v>6451258</v>
          </cell>
          <cell r="E4581" t="str">
            <v>edificioandorra2021@gmail.com</v>
          </cell>
          <cell r="F4581" t="str">
            <v>CARRERA 24  31  74</v>
          </cell>
          <cell r="G4581">
            <v>68001</v>
          </cell>
        </row>
        <row r="4582">
          <cell r="A4582" t="str">
            <v>900225904</v>
          </cell>
          <cell r="B4582" t="str">
            <v>4</v>
          </cell>
          <cell r="C4582" t="str">
            <v>EDIFICIO MULTIFAMILIAR LOS NOGALES</v>
          </cell>
          <cell r="D4582" t="str">
            <v>6575609</v>
          </cell>
          <cell r="E4582" t="str">
            <v>elosnogales@gmail.com</v>
          </cell>
          <cell r="F4582" t="str">
            <v>CALLE 54  54  23</v>
          </cell>
          <cell r="G4582">
            <v>68001</v>
          </cell>
        </row>
        <row r="4583">
          <cell r="A4583" t="str">
            <v>900237609</v>
          </cell>
          <cell r="B4583" t="str">
            <v>8</v>
          </cell>
          <cell r="C4583" t="str">
            <v>CONJUNTO RESIDENCIAL LA CEIBA CONDOMINIO CLUB</v>
          </cell>
          <cell r="D4583" t="str">
            <v>6442333</v>
          </cell>
          <cell r="E4583" t="str">
            <v>laceibacondominioclub@gmail.com</v>
          </cell>
          <cell r="F4583" t="str">
            <v>CARRERA 17 A  64  08 BRR CEIBA</v>
          </cell>
          <cell r="G4583">
            <v>68001</v>
          </cell>
        </row>
        <row r="4584">
          <cell r="A4584" t="str">
            <v>900239499</v>
          </cell>
          <cell r="B4584" t="str">
            <v>3</v>
          </cell>
          <cell r="C4584" t="str">
            <v>CONJUNTO RESIDENCIAL TORRE PICASSO</v>
          </cell>
          <cell r="D4584" t="str">
            <v>3186239449</v>
          </cell>
          <cell r="E4584" t="str">
            <v>torre_picasso@hotmail.com</v>
          </cell>
          <cell r="F4584" t="str">
            <v>calle 106 N°26a-05 BRR</v>
          </cell>
          <cell r="G4584">
            <v>68001</v>
          </cell>
        </row>
        <row r="4585">
          <cell r="A4585" t="str">
            <v>900249425</v>
          </cell>
          <cell r="B4585" t="str">
            <v>1</v>
          </cell>
          <cell r="C4585" t="str">
            <v>PHARMASAN SAS</v>
          </cell>
          <cell r="D4585" t="str">
            <v>3103356988</v>
          </cell>
          <cell r="E4585" t="str">
            <v>proveedorfc@pharmasan.co</v>
          </cell>
          <cell r="F4585" t="str">
            <v>CR 36 53 16</v>
          </cell>
          <cell r="G4585">
            <v>68001</v>
          </cell>
        </row>
        <row r="4586">
          <cell r="A4586" t="str">
            <v>900253056</v>
          </cell>
          <cell r="B4586" t="str">
            <v>2</v>
          </cell>
          <cell r="C4586" t="str">
            <v>FUNDACION TECNICA DE COLOMBIA</v>
          </cell>
          <cell r="D4586" t="str">
            <v>6323232</v>
          </cell>
          <cell r="E4586" t="str">
            <v>contabilidad@futc.edu.co</v>
          </cell>
          <cell r="F4586" t="str">
            <v>CALLE 13  16  08</v>
          </cell>
          <cell r="G4586">
            <v>68001</v>
          </cell>
        </row>
        <row r="4587">
          <cell r="A4587" t="str">
            <v>900253270</v>
          </cell>
          <cell r="B4587" t="str">
            <v>2</v>
          </cell>
          <cell r="C4587" t="str">
            <v>EDIFICIO SANANDRESITO CENTRO</v>
          </cell>
          <cell r="D4587" t="str">
            <v>6705447</v>
          </cell>
          <cell r="E4587" t="str">
            <v>contabilidad.sanandresitocentro@hotmail.com</v>
          </cell>
          <cell r="F4587" t="str">
            <v>CARRERA 15  37  12</v>
          </cell>
          <cell r="G4587">
            <v>68001</v>
          </cell>
        </row>
        <row r="4588">
          <cell r="A4588" t="str">
            <v>900254327</v>
          </cell>
          <cell r="B4588" t="str">
            <v>8</v>
          </cell>
          <cell r="C4588" t="str">
            <v>CONDOMINIO TERRA ALTA</v>
          </cell>
          <cell r="D4588" t="str">
            <v>6429441</v>
          </cell>
          <cell r="E4588" t="str">
            <v>condominioterraalta20@hotmail.com</v>
          </cell>
          <cell r="F4588" t="str">
            <v>CARRERA 20  51 A  25</v>
          </cell>
          <cell r="G4588">
            <v>68001</v>
          </cell>
        </row>
        <row r="4589">
          <cell r="A4589" t="str">
            <v>900256727</v>
          </cell>
          <cell r="B4589" t="str">
            <v>1</v>
          </cell>
          <cell r="C4589" t="str">
            <v>URBANIZACION CAJASAN PARQUE CONDOMINIO</v>
          </cell>
          <cell r="D4589" t="str">
            <v>6452277</v>
          </cell>
          <cell r="E4589" t="str">
            <v>condominiocajasanparque2021@gmail.com</v>
          </cell>
          <cell r="F4589" t="str">
            <v>CARRERA 23  30  25</v>
          </cell>
          <cell r="G4589">
            <v>68001</v>
          </cell>
        </row>
        <row r="4590">
          <cell r="A4590" t="str">
            <v>900256940</v>
          </cell>
          <cell r="B4590" t="str">
            <v>2</v>
          </cell>
          <cell r="C4590" t="str">
            <v>CONSTRUCTORA INNOVA S.A.S.</v>
          </cell>
          <cell r="D4590" t="str">
            <v>3123880219</v>
          </cell>
          <cell r="E4590" t="str">
            <v>facturacionconstructorainnova@gmail.com</v>
          </cell>
          <cell r="F4590" t="str">
            <v>CARRERA 32  20  26  LOCAL 2</v>
          </cell>
          <cell r="G4590">
            <v>68001</v>
          </cell>
        </row>
        <row r="4591">
          <cell r="A4591" t="str">
            <v>900258964</v>
          </cell>
          <cell r="B4591" t="str">
            <v>8</v>
          </cell>
          <cell r="C4591" t="str">
            <v>EDIFICIO JORDAN DE SAJONIA</v>
          </cell>
          <cell r="D4591" t="str">
            <v>6352539</v>
          </cell>
          <cell r="E4591" t="str">
            <v>edificiojordandesajonia@gmail.com</v>
          </cell>
          <cell r="F4591" t="str">
            <v>CARRERA 25  19  30</v>
          </cell>
          <cell r="G4591">
            <v>68001</v>
          </cell>
        </row>
        <row r="4592">
          <cell r="A4592" t="str">
            <v>900274571</v>
          </cell>
          <cell r="B4592" t="str">
            <v>4</v>
          </cell>
          <cell r="C4592" t="str">
            <v>UNIDAD RESIDENCIAL BARDELLA</v>
          </cell>
          <cell r="D4592" t="str">
            <v>3012296931</v>
          </cell>
          <cell r="E4592" t="str">
            <v>rumarmo@hotmail.com</v>
          </cell>
          <cell r="F4592" t="str">
            <v>CARRERA 28  34  53</v>
          </cell>
          <cell r="G4592">
            <v>68001</v>
          </cell>
        </row>
        <row r="4593">
          <cell r="A4593" t="str">
            <v>900279227</v>
          </cell>
          <cell r="B4593" t="str">
            <v>8</v>
          </cell>
          <cell r="C4593" t="str">
            <v>EDIFICIO RESIDENCIAL VIVALDI</v>
          </cell>
          <cell r="D4593" t="str">
            <v>6427284</v>
          </cell>
          <cell r="E4593" t="str">
            <v>edf.vivaldi.condominio@gmail.com</v>
          </cell>
          <cell r="F4593" t="str">
            <v>CARRERA 20  22  41</v>
          </cell>
          <cell r="G4593">
            <v>68001</v>
          </cell>
        </row>
        <row r="4594">
          <cell r="A4594" t="str">
            <v>900298503</v>
          </cell>
          <cell r="B4594" t="str">
            <v>7</v>
          </cell>
          <cell r="C4594" t="str">
            <v>EDIFICIO RIVERA DEL PRADO</v>
          </cell>
          <cell r="D4594" t="str">
            <v>3158662736</v>
          </cell>
          <cell r="E4594" t="str">
            <v>edf.riveradelprado@gmail.com</v>
          </cell>
          <cell r="F4594" t="str">
            <v>CARRERA 34  34  41</v>
          </cell>
          <cell r="G4594">
            <v>68001</v>
          </cell>
        </row>
        <row r="4595">
          <cell r="A4595" t="str">
            <v>900310625</v>
          </cell>
          <cell r="B4595" t="str">
            <v>8</v>
          </cell>
          <cell r="C4595" t="str">
            <v>EDIFICIO KARIBE</v>
          </cell>
          <cell r="D4595">
            <v>3219664011</v>
          </cell>
          <cell r="E4595" t="str">
            <v>karibeph@gmail.com</v>
          </cell>
          <cell r="F4595" t="str">
            <v>CALLE 51  27 A  51</v>
          </cell>
          <cell r="G4595">
            <v>68001</v>
          </cell>
        </row>
        <row r="4596">
          <cell r="A4596" t="str">
            <v>900311948</v>
          </cell>
          <cell r="B4596" t="str">
            <v>6</v>
          </cell>
          <cell r="C4596" t="str">
            <v>EDIFICIO EL ESPEJO DEL PARQUE</v>
          </cell>
          <cell r="D4596" t="str">
            <v>6323133</v>
          </cell>
          <cell r="E4596" t="str">
            <v>espejodelparqueph@gmail.com</v>
          </cell>
          <cell r="F4596" t="str">
            <v>CARRERA 25  30  17</v>
          </cell>
          <cell r="G4596">
            <v>68001</v>
          </cell>
        </row>
        <row r="4597">
          <cell r="A4597" t="str">
            <v>900312419</v>
          </cell>
          <cell r="B4597" t="str">
            <v>6</v>
          </cell>
          <cell r="C4597" t="str">
            <v>EDIFICIO OLIVARA</v>
          </cell>
          <cell r="D4597" t="str">
            <v>3174029136</v>
          </cell>
          <cell r="E4597" t="str">
            <v>edf.olivara@gmail.com</v>
          </cell>
          <cell r="F4597" t="str">
            <v>CALLE 35  27  79</v>
          </cell>
          <cell r="G4597">
            <v>68001</v>
          </cell>
        </row>
        <row r="4598">
          <cell r="A4598" t="str">
            <v>900323238</v>
          </cell>
          <cell r="B4598" t="str">
            <v>7</v>
          </cell>
          <cell r="C4598" t="str">
            <v>INVERSIONES ALEJO LEON S.A.S.</v>
          </cell>
          <cell r="D4598" t="str">
            <v>6475078</v>
          </cell>
          <cell r="E4598" t="str">
            <v>factura@hotelalessio.co</v>
          </cell>
          <cell r="F4598" t="str">
            <v>CALLE 55  21  42</v>
          </cell>
          <cell r="G4598">
            <v>68001</v>
          </cell>
        </row>
        <row r="4599">
          <cell r="A4599" t="str">
            <v>900327292</v>
          </cell>
          <cell r="B4599" t="str">
            <v>3</v>
          </cell>
          <cell r="C4599" t="str">
            <v>UNIDAD RESIDENCIAL PRADOASIS</v>
          </cell>
          <cell r="D4599" t="str">
            <v>3023131983</v>
          </cell>
          <cell r="E4599" t="str">
            <v>admon.pradoasis@gmail.com</v>
          </cell>
          <cell r="F4599" t="str">
            <v>CALLE 38  34  18</v>
          </cell>
          <cell r="G4599">
            <v>68001</v>
          </cell>
        </row>
        <row r="4600">
          <cell r="A4600" t="str">
            <v>900331876</v>
          </cell>
          <cell r="B4600" t="str">
            <v>1</v>
          </cell>
          <cell r="C4600" t="str">
            <v>EDIFICIO BALI CONDOMINIO</v>
          </cell>
          <cell r="D4600" t="str">
            <v>6573853</v>
          </cell>
          <cell r="E4600" t="str">
            <v>balicondominio20@gmail.com</v>
          </cell>
          <cell r="F4600" t="str">
            <v>CARRERA 24  52  50</v>
          </cell>
          <cell r="G4600">
            <v>68001</v>
          </cell>
        </row>
        <row r="4601">
          <cell r="A4601" t="str">
            <v>900335947</v>
          </cell>
          <cell r="B4601" t="str">
            <v>2</v>
          </cell>
          <cell r="C4601" t="str">
            <v>CONJUNTO RESIDENCIAL MARDEL SOTOMAYOR</v>
          </cell>
          <cell r="D4601" t="str">
            <v>6432671</v>
          </cell>
          <cell r="E4601" t="str">
            <v>mardelsotomayor@gmail.com</v>
          </cell>
          <cell r="F4601" t="str">
            <v>CALLE 53  23  51</v>
          </cell>
          <cell r="G4601">
            <v>68001</v>
          </cell>
        </row>
        <row r="4602">
          <cell r="A4602" t="str">
            <v>900337712</v>
          </cell>
          <cell r="B4602" t="str">
            <v>8</v>
          </cell>
          <cell r="C4602" t="str">
            <v>FERRETUBOS DE COLOMBIA S.A.S</v>
          </cell>
          <cell r="D4602">
            <v>3219664011</v>
          </cell>
          <cell r="E4602" t="str">
            <v>construcruz@gmail.com</v>
          </cell>
          <cell r="F4602" t="str">
            <v>CR 97 131 B 39</v>
          </cell>
          <cell r="G4602">
            <v>68001</v>
          </cell>
        </row>
        <row r="4603">
          <cell r="A4603" t="str">
            <v>900337783</v>
          </cell>
          <cell r="B4603" t="str">
            <v>0</v>
          </cell>
          <cell r="C4603" t="str">
            <v>EDIFICIO ASTORIA PLAZA</v>
          </cell>
          <cell r="D4603" t="str">
            <v>3174029136</v>
          </cell>
          <cell r="E4603" t="str">
            <v>edf.astoriaplaza@gmail.com</v>
          </cell>
          <cell r="F4603" t="str">
            <v>CL 32  28  51 BRR AURORA</v>
          </cell>
          <cell r="G4603">
            <v>68001</v>
          </cell>
        </row>
        <row r="4604">
          <cell r="A4604" t="str">
            <v>900338573</v>
          </cell>
          <cell r="B4604" t="str">
            <v>5</v>
          </cell>
          <cell r="C4604" t="str">
            <v>CONJUNTO RESIDENCIAL PIAZZALE 23</v>
          </cell>
          <cell r="D4604" t="str">
            <v>6576364</v>
          </cell>
          <cell r="E4604" t="str">
            <v>conjuntopiazzale23@gmail.com</v>
          </cell>
          <cell r="F4604" t="str">
            <v>CARRERA 23  51  24</v>
          </cell>
          <cell r="G4604">
            <v>68001</v>
          </cell>
        </row>
        <row r="4605">
          <cell r="A4605" t="str">
            <v>900341022</v>
          </cell>
          <cell r="B4605" t="str">
            <v>1</v>
          </cell>
          <cell r="C4605" t="str">
            <v>EDIFICIO VERSALLES IMPERIAL</v>
          </cell>
          <cell r="D4605" t="str">
            <v>6346946</v>
          </cell>
          <cell r="E4605" t="str">
            <v>olluperez@hotmail.com</v>
          </cell>
          <cell r="F4605" t="str">
            <v>CALLE 34  23  42</v>
          </cell>
          <cell r="G4605">
            <v>68001</v>
          </cell>
        </row>
        <row r="4606">
          <cell r="A4606" t="str">
            <v>900342373</v>
          </cell>
          <cell r="B4606" t="str">
            <v>4</v>
          </cell>
          <cell r="C4606" t="str">
            <v>LEGF CONSTRUCTORA S.A.S.</v>
          </cell>
          <cell r="D4606" t="str">
            <v>3 1 3 4 9 6 0 7 6 9</v>
          </cell>
          <cell r="E4606" t="str">
            <v>diradministrativo@legfconstructora.com</v>
          </cell>
          <cell r="F4606" t="str">
            <v>KM 2 PAR EMPRESARIAL NATURA TO 2 OF 325</v>
          </cell>
          <cell r="G4606">
            <v>68001</v>
          </cell>
        </row>
        <row r="4607">
          <cell r="A4607" t="str">
            <v>900355706</v>
          </cell>
          <cell r="B4607" t="str">
            <v>1</v>
          </cell>
          <cell r="C4607" t="str">
            <v>EDIFICIO PLATINUM</v>
          </cell>
          <cell r="D4607" t="str">
            <v>6575233</v>
          </cell>
          <cell r="E4607" t="str">
            <v>edificioplatinumcarrera38@gmail.com</v>
          </cell>
          <cell r="F4607" t="str">
            <v>CARRERA 38  48  140</v>
          </cell>
          <cell r="G4607">
            <v>68001</v>
          </cell>
        </row>
        <row r="4608">
          <cell r="A4608" t="str">
            <v>900360828</v>
          </cell>
          <cell r="B4608" t="str">
            <v>1</v>
          </cell>
          <cell r="C4608" t="str">
            <v>EDIFICIO ZAFIRO CONDOMINIO CENTER CLUB</v>
          </cell>
          <cell r="D4608" t="str">
            <v>6343452</v>
          </cell>
          <cell r="E4608" t="str">
            <v>admonzafiro@hotmail.com</v>
          </cell>
          <cell r="F4608" t="str">
            <v>CARRERA 23  33  32</v>
          </cell>
          <cell r="G4608">
            <v>68001</v>
          </cell>
        </row>
        <row r="4609">
          <cell r="A4609" t="str">
            <v>900364701</v>
          </cell>
          <cell r="B4609" t="str">
            <v>1</v>
          </cell>
          <cell r="C4609" t="str">
            <v>EDIFICIO TRIVENTO</v>
          </cell>
          <cell r="D4609" t="str">
            <v>6327568</v>
          </cell>
          <cell r="E4609" t="str">
            <v>edificiotrivento2799cp@gmail.com</v>
          </cell>
          <cell r="F4609" t="str">
            <v>CALLE 35  27  99</v>
          </cell>
          <cell r="G4609">
            <v>68001</v>
          </cell>
        </row>
        <row r="4610">
          <cell r="A4610" t="str">
            <v>900367310</v>
          </cell>
          <cell r="B4610" t="str">
            <v>9</v>
          </cell>
          <cell r="C4610" t="str">
            <v>BELVENTO CONDOMINIO</v>
          </cell>
          <cell r="D4610" t="str">
            <v>6326979</v>
          </cell>
          <cell r="E4610" t="str">
            <v>edificiobelvento@gmail.com</v>
          </cell>
          <cell r="F4610" t="str">
            <v>CALLE 43  35  44</v>
          </cell>
          <cell r="G4610">
            <v>68001</v>
          </cell>
        </row>
        <row r="4611">
          <cell r="A4611" t="str">
            <v>900381347</v>
          </cell>
          <cell r="B4611" t="str">
            <v>9</v>
          </cell>
          <cell r="C4611" t="str">
            <v>MATRIX INVERSIONES S.A.S.</v>
          </cell>
          <cell r="D4611" t="str">
            <v>604-3112233</v>
          </cell>
          <cell r="E4611" t="str">
            <v>romemo3@gmail.com</v>
          </cell>
          <cell r="F4611" t="str">
            <v>CALLE 12 N°30-126 INT 101ED BLUX</v>
          </cell>
          <cell r="G4611">
            <v>68001</v>
          </cell>
        </row>
        <row r="4612">
          <cell r="A4612" t="str">
            <v>900385277</v>
          </cell>
          <cell r="B4612" t="str">
            <v>1</v>
          </cell>
          <cell r="C4612" t="str">
            <v>EDIFICIO DIMONTI</v>
          </cell>
          <cell r="D4612" t="str">
            <v>6574259</v>
          </cell>
          <cell r="E4612" t="str">
            <v>edificiodimonti@hotmail.com</v>
          </cell>
          <cell r="F4612" t="str">
            <v>CALLE 49  27 A  39</v>
          </cell>
          <cell r="G4612">
            <v>68001</v>
          </cell>
        </row>
        <row r="4613">
          <cell r="A4613" t="str">
            <v>900393369</v>
          </cell>
          <cell r="B4613" t="str">
            <v>2</v>
          </cell>
          <cell r="C4613" t="str">
            <v>CONJUNTO RESIDENCIAL SAN FERMIN II ETAPA I</v>
          </cell>
          <cell r="D4613" t="str">
            <v>6374525</v>
          </cell>
          <cell r="E4613" t="str">
            <v>crsanfermindos@gmail.com</v>
          </cell>
          <cell r="F4613" t="str">
            <v>CALLE 103  13  31</v>
          </cell>
          <cell r="G4613">
            <v>68001</v>
          </cell>
        </row>
        <row r="4614">
          <cell r="A4614" t="str">
            <v>900395502</v>
          </cell>
          <cell r="B4614" t="str">
            <v>5</v>
          </cell>
          <cell r="C4614" t="str">
            <v>EDIFICIO PASEO ESPAÑA</v>
          </cell>
          <cell r="D4614" t="str">
            <v>6351120</v>
          </cell>
          <cell r="E4614" t="str">
            <v>edificio_paseoespana@hotmail.com</v>
          </cell>
          <cell r="F4614" t="str">
            <v>CALLE 33  26  25</v>
          </cell>
          <cell r="G4614">
            <v>68001</v>
          </cell>
        </row>
        <row r="4615">
          <cell r="A4615" t="str">
            <v>900404774</v>
          </cell>
          <cell r="B4615" t="str">
            <v>1</v>
          </cell>
          <cell r="C4615" t="str">
            <v>SERVI EFECTIVA SAS</v>
          </cell>
          <cell r="D4615" t="str">
            <v>6428112</v>
          </cell>
          <cell r="E4615" t="str">
            <v>gesconsultas@hotmail.com</v>
          </cell>
          <cell r="F4615" t="str">
            <v>CARRERA 14  33  26</v>
          </cell>
          <cell r="G4615">
            <v>68001</v>
          </cell>
        </row>
        <row r="4616">
          <cell r="A4616" t="str">
            <v>900410022</v>
          </cell>
          <cell r="B4616" t="str">
            <v>6</v>
          </cell>
          <cell r="C4616" t="str">
            <v>EDIFICIO LA TRAVIATA</v>
          </cell>
          <cell r="D4616" t="str">
            <v>3168252914</v>
          </cell>
          <cell r="E4616" t="str">
            <v>e.latraviata@gmail.com</v>
          </cell>
          <cell r="F4616" t="str">
            <v>CALLE 42 8 46 BRR ALFONSO LOPEZ</v>
          </cell>
          <cell r="G4616">
            <v>68001</v>
          </cell>
        </row>
        <row r="4617">
          <cell r="A4617" t="str">
            <v>900417540</v>
          </cell>
          <cell r="B4617" t="str">
            <v>1</v>
          </cell>
          <cell r="C4617" t="str">
            <v>EDIFICIO ALTO PRADO</v>
          </cell>
          <cell r="D4617" t="str">
            <v>6957315</v>
          </cell>
          <cell r="E4617" t="str">
            <v>soniacortez2@hotmail.com</v>
          </cell>
          <cell r="F4617" t="str">
            <v>CARRERA 34  36  31</v>
          </cell>
          <cell r="G4617">
            <v>68001</v>
          </cell>
        </row>
        <row r="4618">
          <cell r="A4618" t="str">
            <v>900428956</v>
          </cell>
          <cell r="B4618" t="str">
            <v>9</v>
          </cell>
          <cell r="C4618" t="str">
            <v>EDIFICIO TERRACOTA CONDOMINIO - APARTAMENTOS</v>
          </cell>
          <cell r="D4618" t="str">
            <v>6520719</v>
          </cell>
          <cell r="E4618" t="str">
            <v>edificioterracota2022@hotmail.com</v>
          </cell>
          <cell r="F4618" t="str">
            <v>CARRERA 20  51 A  16</v>
          </cell>
          <cell r="G4618">
            <v>68001</v>
          </cell>
        </row>
        <row r="4619">
          <cell r="A4619" t="str">
            <v>900429775</v>
          </cell>
          <cell r="B4619" t="str">
            <v>7</v>
          </cell>
          <cell r="C4619" t="str">
            <v>CONJUNTO RESIDENCIAL NUEVO GIRARDOT PRIMERA ETAPA</v>
          </cell>
          <cell r="D4619" t="str">
            <v>6426240</v>
          </cell>
          <cell r="E4619" t="str">
            <v>nuevogirardotph@gmail.com</v>
          </cell>
          <cell r="F4619" t="str">
            <v>CARRERA 6  28  48</v>
          </cell>
          <cell r="G4619">
            <v>68001</v>
          </cell>
        </row>
        <row r="4620">
          <cell r="A4620" t="str">
            <v>900431212</v>
          </cell>
          <cell r="B4620" t="str">
            <v>9</v>
          </cell>
          <cell r="C4620" t="str">
            <v>EDIFICIO KBC KALINKA BUSINESS CENTER</v>
          </cell>
          <cell r="D4620" t="str">
            <v>6577182</v>
          </cell>
          <cell r="E4620" t="str">
            <v>edificiokbc@gmail.com</v>
          </cell>
          <cell r="F4620" t="str">
            <v>CALLE 49  27 A  61</v>
          </cell>
          <cell r="G4620">
            <v>68001</v>
          </cell>
        </row>
        <row r="4621">
          <cell r="A4621" t="str">
            <v>900435776</v>
          </cell>
          <cell r="B4621" t="str">
            <v>9</v>
          </cell>
          <cell r="C4621" t="str">
            <v>EDIFICIO SIMONETTA</v>
          </cell>
          <cell r="D4621" t="str">
            <v>6322038</v>
          </cell>
          <cell r="E4621" t="str">
            <v>edificiosimonetta@gmail.com</v>
          </cell>
          <cell r="F4621" t="str">
            <v>CARRERA 41  42  64</v>
          </cell>
          <cell r="G4621">
            <v>68001</v>
          </cell>
        </row>
        <row r="4622">
          <cell r="A4622" t="str">
            <v>900442370</v>
          </cell>
          <cell r="B4622" t="str">
            <v>1</v>
          </cell>
          <cell r="C4622" t="str">
            <v>EDIFICIO TERRA NOVA</v>
          </cell>
          <cell r="D4622" t="str">
            <v>6450694</v>
          </cell>
          <cell r="E4622" t="str">
            <v>Edificioterranova2010@gmail.com</v>
          </cell>
          <cell r="F4622" t="str">
            <v>CALLE 28  22  23</v>
          </cell>
          <cell r="G4622">
            <v>68001</v>
          </cell>
        </row>
        <row r="4623">
          <cell r="A4623" t="str">
            <v>900445806</v>
          </cell>
          <cell r="B4623" t="str">
            <v>4</v>
          </cell>
          <cell r="C4623" t="str">
            <v>EDIFICIO SANTO DOMINGO PLAZA</v>
          </cell>
          <cell r="D4623" t="str">
            <v>3174029136</v>
          </cell>
          <cell r="E4623" t="str">
            <v>Edf.santodomingoplaza@gmail.com</v>
          </cell>
          <cell r="F4623" t="str">
            <v>CALLE 35  29  38</v>
          </cell>
          <cell r="G4623">
            <v>68001</v>
          </cell>
        </row>
        <row r="4624">
          <cell r="A4624" t="str">
            <v>900469919</v>
          </cell>
          <cell r="B4624" t="str">
            <v>1</v>
          </cell>
          <cell r="C4624" t="str">
            <v>EDIFICIO SOTOMAYOR CENTRAL</v>
          </cell>
          <cell r="D4624" t="str">
            <v>3124869120</v>
          </cell>
          <cell r="E4624" t="str">
            <v>soniacortez2@hotmail.com</v>
          </cell>
          <cell r="F4624" t="str">
            <v>CALLE 50  22  93</v>
          </cell>
          <cell r="G4624">
            <v>68001</v>
          </cell>
        </row>
        <row r="4625">
          <cell r="A4625" t="str">
            <v>900484779</v>
          </cell>
          <cell r="B4625" t="str">
            <v>1</v>
          </cell>
          <cell r="C4625" t="str">
            <v>DAVINCI APARTAMENTOS</v>
          </cell>
          <cell r="D4625" t="str">
            <v>6377466</v>
          </cell>
          <cell r="E4625" t="str">
            <v>casm89@hotmail.com</v>
          </cell>
          <cell r="F4625" t="str">
            <v>CARRERA 15 E  105  90</v>
          </cell>
          <cell r="G4625">
            <v>68001</v>
          </cell>
        </row>
        <row r="4626">
          <cell r="A4626" t="str">
            <v>900486566</v>
          </cell>
          <cell r="B4626" t="str">
            <v>7</v>
          </cell>
          <cell r="C4626" t="str">
            <v>EDIFICIO ARBORETTO CONDOMINIO</v>
          </cell>
          <cell r="D4626" t="str">
            <v>6954678</v>
          </cell>
          <cell r="E4626" t="str">
            <v>edificioarborettocondominio@gmail.com</v>
          </cell>
          <cell r="F4626" t="str">
            <v>CALLE 32  25  96</v>
          </cell>
          <cell r="G4626">
            <v>68001</v>
          </cell>
        </row>
        <row r="4627">
          <cell r="A4627" t="str">
            <v>900497754</v>
          </cell>
          <cell r="B4627" t="str">
            <v>2</v>
          </cell>
          <cell r="C4627" t="str">
            <v>CONSTRUCCIONES ZABDI SAS</v>
          </cell>
          <cell r="D4627" t="str">
            <v>3152669255</v>
          </cell>
          <cell r="E4627" t="str">
            <v>facturacion.electronica@zabdi.com.co</v>
          </cell>
          <cell r="F4627" t="str">
            <v>CR 26 36 14 OF 701 ED FENIX BUSINESS CENTER</v>
          </cell>
          <cell r="G4627">
            <v>68001</v>
          </cell>
        </row>
        <row r="4628">
          <cell r="A4628" t="str">
            <v>900516974</v>
          </cell>
          <cell r="B4628" t="str">
            <v>9</v>
          </cell>
          <cell r="C4628" t="str">
            <v>EDIFICIO PORTAL SANTO DOMINGO</v>
          </cell>
          <cell r="D4628" t="str">
            <v>3006307717</v>
          </cell>
          <cell r="E4628" t="str">
            <v>admoportalsantodomingo@gmail.com</v>
          </cell>
          <cell r="F4628" t="str">
            <v>CALLE 35  29  50</v>
          </cell>
          <cell r="G4628">
            <v>68001</v>
          </cell>
        </row>
        <row r="4629">
          <cell r="A4629" t="str">
            <v>900522921</v>
          </cell>
          <cell r="B4629" t="str">
            <v>3</v>
          </cell>
          <cell r="C4629" t="str">
            <v>EDIFICIO MARDELIZ PROPIEDAD HORIZONTAL</v>
          </cell>
          <cell r="D4629" t="str">
            <v>6315740</v>
          </cell>
          <cell r="E4629" t="str">
            <v>admonmardeliz@hotmail.com</v>
          </cell>
          <cell r="F4629" t="str">
            <v>CALLE 91  25  16</v>
          </cell>
          <cell r="G4629">
            <v>68001</v>
          </cell>
        </row>
        <row r="4630">
          <cell r="A4630" t="str">
            <v>900525331</v>
          </cell>
          <cell r="B4630" t="str">
            <v>1</v>
          </cell>
          <cell r="C4630" t="str">
            <v>EDIFICIO TERZETTO 27</v>
          </cell>
          <cell r="D4630" t="str">
            <v>3124869120</v>
          </cell>
          <cell r="E4630" t="str">
            <v>terzeto27@gmail.com</v>
          </cell>
          <cell r="F4630" t="str">
            <v>CALLE 34  26  82</v>
          </cell>
          <cell r="G4630">
            <v>68001</v>
          </cell>
        </row>
        <row r="4631">
          <cell r="A4631" t="str">
            <v>900526765</v>
          </cell>
          <cell r="B4631" t="str">
            <v>9</v>
          </cell>
          <cell r="C4631" t="str">
            <v>EDIFICIO VITERRA</v>
          </cell>
          <cell r="D4631" t="str">
            <v>3165784601</v>
          </cell>
          <cell r="E4631" t="str">
            <v>viterra22@gmail.com</v>
          </cell>
          <cell r="F4631" t="str">
            <v>CARRERA 22  34  18</v>
          </cell>
          <cell r="G4631">
            <v>68001</v>
          </cell>
        </row>
        <row r="4632">
          <cell r="A4632" t="str">
            <v>900527168</v>
          </cell>
          <cell r="B4632" t="str">
            <v>6</v>
          </cell>
          <cell r="C4632" t="str">
            <v>EDIFICIO TORRE 19</v>
          </cell>
          <cell r="D4632" t="str">
            <v>3125661811</v>
          </cell>
          <cell r="E4632" t="str">
            <v>edificiotorre19@hotmail.com</v>
          </cell>
          <cell r="F4632" t="str">
            <v>CALLE 19  29  52</v>
          </cell>
          <cell r="G4632">
            <v>68001</v>
          </cell>
        </row>
        <row r="4633">
          <cell r="A4633" t="str">
            <v>900529308</v>
          </cell>
          <cell r="B4633" t="str">
            <v>1</v>
          </cell>
          <cell r="C4633" t="str">
            <v>EDIFICIO TORRE VALLARTA PROPIEDAD HORIZONTAL</v>
          </cell>
          <cell r="D4633" t="str">
            <v>3166519305</v>
          </cell>
          <cell r="E4633" t="str">
            <v>karlai1203@hotmail.com</v>
          </cell>
          <cell r="F4633" t="str">
            <v>CRA 22 34 38 BR ANTONIA SANTOS</v>
          </cell>
          <cell r="G4633">
            <v>68001</v>
          </cell>
        </row>
        <row r="4634">
          <cell r="A4634" t="str">
            <v>900530489</v>
          </cell>
          <cell r="B4634" t="str">
            <v>6</v>
          </cell>
          <cell r="C4634" t="str">
            <v>EDIFICIO STRADA SUITES TORRE EJECUTIVA</v>
          </cell>
          <cell r="D4634" t="str">
            <v>6852202</v>
          </cell>
          <cell r="E4634" t="str">
            <v>stradasuites.ph@gmail.com</v>
          </cell>
          <cell r="F4634" t="str">
            <v>CALLE 37  24  49</v>
          </cell>
          <cell r="G4634">
            <v>68001</v>
          </cell>
        </row>
        <row r="4635">
          <cell r="A4635" t="str">
            <v>900536615</v>
          </cell>
          <cell r="B4635" t="str">
            <v>5</v>
          </cell>
          <cell r="C4635" t="str">
            <v>EDIFICIO TORRE DA VINCI</v>
          </cell>
          <cell r="D4635" t="str">
            <v>6190946</v>
          </cell>
          <cell r="E4635" t="str">
            <v>casm89@hotmail.com</v>
          </cell>
          <cell r="F4635" t="str">
            <v>CALLE 100  23  17</v>
          </cell>
          <cell r="G4635">
            <v>68001</v>
          </cell>
        </row>
        <row r="4636">
          <cell r="A4636" t="str">
            <v>900546460</v>
          </cell>
          <cell r="B4636" t="str">
            <v>3</v>
          </cell>
          <cell r="C4636" t="str">
            <v>EDIFICIO PARQUE CENTENARIO</v>
          </cell>
          <cell r="D4636" t="str">
            <v>6703955</v>
          </cell>
          <cell r="E4636" t="str">
            <v>edificioparquecentenariop.h@gmail.com</v>
          </cell>
          <cell r="F4636" t="str">
            <v>CALLE 31  18  15</v>
          </cell>
          <cell r="G4636">
            <v>68001</v>
          </cell>
        </row>
        <row r="4637">
          <cell r="A4637" t="str">
            <v>900552268</v>
          </cell>
          <cell r="B4637" t="str">
            <v>1</v>
          </cell>
          <cell r="C4637" t="str">
            <v>CONJUNTO RESIDENCIAL MONVISO P.H</v>
          </cell>
          <cell r="D4637" t="str">
            <v>3214791427</v>
          </cell>
          <cell r="E4637" t="str">
            <v>monvisoconjuntoresidencial@yahoo.com</v>
          </cell>
          <cell r="F4637" t="str">
            <v>CARRERA 33 91 52 BRR PEDREGOSA</v>
          </cell>
          <cell r="G4637">
            <v>68001</v>
          </cell>
        </row>
        <row r="4638">
          <cell r="A4638" t="str">
            <v>900553179</v>
          </cell>
          <cell r="B4638" t="str">
            <v>7</v>
          </cell>
          <cell r="C4638" t="str">
            <v>EDIFICIO MONTE GRANDE</v>
          </cell>
          <cell r="D4638" t="str">
            <v>6340157</v>
          </cell>
          <cell r="E4638" t="str">
            <v>montegrandeedificio@gmail.com</v>
          </cell>
          <cell r="F4638" t="str">
            <v>CALLE 28  22  41</v>
          </cell>
          <cell r="G4638">
            <v>68001</v>
          </cell>
        </row>
        <row r="4639">
          <cell r="A4639" t="str">
            <v>900557345</v>
          </cell>
          <cell r="B4639" t="str">
            <v>1</v>
          </cell>
          <cell r="C4639" t="str">
            <v>EDIFICIO MONFERRATO</v>
          </cell>
          <cell r="D4639" t="str">
            <v>3123115658</v>
          </cell>
          <cell r="E4639" t="str">
            <v>edif.monferrato@gmail.com</v>
          </cell>
          <cell r="F4639" t="str">
            <v>CARRERA 24  31  40</v>
          </cell>
          <cell r="G4639">
            <v>68001</v>
          </cell>
        </row>
        <row r="4640">
          <cell r="A4640" t="str">
            <v>900558071</v>
          </cell>
          <cell r="B4640" t="str">
            <v>3</v>
          </cell>
          <cell r="C4640" t="str">
            <v>EDIFICIO PALLADIO</v>
          </cell>
          <cell r="D4640" t="str">
            <v>3108696787</v>
          </cell>
          <cell r="E4640" t="str">
            <v>edificiopalladio37@gmail.com</v>
          </cell>
          <cell r="F4640" t="str">
            <v>CALLE 37  6  35</v>
          </cell>
          <cell r="G4640">
            <v>68001</v>
          </cell>
        </row>
        <row r="4641">
          <cell r="A4641" t="str">
            <v>900560675</v>
          </cell>
          <cell r="B4641" t="str">
            <v>8</v>
          </cell>
          <cell r="C4641" t="str">
            <v>EDIFICIO BELMONTE P. H.</v>
          </cell>
          <cell r="D4641" t="str">
            <v>6459903</v>
          </cell>
          <cell r="E4641" t="str">
            <v>edificiobelmonte@hotmail.com</v>
          </cell>
          <cell r="F4641" t="str">
            <v>CALLE 35  23  01</v>
          </cell>
          <cell r="G4641">
            <v>68001</v>
          </cell>
        </row>
        <row r="4642">
          <cell r="A4642" t="str">
            <v>900570782</v>
          </cell>
          <cell r="B4642" t="str">
            <v>0</v>
          </cell>
          <cell r="C4642" t="str">
            <v>EDIFICIO BULEVAR 26</v>
          </cell>
          <cell r="D4642" t="str">
            <v>3125863602</v>
          </cell>
          <cell r="E4642" t="str">
            <v>edificio.bulevar26@hotmail.com</v>
          </cell>
          <cell r="F4642" t="str">
            <v>CARRERA 26  20  22</v>
          </cell>
          <cell r="G4642">
            <v>68001</v>
          </cell>
        </row>
        <row r="4643">
          <cell r="A4643" t="str">
            <v>900572521</v>
          </cell>
          <cell r="B4643" t="str">
            <v>4</v>
          </cell>
          <cell r="C4643" t="str">
            <v>EDIFICIO SAMOA</v>
          </cell>
          <cell r="D4643" t="str">
            <v>6575285</v>
          </cell>
          <cell r="E4643" t="str">
            <v>edificiosamoabucaramanga@gmail.com</v>
          </cell>
          <cell r="F4643" t="str">
            <v>CARRERA 36  112  25</v>
          </cell>
          <cell r="G4643">
            <v>68001</v>
          </cell>
        </row>
        <row r="4644">
          <cell r="A4644" t="str">
            <v>900575958</v>
          </cell>
          <cell r="B4644" t="str">
            <v>2</v>
          </cell>
          <cell r="C4644" t="str">
            <v>EDIFICIO SANTO DOMINGO DEL PRADO</v>
          </cell>
          <cell r="D4644" t="str">
            <v>6455073</v>
          </cell>
          <cell r="E4644" t="str">
            <v>santodomingoadmon2016@gmail.com</v>
          </cell>
          <cell r="F4644" t="str">
            <v>CARRERA 36  38  28  APARTAMENTO 1304</v>
          </cell>
          <cell r="G4644">
            <v>68001</v>
          </cell>
        </row>
        <row r="4645">
          <cell r="A4645" t="str">
            <v>900583159</v>
          </cell>
          <cell r="B4645" t="str">
            <v>8</v>
          </cell>
          <cell r="C4645" t="str">
            <v>EDIFICIO ARAMA</v>
          </cell>
          <cell r="D4645" t="str">
            <v>6327102</v>
          </cell>
          <cell r="E4645" t="str">
            <v>aramapqr@gmail.com</v>
          </cell>
          <cell r="F4645" t="str">
            <v>CARRERA 29  31  24</v>
          </cell>
          <cell r="G4645">
            <v>68001</v>
          </cell>
        </row>
        <row r="4646">
          <cell r="A4646" t="str">
            <v>900599257</v>
          </cell>
          <cell r="B4646" t="str">
            <v>1</v>
          </cell>
          <cell r="C4646" t="str">
            <v>EDIFICIO ACONKAGUA</v>
          </cell>
          <cell r="D4646" t="str">
            <v>3165708881</v>
          </cell>
          <cell r="E4646" t="str">
            <v>aconkaguaedificio@gmail.com</v>
          </cell>
          <cell r="F4646" t="str">
            <v>CARRERA 39  48  80</v>
          </cell>
          <cell r="G4646">
            <v>68001</v>
          </cell>
        </row>
        <row r="4647">
          <cell r="A4647" t="str">
            <v>900600883</v>
          </cell>
          <cell r="B4647" t="str">
            <v>6</v>
          </cell>
          <cell r="C4647" t="str">
            <v>EDIFICIO TORRE GAUDI</v>
          </cell>
          <cell r="D4647" t="str">
            <v>6344200</v>
          </cell>
          <cell r="E4647" t="str">
            <v>edificiotorregaudi@hotmail.com</v>
          </cell>
          <cell r="F4647" t="str">
            <v>CALLE 22  21  45</v>
          </cell>
          <cell r="G4647">
            <v>68001</v>
          </cell>
        </row>
        <row r="4648">
          <cell r="A4648" t="str">
            <v>900603068</v>
          </cell>
          <cell r="B4648" t="str">
            <v>3</v>
          </cell>
          <cell r="C4648" t="str">
            <v>CARLOS ANSELMO PARRA ARDILA Y CIA S EN C A</v>
          </cell>
          <cell r="D4648" t="str">
            <v>3187163320</v>
          </cell>
          <cell r="E4648" t="str">
            <v>marialuisamendozas@hotmail.com</v>
          </cell>
          <cell r="F4648" t="str">
            <v>CARRERA 29  58  110</v>
          </cell>
          <cell r="G4648">
            <v>68001</v>
          </cell>
        </row>
        <row r="4649">
          <cell r="A4649" t="str">
            <v>900615391</v>
          </cell>
          <cell r="B4649" t="str">
            <v>1</v>
          </cell>
          <cell r="C4649" t="str">
            <v>EDIFICIO ORQUIDEA REAL</v>
          </cell>
          <cell r="D4649" t="str">
            <v>3166519305</v>
          </cell>
          <cell r="E4649" t="str">
            <v>edificio.orquideareal@hotmail.com</v>
          </cell>
          <cell r="F4649" t="str">
            <v>CALLE 38  18  60</v>
          </cell>
          <cell r="G4649">
            <v>68001</v>
          </cell>
        </row>
        <row r="4650">
          <cell r="A4650" t="str">
            <v>900615778</v>
          </cell>
          <cell r="B4650" t="str">
            <v>6</v>
          </cell>
          <cell r="C4650" t="str">
            <v>EDIFICIO KORONA DEL SOL</v>
          </cell>
          <cell r="D4650" t="str">
            <v>6475030</v>
          </cell>
          <cell r="E4650" t="str">
            <v>escobar02lau@yahoo.com</v>
          </cell>
          <cell r="F4650" t="str">
            <v>CARRERA 27  63  18</v>
          </cell>
          <cell r="G4650">
            <v>68001</v>
          </cell>
        </row>
        <row r="4651">
          <cell r="A4651" t="str">
            <v>900616001</v>
          </cell>
          <cell r="B4651" t="str">
            <v>7</v>
          </cell>
          <cell r="C4651" t="str">
            <v>OBELIX UNIDAD RESIDENCIAL</v>
          </cell>
          <cell r="D4651" t="str">
            <v>6349367</v>
          </cell>
          <cell r="E4651" t="str">
            <v>obelix2031@gmail.com</v>
          </cell>
          <cell r="F4651" t="str">
            <v>CALLE 20  31  78</v>
          </cell>
          <cell r="G4651">
            <v>68001</v>
          </cell>
        </row>
        <row r="4652">
          <cell r="A4652" t="str">
            <v>900619914</v>
          </cell>
          <cell r="B4652" t="str">
            <v>1</v>
          </cell>
          <cell r="C4652" t="str">
            <v>CONJUNTO RESIDENCIAL RIVOLI 27 O 41</v>
          </cell>
          <cell r="D4652" t="str">
            <v>6325264</v>
          </cell>
          <cell r="E4652" t="str">
            <v>crrivoli@hotmail.com</v>
          </cell>
          <cell r="F4652" t="str">
            <v>CARRERA 27 A  40  48</v>
          </cell>
          <cell r="G4652">
            <v>68001</v>
          </cell>
        </row>
        <row r="4653">
          <cell r="A4653" t="str">
            <v>900630529</v>
          </cell>
          <cell r="B4653" t="str">
            <v>1</v>
          </cell>
          <cell r="C4653" t="str">
            <v>EDIFICIO BELLADONNA</v>
          </cell>
          <cell r="D4653" t="str">
            <v>6459949</v>
          </cell>
          <cell r="E4653" t="str">
            <v>edificiobelladonna01@gmail.com</v>
          </cell>
          <cell r="F4653" t="str">
            <v>CALLE 15  25  46</v>
          </cell>
          <cell r="G4653">
            <v>68001</v>
          </cell>
        </row>
        <row r="4654">
          <cell r="A4654" t="str">
            <v>900645814</v>
          </cell>
          <cell r="B4654" t="str">
            <v>1</v>
          </cell>
          <cell r="C4654" t="str">
            <v>CONDOMINIO PALMAR 37</v>
          </cell>
          <cell r="D4654" t="str">
            <v>6453092</v>
          </cell>
          <cell r="E4654" t="str">
            <v>Edf.condominiopalmar37@gmail.com</v>
          </cell>
          <cell r="F4654" t="str">
            <v>CARRERA 24  36  59</v>
          </cell>
          <cell r="G4654">
            <v>68001</v>
          </cell>
        </row>
        <row r="4655">
          <cell r="A4655" t="str">
            <v>900647565</v>
          </cell>
          <cell r="B4655" t="str">
            <v>1</v>
          </cell>
          <cell r="C4655" t="str">
            <v>EDIFICIO BONARDI</v>
          </cell>
          <cell r="D4655" t="str">
            <v>6578402</v>
          </cell>
          <cell r="E4655" t="str">
            <v>admbonardi@gmail.com</v>
          </cell>
          <cell r="F4655" t="str">
            <v>CALLE 51  23  95</v>
          </cell>
          <cell r="G4655">
            <v>68001</v>
          </cell>
        </row>
        <row r="4656">
          <cell r="A4656" t="str">
            <v>900663245</v>
          </cell>
          <cell r="B4656" t="str">
            <v>7</v>
          </cell>
          <cell r="C4656" t="str">
            <v>EDIFICIO PICADILLY CONDOMINIO CLUB</v>
          </cell>
          <cell r="D4656" t="str">
            <v>6701524</v>
          </cell>
          <cell r="E4656" t="str">
            <v>edificiopiccadilly@gmail.com</v>
          </cell>
          <cell r="F4656" t="str">
            <v>CALLE 41  19  79</v>
          </cell>
          <cell r="G4656">
            <v>68001</v>
          </cell>
        </row>
        <row r="4657">
          <cell r="A4657" t="str">
            <v>900663864</v>
          </cell>
          <cell r="B4657" t="str">
            <v>6</v>
          </cell>
          <cell r="C4657" t="str">
            <v>FONSECA AMAYA INVERSIONES S.A.S.</v>
          </cell>
          <cell r="D4657" t="str">
            <v>6914105</v>
          </cell>
          <cell r="E4657" t="str">
            <v>fonsetorres@hotmail.com</v>
          </cell>
          <cell r="F4657" t="str">
            <v>CALLE 50  28  25</v>
          </cell>
          <cell r="G4657">
            <v>68001</v>
          </cell>
        </row>
        <row r="4658">
          <cell r="A4658" t="str">
            <v>900664175</v>
          </cell>
          <cell r="B4658" t="str">
            <v>4</v>
          </cell>
          <cell r="C4658" t="str">
            <v>EDIFICIO ZARAHEMLA</v>
          </cell>
          <cell r="D4658" t="str">
            <v>3108597403</v>
          </cell>
          <cell r="E4658" t="str">
            <v>zarahemla42@gmail.com</v>
          </cell>
          <cell r="F4658" t="str">
            <v>CALLE 42  16  126</v>
          </cell>
          <cell r="G4658">
            <v>68001</v>
          </cell>
        </row>
        <row r="4659">
          <cell r="A4659" t="str">
            <v>900684067</v>
          </cell>
          <cell r="B4659" t="str">
            <v>2</v>
          </cell>
          <cell r="C4659" t="str">
            <v>EDIFICIO TRIBECCA PROPIEDAD HORIZONTAL</v>
          </cell>
          <cell r="D4659" t="str">
            <v>6459605</v>
          </cell>
          <cell r="E4659" t="str">
            <v>edificiotribeccaadmon@gmail.com</v>
          </cell>
          <cell r="F4659" t="str">
            <v>CALLE 11  23  49</v>
          </cell>
          <cell r="G4659">
            <v>68001</v>
          </cell>
        </row>
        <row r="4660">
          <cell r="A4660" t="str">
            <v>900684375</v>
          </cell>
          <cell r="B4660" t="str">
            <v>6</v>
          </cell>
          <cell r="C4660" t="str">
            <v>EDIFICIO PARQUE CENTRAL</v>
          </cell>
          <cell r="D4660" t="str">
            <v>3108696787</v>
          </cell>
          <cell r="E4660" t="str">
            <v>edificioparquecentral1@hotmail.com</v>
          </cell>
          <cell r="F4660" t="str">
            <v>CARRERA 23  30  62</v>
          </cell>
          <cell r="G4660">
            <v>68001</v>
          </cell>
        </row>
        <row r="4661">
          <cell r="A4661" t="str">
            <v>900686680</v>
          </cell>
          <cell r="B4661" t="str">
            <v>7</v>
          </cell>
          <cell r="C4661" t="str">
            <v>EDIFICIO VALQUIRIA</v>
          </cell>
          <cell r="D4661" t="str">
            <v>6437530</v>
          </cell>
          <cell r="E4661" t="str">
            <v>edificiovalquiria@gmail.com</v>
          </cell>
          <cell r="F4661" t="str">
            <v>CARRERA 38 A  46  04</v>
          </cell>
          <cell r="G4661">
            <v>68001</v>
          </cell>
        </row>
        <row r="4662">
          <cell r="A4662" t="str">
            <v>900695867</v>
          </cell>
          <cell r="B4662" t="str">
            <v>5</v>
          </cell>
          <cell r="C4662" t="str">
            <v>EDIFICIO PRADO ONIX</v>
          </cell>
          <cell r="D4662" t="str">
            <v>6457117</v>
          </cell>
          <cell r="E4662" t="str">
            <v>admon.pradoonix@gmail.com</v>
          </cell>
          <cell r="F4662" t="str">
            <v>CARRERA 36  36  56</v>
          </cell>
          <cell r="G4662">
            <v>68001</v>
          </cell>
        </row>
        <row r="4663">
          <cell r="A4663" t="str">
            <v>900699454</v>
          </cell>
          <cell r="B4663" t="str">
            <v>5</v>
          </cell>
          <cell r="C4663" t="str">
            <v>EDIFICIO TULIPANES</v>
          </cell>
          <cell r="D4663" t="str">
            <v>3177192842</v>
          </cell>
          <cell r="E4663" t="str">
            <v>edificiotulipanes@hotmail.com</v>
          </cell>
          <cell r="F4663" t="str">
            <v>CALLE 43  13  55</v>
          </cell>
          <cell r="G4663">
            <v>68001</v>
          </cell>
        </row>
        <row r="4664">
          <cell r="A4664" t="str">
            <v>900702851</v>
          </cell>
          <cell r="B4664" t="str">
            <v>9</v>
          </cell>
          <cell r="C4664" t="str">
            <v>EDIFICIO UNIDAD RESIDENCIAL 24 URBANO</v>
          </cell>
          <cell r="D4664" t="str">
            <v>6327613</v>
          </cell>
          <cell r="E4664" t="str">
            <v>edificio24urbano@gmail.com</v>
          </cell>
          <cell r="F4664" t="str">
            <v>CARRERA 24  39  38</v>
          </cell>
          <cell r="G4664">
            <v>68001</v>
          </cell>
        </row>
        <row r="4665">
          <cell r="A4665" t="str">
            <v>900706503</v>
          </cell>
          <cell r="B4665" t="str">
            <v>9</v>
          </cell>
          <cell r="C4665" t="str">
            <v>EDIFICIO MASERATO</v>
          </cell>
          <cell r="D4665" t="str">
            <v>6453360</v>
          </cell>
          <cell r="E4665" t="str">
            <v>Edificiomaserato22@gmail.com</v>
          </cell>
          <cell r="F4665" t="str">
            <v>CARRERA 24  30  51</v>
          </cell>
          <cell r="G4665">
            <v>68001</v>
          </cell>
        </row>
        <row r="4666">
          <cell r="A4666" t="str">
            <v>900713717</v>
          </cell>
          <cell r="B4666" t="str">
            <v>7</v>
          </cell>
          <cell r="C4666" t="str">
            <v>EDIFICIO PORTAL DE SAN FRANCISCO</v>
          </cell>
          <cell r="D4666" t="str">
            <v>3005678909</v>
          </cell>
          <cell r="E4666" t="str">
            <v>portaldesanfrancisco@outlook.es</v>
          </cell>
          <cell r="F4666" t="str">
            <v>CARRERA 25  15  02</v>
          </cell>
          <cell r="G4666">
            <v>68001</v>
          </cell>
        </row>
        <row r="4667">
          <cell r="A4667" t="str">
            <v>900715365</v>
          </cell>
          <cell r="B4667" t="str">
            <v>7</v>
          </cell>
          <cell r="C4667" t="str">
            <v>EDIFICIO CENTRO EMPRESARIAL BELUZ</v>
          </cell>
          <cell r="D4667" t="str">
            <v>6704939</v>
          </cell>
          <cell r="E4667" t="str">
            <v>centroempresarialbeluz@hotmail.com</v>
          </cell>
          <cell r="F4667" t="str">
            <v>CALLE 34  10  25</v>
          </cell>
          <cell r="G4667">
            <v>68001</v>
          </cell>
        </row>
        <row r="4668">
          <cell r="A4668" t="str">
            <v>900715579</v>
          </cell>
          <cell r="B4668" t="str">
            <v>6</v>
          </cell>
          <cell r="C4668" t="str">
            <v>CONJUNTO RESIDENCIAL TORRES DE VERONA</v>
          </cell>
          <cell r="D4668" t="str">
            <v>3166519305</v>
          </cell>
          <cell r="E4668" t="str">
            <v>admontorresdeverona@hotmail.com</v>
          </cell>
          <cell r="F4668" t="str">
            <v>CALLE 104 B  15 A  11</v>
          </cell>
          <cell r="G4668">
            <v>68001</v>
          </cell>
        </row>
        <row r="4669">
          <cell r="A4669" t="str">
            <v>900715906</v>
          </cell>
          <cell r="B4669" t="str">
            <v>1</v>
          </cell>
          <cell r="C4669" t="str">
            <v>EDIFICIO ANKARA</v>
          </cell>
          <cell r="D4669" t="str">
            <v>6344114</v>
          </cell>
          <cell r="E4669" t="str">
            <v>admankara@gmail.com</v>
          </cell>
          <cell r="F4669" t="str">
            <v>CARRERA 29  30  25</v>
          </cell>
          <cell r="G4669">
            <v>68001</v>
          </cell>
        </row>
        <row r="4670">
          <cell r="A4670" t="str">
            <v>900731617</v>
          </cell>
          <cell r="B4670" t="str">
            <v>5</v>
          </cell>
          <cell r="C4670" t="str">
            <v>EDIFICIO TORRE TADAIMA</v>
          </cell>
          <cell r="D4670" t="str">
            <v>3014640898</v>
          </cell>
          <cell r="E4670" t="str">
            <v>torretadaima@gmail.com</v>
          </cell>
          <cell r="F4670" t="str">
            <v>CARRERA 32  17  45</v>
          </cell>
          <cell r="G4670">
            <v>68001</v>
          </cell>
        </row>
        <row r="4671">
          <cell r="A4671" t="str">
            <v>900736391</v>
          </cell>
          <cell r="B4671" t="str">
            <v>9</v>
          </cell>
          <cell r="C4671" t="str">
            <v>TORRE 8 CORVILAR COMUNEROS</v>
          </cell>
          <cell r="D4671" t="str">
            <v>6718985</v>
          </cell>
          <cell r="E4671" t="str">
            <v>edificiotorre8@gmail.com</v>
          </cell>
          <cell r="F4671" t="str">
            <v>CARRERA 17  8  26</v>
          </cell>
          <cell r="G4671">
            <v>68001</v>
          </cell>
        </row>
        <row r="4672">
          <cell r="A4672" t="str">
            <v>900740669</v>
          </cell>
          <cell r="B4672" t="str">
            <v>6</v>
          </cell>
          <cell r="C4672" t="str">
            <v>CONJUNTO RESIDENCIAL OASIS DE MARDEL</v>
          </cell>
          <cell r="D4672" t="str">
            <v>6412342</v>
          </cell>
          <cell r="E4672" t="str">
            <v>oasisdemardel@hotmail.com</v>
          </cell>
          <cell r="F4672" t="str">
            <v>DIAGONAL 13  60  52</v>
          </cell>
          <cell r="G4672">
            <v>68001</v>
          </cell>
        </row>
        <row r="4673">
          <cell r="A4673" t="str">
            <v>900741587</v>
          </cell>
          <cell r="B4673" t="str">
            <v>5</v>
          </cell>
          <cell r="C4673" t="str">
            <v>EDIFICIO CENTRAL PARK</v>
          </cell>
          <cell r="D4673" t="str">
            <v>6577371</v>
          </cell>
          <cell r="E4673" t="str">
            <v>centralpark.admon2021@gmail.com</v>
          </cell>
          <cell r="F4673" t="str">
            <v>CALLE 46  35 A  06</v>
          </cell>
          <cell r="G4673">
            <v>68001</v>
          </cell>
        </row>
        <row r="4674">
          <cell r="A4674" t="str">
            <v>900747611</v>
          </cell>
          <cell r="B4674" t="str">
            <v>1</v>
          </cell>
          <cell r="C4674" t="str">
            <v>EDIFICIO VENETTO</v>
          </cell>
          <cell r="D4674" t="str">
            <v>6577659</v>
          </cell>
          <cell r="E4674" t="str">
            <v>venetto44@gmail.com</v>
          </cell>
          <cell r="F4674" t="str">
            <v>CARRERA 28  42  47</v>
          </cell>
          <cell r="G4674">
            <v>68001</v>
          </cell>
        </row>
        <row r="4675">
          <cell r="A4675" t="str">
            <v>900754500</v>
          </cell>
          <cell r="B4675" t="str">
            <v>1</v>
          </cell>
          <cell r="C4675" t="str">
            <v>EDIFICIO BAHREIN CONDOMINIO</v>
          </cell>
          <cell r="D4675" t="str">
            <v>6451526</v>
          </cell>
          <cell r="E4675" t="str">
            <v>bahreincondominio@outlook.com</v>
          </cell>
          <cell r="F4675" t="str">
            <v>CARRERA 25  35  45</v>
          </cell>
          <cell r="G4675">
            <v>68001</v>
          </cell>
        </row>
        <row r="4676">
          <cell r="A4676" t="str">
            <v>900762054</v>
          </cell>
          <cell r="B4676" t="str">
            <v>1</v>
          </cell>
          <cell r="C4676" t="str">
            <v>EDIFICIO PRADOS DEL ESTE</v>
          </cell>
          <cell r="D4676" t="str">
            <v>6325989</v>
          </cell>
          <cell r="E4676" t="str">
            <v>edificiopradosdeleste@gmail.com</v>
          </cell>
          <cell r="F4676" t="str">
            <v>CALLE 41  34  60</v>
          </cell>
          <cell r="G4676">
            <v>68001</v>
          </cell>
        </row>
        <row r="4677">
          <cell r="A4677" t="str">
            <v>900790628</v>
          </cell>
          <cell r="B4677" t="str">
            <v>8</v>
          </cell>
          <cell r="C4677" t="str">
            <v>EDIFICIO TORRE PORTO</v>
          </cell>
          <cell r="D4677" t="str">
            <v>6455092</v>
          </cell>
          <cell r="E4677" t="str">
            <v>edificiotorreporto@gmail.com</v>
          </cell>
          <cell r="F4677" t="str">
            <v>CALLE 39  24  43</v>
          </cell>
          <cell r="G4677">
            <v>68001</v>
          </cell>
        </row>
        <row r="4678">
          <cell r="A4678" t="str">
            <v>900802894</v>
          </cell>
          <cell r="B4678" t="str">
            <v>4</v>
          </cell>
          <cell r="C4678" t="str">
            <v>EDIFICIO BONAIRE</v>
          </cell>
          <cell r="D4678" t="str">
            <v>3162287370</v>
          </cell>
          <cell r="E4678" t="str">
            <v>edificiobonaireph@gmail.com</v>
          </cell>
          <cell r="F4678" t="str">
            <v>CALLE 32  34  29</v>
          </cell>
          <cell r="G4678">
            <v>68001</v>
          </cell>
        </row>
        <row r="4679">
          <cell r="A4679" t="str">
            <v>900823976</v>
          </cell>
          <cell r="B4679" t="str">
            <v>1</v>
          </cell>
          <cell r="C4679" t="str">
            <v>EDIFICIO HESPERIA REAL</v>
          </cell>
          <cell r="D4679" t="str">
            <v>6575254</v>
          </cell>
          <cell r="E4679" t="str">
            <v>gildelsu@hotmail.com</v>
          </cell>
          <cell r="F4679" t="str">
            <v>CARRERA 40  46  104</v>
          </cell>
          <cell r="G4679">
            <v>68001</v>
          </cell>
        </row>
        <row r="4680">
          <cell r="A4680" t="str">
            <v>900837806</v>
          </cell>
          <cell r="B4680" t="str">
            <v>7</v>
          </cell>
          <cell r="C4680" t="str">
            <v>CONJUNTO MULTIFAMILIAR OPUS</v>
          </cell>
          <cell r="D4680" t="str">
            <v>6574965</v>
          </cell>
          <cell r="E4680" t="str">
            <v>edificioopus@gmail.com</v>
          </cell>
          <cell r="F4680" t="str">
            <v>CALLE 55  28  25 BRR BOLARQUI</v>
          </cell>
          <cell r="G4680">
            <v>68001</v>
          </cell>
        </row>
        <row r="4681">
          <cell r="A4681" t="str">
            <v>900841113</v>
          </cell>
          <cell r="B4681" t="str">
            <v>7</v>
          </cell>
          <cell r="C4681" t="str">
            <v>EDIFICIO TORRE PARQUE TURBAY</v>
          </cell>
          <cell r="D4681" t="str">
            <v>3014326249</v>
          </cell>
          <cell r="E4681" t="str">
            <v>3014326249@hotmail.com</v>
          </cell>
          <cell r="F4681" t="str">
            <v>CARRERA 26 A  51  37</v>
          </cell>
          <cell r="G4681">
            <v>68001</v>
          </cell>
        </row>
        <row r="4682">
          <cell r="A4682" t="str">
            <v>900846436</v>
          </cell>
          <cell r="B4682" t="str">
            <v>3</v>
          </cell>
          <cell r="C4682" t="str">
            <v>EDIFICIO MASOA</v>
          </cell>
          <cell r="D4682" t="str">
            <v>6452328</v>
          </cell>
          <cell r="E4682" t="str">
            <v>edificiomasoa.ph@gmail.com</v>
          </cell>
          <cell r="F4682" t="str">
            <v>CALLE 22  22  36</v>
          </cell>
          <cell r="G4682">
            <v>68001</v>
          </cell>
        </row>
        <row r="4683">
          <cell r="A4683" t="str">
            <v>900857294</v>
          </cell>
          <cell r="B4683" t="str">
            <v>1</v>
          </cell>
          <cell r="C4683" t="str">
            <v>CONJUNTO RESIDENCIAL TORRES DE LAS CIGARRAS</v>
          </cell>
          <cell r="D4683" t="str">
            <v>6419482</v>
          </cell>
          <cell r="E4683" t="str">
            <v>con.residencialcigarras@gmail.com</v>
          </cell>
          <cell r="F4683" t="str">
            <v>AVENIDA LOS BUCAROS  60  168</v>
          </cell>
          <cell r="G4683">
            <v>68001</v>
          </cell>
        </row>
        <row r="4684">
          <cell r="A4684" t="str">
            <v>900876947</v>
          </cell>
          <cell r="B4684" t="str">
            <v>3</v>
          </cell>
          <cell r="C4684" t="str">
            <v>EDIFICIO ALMA MATER</v>
          </cell>
          <cell r="D4684" t="str">
            <v>3013047672</v>
          </cell>
          <cell r="E4684" t="str">
            <v>admon.almamater@gmail.com</v>
          </cell>
          <cell r="F4684" t="str">
            <v>CARRERA 26  9  45</v>
          </cell>
          <cell r="G4684">
            <v>68001</v>
          </cell>
        </row>
        <row r="4685">
          <cell r="A4685" t="str">
            <v>900884937</v>
          </cell>
          <cell r="B4685" t="str">
            <v>3</v>
          </cell>
          <cell r="C4685" t="str">
            <v>IPS CABECERA SAS</v>
          </cell>
          <cell r="D4685" t="str">
            <v>3173730656</v>
          </cell>
          <cell r="E4685" t="str">
            <v>facturacion1@ipscabecera.com</v>
          </cell>
          <cell r="F4685" t="str">
            <v>CARRERA 37  51  86</v>
          </cell>
          <cell r="G4685">
            <v>68001</v>
          </cell>
        </row>
        <row r="4686">
          <cell r="A4686" t="str">
            <v>900885230</v>
          </cell>
          <cell r="B4686" t="str">
            <v>1</v>
          </cell>
          <cell r="C4686" t="str">
            <v>UNIDAD RESIDENCIAL SALONICA APARTAMENTOS CLUB - PH</v>
          </cell>
          <cell r="D4686" t="str">
            <v>6450049</v>
          </cell>
          <cell r="E4686" t="str">
            <v>salonica.apartamentos@gmail.com</v>
          </cell>
          <cell r="F4686" t="str">
            <v>CARRERA 25  33  73</v>
          </cell>
          <cell r="G4686">
            <v>68001</v>
          </cell>
        </row>
        <row r="4687">
          <cell r="A4687" t="str">
            <v>900899402</v>
          </cell>
          <cell r="B4687" t="str">
            <v>0</v>
          </cell>
          <cell r="C4687" t="str">
            <v>EDIFICIO BALCONES DE VIZCAYA</v>
          </cell>
          <cell r="D4687" t="str">
            <v>6334519</v>
          </cell>
          <cell r="E4687" t="str">
            <v>balconesvizcaya@gmail.com</v>
          </cell>
          <cell r="F4687" t="str">
            <v>CALLE 24  20  54</v>
          </cell>
          <cell r="G4687">
            <v>68001</v>
          </cell>
        </row>
        <row r="4688">
          <cell r="A4688" t="str">
            <v>900904514</v>
          </cell>
          <cell r="B4688" t="str">
            <v>9</v>
          </cell>
          <cell r="C4688" t="str">
            <v>EDIFICIO SAN JOSE DE LA AURORA</v>
          </cell>
          <cell r="D4688">
            <v>3219664011</v>
          </cell>
          <cell r="E4688" t="str">
            <v>edificiosanjosedelaaurora@gmail.com</v>
          </cell>
          <cell r="F4688" t="str">
            <v>CALLE 30  28  42</v>
          </cell>
          <cell r="G4688">
            <v>68001</v>
          </cell>
        </row>
        <row r="4689">
          <cell r="A4689" t="str">
            <v>900907803</v>
          </cell>
          <cell r="B4689" t="str">
            <v>6</v>
          </cell>
          <cell r="C4689" t="str">
            <v>TODOREPUESTOS Y FRENOS LA 61 S.A.S</v>
          </cell>
          <cell r="D4689" t="str">
            <v>6441111</v>
          </cell>
          <cell r="E4689" t="str">
            <v>facturacion@todorepuestosvirtual.com</v>
          </cell>
          <cell r="F4689" t="str">
            <v>CL 61 17C 43</v>
          </cell>
          <cell r="G4689">
            <v>68001</v>
          </cell>
        </row>
        <row r="4690">
          <cell r="A4690" t="str">
            <v>900928345</v>
          </cell>
          <cell r="B4690" t="str">
            <v>4</v>
          </cell>
          <cell r="C4690" t="str">
            <v>SEG CONSTRUCCION Y CONSULTORIA S.A.S.</v>
          </cell>
          <cell r="D4690" t="str">
            <v>7013282</v>
          </cell>
          <cell r="E4690" t="str">
            <v>info@segcyc.com</v>
          </cell>
          <cell r="F4690" t="str">
            <v>CALLE 105 No. 24-129 PISO 2</v>
          </cell>
          <cell r="G4690">
            <v>68001</v>
          </cell>
        </row>
        <row r="4691">
          <cell r="A4691" t="str">
            <v>900942410</v>
          </cell>
          <cell r="B4691" t="str">
            <v>3</v>
          </cell>
          <cell r="C4691" t="str">
            <v>EDIFICIO EL TREBOL PROPIEDAD HORIZONTAL</v>
          </cell>
          <cell r="D4691" t="str">
            <v>3162231008</v>
          </cell>
          <cell r="E4691" t="str">
            <v>edificioresidencialeltrebol@gmail.com</v>
          </cell>
          <cell r="F4691" t="str">
            <v>CARRERA 28  13  26</v>
          </cell>
          <cell r="G4691">
            <v>68001</v>
          </cell>
        </row>
        <row r="4692">
          <cell r="A4692" t="str">
            <v>900948872</v>
          </cell>
          <cell r="B4692" t="str">
            <v>1</v>
          </cell>
          <cell r="C4692" t="str">
            <v>CONJUNTO RESIDENCIAL TORRES ELITE CONDOMINIO</v>
          </cell>
          <cell r="D4692" t="str">
            <v>3157349078</v>
          </cell>
          <cell r="E4692" t="str">
            <v>crelitecondominio@gmail.com</v>
          </cell>
          <cell r="F4692" t="str">
            <v>CARRERA 17  45  127</v>
          </cell>
          <cell r="G4692">
            <v>68001</v>
          </cell>
        </row>
        <row r="4693">
          <cell r="A4693" t="str">
            <v>900970954</v>
          </cell>
          <cell r="B4693" t="str">
            <v>7</v>
          </cell>
          <cell r="C4693" t="str">
            <v>EDIFICIO TERRA 26</v>
          </cell>
          <cell r="D4693" t="str">
            <v>6426653</v>
          </cell>
          <cell r="E4693" t="str">
            <v>admon.edificioterra26@gmail.com</v>
          </cell>
          <cell r="F4693" t="str">
            <v>CALLE 40 A  25  55</v>
          </cell>
          <cell r="G4693">
            <v>68001</v>
          </cell>
        </row>
        <row r="4694">
          <cell r="A4694" t="str">
            <v>900972820</v>
          </cell>
          <cell r="B4694" t="str">
            <v>8</v>
          </cell>
          <cell r="C4694" t="str">
            <v>EDIFICIO GENESIS</v>
          </cell>
          <cell r="D4694">
            <v>3219664011</v>
          </cell>
          <cell r="E4694" t="str">
            <v>yomimaal@hotmail.com</v>
          </cell>
          <cell r="F4694" t="str">
            <v>CALLE 18  24  52</v>
          </cell>
          <cell r="G4694">
            <v>68001</v>
          </cell>
        </row>
        <row r="4695">
          <cell r="A4695" t="str">
            <v>900976971</v>
          </cell>
          <cell r="B4695" t="str">
            <v>1</v>
          </cell>
          <cell r="C4695" t="str">
            <v>EDIFICIO TORRE PANORAMIC</v>
          </cell>
          <cell r="D4695" t="str">
            <v>6953167</v>
          </cell>
          <cell r="E4695" t="str">
            <v>oficinarubio@hotmail.com</v>
          </cell>
          <cell r="F4695" t="str">
            <v>CARRERA 28  11 A  27</v>
          </cell>
          <cell r="G4695">
            <v>68001</v>
          </cell>
        </row>
        <row r="4696">
          <cell r="A4696" t="str">
            <v>900980974</v>
          </cell>
          <cell r="B4696" t="str">
            <v>7</v>
          </cell>
          <cell r="C4696" t="str">
            <v>EDIFICIO QUINTA REAL</v>
          </cell>
          <cell r="D4696" t="str">
            <v>3154316696</v>
          </cell>
          <cell r="E4696" t="str">
            <v>edificioquintareal@gmail.com</v>
          </cell>
          <cell r="F4696" t="str">
            <v>CALLE 35  8  25</v>
          </cell>
          <cell r="G4696">
            <v>68001</v>
          </cell>
        </row>
        <row r="4697">
          <cell r="A4697" t="str">
            <v>900987044</v>
          </cell>
          <cell r="B4697" t="str">
            <v>4</v>
          </cell>
          <cell r="C4697" t="str">
            <v>EDIFICIO VERDETTO</v>
          </cell>
          <cell r="D4697" t="str">
            <v>6342367</v>
          </cell>
          <cell r="E4697" t="str">
            <v>verdettoe@gmail.com</v>
          </cell>
          <cell r="F4697" t="str">
            <v>CARRERA 26  31  58</v>
          </cell>
          <cell r="G4697">
            <v>68001</v>
          </cell>
        </row>
        <row r="4698">
          <cell r="A4698" t="str">
            <v>900996588</v>
          </cell>
          <cell r="B4698" t="str">
            <v>7</v>
          </cell>
          <cell r="C4698" t="str">
            <v>EDIFICIO MORIAT</v>
          </cell>
          <cell r="D4698" t="str">
            <v>6313211</v>
          </cell>
          <cell r="E4698" t="str">
            <v>edificiomoriat1@gmail.com</v>
          </cell>
          <cell r="F4698" t="str">
            <v>CALLE 91  22  68</v>
          </cell>
          <cell r="G4698">
            <v>68001</v>
          </cell>
        </row>
        <row r="4699">
          <cell r="A4699" t="str">
            <v>900998507</v>
          </cell>
          <cell r="B4699" t="str">
            <v>1</v>
          </cell>
          <cell r="C4699" t="str">
            <v>CONJUNTO TORRES DE LA CEIBA</v>
          </cell>
          <cell r="D4699" t="str">
            <v>3188270191</v>
          </cell>
          <cell r="E4699" t="str">
            <v>torresdelaceiba1@gmail.com</v>
          </cell>
          <cell r="F4699" t="str">
            <v>CARRERA 17 A  61  38</v>
          </cell>
          <cell r="G4699">
            <v>68001</v>
          </cell>
        </row>
        <row r="4700">
          <cell r="A4700" t="str">
            <v>901010558</v>
          </cell>
          <cell r="B4700" t="str">
            <v>9</v>
          </cell>
          <cell r="C4700" t="str">
            <v>EDIFICIO DOMINIQ</v>
          </cell>
          <cell r="D4700" t="str">
            <v>3187825371</v>
          </cell>
          <cell r="E4700" t="str">
            <v>edificiodominiq@gmail.com</v>
          </cell>
          <cell r="F4700" t="str">
            <v>CALLE 39  23  81</v>
          </cell>
          <cell r="G4700">
            <v>68001</v>
          </cell>
        </row>
        <row r="4701">
          <cell r="A4701" t="str">
            <v>901023380</v>
          </cell>
          <cell r="B4701" t="str">
            <v>1</v>
          </cell>
          <cell r="C4701" t="str">
            <v>CONJUNTO CACIQUE CLUB CONDOMINIO</v>
          </cell>
          <cell r="D4701" t="str">
            <v>3176718765</v>
          </cell>
          <cell r="E4701" t="str">
            <v>admcacique@gmail.com</v>
          </cell>
          <cell r="F4701" t="str">
            <v>CARRERA 33  86  144</v>
          </cell>
          <cell r="G4701">
            <v>68001</v>
          </cell>
        </row>
        <row r="4702">
          <cell r="A4702" t="str">
            <v>901029543</v>
          </cell>
          <cell r="B4702" t="str">
            <v>2</v>
          </cell>
          <cell r="C4702" t="str">
            <v>EDIFICIO AMAZON TOWER</v>
          </cell>
          <cell r="D4702" t="str">
            <v>3172205392</v>
          </cell>
          <cell r="E4702" t="str">
            <v>edificioamazontower@gmail.com</v>
          </cell>
          <cell r="F4702" t="str">
            <v>CARRERA 38  41  74</v>
          </cell>
          <cell r="G4702">
            <v>68001</v>
          </cell>
        </row>
        <row r="4703">
          <cell r="A4703" t="str">
            <v>901036725</v>
          </cell>
          <cell r="B4703" t="str">
            <v>5</v>
          </cell>
          <cell r="C4703" t="str">
            <v>EDIFICIO TORRE DE LA CONCORDIA</v>
          </cell>
          <cell r="D4703" t="str">
            <v>3163379407</v>
          </cell>
          <cell r="E4703" t="str">
            <v>torreconcordia@hotmail.com</v>
          </cell>
          <cell r="F4703" t="str">
            <v>CALLE 48  18  54</v>
          </cell>
          <cell r="G4703">
            <v>68001</v>
          </cell>
        </row>
        <row r="4704">
          <cell r="A4704" t="str">
            <v>901040157</v>
          </cell>
          <cell r="B4704" t="str">
            <v>7</v>
          </cell>
          <cell r="C4704" t="str">
            <v>EDIFICIO FAVUIS K-27</v>
          </cell>
          <cell r="D4704" t="str">
            <v>3164353779</v>
          </cell>
          <cell r="E4704" t="str">
            <v>favuisk27@gmail.com</v>
          </cell>
          <cell r="F4704" t="str">
            <v>CARRERA 27  17  54</v>
          </cell>
          <cell r="G4704">
            <v>68001</v>
          </cell>
        </row>
        <row r="4705">
          <cell r="A4705" t="str">
            <v>901040419</v>
          </cell>
          <cell r="B4705" t="str">
            <v>1</v>
          </cell>
          <cell r="C4705" t="str">
            <v>EDIFICIO MULTIFAMILIAR ELIM PROPIEDAD HORIZONTAL</v>
          </cell>
          <cell r="D4705" t="str">
            <v>3214644749</v>
          </cell>
          <cell r="E4705" t="str">
            <v>edificioelimph@gmail.com</v>
          </cell>
          <cell r="F4705" t="str">
            <v>CARRERA 28  14  25 BRR SAN ALONSO</v>
          </cell>
          <cell r="G4705">
            <v>68001</v>
          </cell>
        </row>
        <row r="4706">
          <cell r="A4706" t="str">
            <v>901041279</v>
          </cell>
          <cell r="B4706" t="str">
            <v>1</v>
          </cell>
          <cell r="C4706" t="str">
            <v>EDIFICIO PALLADIO CONDOMINIO</v>
          </cell>
          <cell r="D4706" t="str">
            <v>3163379407</v>
          </cell>
          <cell r="E4706" t="str">
            <v>palladiocondominiobga@gmail.com</v>
          </cell>
          <cell r="F4706" t="str">
            <v>CARRERA 23  52  51</v>
          </cell>
          <cell r="G4706">
            <v>68001</v>
          </cell>
        </row>
        <row r="4707">
          <cell r="A4707" t="str">
            <v>901041282</v>
          </cell>
          <cell r="B4707" t="str">
            <v>4</v>
          </cell>
          <cell r="C4707" t="str">
            <v>EDIFICIO PRADO 34</v>
          </cell>
          <cell r="D4707" t="str">
            <v>6426653</v>
          </cell>
          <cell r="E4707" t="str">
            <v>admon.edificioprado34@gmail.com</v>
          </cell>
          <cell r="F4707" t="str">
            <v>CARRERA 34  32  65</v>
          </cell>
          <cell r="G4707">
            <v>68001</v>
          </cell>
        </row>
        <row r="4708">
          <cell r="A4708" t="str">
            <v>901041691</v>
          </cell>
          <cell r="B4708" t="str">
            <v>3</v>
          </cell>
          <cell r="C4708" t="str">
            <v>CENTROS MEDICOS COLSANITAS SAS</v>
          </cell>
          <cell r="D4708" t="str">
            <v>6466060</v>
          </cell>
          <cell r="E4708" t="str">
            <v>recepcioncentrosmedicoscolsanitas@fe.keralty.com</v>
          </cell>
          <cell r="F4708" t="str">
            <v>AV CL 100 11B 67</v>
          </cell>
          <cell r="G4708">
            <v>68001</v>
          </cell>
        </row>
        <row r="4709">
          <cell r="A4709" t="str">
            <v>901059302</v>
          </cell>
          <cell r="B4709" t="str">
            <v>2</v>
          </cell>
          <cell r="C4709" t="str">
            <v>EDIFICIO AZIZ CONDOMINIO</v>
          </cell>
          <cell r="D4709" t="str">
            <v>3176718765</v>
          </cell>
          <cell r="E4709" t="str">
            <v>admazizcondominio@gmail.com</v>
          </cell>
          <cell r="F4709" t="str">
            <v>CARRERA 25  18  31</v>
          </cell>
          <cell r="G4709">
            <v>68001</v>
          </cell>
        </row>
        <row r="4710">
          <cell r="A4710" t="str">
            <v>901061021</v>
          </cell>
          <cell r="B4710" t="str">
            <v>4</v>
          </cell>
          <cell r="C4710" t="str">
            <v>EDIFICIO 30 URBANO</v>
          </cell>
          <cell r="D4710" t="str">
            <v>3162655421</v>
          </cell>
          <cell r="E4710" t="str">
            <v>edificio30urbano@gmail.com</v>
          </cell>
          <cell r="F4710" t="str">
            <v>CALLE 30  23  70</v>
          </cell>
          <cell r="G4710">
            <v>68001</v>
          </cell>
        </row>
        <row r="4711">
          <cell r="A4711" t="str">
            <v>901066227</v>
          </cell>
          <cell r="B4711" t="str">
            <v>7</v>
          </cell>
          <cell r="C4711" t="str">
            <v>EDIFICIO OXFORD 21 PROPIEDAD HORIZONTAL</v>
          </cell>
          <cell r="D4711" t="str">
            <v>3176718765</v>
          </cell>
          <cell r="E4711" t="str">
            <v>edificioxford21@gmail.com</v>
          </cell>
          <cell r="F4711" t="str">
            <v>CALLE 21  29  41</v>
          </cell>
          <cell r="G4711">
            <v>68001</v>
          </cell>
        </row>
        <row r="4712">
          <cell r="A4712" t="str">
            <v>901088569</v>
          </cell>
          <cell r="B4712" t="str">
            <v>5</v>
          </cell>
          <cell r="C4712" t="str">
            <v>EDIFICIO MULTIFAMILIAR PALLADIUM CONDOMINIO- PROPIEDAD HORIZONTAL</v>
          </cell>
          <cell r="D4712" t="str">
            <v>3003143036</v>
          </cell>
          <cell r="E4712" t="str">
            <v>palladiumcondominio01@gmail.com</v>
          </cell>
          <cell r="F4712" t="str">
            <v>CALLE 19  31  45</v>
          </cell>
          <cell r="G4712">
            <v>68001</v>
          </cell>
        </row>
        <row r="4713">
          <cell r="A4713" t="str">
            <v>901092031</v>
          </cell>
          <cell r="B4713" t="str">
            <v>0</v>
          </cell>
          <cell r="C4713" t="str">
            <v>EDIFICIO TORRE UNO A PROPIEDAD HORIZONTAL</v>
          </cell>
          <cell r="D4713" t="str">
            <v>3004109518</v>
          </cell>
          <cell r="E4713" t="str">
            <v>edificiotorre1a@hotmail.com</v>
          </cell>
          <cell r="F4713" t="str">
            <v>CALLE 51  38  14</v>
          </cell>
          <cell r="G4713">
            <v>68001</v>
          </cell>
        </row>
        <row r="4714">
          <cell r="A4714" t="str">
            <v>901126705</v>
          </cell>
          <cell r="B4714" t="str">
            <v>4</v>
          </cell>
          <cell r="C4714" t="str">
            <v>EDIFICIO TORRES DEL ANGEL - PROPIEDAD HORIZONTAL</v>
          </cell>
          <cell r="D4714" t="str">
            <v>3183850329</v>
          </cell>
          <cell r="E4714" t="str">
            <v>torredelangeledificio@gmail.com</v>
          </cell>
          <cell r="F4714" t="str">
            <v>CALLE 8 A  17  16</v>
          </cell>
          <cell r="G4714">
            <v>68001</v>
          </cell>
        </row>
        <row r="4715">
          <cell r="A4715" t="str">
            <v>901140328</v>
          </cell>
          <cell r="B4715" t="str">
            <v>9</v>
          </cell>
          <cell r="C4715" t="str">
            <v>EDIFICO SAN FRANCISCO PROPIEDAD HORIZONTAL</v>
          </cell>
          <cell r="D4715" t="str">
            <v>3167542840</v>
          </cell>
          <cell r="E4715" t="str">
            <v>Edificiosanfranciscolavictoria@gmail.com</v>
          </cell>
          <cell r="F4715" t="str">
            <v>CARRERA 18  65  10</v>
          </cell>
          <cell r="G4715">
            <v>68001</v>
          </cell>
        </row>
        <row r="4716">
          <cell r="A4716" t="str">
            <v>901143102</v>
          </cell>
          <cell r="B4716" t="str">
            <v>5</v>
          </cell>
          <cell r="C4716" t="str">
            <v>EDIFICIO SANTA KTALINA - PROPIEDAD HORIZONTAL</v>
          </cell>
          <cell r="D4716" t="str">
            <v>3 1 6 3 3 7 9 4 0 7</v>
          </cell>
          <cell r="E4716" t="str">
            <v>admonsantaktalina@gmail.com</v>
          </cell>
          <cell r="F4716" t="str">
            <v>CR 28 45 25 29 BRR SOTOMAYOR</v>
          </cell>
          <cell r="G4716">
            <v>68001</v>
          </cell>
        </row>
        <row r="4717">
          <cell r="A4717" t="str">
            <v>901147450</v>
          </cell>
          <cell r="B4717" t="str">
            <v>1</v>
          </cell>
          <cell r="C4717" t="str">
            <v>EDIFICIO ZERATTO - PROPIEDAD HORIZONTAL</v>
          </cell>
          <cell r="D4717" t="str">
            <v>3 1 5 5 9 2 2 6 8 8</v>
          </cell>
          <cell r="E4717" t="str">
            <v>zphfacturacion@gmail.com</v>
          </cell>
          <cell r="F4717" t="str">
            <v xml:space="preserve">CL 14 25 28 30 BRR SAN FRANCISCO
</v>
          </cell>
          <cell r="G4717">
            <v>68001</v>
          </cell>
        </row>
        <row r="4718">
          <cell r="A4718" t="str">
            <v>901147522</v>
          </cell>
          <cell r="B4718" t="str">
            <v>3</v>
          </cell>
          <cell r="C4718" t="str">
            <v>UNIDAD RESIDENCIAL LAS PACHAS - PROPIEDAD HORIZONTAL</v>
          </cell>
          <cell r="D4718" t="str">
            <v>3164729390</v>
          </cell>
          <cell r="E4718" t="str">
            <v>jorgeariassaenz@hotmail.com</v>
          </cell>
          <cell r="F4718" t="str">
            <v>CALLE 24  23  16</v>
          </cell>
          <cell r="G4718">
            <v>68001</v>
          </cell>
        </row>
        <row r="4719">
          <cell r="A4719" t="str">
            <v>901150282</v>
          </cell>
          <cell r="B4719" t="str">
            <v>1</v>
          </cell>
          <cell r="C4719" t="str">
            <v>EDIFICIO BOREALIX- PROPIEDAD HORIZONTAL</v>
          </cell>
          <cell r="D4719" t="str">
            <v>3166975519</v>
          </cell>
          <cell r="E4719" t="str">
            <v>edificioborealixph@gmail.com</v>
          </cell>
          <cell r="F4719" t="str">
            <v>CL 34 28 60</v>
          </cell>
          <cell r="G4719">
            <v>68001</v>
          </cell>
        </row>
        <row r="4720">
          <cell r="A4720" t="str">
            <v>901152152</v>
          </cell>
          <cell r="B4720" t="str">
            <v>1</v>
          </cell>
          <cell r="C4720" t="str">
            <v>COMPAÑIA GRUPO INNOVA S.A.S</v>
          </cell>
          <cell r="D4720" t="str">
            <v>3134079478</v>
          </cell>
          <cell r="E4720" t="str">
            <v>companiagrupoinnova@hotmail.com</v>
          </cell>
          <cell r="F4720" t="str">
            <v>CL 71 53 96 BRR LAGOS DEL CACIQUE</v>
          </cell>
          <cell r="G4720">
            <v>68001</v>
          </cell>
        </row>
        <row r="4721">
          <cell r="A4721" t="str">
            <v>901157137</v>
          </cell>
          <cell r="B4721" t="str">
            <v>3</v>
          </cell>
          <cell r="C4721" t="str">
            <v>CONJUNTO RESIDENCIAL BONUM DE MARDEL - PROPIEDAD HORIZONTAL</v>
          </cell>
          <cell r="D4721" t="str">
            <v>6436215</v>
          </cell>
          <cell r="E4721" t="str">
            <v>admbonumdemardel@gmail.com</v>
          </cell>
          <cell r="F4721" t="str">
            <v>CL 44 34 42</v>
          </cell>
          <cell r="G4721">
            <v>68001</v>
          </cell>
        </row>
        <row r="4722">
          <cell r="A4722" t="str">
            <v>901168957</v>
          </cell>
          <cell r="B4722" t="str">
            <v>3</v>
          </cell>
          <cell r="C4722" t="str">
            <v>EDIFICIO AVALON - PROPIEDAD HORIZONTAL</v>
          </cell>
          <cell r="D4722" t="str">
            <v>3185480514</v>
          </cell>
          <cell r="E4722" t="str">
            <v>edificioavalon@hotmail.com</v>
          </cell>
          <cell r="F4722" t="str">
            <v>CARRERA 19 10 31 BARRIO MUTUALIDAD</v>
          </cell>
          <cell r="G4722">
            <v>68001</v>
          </cell>
        </row>
        <row r="4723">
          <cell r="A4723" t="str">
            <v>901174692</v>
          </cell>
          <cell r="B4723" t="str">
            <v>1</v>
          </cell>
          <cell r="C4723" t="str">
            <v>UNIDAD RESIDENCIAL CRISTO REY - PROPIEDAD HORIZONTAL</v>
          </cell>
          <cell r="D4723" t="str">
            <v>3186007687</v>
          </cell>
          <cell r="E4723" t="str">
            <v>unidadresidencialcristorey@gmail.com</v>
          </cell>
          <cell r="F4723" t="str">
            <v>CR 18 7 34 38 BRR COMUNEROS</v>
          </cell>
          <cell r="G4723">
            <v>68001</v>
          </cell>
        </row>
        <row r="4724">
          <cell r="A4724" t="str">
            <v>901175290</v>
          </cell>
          <cell r="B4724" t="str">
            <v>9</v>
          </cell>
          <cell r="C4724" t="str">
            <v>EDIFICIO SAN GABRIEL DE LA AURORA</v>
          </cell>
          <cell r="D4724" t="str">
            <v>6349906</v>
          </cell>
          <cell r="E4724" t="str">
            <v>sangabrieldelaaurora@gmail.com</v>
          </cell>
          <cell r="F4724" t="str">
            <v>CR 28 33 43</v>
          </cell>
          <cell r="G4724">
            <v>68001</v>
          </cell>
        </row>
        <row r="4725">
          <cell r="A4725" t="str">
            <v>901176068</v>
          </cell>
          <cell r="B4725" t="str">
            <v>4</v>
          </cell>
          <cell r="C4725" t="str">
            <v>CONJUNTO PARQUE ALARCON</v>
          </cell>
          <cell r="D4725" t="str">
            <v>6436215</v>
          </cell>
          <cell r="E4725" t="str">
            <v>Con.parquealarcon@gmail.com</v>
          </cell>
          <cell r="F4725" t="str">
            <v>CR 19 23 11 19 27 31 33 Y CR 20 22 54 58</v>
          </cell>
          <cell r="G4725">
            <v>68001</v>
          </cell>
        </row>
        <row r="4726">
          <cell r="A4726" t="str">
            <v>901189514</v>
          </cell>
          <cell r="B4726" t="str">
            <v>4</v>
          </cell>
          <cell r="C4726" t="str">
            <v>EDIFICIO PALATINO PROPIEDAD HORIZONTAL</v>
          </cell>
          <cell r="D4726" t="str">
            <v>3157929026</v>
          </cell>
          <cell r="E4726" t="str">
            <v>admonpalatino@gmail.com</v>
          </cell>
          <cell r="F4726" t="str">
            <v>CALLE 10 22-36 BARRIO MUTUALIDAD</v>
          </cell>
          <cell r="G4726">
            <v>68001</v>
          </cell>
        </row>
        <row r="4727">
          <cell r="A4727" t="str">
            <v>901194522</v>
          </cell>
          <cell r="B4727" t="str">
            <v>3</v>
          </cell>
          <cell r="C4727" t="str">
            <v>EDIFICIO MAZZARO PH</v>
          </cell>
          <cell r="D4727" t="str">
            <v>6089272</v>
          </cell>
          <cell r="E4727" t="str">
            <v>mazzaro2022@gmail.com</v>
          </cell>
          <cell r="F4727" t="str">
            <v>CL 16 25-58</v>
          </cell>
          <cell r="G4727">
            <v>68001</v>
          </cell>
        </row>
        <row r="4728">
          <cell r="A4728" t="str">
            <v>901201191</v>
          </cell>
          <cell r="B4728" t="str">
            <v>1</v>
          </cell>
          <cell r="C4728" t="str">
            <v>EDIFICIO TORRE AURUM- PROPIEDAD HORIZONTAL</v>
          </cell>
          <cell r="D4728" t="str">
            <v>3208987925</v>
          </cell>
          <cell r="E4728" t="str">
            <v>edificiotorreaurum@hotmail.com</v>
          </cell>
          <cell r="F4728" t="str">
            <v>CL 34 29 11 27 33</v>
          </cell>
          <cell r="G4728">
            <v>68001</v>
          </cell>
        </row>
        <row r="4729">
          <cell r="A4729" t="str">
            <v>901206436</v>
          </cell>
          <cell r="B4729" t="str">
            <v>1</v>
          </cell>
          <cell r="C4729" t="str">
            <v>EDIFICIO ARA CONDOMINIO CLUB-PH</v>
          </cell>
          <cell r="D4729" t="str">
            <v>3153733095</v>
          </cell>
          <cell r="E4729" t="str">
            <v>aracondominioclub2019@gmail.com</v>
          </cell>
          <cell r="F4729" t="str">
            <v>CL 51 23 45</v>
          </cell>
          <cell r="G4729">
            <v>68001</v>
          </cell>
        </row>
        <row r="4730">
          <cell r="A4730" t="str">
            <v>901208485</v>
          </cell>
          <cell r="B4730" t="str">
            <v>1</v>
          </cell>
          <cell r="C4730" t="str">
            <v>EDIFICIO EMPORIUM CONDOMINIO PALACE - PROPIEDAD HORIZONTAL</v>
          </cell>
          <cell r="D4730" t="str">
            <v>3013468738</v>
          </cell>
          <cell r="E4730" t="str">
            <v>propietariosedificioemporium@gmail.com</v>
          </cell>
          <cell r="F4730" t="str">
            <v>CR 28 19 59</v>
          </cell>
          <cell r="G4730">
            <v>68001</v>
          </cell>
        </row>
        <row r="4731">
          <cell r="A4731" t="str">
            <v>901211111</v>
          </cell>
          <cell r="B4731" t="str">
            <v>3</v>
          </cell>
          <cell r="C4731" t="str">
            <v>EDIFICIO PORTALES DEL PRADO-PH</v>
          </cell>
          <cell r="D4731" t="str">
            <v>3023131983</v>
          </cell>
          <cell r="E4731" t="str">
            <v>admon.portalesdelprado@gmail.com</v>
          </cell>
          <cell r="F4731" t="str">
            <v>CL 36 34 45</v>
          </cell>
          <cell r="G4731">
            <v>68001</v>
          </cell>
        </row>
        <row r="4732">
          <cell r="A4732" t="str">
            <v>901222559</v>
          </cell>
          <cell r="B4732" t="str">
            <v>6</v>
          </cell>
          <cell r="C4732" t="str">
            <v>EDIFICIO PARC 2028 - PROPIEDAD HORIZONTAL</v>
          </cell>
          <cell r="D4732" t="str">
            <v>6436215</v>
          </cell>
          <cell r="E4732" t="str">
            <v>Edfparc2028@gmail.com</v>
          </cell>
          <cell r="F4732" t="str">
            <v>CR 20 28 59</v>
          </cell>
          <cell r="G4732">
            <v>68001</v>
          </cell>
        </row>
        <row r="4733">
          <cell r="A4733" t="str">
            <v>901225960</v>
          </cell>
          <cell r="B4733" t="str">
            <v>0</v>
          </cell>
          <cell r="C4733" t="str">
            <v>EDIFICIO AQUA TOWER CONDOMINIO - PROPIEDAD HORIZONTAL</v>
          </cell>
          <cell r="D4733" t="str">
            <v>6577326</v>
          </cell>
          <cell r="E4733" t="str">
            <v>adm.aquatower@gmail.com</v>
          </cell>
          <cell r="F4733" t="str">
            <v>CR 41 40 131 BRR CABECERA DEL LLANO</v>
          </cell>
          <cell r="G4733">
            <v>68001</v>
          </cell>
        </row>
        <row r="4734">
          <cell r="A4734" t="str">
            <v>901229124</v>
          </cell>
          <cell r="B4734" t="str">
            <v>8</v>
          </cell>
          <cell r="C4734" t="str">
            <v>CONJUNTO RESIDENCIAL GRAND BOULEVARD - PROPIEDAD HORIZONTAL</v>
          </cell>
          <cell r="D4734" t="str">
            <v>7002147 - 6994961</v>
          </cell>
          <cell r="E4734" t="str">
            <v>admgrandboulevard@gmail.com</v>
          </cell>
          <cell r="F4734" t="str">
            <v>CARRERA 19 16-77 BARRIO SAN FRANCISCO</v>
          </cell>
          <cell r="G4734">
            <v>68001</v>
          </cell>
        </row>
        <row r="4735">
          <cell r="A4735" t="str">
            <v>901230870</v>
          </cell>
          <cell r="B4735" t="str">
            <v>6</v>
          </cell>
          <cell r="C4735" t="str">
            <v>EDIFICIO RIALTO CONDOMINIO - PH</v>
          </cell>
          <cell r="D4735" t="str">
            <v>3156540536</v>
          </cell>
          <cell r="E4735" t="str">
            <v>condominiorialto24@hotmail.com</v>
          </cell>
          <cell r="F4735" t="str">
            <v>CR 24 16 44 50 52</v>
          </cell>
          <cell r="G4735">
            <v>68001</v>
          </cell>
        </row>
        <row r="4736">
          <cell r="A4736" t="str">
            <v>901239927</v>
          </cell>
          <cell r="B4736" t="str">
            <v>8</v>
          </cell>
          <cell r="C4736" t="str">
            <v>EDIFICIO QUO BUSINESS CENTER - ASEGURADORA SOLIDARIA DE COLOMBIA - PROPIEDAD HORIZONTAL</v>
          </cell>
          <cell r="D4736" t="str">
            <v>3165299301</v>
          </cell>
          <cell r="E4736" t="str">
            <v>quobusiness@hotmail.com</v>
          </cell>
          <cell r="F4736" t="str">
            <v>CR 36 44 25 35 39 BRR CABECERA</v>
          </cell>
          <cell r="G4736">
            <v>68001</v>
          </cell>
        </row>
        <row r="4737">
          <cell r="A4737" t="str">
            <v>901240846</v>
          </cell>
          <cell r="B4737" t="str">
            <v>1</v>
          </cell>
          <cell r="C4737" t="str">
            <v>EDIFICIO TORRE ASTANA - PH</v>
          </cell>
          <cell r="D4737" t="str">
            <v>3156729438</v>
          </cell>
          <cell r="E4737" t="str">
            <v>rosi1418@hotmail.com</v>
          </cell>
          <cell r="F4737" t="str">
            <v>CL 10 26 51</v>
          </cell>
          <cell r="G4737">
            <v>68001</v>
          </cell>
        </row>
        <row r="4738">
          <cell r="A4738" t="str">
            <v>901241255</v>
          </cell>
          <cell r="B4738" t="str">
            <v>3</v>
          </cell>
          <cell r="C4738" t="str">
            <v>CLINISPORTS DE COLOMBIA SAS</v>
          </cell>
          <cell r="D4738" t="str">
            <v>6428112</v>
          </cell>
          <cell r="E4738" t="str">
            <v>facturacion.clinisports@gmail.com</v>
          </cell>
          <cell r="F4738" t="str">
            <v>CLL 54 31 79 BRR CABECERA</v>
          </cell>
          <cell r="G4738">
            <v>68001</v>
          </cell>
        </row>
        <row r="4739">
          <cell r="A4739" t="str">
            <v>901296439</v>
          </cell>
          <cell r="B4739" t="str">
            <v>8</v>
          </cell>
          <cell r="C4739" t="str">
            <v>EDIFICIO TORRE PRADO-PROPIEDAD HORIZONTAL</v>
          </cell>
          <cell r="D4739" t="str">
            <v>3168345679</v>
          </cell>
          <cell r="E4739" t="str">
            <v>edificiotorreprado@gmail.com</v>
          </cell>
          <cell r="F4739" t="str">
            <v>CRA 34 32 95 BARRIO EL PRADO</v>
          </cell>
          <cell r="G4739">
            <v>68001</v>
          </cell>
        </row>
        <row r="4740">
          <cell r="A4740" t="str">
            <v>901301914</v>
          </cell>
          <cell r="B4740" t="str">
            <v>7</v>
          </cell>
          <cell r="C4740" t="str">
            <v>EDIFICIO QATAR APARTAMENTOS-PROPIEDAD HORIZONTAL</v>
          </cell>
          <cell r="D4740" t="str">
            <v>3182884936</v>
          </cell>
          <cell r="E4740" t="str">
            <v>qataredificioadm@gmail.com</v>
          </cell>
          <cell r="F4740" t="str">
            <v>CL 48 23 24 20 26</v>
          </cell>
          <cell r="G4740">
            <v>68001</v>
          </cell>
        </row>
        <row r="4741">
          <cell r="A4741" t="str">
            <v>901301993</v>
          </cell>
          <cell r="B4741" t="str">
            <v>9</v>
          </cell>
          <cell r="C4741" t="str">
            <v>EDIFICIO PREMIUM GOLD - PROPIEDAD HORIZONTAL</v>
          </cell>
          <cell r="D4741" t="str">
            <v>6997417</v>
          </cell>
          <cell r="E4741" t="str">
            <v>edificiopremiumgold@gmail.com</v>
          </cell>
          <cell r="F4741" t="str">
            <v>CL 18 29 22 BRR SAN ALONSO</v>
          </cell>
          <cell r="G4741">
            <v>68001</v>
          </cell>
        </row>
        <row r="4742">
          <cell r="A4742" t="str">
            <v>901308003</v>
          </cell>
          <cell r="B4742" t="str">
            <v>4</v>
          </cell>
          <cell r="C4742" t="str">
            <v>EDIFICIO PRAGATI - PROPIEDAD HORIZONTAL</v>
          </cell>
          <cell r="D4742" t="str">
            <v>6914186</v>
          </cell>
          <cell r="E4742" t="str">
            <v>Cpragati@hotmail.com</v>
          </cell>
          <cell r="F4742" t="str">
            <v>CL 37 24 54 BRR BOLIVAR CENTRO</v>
          </cell>
          <cell r="G4742">
            <v>68001</v>
          </cell>
        </row>
        <row r="4743">
          <cell r="A4743" t="str">
            <v>901311245</v>
          </cell>
          <cell r="B4743" t="str">
            <v>0</v>
          </cell>
          <cell r="C4743" t="str">
            <v>EDIFICIO SAN FRANCISCO - PROPIEDAD HORIZONTAL</v>
          </cell>
          <cell r="D4743" t="str">
            <v>3182884936</v>
          </cell>
          <cell r="E4743" t="str">
            <v>admedfsanfrancisco@gmail.com</v>
          </cell>
          <cell r="F4743" t="str">
            <v>CL 15 20  36</v>
          </cell>
          <cell r="G4743">
            <v>68001</v>
          </cell>
        </row>
        <row r="4744">
          <cell r="A4744" t="str">
            <v>901320831</v>
          </cell>
          <cell r="B4744" t="str">
            <v>5</v>
          </cell>
          <cell r="C4744" t="str">
            <v>EDIFICIO ANDES 22-PROPIEDAD HORIZONTAL</v>
          </cell>
          <cell r="D4744" t="str">
            <v>3202603629</v>
          </cell>
          <cell r="E4744" t="str">
            <v>edificioandes22@gmail.com</v>
          </cell>
          <cell r="F4744" t="str">
            <v>CALLE 22 20-24</v>
          </cell>
          <cell r="G4744">
            <v>68001</v>
          </cell>
        </row>
        <row r="4745">
          <cell r="A4745" t="str">
            <v>901341758</v>
          </cell>
          <cell r="B4745" t="str">
            <v>5</v>
          </cell>
          <cell r="C4745" t="str">
            <v>EDIFICIO MORATTO 44 PROPIEDAD HORIZONTAL</v>
          </cell>
          <cell r="D4745" t="str">
            <v>3058142824</v>
          </cell>
          <cell r="E4745" t="str">
            <v>admon.moratto44@gmail.com</v>
          </cell>
          <cell r="F4745" t="str">
            <v>CR 38 42 101 BRR CABECERA DEL LLANO</v>
          </cell>
          <cell r="G4745">
            <v>68001</v>
          </cell>
        </row>
        <row r="4746">
          <cell r="A4746" t="str">
            <v>901349836</v>
          </cell>
          <cell r="B4746" t="str">
            <v>8</v>
          </cell>
          <cell r="C4746" t="str">
            <v>UNIDAD RESIDENCIAL EDIFICIO SEQUOHIA - PROPIEDAD HORIZONTAL</v>
          </cell>
          <cell r="D4746" t="str">
            <v>6904161</v>
          </cell>
          <cell r="E4746" t="str">
            <v>admsequohia3521@gmail.com</v>
          </cell>
          <cell r="F4746" t="str">
            <v>CALLE 35 21-34</v>
          </cell>
          <cell r="G4746">
            <v>68001</v>
          </cell>
        </row>
        <row r="4747">
          <cell r="A4747" t="str">
            <v>901375422</v>
          </cell>
          <cell r="B4747" t="str">
            <v>2</v>
          </cell>
          <cell r="C4747" t="str">
            <v>EDIFICIO U 14/26 - PROPIEDAD HORIZONTAL</v>
          </cell>
          <cell r="D4747" t="str">
            <v>3163379407</v>
          </cell>
          <cell r="E4747" t="str">
            <v>admu1426@gmail.com</v>
          </cell>
          <cell r="F4747" t="str">
            <v>CALLE 14 26-29</v>
          </cell>
          <cell r="G4747">
            <v>68001</v>
          </cell>
        </row>
        <row r="4748">
          <cell r="A4748" t="str">
            <v>901376799</v>
          </cell>
          <cell r="B4748" t="str">
            <v>8</v>
          </cell>
          <cell r="C4748" t="str">
            <v>EDIFICIO SAN RAFAEL CONJUNTO RESIDENCIAL - PROPIEDAD HORIZONTAL</v>
          </cell>
          <cell r="D4748" t="str">
            <v>3163379407</v>
          </cell>
          <cell r="E4748" t="str">
            <v>conjuntoresidencialsanrafael21@gmail.com</v>
          </cell>
          <cell r="F4748" t="str">
            <v>CL N 12 41 BRR NORTE BAJO</v>
          </cell>
          <cell r="G4748">
            <v>68001</v>
          </cell>
        </row>
        <row r="4749">
          <cell r="A4749" t="str">
            <v>901385451</v>
          </cell>
          <cell r="B4749" t="str">
            <v>9</v>
          </cell>
          <cell r="C4749" t="str">
            <v>EDIFICIO ANDES CENTER - PROPIEDAD HORIZONTAL</v>
          </cell>
          <cell r="D4749" t="str">
            <v>6917007</v>
          </cell>
          <cell r="E4749" t="str">
            <v>contabilidad@cla.com.co</v>
          </cell>
          <cell r="F4749" t="str">
            <v>CL 53 35 14 32 36</v>
          </cell>
          <cell r="G4749">
            <v>68001</v>
          </cell>
        </row>
        <row r="4750">
          <cell r="A4750" t="str">
            <v>901396212</v>
          </cell>
          <cell r="B4750" t="str">
            <v>2</v>
          </cell>
          <cell r="C4750" t="str">
            <v>COMERCIALIZADORA JATTAB SAS</v>
          </cell>
          <cell r="D4750" t="str">
            <v>3205474463</v>
          </cell>
          <cell r="E4750" t="str">
            <v>comercializadorajattabsas@gmail.com</v>
          </cell>
          <cell r="F4750" t="str">
            <v>CALLE 36 No. 13-33</v>
          </cell>
          <cell r="G4750">
            <v>68001</v>
          </cell>
        </row>
        <row r="4751">
          <cell r="A4751" t="str">
            <v>901418159</v>
          </cell>
          <cell r="B4751" t="str">
            <v>6</v>
          </cell>
          <cell r="C4751" t="str">
            <v>EDIFICIO KAOBA</v>
          </cell>
          <cell r="D4751" t="str">
            <v>310 765 68 29</v>
          </cell>
          <cell r="E4751" t="str">
            <v>edkaoba@hotmail.com</v>
          </cell>
          <cell r="F4751" t="str">
            <v>CALLE 50 No. 28 - 34</v>
          </cell>
          <cell r="G4751">
            <v>68001</v>
          </cell>
        </row>
        <row r="4752">
          <cell r="A4752" t="str">
            <v>901432510</v>
          </cell>
          <cell r="B4752" t="str">
            <v>7</v>
          </cell>
          <cell r="C4752" t="str">
            <v>PARQUE 22 CONDOMINIO - PROPIEDAD HORIZONTAL</v>
          </cell>
          <cell r="D4752" t="str">
            <v>3186153078</v>
          </cell>
          <cell r="E4752" t="str">
            <v>admparque22@gmail.com</v>
          </cell>
          <cell r="F4752" t="str">
            <v>CR 22 # 36-60</v>
          </cell>
          <cell r="G4752">
            <v>68001</v>
          </cell>
        </row>
        <row r="4753">
          <cell r="A4753" t="str">
            <v>901449905</v>
          </cell>
          <cell r="B4753" t="str">
            <v>7</v>
          </cell>
          <cell r="C4753" t="str">
            <v>ANTILLA UNIDAD RESIDENCIAL PROPIEDAD HORIZONTAL</v>
          </cell>
          <cell r="D4753" t="str">
            <v>3156775803</v>
          </cell>
          <cell r="E4753" t="str">
            <v>antiliaunidad@gmail.com</v>
          </cell>
          <cell r="F4753" t="str">
            <v>CR 14 A 45 67 BRR CHIRRERAS DE DON JUAN</v>
          </cell>
          <cell r="G4753">
            <v>68001</v>
          </cell>
        </row>
        <row r="4754">
          <cell r="A4754" t="str">
            <v>901462016</v>
          </cell>
          <cell r="B4754" t="str">
            <v>8</v>
          </cell>
          <cell r="C4754" t="str">
            <v>CONJUNTO RESIDENCIAL TORRES DE MONTERREDONDO II- PROPIEDAD HORIZONTAL</v>
          </cell>
          <cell r="D4754" t="str">
            <v>6898562</v>
          </cell>
          <cell r="E4754" t="str">
            <v>conjuntotorresdemonterredondo@gmail.com</v>
          </cell>
          <cell r="F4754" t="str">
            <v>CALLE 65 N 12W 84</v>
          </cell>
          <cell r="G4754">
            <v>68001</v>
          </cell>
        </row>
        <row r="4755">
          <cell r="A4755" t="str">
            <v>901462800</v>
          </cell>
          <cell r="B4755" t="str">
            <v>6</v>
          </cell>
          <cell r="C4755" t="str">
            <v>CAPITAL STATE SAS</v>
          </cell>
          <cell r="D4755" t="str">
            <v>3102162844</v>
          </cell>
          <cell r="E4755" t="str">
            <v>proveedores.capitalstate@gmail.com</v>
          </cell>
          <cell r="F4755" t="str">
            <v>CL 18 SUR 24 31 BRR RESTREPO</v>
          </cell>
          <cell r="G4755">
            <v>68001</v>
          </cell>
        </row>
        <row r="4756">
          <cell r="A4756" t="str">
            <v>901491553</v>
          </cell>
          <cell r="B4756" t="str">
            <v>5</v>
          </cell>
          <cell r="C4756" t="str">
            <v>MILLENNIUM BUSINESS TOWER - PROPIEDAD HORIZONTAL</v>
          </cell>
          <cell r="D4756" t="str">
            <v>3 1 5 8 3 6 3 0 5 7</v>
          </cell>
          <cell r="E4756" t="str">
            <v>millenniumbusinesstower@gmail.com</v>
          </cell>
          <cell r="F4756" t="str">
            <v>CL 36 27 71 75 79</v>
          </cell>
          <cell r="G4756">
            <v>68001</v>
          </cell>
        </row>
        <row r="4757">
          <cell r="A4757" t="str">
            <v>901509497</v>
          </cell>
          <cell r="B4757" t="str">
            <v>1</v>
          </cell>
          <cell r="C4757" t="str">
            <v>EDIFICIO TREBOLI</v>
          </cell>
          <cell r="D4757" t="str">
            <v>3164756784</v>
          </cell>
          <cell r="E4757" t="str">
            <v>edificiotreboli@gmail.com</v>
          </cell>
          <cell r="F4757" t="str">
            <v>DIAGONAL 20 #99-22</v>
          </cell>
          <cell r="G4757">
            <v>68001</v>
          </cell>
        </row>
        <row r="4758">
          <cell r="A4758" t="str">
            <v>901529970</v>
          </cell>
          <cell r="B4758" t="str">
            <v>1</v>
          </cell>
          <cell r="C4758" t="str">
            <v>EDIFICIO CASA 40 TORRE RESIDENCIAL - PROPIEDAD HORIZONTAL</v>
          </cell>
          <cell r="D4758" t="str">
            <v>3186170837</v>
          </cell>
          <cell r="E4758" t="str">
            <v>admoncasa40@gmail.com</v>
          </cell>
          <cell r="F4758" t="str">
            <v>CRA 40 48 33</v>
          </cell>
          <cell r="G4758">
            <v>68001</v>
          </cell>
        </row>
        <row r="4759">
          <cell r="A4759" t="str">
            <v>901530319</v>
          </cell>
          <cell r="B4759" t="str">
            <v>6</v>
          </cell>
          <cell r="C4759" t="str">
            <v>EDIFICIO TORRE DE LA VITA - PROPIEDAD HORIZONTAL</v>
          </cell>
          <cell r="D4759" t="str">
            <v>3182885148</v>
          </cell>
          <cell r="E4759" t="str">
            <v>admedificiotorredelavita@gmail.com</v>
          </cell>
          <cell r="F4759" t="str">
            <v>CR 21 38 11 07 17 21 33 39 45 49</v>
          </cell>
          <cell r="G4759">
            <v>68001</v>
          </cell>
        </row>
        <row r="4760">
          <cell r="A4760" t="str">
            <v>901537157</v>
          </cell>
          <cell r="B4760" t="str">
            <v>1</v>
          </cell>
          <cell r="C4760" t="str">
            <v>EDIFICIO SANTA ISABELLA - PROPIEDAD HORIZONTAL</v>
          </cell>
          <cell r="D4760" t="str">
            <v>3 1 6 0 1 7 0 1 5 9</v>
          </cell>
          <cell r="E4760" t="str">
            <v>edificiosantaisabellaph@gmail.com</v>
          </cell>
          <cell r="F4760" t="str">
            <v>CL 18 25 41 49 51</v>
          </cell>
          <cell r="G4760">
            <v>68001</v>
          </cell>
        </row>
        <row r="4761">
          <cell r="A4761" t="str">
            <v>901598855</v>
          </cell>
          <cell r="B4761" t="str">
            <v>5</v>
          </cell>
          <cell r="C4761" t="str">
            <v>EDIFICIO QATAR 34 - POPIEDAD HORZONTAL</v>
          </cell>
          <cell r="D4761" t="str">
            <v>3155887283</v>
          </cell>
          <cell r="E4761" t="str">
            <v>qatar34ph@gmail.com</v>
          </cell>
          <cell r="F4761" t="str">
            <v>calle 34 #25-38</v>
          </cell>
          <cell r="G4761">
            <v>68001</v>
          </cell>
        </row>
        <row r="4762">
          <cell r="A4762" t="str">
            <v>901601362</v>
          </cell>
          <cell r="B4762" t="str">
            <v>9</v>
          </cell>
          <cell r="C4762" t="str">
            <v>EDIFICIO VARENNA - PROPIEDAD HORIZONTAL</v>
          </cell>
          <cell r="D4762" t="str">
            <v>3124439208</v>
          </cell>
          <cell r="E4762" t="str">
            <v>admonedificiovarenna@gmail.com</v>
          </cell>
          <cell r="F4762" t="str">
            <v>CL 10 19 56  58</v>
          </cell>
          <cell r="G4762">
            <v>68001</v>
          </cell>
        </row>
        <row r="4763">
          <cell r="A4763" t="str">
            <v>901630789</v>
          </cell>
          <cell r="B4763" t="str">
            <v>3</v>
          </cell>
          <cell r="C4763" t="str">
            <v>MULTIFAMILIAR CLASS 24 EDIFICIO - PROPIEDAD HORIZONTAL</v>
          </cell>
          <cell r="D4763" t="str">
            <v>3152688228</v>
          </cell>
          <cell r="E4763" t="str">
            <v>edificioclass24@gmail.com</v>
          </cell>
          <cell r="F4763" t="str">
            <v>CR 24 33 A 30</v>
          </cell>
          <cell r="G4763">
            <v>68001</v>
          </cell>
        </row>
        <row r="4764">
          <cell r="A4764" t="str">
            <v>901650678</v>
          </cell>
          <cell r="B4764" t="str">
            <v>1</v>
          </cell>
          <cell r="C4764" t="str">
            <v>MASERATTI CONDOMINIO PROPOEDAD HORIZONTAL</v>
          </cell>
          <cell r="D4764" t="str">
            <v>315 8363057</v>
          </cell>
          <cell r="E4764" t="str">
            <v>maseratticondominioph@gmail.com</v>
          </cell>
          <cell r="F4764" t="str">
            <v>CALLE 32 38-33</v>
          </cell>
          <cell r="G4764">
            <v>68001</v>
          </cell>
        </row>
        <row r="4765">
          <cell r="A4765" t="str">
            <v>901682422</v>
          </cell>
          <cell r="B4765" t="str">
            <v>9</v>
          </cell>
          <cell r="C4765" t="str">
            <v>CONJUNTO RESIDENCIAL PROVENZA CLUB, EL CONDOMINIO, PH PRIMERA ETAPA</v>
          </cell>
          <cell r="D4765" t="str">
            <v>3103412930</v>
          </cell>
          <cell r="E4765" t="str">
            <v>provenzacec@gmail.com</v>
          </cell>
          <cell r="F4765" t="str">
            <v>CL 105 17 98 BRR PROVENZA</v>
          </cell>
          <cell r="G4765">
            <v>68001</v>
          </cell>
        </row>
        <row r="4766">
          <cell r="A4766" t="str">
            <v>901706762</v>
          </cell>
          <cell r="B4766" t="str">
            <v>3</v>
          </cell>
          <cell r="C4766" t="str">
            <v>GRUPO S&amp;L SAS</v>
          </cell>
          <cell r="D4766" t="str">
            <v>6 0 7 6 4 4 6 9 3 7</v>
          </cell>
          <cell r="E4766" t="str">
            <v>angysepulveda15@gmail.com</v>
          </cell>
          <cell r="F4766" t="str">
            <v>CALLE 56 # 17B - 44</v>
          </cell>
          <cell r="G4766">
            <v>68001</v>
          </cell>
        </row>
        <row r="4767">
          <cell r="A4767" t="str">
            <v>901738053</v>
          </cell>
          <cell r="B4767" t="str">
            <v>7</v>
          </cell>
          <cell r="C4767" t="str">
            <v>EDIFICIO SANTA MONICA - PROPIEDAD HORIZONTAL</v>
          </cell>
          <cell r="D4767" t="str">
            <v>3 0 1 4 6 0 4 5 0 7</v>
          </cell>
          <cell r="E4767" t="str">
            <v>edificiosantamonica.bga@gmail.com</v>
          </cell>
          <cell r="F4767" t="str">
            <v>CL 8 18 23 39</v>
          </cell>
          <cell r="G4767">
            <v>68001</v>
          </cell>
        </row>
        <row r="4768">
          <cell r="A4768" t="str">
            <v>901772898</v>
          </cell>
          <cell r="B4768" t="str">
            <v>7</v>
          </cell>
          <cell r="C4768" t="str">
            <v>EDIFICIO ORIZON SKY HOME - PROPIEDAD HORIZONTAL</v>
          </cell>
          <cell r="D4768" t="str">
            <v>3174298533</v>
          </cell>
          <cell r="E4768" t="str">
            <v>admorizonskyhome@gmail.com</v>
          </cell>
          <cell r="F4768" t="str">
            <v>CR 49 52 A 116</v>
          </cell>
          <cell r="G4768">
            <v>68001</v>
          </cell>
        </row>
        <row r="4769">
          <cell r="A4769" t="str">
            <v>901782261</v>
          </cell>
          <cell r="B4769" t="str">
            <v>9</v>
          </cell>
          <cell r="C4769" t="str">
            <v>EDIFICIO BOCHETTI CONDOMINIO PROPIEDAD HORIZONTAL</v>
          </cell>
          <cell r="D4769" t="str">
            <v>3 1 5 8 3 6 3 0 5 7</v>
          </cell>
          <cell r="E4769" t="str">
            <v>bochetticondominio@gmail.com</v>
          </cell>
          <cell r="F4769" t="str">
            <v>CR 22 20 43</v>
          </cell>
          <cell r="G4769">
            <v>68001</v>
          </cell>
        </row>
        <row r="4770">
          <cell r="A4770" t="str">
            <v>901826664</v>
          </cell>
          <cell r="B4770" t="str">
            <v>4</v>
          </cell>
          <cell r="C4770" t="str">
            <v>EDIFICIO PALACE CONDOMINIO</v>
          </cell>
          <cell r="D4770" t="str">
            <v>3 1 5 8 3 6 3 0 5 7</v>
          </cell>
          <cell r="E4770" t="str">
            <v>palacecondominioph@gmail.com</v>
          </cell>
          <cell r="F4770" t="str">
            <v>CR 29 34 54 38 CL 35 28 63 71 81</v>
          </cell>
          <cell r="G4770">
            <v>68001</v>
          </cell>
        </row>
        <row r="4771">
          <cell r="A4771" t="str">
            <v>91224724</v>
          </cell>
          <cell r="B4771" t="str">
            <v>7</v>
          </cell>
          <cell r="C4771" t="str">
            <v>LUIS CARLOS MANTILLA HERNANDEZ</v>
          </cell>
          <cell r="D4771" t="str">
            <v>3107797028</v>
          </cell>
          <cell r="E4771" t="str">
            <v>belcygarcia@hotmail.com</v>
          </cell>
          <cell r="F4771" t="str">
            <v>CR 44 57 31</v>
          </cell>
          <cell r="G4771">
            <v>68001</v>
          </cell>
        </row>
        <row r="4772">
          <cell r="A4772" t="str">
            <v>91243811</v>
          </cell>
          <cell r="B4772" t="str">
            <v>0</v>
          </cell>
          <cell r="C4772" t="str">
            <v>EDILSO LOPEZ SUAREZ</v>
          </cell>
          <cell r="D4772" t="str">
            <v>3 1 1 8 3 1 5 6 5 6</v>
          </cell>
          <cell r="E4772" t="str">
            <v>contabilidad55hotel@gmail.com</v>
          </cell>
          <cell r="F4772" t="str">
            <v>CR 22 54 100</v>
          </cell>
          <cell r="G4772">
            <v>68001</v>
          </cell>
        </row>
        <row r="4773">
          <cell r="A4773" t="str">
            <v>91295252</v>
          </cell>
          <cell r="B4773" t="str">
            <v>6</v>
          </cell>
          <cell r="C4773" t="str">
            <v>JOSE GREGORIO RAMIREZ AMAYA</v>
          </cell>
          <cell r="D4773" t="str">
            <v>6577737</v>
          </cell>
          <cell r="E4773" t="str">
            <v>hildamarcela@hotmail.com</v>
          </cell>
          <cell r="F4773" t="str">
            <v>AVENIDA GONZALEZ VALENCIA  54  25 APARTAMENTO 1301</v>
          </cell>
          <cell r="G4773">
            <v>68001</v>
          </cell>
        </row>
        <row r="4774">
          <cell r="A4774" t="str">
            <v>890201578</v>
          </cell>
          <cell r="B4774" t="str">
            <v>7</v>
          </cell>
          <cell r="C4774" t="str">
            <v>CAJA DE COMPENSACION FAMILIAR COMFENALCO SANTANDER</v>
          </cell>
          <cell r="D4774" t="str">
            <v>6575829</v>
          </cell>
          <cell r="E4774" t="str">
            <v>radicacion@comfenalcosantander.com.co</v>
          </cell>
          <cell r="F4774" t="str">
            <v>AVENIDA GONZALEZ VALENCIA  52  69</v>
          </cell>
          <cell r="G4774">
            <v>68077</v>
          </cell>
        </row>
        <row r="4775">
          <cell r="A4775">
            <v>222222222</v>
          </cell>
          <cell r="B4775" t="str">
            <v/>
          </cell>
          <cell r="C4775" t="str">
            <v>CUANTIAS MENORES</v>
          </cell>
          <cell r="D4775">
            <v>3228184763</v>
          </cell>
          <cell r="E4775" t="str">
            <v>impuestos@estiloingeniera.com</v>
          </cell>
          <cell r="F4775" t="str">
            <v xml:space="preserve">CL 127A 53A 45 TO2 P11 OF1101 </v>
          </cell>
          <cell r="G4775">
            <v>68081</v>
          </cell>
        </row>
        <row r="4776">
          <cell r="A4776" t="str">
            <v>800153993</v>
          </cell>
          <cell r="B4776" t="str">
            <v>7</v>
          </cell>
          <cell r="C4776" t="str">
            <v>COMUNICACION CELULAR SA COMCEL SA</v>
          </cell>
          <cell r="D4776" t="str">
            <v>7430174</v>
          </cell>
          <cell r="E4776" t="str">
            <v>facturacion.plazaclaro@multiplika.com.co</v>
          </cell>
          <cell r="F4776" t="str">
            <v>CALLE 90  14  37</v>
          </cell>
          <cell r="G4776">
            <v>68081</v>
          </cell>
        </row>
        <row r="4777">
          <cell r="A4777" t="str">
            <v>830509871</v>
          </cell>
          <cell r="B4777" t="str">
            <v>6</v>
          </cell>
          <cell r="C4777" t="str">
            <v>TRANSPORTES JAIME BUENDIA S.A.S.</v>
          </cell>
          <cell r="D4777" t="str">
            <v>3102782047</v>
          </cell>
          <cell r="E4777" t="str">
            <v>transjbuendialtda@hotmail.com</v>
          </cell>
          <cell r="F4777" t="str">
            <v>KM 4 VIA RETEN BUCARAMANGA</v>
          </cell>
          <cell r="G4777">
            <v>68081</v>
          </cell>
        </row>
        <row r="4778">
          <cell r="A4778" t="str">
            <v>860029924</v>
          </cell>
          <cell r="B4778" t="str">
            <v>7</v>
          </cell>
          <cell r="C4778" t="str">
            <v>UNIVERSIDAD COOPERATIVA DE COLOMBIA</v>
          </cell>
          <cell r="D4778" t="str">
            <v>3112781877</v>
          </cell>
          <cell r="E4778" t="str">
            <v>facturacion@estiloingenieria.com</v>
          </cell>
          <cell r="F4778" t="str">
            <v>Avenida Caracas No. 37 63</v>
          </cell>
          <cell r="G4778">
            <v>68081</v>
          </cell>
        </row>
        <row r="4779">
          <cell r="A4779" t="str">
            <v>890200106</v>
          </cell>
          <cell r="B4779" t="str">
            <v>1</v>
          </cell>
          <cell r="C4779" t="str">
            <v>CAJA SANTANDEREANA DE SUBSIDIO FAMILIAR CAJASAN</v>
          </cell>
          <cell r="D4779" t="str">
            <v>6434444</v>
          </cell>
          <cell r="E4779" t="str">
            <v>recepcionfacturacionelectronica@cajasan.com</v>
          </cell>
          <cell r="F4779" t="str">
            <v>CALLE 56  27  15</v>
          </cell>
          <cell r="G4779">
            <v>68081</v>
          </cell>
        </row>
        <row r="4780">
          <cell r="A4780" t="str">
            <v>890201578</v>
          </cell>
          <cell r="B4780" t="str">
            <v>7</v>
          </cell>
          <cell r="C4780" t="str">
            <v>CAJA DE COMPENSACION FAMILIAR COMFENALCO SANTANDER</v>
          </cell>
          <cell r="D4780" t="str">
            <v>6575829</v>
          </cell>
          <cell r="E4780" t="str">
            <v>radicacion@comfenalcosantander.com.co</v>
          </cell>
          <cell r="F4780" t="str">
            <v>AVENIDA GONZALEZ VALENCIA  52  69</v>
          </cell>
          <cell r="G4780">
            <v>68081</v>
          </cell>
        </row>
        <row r="4781">
          <cell r="A4781" t="str">
            <v>890212433</v>
          </cell>
          <cell r="B4781" t="str">
            <v>5</v>
          </cell>
          <cell r="C4781" t="str">
            <v>CORPORACION UNIVERSIDAD DE INVESTIGACION Y DESARROLLO UDI</v>
          </cell>
          <cell r="D4781" t="str">
            <v>6352525</v>
          </cell>
          <cell r="E4781" t="str">
            <v>contabilidad@udi.edu.co</v>
          </cell>
          <cell r="F4781" t="str">
            <v>CALLE 9  23  55</v>
          </cell>
          <cell r="G4781">
            <v>68081</v>
          </cell>
        </row>
        <row r="4782">
          <cell r="A4782" t="str">
            <v>900054027</v>
          </cell>
          <cell r="B4782" t="str">
            <v>5</v>
          </cell>
          <cell r="C4782" t="str">
            <v>PROYECTOS Y SERVICIOS DE INGENIERIA GAS Y PETROLEO SAS</v>
          </cell>
          <cell r="D4782" t="str">
            <v>6113969</v>
          </cell>
          <cell r="E4782" t="str">
            <v>facturacionpsig@gmail.com</v>
          </cell>
          <cell r="F4782" t="str">
            <v>CALLE 74  28  23</v>
          </cell>
          <cell r="G4782">
            <v>68081</v>
          </cell>
        </row>
        <row r="4783">
          <cell r="A4783" t="str">
            <v>900076166</v>
          </cell>
          <cell r="B4783" t="str">
            <v>5</v>
          </cell>
          <cell r="C4783" t="str">
            <v>LEOTECNICAS LIMITADA CENTRAL DE MANTENIMIENTOS ELECTRO INDUSTRIALES</v>
          </cell>
          <cell r="D4783" t="str">
            <v>3176571922</v>
          </cell>
          <cell r="E4783" t="str">
            <v>comunicaciones@leotecnicas.com</v>
          </cell>
          <cell r="F4783" t="str">
            <v>CALLE 67  31  30</v>
          </cell>
          <cell r="G4783">
            <v>68081</v>
          </cell>
        </row>
        <row r="4784">
          <cell r="A4784" t="str">
            <v>900165714</v>
          </cell>
          <cell r="B4784" t="str">
            <v>3</v>
          </cell>
          <cell r="C4784" t="str">
            <v>INVERSORA LA QUINTA &amp; CIA LTDA</v>
          </cell>
          <cell r="D4784" t="str">
            <v>6222474</v>
          </cell>
          <cell r="E4784" t="str">
            <v>900165714@factureinbox.co</v>
          </cell>
          <cell r="F4784" t="str">
            <v>CARRERA 17  49  11</v>
          </cell>
          <cell r="G4784">
            <v>68081</v>
          </cell>
        </row>
        <row r="4785">
          <cell r="A4785" t="str">
            <v>900545890</v>
          </cell>
          <cell r="B4785" t="str">
            <v>2</v>
          </cell>
          <cell r="C4785" t="str">
            <v>CONJUNTO PARQUE RESIDENCIAL VIVERO CLUB PROPIEDAD HORIZONTAL</v>
          </cell>
          <cell r="D4785" t="str">
            <v>3133591585</v>
          </cell>
          <cell r="E4785" t="str">
            <v>parqueviveroclub@gmail.com</v>
          </cell>
          <cell r="F4785" t="str">
            <v>CALLE 37  52  252</v>
          </cell>
          <cell r="G4785">
            <v>68081</v>
          </cell>
        </row>
        <row r="4786">
          <cell r="A4786" t="str">
            <v>900588842</v>
          </cell>
          <cell r="B4786" t="str">
            <v>3</v>
          </cell>
          <cell r="C4786" t="str">
            <v>TOSCANA CONDOMINIO</v>
          </cell>
          <cell r="D4786" t="str">
            <v>6111983</v>
          </cell>
          <cell r="E4786" t="str">
            <v>L77quintero@gmail.com</v>
          </cell>
          <cell r="F4786" t="str">
            <v>CARRERA 14  55  37</v>
          </cell>
          <cell r="G4786">
            <v>68081</v>
          </cell>
        </row>
        <row r="4787">
          <cell r="A4787" t="str">
            <v>900686955</v>
          </cell>
          <cell r="B4787" t="str">
            <v>7</v>
          </cell>
          <cell r="C4787" t="str">
            <v>EDIFICIO PLAZA SAN PEDRO</v>
          </cell>
          <cell r="D4787" t="str">
            <v>3174332697</v>
          </cell>
          <cell r="E4787" t="str">
            <v>edplazasanpedro@gmail.com</v>
          </cell>
          <cell r="F4787" t="str">
            <v>CALLE 66  19 A  05</v>
          </cell>
          <cell r="G4787">
            <v>68081</v>
          </cell>
        </row>
        <row r="4788">
          <cell r="A4788" t="str">
            <v>900851094</v>
          </cell>
          <cell r="B4788" t="str">
            <v>8</v>
          </cell>
          <cell r="C4788" t="str">
            <v>EDIFICIO BARVENTO</v>
          </cell>
          <cell r="D4788" t="str">
            <v>3174332697</v>
          </cell>
          <cell r="E4788" t="str">
            <v>edbarvento@gmail.com</v>
          </cell>
          <cell r="F4788" t="str">
            <v>CL 51 17 02 BRR COLOMBIA</v>
          </cell>
          <cell r="G4788">
            <v>68081</v>
          </cell>
        </row>
        <row r="4789">
          <cell r="A4789" t="str">
            <v>900909067</v>
          </cell>
          <cell r="B4789" t="str">
            <v>0</v>
          </cell>
          <cell r="C4789" t="str">
            <v>ANTAKYA CONDOMINIO 1 ETAPA</v>
          </cell>
          <cell r="D4789" t="str">
            <v>3004721285</v>
          </cell>
          <cell r="E4789" t="str">
            <v>gloriarodriguezadmon@hotmail.com</v>
          </cell>
          <cell r="F4789" t="str">
            <v>CALLE 55  16 A  04</v>
          </cell>
          <cell r="G4789">
            <v>68081</v>
          </cell>
        </row>
        <row r="4790">
          <cell r="A4790" t="str">
            <v>900949415</v>
          </cell>
          <cell r="B4790" t="str">
            <v>1</v>
          </cell>
          <cell r="C4790" t="str">
            <v>EDIFICIO OPARI</v>
          </cell>
          <cell r="D4790" t="str">
            <v>3002972606</v>
          </cell>
          <cell r="E4790" t="str">
            <v>edificioopari@hotmail.com</v>
          </cell>
          <cell r="F4790" t="str">
            <v>CARRERA 24  47  16</v>
          </cell>
          <cell r="G4790">
            <v>68081</v>
          </cell>
        </row>
        <row r="4791">
          <cell r="A4791" t="str">
            <v>901035122</v>
          </cell>
          <cell r="B4791" t="str">
            <v>1</v>
          </cell>
          <cell r="C4791" t="str">
            <v>FIDEICOMISO SAN MATEO</v>
          </cell>
          <cell r="D4791" t="str">
            <v>3204444466</v>
          </cell>
          <cell r="E4791" t="str">
            <v>edificiosanmateo901@gmail.com</v>
          </cell>
          <cell r="F4791" t="str">
            <v>CARRERA 26  43 A  33</v>
          </cell>
          <cell r="G4791">
            <v>68081</v>
          </cell>
        </row>
        <row r="4792">
          <cell r="A4792" t="str">
            <v>901040080</v>
          </cell>
          <cell r="B4792" t="str">
            <v>9</v>
          </cell>
          <cell r="C4792" t="str">
            <v>EDIFICIO MONSERRAT</v>
          </cell>
          <cell r="D4792" t="str">
            <v>3005656991</v>
          </cell>
          <cell r="E4792" t="str">
            <v>admon.conjuntomonserrat@gmail.com</v>
          </cell>
          <cell r="F4792" t="str">
            <v>CALLE 57  23  05</v>
          </cell>
          <cell r="G4792">
            <v>68081</v>
          </cell>
        </row>
        <row r="4793">
          <cell r="A4793" t="str">
            <v>901117401</v>
          </cell>
          <cell r="B4793" t="str">
            <v>2</v>
          </cell>
          <cell r="C4793" t="str">
            <v>EDIFICIO SOLARIS CONDOMINIO</v>
          </cell>
          <cell r="D4793" t="str">
            <v>3004721285</v>
          </cell>
          <cell r="E4793" t="str">
            <v>edificiosolariscondominio@gmail.com</v>
          </cell>
          <cell r="F4793" t="str">
            <v>CARRERA 32  65  50 BBR FLORESTA</v>
          </cell>
          <cell r="G4793">
            <v>68081</v>
          </cell>
        </row>
        <row r="4794">
          <cell r="A4794" t="str">
            <v>901179192</v>
          </cell>
          <cell r="B4794" t="str">
            <v>3</v>
          </cell>
          <cell r="C4794" t="str">
            <v>EDIFICIO TORRE OLIO</v>
          </cell>
          <cell r="D4794">
            <v>3219664011</v>
          </cell>
          <cell r="E4794" t="str">
            <v>almadu2@hotmail.com</v>
          </cell>
          <cell r="F4794" t="str">
            <v>CL 49 30 32 BRR PALMIRA</v>
          </cell>
          <cell r="G4794">
            <v>68081</v>
          </cell>
        </row>
        <row r="4795">
          <cell r="A4795" t="str">
            <v>901472033</v>
          </cell>
          <cell r="B4795" t="str">
            <v>6</v>
          </cell>
          <cell r="C4795" t="str">
            <v>CONSORCIO FACILIDADES 2021</v>
          </cell>
          <cell r="D4795" t="str">
            <v>3174173543</v>
          </cell>
          <cell r="E4795" t="str">
            <v>facilidades2021@gmail.com</v>
          </cell>
          <cell r="F4795" t="str">
            <v>DG 56 18 A 88 OF 702</v>
          </cell>
          <cell r="G4795">
            <v>68081</v>
          </cell>
        </row>
        <row r="4796">
          <cell r="A4796" t="str">
            <v>901655609</v>
          </cell>
          <cell r="B4796" t="str">
            <v>4</v>
          </cell>
          <cell r="C4796" t="str">
            <v>CONSORCIO CONSTRUCCIONES STDER</v>
          </cell>
          <cell r="D4796" t="str">
            <v>3183705209</v>
          </cell>
          <cell r="E4796" t="str">
            <v>fpobrasyservicios@gmail.com</v>
          </cell>
          <cell r="F4796" t="str">
            <v>CR 36 35 44</v>
          </cell>
          <cell r="G4796">
            <v>68081</v>
          </cell>
        </row>
        <row r="4797">
          <cell r="A4797" t="str">
            <v>901700114</v>
          </cell>
          <cell r="B4797" t="str">
            <v>3</v>
          </cell>
          <cell r="C4797" t="str">
            <v>CONSORCIO CDV 2023</v>
          </cell>
          <cell r="D4797" t="str">
            <v>6076852120</v>
          </cell>
          <cell r="E4797" t="str">
            <v>consorciocdv2023@gmail.com</v>
          </cell>
          <cell r="F4797" t="str">
            <v>KM 2 ANILLO VIAL TO 1 OF 417 NATURA ECOPARQUE EMPRESARIAL</v>
          </cell>
          <cell r="G4797">
            <v>68081</v>
          </cell>
        </row>
        <row r="4798">
          <cell r="A4798">
            <v>222222222</v>
          </cell>
          <cell r="B4798" t="str">
            <v/>
          </cell>
          <cell r="C4798" t="str">
            <v>CUANTIAS MENORES</v>
          </cell>
          <cell r="D4798">
            <v>3228184763</v>
          </cell>
          <cell r="E4798" t="str">
            <v>impuestos@estiloingeniera.com</v>
          </cell>
          <cell r="F4798" t="str">
            <v xml:space="preserve">CL 127A 53A 45 TO2 P11 OF1101 </v>
          </cell>
          <cell r="G4798">
            <v>68276</v>
          </cell>
        </row>
        <row r="4799">
          <cell r="A4799" t="str">
            <v>19165797</v>
          </cell>
          <cell r="B4799" t="str">
            <v>9</v>
          </cell>
          <cell r="C4799" t="str">
            <v>ANDRÉS NOVOA PINEDA</v>
          </cell>
          <cell r="D4799" t="str">
            <v>6898007</v>
          </cell>
          <cell r="E4799" t="str">
            <v>financiera@ventanar.com</v>
          </cell>
          <cell r="F4799" t="str">
            <v>Bodegas Wonder, Carrera 17 # 59 51 Interior 2</v>
          </cell>
          <cell r="G4799">
            <v>68276</v>
          </cell>
        </row>
        <row r="4800">
          <cell r="A4800" t="str">
            <v>30297801</v>
          </cell>
          <cell r="B4800" t="str">
            <v>7</v>
          </cell>
          <cell r="C4800" t="str">
            <v>NANCY MABEL SERPA GARZA</v>
          </cell>
          <cell r="D4800" t="str">
            <v>6781262</v>
          </cell>
          <cell r="E4800" t="str">
            <v>nancyserpag@hotmail.com</v>
          </cell>
          <cell r="F4800" t="str">
            <v>CARRERA 23  35 A  44</v>
          </cell>
          <cell r="G4800">
            <v>68276</v>
          </cell>
        </row>
        <row r="4801">
          <cell r="A4801" t="str">
            <v>37898513</v>
          </cell>
          <cell r="B4801" t="str">
            <v>5</v>
          </cell>
          <cell r="C4801" t="str">
            <v>MONICA MARIA BARRERA CARREÑO</v>
          </cell>
          <cell r="D4801" t="str">
            <v>6782844</v>
          </cell>
          <cell r="E4801" t="str">
            <v>mmbarrera80@gmail.com</v>
          </cell>
          <cell r="F4801" t="str">
            <v>CL 37 15 25 OF 506</v>
          </cell>
          <cell r="G4801">
            <v>68276</v>
          </cell>
        </row>
        <row r="4802">
          <cell r="A4802" t="str">
            <v>63304383</v>
          </cell>
          <cell r="B4802" t="str">
            <v>0</v>
          </cell>
          <cell r="C4802" t="str">
            <v>SANDRA TERESA DIAZ INFANTE</v>
          </cell>
          <cell r="D4802" t="str">
            <v>6457003</v>
          </cell>
          <cell r="E4802" t="str">
            <v>sbravo@sevicol.com.co</v>
          </cell>
          <cell r="F4802" t="str">
            <v>VIA GIRON KM 4 40 40 SEVICOL BRR ZONA INDUSTRIAL</v>
          </cell>
          <cell r="G4802">
            <v>68276</v>
          </cell>
        </row>
        <row r="4803">
          <cell r="A4803" t="str">
            <v>800023162</v>
          </cell>
          <cell r="B4803" t="str">
            <v>6</v>
          </cell>
          <cell r="C4803" t="str">
            <v>CONIX S.A.S</v>
          </cell>
          <cell r="D4803" t="str">
            <v>3550600</v>
          </cell>
          <cell r="E4803" t="str">
            <v>laura.henao@conix.com.co</v>
          </cell>
          <cell r="F4803" t="str">
            <v>CR 53 29 C 47</v>
          </cell>
          <cell r="G4803">
            <v>68276</v>
          </cell>
        </row>
        <row r="4804">
          <cell r="A4804" t="str">
            <v>804002724</v>
          </cell>
          <cell r="B4804" t="str">
            <v>1</v>
          </cell>
          <cell r="C4804" t="str">
            <v>FERSAUTOS S.A.S.</v>
          </cell>
          <cell r="D4804" t="str">
            <v xml:space="preserve"> 6076573300 - 607643</v>
          </cell>
          <cell r="E4804" t="str">
            <v>feproveedores@fersautos.co</v>
          </cell>
          <cell r="F4804" t="str">
            <v xml:space="preserve"> CARRERA 30 # 63 - 20</v>
          </cell>
          <cell r="G4804">
            <v>68276</v>
          </cell>
        </row>
        <row r="4805">
          <cell r="A4805" t="str">
            <v>804003253</v>
          </cell>
          <cell r="B4805" t="str">
            <v>7</v>
          </cell>
          <cell r="C4805" t="str">
            <v>CONJUNTO RESIDENCIAL CONDADO CAMPESTRE</v>
          </cell>
          <cell r="D4805" t="str">
            <v>6314740</v>
          </cell>
          <cell r="E4805" t="str">
            <v>conjuntocondado@hotmail.com</v>
          </cell>
          <cell r="F4805" t="str">
            <v>CARRERA 20  36  06 OFICINA 506</v>
          </cell>
          <cell r="G4805">
            <v>68276</v>
          </cell>
        </row>
        <row r="4806">
          <cell r="A4806" t="str">
            <v>804005319</v>
          </cell>
          <cell r="B4806" t="str">
            <v>3</v>
          </cell>
          <cell r="C4806" t="str">
            <v>CONSTRUCTORA VALDERRAMA S.A.S.</v>
          </cell>
          <cell r="D4806" t="str">
            <v>3172764260</v>
          </cell>
          <cell r="E4806" t="str">
            <v>facturacion.cd@constructoravalderrama.com.co</v>
          </cell>
          <cell r="F4806" t="str">
            <v>CARRERA 16 93 36 Of. 906 Ed. SEKI</v>
          </cell>
          <cell r="G4806">
            <v>68276</v>
          </cell>
        </row>
        <row r="4807">
          <cell r="A4807" t="str">
            <v>804008792</v>
          </cell>
          <cell r="B4807" t="str">
            <v>8</v>
          </cell>
          <cell r="C4807" t="str">
            <v>FORPRESALUD I.P.S SAS</v>
          </cell>
          <cell r="D4807" t="str">
            <v>6456905</v>
          </cell>
          <cell r="E4807" t="str">
            <v>facturacion@forpresalud.com.co</v>
          </cell>
          <cell r="F4807" t="str">
            <v>CL  35 28 21</v>
          </cell>
          <cell r="G4807">
            <v>68276</v>
          </cell>
        </row>
        <row r="4808">
          <cell r="A4808" t="str">
            <v>890200499</v>
          </cell>
          <cell r="B4808" t="str">
            <v>9</v>
          </cell>
          <cell r="C4808" t="str">
            <v>UNIVERSIDAD AUTONOMA DE BUCARAMANGA-UNAB</v>
          </cell>
          <cell r="D4808" t="str">
            <v>6436111</v>
          </cell>
          <cell r="E4808" t="str">
            <v>recepcionfacturas@unab.edu.co</v>
          </cell>
          <cell r="F4808" t="str">
            <v>AVENIDA 42  48  11</v>
          </cell>
          <cell r="G4808">
            <v>68276</v>
          </cell>
        </row>
        <row r="4809">
          <cell r="A4809" t="str">
            <v>890200877</v>
          </cell>
          <cell r="B4809" t="str">
            <v>1</v>
          </cell>
          <cell r="C4809" t="str">
            <v>URBANIZADORA DAVID PUYANA S.A - EN REORGANIZACION</v>
          </cell>
          <cell r="D4809" t="str">
            <v>6389400</v>
          </cell>
          <cell r="E4809" t="str">
            <v>correspondencia@urbanas.com</v>
          </cell>
          <cell r="F4809" t="str">
            <v>CL 158 18 81 BARRIO CAÑAVERAL</v>
          </cell>
          <cell r="G4809">
            <v>68276</v>
          </cell>
        </row>
        <row r="4810">
          <cell r="A4810" t="str">
            <v>890206740</v>
          </cell>
          <cell r="B4810" t="str">
            <v>7</v>
          </cell>
          <cell r="C4810" t="str">
            <v>CONARING S.A.S.</v>
          </cell>
          <cell r="D4810" t="str">
            <v>3202117501</v>
          </cell>
          <cell r="E4810" t="str">
            <v>facturacion@conaring.com</v>
          </cell>
          <cell r="F4810" t="str">
            <v>CARRERA 29 N 50 - 45</v>
          </cell>
          <cell r="G4810">
            <v>68276</v>
          </cell>
        </row>
        <row r="4811">
          <cell r="A4811" t="str">
            <v>890211796</v>
          </cell>
          <cell r="B4811" t="str">
            <v>9</v>
          </cell>
          <cell r="C4811" t="str">
            <v>CENTRO COMERCIAL CANAVERAL</v>
          </cell>
          <cell r="D4811" t="str">
            <v>607678195 - 60763867</v>
          </cell>
          <cell r="E4811" t="str">
            <v>recepcion.facturas.cccanaveral@gmail.com</v>
          </cell>
          <cell r="F4811" t="str">
            <v>CL 30 25 71</v>
          </cell>
          <cell r="G4811">
            <v>68276</v>
          </cell>
        </row>
        <row r="4812">
          <cell r="A4812" t="str">
            <v>890212255</v>
          </cell>
          <cell r="B4812" t="str">
            <v>0</v>
          </cell>
          <cell r="C4812" t="str">
            <v>EDIFICAR S.A.S</v>
          </cell>
          <cell r="D4812" t="str">
            <v>3167438108</v>
          </cell>
          <cell r="E4812" t="str">
            <v>hplata44@hotmail.com</v>
          </cell>
          <cell r="F4812" t="str">
            <v>CL 32 32 64 OF 7</v>
          </cell>
          <cell r="G4812">
            <v>68276</v>
          </cell>
        </row>
        <row r="4813">
          <cell r="A4813" t="str">
            <v>890902922</v>
          </cell>
          <cell r="B4813" t="str">
            <v>6</v>
          </cell>
          <cell r="C4813" t="str">
            <v>UNIVERSIDAD PONTIFICIA BOLIVARIANA</v>
          </cell>
          <cell r="D4813" t="str">
            <v>6797220</v>
          </cell>
          <cell r="E4813" t="str">
            <v>facturacionproveedores.bga@upb.edu.co</v>
          </cell>
          <cell r="F4813" t="str">
            <v>CARRERA 1  70  01</v>
          </cell>
          <cell r="G4813">
            <v>68276</v>
          </cell>
        </row>
        <row r="4814">
          <cell r="A4814" t="str">
            <v>900146765</v>
          </cell>
          <cell r="B4814" t="str">
            <v>8</v>
          </cell>
          <cell r="C4814" t="str">
            <v>EDIFICIO CAMINOS DEL CAMPESTRE</v>
          </cell>
          <cell r="D4814" t="str">
            <v>6393694</v>
          </cell>
          <cell r="E4814" t="str">
            <v>caminosdelcampestreph@gmail.com</v>
          </cell>
          <cell r="F4814" t="str">
            <v>CALLE 29  22  70</v>
          </cell>
          <cell r="G4814">
            <v>68276</v>
          </cell>
        </row>
        <row r="4815">
          <cell r="A4815" t="str">
            <v>900351870</v>
          </cell>
          <cell r="B4815" t="str">
            <v>1</v>
          </cell>
          <cell r="C4815" t="str">
            <v>CONJUNTO RESIDENCIAL FLORIDA DEL COUNTRY</v>
          </cell>
          <cell r="D4815" t="str">
            <v>6399991</v>
          </cell>
          <cell r="E4815" t="str">
            <v>crfloridadelcountry@hotmail.com</v>
          </cell>
          <cell r="F4815" t="str">
            <v>CALLE 47  29  33 OFICINA 501</v>
          </cell>
          <cell r="G4815">
            <v>68276</v>
          </cell>
        </row>
        <row r="4816">
          <cell r="A4816" t="str">
            <v>900359688</v>
          </cell>
          <cell r="B4816" t="str">
            <v>3</v>
          </cell>
          <cell r="C4816" t="str">
            <v>CONJUNTO RESIDENCIAL SANTORINI</v>
          </cell>
          <cell r="D4816" t="str">
            <v>6384085</v>
          </cell>
          <cell r="E4816" t="str">
            <v>santorini_floridablanca@hotmail.com</v>
          </cell>
          <cell r="F4816" t="str">
            <v>CARRERA 12  20  01</v>
          </cell>
          <cell r="G4816">
            <v>68276</v>
          </cell>
        </row>
        <row r="4817">
          <cell r="A4817" t="str">
            <v>900370930</v>
          </cell>
          <cell r="B4817" t="str">
            <v>6</v>
          </cell>
          <cell r="C4817" t="str">
            <v>UNIDAD RESIDENCIAL BONAPARTE</v>
          </cell>
          <cell r="D4817" t="str">
            <v>6486532</v>
          </cell>
          <cell r="E4817" t="str">
            <v>bonapartecomunicaciones@gmail.com</v>
          </cell>
          <cell r="F4817" t="str">
            <v>CALLE 5  2  51</v>
          </cell>
          <cell r="G4817">
            <v>68276</v>
          </cell>
        </row>
        <row r="4818">
          <cell r="A4818" t="str">
            <v>900403080</v>
          </cell>
          <cell r="B4818" t="str">
            <v>4</v>
          </cell>
          <cell r="C4818" t="str">
            <v>CONJUNTO EL LAGO CONDOMINIO CLUB</v>
          </cell>
          <cell r="D4818" t="str">
            <v>6386553</v>
          </cell>
          <cell r="E4818" t="str">
            <v>lagocondominio@gmail.com</v>
          </cell>
          <cell r="F4818" t="str">
            <v>CARRERA 29  29  59 BRR LAGOS III</v>
          </cell>
          <cell r="G4818">
            <v>68276</v>
          </cell>
        </row>
        <row r="4819">
          <cell r="A4819" t="str">
            <v>900403689</v>
          </cell>
          <cell r="B4819" t="str">
            <v>9</v>
          </cell>
          <cell r="C4819" t="str">
            <v>CENTRO MEDICO DE ESPECIALISTAS CAÑAVERAL</v>
          </cell>
          <cell r="D4819">
            <v>3219664011</v>
          </cell>
          <cell r="E4819" t="str">
            <v>centromedicoecanaveral@gmail.com</v>
          </cell>
          <cell r="F4819" t="str">
            <v>CARRERA 23  30 A  37</v>
          </cell>
          <cell r="G4819">
            <v>68276</v>
          </cell>
        </row>
        <row r="4820">
          <cell r="A4820" t="str">
            <v>900473393</v>
          </cell>
          <cell r="B4820" t="str">
            <v>3</v>
          </cell>
          <cell r="C4820" t="str">
            <v>CONJUNTO RESIDENCIAL COLINA VERSALLES</v>
          </cell>
          <cell r="D4820" t="str">
            <v>6399520</v>
          </cell>
          <cell r="E4820" t="str">
            <v>colinaversalles197@gmail.com</v>
          </cell>
          <cell r="F4820" t="str">
            <v>CL 197 15 382</v>
          </cell>
          <cell r="G4820">
            <v>68276</v>
          </cell>
        </row>
        <row r="4821">
          <cell r="A4821" t="str">
            <v>900481277</v>
          </cell>
          <cell r="B4821" t="str">
            <v>0</v>
          </cell>
          <cell r="C4821" t="str">
            <v>CONJUNTO RESIDENCIAL FIRENZE</v>
          </cell>
          <cell r="D4821" t="str">
            <v>6381134</v>
          </cell>
          <cell r="E4821" t="str">
            <v>firenze-platino@hotmail.com</v>
          </cell>
          <cell r="F4821" t="str">
            <v>ANILLO FLORIDABLANCA VIA CARABINEROS</v>
          </cell>
          <cell r="G4821">
            <v>68276</v>
          </cell>
        </row>
        <row r="4822">
          <cell r="A4822" t="str">
            <v>900497754</v>
          </cell>
          <cell r="B4822" t="str">
            <v>2</v>
          </cell>
          <cell r="C4822" t="str">
            <v>CONSTRUCCIONES ZABDI SAS</v>
          </cell>
          <cell r="D4822" t="str">
            <v>3152669255</v>
          </cell>
          <cell r="E4822" t="str">
            <v>facturacion.electronica@zabdi.com.co</v>
          </cell>
          <cell r="F4822" t="str">
            <v>CR 26 36 14 OF 701 ED FENIX BUSINESS CENTER</v>
          </cell>
          <cell r="G4822">
            <v>68276</v>
          </cell>
        </row>
        <row r="4823">
          <cell r="A4823" t="str">
            <v>900531157</v>
          </cell>
          <cell r="B4823" t="str">
            <v>0</v>
          </cell>
          <cell r="C4823" t="str">
            <v>EDIFICIO DI BARI</v>
          </cell>
          <cell r="D4823" t="str">
            <v>6497457</v>
          </cell>
          <cell r="E4823" t="str">
            <v>admontorredibari@gmail.com</v>
          </cell>
          <cell r="F4823" t="str">
            <v>CARERRA 8  10  46</v>
          </cell>
          <cell r="G4823">
            <v>68276</v>
          </cell>
        </row>
        <row r="4824">
          <cell r="A4824" t="str">
            <v>900578226</v>
          </cell>
          <cell r="B4824" t="str">
            <v>3</v>
          </cell>
          <cell r="C4824" t="str">
            <v>EDIFICIO MIRADOR DEL BOSQUE</v>
          </cell>
          <cell r="D4824" t="str">
            <v>3213165706</v>
          </cell>
          <cell r="E4824" t="str">
            <v>edificiomiradordelbosque@gmail.com</v>
          </cell>
          <cell r="F4824" t="str">
            <v>CARRERA 31 A  121  29</v>
          </cell>
          <cell r="G4824">
            <v>68276</v>
          </cell>
        </row>
        <row r="4825">
          <cell r="A4825" t="str">
            <v>900579817</v>
          </cell>
          <cell r="B4825" t="str">
            <v>0</v>
          </cell>
          <cell r="C4825" t="str">
            <v>EL OLYMPO CONDOMINIO &amp; RESORT</v>
          </cell>
          <cell r="D4825" t="str">
            <v>6659521</v>
          </cell>
          <cell r="E4825" t="str">
            <v>elolympo2020@gmail.com</v>
          </cell>
          <cell r="F4825" t="str">
            <v>CALLE 200  12  528</v>
          </cell>
          <cell r="G4825">
            <v>68276</v>
          </cell>
        </row>
        <row r="4826">
          <cell r="A4826" t="str">
            <v>900639325</v>
          </cell>
          <cell r="B4826" t="str">
            <v>7</v>
          </cell>
          <cell r="C4826" t="str">
            <v>CONJUNTO RESIDENCIAL MIRADORES DE LA FLORIDA</v>
          </cell>
          <cell r="D4826" t="str">
            <v>6486457</v>
          </cell>
          <cell r="E4826" t="str">
            <v>crmiradoresflorida2018@gmail.com</v>
          </cell>
          <cell r="F4826" t="str">
            <v>CARRERA 8  9  52</v>
          </cell>
          <cell r="G4826">
            <v>68276</v>
          </cell>
        </row>
        <row r="4827">
          <cell r="A4827" t="str">
            <v>900708367</v>
          </cell>
          <cell r="B4827" t="str">
            <v>2</v>
          </cell>
          <cell r="C4827" t="str">
            <v>CONJUNTO RESIDENCIAL PALMAS DE LA FRONTERA ETAPA I PROPIEDAD HORIZONTAL</v>
          </cell>
          <cell r="D4827" t="str">
            <v>6311431</v>
          </cell>
          <cell r="E4827" t="str">
            <v>palmasdelafrontera2018@hotmail.com</v>
          </cell>
          <cell r="F4827" t="str">
            <v>CARRERA 22  110  36</v>
          </cell>
          <cell r="G4827">
            <v>68276</v>
          </cell>
        </row>
        <row r="4828">
          <cell r="A4828" t="str">
            <v>900730483</v>
          </cell>
          <cell r="B4828" t="str">
            <v>0</v>
          </cell>
          <cell r="C4828" t="str">
            <v>UNIDAD RESIDENCIAL MAKADAMIA</v>
          </cell>
          <cell r="D4828" t="str">
            <v>6798660</v>
          </cell>
          <cell r="E4828" t="str">
            <v>unidadresidencialmakadamia2021@gmail.com</v>
          </cell>
          <cell r="F4828" t="str">
            <v>CARRERA 20  158  40</v>
          </cell>
          <cell r="G4828">
            <v>68276</v>
          </cell>
        </row>
        <row r="4829">
          <cell r="A4829" t="str">
            <v>900778565</v>
          </cell>
          <cell r="B4829" t="str">
            <v>3</v>
          </cell>
          <cell r="C4829" t="str">
            <v>CONJUNTO RESIDENCIAL HACIENDA CAÑAVERAL DEL ORIENTE PH</v>
          </cell>
          <cell r="D4829" t="str">
            <v>3102531824</v>
          </cell>
          <cell r="E4829" t="str">
            <v>hco.admcion@gmail.com</v>
          </cell>
          <cell r="F4829" t="str">
            <v>DIAGONAL 36  34  147</v>
          </cell>
          <cell r="G4829">
            <v>68276</v>
          </cell>
        </row>
        <row r="4830">
          <cell r="A4830" t="str">
            <v>900858844</v>
          </cell>
          <cell r="B4830" t="str">
            <v>7</v>
          </cell>
          <cell r="C4830" t="str">
            <v>EDIFICIO FLORIDA PLAZA PH</v>
          </cell>
          <cell r="D4830" t="str">
            <v>3158363057</v>
          </cell>
          <cell r="E4830" t="str">
            <v>admfloridaplaza@gmail.com</v>
          </cell>
          <cell r="F4830" t="str">
            <v>CARRERA 3  4  29</v>
          </cell>
          <cell r="G4830">
            <v>68276</v>
          </cell>
        </row>
        <row r="4831">
          <cell r="A4831" t="str">
            <v>900885681</v>
          </cell>
          <cell r="B4831" t="str">
            <v>8</v>
          </cell>
          <cell r="C4831" t="str">
            <v>CONJUNTO RESIDENCIAL MEDITERRANE ROYAL CONDOMINIO &amp; CLUB PH</v>
          </cell>
          <cell r="D4831" t="str">
            <v>6381134</v>
          </cell>
          <cell r="E4831" t="str">
            <v>mediterraneroyalgerencia@hotmail.com</v>
          </cell>
          <cell r="F4831" t="str">
            <v>CARRERA 12  200  14</v>
          </cell>
          <cell r="G4831">
            <v>68276</v>
          </cell>
        </row>
        <row r="4832">
          <cell r="A4832" t="str">
            <v>900904846</v>
          </cell>
          <cell r="B4832" t="str">
            <v>9</v>
          </cell>
          <cell r="C4832" t="str">
            <v>EDIFICIO ALTAMIRA DE LA FLORIDA PH</v>
          </cell>
          <cell r="D4832" t="str">
            <v>6780488</v>
          </cell>
          <cell r="E4832" t="str">
            <v>edi.altamiraflorida@gmail.com</v>
          </cell>
          <cell r="F4832" t="str">
            <v>CARRERA 13  5  70</v>
          </cell>
          <cell r="G4832">
            <v>68276</v>
          </cell>
        </row>
        <row r="4833">
          <cell r="A4833" t="str">
            <v>900909236</v>
          </cell>
          <cell r="B4833" t="str">
            <v>9</v>
          </cell>
          <cell r="C4833" t="str">
            <v>CONJUNTO RESIDENCIAL TORRES PORTAL DEL PARQUE PH</v>
          </cell>
          <cell r="D4833" t="str">
            <v>6486383</v>
          </cell>
          <cell r="E4833" t="str">
            <v>torresportaldelparque@gmail.com</v>
          </cell>
          <cell r="F4833" t="str">
            <v>CALLE 197  28  08</v>
          </cell>
          <cell r="G4833">
            <v>68276</v>
          </cell>
        </row>
        <row r="4834">
          <cell r="A4834" t="str">
            <v>900918889</v>
          </cell>
          <cell r="B4834" t="str">
            <v>6</v>
          </cell>
          <cell r="C4834" t="str">
            <v>CONJUNTO RESIDENCIAL PARK 200 PH</v>
          </cell>
          <cell r="D4834" t="str">
            <v>3008185075</v>
          </cell>
          <cell r="E4834" t="str">
            <v>admipark200@hotmail.com</v>
          </cell>
          <cell r="F4834" t="str">
            <v>CALLE 200  13  200</v>
          </cell>
          <cell r="G4834">
            <v>68276</v>
          </cell>
        </row>
        <row r="4835">
          <cell r="A4835" t="str">
            <v>900956945</v>
          </cell>
          <cell r="B4835" t="str">
            <v>2</v>
          </cell>
          <cell r="C4835" t="str">
            <v>EDIFICIO LE PARC PH</v>
          </cell>
          <cell r="D4835" t="str">
            <v>3202603629</v>
          </cell>
          <cell r="E4835" t="str">
            <v>leparcedificio@gmail.com</v>
          </cell>
          <cell r="F4835" t="str">
            <v>DIAGONAL 31 A  29  30</v>
          </cell>
          <cell r="G4835">
            <v>68276</v>
          </cell>
        </row>
        <row r="4836">
          <cell r="A4836" t="str">
            <v>901028641</v>
          </cell>
          <cell r="B4836" t="str">
            <v>1</v>
          </cell>
          <cell r="C4836" t="str">
            <v>CONJUNTO RESIDENCIAL COLINA RUITOQUE PH</v>
          </cell>
          <cell r="D4836" t="str">
            <v>6798077</v>
          </cell>
          <cell r="E4836" t="str">
            <v>conjuntocolinaruitoque@gmail.com</v>
          </cell>
          <cell r="F4836" t="str">
            <v>TV 25 1 92</v>
          </cell>
          <cell r="G4836">
            <v>68276</v>
          </cell>
        </row>
        <row r="4837">
          <cell r="A4837" t="str">
            <v>901065425</v>
          </cell>
          <cell r="B4837" t="str">
            <v>4</v>
          </cell>
          <cell r="C4837" t="str">
            <v>CONJUNTO RESIDENCIAL MONTEOLIVETTO P.H.</v>
          </cell>
          <cell r="D4837" t="str">
            <v>3112142254</v>
          </cell>
          <cell r="E4837" t="str">
            <v>conjuntomonteolivetto@gmail.com</v>
          </cell>
          <cell r="F4837" t="str">
            <v>CARRERA 8 A No. 12 - 87 - 141</v>
          </cell>
          <cell r="G4837">
            <v>68276</v>
          </cell>
        </row>
        <row r="4838">
          <cell r="A4838" t="str">
            <v>901133701</v>
          </cell>
          <cell r="B4838" t="str">
            <v>4</v>
          </cell>
          <cell r="C4838" t="str">
            <v>UNIDAD RESIDENCIAL MONTESOL-PH</v>
          </cell>
          <cell r="D4838" t="str">
            <v>3176584687</v>
          </cell>
          <cell r="E4838" t="str">
            <v>unidadresidencialmontesol@gmail.com</v>
          </cell>
          <cell r="F4838" t="str">
            <v>CALLE 200  13  36</v>
          </cell>
          <cell r="G4838">
            <v>68276</v>
          </cell>
        </row>
        <row r="4839">
          <cell r="A4839" t="str">
            <v>901135605</v>
          </cell>
          <cell r="B4839" t="str">
            <v>4</v>
          </cell>
          <cell r="C4839" t="str">
            <v>CONJUNTO RESIDENCIAL BRIZZA - PH</v>
          </cell>
          <cell r="D4839" t="str">
            <v>3182884936</v>
          </cell>
          <cell r="E4839" t="str">
            <v>conjunto.residencial.brizza@gmail.com</v>
          </cell>
          <cell r="F4839" t="str">
            <v>CALLE 5  3 A  17</v>
          </cell>
          <cell r="G4839">
            <v>68276</v>
          </cell>
        </row>
        <row r="4840">
          <cell r="A4840" t="str">
            <v>901157154</v>
          </cell>
          <cell r="B4840" t="str">
            <v>9</v>
          </cell>
          <cell r="C4840" t="str">
            <v>EDIFICIO LA TORRE SPINOSA - PH</v>
          </cell>
          <cell r="D4840" t="str">
            <v>6436215</v>
          </cell>
          <cell r="E4840" t="str">
            <v>admspinosa@gmail.com</v>
          </cell>
          <cell r="F4840" t="str">
            <v>CL 36 21 27</v>
          </cell>
          <cell r="G4840">
            <v>68276</v>
          </cell>
        </row>
        <row r="4841">
          <cell r="A4841" t="str">
            <v>901213446</v>
          </cell>
          <cell r="B4841" t="str">
            <v>4</v>
          </cell>
          <cell r="C4841" t="str">
            <v>WAICO CONSTRUCCIONES S.A.S.</v>
          </cell>
          <cell r="D4841" t="str">
            <v>6301813</v>
          </cell>
          <cell r="E4841" t="str">
            <v>contabilidad@waicoconstrucciones.com</v>
          </cell>
          <cell r="F4841" t="str">
            <v>CR 17 C 60 30 P 3</v>
          </cell>
          <cell r="G4841">
            <v>68276</v>
          </cell>
        </row>
        <row r="4842">
          <cell r="A4842" t="str">
            <v>901272990</v>
          </cell>
          <cell r="B4842" t="str">
            <v>1</v>
          </cell>
          <cell r="C4842" t="str">
            <v>CONJUNTO MULTIFAMILIAR LIFE 200- PROPIEDAD HORIZONTAL</v>
          </cell>
          <cell r="D4842" t="str">
            <v>3165308268</v>
          </cell>
          <cell r="E4842" t="str">
            <v>edificiolife200@hotmail.com</v>
          </cell>
          <cell r="F4842" t="str">
            <v>CL 200 25 18 URB BAVIERA I ETAPA</v>
          </cell>
          <cell r="G4842">
            <v>68276</v>
          </cell>
        </row>
        <row r="4843">
          <cell r="A4843" t="str">
            <v>901402553</v>
          </cell>
          <cell r="B4843" t="str">
            <v>5</v>
          </cell>
          <cell r="C4843" t="str">
            <v>CONJUNTO RESIDENCIAL TERRARIUM - PROPIEDAD HORIZONTAL</v>
          </cell>
          <cell r="D4843" t="str">
            <v>3187727441</v>
          </cell>
          <cell r="E4843" t="str">
            <v>admon.terrarium@gmail.com</v>
          </cell>
          <cell r="F4843" t="str">
            <v>CR 14 200 293</v>
          </cell>
          <cell r="G4843">
            <v>68276</v>
          </cell>
        </row>
        <row r="4844">
          <cell r="A4844" t="str">
            <v>901653427</v>
          </cell>
          <cell r="B4844" t="str">
            <v>1</v>
          </cell>
          <cell r="C4844" t="str">
            <v>UNION TEMPORAL COTES-B&amp;BUNION TEMPORAL COTES-B&amp;B</v>
          </cell>
          <cell r="D4844" t="str">
            <v>6076334435</v>
          </cell>
          <cell r="E4844" t="str">
            <v>feuniontemporalcotesbyb@gmail.com</v>
          </cell>
          <cell r="F4844" t="str">
            <v>CL 35 17 56 ED DAVIVIENDA OF 901</v>
          </cell>
          <cell r="G4844">
            <v>68276</v>
          </cell>
        </row>
        <row r="4845">
          <cell r="A4845" t="str">
            <v>901710736</v>
          </cell>
          <cell r="B4845" t="str">
            <v>7</v>
          </cell>
          <cell r="C4845" t="str">
            <v>CONJUNTO RESIDENCIAL IRAWA - PROPIEDAD HORIZONTAL</v>
          </cell>
          <cell r="D4845" t="str">
            <v>3004109518</v>
          </cell>
          <cell r="E4845" t="str">
            <v>crirawa@gmail.com</v>
          </cell>
          <cell r="F4845" t="str">
            <v>TV EL BOSQUE 17 117</v>
          </cell>
          <cell r="G4845">
            <v>68276</v>
          </cell>
        </row>
        <row r="4846">
          <cell r="A4846" t="str">
            <v>901717496</v>
          </cell>
          <cell r="B4846" t="str">
            <v>6</v>
          </cell>
          <cell r="C4846" t="str">
            <v>CONJUNTO RESIDENCIAL MONTSERRAT - PROPIEDAD HORIZONTAL</v>
          </cell>
          <cell r="D4846" t="str">
            <v>300 3760908</v>
          </cell>
          <cell r="E4846" t="str">
            <v>admon.conjuntomontserrat@gmail.com</v>
          </cell>
          <cell r="F4846" t="str">
            <v>CARRERA 8 N° 12 - 05</v>
          </cell>
          <cell r="G4846">
            <v>68276</v>
          </cell>
        </row>
        <row r="4847">
          <cell r="A4847" t="str">
            <v>91202117</v>
          </cell>
          <cell r="B4847" t="str">
            <v>1</v>
          </cell>
          <cell r="C4847" t="str">
            <v>LIBARDO JARAMILLO SARMIENTO</v>
          </cell>
          <cell r="D4847" t="str">
            <v>6423436</v>
          </cell>
          <cell r="E4847" t="str">
            <v>lijasa77@hotmail.com</v>
          </cell>
          <cell r="F4847" t="str">
            <v>CL 36 22 A 108 CA 18 URB VALTERRA BRR CAÑAVERAL</v>
          </cell>
          <cell r="G4847">
            <v>68276</v>
          </cell>
        </row>
        <row r="4848">
          <cell r="A4848" t="str">
            <v>91231170</v>
          </cell>
          <cell r="B4848" t="str">
            <v>6</v>
          </cell>
          <cell r="C4848" t="str">
            <v>GREGORIO ABRIL HERNÁNDEZ</v>
          </cell>
          <cell r="D4848" t="str">
            <v>3002178033</v>
          </cell>
          <cell r="E4848" t="str">
            <v>gregoabrilh@gmail.com</v>
          </cell>
          <cell r="F4848" t="str">
            <v>CR 55 71 23 CA 15 BRR LAGOS CACIQUE</v>
          </cell>
          <cell r="G4848">
            <v>68276</v>
          </cell>
        </row>
        <row r="4849">
          <cell r="A4849" t="str">
            <v>91280391</v>
          </cell>
          <cell r="B4849" t="str">
            <v>6</v>
          </cell>
          <cell r="C4849" t="str">
            <v>CARLOS ALBERTO RIOS BUITRAGO</v>
          </cell>
          <cell r="D4849" t="str">
            <v>6303077</v>
          </cell>
          <cell r="E4849" t="str">
            <v>compras2@construsantander.com</v>
          </cell>
          <cell r="F4849" t="str">
            <v>CL 35 19 41 OF 801</v>
          </cell>
          <cell r="G4849">
            <v>68276</v>
          </cell>
        </row>
        <row r="4850">
          <cell r="A4850" t="str">
            <v>804005319</v>
          </cell>
          <cell r="B4850" t="str">
            <v>3</v>
          </cell>
          <cell r="C4850" t="str">
            <v>CONSTRUCTORA VALDERRAMA S.A.S.</v>
          </cell>
          <cell r="D4850" t="str">
            <v>3172764260</v>
          </cell>
          <cell r="E4850" t="str">
            <v>facturacion.cd@constructoravalderrama.com.co</v>
          </cell>
          <cell r="F4850" t="str">
            <v>CARRERA 16 93 36 Of. 906 Ed. SEKI</v>
          </cell>
          <cell r="G4850">
            <v>68307</v>
          </cell>
        </row>
        <row r="4851">
          <cell r="A4851" t="str">
            <v>890207543</v>
          </cell>
          <cell r="B4851" t="str">
            <v>7</v>
          </cell>
          <cell r="C4851" t="str">
            <v>VENTANAR S.A.S.</v>
          </cell>
          <cell r="D4851" t="str">
            <v>6898007</v>
          </cell>
          <cell r="E4851" t="str">
            <v>documentacion@ventanar.com</v>
          </cell>
          <cell r="F4851" t="str">
            <v>Carrera 17 59-51 interior 2 chimita palenque - Giron santander</v>
          </cell>
          <cell r="G4851">
            <v>68307</v>
          </cell>
        </row>
        <row r="4852">
          <cell r="A4852" t="str">
            <v>900038024</v>
          </cell>
          <cell r="B4852" t="str">
            <v>6</v>
          </cell>
          <cell r="C4852" t="str">
            <v>ALIANZA DIAGNÓSTICA S.A</v>
          </cell>
          <cell r="D4852" t="str">
            <v>6 4 7 4 7 8 8</v>
          </cell>
          <cell r="E4852" t="str">
            <v>facturacionelectronica@alianzadiagnosticasa.com.co</v>
          </cell>
          <cell r="F4852" t="str">
            <v>CL 45 29 55</v>
          </cell>
          <cell r="G4852">
            <v>68307</v>
          </cell>
        </row>
        <row r="4853">
          <cell r="A4853" t="str">
            <v>900631638</v>
          </cell>
          <cell r="B4853" t="str">
            <v>0</v>
          </cell>
          <cell r="C4853" t="str">
            <v>CONJUNTO RESIDENCIAL TORRE GIRONELA</v>
          </cell>
          <cell r="D4853" t="str">
            <v>3325973</v>
          </cell>
          <cell r="E4853" t="str">
            <v>admontorregironela@gmail.com</v>
          </cell>
          <cell r="F4853" t="str">
            <v>CALLE 13  25  68</v>
          </cell>
          <cell r="G4853">
            <v>68307</v>
          </cell>
        </row>
        <row r="4854">
          <cell r="A4854" t="str">
            <v>900957967</v>
          </cell>
          <cell r="B4854" t="str">
            <v>9</v>
          </cell>
          <cell r="C4854" t="str">
            <v>CONJUNTO RESIDENCIAL TORRES DE CASTILLA PROPIEDAD HORIZONTAL</v>
          </cell>
          <cell r="D4854" t="str">
            <v>3184162930</v>
          </cell>
          <cell r="E4854" t="str">
            <v>conjuntotorresdecastilla@gmail.com</v>
          </cell>
          <cell r="F4854" t="str">
            <v>CALLE 26  22  39</v>
          </cell>
          <cell r="G4854">
            <v>68307</v>
          </cell>
        </row>
        <row r="4855">
          <cell r="A4855" t="str">
            <v>901087490</v>
          </cell>
          <cell r="B4855" t="str">
            <v>8</v>
          </cell>
          <cell r="C4855" t="str">
            <v>CONJUNTO RESIDENCIAL PUERTO VIENTO</v>
          </cell>
          <cell r="D4855" t="str">
            <v>3187727441</v>
          </cell>
          <cell r="E4855" t="str">
            <v>contabilidad.puertoviento@gmail.com</v>
          </cell>
          <cell r="F4855" t="str">
            <v>CARRERA 11 C  11  03</v>
          </cell>
          <cell r="G4855">
            <v>68307</v>
          </cell>
        </row>
        <row r="4856">
          <cell r="A4856" t="str">
            <v>901271256</v>
          </cell>
          <cell r="B4856" t="str">
            <v>9</v>
          </cell>
          <cell r="C4856" t="str">
            <v>CONJUNTO RESIDENCIAL GRAN ALICANTE - PROPIEDAD HORIZONTAL ETAPA 1</v>
          </cell>
          <cell r="D4856" t="str">
            <v>6918525</v>
          </cell>
          <cell r="E4856" t="str">
            <v>admgranalicante@gmail.com</v>
          </cell>
          <cell r="F4856" t="str">
            <v>DIAGONAL 36 31-118</v>
          </cell>
          <cell r="G4856">
            <v>68307</v>
          </cell>
        </row>
        <row r="4857">
          <cell r="A4857" t="str">
            <v>901535223</v>
          </cell>
          <cell r="B4857" t="str">
            <v>0</v>
          </cell>
          <cell r="C4857" t="str">
            <v>CONJUNTO RESIDENCIAL COLINA CAMPESTRE - PROPIEDAD HORIZONTAL</v>
          </cell>
          <cell r="D4857" t="str">
            <v>3182884936</v>
          </cell>
          <cell r="E4857" t="str">
            <v>acolinacampestre@gmail.com</v>
          </cell>
          <cell r="F4857" t="str">
            <v>LT 6 BRR QUINTAS DEL CARRIZAL</v>
          </cell>
          <cell r="G4857">
            <v>68307</v>
          </cell>
        </row>
        <row r="4858">
          <cell r="A4858" t="str">
            <v>901663182</v>
          </cell>
          <cell r="B4858" t="str">
            <v>5</v>
          </cell>
          <cell r="C4858" t="str">
            <v>CONJUNTO RESIDENCIAL COLINA DEL VIENTO – PROPIEDAD HORIZONTAL</v>
          </cell>
          <cell r="D4858" t="str">
            <v>3187727441</v>
          </cell>
          <cell r="E4858" t="str">
            <v>colina.viento2023@gmail.com</v>
          </cell>
          <cell r="F4858" t="str">
            <v>CR 11 C 11 - 06 ACC GENEREAL A TO 1 Y 2</v>
          </cell>
          <cell r="G4858">
            <v>68307</v>
          </cell>
        </row>
        <row r="4859">
          <cell r="A4859" t="str">
            <v>32842791</v>
          </cell>
          <cell r="B4859" t="str">
            <v>7</v>
          </cell>
          <cell r="C4859" t="str">
            <v>SIRLEY GOMEZ PEÑA</v>
          </cell>
          <cell r="D4859" t="str">
            <v>2690824</v>
          </cell>
          <cell r="E4859" t="str">
            <v>tavo0423@icloud.com</v>
          </cell>
          <cell r="F4859" t="str">
            <v>CL 13 15 61 LC 64 CC AVENIDA COLON</v>
          </cell>
          <cell r="G4859">
            <v>68406</v>
          </cell>
        </row>
        <row r="4860">
          <cell r="A4860">
            <v>222222222</v>
          </cell>
          <cell r="B4860" t="str">
            <v/>
          </cell>
          <cell r="C4860" t="str">
            <v>CUANTIAS MENORES</v>
          </cell>
          <cell r="D4860">
            <v>3228184763</v>
          </cell>
          <cell r="E4860" t="str">
            <v>impuestos@estiloingeniera.com</v>
          </cell>
          <cell r="F4860" t="str">
            <v xml:space="preserve">CL 127A 53A 45 TO2 P11 OF1101 </v>
          </cell>
          <cell r="G4860">
            <v>68547</v>
          </cell>
        </row>
        <row r="4861">
          <cell r="A4861" t="str">
            <v>804001890</v>
          </cell>
          <cell r="B4861" t="str">
            <v>1</v>
          </cell>
          <cell r="C4861" t="str">
            <v>UNIVERSIDAD DE SANTANDER</v>
          </cell>
          <cell r="D4861" t="str">
            <v>6 5 1 6 5 0 0</v>
          </cell>
          <cell r="E4861" t="str">
            <v>804001890@factureinbox.co</v>
          </cell>
          <cell r="F4861" t="str">
            <v>CR 29 47 32 BRR SOTOMAYOR</v>
          </cell>
          <cell r="G4861">
            <v>68547</v>
          </cell>
        </row>
        <row r="4862">
          <cell r="A4862" t="str">
            <v>830507387</v>
          </cell>
          <cell r="B4862" t="str">
            <v>3</v>
          </cell>
          <cell r="C4862" t="str">
            <v>METROLINEA S.A.</v>
          </cell>
          <cell r="D4862" t="str">
            <v>6929824</v>
          </cell>
          <cell r="E4862" t="str">
            <v>facturacion@metrolinea.gov.co</v>
          </cell>
          <cell r="F4862" t="str">
            <v>AUT FLORIDABLANCA 86 30 BRR DIAMANTE 2</v>
          </cell>
          <cell r="G4862">
            <v>68547</v>
          </cell>
        </row>
        <row r="4863">
          <cell r="A4863" t="str">
            <v>890208727</v>
          </cell>
          <cell r="B4863" t="str">
            <v>1</v>
          </cell>
          <cell r="C4863" t="str">
            <v>UNIDADES TECNOLOGICAS DE SANTANDER</v>
          </cell>
          <cell r="D4863" t="str">
            <v>6917700</v>
          </cell>
          <cell r="E4863" t="str">
            <v>infraestructura@correo.uts.edu.co</v>
          </cell>
          <cell r="F4863" t="str">
            <v>AVENIDA LOS ESTUDIANTES No. 9-82</v>
          </cell>
          <cell r="G4863">
            <v>68547</v>
          </cell>
        </row>
        <row r="4864">
          <cell r="A4864" t="str">
            <v>900577392</v>
          </cell>
          <cell r="B4864" t="str">
            <v>3</v>
          </cell>
          <cell r="C4864" t="str">
            <v>CONDOMINIO MONTE REAL</v>
          </cell>
          <cell r="D4864" t="str">
            <v>6551260</v>
          </cell>
          <cell r="E4864" t="str">
            <v>elvias0901@hotmail.com</v>
          </cell>
          <cell r="F4864" t="str">
            <v>CARRERA 15  2  87</v>
          </cell>
          <cell r="G4864">
            <v>68547</v>
          </cell>
        </row>
        <row r="4865">
          <cell r="A4865" t="str">
            <v>900651798</v>
          </cell>
          <cell r="B4865" t="str">
            <v>6</v>
          </cell>
          <cell r="C4865" t="str">
            <v>CONJUNTO RESIDENCIAL NAVARRA REAL</v>
          </cell>
          <cell r="D4865">
            <v>3219664011</v>
          </cell>
          <cell r="E4865" t="str">
            <v>navarrareal@gmail.com</v>
          </cell>
          <cell r="F4865" t="str">
            <v>CARRERA 7  1 D  35</v>
          </cell>
          <cell r="G4865">
            <v>68547</v>
          </cell>
        </row>
        <row r="4866">
          <cell r="A4866" t="str">
            <v>900720395</v>
          </cell>
          <cell r="B4866" t="str">
            <v>8</v>
          </cell>
          <cell r="C4866" t="str">
            <v>LA URBANIZACION PINARES CONDOMINIO CLUB</v>
          </cell>
          <cell r="D4866" t="str">
            <v>6781596</v>
          </cell>
          <cell r="E4866" t="str">
            <v>pinarescondominioclub@gmail.com</v>
          </cell>
          <cell r="F4866" t="str">
            <v>AVENIDA 10  15  51</v>
          </cell>
          <cell r="G4866">
            <v>68547</v>
          </cell>
        </row>
        <row r="4867">
          <cell r="A4867" t="str">
            <v>900972830</v>
          </cell>
          <cell r="B4867" t="str">
            <v>1</v>
          </cell>
          <cell r="C4867" t="str">
            <v>CONJUNTO RESIDENCIAL TORRE DE LA CUESTA PROPIEDAD HORIZONTAL</v>
          </cell>
          <cell r="D4867" t="str">
            <v>6399984</v>
          </cell>
          <cell r="E4867" t="str">
            <v>elian.at.o@hotmail.com</v>
          </cell>
          <cell r="F4867" t="str">
            <v>CALLE 8 NORTE  3  170</v>
          </cell>
          <cell r="G4867">
            <v>68547</v>
          </cell>
        </row>
        <row r="4868">
          <cell r="A4868" t="str">
            <v>901032522</v>
          </cell>
          <cell r="B4868" t="str">
            <v>9</v>
          </cell>
          <cell r="C4868" t="str">
            <v>CONJUNTO RESIDENCIAL ENTREPARQUES-GUAYACAN</v>
          </cell>
          <cell r="D4868" t="str">
            <v>3153305454</v>
          </cell>
          <cell r="E4868" t="str">
            <v>conjuntoentreparquesguayacan@gmail.com</v>
          </cell>
          <cell r="F4868" t="str">
            <v>CALLE 1 N D  2  75</v>
          </cell>
          <cell r="G4868">
            <v>68547</v>
          </cell>
        </row>
        <row r="4869">
          <cell r="A4869" t="str">
            <v>901056520</v>
          </cell>
          <cell r="B4869" t="str">
            <v>8</v>
          </cell>
          <cell r="C4869" t="str">
            <v>CONJUNTO RESIDENCIAL ARBORETO</v>
          </cell>
          <cell r="D4869" t="str">
            <v>6434955</v>
          </cell>
          <cell r="E4869" t="str">
            <v>conjuntoresidencialarboreto@gmail.com</v>
          </cell>
          <cell r="F4869" t="str">
            <v>CARRERA 8  7 N  95</v>
          </cell>
          <cell r="G4869">
            <v>68547</v>
          </cell>
        </row>
        <row r="4870">
          <cell r="A4870" t="str">
            <v>901168127</v>
          </cell>
          <cell r="B4870" t="str">
            <v>7</v>
          </cell>
          <cell r="C4870" t="str">
            <v>CONJUNTO RESIDENCIAL SMART JUNIN - PH</v>
          </cell>
          <cell r="D4870" t="str">
            <v>3168682961</v>
          </cell>
          <cell r="E4870" t="str">
            <v>admonsmartjunin@gmail.com</v>
          </cell>
          <cell r="F4870" t="str">
            <v>CR 4 CL 6 N</v>
          </cell>
          <cell r="G4870">
            <v>68547</v>
          </cell>
        </row>
        <row r="4871">
          <cell r="A4871" t="str">
            <v>901293085</v>
          </cell>
          <cell r="B4871" t="str">
            <v>0</v>
          </cell>
          <cell r="C4871" t="str">
            <v>CONJUNTO RESIDENCIAL PRADOS DE MIRAFLORES - PROPIEDAD HORIZONTAL</v>
          </cell>
          <cell r="D4871" t="str">
            <v>3 1 6 3 4 1 8 1 8 2</v>
          </cell>
          <cell r="E4871" t="str">
            <v>crpradosdemiraflores@gmail.com</v>
          </cell>
          <cell r="F4871" t="str">
            <v>CL 17 1 W 50</v>
          </cell>
          <cell r="G4871">
            <v>68547</v>
          </cell>
        </row>
        <row r="4872">
          <cell r="A4872" t="str">
            <v>901544649</v>
          </cell>
          <cell r="B4872" t="str">
            <v>2</v>
          </cell>
          <cell r="C4872" t="str">
            <v>CONJUNTO RESIDENCIAL TERRAZAS DE SAN FRANCISCO - PROPIEDAD HORIZONTAL</v>
          </cell>
          <cell r="D4872" t="str">
            <v>3158385474</v>
          </cell>
          <cell r="E4872" t="str">
            <v>terrazasdesanfrancisco.admon@gmail.com</v>
          </cell>
          <cell r="F4872" t="str">
            <v>CR 18 2 A 46 BRR SAN FRANCISCO</v>
          </cell>
          <cell r="G4872">
            <v>68547</v>
          </cell>
        </row>
        <row r="4873">
          <cell r="A4873" t="str">
            <v>900939276</v>
          </cell>
          <cell r="B4873" t="str">
            <v>1</v>
          </cell>
          <cell r="C4873" t="str">
            <v>CARVAJAL &amp; CASTILLO CONSTRUCTORA S.A.S</v>
          </cell>
          <cell r="D4873" t="str">
            <v>3174322498</v>
          </cell>
          <cell r="E4873" t="str">
            <v>fercarvajalcabezas@hotmail.com</v>
          </cell>
          <cell r="F4873" t="str">
            <v>CARRERA 10  10  30  PISO 2</v>
          </cell>
          <cell r="G4873">
            <v>68679</v>
          </cell>
        </row>
        <row r="4874">
          <cell r="A4874" t="str">
            <v>901131614</v>
          </cell>
          <cell r="B4874" t="str">
            <v>2</v>
          </cell>
          <cell r="C4874" t="str">
            <v>LOS NOGALES CONDOMINIO</v>
          </cell>
          <cell r="D4874" t="str">
            <v>3166740040</v>
          </cell>
          <cell r="E4874" t="str">
            <v>losnogalescondomio2018@gmail.com</v>
          </cell>
          <cell r="F4874" t="str">
            <v>CALLE 6  9  60</v>
          </cell>
          <cell r="G4874">
            <v>68679</v>
          </cell>
        </row>
        <row r="4875">
          <cell r="A4875" t="str">
            <v>901304706</v>
          </cell>
          <cell r="B4875" t="str">
            <v>5</v>
          </cell>
          <cell r="C4875" t="str">
            <v>BALCONES DEL FONCE PROPIEDAD HORIZONTAL</v>
          </cell>
          <cell r="D4875" t="str">
            <v>3005742498</v>
          </cell>
          <cell r="E4875" t="str">
            <v>edificiobalconesdelfonce73@gmail.com</v>
          </cell>
          <cell r="F4875" t="str">
            <v>CARRERA 9 N 8-53</v>
          </cell>
          <cell r="G4875">
            <v>68679</v>
          </cell>
        </row>
        <row r="4876">
          <cell r="A4876" t="str">
            <v>901321893</v>
          </cell>
          <cell r="B4876" t="str">
            <v>6</v>
          </cell>
          <cell r="C4876" t="str">
            <v>EDIFICIO AQUARIUM PROPIEDAD HORIZONTAL</v>
          </cell>
          <cell r="D4876" t="str">
            <v>3165318271</v>
          </cell>
          <cell r="E4876" t="str">
            <v>edificioaquariumsangil@gmail.com</v>
          </cell>
          <cell r="F4876" t="str">
            <v>CARRERA 12 5-124</v>
          </cell>
          <cell r="G4876">
            <v>68679</v>
          </cell>
        </row>
        <row r="4877">
          <cell r="A4877" t="str">
            <v>901509157</v>
          </cell>
          <cell r="B4877" t="str">
            <v>2</v>
          </cell>
          <cell r="C4877" t="str">
            <v>M&amp;C PROYECTOS SAS</v>
          </cell>
          <cell r="D4877" t="str">
            <v>3 1 2 3 7 8 8 1 0 0</v>
          </cell>
          <cell r="E4877" t="str">
            <v>amartinezsanabria@gmail.com</v>
          </cell>
          <cell r="F4877" t="str">
            <v>CR 13 A 29 B 22</v>
          </cell>
          <cell r="G4877">
            <v>68679</v>
          </cell>
        </row>
        <row r="4878">
          <cell r="A4878" t="str">
            <v>91071183</v>
          </cell>
          <cell r="B4878" t="str">
            <v>4</v>
          </cell>
          <cell r="C4878" t="str">
            <v>NESTOR JULIO GARCIA BLANCO</v>
          </cell>
          <cell r="D4878" t="str">
            <v>3153759118</v>
          </cell>
          <cell r="E4878" t="str">
            <v>boticasangilena@hotmail.com</v>
          </cell>
          <cell r="F4878" t="str">
            <v>CR 10 12 81 BRR CENTRO</v>
          </cell>
          <cell r="G4878">
            <v>68679</v>
          </cell>
        </row>
        <row r="4879">
          <cell r="A4879" t="str">
            <v>901445310</v>
          </cell>
          <cell r="B4879" t="str">
            <v>7</v>
          </cell>
          <cell r="C4879" t="str">
            <v>INVERCOV &amp; ASOCIADOS S.A.S</v>
          </cell>
          <cell r="D4879" t="str">
            <v>3108930928</v>
          </cell>
          <cell r="E4879" t="str">
            <v>901445310@factureinbox.co</v>
          </cell>
          <cell r="F4879" t="str">
            <v>CR 56 9 41 IN 401</v>
          </cell>
          <cell r="G4879">
            <v>70221</v>
          </cell>
        </row>
        <row r="4880">
          <cell r="A4880" t="str">
            <v>19092769</v>
          </cell>
          <cell r="B4880" t="str">
            <v>8</v>
          </cell>
          <cell r="C4880" t="str">
            <v>MOISES MORALES</v>
          </cell>
          <cell r="D4880" t="str">
            <v>2619404</v>
          </cell>
          <cell r="E4880" t="str">
            <v>facturacion@hotelcasamorales.com</v>
          </cell>
          <cell r="F4880" t="str">
            <v>CR 16 17 12 SUR</v>
          </cell>
          <cell r="G4880">
            <v>73001</v>
          </cell>
        </row>
        <row r="4881">
          <cell r="A4881" t="str">
            <v>4956924</v>
          </cell>
          <cell r="B4881" t="str">
            <v>8</v>
          </cell>
          <cell r="C4881" t="str">
            <v>JOSE ALDEMAR GUARNIZO PEREZ</v>
          </cell>
          <cell r="D4881" t="str">
            <v>3104850101</v>
          </cell>
          <cell r="E4881" t="str">
            <v>hotellosocobos@hotmail.com</v>
          </cell>
          <cell r="F4881" t="str">
            <v>CARRERA 4  16  63</v>
          </cell>
          <cell r="G4881">
            <v>73001</v>
          </cell>
        </row>
        <row r="4882">
          <cell r="A4882" t="str">
            <v>5893260</v>
          </cell>
          <cell r="B4882" t="str">
            <v>8</v>
          </cell>
          <cell r="C4882" t="str">
            <v>ALVARO PEÑA PACHECO</v>
          </cell>
          <cell r="D4882" t="str">
            <v>3175015815</v>
          </cell>
          <cell r="E4882" t="str">
            <v>ginnapaga@hotmail.com</v>
          </cell>
          <cell r="F4882" t="str">
            <v>CARRERA 6  46  26</v>
          </cell>
          <cell r="G4882">
            <v>73001</v>
          </cell>
        </row>
        <row r="4883">
          <cell r="A4883" t="str">
            <v>800149384</v>
          </cell>
          <cell r="B4883" t="str">
            <v>6</v>
          </cell>
          <cell r="C4883" t="str">
            <v>CLINICA COLSANITAS S.A.</v>
          </cell>
          <cell r="D4883" t="str">
            <v>5895455</v>
          </cell>
          <cell r="E4883" t="str">
            <v>recepcionfecli@fe.colsanitas.com</v>
          </cell>
          <cell r="F4883" t="str">
            <v>AV CALLE 100 11 B  67</v>
          </cell>
          <cell r="G4883">
            <v>73001</v>
          </cell>
        </row>
        <row r="4884">
          <cell r="A4884" t="str">
            <v>800235367</v>
          </cell>
          <cell r="B4884" t="str">
            <v>9</v>
          </cell>
          <cell r="C4884" t="str">
            <v>EDIFICIO CAMARA DE COMERCIO DE IBAGUE PROPIEDAD HORIZONTAL</v>
          </cell>
          <cell r="D4884" t="str">
            <v>2620620</v>
          </cell>
          <cell r="E4884" t="str">
            <v>edificiocamaradecomerciodeibague@hotmail.com</v>
          </cell>
          <cell r="F4884" t="str">
            <v>CALLE 10 A  3  76</v>
          </cell>
          <cell r="G4884">
            <v>73001</v>
          </cell>
        </row>
        <row r="4885">
          <cell r="A4885" t="str">
            <v>809000760</v>
          </cell>
          <cell r="B4885" t="str">
            <v>4</v>
          </cell>
          <cell r="C4885" t="str">
            <v>EDIFICIO MEDICADIZ PROPIEDAD HORIZONTAL</v>
          </cell>
          <cell r="D4885" t="str">
            <v>3152932746</v>
          </cell>
          <cell r="E4885" t="str">
            <v>pao24castaneda@hotmail.com</v>
          </cell>
          <cell r="F4885" t="str">
            <v>CARRERA 5  31  114</v>
          </cell>
          <cell r="G4885">
            <v>73001</v>
          </cell>
        </row>
        <row r="4886">
          <cell r="A4886" t="str">
            <v>809008066</v>
          </cell>
          <cell r="B4886" t="str">
            <v>7</v>
          </cell>
          <cell r="C4886" t="str">
            <v>EDIFICIO EL ALCAZAR - PROPIEDAD HORIZONTAL</v>
          </cell>
          <cell r="D4886" t="str">
            <v>2610199</v>
          </cell>
          <cell r="E4886" t="str">
            <v>ggygabogadosperdomo@hotmail.com</v>
          </cell>
          <cell r="F4886" t="str">
            <v>CALLE 7  2  65</v>
          </cell>
          <cell r="G4886">
            <v>73001</v>
          </cell>
        </row>
        <row r="4887">
          <cell r="A4887" t="str">
            <v>809008800</v>
          </cell>
          <cell r="B4887" t="str">
            <v>7</v>
          </cell>
          <cell r="C4887" t="str">
            <v>EDIFICIO MULTIFAMILIARES TORRES DEL LIBANO</v>
          </cell>
          <cell r="D4887" t="str">
            <v>3133234</v>
          </cell>
          <cell r="E4887" t="str">
            <v>torresdellibanoph@gmail.com</v>
          </cell>
          <cell r="F4887" t="str">
            <v>CALLE 2  7  43</v>
          </cell>
          <cell r="G4887">
            <v>73001</v>
          </cell>
        </row>
        <row r="4888">
          <cell r="A4888" t="str">
            <v>809012539</v>
          </cell>
          <cell r="B4888" t="str">
            <v>4</v>
          </cell>
          <cell r="C4888" t="str">
            <v>LEON GRAFICAS S.A.S.</v>
          </cell>
          <cell r="D4888" t="str">
            <v>3158516450</v>
          </cell>
          <cell r="E4888" t="str">
            <v>facturacion.electronica@leongraficas.com</v>
          </cell>
          <cell r="F4888" t="str">
            <v>CALLE 14  6  25</v>
          </cell>
          <cell r="G4888">
            <v>73001</v>
          </cell>
        </row>
        <row r="4889">
          <cell r="A4889" t="str">
            <v>860007336</v>
          </cell>
          <cell r="B4889" t="str">
            <v>1</v>
          </cell>
          <cell r="C4889" t="str">
            <v>CAJA COLOMBIANA DE SUBSIDIO FAMILIAR COLSUBSIDIO</v>
          </cell>
          <cell r="D4889" t="str">
            <v>7420100</v>
          </cell>
          <cell r="E4889" t="str">
            <v>recepcion.facturaelectronica@colsubsidio.com</v>
          </cell>
          <cell r="F4889" t="str">
            <v>CL 26 25 50</v>
          </cell>
          <cell r="G4889">
            <v>73001</v>
          </cell>
        </row>
        <row r="4890">
          <cell r="A4890" t="str">
            <v>860029924</v>
          </cell>
          <cell r="B4890" t="str">
            <v>7</v>
          </cell>
          <cell r="C4890" t="str">
            <v>UNIVERSIDAD COOPERATIVA DE COLOMBIA</v>
          </cell>
          <cell r="D4890" t="str">
            <v>3112781877</v>
          </cell>
          <cell r="E4890" t="str">
            <v>facturacion@estiloingenieria.com</v>
          </cell>
          <cell r="F4890" t="str">
            <v>Avenida Caracas No. 37 63</v>
          </cell>
          <cell r="G4890">
            <v>73001</v>
          </cell>
        </row>
        <row r="4891">
          <cell r="A4891" t="str">
            <v>860058070</v>
          </cell>
          <cell r="B4891" t="str">
            <v>6</v>
          </cell>
          <cell r="C4891" t="str">
            <v>CONSTRUCTORA COLPATRIA S.A.S</v>
          </cell>
          <cell r="D4891">
            <v>3219664011</v>
          </cell>
          <cell r="E4891" t="str">
            <v>facturacion@constructoracolpatria.com</v>
          </cell>
          <cell r="F4891" t="str">
            <v>CARRERA 54 A  127 A  45</v>
          </cell>
          <cell r="G4891">
            <v>73001</v>
          </cell>
        </row>
        <row r="4892">
          <cell r="A4892" t="str">
            <v>890700817</v>
          </cell>
          <cell r="B4892" t="str">
            <v>3</v>
          </cell>
          <cell r="C4892" t="str">
            <v>COOPERATIVA DE MAESTROS Y EMPLEADOS DE LA EDUCACION DEL TOLIMA</v>
          </cell>
          <cell r="D4892" t="str">
            <v>2649498</v>
          </cell>
          <cell r="E4892" t="str">
            <v>facturacion@coopemtol.com.co</v>
          </cell>
          <cell r="F4892" t="str">
            <v>CARRERA 5  26  27</v>
          </cell>
          <cell r="G4892">
            <v>73001</v>
          </cell>
        </row>
        <row r="4893">
          <cell r="A4893" t="str">
            <v>900009970</v>
          </cell>
          <cell r="B4893" t="str">
            <v>5</v>
          </cell>
          <cell r="C4893" t="str">
            <v>EDIFICIO MIRADOR DE IBAGUE</v>
          </cell>
          <cell r="D4893" t="str">
            <v>3115514668</v>
          </cell>
          <cell r="E4893" t="str">
            <v>Yasmin0080@hotmail.com</v>
          </cell>
          <cell r="F4893" t="str">
            <v>CALLE 11  1  03</v>
          </cell>
          <cell r="G4893">
            <v>73001</v>
          </cell>
        </row>
        <row r="4894">
          <cell r="A4894" t="str">
            <v>900017447</v>
          </cell>
          <cell r="B4894" t="str">
            <v>8</v>
          </cell>
          <cell r="C4894" t="str">
            <v>FALABELLA DE COLOMBIA S A</v>
          </cell>
          <cell r="D4894" t="str">
            <v>3133988786</v>
          </cell>
          <cell r="E4894" t="str">
            <v>dte_9000174478@dte.paperless.com.co</v>
          </cell>
          <cell r="F4894" t="str">
            <v>CALLE 99 No. 11 A – 32 BOGOTÁ D.C</v>
          </cell>
          <cell r="G4894">
            <v>73001</v>
          </cell>
        </row>
        <row r="4895">
          <cell r="A4895" t="str">
            <v>900033972</v>
          </cell>
          <cell r="B4895" t="str">
            <v>0</v>
          </cell>
          <cell r="C4895" t="str">
            <v>CONJUNTO RESIDENCIAL LA FLORIDA PROPIEDAD HORIZONTAL</v>
          </cell>
          <cell r="D4895" t="str">
            <v>2712050</v>
          </cell>
          <cell r="E4895" t="str">
            <v>conjuntolaflorida1@hotmail.com</v>
          </cell>
          <cell r="F4895" t="str">
            <v>CARRERA 5 SUR  83  200</v>
          </cell>
          <cell r="G4895">
            <v>73001</v>
          </cell>
        </row>
        <row r="4896">
          <cell r="A4896" t="str">
            <v>900132097</v>
          </cell>
          <cell r="B4896" t="str">
            <v>5</v>
          </cell>
          <cell r="C4896" t="str">
            <v>EDIFICIO PARQUE CENTENARIO PROPIEDAD HORIZONTAL</v>
          </cell>
          <cell r="D4896" t="str">
            <v>3134340943</v>
          </cell>
          <cell r="E4896" t="str">
            <v>lidaconstanzacalderon@yahoo.com.co</v>
          </cell>
          <cell r="F4896" t="str">
            <v>CARRERA 5  10  63</v>
          </cell>
          <cell r="G4896">
            <v>73001</v>
          </cell>
        </row>
        <row r="4897">
          <cell r="A4897" t="str">
            <v>900176920</v>
          </cell>
          <cell r="B4897" t="str">
            <v>1</v>
          </cell>
          <cell r="C4897" t="str">
            <v>EDIFICIO SANTA LUMA - PROPIEDAD HORIZONTAL</v>
          </cell>
          <cell r="D4897" t="str">
            <v>3173807563</v>
          </cell>
          <cell r="E4897" t="str">
            <v>edif.santaluma@hotmail.com</v>
          </cell>
          <cell r="F4897" t="str">
            <v>CALLE 45  5  55</v>
          </cell>
          <cell r="G4897">
            <v>73001</v>
          </cell>
        </row>
        <row r="4898">
          <cell r="A4898" t="str">
            <v>900418036</v>
          </cell>
          <cell r="B4898" t="str">
            <v>5</v>
          </cell>
          <cell r="C4898" t="str">
            <v>CONJUNTO RESIDENCIAL GOLF CLUB - PROPIEDAD HORIZONTAL</v>
          </cell>
          <cell r="D4898" t="str">
            <v>3156163860</v>
          </cell>
          <cell r="E4898" t="str">
            <v>conjresidencialgolfclub@gmail.com</v>
          </cell>
          <cell r="F4898" t="str">
            <v>CARRERA 22 SUR  129  00</v>
          </cell>
          <cell r="G4898">
            <v>73001</v>
          </cell>
        </row>
        <row r="4899">
          <cell r="A4899" t="str">
            <v>900707679</v>
          </cell>
          <cell r="B4899" t="str">
            <v>0</v>
          </cell>
          <cell r="C4899" t="str">
            <v>HOTEL GOLD PLAZA SAS</v>
          </cell>
          <cell r="D4899" t="str">
            <v>2634635</v>
          </cell>
          <cell r="E4899" t="str">
            <v>hotelgoldplaza@hotmail.com</v>
          </cell>
          <cell r="F4899" t="str">
            <v>CARRERA 3  17  58</v>
          </cell>
          <cell r="G4899">
            <v>73001</v>
          </cell>
        </row>
        <row r="4900">
          <cell r="A4900" t="str">
            <v>900745704</v>
          </cell>
          <cell r="B4900" t="str">
            <v>9</v>
          </cell>
          <cell r="C4900" t="str">
            <v>CONJUNTO RESIDENCIAL MADAIRA - PROPIEDAD HORIZONZAL</v>
          </cell>
          <cell r="D4900" t="str">
            <v>5150397</v>
          </cell>
          <cell r="E4900" t="str">
            <v>admonmadaira2022@gmail.com</v>
          </cell>
          <cell r="F4900" t="str">
            <v>CARRERA 14  41  43</v>
          </cell>
          <cell r="G4900">
            <v>73001</v>
          </cell>
        </row>
        <row r="4901">
          <cell r="A4901" t="str">
            <v>900985054</v>
          </cell>
          <cell r="B4901" t="str">
            <v>9</v>
          </cell>
          <cell r="C4901" t="str">
            <v>EDIFICIO TORRE DEL PARQUE PROPIEDAD HORIZONTAL</v>
          </cell>
          <cell r="D4901" t="str">
            <v>3208546881</v>
          </cell>
          <cell r="E4901" t="str">
            <v>torredelparqueph@hotmail.com</v>
          </cell>
          <cell r="F4901" t="str">
            <v>CARRERA 4 B  48  08</v>
          </cell>
          <cell r="G4901">
            <v>73001</v>
          </cell>
        </row>
        <row r="4902">
          <cell r="A4902" t="str">
            <v>901046973</v>
          </cell>
          <cell r="B4902" t="str">
            <v>8</v>
          </cell>
          <cell r="C4902" t="str">
            <v>EDIFICIO KEA - PROPIEDAD HORIZONTAL</v>
          </cell>
          <cell r="D4902" t="str">
            <v>2658724</v>
          </cell>
          <cell r="E4902" t="str">
            <v>torrekeaadmon@gmail.com</v>
          </cell>
          <cell r="F4902" t="str">
            <v>CARRERA 4 H  40  24</v>
          </cell>
          <cell r="G4902">
            <v>73001</v>
          </cell>
        </row>
        <row r="4903">
          <cell r="A4903" t="str">
            <v>901102907</v>
          </cell>
          <cell r="B4903" t="str">
            <v>1</v>
          </cell>
          <cell r="C4903" t="str">
            <v>EDIFICIO PALMETO INN</v>
          </cell>
          <cell r="D4903" t="str">
            <v>3166051120</v>
          </cell>
          <cell r="E4903" t="str">
            <v>edificiopalmettoinnph@gmail.com</v>
          </cell>
          <cell r="F4903" t="str">
            <v>CR 14 65 152</v>
          </cell>
          <cell r="G4903">
            <v>73001</v>
          </cell>
        </row>
        <row r="4904">
          <cell r="A4904" t="str">
            <v>901195262</v>
          </cell>
          <cell r="B4904" t="str">
            <v>8</v>
          </cell>
          <cell r="C4904" t="str">
            <v>CONJUNTO RESIDENCIAL BIVENTTI</v>
          </cell>
          <cell r="D4904" t="str">
            <v>3115431317</v>
          </cell>
          <cell r="E4904" t="str">
            <v>biventtiadmon@gmail.com</v>
          </cell>
          <cell r="F4904" t="str">
            <v>CL 78 16  63 73</v>
          </cell>
          <cell r="G4904">
            <v>73001</v>
          </cell>
        </row>
        <row r="4905">
          <cell r="A4905" t="str">
            <v>901208279</v>
          </cell>
          <cell r="B4905" t="str">
            <v>0</v>
          </cell>
          <cell r="C4905" t="str">
            <v>CONJUNTO RESIDENCIAL MIRADOR DE LOS ANDES</v>
          </cell>
          <cell r="D4905" t="str">
            <v>3102147913</v>
          </cell>
          <cell r="E4905" t="str">
            <v>conjuntomiradordelosandes@gmail.com</v>
          </cell>
          <cell r="F4905" t="str">
            <v>CL 93 20 40 SUR</v>
          </cell>
          <cell r="G4905">
            <v>73001</v>
          </cell>
        </row>
        <row r="4906">
          <cell r="A4906" t="str">
            <v>901242034</v>
          </cell>
          <cell r="B4906" t="str">
            <v>7</v>
          </cell>
          <cell r="C4906" t="str">
            <v>CONJUNTO RESIDENCIAL BOSQUE SAN ANGEL - PROPIEDAD HORIZONTAL</v>
          </cell>
          <cell r="D4906" t="str">
            <v>3148626821</v>
          </cell>
          <cell r="E4906" t="str">
            <v>pqrbsa@gmail.com</v>
          </cell>
          <cell r="F4906" t="str">
            <v>CR 6 SUR 72 80</v>
          </cell>
          <cell r="G4906">
            <v>73001</v>
          </cell>
        </row>
        <row r="4907">
          <cell r="A4907" t="str">
            <v>901366087</v>
          </cell>
          <cell r="B4907" t="str">
            <v>1</v>
          </cell>
          <cell r="C4907" t="str">
            <v>EDIFICIO TORRES DE BARLOVENTO PROPIEDAD HORIZONTAL</v>
          </cell>
          <cell r="D4907" t="str">
            <v>3112814163</v>
          </cell>
          <cell r="E4907" t="str">
            <v>torresbarlovento@gmail.com</v>
          </cell>
          <cell r="F4907" t="str">
            <v>CL 67 7 21 CL 67 7 45 CR 7 65 A 42 CR 7 A 65 A 40</v>
          </cell>
          <cell r="G4907">
            <v>73001</v>
          </cell>
        </row>
        <row r="4908">
          <cell r="A4908" t="str">
            <v>901390025</v>
          </cell>
          <cell r="B4908" t="str">
            <v>4</v>
          </cell>
          <cell r="C4908" t="str">
            <v>MIRADOR DE SANTA HELENA ETAPA 1 - PROPIEDAD HORIZONTAL</v>
          </cell>
          <cell r="D4908" t="str">
            <v>2694590</v>
          </cell>
          <cell r="E4908" t="str">
            <v>miradorsantahelena@gmail.com</v>
          </cell>
          <cell r="F4908" t="str">
            <v>CR 1 BIS SUR 42 A BIS 85</v>
          </cell>
          <cell r="G4908">
            <v>73001</v>
          </cell>
        </row>
        <row r="4909">
          <cell r="A4909" t="str">
            <v>901401571</v>
          </cell>
          <cell r="B4909" t="str">
            <v>3</v>
          </cell>
          <cell r="C4909" t="str">
            <v>CONJUNTO RESIDENCIAL OCOBO PRIMERA ETAPA PROPIEDAD HORIZONTAL</v>
          </cell>
          <cell r="D4909" t="str">
            <v>3209476643</v>
          </cell>
          <cell r="E4909" t="str">
            <v>ocobouno@gmail.com</v>
          </cell>
          <cell r="F4909" t="str">
            <v>CALLE 11 83 - 55</v>
          </cell>
          <cell r="G4909">
            <v>73001</v>
          </cell>
        </row>
        <row r="4910">
          <cell r="A4910" t="str">
            <v>901670428</v>
          </cell>
          <cell r="B4910" t="str">
            <v>0</v>
          </cell>
          <cell r="C4910" t="str">
            <v>"BOSQUE RESERVADO" PROPIEDAD HORIZONTAL</v>
          </cell>
          <cell r="D4910" t="str">
            <v>3134139383</v>
          </cell>
          <cell r="E4910" t="str">
            <v>bosquereservado.ibague.admon@gmail.com</v>
          </cell>
          <cell r="F4910" t="str">
            <v>CR 6 SUR 70 70</v>
          </cell>
          <cell r="G4910">
            <v>73001</v>
          </cell>
        </row>
        <row r="4911">
          <cell r="A4911" t="str">
            <v>900409731</v>
          </cell>
          <cell r="B4911" t="str">
            <v>8</v>
          </cell>
          <cell r="C4911" t="str">
            <v>CONDOMINIO ALCALA DE LA ESTANCIA APARTAMENTOS COMERCIALES</v>
          </cell>
          <cell r="D4911" t="str">
            <v>3173832845</v>
          </cell>
          <cell r="E4911" t="str">
            <v>condominioalcaladelaestancia@gmail.com</v>
          </cell>
          <cell r="F4911" t="str">
            <v>CONJUNTO CERRADO MI FUTURO ETAPA 1 CASA 22 B</v>
          </cell>
          <cell r="G4911">
            <v>73449</v>
          </cell>
        </row>
        <row r="4912">
          <cell r="A4912" t="str">
            <v>901190165</v>
          </cell>
          <cell r="B4912" t="str">
            <v>9</v>
          </cell>
          <cell r="C4912" t="str">
            <v>CONJUNTO RESIDENCIAL ALTO VERDE CLUB HOUSE P.H.</v>
          </cell>
          <cell r="D4912" t="str">
            <v>3168327602</v>
          </cell>
          <cell r="E4912" t="str">
            <v>cr.altoverde2022@gmail.com</v>
          </cell>
          <cell r="F4912" t="str">
            <v>CL 3 7 B 716 CONJUNTO RESIDENCIAL ALTO VERDE CLUB HOUSE PH</v>
          </cell>
          <cell r="G4912">
            <v>73449</v>
          </cell>
        </row>
        <row r="4913">
          <cell r="A4913">
            <v>222222222</v>
          </cell>
          <cell r="B4913" t="str">
            <v/>
          </cell>
          <cell r="C4913" t="str">
            <v>CUANTIAS MENORES</v>
          </cell>
          <cell r="D4913">
            <v>3228184763</v>
          </cell>
          <cell r="E4913" t="str">
            <v>impuestos@estiloingeniera.com</v>
          </cell>
          <cell r="F4913" t="str">
            <v xml:space="preserve">CL 127A 53A 45 TO2 P11 OF1101 </v>
          </cell>
          <cell r="G4913">
            <v>76001</v>
          </cell>
        </row>
        <row r="4914">
          <cell r="A4914" t="str">
            <v>13060249</v>
          </cell>
          <cell r="B4914" t="str">
            <v>0</v>
          </cell>
          <cell r="C4914" t="str">
            <v>GERARDO ANTONIO ERAZO RIASCOS</v>
          </cell>
          <cell r="D4914" t="str">
            <v>8802212</v>
          </cell>
          <cell r="E4914" t="str">
            <v>adithamartinez@hotmail.com</v>
          </cell>
          <cell r="F4914" t="str">
            <v>CALLE 15 # 7-26</v>
          </cell>
          <cell r="G4914">
            <v>76001</v>
          </cell>
        </row>
        <row r="4915">
          <cell r="A4915" t="str">
            <v>16715284</v>
          </cell>
          <cell r="B4915" t="str">
            <v>2</v>
          </cell>
          <cell r="C4915" t="str">
            <v>PEDRO HENRY GOMEZ MARTINEZ</v>
          </cell>
          <cell r="D4915" t="str">
            <v>3827030</v>
          </cell>
          <cell r="E4915" t="str">
            <v>16715284@recepciondefacturas.co</v>
          </cell>
          <cell r="F4915" t="str">
            <v>CALLE 25  4  08</v>
          </cell>
          <cell r="G4915">
            <v>76001</v>
          </cell>
        </row>
        <row r="4916">
          <cell r="A4916" t="str">
            <v>16755344</v>
          </cell>
          <cell r="B4916" t="str">
            <v>7</v>
          </cell>
          <cell r="C4916" t="str">
            <v>GONZALO ENRIQUE ISAZA ALVAREZ</v>
          </cell>
          <cell r="D4916" t="str">
            <v>5146677</v>
          </cell>
          <cell r="E4916" t="str">
            <v>gonzaloisaza2012@gmail.com</v>
          </cell>
          <cell r="F4916" t="str">
            <v>CARRERA 30  9  45</v>
          </cell>
          <cell r="G4916">
            <v>76001</v>
          </cell>
        </row>
        <row r="4917">
          <cell r="A4917" t="str">
            <v>16769217</v>
          </cell>
          <cell r="B4917" t="str">
            <v>0</v>
          </cell>
          <cell r="C4917" t="str">
            <v>REINALDO MEDINA GUTIERREZ</v>
          </cell>
          <cell r="D4917" t="str">
            <v>5558322</v>
          </cell>
          <cell r="E4917" t="str">
            <v>subgerencia@melei.com.co</v>
          </cell>
          <cell r="F4917" t="str">
            <v>CARRERA 121 B No. 5 - 80</v>
          </cell>
          <cell r="G4917">
            <v>76001</v>
          </cell>
        </row>
        <row r="4918">
          <cell r="A4918" t="str">
            <v>38942733</v>
          </cell>
          <cell r="B4918" t="str">
            <v>0</v>
          </cell>
          <cell r="C4918" t="str">
            <v>LILLY ESTHER MALCA SASBON</v>
          </cell>
          <cell r="D4918" t="str">
            <v>3 1 3 7 3 7 3 0 0 0</v>
          </cell>
          <cell r="E4918" t="str">
            <v>contabilidad@mmalca.com</v>
          </cell>
          <cell r="F4918" t="str">
            <v>CL 14 7 97</v>
          </cell>
          <cell r="G4918">
            <v>76001</v>
          </cell>
        </row>
        <row r="4919">
          <cell r="A4919" t="str">
            <v>56083267</v>
          </cell>
          <cell r="B4919" t="str">
            <v>9</v>
          </cell>
          <cell r="C4919" t="str">
            <v>MARIA NUBIA LOPEZ LOPEZ</v>
          </cell>
          <cell r="D4919" t="str">
            <v>8854275</v>
          </cell>
          <cell r="E4919" t="str">
            <v>todoparasuhogarcali@outlook.com</v>
          </cell>
          <cell r="F4919" t="str">
            <v>CARRERA 9  13  127  LOCAL 151</v>
          </cell>
          <cell r="G4919">
            <v>76001</v>
          </cell>
        </row>
        <row r="4920">
          <cell r="A4920" t="str">
            <v>70694129</v>
          </cell>
          <cell r="B4920" t="str">
            <v>3</v>
          </cell>
          <cell r="C4920" t="str">
            <v>HECTOR RAUL DUQUE RAMIREZ</v>
          </cell>
          <cell r="D4920">
            <v>3219664011</v>
          </cell>
          <cell r="E4920" t="str">
            <v>inmobiliarialw@hotmail.com</v>
          </cell>
          <cell r="F4920" t="str">
            <v>CARRERA 8  13  97  PISO 3</v>
          </cell>
          <cell r="G4920">
            <v>76001</v>
          </cell>
        </row>
        <row r="4921">
          <cell r="A4921" t="str">
            <v>800034614</v>
          </cell>
          <cell r="B4921" t="str">
            <v>0</v>
          </cell>
          <cell r="C4921" t="str">
            <v>SURTICAMPO S.A.S.</v>
          </cell>
          <cell r="D4921" t="str">
            <v>6654193</v>
          </cell>
          <cell r="E4921" t="str">
            <v>contabilidad@surticampo.com</v>
          </cell>
          <cell r="F4921" t="str">
            <v>AV 3 48N 17</v>
          </cell>
          <cell r="G4921">
            <v>76001</v>
          </cell>
        </row>
        <row r="4922">
          <cell r="A4922" t="str">
            <v>800065539</v>
          </cell>
          <cell r="B4922" t="str">
            <v>9</v>
          </cell>
          <cell r="C4922" t="str">
            <v>HOTELES ROYAL S.A.</v>
          </cell>
          <cell r="D4922" t="str">
            <v>6578757</v>
          </cell>
          <cell r="E4922" t="str">
            <v>e-factura.co@seresnet.com</v>
          </cell>
          <cell r="F4922" t="str">
            <v>CL 99 9A 45 P7</v>
          </cell>
          <cell r="G4922">
            <v>76001</v>
          </cell>
        </row>
        <row r="4923">
          <cell r="A4923" t="str">
            <v>800094968</v>
          </cell>
          <cell r="B4923" t="str">
            <v>9</v>
          </cell>
          <cell r="C4923" t="str">
            <v>JARAMILLO MORA CONSTRUCTORA S.A.</v>
          </cell>
          <cell r="D4923" t="str">
            <v>6851717</v>
          </cell>
          <cell r="E4923" t="str">
            <v>facturaelectronica@jaramillomora.com</v>
          </cell>
          <cell r="F4923" t="str">
            <v>CALLE 44 A N  4 N  133</v>
          </cell>
          <cell r="G4923">
            <v>76001</v>
          </cell>
        </row>
        <row r="4924">
          <cell r="A4924" t="str">
            <v>800146077</v>
          </cell>
          <cell r="B4924" t="str">
            <v>6</v>
          </cell>
          <cell r="C4924" t="str">
            <v>ASEOS COLOMBIANOS ASEOCOLBA S.A.</v>
          </cell>
          <cell r="D4924" t="str">
            <v>3205651240</v>
          </cell>
          <cell r="E4924" t="str">
            <v>buzonfeaseocolba@grupocolba.com</v>
          </cell>
          <cell r="F4924" t="str">
            <v>CR 50 72 61</v>
          </cell>
          <cell r="G4924">
            <v>76001</v>
          </cell>
        </row>
        <row r="4925">
          <cell r="A4925" t="str">
            <v>800149384</v>
          </cell>
          <cell r="B4925" t="str">
            <v>6</v>
          </cell>
          <cell r="C4925" t="str">
            <v>CLINICA COLSANITAS S.A.</v>
          </cell>
          <cell r="D4925" t="str">
            <v>5895455</v>
          </cell>
          <cell r="E4925" t="str">
            <v>recepcionfecli@fe.colsanitas.com</v>
          </cell>
          <cell r="F4925" t="str">
            <v>AV CALLE 100 11 B  67</v>
          </cell>
          <cell r="G4925">
            <v>76001</v>
          </cell>
        </row>
        <row r="4926">
          <cell r="A4926" t="str">
            <v>800165377</v>
          </cell>
          <cell r="B4926" t="str">
            <v>1</v>
          </cell>
          <cell r="C4926" t="str">
            <v>GRUPO DECOR S A S</v>
          </cell>
          <cell r="D4926" t="str">
            <v>4495555</v>
          </cell>
          <cell r="E4926" t="str">
            <v>recepcionfacturagd@grupodecor.com</v>
          </cell>
          <cell r="F4926" t="str">
            <v>CL 66 1 N 20</v>
          </cell>
          <cell r="G4926">
            <v>76001</v>
          </cell>
        </row>
        <row r="4927">
          <cell r="A4927" t="str">
            <v>800170669</v>
          </cell>
          <cell r="B4927" t="str">
            <v>7</v>
          </cell>
          <cell r="C4927" t="str">
            <v>CLINICA BURGOS S.A.S</v>
          </cell>
          <cell r="D4927" t="str">
            <v>3116275014</v>
          </cell>
          <cell r="E4927" t="str">
            <v>800170669@recepciondefacturas.co</v>
          </cell>
          <cell r="F4927" t="str">
            <v>CALLE 58 8-05</v>
          </cell>
          <cell r="G4927">
            <v>76001</v>
          </cell>
        </row>
        <row r="4928">
          <cell r="A4928" t="str">
            <v>800182069</v>
          </cell>
          <cell r="B4928" t="str">
            <v>1</v>
          </cell>
          <cell r="C4928" t="str">
            <v>EDIFICIO SANTA RITA DEL RIO</v>
          </cell>
          <cell r="D4928" t="str">
            <v>3742088</v>
          </cell>
          <cell r="E4928" t="str">
            <v>avivienda@gmail.com</v>
          </cell>
          <cell r="F4928" t="str">
            <v>AVENIDA 3 OESTE  12  170</v>
          </cell>
          <cell r="G4928">
            <v>76001</v>
          </cell>
        </row>
        <row r="4929">
          <cell r="A4929" t="str">
            <v>800198458</v>
          </cell>
          <cell r="B4929" t="str">
            <v>1</v>
          </cell>
          <cell r="C4929" t="str">
            <v>SOCIEDAD CONSTRUCTORA DEL PACIFICO SODELPA S.A.</v>
          </cell>
          <cell r="D4929">
            <v>3219664011</v>
          </cell>
          <cell r="E4929" t="str">
            <v>recepcion@misfacturas.com.co</v>
          </cell>
          <cell r="F4929" t="str">
            <v>CARRERA 2  1  60</v>
          </cell>
          <cell r="G4929">
            <v>76001</v>
          </cell>
        </row>
        <row r="4930">
          <cell r="A4930" t="str">
            <v>800203269</v>
          </cell>
          <cell r="B4930" t="str">
            <v>8</v>
          </cell>
          <cell r="C4930" t="str">
            <v>EDIFICIO EL SEMINARIO PROPIEDAD HORIZONTAL</v>
          </cell>
          <cell r="D4930" t="str">
            <v>3117917111</v>
          </cell>
          <cell r="E4930" t="str">
            <v>facturacion@estiloingenieria.com</v>
          </cell>
          <cell r="F4930" t="str">
            <v>CARRERA 69  1  09</v>
          </cell>
          <cell r="G4930">
            <v>76001</v>
          </cell>
        </row>
        <row r="4931">
          <cell r="A4931" t="str">
            <v>800238379</v>
          </cell>
          <cell r="B4931" t="str">
            <v>0</v>
          </cell>
          <cell r="C4931" t="str">
            <v>EDIFICIO EL CORAL - PROPIEDAD HORIZONTAL</v>
          </cell>
          <cell r="D4931" t="str">
            <v>3117530947</v>
          </cell>
          <cell r="E4931" t="str">
            <v>esthercita54@hotmail.com</v>
          </cell>
          <cell r="F4931" t="str">
            <v>CALLE 23  4 N  50</v>
          </cell>
          <cell r="G4931">
            <v>76001</v>
          </cell>
        </row>
        <row r="4932">
          <cell r="A4932" t="str">
            <v>800245764</v>
          </cell>
          <cell r="B4932" t="str">
            <v>2</v>
          </cell>
          <cell r="C4932" t="str">
            <v>AR KLEIN INGENIEROS LTDA</v>
          </cell>
          <cell r="D4932" t="str">
            <v>8711001</v>
          </cell>
          <cell r="E4932" t="str">
            <v>kleincolombia@gmail.com</v>
          </cell>
          <cell r="F4932" t="str">
            <v>DG 6 5 53 LC L B 41</v>
          </cell>
          <cell r="G4932">
            <v>76001</v>
          </cell>
        </row>
        <row r="4933">
          <cell r="A4933" t="str">
            <v>800251440</v>
          </cell>
          <cell r="B4933" t="str">
            <v>6</v>
          </cell>
          <cell r="C4933" t="str">
            <v>ENTIDAD PROMOTORA DE SALUD SANITAS S A S - EN INTERVENCION BAJO LA MEDIDA DE TOMA DE POSESION</v>
          </cell>
          <cell r="D4933" t="str">
            <v>6466060</v>
          </cell>
          <cell r="E4933" t="str">
            <v>recepcionfead@fe.keralty.com</v>
          </cell>
          <cell r="F4933" t="str">
            <v>AC 100 11 B 95</v>
          </cell>
          <cell r="G4933">
            <v>76001</v>
          </cell>
        </row>
        <row r="4934">
          <cell r="A4934" t="str">
            <v>800256395</v>
          </cell>
          <cell r="B4934" t="str">
            <v>5</v>
          </cell>
          <cell r="C4934" t="str">
            <v>CENTRO COMERCIAL CHIPICHAPE PROPIEDAD HORIZONTAL</v>
          </cell>
          <cell r="D4934" t="str">
            <v>6592199</v>
          </cell>
          <cell r="E4934" t="str">
            <v>siesaferecepcion@siesafe.co</v>
          </cell>
          <cell r="F4934" t="str">
            <v>CALLE 38 NORTE  6 N  35</v>
          </cell>
          <cell r="G4934">
            <v>76001</v>
          </cell>
        </row>
        <row r="4935">
          <cell r="A4935" t="str">
            <v>805002583</v>
          </cell>
          <cell r="B4935" t="str">
            <v>1</v>
          </cell>
          <cell r="C4935" t="str">
            <v>FD SAN JORGE S.A.S</v>
          </cell>
          <cell r="D4935" t="str">
            <v>6536868</v>
          </cell>
          <cell r="E4935" t="str">
            <v>contabilidad@drogueriasanjorge.com</v>
          </cell>
          <cell r="F4935" t="str">
            <v>CALLE 15 2 06</v>
          </cell>
          <cell r="G4935">
            <v>76001</v>
          </cell>
        </row>
        <row r="4936">
          <cell r="A4936" t="str">
            <v>805003104</v>
          </cell>
          <cell r="B4936" t="str">
            <v>1</v>
          </cell>
          <cell r="C4936" t="str">
            <v>EDIFICIO AVENIDA 100</v>
          </cell>
          <cell r="D4936" t="str">
            <v>3322918</v>
          </cell>
          <cell r="E4936" t="str">
            <v>edificioav100@gmail.com</v>
          </cell>
          <cell r="F4936" t="str">
            <v>CARRERA 100  16  20</v>
          </cell>
          <cell r="G4936">
            <v>76001</v>
          </cell>
        </row>
        <row r="4937">
          <cell r="A4937" t="str">
            <v>805003291</v>
          </cell>
          <cell r="B4937" t="str">
            <v>0</v>
          </cell>
          <cell r="C4937" t="str">
            <v>CONJUNTO RESIDENCIAL CAMPESTRE REAL I - PROPIEDAD HORIZONTAL</v>
          </cell>
          <cell r="D4937" t="str">
            <v>3075863</v>
          </cell>
          <cell r="E4937" t="str">
            <v>campestrereal@gmail.com</v>
          </cell>
          <cell r="F4937" t="str">
            <v>CARRERA 101  11  55</v>
          </cell>
          <cell r="G4937">
            <v>76001</v>
          </cell>
        </row>
        <row r="4938">
          <cell r="A4938" t="str">
            <v>805003412</v>
          </cell>
          <cell r="B4938" t="str">
            <v>5</v>
          </cell>
          <cell r="C4938" t="str">
            <v>EDIFICIO MONTEROSA PROPIEDAD HORIZONTAL</v>
          </cell>
          <cell r="D4938" t="str">
            <v>3060251</v>
          </cell>
          <cell r="E4938" t="str">
            <v>edmonterosa@hotmail.com</v>
          </cell>
          <cell r="F4938" t="str">
            <v>CARRERA 3 OESTE  13  24</v>
          </cell>
          <cell r="G4938">
            <v>76001</v>
          </cell>
        </row>
        <row r="4939">
          <cell r="A4939" t="str">
            <v>805003626</v>
          </cell>
          <cell r="B4939" t="str">
            <v>4</v>
          </cell>
          <cell r="C4939" t="str">
            <v>STF GROUP S.A.</v>
          </cell>
          <cell r="D4939" t="str">
            <v>6850000</v>
          </cell>
          <cell r="E4939" t="str">
            <v>radicacionfacturas@studiof.com.co</v>
          </cell>
          <cell r="F4939" t="str">
            <v>CARRERA 7  52 N  99</v>
          </cell>
          <cell r="G4939">
            <v>76001</v>
          </cell>
        </row>
        <row r="4940">
          <cell r="A4940" t="str">
            <v>805005143</v>
          </cell>
          <cell r="B4940" t="str">
            <v>8</v>
          </cell>
          <cell r="C4940" t="str">
            <v>CENTRO MEDICO FARALLONES</v>
          </cell>
          <cell r="D4940" t="str">
            <v>4878040</v>
          </cell>
          <cell r="E4940" t="str">
            <v>contabilidad@cmfarallones.com</v>
          </cell>
          <cell r="F4940" t="str">
            <v>CALLE 9 C  50  25</v>
          </cell>
          <cell r="G4940">
            <v>76001</v>
          </cell>
        </row>
        <row r="4941">
          <cell r="A4941" t="str">
            <v>805006582</v>
          </cell>
          <cell r="B4941" t="str">
            <v>2</v>
          </cell>
          <cell r="C4941" t="str">
            <v>CONJUNTO RESIDENCIAL PONTEVEDRA</v>
          </cell>
          <cell r="D4941" t="str">
            <v>3308584</v>
          </cell>
          <cell r="E4941" t="str">
            <v>adm.cr.pontevedra@gmail.com</v>
          </cell>
          <cell r="F4941" t="str">
            <v>CARRERA 72  13 A  56</v>
          </cell>
          <cell r="G4941">
            <v>76001</v>
          </cell>
        </row>
        <row r="4942">
          <cell r="A4942" t="str">
            <v>805008394</v>
          </cell>
          <cell r="B4942" t="str">
            <v>3</v>
          </cell>
          <cell r="C4942" t="str">
            <v>EDIFICIO CLINICA COLSANITAS Y CONSULTORIOS PROPIEDAD HORIZONTAL</v>
          </cell>
          <cell r="D4942" t="str">
            <v>6670133</v>
          </cell>
          <cell r="E4942" t="str">
            <v>edclinicacolsanitas@hotmail.com</v>
          </cell>
          <cell r="F4942" t="str">
            <v>AVENIDA 4 N  7 N  53</v>
          </cell>
          <cell r="G4942">
            <v>76001</v>
          </cell>
        </row>
        <row r="4943">
          <cell r="A4943" t="str">
            <v>805008738</v>
          </cell>
          <cell r="B4943" t="str">
            <v>3</v>
          </cell>
          <cell r="C4943" t="str">
            <v>EDIFICIO CENTRO DE EMPRESAS Y NEGOCIOS</v>
          </cell>
          <cell r="D4943" t="str">
            <v>4898869</v>
          </cell>
          <cell r="E4943" t="str">
            <v>805008738@recepciondefacturas.co</v>
          </cell>
          <cell r="F4943" t="str">
            <v>CARRERA 3 A  51  24 OESTE</v>
          </cell>
          <cell r="G4943">
            <v>76001</v>
          </cell>
        </row>
        <row r="4944">
          <cell r="A4944" t="str">
            <v>805009186</v>
          </cell>
          <cell r="B4944" t="str">
            <v>2</v>
          </cell>
          <cell r="C4944" t="str">
            <v>EDIFICIO RETIRO DE SANTA TERESITA</v>
          </cell>
          <cell r="D4944" t="str">
            <v>8935593</v>
          </cell>
          <cell r="E4944" t="str">
            <v>facturacion@estiloingenieria.com</v>
          </cell>
          <cell r="F4944" t="str">
            <v>CR 2 OESTE 10 20</v>
          </cell>
          <cell r="G4944">
            <v>76001</v>
          </cell>
        </row>
        <row r="4945">
          <cell r="A4945" t="str">
            <v>805011625</v>
          </cell>
          <cell r="B4945" t="str">
            <v>0</v>
          </cell>
          <cell r="C4945" t="str">
            <v>EDIFICIO LADERA</v>
          </cell>
          <cell r="D4945" t="str">
            <v>3046537</v>
          </cell>
          <cell r="E4945" t="str">
            <v>e.morris7@hotmail.com</v>
          </cell>
          <cell r="F4945" t="str">
            <v>CALLE 31  6 BIS  32  OFICINA 504</v>
          </cell>
          <cell r="G4945">
            <v>76001</v>
          </cell>
        </row>
        <row r="4946">
          <cell r="A4946" t="str">
            <v>805011901</v>
          </cell>
          <cell r="B4946" t="str">
            <v>9</v>
          </cell>
          <cell r="C4946" t="str">
            <v>LASKIN S.A.</v>
          </cell>
          <cell r="D4946" t="str">
            <v>5146018</v>
          </cell>
          <cell r="E4946" t="str">
            <v>facturacion@laskin.com.co</v>
          </cell>
          <cell r="F4946" t="str">
            <v>CARRERA 39  5 A  91</v>
          </cell>
          <cell r="G4946">
            <v>76001</v>
          </cell>
        </row>
        <row r="4947">
          <cell r="A4947" t="str">
            <v>805013649</v>
          </cell>
          <cell r="B4947" t="str">
            <v>6</v>
          </cell>
          <cell r="C4947" t="str">
            <v>EDIFICIO ALCARABAN</v>
          </cell>
          <cell r="D4947" t="str">
            <v>6601305</v>
          </cell>
          <cell r="E4947" t="str">
            <v>facturacion@estiloingenieria.com</v>
          </cell>
          <cell r="F4947" t="str">
            <v>CALLE 5 N  1  74</v>
          </cell>
          <cell r="G4947">
            <v>76001</v>
          </cell>
        </row>
        <row r="4948">
          <cell r="A4948" t="str">
            <v>805016765</v>
          </cell>
          <cell r="B4948" t="str">
            <v>6</v>
          </cell>
          <cell r="C4948" t="str">
            <v>EDIFICIO PEÑON DE ANTAÑO</v>
          </cell>
          <cell r="D4948" t="str">
            <v>8933384</v>
          </cell>
          <cell r="E4948" t="str">
            <v>antano18@yahoo.com</v>
          </cell>
          <cell r="F4948" t="str">
            <v>CARRERA 2 ESTE  2  02</v>
          </cell>
          <cell r="G4948">
            <v>76001</v>
          </cell>
        </row>
        <row r="4949">
          <cell r="A4949" t="str">
            <v>805018153</v>
          </cell>
          <cell r="B4949" t="str">
            <v>8</v>
          </cell>
          <cell r="C4949" t="str">
            <v>JUAN CARLOS PEREZ R. MULTICARGO S.A.S.</v>
          </cell>
          <cell r="D4949" t="str">
            <v>3301939</v>
          </cell>
          <cell r="E4949" t="str">
            <v>pruizllanos@hotmail.com</v>
          </cell>
          <cell r="F4949" t="str">
            <v>CARRERA 6  16  17  OFICINA 201</v>
          </cell>
          <cell r="G4949">
            <v>76001</v>
          </cell>
        </row>
        <row r="4950">
          <cell r="A4950" t="str">
            <v>805018997</v>
          </cell>
          <cell r="B4950" t="str">
            <v>7</v>
          </cell>
          <cell r="C4950" t="str">
            <v>EDIFICIO CORBARAQUE PROPIEDAD HORIZONTAL</v>
          </cell>
          <cell r="D4950" t="str">
            <v>8932212</v>
          </cell>
          <cell r="E4950" t="str">
            <v>edf.corbaraque@gmail.com</v>
          </cell>
          <cell r="F4950" t="str">
            <v>CALLE 7 OESTE  6  59</v>
          </cell>
          <cell r="G4950">
            <v>76001</v>
          </cell>
        </row>
        <row r="4951">
          <cell r="A4951" t="str">
            <v>805019832</v>
          </cell>
          <cell r="B4951" t="str">
            <v>5</v>
          </cell>
          <cell r="C4951" t="str">
            <v>ASOCIACION DE DISCAPACITADOS DEL VALLE</v>
          </cell>
          <cell r="D4951" t="str">
            <v>3185157316</v>
          </cell>
          <cell r="E4951" t="str">
            <v>ASODISVALLE@HOTMAIL.COM</v>
          </cell>
          <cell r="F4951" t="str">
            <v>DG 71 A 1 26 I 68 BRR RICARDO BALCAZAR</v>
          </cell>
          <cell r="G4951">
            <v>76001</v>
          </cell>
        </row>
        <row r="4952">
          <cell r="A4952" t="str">
            <v>805024493</v>
          </cell>
          <cell r="B4952" t="str">
            <v>1</v>
          </cell>
          <cell r="C4952" t="str">
            <v>AVENTURA PLAZA S.A.S</v>
          </cell>
          <cell r="D4952" t="str">
            <v>3323982</v>
          </cell>
          <cell r="E4952" t="str">
            <v>805024493@recepciondefacturas.co</v>
          </cell>
          <cell r="F4952" t="str">
            <v>CR 100 15 A 61 TO A P 5 OF 500</v>
          </cell>
          <cell r="G4952">
            <v>76001</v>
          </cell>
        </row>
        <row r="4953">
          <cell r="A4953" t="str">
            <v>805027653</v>
          </cell>
          <cell r="B4953" t="str">
            <v>7</v>
          </cell>
          <cell r="C4953" t="str">
            <v>EL TEMPLO DE LA MODA S.A.S.</v>
          </cell>
          <cell r="D4953" t="str">
            <v>5246690</v>
          </cell>
          <cell r="E4953" t="str">
            <v>contabilidad@eltemplodelamoda.com.co</v>
          </cell>
          <cell r="F4953" t="str">
            <v>CALLE 14  6  71</v>
          </cell>
          <cell r="G4953">
            <v>76001</v>
          </cell>
        </row>
        <row r="4954">
          <cell r="A4954" t="str">
            <v>805028041</v>
          </cell>
          <cell r="B4954" t="str">
            <v>4</v>
          </cell>
          <cell r="C4954" t="str">
            <v>SUPERTIENDAS CAÑAVERAL S.A.S.</v>
          </cell>
          <cell r="D4954">
            <v>3219664011</v>
          </cell>
          <cell r="E4954" t="str">
            <v>recepcion.feacreedores@supertiendascanaveral.com</v>
          </cell>
          <cell r="F4954" t="str">
            <v>CARRERA 56  18 A  80  LOCAL 10</v>
          </cell>
          <cell r="G4954">
            <v>76001</v>
          </cell>
        </row>
        <row r="4955">
          <cell r="A4955" t="str">
            <v>805028447</v>
          </cell>
          <cell r="B4955" t="str">
            <v>0</v>
          </cell>
          <cell r="C4955" t="str">
            <v>HOTEL VIZCAYA REAL S.A.</v>
          </cell>
          <cell r="D4955" t="str">
            <v>6831000</v>
          </cell>
          <cell r="E4955" t="str">
            <v>805028447@factureinbox.co</v>
          </cell>
          <cell r="F4955" t="str">
            <v>CALLE 20 N  5 A  16</v>
          </cell>
          <cell r="G4955">
            <v>76001</v>
          </cell>
        </row>
        <row r="4956">
          <cell r="A4956" t="str">
            <v>805030587</v>
          </cell>
          <cell r="B4956" t="str">
            <v>1</v>
          </cell>
          <cell r="C4956" t="str">
            <v>CENTRAL CONTROL S.A.S</v>
          </cell>
          <cell r="D4956" t="str">
            <v>4861912</v>
          </cell>
          <cell r="E4956" t="str">
            <v>facturacion@jardinplaza.com</v>
          </cell>
          <cell r="F4956" t="str">
            <v>CARRERA 98  16  200</v>
          </cell>
          <cell r="G4956">
            <v>76001</v>
          </cell>
        </row>
        <row r="4957">
          <cell r="A4957" t="str">
            <v>805031063</v>
          </cell>
          <cell r="B4957" t="str">
            <v>7</v>
          </cell>
          <cell r="C4957" t="str">
            <v>EDIFICIO CENTRO VERSALLES PROPIEDAD HORIZONTAL</v>
          </cell>
          <cell r="D4957" t="str">
            <v>6536901</v>
          </cell>
          <cell r="E4957" t="str">
            <v>edificiocentroversalles2122@gmail.com</v>
          </cell>
          <cell r="F4957" t="str">
            <v>AVENIDA 5  NORTE 21 N  22 24</v>
          </cell>
          <cell r="G4957">
            <v>76001</v>
          </cell>
        </row>
        <row r="4958">
          <cell r="A4958" t="str">
            <v>806000591</v>
          </cell>
          <cell r="B4958" t="str">
            <v>5</v>
          </cell>
          <cell r="C4958" t="str">
            <v>ACCORHOTELS COLOMBIA S A</v>
          </cell>
          <cell r="D4958" t="str">
            <v>6363633</v>
          </cell>
          <cell r="E4958" t="str">
            <v>facturacion@estiloingenieria.com</v>
          </cell>
          <cell r="F4958" t="str">
            <v>CR 12A 83 75 OF 502</v>
          </cell>
          <cell r="G4958">
            <v>76001</v>
          </cell>
        </row>
        <row r="4959">
          <cell r="A4959" t="str">
            <v>830023202</v>
          </cell>
          <cell r="B4959" t="str">
            <v>1</v>
          </cell>
          <cell r="C4959" t="str">
            <v>COSMITET LTDA CORPORACION DE SERVICIOS MEDICOS INTERNANCIONALES THEM Y CIA LTDA</v>
          </cell>
          <cell r="D4959" t="str">
            <v>5185000</v>
          </cell>
          <cell r="E4959" t="str">
            <v>facturacion_electronica@cosmitet.net</v>
          </cell>
          <cell r="F4959" t="str">
            <v>CL 64 G 88 A 88</v>
          </cell>
          <cell r="G4959">
            <v>76001</v>
          </cell>
        </row>
        <row r="4960">
          <cell r="A4960" t="str">
            <v>860002130</v>
          </cell>
          <cell r="B4960" t="str">
            <v>9</v>
          </cell>
          <cell r="C4960" t="str">
            <v>NESTLE DE COLOMBIA SA</v>
          </cell>
          <cell r="D4960" t="str">
            <v>2236060</v>
          </cell>
          <cell r="E4960" t="str">
            <v>proveedores.electronicos@co.nestle.com</v>
          </cell>
          <cell r="F4960" t="str">
            <v>DIAGONAL 92  17 A  42</v>
          </cell>
          <cell r="G4960">
            <v>76001</v>
          </cell>
        </row>
        <row r="4961">
          <cell r="A4961" t="str">
            <v>860005216</v>
          </cell>
          <cell r="B4961" t="str">
            <v>7</v>
          </cell>
          <cell r="C4961" t="str">
            <v>BANCO DE LA REPUBLICA</v>
          </cell>
          <cell r="D4961" t="str">
            <v>6847772</v>
          </cell>
          <cell r="E4961" t="str">
            <v>dcin-facturacionelectronica@banrep.gov.co</v>
          </cell>
          <cell r="F4961" t="str">
            <v>CARRERA 4  7  14</v>
          </cell>
          <cell r="G4961">
            <v>76001</v>
          </cell>
        </row>
        <row r="4962">
          <cell r="A4962" t="str">
            <v>860006797</v>
          </cell>
          <cell r="B4962" t="str">
            <v>9</v>
          </cell>
          <cell r="C4962" t="str">
            <v>BANCO UNION S.A.</v>
          </cell>
          <cell r="D4962" t="str">
            <v>5575780</v>
          </cell>
          <cell r="E4962" t="str">
            <v>860006797@recepciondefacturas.co</v>
          </cell>
          <cell r="F4962" t="str">
            <v>CL 4 27 52 BRR SAN FERNANDO</v>
          </cell>
          <cell r="G4962">
            <v>76001</v>
          </cell>
        </row>
        <row r="4963">
          <cell r="A4963" t="str">
            <v>860029924</v>
          </cell>
          <cell r="B4963" t="str">
            <v>7</v>
          </cell>
          <cell r="C4963" t="str">
            <v>UNIVERSIDAD COOPERATIVA DE COLOMBIA</v>
          </cell>
          <cell r="D4963" t="str">
            <v>3112781877</v>
          </cell>
          <cell r="E4963" t="str">
            <v>facturacion@estiloingenieria.com</v>
          </cell>
          <cell r="F4963" t="str">
            <v>Avenida Caracas No. 37 63</v>
          </cell>
          <cell r="G4963">
            <v>76001</v>
          </cell>
        </row>
        <row r="4964">
          <cell r="A4964" t="str">
            <v>860037900</v>
          </cell>
          <cell r="B4964" t="str">
            <v>4</v>
          </cell>
          <cell r="C4964" t="str">
            <v>CONSTRUCTORA BOLIVAR CALI S.A.</v>
          </cell>
          <cell r="D4964" t="str">
            <v>8231214</v>
          </cell>
          <cell r="E4964" t="str">
            <v>facturacion@cbolivar.com</v>
          </cell>
          <cell r="F4964" t="str">
            <v>AVENIDA 7 NORTE  23 N  74</v>
          </cell>
          <cell r="G4964">
            <v>76001</v>
          </cell>
        </row>
        <row r="4965">
          <cell r="A4965" t="str">
            <v>890300513</v>
          </cell>
          <cell r="B4965" t="str">
            <v>3</v>
          </cell>
          <cell r="C4965" t="str">
            <v>CLINICA DE OCCIDENTE S.A.</v>
          </cell>
          <cell r="D4965" t="str">
            <v>6603000</v>
          </cell>
          <cell r="E4965" t="str">
            <v>recepcion.facturas@cdo-sa.com</v>
          </cell>
          <cell r="F4965" t="str">
            <v>CALLE 18 NORTE  5  34</v>
          </cell>
          <cell r="G4965">
            <v>76001</v>
          </cell>
        </row>
        <row r="4966">
          <cell r="A4966" t="str">
            <v>890301544</v>
          </cell>
          <cell r="B4966" t="str">
            <v>6</v>
          </cell>
          <cell r="C4966" t="str">
            <v>SOCIEDAD HEBREA DE SOCORROS</v>
          </cell>
          <cell r="D4966" t="str">
            <v>6688518</v>
          </cell>
          <cell r="E4966" t="str">
            <v>contabilidad@sociedadhebrea.com</v>
          </cell>
          <cell r="F4966" t="str">
            <v>AV 9 A NORTE 10-15</v>
          </cell>
          <cell r="G4966">
            <v>76001</v>
          </cell>
        </row>
        <row r="4967">
          <cell r="A4967" t="str">
            <v>890302629</v>
          </cell>
          <cell r="B4967" t="str">
            <v>8</v>
          </cell>
          <cell r="C4967" t="str">
            <v>CONSTRUCTORA MELENDEZ S.A.</v>
          </cell>
          <cell r="D4967" t="str">
            <v>3180505</v>
          </cell>
          <cell r="E4967" t="str">
            <v>facturaelectronica@constructoramelendez.com</v>
          </cell>
          <cell r="F4967" t="str">
            <v>CL 50 101 31</v>
          </cell>
          <cell r="G4967">
            <v>76001</v>
          </cell>
        </row>
        <row r="4968">
          <cell r="A4968" t="str">
            <v>890303093</v>
          </cell>
          <cell r="B4968" t="str">
            <v>5</v>
          </cell>
          <cell r="C4968" t="str">
            <v>CAJA DE COMPENSACION FAMILIAR DEL VALLE DEL CAUCA - COMFENALCO VALLE DELAGENTE</v>
          </cell>
          <cell r="D4968" t="str">
            <v>8862727</v>
          </cell>
          <cell r="E4968" t="str">
            <v>890303093@factureinbox.co</v>
          </cell>
          <cell r="F4968" t="str">
            <v>CALLE 5  6  63</v>
          </cell>
          <cell r="G4968">
            <v>76001</v>
          </cell>
        </row>
        <row r="4969">
          <cell r="A4969" t="str">
            <v>890303208</v>
          </cell>
          <cell r="B4969" t="str">
            <v>5</v>
          </cell>
          <cell r="C4969" t="str">
            <v>CAJA DE COMPENSACION FAMILIAR DEL VALLE DEL CAUCA - COMFAMILIAR ANDI - COMFANDI</v>
          </cell>
          <cell r="D4969" t="str">
            <v>8982121</v>
          </cell>
          <cell r="E4969" t="str">
            <v>recepcionfacturaelectronica@comfandi.com.co</v>
          </cell>
          <cell r="F4969" t="str">
            <v>CARRERA 23  26 B  46 PISO 9</v>
          </cell>
          <cell r="G4969">
            <v>76001</v>
          </cell>
        </row>
        <row r="4970">
          <cell r="A4970" t="str">
            <v>890303395</v>
          </cell>
          <cell r="B4970" t="str">
            <v>4</v>
          </cell>
          <cell r="C4970" t="str">
            <v>INSTITUTO PARA NIÑOS CIEGOS Y SORDOS DEL VALLE DEL CAUCA</v>
          </cell>
          <cell r="D4970" t="str">
            <v>5574038</v>
          </cell>
          <cell r="E4970" t="str">
            <v>institutocys@intitutociegosysordos.org.co</v>
          </cell>
          <cell r="F4970" t="str">
            <v>CARRERA 52  37 A  50</v>
          </cell>
          <cell r="G4970">
            <v>76001</v>
          </cell>
        </row>
        <row r="4971">
          <cell r="A4971" t="str">
            <v>890307200</v>
          </cell>
          <cell r="B4971" t="str">
            <v>5</v>
          </cell>
          <cell r="C4971" t="str">
            <v>CLINICA IMBANACO SAS</v>
          </cell>
          <cell r="D4971" t="str">
            <v>5186000</v>
          </cell>
          <cell r="E4971" t="str">
            <v>factelectronica.imb@quironsalud.com</v>
          </cell>
          <cell r="F4971" t="str">
            <v>CALLE 5  38  62</v>
          </cell>
          <cell r="G4971">
            <v>76001</v>
          </cell>
        </row>
        <row r="4972">
          <cell r="A4972" t="str">
            <v>890307250</v>
          </cell>
          <cell r="B4972" t="str">
            <v>3</v>
          </cell>
          <cell r="C4972" t="str">
            <v>EDIFICIO CARVAJAL-PROPIEDAD HORIZONTAL</v>
          </cell>
          <cell r="D4972" t="str">
            <v>3003828526</v>
          </cell>
          <cell r="E4972" t="str">
            <v>contabilidad@edificiocarvajal.com</v>
          </cell>
          <cell r="F4972" t="str">
            <v>CALLE 13  4  25</v>
          </cell>
          <cell r="G4972">
            <v>76001</v>
          </cell>
        </row>
        <row r="4973">
          <cell r="A4973" t="str">
            <v>890312688</v>
          </cell>
          <cell r="B4973" t="str">
            <v>5</v>
          </cell>
          <cell r="C4973" t="str">
            <v>EDIFICADORA CONTINENTAL S.A.S</v>
          </cell>
          <cell r="D4973">
            <v>3219664011</v>
          </cell>
          <cell r="E4973" t="str">
            <v>890312688@factureinbox.co</v>
          </cell>
          <cell r="F4973" t="str">
            <v>AVENIDA COLOMBIA  1  40</v>
          </cell>
          <cell r="G4973">
            <v>76001</v>
          </cell>
        </row>
        <row r="4974">
          <cell r="A4974" t="str">
            <v>890312706</v>
          </cell>
          <cell r="B4974" t="str">
            <v>1</v>
          </cell>
          <cell r="C4974" t="str">
            <v>EDIFICIO EDMOND ZACCOUR PROPIEDAD HORIZONTAL</v>
          </cell>
          <cell r="D4974" t="str">
            <v>3006624516</v>
          </cell>
          <cell r="E4974" t="str">
            <v>edmondzaccour@gmail.com</v>
          </cell>
          <cell r="F4974" t="str">
            <v>CR 3 11 32 OF 338 ED EDMOND ZACCOUR PH</v>
          </cell>
          <cell r="G4974">
            <v>76001</v>
          </cell>
        </row>
        <row r="4975">
          <cell r="A4975" t="str">
            <v>890316660</v>
          </cell>
          <cell r="B4975" t="str">
            <v>8</v>
          </cell>
          <cell r="C4975" t="str">
            <v>VALENCIA Y SOTO S.A.</v>
          </cell>
          <cell r="D4975" t="str">
            <v>4855331</v>
          </cell>
          <cell r="E4975" t="str">
            <v>contabilidad1@karenspizza.com</v>
          </cell>
          <cell r="F4975" t="str">
            <v>CALLE 9  62 C  06</v>
          </cell>
          <cell r="G4975">
            <v>76001</v>
          </cell>
        </row>
        <row r="4976">
          <cell r="A4976" t="str">
            <v>890316745</v>
          </cell>
          <cell r="B4976" t="str">
            <v>5</v>
          </cell>
          <cell r="C4976" t="str">
            <v>UNIVERSIDAD ICESI</v>
          </cell>
          <cell r="D4976" t="str">
            <v>3212009</v>
          </cell>
          <cell r="E4976" t="str">
            <v>facturaeclientes@icesi.edu.co</v>
          </cell>
          <cell r="F4976" t="str">
            <v>CALLE 18  122  135</v>
          </cell>
          <cell r="G4976">
            <v>76001</v>
          </cell>
        </row>
        <row r="4977">
          <cell r="A4977" t="str">
            <v>890321156</v>
          </cell>
          <cell r="B4977" t="str">
            <v>7</v>
          </cell>
          <cell r="C4977" t="str">
            <v>CIUDADELA COMERCIAL UNICENTRO CALI - PROPIEDAD HORIZONTAL</v>
          </cell>
          <cell r="D4977" t="str">
            <v>3396626</v>
          </cell>
          <cell r="E4977" t="str">
            <v>facturacionelectronica@unicentro.com</v>
          </cell>
          <cell r="F4977" t="str">
            <v>CARRERA 100  5  169</v>
          </cell>
          <cell r="G4977">
            <v>76001</v>
          </cell>
        </row>
        <row r="4978">
          <cell r="A4978" t="str">
            <v>890323239</v>
          </cell>
          <cell r="B4978" t="str">
            <v>9</v>
          </cell>
          <cell r="C4978" t="str">
            <v>SUMMAR TEMPORALES S.A.S.</v>
          </cell>
          <cell r="D4978" t="str">
            <v>6856700</v>
          </cell>
          <cell r="E4978" t="str">
            <v>reciboFE.temporales@summar.com.co</v>
          </cell>
          <cell r="F4978" t="str">
            <v>CALLE 17 NORTE  4 N  29</v>
          </cell>
          <cell r="G4978">
            <v>76001</v>
          </cell>
        </row>
        <row r="4979">
          <cell r="A4979" t="str">
            <v>890324177</v>
          </cell>
          <cell r="B4979" t="str">
            <v>5</v>
          </cell>
          <cell r="C4979" t="str">
            <v>FUNDACION VALLE DEL LILI</v>
          </cell>
          <cell r="D4979" t="str">
            <v>3319090</v>
          </cell>
          <cell r="E4979" t="str">
            <v>factura_electronica@fvl.org.co</v>
          </cell>
          <cell r="F4979" t="str">
            <v>CR 98 18 49</v>
          </cell>
          <cell r="G4979">
            <v>76001</v>
          </cell>
        </row>
        <row r="4980">
          <cell r="A4980" t="str">
            <v>890325802</v>
          </cell>
          <cell r="B4980" t="str">
            <v>5</v>
          </cell>
          <cell r="C4980" t="str">
            <v>EDIFICIO SALAMANCA</v>
          </cell>
          <cell r="D4980" t="str">
            <v>3186966018</v>
          </cell>
          <cell r="E4980" t="str">
            <v>facturaspactoinmobiliario@gmail.com</v>
          </cell>
          <cell r="F4980" t="str">
            <v>CARRERA 2 OESTE  11  05</v>
          </cell>
          <cell r="G4980">
            <v>76001</v>
          </cell>
        </row>
        <row r="4981">
          <cell r="A4981" t="str">
            <v>890332766</v>
          </cell>
          <cell r="B4981" t="str">
            <v>7</v>
          </cell>
          <cell r="C4981" t="str">
            <v>EDIFICIO CENTRO MEDICO SAN JOSE - PROPIEDAD HORIZONTAL</v>
          </cell>
          <cell r="D4981" t="str">
            <v>5141572</v>
          </cell>
          <cell r="E4981" t="str">
            <v>admoncmsanjoseph@gmail.com</v>
          </cell>
          <cell r="F4981" t="str">
            <v>CL 7  29   55</v>
          </cell>
          <cell r="G4981">
            <v>76001</v>
          </cell>
        </row>
        <row r="4982">
          <cell r="A4982" t="str">
            <v>891300237</v>
          </cell>
          <cell r="B4982" t="str">
            <v>9</v>
          </cell>
          <cell r="C4982" t="str">
            <v>INGENIO DEL CAUCA S.A.S</v>
          </cell>
          <cell r="D4982" t="str">
            <v>4183000</v>
          </cell>
          <cell r="E4982" t="str">
            <v>facturaelectronica@incauca.com</v>
          </cell>
          <cell r="F4982" t="str">
            <v>CARRERA 9  28  103</v>
          </cell>
          <cell r="G4982">
            <v>76001</v>
          </cell>
        </row>
        <row r="4983">
          <cell r="A4983" t="str">
            <v>891500182</v>
          </cell>
          <cell r="B4983" t="str">
            <v>0</v>
          </cell>
          <cell r="C4983" t="str">
            <v>CAJA DE COMPENSACION FAMILIAR DEL CAUCA</v>
          </cell>
          <cell r="D4983" t="str">
            <v>8231868</v>
          </cell>
          <cell r="E4983" t="str">
            <v>fraelectronicarecibida@comfacauca.com</v>
          </cell>
          <cell r="F4983" t="str">
            <v>CALLE 2 NORTE  6A  54</v>
          </cell>
          <cell r="G4983">
            <v>76001</v>
          </cell>
        </row>
        <row r="4984">
          <cell r="A4984" t="str">
            <v>891501133</v>
          </cell>
          <cell r="B4984" t="str">
            <v>4</v>
          </cell>
          <cell r="C4984" t="str">
            <v>INGENIO LA CABAÑA S.A.</v>
          </cell>
          <cell r="D4984">
            <v>3219664011</v>
          </cell>
          <cell r="E4984" t="str">
            <v>recepcion.facturas@ingeniolacabana.com</v>
          </cell>
          <cell r="F4984" t="str">
            <v>CALLE 23 NORTE  4 N  50  PISO 8</v>
          </cell>
          <cell r="G4984">
            <v>76001</v>
          </cell>
        </row>
        <row r="4985">
          <cell r="A4985" t="str">
            <v>900017447</v>
          </cell>
          <cell r="B4985" t="str">
            <v>8</v>
          </cell>
          <cell r="C4985" t="str">
            <v>FALABELLA DE COLOMBIA S A</v>
          </cell>
          <cell r="D4985" t="str">
            <v>3133988786</v>
          </cell>
          <cell r="E4985" t="str">
            <v>dte_9000174478@dte.paperless.com.co</v>
          </cell>
          <cell r="F4985" t="str">
            <v>CALLE 99 No. 11 A – 32 BOGOTÁ D.C</v>
          </cell>
          <cell r="G4985">
            <v>76001</v>
          </cell>
        </row>
        <row r="4986">
          <cell r="A4986" t="str">
            <v>900096048</v>
          </cell>
          <cell r="B4986" t="str">
            <v>1</v>
          </cell>
          <cell r="C4986" t="str">
            <v>OCHS SAS CHEMICAL PRODUCTS</v>
          </cell>
          <cell r="D4986" t="str">
            <v>8912370</v>
          </cell>
          <cell r="E4986" t="str">
            <v>recepcionfacturas@ochschemical.com</v>
          </cell>
          <cell r="F4986" t="str">
            <v>CL 16 A 121 A 214 OF 407</v>
          </cell>
          <cell r="G4986">
            <v>76001</v>
          </cell>
        </row>
        <row r="4987">
          <cell r="A4987" t="str">
            <v>900106364</v>
          </cell>
          <cell r="B4987" t="str">
            <v>7</v>
          </cell>
          <cell r="C4987" t="str">
            <v>TELECENTER PANAMERICANA LTDA</v>
          </cell>
          <cell r="D4987" t="str">
            <v>4897777</v>
          </cell>
          <cell r="E4987" t="str">
            <v>centroradicacionfacturas@directvla.com.co</v>
          </cell>
          <cell r="F4987" t="str">
            <v>CALLE 67 N  7 N  59</v>
          </cell>
          <cell r="G4987">
            <v>76001</v>
          </cell>
        </row>
        <row r="4988">
          <cell r="A4988" t="str">
            <v>900123408</v>
          </cell>
          <cell r="B4988" t="str">
            <v>4</v>
          </cell>
          <cell r="C4988" t="str">
            <v>COMPAÑIA DE INVERSIONES TEXTILES DE MODA S.A.S. - TEXMODA S.A.S</v>
          </cell>
          <cell r="D4988" t="str">
            <v>6672200</v>
          </cell>
          <cell r="E4988" t="str">
            <v>facturacion.electronica@texmoda.com.co</v>
          </cell>
          <cell r="F4988" t="str">
            <v>VEREDA FUSCA AUTOPISTA NORTE KILOMETRO 21</v>
          </cell>
          <cell r="G4988">
            <v>76001</v>
          </cell>
        </row>
        <row r="4989">
          <cell r="A4989" t="str">
            <v>900127767</v>
          </cell>
          <cell r="B4989" t="str">
            <v>1</v>
          </cell>
          <cell r="C4989" t="str">
            <v>CONJUNTO RESIDENCIAL SANTA MARIA DE LOS FARALLONES II PROPIEDAD HORIZONTAL</v>
          </cell>
          <cell r="D4989" t="str">
            <v>6673333</v>
          </cell>
          <cell r="E4989" t="str">
            <v>facturacion@estiloingenieria.com</v>
          </cell>
          <cell r="F4989" t="str">
            <v>CARRERA 37  1  25</v>
          </cell>
          <cell r="G4989">
            <v>76001</v>
          </cell>
        </row>
        <row r="4990">
          <cell r="A4990" t="str">
            <v>900140743</v>
          </cell>
          <cell r="B4990" t="str">
            <v>9</v>
          </cell>
          <cell r="C4990" t="str">
            <v>CONJUNTO RESIDENCIAL COLORES DE SANTA SOFIA</v>
          </cell>
          <cell r="D4990" t="str">
            <v>3126220</v>
          </cell>
          <cell r="E4990" t="str">
            <v>crcolores@hotmail.com</v>
          </cell>
          <cell r="F4990" t="str">
            <v>CARRERA 85 D  48  56</v>
          </cell>
          <cell r="G4990">
            <v>76001</v>
          </cell>
        </row>
        <row r="4991">
          <cell r="A4991" t="str">
            <v>900146389</v>
          </cell>
          <cell r="B4991" t="str">
            <v>1</v>
          </cell>
          <cell r="C4991" t="str">
            <v>CONJUNTO RESIDENCIAL TORRES DEL ALFEREZ I - PROPIEDAD HORIZONTAL</v>
          </cell>
          <cell r="D4991" t="str">
            <v>5558316</v>
          </cell>
          <cell r="E4991" t="str">
            <v>torresdelalferez1@gmail.com</v>
          </cell>
          <cell r="F4991" t="str">
            <v>CARRERA 116  18  15</v>
          </cell>
          <cell r="G4991">
            <v>76001</v>
          </cell>
        </row>
        <row r="4992">
          <cell r="A4992" t="str">
            <v>900149832</v>
          </cell>
          <cell r="B4992" t="str">
            <v>7</v>
          </cell>
          <cell r="C4992" t="str">
            <v>EDIFICIO MULTIFAMILIAR SAMANES DE LA MARTINA</v>
          </cell>
          <cell r="D4992" t="str">
            <v>3397547</v>
          </cell>
          <cell r="E4992" t="str">
            <v>edsamanesdelamartina@gmail.com</v>
          </cell>
          <cell r="F4992" t="str">
            <v>CALLE 13 B  70  105</v>
          </cell>
          <cell r="G4992">
            <v>76001</v>
          </cell>
        </row>
        <row r="4993">
          <cell r="A4993" t="str">
            <v>900167407</v>
          </cell>
          <cell r="B4993" t="str">
            <v>6</v>
          </cell>
          <cell r="C4993" t="str">
            <v>CONJUNTO RESIDENCIAL EL BOSQUE</v>
          </cell>
          <cell r="D4993" t="str">
            <v>4053840</v>
          </cell>
          <cell r="E4993" t="str">
            <v>conjuntoresidencialelbosque@gmail.com</v>
          </cell>
          <cell r="F4993" t="str">
            <v>CALLE 28  85 C  30</v>
          </cell>
          <cell r="G4993">
            <v>76001</v>
          </cell>
        </row>
        <row r="4994">
          <cell r="A4994" t="str">
            <v>900168652</v>
          </cell>
          <cell r="B4994" t="str">
            <v>9</v>
          </cell>
          <cell r="C4994" t="str">
            <v>EDIFICIO MONTICCINO PROPIEDAD HORIZONTAL</v>
          </cell>
          <cell r="D4994" t="str">
            <v>3174336777</v>
          </cell>
          <cell r="E4994" t="str">
            <v>monticcinour@gmail.com</v>
          </cell>
          <cell r="F4994" t="str">
            <v>CALLE 13 BIS OESTE  51  51</v>
          </cell>
          <cell r="G4994">
            <v>76001</v>
          </cell>
        </row>
        <row r="4995">
          <cell r="A4995" t="str">
            <v>900169905</v>
          </cell>
          <cell r="B4995" t="str">
            <v>1</v>
          </cell>
          <cell r="C4995" t="str">
            <v>EDIFICIO CAMPESTRE TOWERS - PROPIEDAD HORIZONTAL</v>
          </cell>
          <cell r="D4995" t="str">
            <v>3127593</v>
          </cell>
          <cell r="E4995" t="str">
            <v>900169905@recepciondefacturas.co</v>
          </cell>
          <cell r="F4995" t="str">
            <v>CALLE 11  100  121</v>
          </cell>
          <cell r="G4995">
            <v>76001</v>
          </cell>
        </row>
        <row r="4996">
          <cell r="A4996" t="str">
            <v>900176487</v>
          </cell>
          <cell r="B4996" t="str">
            <v>3</v>
          </cell>
          <cell r="C4996" t="str">
            <v>EDIFICIO EL CANTIL - PROPIEDAD HORIZONTAL</v>
          </cell>
          <cell r="D4996" t="str">
            <v>8932140</v>
          </cell>
          <cell r="E4996" t="str">
            <v>facturacion@estiloingenieria.com</v>
          </cell>
          <cell r="F4996" t="str">
            <v>CL 7 OESTE 3 120</v>
          </cell>
          <cell r="G4996">
            <v>76001</v>
          </cell>
        </row>
        <row r="4997">
          <cell r="A4997" t="str">
            <v>900197433</v>
          </cell>
          <cell r="B4997" t="str">
            <v>6</v>
          </cell>
          <cell r="C4997" t="str">
            <v>CONJUNTO RESIDENCIAL PASEO REAL - PROPIEDAD HORIZONTAL</v>
          </cell>
          <cell r="D4997" t="str">
            <v>6661401</v>
          </cell>
          <cell r="E4997" t="str">
            <v>paseo.real1@yahoo.com</v>
          </cell>
          <cell r="F4997" t="str">
            <v>AVENIDA 4 B N  58 N  60</v>
          </cell>
          <cell r="G4997">
            <v>76001</v>
          </cell>
        </row>
        <row r="4998">
          <cell r="A4998" t="str">
            <v>900206048</v>
          </cell>
          <cell r="B4998" t="str">
            <v>3</v>
          </cell>
          <cell r="C4998" t="str">
            <v>EDIFICIO SANTA ANITA REAL PROPIEDAD HORIZONTAL</v>
          </cell>
          <cell r="D4998" t="str">
            <v>3174325117</v>
          </cell>
          <cell r="E4998" t="str">
            <v>santaanitareal2007@gmail.com</v>
          </cell>
          <cell r="F4998" t="str">
            <v>CARRERA 53  11 A  71</v>
          </cell>
          <cell r="G4998">
            <v>76001</v>
          </cell>
        </row>
        <row r="4999">
          <cell r="A4999" t="str">
            <v>900207959</v>
          </cell>
          <cell r="B4999" t="str">
            <v>2</v>
          </cell>
          <cell r="C4999" t="str">
            <v>CONJUNTO RESIDENCIAL MIRADOR DE AVALON - PROPIEDAD HORIZONTAL</v>
          </cell>
          <cell r="D4999" t="str">
            <v>5544065</v>
          </cell>
          <cell r="E4999" t="str">
            <v>facturacion@estiloingenieria.com</v>
          </cell>
          <cell r="F4999" t="str">
            <v>CARRERA 37  1 OESTE  45</v>
          </cell>
          <cell r="G4999">
            <v>76001</v>
          </cell>
        </row>
        <row r="5000">
          <cell r="A5000" t="str">
            <v>900209545</v>
          </cell>
          <cell r="B5000" t="str">
            <v>6</v>
          </cell>
          <cell r="C5000" t="str">
            <v>CONDOMINIO LAGO CLUB - PROPIEDAD HORIZONTAL</v>
          </cell>
          <cell r="D5000" t="str">
            <v>3991337</v>
          </cell>
          <cell r="E5000" t="str">
            <v>condominiolagoclub@gmail.com</v>
          </cell>
          <cell r="F5000" t="str">
            <v>CARRERA 121  18  81</v>
          </cell>
          <cell r="G5000">
            <v>76001</v>
          </cell>
        </row>
        <row r="5001">
          <cell r="A5001" t="str">
            <v>900218930</v>
          </cell>
          <cell r="B5001" t="str">
            <v>7</v>
          </cell>
          <cell r="C5001" t="str">
            <v>CENTRO COMERCIAL SUPEROUTLET LA 80 PROPIEDAD HORIZONTAL</v>
          </cell>
          <cell r="D5001" t="str">
            <v>3155798</v>
          </cell>
          <cell r="E5001" t="str">
            <v>facturacion@aquarelacc.com</v>
          </cell>
          <cell r="F5001" t="str">
            <v>CARRERA 80  132  61</v>
          </cell>
          <cell r="G5001">
            <v>76001</v>
          </cell>
        </row>
        <row r="5002">
          <cell r="A5002" t="str">
            <v>900220909</v>
          </cell>
          <cell r="B5002" t="str">
            <v>8</v>
          </cell>
          <cell r="C5002" t="str">
            <v>CONJUNTO RESIDENCIAL MULTIFAMILIAR GUALANDAY PLAZA ETAPA I</v>
          </cell>
          <cell r="D5002" t="str">
            <v>3196558</v>
          </cell>
          <cell r="E5002" t="str">
            <v>crgualanday@gmail.com</v>
          </cell>
          <cell r="F5002" t="str">
            <v>CALLE 34  98 B  35</v>
          </cell>
          <cell r="G5002">
            <v>76001</v>
          </cell>
        </row>
        <row r="5003">
          <cell r="A5003" t="str">
            <v>900222649</v>
          </cell>
          <cell r="B5003" t="str">
            <v>7</v>
          </cell>
          <cell r="C5003" t="str">
            <v>D´CORPUS SPA S.A.S</v>
          </cell>
          <cell r="D5003">
            <v>3219664011</v>
          </cell>
          <cell r="E5003" t="str">
            <v>infospa@dcorpus.com.co</v>
          </cell>
          <cell r="F5003" t="str">
            <v>CALLE 6  36 A  41</v>
          </cell>
          <cell r="G5003">
            <v>76001</v>
          </cell>
        </row>
        <row r="5004">
          <cell r="A5004" t="str">
            <v>900228076</v>
          </cell>
          <cell r="B5004" t="str">
            <v>4</v>
          </cell>
          <cell r="C5004" t="str">
            <v>EDIFICIO CENTRO CLINICO PARQUE 103 - PROPIEDAD HORIZONTAL</v>
          </cell>
          <cell r="D5004" t="str">
            <v>3207265892</v>
          </cell>
          <cell r="E5004" t="str">
            <v>parque1103@gmail.com</v>
          </cell>
          <cell r="F5004" t="str">
            <v>CALLE 15 A  103  20</v>
          </cell>
          <cell r="G5004">
            <v>76001</v>
          </cell>
        </row>
        <row r="5005">
          <cell r="A5005" t="str">
            <v>900228549</v>
          </cell>
          <cell r="B5005" t="str">
            <v>6</v>
          </cell>
          <cell r="C5005" t="str">
            <v>EDIFICIO TERRAZAS DE PANCE</v>
          </cell>
          <cell r="D5005" t="str">
            <v>3161769</v>
          </cell>
          <cell r="E5005" t="str">
            <v>admterrazasdepance@gmail.com</v>
          </cell>
          <cell r="F5005" t="str">
            <v>CARRERA 18  125  61</v>
          </cell>
          <cell r="G5005">
            <v>76001</v>
          </cell>
        </row>
        <row r="5006">
          <cell r="A5006" t="str">
            <v>900228640</v>
          </cell>
          <cell r="B5006" t="str">
            <v>9</v>
          </cell>
          <cell r="C5006" t="str">
            <v>CONJUNTO RESIDENCIAL ALTOS DEL PARQUE - PROPIEDAD HORIZONTAL</v>
          </cell>
          <cell r="D5006" t="str">
            <v>4464623</v>
          </cell>
          <cell r="E5006" t="str">
            <v>cr.altosdelparque@hotmail.com</v>
          </cell>
          <cell r="F5006" t="str">
            <v>CALLE 66  1  30</v>
          </cell>
          <cell r="G5006">
            <v>76001</v>
          </cell>
        </row>
        <row r="5007">
          <cell r="A5007" t="str">
            <v>900230163</v>
          </cell>
          <cell r="B5007" t="str">
            <v>3</v>
          </cell>
          <cell r="C5007" t="str">
            <v>CONJUNTO RESIDENCIAL PORTAL DE LA QUEBRADA PROPIEDAD HORIZONTAL</v>
          </cell>
          <cell r="D5007" t="str">
            <v>8931628</v>
          </cell>
          <cell r="E5007" t="str">
            <v>portaldelaquebrada@gmail.com</v>
          </cell>
          <cell r="F5007" t="str">
            <v>CALLE 18  7 N  17</v>
          </cell>
          <cell r="G5007">
            <v>76001</v>
          </cell>
        </row>
        <row r="5008">
          <cell r="A5008" t="str">
            <v>900233051</v>
          </cell>
          <cell r="B5008" t="str">
            <v>0</v>
          </cell>
          <cell r="C5008" t="str">
            <v>EDIFICIO RINCON DEL PARQUE TORRE B PROPIEDAD HORIZONTAL</v>
          </cell>
          <cell r="D5008" t="str">
            <v>6659756</v>
          </cell>
          <cell r="E5008" t="str">
            <v>rincondelparqueb@gmail.com</v>
          </cell>
          <cell r="F5008" t="str">
            <v>AVENIDA 3 F  59 NORTE  15</v>
          </cell>
          <cell r="G5008">
            <v>76001</v>
          </cell>
        </row>
        <row r="5009">
          <cell r="A5009" t="str">
            <v>900233215</v>
          </cell>
          <cell r="B5009" t="str">
            <v>1</v>
          </cell>
          <cell r="C5009" t="str">
            <v>CONJUNTO RESIDENCIAL KIMBAYA PROPIEDAD HORIZONTAL</v>
          </cell>
          <cell r="D5009" t="str">
            <v>5136935</v>
          </cell>
          <cell r="E5009" t="str">
            <v>leadmon@hotmail.com</v>
          </cell>
          <cell r="F5009" t="str">
            <v>CARRERA 61  92  30</v>
          </cell>
          <cell r="G5009">
            <v>76001</v>
          </cell>
        </row>
        <row r="5010">
          <cell r="A5010" t="str">
            <v>900236485</v>
          </cell>
          <cell r="B5010" t="str">
            <v>7</v>
          </cell>
          <cell r="C5010" t="str">
            <v>BIENES Y NEGOCIOS ESTRATEGICOS S.A.S.</v>
          </cell>
          <cell r="D5010" t="str">
            <v>3741155</v>
          </cell>
          <cell r="E5010" t="str">
            <v>carmenhuertas@bynesa.com</v>
          </cell>
          <cell r="F5010" t="str">
            <v>CARRERA 6  115  65 OFICINA 506</v>
          </cell>
          <cell r="G5010">
            <v>76001</v>
          </cell>
        </row>
        <row r="5011">
          <cell r="A5011" t="str">
            <v>900237387</v>
          </cell>
          <cell r="B5011" t="str">
            <v>8</v>
          </cell>
          <cell r="C5011" t="str">
            <v>CONJUNTO MULTIFAMILIAR TAINO PROPIEDAD HORIZONTAL</v>
          </cell>
          <cell r="D5011" t="str">
            <v>3904396</v>
          </cell>
          <cell r="E5011" t="str">
            <v>multitaino@gmail.com</v>
          </cell>
          <cell r="F5011" t="str">
            <v>CALLE 19  109  36</v>
          </cell>
          <cell r="G5011">
            <v>76001</v>
          </cell>
        </row>
        <row r="5012">
          <cell r="A5012" t="str">
            <v>900251030</v>
          </cell>
          <cell r="B5012" t="str">
            <v>2</v>
          </cell>
          <cell r="C5012" t="str">
            <v>EDIFICIO ALIANZA</v>
          </cell>
          <cell r="D5012" t="str">
            <v>3226181831</v>
          </cell>
          <cell r="E5012" t="str">
            <v>facturacion@estiloingenieria.com</v>
          </cell>
          <cell r="F5012" t="str">
            <v>CARRERA 2  7 OESTE  130</v>
          </cell>
          <cell r="G5012">
            <v>76001</v>
          </cell>
        </row>
        <row r="5013">
          <cell r="A5013" t="str">
            <v>900253909</v>
          </cell>
          <cell r="B5013" t="str">
            <v>1</v>
          </cell>
          <cell r="C5013" t="str">
            <v>CONJUNTO RESIDENCIAL BRISAS DE SAN LORENZO TORRES 1, 2 Y 3</v>
          </cell>
          <cell r="D5013" t="str">
            <v>4036915</v>
          </cell>
          <cell r="E5013" t="str">
            <v>crbrisasdesanlorenzo@gmail.com</v>
          </cell>
          <cell r="F5013" t="str">
            <v>CARRERA 85 E  45  66</v>
          </cell>
          <cell r="G5013">
            <v>76001</v>
          </cell>
        </row>
        <row r="5014">
          <cell r="A5014" t="str">
            <v>900253913</v>
          </cell>
          <cell r="B5014" t="str">
            <v>1</v>
          </cell>
          <cell r="C5014" t="str">
            <v>CONJUNTO RESIDENCIAL RESERVA DE LA FLORA ETAPA 1A Y 1B</v>
          </cell>
          <cell r="D5014" t="str">
            <v>3781559</v>
          </cell>
          <cell r="E5014" t="str">
            <v>admonreservadelaflora@gmail.com</v>
          </cell>
          <cell r="F5014" t="str">
            <v>CALLE 64  5 B  41</v>
          </cell>
          <cell r="G5014">
            <v>76001</v>
          </cell>
        </row>
        <row r="5015">
          <cell r="A5015" t="str">
            <v>900264160</v>
          </cell>
          <cell r="B5015" t="str">
            <v>8</v>
          </cell>
          <cell r="C5015" t="str">
            <v>CONJUNTO RESIDENCIAL PARQUE DEL ALCAZAR</v>
          </cell>
          <cell r="D5015" t="str">
            <v>3793006</v>
          </cell>
          <cell r="E5015" t="str">
            <v>parquedelalcazar@outlook.es</v>
          </cell>
          <cell r="F5015" t="str">
            <v>CALLE 15 A  68  51</v>
          </cell>
          <cell r="G5015">
            <v>76001</v>
          </cell>
        </row>
        <row r="5016">
          <cell r="A5016" t="str">
            <v>900265131</v>
          </cell>
          <cell r="B5016" t="str">
            <v>9</v>
          </cell>
          <cell r="C5016" t="str">
            <v>CONJUNTO MULTIFAMILIAR PALMAR DE LILI</v>
          </cell>
          <cell r="D5016" t="str">
            <v>5555248</v>
          </cell>
          <cell r="E5016" t="str">
            <v>palmardellili@yahoo.com</v>
          </cell>
          <cell r="F5016" t="str">
            <v>CARRERA 98 A  45  51</v>
          </cell>
          <cell r="G5016">
            <v>76001</v>
          </cell>
        </row>
        <row r="5017">
          <cell r="A5017" t="str">
            <v>900265133</v>
          </cell>
          <cell r="B5017" t="str">
            <v>3</v>
          </cell>
          <cell r="C5017" t="str">
            <v>CONJUNTO RESIDENCIAL PIEDRAGRANDE I Y II ETAPA</v>
          </cell>
          <cell r="D5017" t="str">
            <v>3123761570</v>
          </cell>
          <cell r="E5017" t="str">
            <v>piedragrandecr@gmail.com</v>
          </cell>
          <cell r="F5017" t="str">
            <v>CARRERA 100  42  65</v>
          </cell>
          <cell r="G5017">
            <v>76001</v>
          </cell>
        </row>
        <row r="5018">
          <cell r="A5018" t="str">
            <v>900266890</v>
          </cell>
          <cell r="B5018" t="str">
            <v>5</v>
          </cell>
          <cell r="C5018" t="str">
            <v>EDIFICIO MAYORAL DEL VIENTO PROPIEDAD HORIZONTAL</v>
          </cell>
          <cell r="D5018" t="str">
            <v>8922396</v>
          </cell>
          <cell r="E5018" t="str">
            <v>edificiomayoraldelviento@hotmail.com</v>
          </cell>
          <cell r="F5018" t="str">
            <v>AVENIDA 5 OESTE  5  70</v>
          </cell>
          <cell r="G5018">
            <v>76001</v>
          </cell>
        </row>
        <row r="5019">
          <cell r="A5019" t="str">
            <v>900269315</v>
          </cell>
          <cell r="B5019" t="str">
            <v>5</v>
          </cell>
          <cell r="C5019" t="str">
            <v>CONJUNTO RESIDENCIAL PASEO REAL II</v>
          </cell>
          <cell r="D5019" t="str">
            <v>6640724</v>
          </cell>
          <cell r="E5019" t="str">
            <v>paseoreal2@hotmail.com</v>
          </cell>
          <cell r="F5019" t="str">
            <v>AVENIDA 4 B  58 N  62</v>
          </cell>
          <cell r="G5019">
            <v>76001</v>
          </cell>
        </row>
        <row r="5020">
          <cell r="A5020" t="str">
            <v>900280930</v>
          </cell>
          <cell r="B5020" t="str">
            <v>1</v>
          </cell>
          <cell r="C5020" t="str">
            <v>EDIFICIO SANTA MONICA CENTRAL PROPIEDAD HORIZONTAL</v>
          </cell>
          <cell r="D5020" t="str">
            <v>3216487153</v>
          </cell>
          <cell r="E5020" t="str">
            <v>facturacion@estiloingenieria.com</v>
          </cell>
          <cell r="F5020" t="str">
            <v>CALLE 22 NORTE  6 A N  24</v>
          </cell>
          <cell r="G5020">
            <v>76001</v>
          </cell>
        </row>
        <row r="5021">
          <cell r="A5021" t="str">
            <v>900296821</v>
          </cell>
          <cell r="B5021" t="str">
            <v>5</v>
          </cell>
          <cell r="C5021" t="str">
            <v>EDIFICIO SOTTOMONTE</v>
          </cell>
          <cell r="D5021" t="str">
            <v>3163672065</v>
          </cell>
          <cell r="E5021" t="str">
            <v>admonedificiosottomonte@gmail.com</v>
          </cell>
          <cell r="F5021" t="str">
            <v>CARRERA 56  2  157</v>
          </cell>
          <cell r="G5021">
            <v>76001</v>
          </cell>
        </row>
        <row r="5022">
          <cell r="A5022" t="str">
            <v>900297016</v>
          </cell>
          <cell r="B5022" t="str">
            <v>7</v>
          </cell>
          <cell r="C5022" t="str">
            <v>CONJUNTO RESIDENCIAL ARBOLEDA DE LILI ETAPA I</v>
          </cell>
          <cell r="D5022" t="str">
            <v>3709280</v>
          </cell>
          <cell r="E5022" t="str">
            <v>arboledadellili.ph@gmail.com</v>
          </cell>
          <cell r="F5022" t="str">
            <v>CARRERA 92  25  40</v>
          </cell>
          <cell r="G5022">
            <v>76001</v>
          </cell>
        </row>
        <row r="5023">
          <cell r="A5023" t="str">
            <v>900297601</v>
          </cell>
          <cell r="B5023" t="str">
            <v>6</v>
          </cell>
          <cell r="C5023" t="str">
            <v>CONJUNTO RESIDENCIAL OASIS DE CRISTALES PH</v>
          </cell>
          <cell r="D5023" t="str">
            <v>3217582582</v>
          </cell>
          <cell r="E5023" t="str">
            <v>elcondominio@hotmail.com</v>
          </cell>
          <cell r="F5023" t="str">
            <v>CARRERA 37  1  82</v>
          </cell>
          <cell r="G5023">
            <v>76001</v>
          </cell>
        </row>
        <row r="5024">
          <cell r="A5024" t="str">
            <v>900302493</v>
          </cell>
          <cell r="B5024" t="str">
            <v>9</v>
          </cell>
          <cell r="C5024" t="str">
            <v>EDIFICIO KARKASI</v>
          </cell>
          <cell r="D5024" t="str">
            <v>8842799</v>
          </cell>
          <cell r="E5024" t="str">
            <v>edificiokarkasi@gmail.com</v>
          </cell>
          <cell r="F5024" t="str">
            <v>AVENIDA 4 A OESTE  3  81</v>
          </cell>
          <cell r="G5024">
            <v>76001</v>
          </cell>
        </row>
        <row r="5025">
          <cell r="A5025" t="str">
            <v>900309049</v>
          </cell>
          <cell r="B5025" t="str">
            <v>3</v>
          </cell>
          <cell r="C5025" t="str">
            <v>CONJUNTO RESIDENCIAL FLOR DE CAÑA</v>
          </cell>
          <cell r="D5025" t="str">
            <v>3767618</v>
          </cell>
          <cell r="E5025" t="str">
            <v>cr.flordecana@hotmail.com</v>
          </cell>
          <cell r="F5025" t="str">
            <v>CALLE 53  19  66</v>
          </cell>
          <cell r="G5025">
            <v>76001</v>
          </cell>
        </row>
        <row r="5026">
          <cell r="A5026" t="str">
            <v>900324868</v>
          </cell>
          <cell r="B5026" t="str">
            <v>1</v>
          </cell>
          <cell r="C5026" t="str">
            <v>EDIFICIO VILLA MAGNA PROPIEDAD HORIZONTAL</v>
          </cell>
          <cell r="D5026" t="str">
            <v>3137170337</v>
          </cell>
          <cell r="E5026" t="str">
            <v>facturacion@estiloingenieria.com</v>
          </cell>
          <cell r="F5026" t="str">
            <v>CALLE 1 B  55  56</v>
          </cell>
          <cell r="G5026">
            <v>76001</v>
          </cell>
        </row>
        <row r="5027">
          <cell r="A5027" t="str">
            <v>900326814</v>
          </cell>
          <cell r="B5027" t="str">
            <v>3</v>
          </cell>
          <cell r="C5027" t="str">
            <v>EDIFICIO PALMAR DE LA FLORA PROPIEDAD HORIZONTAL</v>
          </cell>
          <cell r="D5027" t="str">
            <v>3154822708</v>
          </cell>
          <cell r="E5027" t="str">
            <v>palmardelaflora1@gmail.com</v>
          </cell>
          <cell r="F5027" t="str">
            <v>AVENIDA 3 F  55 N  72</v>
          </cell>
          <cell r="G5027">
            <v>76001</v>
          </cell>
        </row>
        <row r="5028">
          <cell r="A5028" t="str">
            <v>900343357</v>
          </cell>
          <cell r="B5028" t="str">
            <v>0</v>
          </cell>
          <cell r="C5028" t="str">
            <v>CONJUNTO RESIDENCIAL RESERVA DE CRISTALES</v>
          </cell>
          <cell r="D5028" t="str">
            <v>3451533</v>
          </cell>
          <cell r="E5028" t="str">
            <v>reservasdecristales2010@gmail.com</v>
          </cell>
          <cell r="F5028" t="str">
            <v>CARRERA 36 A  8 A OESTE 17</v>
          </cell>
          <cell r="G5028">
            <v>76001</v>
          </cell>
        </row>
        <row r="5029">
          <cell r="A5029" t="str">
            <v>900348487</v>
          </cell>
          <cell r="B5029" t="str">
            <v>2</v>
          </cell>
          <cell r="C5029" t="str">
            <v>CENTRO COMERCIAL SAN ANDRESITO DEL SUR</v>
          </cell>
          <cell r="D5029" t="str">
            <v>3128740</v>
          </cell>
          <cell r="E5029" t="str">
            <v>contabilidad@sanandresitodelsur.com</v>
          </cell>
          <cell r="F5029" t="str">
            <v>CARRERA 80  11 A  51</v>
          </cell>
          <cell r="G5029">
            <v>76001</v>
          </cell>
        </row>
        <row r="5030">
          <cell r="A5030" t="str">
            <v>900355316</v>
          </cell>
          <cell r="B5030" t="str">
            <v>0</v>
          </cell>
          <cell r="C5030" t="str">
            <v>CONJUNTO RESIDENCIAL LILI CAMPESTRE I ETAPA Y II ETAPA</v>
          </cell>
          <cell r="D5030" t="str">
            <v>3123761570</v>
          </cell>
          <cell r="E5030" t="str">
            <v>facturacion@estiloingenieria.com</v>
          </cell>
          <cell r="F5030" t="str">
            <v>CALLE 48  94  80</v>
          </cell>
          <cell r="G5030">
            <v>76001</v>
          </cell>
        </row>
        <row r="5031">
          <cell r="A5031" t="str">
            <v>900360261</v>
          </cell>
          <cell r="B5031" t="str">
            <v>4</v>
          </cell>
          <cell r="C5031" t="str">
            <v>GRUPO HEROICAS SAS</v>
          </cell>
          <cell r="D5031">
            <v>3219664011</v>
          </cell>
          <cell r="E5031" t="str">
            <v>900360261@factureinbox.co</v>
          </cell>
          <cell r="F5031" t="str">
            <v>CL 24 8A 344 BRR GETSEMANI</v>
          </cell>
          <cell r="G5031">
            <v>76001</v>
          </cell>
        </row>
        <row r="5032">
          <cell r="A5032" t="str">
            <v>900378003</v>
          </cell>
          <cell r="B5032" t="str">
            <v>1</v>
          </cell>
          <cell r="C5032" t="str">
            <v>CONJUNTO MULTIFAMILIAR ALTOBELLO</v>
          </cell>
          <cell r="D5032" t="str">
            <v>3746724</v>
          </cell>
          <cell r="E5032" t="str">
            <v>cmaltobello@gmail.com</v>
          </cell>
          <cell r="F5032" t="str">
            <v>CARRERA 85 E  33  20</v>
          </cell>
          <cell r="G5032">
            <v>76001</v>
          </cell>
        </row>
        <row r="5033">
          <cell r="A5033" t="str">
            <v>900379629</v>
          </cell>
          <cell r="B5033" t="str">
            <v>4</v>
          </cell>
          <cell r="C5033" t="str">
            <v>EDIFICIO RIO APARTAMENTOS PROPIEDAD HORIZONTAL</v>
          </cell>
          <cell r="D5033" t="str">
            <v>3003047355</v>
          </cell>
          <cell r="E5033" t="str">
            <v>rioapartamentos79@gmail.com</v>
          </cell>
          <cell r="F5033" t="str">
            <v>CARRERA 102  181  45</v>
          </cell>
          <cell r="G5033">
            <v>76001</v>
          </cell>
        </row>
        <row r="5034">
          <cell r="A5034" t="str">
            <v>900399795</v>
          </cell>
          <cell r="B5034" t="str">
            <v>4</v>
          </cell>
          <cell r="C5034" t="str">
            <v>EDIFICIO RESIDENCIAL MIRO APARTA-LOFT PROPIEDAD HORIZONTAL</v>
          </cell>
          <cell r="D5034" t="str">
            <v>3799859</v>
          </cell>
          <cell r="E5034" t="str">
            <v>miroapartaloft@gmail.com</v>
          </cell>
          <cell r="F5034" t="str">
            <v>CALLE 40 NORTE  6 D  18</v>
          </cell>
          <cell r="G5034">
            <v>76001</v>
          </cell>
        </row>
        <row r="5035">
          <cell r="A5035" t="str">
            <v>900402684</v>
          </cell>
          <cell r="B5035" t="str">
            <v>8</v>
          </cell>
          <cell r="C5035" t="str">
            <v>EDIFICIO RESIDENCIAL SANTIAGO DEL OESTE</v>
          </cell>
          <cell r="D5035" t="str">
            <v>8923367</v>
          </cell>
          <cell r="E5035" t="str">
            <v>edfsantiagodeloeste@gmail.com</v>
          </cell>
          <cell r="F5035" t="str">
            <v>CALLE 5 NORTE  1 N  74</v>
          </cell>
          <cell r="G5035">
            <v>76001</v>
          </cell>
        </row>
        <row r="5036">
          <cell r="A5036" t="str">
            <v>900408437</v>
          </cell>
          <cell r="B5036" t="str">
            <v>2</v>
          </cell>
          <cell r="C5036" t="str">
            <v>CONJUNTO RESIDENCIAL LILI DEL VIENTO ETAPA I - PROPIEDAD HORIZONTAL</v>
          </cell>
          <cell r="D5036" t="str">
            <v>4057099</v>
          </cell>
          <cell r="E5036" t="str">
            <v>conjuntolilidelviento2023@gmail.com</v>
          </cell>
          <cell r="F5036" t="str">
            <v>CALLE 38  4 N  170</v>
          </cell>
          <cell r="G5036">
            <v>76001</v>
          </cell>
        </row>
        <row r="5037">
          <cell r="A5037" t="str">
            <v>900424055</v>
          </cell>
          <cell r="B5037" t="str">
            <v>1</v>
          </cell>
          <cell r="C5037" t="str">
            <v>EDIFICIO BALI APARTAMENTOS</v>
          </cell>
          <cell r="D5037" t="str">
            <v>3715810</v>
          </cell>
          <cell r="E5037" t="str">
            <v>baliedificio@gmail.com</v>
          </cell>
          <cell r="F5037" t="str">
            <v>CALLE 21 NORTE  9 N  50</v>
          </cell>
          <cell r="G5037">
            <v>76001</v>
          </cell>
        </row>
        <row r="5038">
          <cell r="A5038" t="str">
            <v>900438232</v>
          </cell>
          <cell r="B5038" t="str">
            <v>8</v>
          </cell>
          <cell r="C5038" t="str">
            <v>PERUGIA S.A.S.</v>
          </cell>
          <cell r="D5038" t="str">
            <v>4864284</v>
          </cell>
          <cell r="E5038" t="str">
            <v>facturacion@perugia-sas.com</v>
          </cell>
          <cell r="F5038" t="str">
            <v>AVENIDA 3 OESTE  10  53</v>
          </cell>
          <cell r="G5038">
            <v>76001</v>
          </cell>
        </row>
        <row r="5039">
          <cell r="A5039" t="str">
            <v>900464357</v>
          </cell>
          <cell r="B5039" t="str">
            <v>1</v>
          </cell>
          <cell r="C5039" t="str">
            <v>AGRUPACION MULTIFAMILIAR ALTOMENGA APARTAMENTOS I Y II ETAPA -PROPIEDAD HORIZONTAL</v>
          </cell>
          <cell r="D5039" t="str">
            <v>4881259</v>
          </cell>
          <cell r="E5039" t="str">
            <v>amaltomenga@gmail.com</v>
          </cell>
          <cell r="F5039" t="str">
            <v>AVENIDA 9  56  80</v>
          </cell>
          <cell r="G5039">
            <v>76001</v>
          </cell>
        </row>
        <row r="5040">
          <cell r="A5040" t="str">
            <v>900466753</v>
          </cell>
          <cell r="B5040" t="str">
            <v>2</v>
          </cell>
          <cell r="C5040" t="str">
            <v>GUTIERREZ FRANCO INGENIERIA S.A.S.</v>
          </cell>
          <cell r="D5040" t="str">
            <v>3122252332</v>
          </cell>
          <cell r="E5040" t="str">
            <v>facturaelectronica@gutierrezfrancoingenieria.com</v>
          </cell>
          <cell r="F5040" t="str">
            <v>CL 67 NORTE 8 N 65</v>
          </cell>
          <cell r="G5040">
            <v>76001</v>
          </cell>
        </row>
        <row r="5041">
          <cell r="A5041" t="str">
            <v>900469385</v>
          </cell>
          <cell r="B5041" t="str">
            <v>9</v>
          </cell>
          <cell r="C5041" t="str">
            <v>EDIFICIO VENTO I - PROPIEDAD HORIZONTAL</v>
          </cell>
          <cell r="D5041" t="str">
            <v>3148883258</v>
          </cell>
          <cell r="E5041" t="str">
            <v>phvento1@yahoo.com</v>
          </cell>
          <cell r="F5041" t="str">
            <v>CALLE 10 BIS OESTE  28  155</v>
          </cell>
          <cell r="G5041">
            <v>76001</v>
          </cell>
        </row>
        <row r="5042">
          <cell r="A5042" t="str">
            <v>900474322</v>
          </cell>
          <cell r="B5042" t="str">
            <v>5</v>
          </cell>
          <cell r="C5042" t="str">
            <v>EDIFICIO NORTEN - PROPIEDAD HORIZONTAL</v>
          </cell>
          <cell r="D5042" t="str">
            <v>6670493</v>
          </cell>
          <cell r="E5042" t="str">
            <v>norten762@gmail.com</v>
          </cell>
          <cell r="F5042" t="str">
            <v>CALLE 10 NORTE  7 N  52</v>
          </cell>
          <cell r="G5042">
            <v>76001</v>
          </cell>
        </row>
        <row r="5043">
          <cell r="A5043" t="str">
            <v>900485750</v>
          </cell>
          <cell r="B5043" t="str">
            <v>1</v>
          </cell>
          <cell r="C5043" t="str">
            <v>JJVM SAS</v>
          </cell>
          <cell r="D5043" t="str">
            <v>3102892485</v>
          </cell>
          <cell r="E5043" t="str">
            <v>brillin.saavedra@jjvm.com.co</v>
          </cell>
          <cell r="F5043" t="str">
            <v>CL 97 10 28 OF 502</v>
          </cell>
          <cell r="G5043">
            <v>76001</v>
          </cell>
        </row>
        <row r="5044">
          <cell r="A5044" t="str">
            <v>900522235</v>
          </cell>
          <cell r="B5044" t="str">
            <v>9</v>
          </cell>
          <cell r="C5044" t="str">
            <v>CONJUNTO RESIDENCIAL TAIRONA PROPIEDAD HORIZONTAL</v>
          </cell>
          <cell r="D5044" t="str">
            <v>3123761570</v>
          </cell>
          <cell r="E5044" t="str">
            <v>taironacr@gmail.com</v>
          </cell>
          <cell r="F5044" t="str">
            <v>CALLE 50  94  32</v>
          </cell>
          <cell r="G5044">
            <v>76001</v>
          </cell>
        </row>
        <row r="5045">
          <cell r="A5045" t="str">
            <v>900544537</v>
          </cell>
          <cell r="B5045" t="str">
            <v>2</v>
          </cell>
          <cell r="C5045" t="str">
            <v>CONJUNTO ATRIUM - PROPIEDAD HORIZONTAL</v>
          </cell>
          <cell r="D5045" t="str">
            <v>3163021</v>
          </cell>
          <cell r="E5045" t="str">
            <v>conjuntoatrium@gmail.com</v>
          </cell>
          <cell r="F5045" t="str">
            <v>CALLE 47  96  55</v>
          </cell>
          <cell r="G5045">
            <v>76001</v>
          </cell>
        </row>
        <row r="5046">
          <cell r="A5046" t="str">
            <v>900565405</v>
          </cell>
          <cell r="B5046" t="str">
            <v>9</v>
          </cell>
          <cell r="C5046" t="str">
            <v>CONJUNTO RESIDENCIAL VALPARAISO CIUDAD BOCHALEMA MANZANA D1 - PH</v>
          </cell>
          <cell r="D5046" t="str">
            <v>4056256</v>
          </cell>
          <cell r="E5046" t="str">
            <v>valparaisobochalema@gmail.com</v>
          </cell>
          <cell r="F5046" t="str">
            <v>CALLE 43  111  50</v>
          </cell>
          <cell r="G5046">
            <v>76001</v>
          </cell>
        </row>
        <row r="5047">
          <cell r="A5047" t="str">
            <v>900567883</v>
          </cell>
          <cell r="B5047" t="str">
            <v>5</v>
          </cell>
          <cell r="C5047" t="str">
            <v>HOTELES DE OCCIDENTE S.A.S</v>
          </cell>
          <cell r="D5047" t="str">
            <v>6859999</v>
          </cell>
          <cell r="E5047" t="str">
            <v>almacen.sheratoncali@ghlhoteles.com</v>
          </cell>
          <cell r="F5047" t="str">
            <v>DIAGONAL 22 B  52  01</v>
          </cell>
          <cell r="G5047">
            <v>76001</v>
          </cell>
        </row>
        <row r="5048">
          <cell r="A5048" t="str">
            <v>900575349</v>
          </cell>
          <cell r="B5048" t="str">
            <v>7</v>
          </cell>
          <cell r="C5048" t="str">
            <v>EDIFICIO VERTIKA - PROPIEDAD HORIZONTAL</v>
          </cell>
          <cell r="D5048" t="str">
            <v>3087066</v>
          </cell>
          <cell r="E5048" t="str">
            <v>edificiovertikaph@gmail.com</v>
          </cell>
          <cell r="F5048" t="str">
            <v>CALLE 11 B  101 B  30</v>
          </cell>
          <cell r="G5048">
            <v>76001</v>
          </cell>
        </row>
        <row r="5049">
          <cell r="A5049" t="str">
            <v>900600890</v>
          </cell>
          <cell r="B5049" t="str">
            <v>8</v>
          </cell>
          <cell r="C5049" t="str">
            <v>CONJUNTO RESIDENCIAL CATAYA REAL - PROPIEDAD HORIZONTAL</v>
          </cell>
          <cell r="D5049" t="str">
            <v>3128060369</v>
          </cell>
          <cell r="E5049" t="str">
            <v>facturacion@estiloingenieria.com</v>
          </cell>
          <cell r="F5049" t="str">
            <v>CALLE 17 A  121  21</v>
          </cell>
          <cell r="G5049">
            <v>76001</v>
          </cell>
        </row>
        <row r="5050">
          <cell r="A5050" t="str">
            <v>900606816</v>
          </cell>
          <cell r="B5050" t="str">
            <v>1</v>
          </cell>
          <cell r="C5050" t="str">
            <v>PROYECTOS Y DESARROLLOS SANCHEZ GIRALDO &amp; CIA S.A.S. - PRODESAN SAS</v>
          </cell>
          <cell r="D5050" t="str">
            <v>6655888</v>
          </cell>
          <cell r="E5050" t="str">
            <v>facturacion@procasan.com</v>
          </cell>
          <cell r="F5050" t="str">
            <v>CL 67  N  7 N 59 BRR MENGA</v>
          </cell>
          <cell r="G5050">
            <v>76001</v>
          </cell>
        </row>
        <row r="5051">
          <cell r="A5051" t="str">
            <v>900618886</v>
          </cell>
          <cell r="B5051" t="str">
            <v>7</v>
          </cell>
          <cell r="C5051" t="str">
            <v>EDIFICIO VIA VENETO - PROPIEDAD HORIZONTAL</v>
          </cell>
          <cell r="D5051" t="str">
            <v>3187128067</v>
          </cell>
          <cell r="E5051" t="str">
            <v>edificio_viaveneto@yahoo.com</v>
          </cell>
          <cell r="F5051" t="str">
            <v>CALLE 22 NORTE  5 A  75</v>
          </cell>
          <cell r="G5051">
            <v>76001</v>
          </cell>
        </row>
        <row r="5052">
          <cell r="A5052" t="str">
            <v>900656148</v>
          </cell>
          <cell r="B5052" t="str">
            <v>1</v>
          </cell>
          <cell r="C5052" t="str">
            <v>RENT HOUSE S.A.S.</v>
          </cell>
          <cell r="D5052" t="str">
            <v>3168243391</v>
          </cell>
          <cell r="E5052" t="str">
            <v>renthousesas@hotmail.com</v>
          </cell>
          <cell r="F5052" t="str">
            <v>AVENIDA 3 F NORTE  55 N  48</v>
          </cell>
          <cell r="G5052">
            <v>76001</v>
          </cell>
        </row>
        <row r="5053">
          <cell r="A5053" t="str">
            <v>900657695</v>
          </cell>
          <cell r="B5053" t="str">
            <v>3</v>
          </cell>
          <cell r="C5053" t="str">
            <v>MOLINOS DE SANTA TERESITA APARTAMENTOS</v>
          </cell>
          <cell r="D5053" t="str">
            <v>4837538</v>
          </cell>
          <cell r="E5053" t="str">
            <v>facturacion@estiloingenieria.com</v>
          </cell>
          <cell r="F5053" t="str">
            <v>CARRERA 1 ESTE  17  77</v>
          </cell>
          <cell r="G5053">
            <v>76001</v>
          </cell>
        </row>
        <row r="5054">
          <cell r="A5054" t="str">
            <v>900660150</v>
          </cell>
          <cell r="B5054" t="str">
            <v>2</v>
          </cell>
          <cell r="C5054" t="str">
            <v>EDIFICIO VENTO II</v>
          </cell>
          <cell r="D5054" t="str">
            <v>3174042764</v>
          </cell>
          <cell r="E5054" t="str">
            <v>admonvento2@gmail.com</v>
          </cell>
          <cell r="F5054" t="str">
            <v>CALLE 10 BIS OESTE  28  185</v>
          </cell>
          <cell r="G5054">
            <v>76001</v>
          </cell>
        </row>
        <row r="5055">
          <cell r="A5055" t="str">
            <v>900675799</v>
          </cell>
          <cell r="B5055" t="str">
            <v>7</v>
          </cell>
          <cell r="C5055" t="str">
            <v>ALTAVISTA NORMANDIA ETAPA I PROPIEDAD HORIZONTAL</v>
          </cell>
          <cell r="D5055" t="str">
            <v>3087580</v>
          </cell>
          <cell r="E5055" t="str">
            <v>facturacion@estiloingenieria.com</v>
          </cell>
          <cell r="F5055" t="str">
            <v>AVENIDA 6 OESTE  5  200</v>
          </cell>
          <cell r="G5055">
            <v>76001</v>
          </cell>
        </row>
        <row r="5056">
          <cell r="A5056" t="str">
            <v>900680534</v>
          </cell>
          <cell r="B5056" t="str">
            <v>2</v>
          </cell>
          <cell r="C5056" t="str">
            <v>HENVAL S.A.S</v>
          </cell>
          <cell r="D5056" t="str">
            <v>3851090</v>
          </cell>
          <cell r="E5056" t="str">
            <v>facturacion.henval@gmail.com</v>
          </cell>
          <cell r="F5056" t="str">
            <v>CARRERA 40  6  79</v>
          </cell>
          <cell r="G5056">
            <v>76001</v>
          </cell>
        </row>
        <row r="5057">
          <cell r="A5057" t="str">
            <v>900698924</v>
          </cell>
          <cell r="B5057" t="str">
            <v>0</v>
          </cell>
          <cell r="C5057" t="str">
            <v>LOS CISNES GB S.A.S.</v>
          </cell>
          <cell r="D5057" t="str">
            <v>3346664</v>
          </cell>
          <cell r="E5057" t="str">
            <v>apartahotelloscisnes@hotmail.com</v>
          </cell>
          <cell r="F5057" t="str">
            <v>CALLE 19  DG 23  04</v>
          </cell>
          <cell r="G5057">
            <v>76001</v>
          </cell>
        </row>
        <row r="5058">
          <cell r="A5058" t="str">
            <v>900704722</v>
          </cell>
          <cell r="B5058" t="str">
            <v>6</v>
          </cell>
          <cell r="C5058" t="str">
            <v>RAMITEX DEL VALLE S.A.S.</v>
          </cell>
          <cell r="D5058" t="str">
            <v>8850138</v>
          </cell>
          <cell r="E5058" t="str">
            <v>ramitexdelvallesas@hotmail.com</v>
          </cell>
          <cell r="F5058" t="str">
            <v>CALLE 16  6  54</v>
          </cell>
          <cell r="G5058">
            <v>76001</v>
          </cell>
        </row>
        <row r="5059">
          <cell r="A5059" t="str">
            <v>900704743</v>
          </cell>
          <cell r="B5059" t="str">
            <v>0</v>
          </cell>
          <cell r="C5059" t="str">
            <v>CONJUNTO RESIDENCIAL CUATRO VIENTOS - ETAPA I TORRE MISTRAL - PROPIEDAD HORIZONTAL</v>
          </cell>
          <cell r="D5059" t="str">
            <v>3798286</v>
          </cell>
          <cell r="E5059" t="str">
            <v>cr.cuatrovientos@gmail.com</v>
          </cell>
          <cell r="F5059" t="str">
            <v>CARRERA 72  13 A  81</v>
          </cell>
          <cell r="G5059">
            <v>76001</v>
          </cell>
        </row>
        <row r="5060">
          <cell r="A5060" t="str">
            <v>900711807</v>
          </cell>
          <cell r="B5060" t="str">
            <v>2</v>
          </cell>
          <cell r="C5060" t="str">
            <v>EDIFICIOS DE APARTAESTUDIOS KARMEL - PROPIEDAD HORIZONTAL</v>
          </cell>
          <cell r="D5060" t="str">
            <v>6601305</v>
          </cell>
          <cell r="E5060" t="str">
            <v>facturacion@estiloingenieria.com</v>
          </cell>
          <cell r="F5060" t="str">
            <v>CALLE 6 OESTE  1 B  13</v>
          </cell>
          <cell r="G5060">
            <v>76001</v>
          </cell>
        </row>
        <row r="5061">
          <cell r="A5061" t="str">
            <v>900714238</v>
          </cell>
          <cell r="B5061" t="str">
            <v>5</v>
          </cell>
          <cell r="C5061" t="str">
            <v>EDIFICIO EL SAMAN - PROPIEDAD HORIZONTAL</v>
          </cell>
          <cell r="D5061" t="str">
            <v>3012248901</v>
          </cell>
          <cell r="E5061" t="str">
            <v>edificioelsamancali@gmail.com</v>
          </cell>
          <cell r="F5061" t="str">
            <v>CARRERA 85 C  20  18</v>
          </cell>
          <cell r="G5061">
            <v>76001</v>
          </cell>
        </row>
        <row r="5062">
          <cell r="A5062" t="str">
            <v>900716134</v>
          </cell>
          <cell r="B5062" t="str">
            <v>7</v>
          </cell>
          <cell r="C5062" t="str">
            <v>CONJUNTO RESIDENCIAL SANTA MARIA DE LOS VIENTOS - PROPIEDAD HORIZONTAL</v>
          </cell>
          <cell r="D5062" t="str">
            <v>6658385</v>
          </cell>
          <cell r="E5062" t="str">
            <v>csantamariadelosvientos@gmail.com</v>
          </cell>
          <cell r="F5062" t="str">
            <v>AVENIDA 5 B  58 NORTE  67</v>
          </cell>
          <cell r="G5062">
            <v>76001</v>
          </cell>
        </row>
        <row r="5063">
          <cell r="A5063" t="str">
            <v>900722394</v>
          </cell>
          <cell r="B5063" t="str">
            <v>1</v>
          </cell>
          <cell r="C5063" t="str">
            <v>CONJUNTO RESIDENCIAL REFUGIO DE LOS SAMANES - PROPIEDAD HORIZONTAL</v>
          </cell>
          <cell r="D5063" t="str">
            <v>3988407</v>
          </cell>
          <cell r="E5063" t="str">
            <v>admonrefugiodelossamanes@gmail.com</v>
          </cell>
          <cell r="F5063" t="str">
            <v>CARRERA 63 A  3 C  76</v>
          </cell>
          <cell r="G5063">
            <v>76001</v>
          </cell>
        </row>
        <row r="5064">
          <cell r="A5064" t="str">
            <v>900723732</v>
          </cell>
          <cell r="B5064" t="str">
            <v>0</v>
          </cell>
          <cell r="C5064" t="str">
            <v>CONJUNTO RESIDENCIAL TINIGUA - PROPIEDAD HORIZONTAL</v>
          </cell>
          <cell r="D5064" t="str">
            <v>4053142</v>
          </cell>
          <cell r="E5064" t="str">
            <v>crtinigua@hotmail.com</v>
          </cell>
          <cell r="F5064" t="str">
            <v>CR 96 48 53 BRR VALLE DE LILI</v>
          </cell>
          <cell r="G5064">
            <v>76001</v>
          </cell>
        </row>
        <row r="5065">
          <cell r="A5065" t="str">
            <v>900744194</v>
          </cell>
          <cell r="B5065" t="str">
            <v>8</v>
          </cell>
          <cell r="C5065" t="str">
            <v>EDIFICIO PALMERAS DE LA BOCHA</v>
          </cell>
          <cell r="D5065" t="str">
            <v>3998772</v>
          </cell>
          <cell r="E5065" t="str">
            <v>palmerasdelabocha@gmail.com</v>
          </cell>
          <cell r="F5065" t="str">
            <v>CARRERA 112  44  21</v>
          </cell>
          <cell r="G5065">
            <v>76001</v>
          </cell>
        </row>
        <row r="5066">
          <cell r="A5066" t="str">
            <v>900775306</v>
          </cell>
          <cell r="B5066" t="str">
            <v>9</v>
          </cell>
          <cell r="C5066" t="str">
            <v>EDIFICIO TORRES DEL CAMINO - PROPIEDAD HORIZONTAL</v>
          </cell>
          <cell r="D5066" t="str">
            <v>3064303</v>
          </cell>
          <cell r="E5066" t="str">
            <v>admontorresdelcamino28@gmail.com</v>
          </cell>
          <cell r="F5066" t="str">
            <v>CARRERA 53  11 A  47</v>
          </cell>
          <cell r="G5066">
            <v>76001</v>
          </cell>
        </row>
        <row r="5067">
          <cell r="A5067" t="str">
            <v>900795829</v>
          </cell>
          <cell r="B5067" t="str">
            <v>4</v>
          </cell>
          <cell r="C5067" t="str">
            <v>EDIFICIO FUENTES DE LA BOCHA - PROPIEDAD HORIZONTAL</v>
          </cell>
          <cell r="D5067" t="str">
            <v>3995714</v>
          </cell>
          <cell r="E5067" t="str">
            <v>fuentesdelabocha@outlook.es</v>
          </cell>
          <cell r="F5067" t="str">
            <v>CALLE 46  111  59</v>
          </cell>
          <cell r="G5067">
            <v>76001</v>
          </cell>
        </row>
        <row r="5068">
          <cell r="A5068" t="str">
            <v>900799023</v>
          </cell>
          <cell r="B5068" t="str">
            <v>3</v>
          </cell>
          <cell r="C5068" t="str">
            <v>CONJUNTO RESIDENCIAL ZAGUAN DE LAS FLORES -PROPIEDAD HORIZONTAL</v>
          </cell>
          <cell r="D5068" t="str">
            <v>6659454</v>
          </cell>
          <cell r="E5068" t="str">
            <v>zaguandelasflores@gmail.com</v>
          </cell>
          <cell r="F5068" t="str">
            <v>CALLE 67 NORTE  4 B  77</v>
          </cell>
          <cell r="G5068">
            <v>76001</v>
          </cell>
        </row>
        <row r="5069">
          <cell r="A5069" t="str">
            <v>900820419</v>
          </cell>
          <cell r="B5069" t="str">
            <v>5</v>
          </cell>
          <cell r="C5069" t="str">
            <v>CONJUNTO MULTIFAMILIAR LLANURA DEL VIENTO V.I.S PRIMERA ETAPA</v>
          </cell>
          <cell r="D5069" t="str">
            <v>3137330696</v>
          </cell>
          <cell r="E5069" t="str">
            <v>llanuradelvientoph@gmail.com</v>
          </cell>
          <cell r="F5069" t="str">
            <v>CALLE 54  98  50</v>
          </cell>
          <cell r="G5069">
            <v>76001</v>
          </cell>
        </row>
        <row r="5070">
          <cell r="A5070" t="str">
            <v>900838855</v>
          </cell>
          <cell r="B5070" t="str">
            <v>2</v>
          </cell>
          <cell r="C5070" t="str">
            <v>MAIHOEHE S.A.S.</v>
          </cell>
          <cell r="D5070" t="str">
            <v>3206951803</v>
          </cell>
          <cell r="E5070" t="str">
            <v>feproveedores@saluti.com.co</v>
          </cell>
          <cell r="F5070" t="str">
            <v>CARRERA 39  5 B  30</v>
          </cell>
          <cell r="G5070">
            <v>76001</v>
          </cell>
        </row>
        <row r="5071">
          <cell r="A5071" t="str">
            <v>900847493</v>
          </cell>
          <cell r="B5071" t="str">
            <v>8</v>
          </cell>
          <cell r="C5071" t="str">
            <v>CONJUNTO RESIDENCIAL RESERVA DE CHIPICHAPE - PROPIEDAD HORIZONTAL</v>
          </cell>
          <cell r="D5071" t="str">
            <v>3798743</v>
          </cell>
          <cell r="E5071" t="str">
            <v>reservadechipichape1@gmail.com</v>
          </cell>
          <cell r="F5071" t="str">
            <v>AVENIDA 6 D NORTE  38 N  201</v>
          </cell>
          <cell r="G5071">
            <v>76001</v>
          </cell>
        </row>
        <row r="5072">
          <cell r="A5072" t="str">
            <v>900866992</v>
          </cell>
          <cell r="B5072" t="str">
            <v>2</v>
          </cell>
          <cell r="C5072" t="str">
            <v>PACTIA S.A.S.</v>
          </cell>
          <cell r="D5072" t="str">
            <v>3116751263</v>
          </cell>
          <cell r="E5072" t="str">
            <v>pactiafe@pactia.com</v>
          </cell>
          <cell r="F5072" t="str">
            <v>CARRERA 43 A  18 SUR  135  PISO 4</v>
          </cell>
          <cell r="G5072">
            <v>76001</v>
          </cell>
        </row>
        <row r="5073">
          <cell r="A5073" t="str">
            <v>900878918</v>
          </cell>
          <cell r="B5073" t="str">
            <v>9</v>
          </cell>
          <cell r="C5073" t="str">
            <v>EDIFICIO PARK AVENUE-PROPIEDAD HORIZONTAL</v>
          </cell>
          <cell r="D5073" t="str">
            <v>3074100</v>
          </cell>
          <cell r="E5073" t="str">
            <v>parrkavenue@gmail.com</v>
          </cell>
          <cell r="F5073" t="str">
            <v>CARRERA 83  13 A  22</v>
          </cell>
          <cell r="G5073">
            <v>76001</v>
          </cell>
        </row>
        <row r="5074">
          <cell r="A5074" t="str">
            <v>900882382</v>
          </cell>
          <cell r="B5074" t="str">
            <v>7</v>
          </cell>
          <cell r="C5074" t="str">
            <v>MUSIDIN S.A.S</v>
          </cell>
          <cell r="D5074" t="str">
            <v>3187756907</v>
          </cell>
          <cell r="E5074" t="str">
            <v>900882382@factureinbox.co</v>
          </cell>
          <cell r="F5074" t="str">
            <v xml:space="preserve"> CRA 108 # 14A - 40 ESQ</v>
          </cell>
          <cell r="G5074">
            <v>76001</v>
          </cell>
        </row>
        <row r="5075">
          <cell r="A5075" t="str">
            <v>900908192</v>
          </cell>
          <cell r="B5075" t="str">
            <v>9</v>
          </cell>
          <cell r="C5075" t="str">
            <v>FONDO DE INVERSIÓN COLECTIVA INMOBILIARIO DE RENTA DAVIVIENDA CORREDORES</v>
          </cell>
          <cell r="D5075" t="str">
            <v>3123300</v>
          </cell>
          <cell r="E5075" t="str">
            <v>vortiz@mts.com.co</v>
          </cell>
          <cell r="F5075" t="str">
            <v>CR 7 71 52 TO B P 16</v>
          </cell>
          <cell r="G5075">
            <v>76001</v>
          </cell>
        </row>
        <row r="5076">
          <cell r="A5076" t="str">
            <v>900911479</v>
          </cell>
          <cell r="B5076" t="str">
            <v>8</v>
          </cell>
          <cell r="C5076" t="str">
            <v>WORLD TRADE CENTER CALI-PROPIEDAD HORIZONTAL</v>
          </cell>
          <cell r="D5076">
            <v>3219664011</v>
          </cell>
          <cell r="E5076" t="str">
            <v>facturacion.wtc@pacificmall.com.co</v>
          </cell>
          <cell r="F5076" t="str">
            <v>CALLE 36 NORTE  6 A  65</v>
          </cell>
          <cell r="G5076">
            <v>76001</v>
          </cell>
        </row>
        <row r="5077">
          <cell r="A5077" t="str">
            <v>900915305</v>
          </cell>
          <cell r="B5077" t="str">
            <v>3</v>
          </cell>
          <cell r="C5077" t="str">
            <v>CONJUNTO RESIDENCIAL LAGOS DE LA BOCHA -PROPIEDAD HORIZONTAL</v>
          </cell>
          <cell r="D5077">
            <v>3219664011</v>
          </cell>
          <cell r="E5077" t="str">
            <v>crlagosdelabocha@gmail.com</v>
          </cell>
          <cell r="F5077" t="str">
            <v>CALLE 44  113  39</v>
          </cell>
          <cell r="G5077">
            <v>76001</v>
          </cell>
        </row>
        <row r="5078">
          <cell r="A5078" t="str">
            <v>900917321</v>
          </cell>
          <cell r="B5078" t="str">
            <v>0</v>
          </cell>
          <cell r="C5078" t="str">
            <v>EDIFICIO KAOBA - PROPIEDAD HORIZONTAL</v>
          </cell>
          <cell r="D5078" t="str">
            <v>5533960</v>
          </cell>
          <cell r="E5078" t="str">
            <v>edificiokaobacali@gmail.com</v>
          </cell>
          <cell r="F5078" t="str">
            <v>CARRERA 2 A OESTE  5  15</v>
          </cell>
          <cell r="G5078">
            <v>76001</v>
          </cell>
        </row>
        <row r="5079">
          <cell r="A5079" t="str">
            <v>900924527</v>
          </cell>
          <cell r="B5079" t="str">
            <v>1</v>
          </cell>
          <cell r="C5079" t="str">
            <v>H&amp;M HENNES &amp; MAURITZ COLOMBIA S.A.S</v>
          </cell>
          <cell r="D5079" t="str">
            <v>7447076</v>
          </cell>
          <cell r="E5079" t="str">
            <v>de900924527@hm.noova.com.co</v>
          </cell>
          <cell r="F5079" t="str">
            <v>CR 58 D 146 51 LC 114</v>
          </cell>
          <cell r="G5079">
            <v>76001</v>
          </cell>
        </row>
        <row r="5080">
          <cell r="A5080" t="str">
            <v>900924722</v>
          </cell>
          <cell r="B5080" t="str">
            <v>1</v>
          </cell>
          <cell r="C5080" t="str">
            <v>EDIFICIO SAN PAOLO - PROPIEDAD HORIZONTAL</v>
          </cell>
          <cell r="D5080" t="str">
            <v>3128984652</v>
          </cell>
          <cell r="E5080" t="str">
            <v>sanpaoloph@hotmail.com</v>
          </cell>
          <cell r="F5080" t="str">
            <v>AVENIDA 4 NORTE  23 N  80</v>
          </cell>
          <cell r="G5080">
            <v>76001</v>
          </cell>
        </row>
        <row r="5081">
          <cell r="A5081" t="str">
            <v>900972126</v>
          </cell>
          <cell r="B5081" t="str">
            <v>4</v>
          </cell>
          <cell r="C5081" t="str">
            <v>EDIFICIO OASIS DE LA BOCHA-PROPIEDAD HORIZONTAL</v>
          </cell>
          <cell r="D5081" t="str">
            <v>3173809075</v>
          </cell>
          <cell r="E5081" t="str">
            <v>oasisdelabochaph@gmail.com</v>
          </cell>
          <cell r="F5081" t="str">
            <v>CALLE 46  112  51</v>
          </cell>
          <cell r="G5081">
            <v>76001</v>
          </cell>
        </row>
        <row r="5082">
          <cell r="A5082" t="str">
            <v>900975018</v>
          </cell>
          <cell r="B5082" t="str">
            <v>0</v>
          </cell>
          <cell r="C5082" t="str">
            <v>CONJUNTO RESIDENCIAL BOREAL - PROPIEDAD HORIZONTAL</v>
          </cell>
          <cell r="D5082" t="str">
            <v>3176608870</v>
          </cell>
          <cell r="E5082" t="str">
            <v>conjuntoresidencialboreal@gmail.com</v>
          </cell>
          <cell r="F5082" t="str">
            <v>CARRERA 117  10  140</v>
          </cell>
          <cell r="G5082">
            <v>76001</v>
          </cell>
        </row>
        <row r="5083">
          <cell r="A5083" t="str">
            <v>900999171</v>
          </cell>
          <cell r="B5083" t="str">
            <v>3</v>
          </cell>
          <cell r="C5083" t="str">
            <v>CONJUNTO REMANSO DE LA COLINA</v>
          </cell>
          <cell r="D5083" t="str">
            <v>3166949844</v>
          </cell>
          <cell r="E5083" t="str">
            <v>cr.remansodelacolina@gmail.com</v>
          </cell>
          <cell r="F5083" t="str">
            <v>CALLE 6  114  170</v>
          </cell>
          <cell r="G5083">
            <v>76001</v>
          </cell>
        </row>
        <row r="5084">
          <cell r="A5084" t="str">
            <v>901000665</v>
          </cell>
          <cell r="B5084" t="str">
            <v>6</v>
          </cell>
          <cell r="C5084" t="str">
            <v>CONJUNTO RESIDENCIAL CAPRIANI-PROPIEDAD HORIZONTAL</v>
          </cell>
          <cell r="D5084" t="str">
            <v>3216443174</v>
          </cell>
          <cell r="E5084" t="str">
            <v>crcapriani@gmail.com</v>
          </cell>
          <cell r="F5084" t="str">
            <v>CARRERA 102  34  133</v>
          </cell>
          <cell r="G5084">
            <v>76001</v>
          </cell>
        </row>
        <row r="5085">
          <cell r="A5085" t="str">
            <v>901024039</v>
          </cell>
          <cell r="B5085" t="str">
            <v>9</v>
          </cell>
          <cell r="C5085" t="str">
            <v>ST TROPE CONJUNTO RESIDENCIAL ETAPA I - PROPIEDAD HORIZONTAL</v>
          </cell>
          <cell r="D5085" t="str">
            <v>3216443174</v>
          </cell>
          <cell r="E5085" t="str">
            <v>conjuntosttrope@hotmail.com</v>
          </cell>
          <cell r="F5085" t="str">
            <v>CALLE 34  100 A  35</v>
          </cell>
          <cell r="G5085">
            <v>76001</v>
          </cell>
        </row>
        <row r="5086">
          <cell r="A5086" t="str">
            <v>901027210</v>
          </cell>
          <cell r="B5086" t="str">
            <v>6</v>
          </cell>
          <cell r="C5086" t="str">
            <v>LEPLAZTIQUE SAS</v>
          </cell>
          <cell r="D5086" t="str">
            <v>3154856028</v>
          </cell>
          <cell r="E5086" t="str">
            <v>facturacionleplaztiquesas@gmail.com</v>
          </cell>
          <cell r="F5086" t="str">
            <v>CALLE 5 B 3 38 44 CS 101 ST C D C</v>
          </cell>
          <cell r="G5086">
            <v>76001</v>
          </cell>
        </row>
        <row r="5087">
          <cell r="A5087" t="str">
            <v>901028858</v>
          </cell>
          <cell r="B5087" t="str">
            <v>2</v>
          </cell>
          <cell r="C5087" t="str">
            <v>CONJUNTO RESIDENCIAL MULTIFAMILIAR K 109 EBANO ETAPA I - PROPIEDAD HORIZONTAL</v>
          </cell>
          <cell r="D5087" t="str">
            <v>3165260806</v>
          </cell>
          <cell r="E5087" t="str">
            <v>ebanoadmon@gmail.com</v>
          </cell>
          <cell r="F5087" t="str">
            <v>CALLE 58  109  83</v>
          </cell>
          <cell r="G5087">
            <v>76001</v>
          </cell>
        </row>
        <row r="5088">
          <cell r="A5088" t="str">
            <v>901040907</v>
          </cell>
          <cell r="B5088" t="str">
            <v>4</v>
          </cell>
          <cell r="C5088" t="str">
            <v>CONJUNTO RESIDENCIAL SAN GABRIEL</v>
          </cell>
          <cell r="D5088" t="str">
            <v>3472884</v>
          </cell>
          <cell r="E5088" t="str">
            <v>admonconjuntosangabriel@gmail.com</v>
          </cell>
          <cell r="F5088" t="str">
            <v>CARRERA 98  48  30</v>
          </cell>
          <cell r="G5088">
            <v>76001</v>
          </cell>
        </row>
        <row r="5089">
          <cell r="A5089" t="str">
            <v>901041691</v>
          </cell>
          <cell r="B5089" t="str">
            <v>3</v>
          </cell>
          <cell r="C5089" t="str">
            <v>CENTROS MEDICOS COLSANITAS SAS</v>
          </cell>
          <cell r="D5089" t="str">
            <v>6466060</v>
          </cell>
          <cell r="E5089" t="str">
            <v>recepcioncentrosmedicoscolsanitas@fe.keralty.com</v>
          </cell>
          <cell r="F5089" t="str">
            <v>AV CL 100 11B 67</v>
          </cell>
          <cell r="G5089">
            <v>76001</v>
          </cell>
        </row>
        <row r="5090">
          <cell r="A5090" t="str">
            <v>901061400</v>
          </cell>
          <cell r="B5090" t="str">
            <v>2</v>
          </cell>
          <cell r="C5090" t="str">
            <v>PATRIMONIOS AUTONOMOS FIDUCIARIA COOMEVA S.A.</v>
          </cell>
          <cell r="D5090">
            <v>3219664011</v>
          </cell>
          <cell r="E5090" t="str">
            <v>recepcion_patrimonios@coomeva.com.co</v>
          </cell>
          <cell r="F5090" t="str">
            <v>Calle 13 57 50</v>
          </cell>
          <cell r="G5090">
            <v>76001</v>
          </cell>
        </row>
        <row r="5091">
          <cell r="A5091" t="str">
            <v>901104989</v>
          </cell>
          <cell r="B5091" t="str">
            <v>4</v>
          </cell>
          <cell r="C5091" t="str">
            <v>CONJUNTO RESIDENCIAL DIVENTO - PROPIEDAD HORIZONTAL</v>
          </cell>
          <cell r="D5091" t="str">
            <v>3002402315</v>
          </cell>
          <cell r="E5091" t="str">
            <v>conjunto.divento@gmail.com</v>
          </cell>
          <cell r="F5091" t="str">
            <v>CALLE 58  4 B  45</v>
          </cell>
          <cell r="G5091">
            <v>76001</v>
          </cell>
        </row>
        <row r="5092">
          <cell r="A5092" t="str">
            <v>901120943</v>
          </cell>
          <cell r="B5092" t="str">
            <v>3</v>
          </cell>
          <cell r="C5092" t="str">
            <v>MALLPLAZA SERVICIOS S A S</v>
          </cell>
          <cell r="D5092" t="str">
            <v>7458787</v>
          </cell>
          <cell r="E5092" t="str">
            <v>facelectronica.col@mallplaza.com</v>
          </cell>
          <cell r="F5092" t="str">
            <v>AV  CL 19 28 80  P 6 OF AD</v>
          </cell>
          <cell r="G5092">
            <v>76001</v>
          </cell>
        </row>
        <row r="5093">
          <cell r="A5093" t="str">
            <v>901136595</v>
          </cell>
          <cell r="B5093" t="str">
            <v>3</v>
          </cell>
          <cell r="C5093" t="str">
            <v>EDIFICIO PALO ALTO PROPIEDAD HORIZONTAL</v>
          </cell>
          <cell r="D5093" t="str">
            <v>3481313</v>
          </cell>
          <cell r="E5093" t="str">
            <v>admonpaloalto2017@gmail.com</v>
          </cell>
          <cell r="F5093" t="str">
            <v>CALLE 16 A  121 A  214</v>
          </cell>
          <cell r="G5093">
            <v>76001</v>
          </cell>
        </row>
        <row r="5094">
          <cell r="A5094" t="str">
            <v>901143710</v>
          </cell>
          <cell r="B5094" t="str">
            <v>3</v>
          </cell>
          <cell r="C5094" t="str">
            <v>CONJUNTO RESIDENCIAL OLIVENZA</v>
          </cell>
          <cell r="D5094" t="str">
            <v>3002402315</v>
          </cell>
          <cell r="E5094" t="str">
            <v>cr.olivenzaph@gmail.com</v>
          </cell>
          <cell r="F5094" t="str">
            <v>CALLE 58 NORTE  4 B  64</v>
          </cell>
          <cell r="G5094">
            <v>76001</v>
          </cell>
        </row>
        <row r="5095">
          <cell r="A5095" t="str">
            <v>901152960</v>
          </cell>
          <cell r="B5095" t="str">
            <v>6</v>
          </cell>
          <cell r="C5095" t="str">
            <v>"CONJUNTO RESIDENCIAL RESERVA CAMPESTRE"-PROPIEDAD HORIZONTAL</v>
          </cell>
          <cell r="D5095" t="str">
            <v>3154184350</v>
          </cell>
          <cell r="E5095" t="str">
            <v>reservacampestreadmon@gmail.com</v>
          </cell>
          <cell r="F5095" t="str">
            <v>CR 122 5 18</v>
          </cell>
          <cell r="G5095">
            <v>76001</v>
          </cell>
        </row>
        <row r="5096">
          <cell r="A5096" t="str">
            <v>901158187</v>
          </cell>
          <cell r="B5096" t="str">
            <v>6</v>
          </cell>
          <cell r="C5096" t="str">
            <v>CLINICA NUEVA DE CALI SAS</v>
          </cell>
          <cell r="D5096" t="str">
            <v>3690820</v>
          </cell>
          <cell r="E5096" t="str">
            <v>facturacion.electronica@clinicanuevadecali.com</v>
          </cell>
          <cell r="F5096" t="str">
            <v>CL 6 8 16</v>
          </cell>
          <cell r="G5096">
            <v>76001</v>
          </cell>
        </row>
        <row r="5097">
          <cell r="A5097" t="str">
            <v>901171680</v>
          </cell>
          <cell r="B5097" t="str">
            <v>1</v>
          </cell>
          <cell r="C5097" t="str">
            <v>CONJUNTO RESIDENCIAL SANTA ANA</v>
          </cell>
          <cell r="D5097" t="str">
            <v>3320080</v>
          </cell>
          <cell r="E5097" t="str">
            <v>admsantaanacr@gmail.com</v>
          </cell>
          <cell r="F5097" t="str">
            <v>CR 98 B 48 127</v>
          </cell>
          <cell r="G5097">
            <v>76001</v>
          </cell>
        </row>
        <row r="5098">
          <cell r="A5098" t="str">
            <v>901182919</v>
          </cell>
          <cell r="B5098" t="str">
            <v>1</v>
          </cell>
          <cell r="C5098" t="str">
            <v>CONJUNTO RESIDENCIAL TIRRENO PROPIEDAD HORIZONTAL</v>
          </cell>
          <cell r="D5098" t="str">
            <v>3216443174</v>
          </cell>
          <cell r="E5098" t="str">
            <v>crtirreno2018@gmail.com</v>
          </cell>
          <cell r="F5098" t="str">
            <v>CL 16A 126 100</v>
          </cell>
          <cell r="G5098">
            <v>76001</v>
          </cell>
        </row>
        <row r="5099">
          <cell r="A5099" t="str">
            <v>901201742</v>
          </cell>
          <cell r="B5099" t="str">
            <v>8</v>
          </cell>
          <cell r="C5099" t="str">
            <v>EDIFICIO SAXO - PROPIEDAD HORIZONTAL</v>
          </cell>
          <cell r="D5099" t="str">
            <v>3165260806</v>
          </cell>
          <cell r="E5099" t="str">
            <v>admonsaxo@gmail.com</v>
          </cell>
          <cell r="F5099" t="str">
            <v>CL 48 99 20</v>
          </cell>
          <cell r="G5099">
            <v>76001</v>
          </cell>
        </row>
        <row r="5100">
          <cell r="A5100" t="str">
            <v>901205599</v>
          </cell>
          <cell r="B5100" t="str">
            <v>9</v>
          </cell>
          <cell r="C5100" t="str">
            <v>APARTAHOTEL B Y E SAS</v>
          </cell>
          <cell r="D5100" t="str">
            <v>4263719</v>
          </cell>
          <cell r="E5100" t="str">
            <v>apartahotelbye@hotmail.com</v>
          </cell>
          <cell r="F5100" t="str">
            <v>CL 48 BIS 90 92</v>
          </cell>
          <cell r="G5100">
            <v>76001</v>
          </cell>
        </row>
        <row r="5101">
          <cell r="A5101" t="str">
            <v>901224589</v>
          </cell>
          <cell r="B5101" t="str">
            <v>6</v>
          </cell>
          <cell r="C5101" t="str">
            <v>CONJUNTO RESIDENCIAL K 106 RATTAN ETAPA I PROPIEDAD HORIZONTAL</v>
          </cell>
          <cell r="D5101" t="str">
            <v>3709280</v>
          </cell>
          <cell r="E5101" t="str">
            <v>crrattan2018@gmail.com</v>
          </cell>
          <cell r="F5101" t="str">
            <v>CR 106 44 67</v>
          </cell>
          <cell r="G5101">
            <v>76001</v>
          </cell>
        </row>
        <row r="5102">
          <cell r="A5102" t="str">
            <v>901227650</v>
          </cell>
          <cell r="B5102" t="str">
            <v>1</v>
          </cell>
          <cell r="C5102" t="str">
            <v>SOLEVANTE ETAPA I PROPIEDAD HORIZONTAL</v>
          </cell>
          <cell r="D5102" t="str">
            <v>3165260806</v>
          </cell>
          <cell r="E5102" t="str">
            <v>solevanteadmon@gmail.com</v>
          </cell>
          <cell r="F5102" t="str">
            <v>CARRERA 3 17 OESTE-145</v>
          </cell>
          <cell r="G5102">
            <v>76001</v>
          </cell>
        </row>
        <row r="5103">
          <cell r="A5103" t="str">
            <v>901238131</v>
          </cell>
          <cell r="B5103" t="str">
            <v>8</v>
          </cell>
          <cell r="C5103" t="str">
            <v>EDIFICIO LEFORET - SANTA MONICA ALTA</v>
          </cell>
          <cell r="D5103" t="str">
            <v>3165260806</v>
          </cell>
          <cell r="E5103" t="str">
            <v>edleforetsantamonica@gmail.com</v>
          </cell>
          <cell r="F5103" t="str">
            <v>AV 10 NORTE 24 A N 5</v>
          </cell>
          <cell r="G5103">
            <v>76001</v>
          </cell>
        </row>
        <row r="5104">
          <cell r="A5104" t="str">
            <v>901240042</v>
          </cell>
          <cell r="B5104" t="str">
            <v>7</v>
          </cell>
          <cell r="C5104" t="str">
            <v>EDIFICIO PIANO - PROPIEDAD HORIZONTAL</v>
          </cell>
          <cell r="D5104" t="str">
            <v>3165260806</v>
          </cell>
          <cell r="E5104" t="str">
            <v>admonedificiopiano@gmail.com</v>
          </cell>
          <cell r="F5104" t="str">
            <v>CL 48 99 83</v>
          </cell>
          <cell r="G5104">
            <v>76001</v>
          </cell>
        </row>
        <row r="5105">
          <cell r="A5105" t="str">
            <v>901241382</v>
          </cell>
          <cell r="B5105" t="str">
            <v>0</v>
          </cell>
          <cell r="C5105" t="str">
            <v>CONJUNTO RESIDENCIAL K 108 - CEDRO ETAPA I - PROPIEDAD HORIZONTAL</v>
          </cell>
          <cell r="D5105" t="str">
            <v>3216443174</v>
          </cell>
          <cell r="E5105" t="str">
            <v>crcedro2018@gmail.com</v>
          </cell>
          <cell r="F5105" t="str">
            <v>CR 108   42   92</v>
          </cell>
          <cell r="G5105">
            <v>76001</v>
          </cell>
        </row>
        <row r="5106">
          <cell r="A5106" t="str">
            <v>901242969</v>
          </cell>
          <cell r="B5106" t="str">
            <v>8</v>
          </cell>
          <cell r="C5106" t="str">
            <v>MARBELLA CONJUNTO RESIDENCIAL ET I - PROPIEDAD HORIZONTAL</v>
          </cell>
          <cell r="D5106" t="str">
            <v>3165260806</v>
          </cell>
          <cell r="E5106" t="str">
            <v>crmarbellaadmon@gmail.com</v>
          </cell>
          <cell r="F5106" t="str">
            <v>CL 28 100 36</v>
          </cell>
          <cell r="G5106">
            <v>76001</v>
          </cell>
        </row>
        <row r="5107">
          <cell r="A5107" t="str">
            <v>901243344</v>
          </cell>
          <cell r="B5107" t="str">
            <v>1</v>
          </cell>
          <cell r="C5107" t="str">
            <v>DACOTA - PROPIEDAD HORIZONTAL</v>
          </cell>
          <cell r="D5107" t="str">
            <v>3165260806</v>
          </cell>
          <cell r="E5107" t="str">
            <v>admondacota@gmail.com</v>
          </cell>
          <cell r="F5107" t="str">
            <v>CL 5 121 B 56</v>
          </cell>
          <cell r="G5107">
            <v>76001</v>
          </cell>
        </row>
        <row r="5108">
          <cell r="A5108" t="str">
            <v>901279251</v>
          </cell>
          <cell r="B5108" t="str">
            <v>9</v>
          </cell>
          <cell r="C5108" t="str">
            <v>"CHELO CONJUNTO RESIDENCIAL ETAPA 1" - PROPIEDAD HORIZONTAL</v>
          </cell>
          <cell r="D5108" t="str">
            <v>3016067230</v>
          </cell>
          <cell r="E5108" t="str">
            <v>admonchelo@gmail.com</v>
          </cell>
          <cell r="F5108" t="str">
            <v>CALLE 48 99-75</v>
          </cell>
          <cell r="G5108">
            <v>76001</v>
          </cell>
        </row>
        <row r="5109">
          <cell r="A5109" t="str">
            <v>901287603</v>
          </cell>
          <cell r="B5109" t="str">
            <v>1</v>
          </cell>
          <cell r="C5109" t="str">
            <v>EDIFICIO MIXTO LA FLORA 58-6 - PROPIEDAD HORIZONTAL</v>
          </cell>
          <cell r="D5109" t="str">
            <v>3014606640</v>
          </cell>
          <cell r="E5109" t="str">
            <v>laflora586admon@gmail.com</v>
          </cell>
          <cell r="F5109" t="str">
            <v>CL 58 NORTE 5 B 98</v>
          </cell>
          <cell r="G5109">
            <v>76001</v>
          </cell>
        </row>
        <row r="5110">
          <cell r="A5110" t="str">
            <v>901290880</v>
          </cell>
          <cell r="B5110" t="str">
            <v>6</v>
          </cell>
          <cell r="C5110" t="str">
            <v>HOTEL APARTASUITE TADEUS S.A.S.</v>
          </cell>
          <cell r="D5110" t="str">
            <v>3481998</v>
          </cell>
          <cell r="E5110" t="str">
            <v>hoteltadeus@gmail.com</v>
          </cell>
          <cell r="F5110" t="str">
            <v>CARRERA 83 No. 20-08</v>
          </cell>
          <cell r="G5110">
            <v>76001</v>
          </cell>
        </row>
        <row r="5111">
          <cell r="A5111" t="str">
            <v>901296806</v>
          </cell>
          <cell r="B5111" t="str">
            <v>8</v>
          </cell>
          <cell r="C5111" t="str">
            <v>UNIVERSA OPERACIONES SAS</v>
          </cell>
          <cell r="D5111" t="str">
            <v>2668655</v>
          </cell>
          <cell r="E5111" t="str">
            <v>recepcionfacturas@universa.com.co</v>
          </cell>
          <cell r="F5111" t="str">
            <v>CL 10 32 115 OF 400</v>
          </cell>
          <cell r="G5111">
            <v>76001</v>
          </cell>
        </row>
        <row r="5112">
          <cell r="A5112" t="str">
            <v>901301962</v>
          </cell>
          <cell r="B5112" t="str">
            <v>0</v>
          </cell>
          <cell r="C5112" t="str">
            <v>EDIFICIOS CIELOS DE CIUDAD PACIFICA VIS</v>
          </cell>
          <cell r="D5112" t="str">
            <v>3002402315</v>
          </cell>
          <cell r="E5112" t="str">
            <v>admoncielos@gmail.com</v>
          </cell>
          <cell r="F5112" t="str">
            <v>CR 121 47 A 123</v>
          </cell>
          <cell r="G5112">
            <v>76001</v>
          </cell>
        </row>
        <row r="5113">
          <cell r="A5113" t="str">
            <v>901311883</v>
          </cell>
          <cell r="B5113" t="str">
            <v>1</v>
          </cell>
          <cell r="C5113" t="str">
            <v>EDIFICIO SAMAN DEL RIO PROPIEDAD HORIZONTAL</v>
          </cell>
          <cell r="D5113" t="str">
            <v>3188474140</v>
          </cell>
          <cell r="E5113" t="str">
            <v>edificiosamandelrio@gmail.com</v>
          </cell>
          <cell r="F5113" t="str">
            <v>CARRERA 1 11 OESTE-77</v>
          </cell>
          <cell r="G5113">
            <v>76001</v>
          </cell>
        </row>
        <row r="5114">
          <cell r="A5114" t="str">
            <v>901329048</v>
          </cell>
          <cell r="B5114" t="str">
            <v>5</v>
          </cell>
          <cell r="C5114" t="str">
            <v>TIKKAL ETAPA 1 - PROPIEDAD HORIZONTAL</v>
          </cell>
          <cell r="D5114" t="str">
            <v>3165260806</v>
          </cell>
          <cell r="E5114" t="str">
            <v>admontikkal@gmail.com</v>
          </cell>
          <cell r="F5114" t="str">
            <v>CL 16 A 121 BRR PANCE</v>
          </cell>
          <cell r="G5114">
            <v>76001</v>
          </cell>
        </row>
        <row r="5115">
          <cell r="A5115" t="str">
            <v>901331844</v>
          </cell>
          <cell r="B5115" t="str">
            <v>8</v>
          </cell>
          <cell r="C5115" t="str">
            <v>IKSO SAS</v>
          </cell>
          <cell r="D5115" t="str">
            <v>6017420404</v>
          </cell>
          <cell r="E5115" t="str">
            <v>dte_9013318448@dte.paperless.com.co</v>
          </cell>
          <cell r="F5115" t="str">
            <v>Calle 99 No. 11A-32</v>
          </cell>
          <cell r="G5115">
            <v>76001</v>
          </cell>
        </row>
        <row r="5116">
          <cell r="A5116" t="str">
            <v>901346912</v>
          </cell>
          <cell r="B5116" t="str">
            <v>6</v>
          </cell>
          <cell r="C5116" t="str">
            <v>EDIFICIO PARQUE KRABI-PROPIEDAD HORIZONTAL</v>
          </cell>
          <cell r="D5116" t="str">
            <v>3165260806</v>
          </cell>
          <cell r="E5116" t="str">
            <v>parquekrabi@gmail.com</v>
          </cell>
          <cell r="F5116" t="str">
            <v>CR 77 13 A 1 38</v>
          </cell>
          <cell r="G5116">
            <v>76001</v>
          </cell>
        </row>
        <row r="5117">
          <cell r="A5117" t="str">
            <v>901364175</v>
          </cell>
          <cell r="B5117" t="str">
            <v>0</v>
          </cell>
          <cell r="C5117" t="str">
            <v>CONSTRUCORP DISEÑO, GERENCIA Y CONSTRUCCIÓN SAS</v>
          </cell>
          <cell r="D5117" t="str">
            <v>601-6183655</v>
          </cell>
          <cell r="E5117" t="str">
            <v>construcorpdgc@gmail.com</v>
          </cell>
          <cell r="F5117" t="str">
            <v>CALLE 95 13 - 09 OF.405</v>
          </cell>
          <cell r="G5117">
            <v>76001</v>
          </cell>
        </row>
        <row r="5118">
          <cell r="A5118" t="str">
            <v>901364620</v>
          </cell>
          <cell r="B5118" t="str">
            <v>7</v>
          </cell>
          <cell r="C5118" t="str">
            <v>D-KO APARTAMENTOS - PROPIEDAD HORIZONTAL</v>
          </cell>
          <cell r="D5118" t="str">
            <v>316 526 08 06</v>
          </cell>
          <cell r="E5118" t="str">
            <v>admondko@gmail.com</v>
          </cell>
          <cell r="F5118" t="str">
            <v>AV 7 66 NORTE 15</v>
          </cell>
          <cell r="G5118">
            <v>76001</v>
          </cell>
        </row>
        <row r="5119">
          <cell r="A5119" t="str">
            <v>901377765</v>
          </cell>
          <cell r="B5119" t="str">
            <v>2</v>
          </cell>
          <cell r="C5119" t="str">
            <v>MADERO - PROPIEDAD HORIZONTAL</v>
          </cell>
          <cell r="D5119" t="str">
            <v>3168760678</v>
          </cell>
          <cell r="E5119" t="str">
            <v>maderoph@gmail.com</v>
          </cell>
          <cell r="F5119" t="str">
            <v>CARRERA 56 No. 1B - 111</v>
          </cell>
          <cell r="G5119">
            <v>76001</v>
          </cell>
        </row>
        <row r="5120">
          <cell r="A5120" t="str">
            <v>901425258</v>
          </cell>
          <cell r="B5120" t="str">
            <v>6</v>
          </cell>
          <cell r="C5120" t="str">
            <v>EDIFICIO GRATTA PROPIEDAD HORIZONTAL</v>
          </cell>
          <cell r="D5120" t="str">
            <v>4845158</v>
          </cell>
          <cell r="E5120" t="str">
            <v>edificiogratta01@gmail.com</v>
          </cell>
          <cell r="F5120" t="str">
            <v>CR 121 A 42 16</v>
          </cell>
          <cell r="G5120">
            <v>76001</v>
          </cell>
        </row>
        <row r="5121">
          <cell r="A5121" t="str">
            <v>901459130</v>
          </cell>
          <cell r="B5121" t="str">
            <v>9</v>
          </cell>
          <cell r="C5121" t="str">
            <v>BANYO CONJUNTO RESIDENCIAL ETAPA 1</v>
          </cell>
          <cell r="D5121" t="str">
            <v>3154184350</v>
          </cell>
          <cell r="E5121" t="str">
            <v>admonbanyo@gmail.com</v>
          </cell>
          <cell r="F5121" t="str">
            <v>CLL 50 99 74</v>
          </cell>
          <cell r="G5121">
            <v>76001</v>
          </cell>
        </row>
        <row r="5122">
          <cell r="A5122" t="str">
            <v>901469261</v>
          </cell>
          <cell r="B5122" t="str">
            <v>8</v>
          </cell>
          <cell r="C5122" t="str">
            <v>"EDIFICIO NUEVO VERSALLES " - PROPIEDAD HORIZONTAL</v>
          </cell>
          <cell r="D5122" t="str">
            <v>3128404110</v>
          </cell>
          <cell r="E5122" t="str">
            <v>megonzalez268@hotmail.com</v>
          </cell>
          <cell r="F5122" t="str">
            <v>AVENIDA 4N 17 - 43</v>
          </cell>
          <cell r="G5122">
            <v>76001</v>
          </cell>
        </row>
        <row r="5123">
          <cell r="A5123" t="str">
            <v>901498283</v>
          </cell>
          <cell r="B5123" t="str">
            <v>3</v>
          </cell>
          <cell r="C5123" t="str">
            <v>"EDIFICO NORDIKA" PROPIEDAD - HORIZONTAL</v>
          </cell>
          <cell r="D5123" t="str">
            <v>3002402315</v>
          </cell>
          <cell r="E5123" t="str">
            <v>edificionordika@gmail.com</v>
          </cell>
          <cell r="F5123" t="str">
            <v>AV 4 B No 52 NORTE -53</v>
          </cell>
          <cell r="G5123">
            <v>76001</v>
          </cell>
        </row>
        <row r="5124">
          <cell r="A5124" t="str">
            <v>901507831</v>
          </cell>
          <cell r="B5124" t="str">
            <v>1</v>
          </cell>
          <cell r="C5124" t="str">
            <v>K 104 MAPLE CONJUNTO RESIDENCIAL ETAPA I PROPIEDAD HORIZONTAL</v>
          </cell>
          <cell r="D5124" t="str">
            <v>3163061596</v>
          </cell>
          <cell r="E5124" t="str">
            <v>admonk104maple@gmail.com</v>
          </cell>
          <cell r="F5124" t="str">
            <v>CARRERA 104 44-69</v>
          </cell>
          <cell r="G5124">
            <v>76001</v>
          </cell>
        </row>
        <row r="5125">
          <cell r="A5125" t="str">
            <v>901522623</v>
          </cell>
          <cell r="B5125" t="str">
            <v>7</v>
          </cell>
          <cell r="C5125" t="str">
            <v>CONJUNTO RESIDENCIAL ALTOLIVING VIS PROPIEDAD HORIZONTAL</v>
          </cell>
          <cell r="D5125" t="str">
            <v>3002402315</v>
          </cell>
          <cell r="E5125" t="str">
            <v>altolivingapartamentos@gmail.com</v>
          </cell>
          <cell r="F5125" t="str">
            <v>AV 5 B 52 NORTE 58</v>
          </cell>
          <cell r="G5125">
            <v>76001</v>
          </cell>
        </row>
        <row r="5126">
          <cell r="A5126" t="str">
            <v>901558032</v>
          </cell>
          <cell r="B5126" t="str">
            <v>1</v>
          </cell>
          <cell r="C5126" t="str">
            <v>RÍO LILY S.A.S.</v>
          </cell>
          <cell r="D5126" t="str">
            <v>6023331000</v>
          </cell>
          <cell r="E5126" t="str">
            <v>edificio.rio.lily@gmail.com</v>
          </cell>
          <cell r="F5126" t="str">
            <v>CR 108 14 A 40 ESQ</v>
          </cell>
          <cell r="G5126">
            <v>76001</v>
          </cell>
        </row>
        <row r="5127">
          <cell r="A5127" t="str">
            <v>901576504</v>
          </cell>
          <cell r="B5127" t="str">
            <v>0</v>
          </cell>
          <cell r="C5127" t="str">
            <v>CONJUNTO SANTA ANITA RESERVA - PROPIEDAD HORIZONTAL</v>
          </cell>
          <cell r="D5127" t="str">
            <v>3185268493</v>
          </cell>
          <cell r="E5127" t="str">
            <v>admonsantaanitareserva@gmail.com</v>
          </cell>
          <cell r="F5127" t="str">
            <v>CL 11 B 58 37</v>
          </cell>
          <cell r="G5127">
            <v>76001</v>
          </cell>
        </row>
        <row r="5128">
          <cell r="A5128" t="str">
            <v>901578778</v>
          </cell>
          <cell r="B5128" t="str">
            <v>0</v>
          </cell>
          <cell r="C5128" t="str">
            <v>CONJUNTO RESIDENCIAL CARACOLI</v>
          </cell>
          <cell r="D5128" t="str">
            <v>4845158</v>
          </cell>
          <cell r="E5128" t="str">
            <v>crcaracoli@gmail.com</v>
          </cell>
          <cell r="F5128" t="str">
            <v>CL 60 B 107 75</v>
          </cell>
          <cell r="G5128">
            <v>76001</v>
          </cell>
        </row>
        <row r="5129">
          <cell r="A5129" t="str">
            <v>901579790</v>
          </cell>
          <cell r="B5129" t="str">
            <v>4</v>
          </cell>
          <cell r="C5129" t="str">
            <v>EDIFICIO MULTIFAMILIAR ARTIKO 66 - PROPIEDAD HORIZONTAL</v>
          </cell>
          <cell r="D5129" t="str">
            <v>3173644641</v>
          </cell>
          <cell r="E5129" t="str">
            <v>admonartiko66@gmail.com</v>
          </cell>
          <cell r="F5129" t="str">
            <v>AV 9 56 NORTE 140</v>
          </cell>
          <cell r="G5129">
            <v>76001</v>
          </cell>
        </row>
        <row r="5130">
          <cell r="A5130" t="str">
            <v>901591116</v>
          </cell>
          <cell r="B5130" t="str">
            <v>9</v>
          </cell>
          <cell r="C5130" t="str">
            <v>CONJUNTO RESIDENCIAL LAZIO</v>
          </cell>
          <cell r="D5130" t="str">
            <v>3147558631</v>
          </cell>
          <cell r="E5130" t="str">
            <v>conjuntolazio@gmail.com</v>
          </cell>
          <cell r="F5130" t="str">
            <v>Avenida 2c # 71n-62</v>
          </cell>
          <cell r="G5130">
            <v>76001</v>
          </cell>
        </row>
        <row r="5131">
          <cell r="A5131" t="str">
            <v>901591892</v>
          </cell>
          <cell r="B5131" t="str">
            <v>6</v>
          </cell>
          <cell r="C5131" t="str">
            <v>CONJUNTO RESIDENCIAL TOSCANA 70 Y MALL TOSCANA 70</v>
          </cell>
          <cell r="D5131" t="str">
            <v>3147558631</v>
          </cell>
          <cell r="E5131" t="str">
            <v>toscana070@gmail.com</v>
          </cell>
          <cell r="F5131" t="str">
            <v>CL 70 NORTE 2B 30</v>
          </cell>
          <cell r="G5131">
            <v>76001</v>
          </cell>
        </row>
        <row r="5132">
          <cell r="A5132" t="str">
            <v>901593393</v>
          </cell>
          <cell r="B5132" t="str">
            <v>1</v>
          </cell>
          <cell r="C5132" t="str">
            <v>ULIFE OPERADOR DE EXPERIENCIAS SAS</v>
          </cell>
          <cell r="D5132" t="str">
            <v>7459058</v>
          </cell>
          <cell r="E5132" t="str">
            <v>proveedores@ulife.com.co</v>
          </cell>
          <cell r="F5132" t="str">
            <v>CL19 NO. 2 A - 10 P 4 BRR LAS AGUAS</v>
          </cell>
          <cell r="G5132">
            <v>76001</v>
          </cell>
        </row>
        <row r="5133">
          <cell r="A5133" t="str">
            <v>901620541</v>
          </cell>
          <cell r="B5133" t="str">
            <v>1</v>
          </cell>
          <cell r="C5133" t="str">
            <v>CONJUNTO RESIDENCIAL AGAVE - PROPIEDAD HORIZONTAL</v>
          </cell>
          <cell r="D5133" t="str">
            <v>3117481212</v>
          </cell>
          <cell r="E5133" t="str">
            <v>conjuntoresidencialagave@gmail.com</v>
          </cell>
          <cell r="F5133" t="str">
            <v>CL 60 B 108 41</v>
          </cell>
          <cell r="G5133">
            <v>76001</v>
          </cell>
        </row>
        <row r="5134">
          <cell r="A5134" t="str">
            <v>901623460</v>
          </cell>
          <cell r="B5134" t="str">
            <v>7</v>
          </cell>
          <cell r="C5134" t="str">
            <v>CONJUNTO NACAR B - VIS - PROPIEDAD HORIZONTAL</v>
          </cell>
          <cell r="D5134" t="str">
            <v>3103327727</v>
          </cell>
          <cell r="E5134" t="str">
            <v>conjuntonacarb@gmail.com</v>
          </cell>
          <cell r="F5134" t="str">
            <v>Cra 97 BIS 58 - 50</v>
          </cell>
          <cell r="G5134">
            <v>76001</v>
          </cell>
        </row>
        <row r="5135">
          <cell r="A5135" t="str">
            <v>901623468</v>
          </cell>
          <cell r="B5135" t="str">
            <v>5</v>
          </cell>
          <cell r="C5135" t="str">
            <v>AGRUPACION NACAR - PROPIEDAD HORIZONTAL</v>
          </cell>
          <cell r="D5135" t="str">
            <v>3103327727</v>
          </cell>
          <cell r="E5135" t="str">
            <v>admonnacar@gmail.com</v>
          </cell>
          <cell r="F5135" t="str">
            <v>CL 59 Y 61 CR 93 Y 95 BRR CIUDAD MELENDEZ</v>
          </cell>
          <cell r="G5135">
            <v>76001</v>
          </cell>
        </row>
        <row r="5136">
          <cell r="A5136" t="str">
            <v>901623472</v>
          </cell>
          <cell r="B5136" t="str">
            <v>5</v>
          </cell>
          <cell r="C5136" t="str">
            <v>CONJUNTO NACAR A - VIS - PROPIEDAD HORIZONTAL</v>
          </cell>
          <cell r="D5136" t="str">
            <v>3103327727</v>
          </cell>
          <cell r="E5136" t="str">
            <v>conjuntonacara@gmail.com</v>
          </cell>
          <cell r="F5136" t="str">
            <v>CL 59 97 BIS 46 BRR CIUDAD MELENDEZ</v>
          </cell>
          <cell r="G5136">
            <v>76001</v>
          </cell>
        </row>
        <row r="5137">
          <cell r="A5137" t="str">
            <v>901629909</v>
          </cell>
          <cell r="B5137" t="str">
            <v>9</v>
          </cell>
          <cell r="C5137" t="str">
            <v>CONJUNTO RESIDENCIAL ACACIAS - PROPIEDAD HORIZONTAL</v>
          </cell>
          <cell r="D5137" t="str">
            <v>3218465382</v>
          </cell>
          <cell r="E5137" t="str">
            <v>cracacias.admon@gmail.com</v>
          </cell>
          <cell r="F5137" t="str">
            <v>CL 60 B 107 148</v>
          </cell>
          <cell r="G5137">
            <v>76001</v>
          </cell>
        </row>
        <row r="5138">
          <cell r="A5138" t="str">
            <v>901640754</v>
          </cell>
          <cell r="B5138" t="str">
            <v>9</v>
          </cell>
          <cell r="C5138" t="str">
            <v>CONJUNTO RESIDENCIAL JACARANDA - PROPIEDAD HORIZONTAL</v>
          </cell>
          <cell r="D5138" t="str">
            <v>3127601093</v>
          </cell>
          <cell r="E5138" t="str">
            <v>admon1jacaranda@gmail.com</v>
          </cell>
          <cell r="F5138" t="str">
            <v>CL 108 60 A 26</v>
          </cell>
          <cell r="G5138">
            <v>76001</v>
          </cell>
        </row>
        <row r="5139">
          <cell r="A5139" t="str">
            <v>901644062</v>
          </cell>
          <cell r="B5139" t="str">
            <v>9</v>
          </cell>
          <cell r="C5139" t="str">
            <v>"CONJUNTO RESIDENCIAL RIOJA" - PROPIEDAD HORIZONTAL</v>
          </cell>
          <cell r="D5139" t="str">
            <v>311 748 12 12</v>
          </cell>
          <cell r="E5139" t="str">
            <v>c.residencialrioja@gmail.com</v>
          </cell>
          <cell r="F5139" t="str">
            <v>CL 54 94 24</v>
          </cell>
          <cell r="G5139">
            <v>76001</v>
          </cell>
        </row>
        <row r="5140">
          <cell r="A5140" t="str">
            <v>901656889</v>
          </cell>
          <cell r="B5140" t="str">
            <v>4</v>
          </cell>
          <cell r="C5140" t="str">
            <v>EDIFICIO ALTO PALERMO- PROPIEDAD HORIZONTAL</v>
          </cell>
          <cell r="D5140" t="str">
            <v>3174044429</v>
          </cell>
          <cell r="E5140" t="str">
            <v>cartera@pactoinmobiliario.com</v>
          </cell>
          <cell r="F5140" t="str">
            <v>CR 3 OESTE 5 124 128</v>
          </cell>
          <cell r="G5140">
            <v>76001</v>
          </cell>
        </row>
        <row r="5141">
          <cell r="A5141" t="str">
            <v>901661777</v>
          </cell>
          <cell r="B5141" t="str">
            <v>8</v>
          </cell>
          <cell r="C5141" t="str">
            <v>CONJUNTO MULTIFAMILAR AVELLANA - PROPIEDAD HORIZONTAL</v>
          </cell>
          <cell r="D5141">
            <v>3219664011</v>
          </cell>
          <cell r="E5141" t="str">
            <v>admonavellana24@gmail.com</v>
          </cell>
          <cell r="F5141" t="str">
            <v>CL 55 103 125</v>
          </cell>
          <cell r="G5141">
            <v>76001</v>
          </cell>
        </row>
        <row r="5142">
          <cell r="A5142" t="str">
            <v>901674187</v>
          </cell>
          <cell r="B5142" t="str">
            <v>9</v>
          </cell>
          <cell r="C5142" t="str">
            <v>CONJUNTO MULTIFAMILIAR CRISTALES WEST ETAPA 1 PROPIEDAD HORIZONTAL</v>
          </cell>
          <cell r="D5142" t="str">
            <v>5589894</v>
          </cell>
          <cell r="E5142" t="str">
            <v>admoncristaleswest@gmail.com</v>
          </cell>
          <cell r="F5142" t="str">
            <v xml:space="preserve">CR 36 D 12 OESTE 203
</v>
          </cell>
          <cell r="G5142">
            <v>76001</v>
          </cell>
        </row>
        <row r="5143">
          <cell r="A5143" t="str">
            <v>901681231</v>
          </cell>
          <cell r="B5143" t="str">
            <v>4</v>
          </cell>
          <cell r="C5143" t="str">
            <v>CONJUNTO RESIDENCIAL ROSALES - PROPIEDAD HORIZONTAL</v>
          </cell>
          <cell r="D5143" t="str">
            <v>3 1 1 7 4 8 1 2 1 2</v>
          </cell>
          <cell r="E5143" t="str">
            <v>rosalesviveroparqueresidencial@gmail.com</v>
          </cell>
          <cell r="F5143" t="str">
            <v>CR 108 60 30 POR 1 Y CL 60 BIS 108 90 POR 2</v>
          </cell>
          <cell r="G5143">
            <v>76001</v>
          </cell>
        </row>
        <row r="5144">
          <cell r="A5144" t="str">
            <v>901681929</v>
          </cell>
          <cell r="B5144" t="str">
            <v>6</v>
          </cell>
          <cell r="C5144" t="str">
            <v>CONJUNTO RESIDENCIAL PORTOBELO - PROPIEDAD HORIZONTAL</v>
          </cell>
          <cell r="D5144" t="str">
            <v>3218594998</v>
          </cell>
          <cell r="E5144" t="str">
            <v>conjuntoportobeloph@gmail.com</v>
          </cell>
          <cell r="F5144" t="str">
            <v>CARRERA 103 53 138</v>
          </cell>
          <cell r="G5144">
            <v>76001</v>
          </cell>
        </row>
        <row r="5145">
          <cell r="A5145" t="str">
            <v>901682136</v>
          </cell>
          <cell r="B5145" t="str">
            <v>7</v>
          </cell>
          <cell r="C5145" t="str">
            <v>INVERSIONES ARBAL 1A S.A.S.</v>
          </cell>
          <cell r="D5145" t="str">
            <v>3002713293</v>
          </cell>
          <cell r="E5145" t="str">
            <v>inversionesarbal1a@hotmail.com</v>
          </cell>
          <cell r="F5145" t="str">
            <v>cl 14 #8-18</v>
          </cell>
          <cell r="G5145">
            <v>76001</v>
          </cell>
        </row>
        <row r="5146">
          <cell r="A5146" t="str">
            <v>901722365</v>
          </cell>
          <cell r="B5146" t="str">
            <v>1</v>
          </cell>
          <cell r="C5146" t="str">
            <v>CONJUNTO SEPIA - VIS - PROPIEDAD HORIZONTAL</v>
          </cell>
          <cell r="D5146" t="str">
            <v>6023709280</v>
          </cell>
          <cell r="E5146" t="str">
            <v>crsepia2023@gmail.com</v>
          </cell>
          <cell r="F5146" t="str">
            <v xml:space="preserve">CR 98 59 46 CR 98 B 59 75
</v>
          </cell>
          <cell r="G5146">
            <v>76001</v>
          </cell>
        </row>
        <row r="5147">
          <cell r="A5147" t="str">
            <v>901738793</v>
          </cell>
          <cell r="B5147" t="str">
            <v>9</v>
          </cell>
          <cell r="C5147" t="str">
            <v>AGRUPACION SAHARA - VIS - PROPIEDAD HORIZONTAL</v>
          </cell>
          <cell r="D5147" t="str">
            <v>3202596629</v>
          </cell>
          <cell r="E5147" t="str">
            <v>agrupacionsahara@gmail.com</v>
          </cell>
          <cell r="F5147" t="str">
            <v>CL 58 Y 59 CR 98 C Y 98 F</v>
          </cell>
          <cell r="G5147">
            <v>76001</v>
          </cell>
        </row>
        <row r="5148">
          <cell r="A5148" t="str">
            <v>901739677</v>
          </cell>
          <cell r="B5148" t="str">
            <v>7</v>
          </cell>
          <cell r="C5148" t="str">
            <v>CONJUNTO SAHARA - A - VIS - PROPIEDAD HORIZONTAL</v>
          </cell>
          <cell r="D5148" t="str">
            <v>3202596629</v>
          </cell>
          <cell r="E5148" t="str">
            <v>admonsaharaa@gmail.com</v>
          </cell>
          <cell r="F5148" t="str">
            <v>CR 98 C 58 72</v>
          </cell>
          <cell r="G5148">
            <v>76001</v>
          </cell>
        </row>
        <row r="5149">
          <cell r="A5149" t="str">
            <v>901740981</v>
          </cell>
          <cell r="B5149" t="str">
            <v>3</v>
          </cell>
          <cell r="C5149" t="str">
            <v>CONJUNTO SAHARA B - VIS - PROPIEDAD HORIZONTAL</v>
          </cell>
          <cell r="D5149" t="str">
            <v>3202596629</v>
          </cell>
          <cell r="E5149" t="str">
            <v>admonsaharab@gmail.com</v>
          </cell>
          <cell r="F5149" t="str">
            <v>CL 58 98 C 91</v>
          </cell>
          <cell r="G5149">
            <v>76001</v>
          </cell>
        </row>
        <row r="5150">
          <cell r="A5150" t="str">
            <v>901770797</v>
          </cell>
          <cell r="B5150" t="str">
            <v>2</v>
          </cell>
          <cell r="C5150" t="str">
            <v>CONJUNTO SAHARA C - VIS - PROPIEDAD HORIZONTAL</v>
          </cell>
          <cell r="D5150" t="str">
            <v>3202596629</v>
          </cell>
          <cell r="E5150" t="str">
            <v>admonsaharac@gmail.com</v>
          </cell>
          <cell r="F5150" t="str">
            <v>CL 59 98 C 114 BRR CIUDAD MELENDEZ</v>
          </cell>
          <cell r="G5150">
            <v>76001</v>
          </cell>
        </row>
        <row r="5151">
          <cell r="A5151" t="str">
            <v>901885706</v>
          </cell>
          <cell r="B5151" t="str">
            <v>7</v>
          </cell>
          <cell r="C5151" t="str">
            <v>CONJUNTO RESIDENCIAL VISTA OESTE - PROPIEDAD HORIZONTAL</v>
          </cell>
          <cell r="D5151" t="str">
            <v>3113390697</v>
          </cell>
          <cell r="E5151" t="str">
            <v>dianaabdulrahin@gmail.com</v>
          </cell>
          <cell r="F5151" t="str">
            <v>TV 15 OESTE 3A 21</v>
          </cell>
          <cell r="G5151">
            <v>76001</v>
          </cell>
        </row>
        <row r="5152">
          <cell r="A5152" t="str">
            <v>94528506</v>
          </cell>
          <cell r="B5152" t="str">
            <v>4</v>
          </cell>
          <cell r="C5152" t="str">
            <v>MILTON FABIAN VELEZ OJEDA</v>
          </cell>
          <cell r="D5152" t="str">
            <v>6015209227</v>
          </cell>
          <cell r="E5152" t="str">
            <v>jperdomo@accionraiz.com</v>
          </cell>
          <cell r="F5152" t="str">
            <v>CL 114 47 A 63 CA 102</v>
          </cell>
          <cell r="G5152">
            <v>76001</v>
          </cell>
        </row>
        <row r="5153">
          <cell r="A5153" t="str">
            <v>71411284</v>
          </cell>
          <cell r="B5153" t="str">
            <v>7</v>
          </cell>
          <cell r="C5153" t="str">
            <v>JOHNY ALBERTO AGUDELO BERRIO</v>
          </cell>
          <cell r="D5153" t="str">
            <v>3218009063</v>
          </cell>
          <cell r="E5153" t="str">
            <v>cristianandres0525@hotmail.com</v>
          </cell>
          <cell r="F5153" t="str">
            <v>CALLE 6  23 A  22</v>
          </cell>
          <cell r="G5153">
            <v>76109</v>
          </cell>
        </row>
        <row r="5154">
          <cell r="A5154" t="str">
            <v>800084048</v>
          </cell>
          <cell r="B5154" t="str">
            <v>5</v>
          </cell>
          <cell r="C5154" t="str">
            <v>SOCIEDAD PORTUARIA TERMINAL DE CONTENEDORES DE BUENAVENTURA S.A.</v>
          </cell>
          <cell r="D5154" t="str">
            <v>2410240</v>
          </cell>
          <cell r="E5154" t="str">
            <v>800084048@factureinbox.co</v>
          </cell>
          <cell r="F5154" t="str">
            <v>CARRERA 28 A  7  152 BRR INMACULADA VIA INTERNA ALTERNA</v>
          </cell>
          <cell r="G5154">
            <v>76109</v>
          </cell>
        </row>
        <row r="5155">
          <cell r="A5155" t="str">
            <v>830510371</v>
          </cell>
          <cell r="B5155" t="str">
            <v>7</v>
          </cell>
          <cell r="C5155" t="str">
            <v>INVERSIONES ALIANZA S.A.</v>
          </cell>
          <cell r="D5155" t="str">
            <v>2414623</v>
          </cell>
          <cell r="E5155" t="str">
            <v>chanycortes064@gmail.com</v>
          </cell>
          <cell r="F5155" t="str">
            <v>CARRERA 3  3  26</v>
          </cell>
          <cell r="G5155">
            <v>76109</v>
          </cell>
        </row>
        <row r="5156">
          <cell r="A5156" t="str">
            <v>835000771</v>
          </cell>
          <cell r="B5156" t="str">
            <v>1</v>
          </cell>
          <cell r="C5156" t="str">
            <v>INTENDENCIA REGIONAL DIMAR 1</v>
          </cell>
          <cell r="D5156" t="str">
            <v>3145890067</v>
          </cell>
          <cell r="E5156" t="str">
            <v>Siifnacion.facturaelectronica@minhacienda.gov.co</v>
          </cell>
          <cell r="F5156" t="str">
            <v>CALLE 2  1  03</v>
          </cell>
          <cell r="G5156">
            <v>76109</v>
          </cell>
        </row>
        <row r="5157">
          <cell r="A5157" t="str">
            <v>860061903</v>
          </cell>
          <cell r="B5157" t="str">
            <v>7</v>
          </cell>
          <cell r="C5157" t="str">
            <v>ALMACENADORA COLOMBIANA S.A C.I</v>
          </cell>
          <cell r="D5157" t="str">
            <v>2482322</v>
          </cell>
          <cell r="E5157" t="str">
            <v>facturasproveedores@almacol.com</v>
          </cell>
          <cell r="F5157" t="str">
            <v>CL 72 10 51 P 9</v>
          </cell>
          <cell r="G5157">
            <v>76109</v>
          </cell>
        </row>
        <row r="5158">
          <cell r="A5158" t="str">
            <v>890303395</v>
          </cell>
          <cell r="B5158" t="str">
            <v>4</v>
          </cell>
          <cell r="C5158" t="str">
            <v>INSTITUTO PARA NIÑOS CIEGOS Y SORDOS DEL VALLE DEL CAUCA</v>
          </cell>
          <cell r="D5158" t="str">
            <v>5574038</v>
          </cell>
          <cell r="E5158" t="str">
            <v>institutocys@intitutociegosysordos.org.co</v>
          </cell>
          <cell r="F5158" t="str">
            <v>CARRERA 52  37 A  50</v>
          </cell>
          <cell r="G5158">
            <v>76109</v>
          </cell>
        </row>
        <row r="5159">
          <cell r="A5159" t="str">
            <v>900246222</v>
          </cell>
          <cell r="B5159" t="str">
            <v>1</v>
          </cell>
          <cell r="C5159" t="str">
            <v>CENTRO COMERCIAL BRISAS PLAZA SHOPPING - PROPIEDAD HORIZONTAL</v>
          </cell>
          <cell r="D5159" t="str">
            <v>922400831</v>
          </cell>
          <cell r="E5159" t="str">
            <v>proveedores.vivabuena@outlook.com</v>
          </cell>
          <cell r="F5159" t="str">
            <v>CALLE 2  66  86</v>
          </cell>
          <cell r="G5159">
            <v>76109</v>
          </cell>
        </row>
        <row r="5160">
          <cell r="A5160" t="str">
            <v>900359738</v>
          </cell>
          <cell r="B5160" t="str">
            <v>3</v>
          </cell>
          <cell r="C5160" t="str">
            <v>HOTEL BALCONES DE LA BAHIA S.A.S</v>
          </cell>
          <cell r="D5160" t="str">
            <v>2419991</v>
          </cell>
          <cell r="E5160" t="str">
            <v>hotelbalconesdelabahia@gmail.com</v>
          </cell>
          <cell r="F5160" t="str">
            <v>CALLE 1  6 A  53</v>
          </cell>
          <cell r="G5160">
            <v>76109</v>
          </cell>
        </row>
        <row r="5161">
          <cell r="A5161" t="str">
            <v>900732243</v>
          </cell>
          <cell r="B5161" t="str">
            <v>9</v>
          </cell>
          <cell r="C5161" t="str">
            <v>GRUPO DE ESPECIALISTAS EN MANEJO INTEGRAL DE ENFERMEDADES CRONICAS S.A.S.</v>
          </cell>
          <cell r="D5161">
            <v>3219664011</v>
          </cell>
          <cell r="E5161" t="str">
            <v>facturacionelectronica@gesencro.com</v>
          </cell>
          <cell r="F5161" t="str">
            <v>CARRERA 4 5-34</v>
          </cell>
          <cell r="G5161">
            <v>76109</v>
          </cell>
        </row>
        <row r="5162">
          <cell r="A5162" t="str">
            <v>901553477</v>
          </cell>
          <cell r="B5162" t="str">
            <v>0</v>
          </cell>
          <cell r="C5162" t="str">
            <v>PLAZAMAR PACIFICO HOTEL S.A.S.</v>
          </cell>
          <cell r="D5162" t="str">
            <v>3154553428</v>
          </cell>
          <cell r="E5162" t="str">
            <v>finanzascruzpotes@gmail.com</v>
          </cell>
          <cell r="F5162" t="str">
            <v>CL 1 CR 5 A 1 30</v>
          </cell>
          <cell r="G5162">
            <v>76109</v>
          </cell>
        </row>
        <row r="5163">
          <cell r="A5163" t="str">
            <v>890303208</v>
          </cell>
          <cell r="B5163" t="str">
            <v>5</v>
          </cell>
          <cell r="C5163" t="str">
            <v>CAJA DE COMPENSACION FAMILIAR DEL VALLE DEL CAUCA - COMFAMILIAR ANDI - COMFANDI</v>
          </cell>
          <cell r="D5163" t="str">
            <v>8982121</v>
          </cell>
          <cell r="E5163" t="str">
            <v>recepcionfacturaelectronica@comfandi.com.co</v>
          </cell>
          <cell r="F5163" t="str">
            <v>CARRERA 23  26 B  46 PISO 9</v>
          </cell>
          <cell r="G5163">
            <v>76111</v>
          </cell>
        </row>
        <row r="5164">
          <cell r="A5164" t="str">
            <v>900705070</v>
          </cell>
          <cell r="B5164" t="str">
            <v>7</v>
          </cell>
          <cell r="C5164" t="str">
            <v>EDIFICIO ACROPOLIS DE CAICEDONIA VALLE</v>
          </cell>
          <cell r="D5164" t="str">
            <v>3133674928</v>
          </cell>
          <cell r="E5164" t="str">
            <v>myriam.tm@hotmail.com</v>
          </cell>
          <cell r="F5164" t="str">
            <v>CALLE 5  16  51</v>
          </cell>
          <cell r="G5164">
            <v>76122</v>
          </cell>
        </row>
        <row r="5165">
          <cell r="A5165" t="str">
            <v>800249860</v>
          </cell>
          <cell r="B5165" t="str">
            <v>1</v>
          </cell>
          <cell r="C5165" t="str">
            <v>CELSIA COLOMBIA S.A E.S.P.</v>
          </cell>
          <cell r="D5165" t="str">
            <v>3210000</v>
          </cell>
          <cell r="E5165" t="str">
            <v>facturaelectronica@celsia.com</v>
          </cell>
          <cell r="F5165" t="str">
            <v>CALLE 15  29 B  30</v>
          </cell>
          <cell r="G5165">
            <v>76126</v>
          </cell>
        </row>
        <row r="5166">
          <cell r="A5166" t="str">
            <v>890303208</v>
          </cell>
          <cell r="B5166" t="str">
            <v>5</v>
          </cell>
          <cell r="C5166" t="str">
            <v>CAJA DE COMPENSACION FAMILIAR DEL VALLE DEL CAUCA - COMFAMILIAR ANDI - COMFANDI</v>
          </cell>
          <cell r="D5166" t="str">
            <v>8982121</v>
          </cell>
          <cell r="E5166" t="str">
            <v>recepcionfacturaelectronica@comfandi.com.co</v>
          </cell>
          <cell r="F5166" t="str">
            <v>CARRERA 23  26 B  46 PISO 9</v>
          </cell>
          <cell r="G5166">
            <v>76147</v>
          </cell>
        </row>
        <row r="5167">
          <cell r="A5167" t="str">
            <v>891300238</v>
          </cell>
          <cell r="B5167" t="str">
            <v>6</v>
          </cell>
          <cell r="C5167" t="str">
            <v>INGENIO PROVIDENCIA S.A. ABREVIADO PROVIDENCIA S A O PROVIDENCIA</v>
          </cell>
          <cell r="D5167" t="str">
            <v>4183500</v>
          </cell>
          <cell r="E5167" t="str">
            <v>facturaelectronica@ingprovidencia.com</v>
          </cell>
          <cell r="F5167" t="str">
            <v>CARRERA 28  28  66  OFICINA 307</v>
          </cell>
          <cell r="G5167">
            <v>76248</v>
          </cell>
        </row>
        <row r="5168">
          <cell r="A5168" t="str">
            <v>805008686</v>
          </cell>
          <cell r="B5168" t="str">
            <v>9</v>
          </cell>
          <cell r="C5168" t="str">
            <v>CENTRO COMERCIAL ALFAGUARA P.H</v>
          </cell>
          <cell r="D5168" t="str">
            <v>3216386363</v>
          </cell>
          <cell r="E5168" t="str">
            <v>facturasproveedoralfaguara@gmail.com</v>
          </cell>
          <cell r="F5168" t="str">
            <v>CALLE 2  22  175</v>
          </cell>
          <cell r="G5168">
            <v>76364</v>
          </cell>
        </row>
        <row r="5169">
          <cell r="A5169" t="str">
            <v>805019337</v>
          </cell>
          <cell r="B5169" t="str">
            <v>0</v>
          </cell>
          <cell r="C5169" t="str">
            <v>ASTRELEC SAS</v>
          </cell>
          <cell r="D5169">
            <v>3219664011</v>
          </cell>
          <cell r="E5169" t="str">
            <v>805019337@recepciondefacturas.co</v>
          </cell>
          <cell r="F5169" t="str">
            <v>AVENIDA 4  7 N  46 LOCAL 335</v>
          </cell>
          <cell r="G5169">
            <v>76364</v>
          </cell>
        </row>
        <row r="5170">
          <cell r="A5170" t="str">
            <v>810002455</v>
          </cell>
          <cell r="B5170" t="str">
            <v>5</v>
          </cell>
          <cell r="C5170" t="str">
            <v>CONSTRUCCIONES CFC &amp; ASOCIADOS S.A.S - BIC</v>
          </cell>
          <cell r="D5170" t="str">
            <v>3006321851</v>
          </cell>
          <cell r="E5170" t="str">
            <v>canalfacturas@cfcya.co</v>
          </cell>
          <cell r="F5170" t="str">
            <v>CR 23 62 39 P 11</v>
          </cell>
          <cell r="G5170">
            <v>76364</v>
          </cell>
        </row>
        <row r="5171">
          <cell r="A5171" t="str">
            <v>890302629</v>
          </cell>
          <cell r="B5171" t="str">
            <v>8</v>
          </cell>
          <cell r="C5171" t="str">
            <v>CONSTRUCTORA MELENDEZ S.A.</v>
          </cell>
          <cell r="D5171" t="str">
            <v>3180505</v>
          </cell>
          <cell r="E5171" t="str">
            <v>facturaelectronica@constructoramelendez.com</v>
          </cell>
          <cell r="F5171" t="str">
            <v>CL 50 101 31</v>
          </cell>
          <cell r="G5171">
            <v>76364</v>
          </cell>
        </row>
        <row r="5172">
          <cell r="A5172" t="str">
            <v>900675610</v>
          </cell>
          <cell r="B5172" t="str">
            <v>4</v>
          </cell>
          <cell r="C5172" t="str">
            <v>CONJUNTO RESIDENCIAL LAGOS DE VERDE ALFAGUARA</v>
          </cell>
          <cell r="D5172" t="str">
            <v>3186961538</v>
          </cell>
          <cell r="E5172" t="str">
            <v>admonlagosverdealfaguara@gmail.com</v>
          </cell>
          <cell r="F5172" t="str">
            <v>CL FARALLONES BLV ALFAGUARA</v>
          </cell>
          <cell r="G5172">
            <v>76364</v>
          </cell>
        </row>
        <row r="5173">
          <cell r="A5173" t="str">
            <v>901205341</v>
          </cell>
          <cell r="B5173" t="str">
            <v>6</v>
          </cell>
          <cell r="C5173" t="str">
            <v>MIRALAGOS CONJUNTO RESIDENCIAL ETAPA 1 P.H</v>
          </cell>
          <cell r="D5173" t="str">
            <v>3165260806</v>
          </cell>
          <cell r="E5173" t="str">
            <v>asistentecrmiralagos@gmail.com</v>
          </cell>
          <cell r="F5173" t="str">
            <v>AV EL LAGO 25 129</v>
          </cell>
          <cell r="G5173">
            <v>76364</v>
          </cell>
        </row>
        <row r="5174">
          <cell r="A5174" t="str">
            <v>901218949</v>
          </cell>
          <cell r="B5174" t="str">
            <v>1</v>
          </cell>
          <cell r="C5174" t="str">
            <v>CONJUNTO RESIDENCIAL SURCOS DE PANGOLA</v>
          </cell>
          <cell r="D5174" t="str">
            <v>3002402315</v>
          </cell>
          <cell r="E5174" t="str">
            <v>surcospangola@gmail.com</v>
          </cell>
          <cell r="F5174" t="str">
            <v>CL 25  19 120</v>
          </cell>
          <cell r="G5174">
            <v>76364</v>
          </cell>
        </row>
        <row r="5175">
          <cell r="A5175" t="str">
            <v>901288067</v>
          </cell>
          <cell r="B5175" t="str">
            <v>8</v>
          </cell>
          <cell r="C5175" t="str">
            <v>CONJUNTO CERRADO CARBONERO PARQUE RESIDENCIAL</v>
          </cell>
          <cell r="D5175">
            <v>3219664011</v>
          </cell>
          <cell r="E5175" t="str">
            <v>parquecarbonero@gmail.com</v>
          </cell>
          <cell r="F5175" t="str">
            <v>CALLE 14 19-93</v>
          </cell>
          <cell r="G5175">
            <v>76364</v>
          </cell>
        </row>
        <row r="5176">
          <cell r="A5176" t="str">
            <v>901451996</v>
          </cell>
          <cell r="B5176" t="str">
            <v>3</v>
          </cell>
          <cell r="C5176" t="str">
            <v>CONJUNTO RESIDENCIAL ARRAYANES</v>
          </cell>
          <cell r="D5176" t="str">
            <v>4845158</v>
          </cell>
          <cell r="E5176" t="str">
            <v>arrayanesconjuntoresidencial@gmail.com</v>
          </cell>
          <cell r="F5176" t="str">
            <v>URB PARQUE NATURA GALICIA MZ MZB</v>
          </cell>
          <cell r="G5176">
            <v>76364</v>
          </cell>
        </row>
        <row r="5177">
          <cell r="A5177" t="str">
            <v>901479333</v>
          </cell>
          <cell r="B5177" t="str">
            <v>2</v>
          </cell>
          <cell r="C5177" t="str">
            <v>CONJUNTO RESIDENCIAL CAMINOS DE PANGOLA - VIS</v>
          </cell>
          <cell r="D5177" t="str">
            <v>3002402315</v>
          </cell>
          <cell r="E5177" t="str">
            <v>crcaminosdepangola@gmail.com</v>
          </cell>
          <cell r="F5177" t="str">
            <v>CL 28 19 182</v>
          </cell>
          <cell r="G5177">
            <v>76364</v>
          </cell>
        </row>
        <row r="5178">
          <cell r="A5178" t="str">
            <v>901481568</v>
          </cell>
          <cell r="B5178" t="str">
            <v>2</v>
          </cell>
          <cell r="C5178" t="str">
            <v>CONJUNTO RESIDENCIAL PINARES</v>
          </cell>
          <cell r="D5178" t="str">
            <v>3218465382</v>
          </cell>
          <cell r="E5178" t="str">
            <v>pinarescontabilidad2021@gmail.com</v>
          </cell>
          <cell r="F5178" t="str">
            <v>CARRERA 22 # 10 - 115</v>
          </cell>
          <cell r="G5178">
            <v>76364</v>
          </cell>
        </row>
        <row r="5179">
          <cell r="A5179" t="str">
            <v>901483319</v>
          </cell>
          <cell r="B5179" t="str">
            <v>4</v>
          </cell>
          <cell r="C5179" t="str">
            <v>Conjunto Residencial de Mirador de Farallones</v>
          </cell>
          <cell r="D5179" t="str">
            <v>3117619991</v>
          </cell>
          <cell r="E5179" t="str">
            <v>conjuntomiradordefarallones@gmail.com</v>
          </cell>
          <cell r="F5179" t="str">
            <v>Carrera 21F # 2A-30</v>
          </cell>
          <cell r="G5179">
            <v>76364</v>
          </cell>
        </row>
        <row r="5180">
          <cell r="A5180" t="str">
            <v>901629116</v>
          </cell>
          <cell r="B5180" t="str">
            <v>5</v>
          </cell>
          <cell r="C5180" t="str">
            <v>CONJUNTO RESIDENCIAL BRISAS DE BUENAVISTA</v>
          </cell>
          <cell r="D5180" t="str">
            <v>3162336306</v>
          </cell>
          <cell r="E5180" t="str">
            <v>Info@solucionesadminph.com</v>
          </cell>
          <cell r="F5180" t="str">
            <v>CR 6 SUR 3 03</v>
          </cell>
          <cell r="G5180">
            <v>76364</v>
          </cell>
        </row>
        <row r="5181">
          <cell r="A5181" t="str">
            <v>901682083</v>
          </cell>
          <cell r="B5181" t="str">
            <v>5</v>
          </cell>
          <cell r="C5181" t="str">
            <v>CONJUNTO CERRADO PALMETUM PARK CLUB HOUSE</v>
          </cell>
          <cell r="D5181" t="str">
            <v>3118695845</v>
          </cell>
          <cell r="E5181" t="str">
            <v>admpalmettum@outlook.com</v>
          </cell>
          <cell r="F5181" t="str">
            <v>CL 14 19 20 BRR SACHAMATE</v>
          </cell>
          <cell r="G5181">
            <v>76364</v>
          </cell>
        </row>
        <row r="5182">
          <cell r="A5182" t="str">
            <v>901741594</v>
          </cell>
          <cell r="B5182" t="str">
            <v>0</v>
          </cell>
          <cell r="C5182" t="str">
            <v>CONJUNTO CAMPOS DE PANGOLA A VIS P.H</v>
          </cell>
          <cell r="D5182" t="str">
            <v>3188474140</v>
          </cell>
          <cell r="E5182" t="str">
            <v>camposdepangolaa@gmail.com</v>
          </cell>
          <cell r="F5182" t="str">
            <v>VIA SACHAMATE ENTRE CALLE CL 33 35 SEC PANGOLA CL 36 19 55</v>
          </cell>
          <cell r="G5182">
            <v>76364</v>
          </cell>
        </row>
        <row r="5183">
          <cell r="A5183" t="str">
            <v>800004599</v>
          </cell>
          <cell r="B5183" t="str">
            <v>1</v>
          </cell>
          <cell r="C5183" t="str">
            <v>COMERCIALIZADORA MARDEN LTDA</v>
          </cell>
          <cell r="D5183" t="str">
            <v>5555555</v>
          </cell>
          <cell r="E5183" t="str">
            <v>800004599@recepciondefacturas.co</v>
          </cell>
          <cell r="F5183" t="str">
            <v>CARRERA 28  29  60</v>
          </cell>
          <cell r="G5183">
            <v>76520</v>
          </cell>
        </row>
        <row r="5184">
          <cell r="A5184" t="str">
            <v>815002107</v>
          </cell>
          <cell r="B5184" t="str">
            <v>5</v>
          </cell>
          <cell r="C5184" t="str">
            <v>CONJUNTO RESIDENCIAL VILLA ROMA</v>
          </cell>
          <cell r="D5184" t="str">
            <v>2855721</v>
          </cell>
          <cell r="E5184" t="str">
            <v>villaroma-adm@hotmail.com</v>
          </cell>
          <cell r="F5184" t="str">
            <v>CARRERA 27  61  23</v>
          </cell>
          <cell r="G5184">
            <v>76520</v>
          </cell>
        </row>
        <row r="5185">
          <cell r="A5185" t="str">
            <v>891300238</v>
          </cell>
          <cell r="B5185" t="str">
            <v>6</v>
          </cell>
          <cell r="C5185" t="str">
            <v>INGENIO PROVIDENCIA S.A. ABREVIADO PROVIDENCIA S A O PROVIDENCIA</v>
          </cell>
          <cell r="D5185" t="str">
            <v>4183500</v>
          </cell>
          <cell r="E5185" t="str">
            <v>facturaelectronica@ingprovidencia.com</v>
          </cell>
          <cell r="F5185" t="str">
            <v>CARRERA 28  28  66  OFICINA 307</v>
          </cell>
          <cell r="G5185">
            <v>76520</v>
          </cell>
        </row>
        <row r="5186">
          <cell r="A5186" t="str">
            <v>900264151</v>
          </cell>
          <cell r="B5186" t="str">
            <v>1</v>
          </cell>
          <cell r="C5186" t="str">
            <v>CONJUNTO RESIDENCIAL BOSQUES DE LAS MERCEDES</v>
          </cell>
          <cell r="D5186" t="str">
            <v>2859640</v>
          </cell>
          <cell r="E5186" t="str">
            <v>bosquedelasmercedes@gmail.com</v>
          </cell>
          <cell r="F5186" t="str">
            <v>CALLE 60  27 A  18</v>
          </cell>
          <cell r="G5186">
            <v>76520</v>
          </cell>
        </row>
        <row r="5187">
          <cell r="A5187" t="str">
            <v>900316995</v>
          </cell>
          <cell r="B5187" t="str">
            <v>5</v>
          </cell>
          <cell r="C5187" t="str">
            <v>CONVALLE CONSTRUCTORA S.A.S</v>
          </cell>
          <cell r="D5187" t="str">
            <v>3120707</v>
          </cell>
          <cell r="E5187" t="str">
            <v>facturaselectronicas@convalle.com.co</v>
          </cell>
          <cell r="F5187" t="str">
            <v>CL 5 66 B 75 OF 220B</v>
          </cell>
          <cell r="G5187">
            <v>76520</v>
          </cell>
        </row>
        <row r="5188">
          <cell r="A5188" t="str">
            <v>900454667</v>
          </cell>
          <cell r="B5188" t="str">
            <v>5</v>
          </cell>
          <cell r="C5188" t="str">
            <v>CONJUNTO RESIDENCIAL EL PALMAR DE LAS MERCEDES</v>
          </cell>
          <cell r="D5188" t="str">
            <v>2860915</v>
          </cell>
          <cell r="E5188" t="str">
            <v>elpalmardelasmercedes@hotmail.com</v>
          </cell>
          <cell r="F5188" t="str">
            <v>CARRERA 25  58  72</v>
          </cell>
          <cell r="G5188">
            <v>76520</v>
          </cell>
        </row>
        <row r="5189">
          <cell r="A5189" t="str">
            <v>900511542</v>
          </cell>
          <cell r="B5189" t="str">
            <v>8</v>
          </cell>
          <cell r="C5189" t="str">
            <v>COLINVER CITY S A S</v>
          </cell>
          <cell r="D5189" t="str">
            <v>3116278240</v>
          </cell>
          <cell r="E5189" t="str">
            <v>fer2garcia@hotmail.com</v>
          </cell>
          <cell r="F5189" t="str">
            <v>CL 74 SUR   35   145</v>
          </cell>
          <cell r="G5189">
            <v>76520</v>
          </cell>
        </row>
        <row r="5190">
          <cell r="A5190" t="str">
            <v>900788112</v>
          </cell>
          <cell r="B5190" t="str">
            <v>3</v>
          </cell>
          <cell r="C5190" t="str">
            <v>CONJUNTO RESIDENCIAL FRAYLE</v>
          </cell>
          <cell r="D5190" t="str">
            <v>3183499338</v>
          </cell>
          <cell r="E5190" t="str">
            <v>crfraylepalmira@gmail.com</v>
          </cell>
          <cell r="F5190" t="str">
            <v>CALLE 26  44  05</v>
          </cell>
          <cell r="G5190">
            <v>76520</v>
          </cell>
        </row>
        <row r="5191">
          <cell r="A5191" t="str">
            <v>901675447</v>
          </cell>
          <cell r="B5191" t="str">
            <v>3</v>
          </cell>
          <cell r="C5191" t="str">
            <v>CONJUNTO MULTIFAMILIAR ALAMEDA ALTO PROPIEDAD HORIZONTAL</v>
          </cell>
          <cell r="D5191" t="str">
            <v>3182823249</v>
          </cell>
          <cell r="E5191" t="str">
            <v>admonalamedaalto@gmail.com</v>
          </cell>
          <cell r="F5191" t="str">
            <v>CR 28 70 100</v>
          </cell>
          <cell r="G5191">
            <v>76520</v>
          </cell>
        </row>
        <row r="5192">
          <cell r="A5192" t="str">
            <v>94324405</v>
          </cell>
          <cell r="B5192" t="str">
            <v>2</v>
          </cell>
          <cell r="C5192" t="str">
            <v>JOHN JAIRO GAVIRIA TABARES</v>
          </cell>
          <cell r="D5192" t="str">
            <v>3176697195</v>
          </cell>
          <cell r="E5192" t="str">
            <v>karolopez0406@hotmail.com</v>
          </cell>
          <cell r="F5192" t="str">
            <v>CARRERA 32 30-13</v>
          </cell>
          <cell r="G5192">
            <v>76520</v>
          </cell>
        </row>
        <row r="5193">
          <cell r="A5193" t="str">
            <v>890300431</v>
          </cell>
          <cell r="B5193" t="str">
            <v>8</v>
          </cell>
          <cell r="C5193" t="str">
            <v>CABLES DE ENERGIACABLES DE ENERGIA Y DE TELECOMUNICACIONES S A S</v>
          </cell>
          <cell r="D5193" t="str">
            <v>3183377800</v>
          </cell>
          <cell r="E5193" t="str">
            <v>recepcionfactura.electronica@centelsa.com.co</v>
          </cell>
          <cell r="F5193" t="str">
            <v>CL 10 38 43 URB INDUSTRIAL ACOPI YUMBO</v>
          </cell>
          <cell r="G5193">
            <v>76892</v>
          </cell>
        </row>
        <row r="5194">
          <cell r="A5194">
            <v>222222222</v>
          </cell>
          <cell r="B5194" t="str">
            <v/>
          </cell>
          <cell r="C5194" t="str">
            <v>CUANTIAS MENORES</v>
          </cell>
          <cell r="D5194">
            <v>3228184763</v>
          </cell>
          <cell r="E5194" t="str">
            <v>impuestos@estiloingeniera.com</v>
          </cell>
          <cell r="F5194" t="str">
            <v xml:space="preserve">CL 127A 53A 45 TO2 P11 OF1101 </v>
          </cell>
          <cell r="G5194">
            <v>85001</v>
          </cell>
        </row>
        <row r="5195">
          <cell r="A5195" t="str">
            <v>6768405</v>
          </cell>
          <cell r="B5195" t="str">
            <v>8</v>
          </cell>
          <cell r="C5195" t="str">
            <v>ARMANDO LEMUS SAAB</v>
          </cell>
          <cell r="D5195">
            <v>3219664011</v>
          </cell>
          <cell r="E5195" t="str">
            <v>palmarelquitebe@hotmail.com</v>
          </cell>
          <cell r="F5195" t="str">
            <v>CARRERA 31  11  11</v>
          </cell>
          <cell r="G5195">
            <v>85001</v>
          </cell>
        </row>
        <row r="5196">
          <cell r="A5196" t="str">
            <v>811005425</v>
          </cell>
          <cell r="B5196" t="str">
            <v>1</v>
          </cell>
          <cell r="C5196" t="str">
            <v>CORPORACION UNIVERSITARIA REMINGTON</v>
          </cell>
          <cell r="D5196" t="str">
            <v>6 0 4 3 2 2 1 0 0 0</v>
          </cell>
          <cell r="E5196" t="str">
            <v>facturacion@uniremington.edu.co</v>
          </cell>
          <cell r="F5196" t="str">
            <v>CL 51 51 27</v>
          </cell>
          <cell r="G5196">
            <v>85001</v>
          </cell>
        </row>
        <row r="5197">
          <cell r="A5197" t="str">
            <v>826000361</v>
          </cell>
          <cell r="B5197" t="str">
            <v>0</v>
          </cell>
          <cell r="C5197" t="str">
            <v>ALMACENES PARAISO S.A</v>
          </cell>
          <cell r="D5197" t="str">
            <v>7602319</v>
          </cell>
          <cell r="E5197" t="str">
            <v>factelectronica@almacenesparaiso.com</v>
          </cell>
          <cell r="F5197" t="str">
            <v>CARRERA 18  20 A  32</v>
          </cell>
          <cell r="G5197">
            <v>85001</v>
          </cell>
        </row>
        <row r="5198">
          <cell r="A5198" t="str">
            <v>890304099</v>
          </cell>
          <cell r="B5198" t="str">
            <v>3</v>
          </cell>
          <cell r="C5198" t="str">
            <v>HOTELES ESTELAR S.A.</v>
          </cell>
          <cell r="D5198" t="str">
            <v>3173633899</v>
          </cell>
          <cell r="E5198" t="str">
            <v>feproveedoroficinaprincipal@hotelesestelar.com</v>
          </cell>
          <cell r="F5198" t="str">
            <v>AVENIDA COLOMBIA  2  72</v>
          </cell>
          <cell r="G5198">
            <v>85001</v>
          </cell>
        </row>
        <row r="5199">
          <cell r="A5199" t="str">
            <v>891855847</v>
          </cell>
          <cell r="B5199" t="str">
            <v>3</v>
          </cell>
          <cell r="C5199" t="str">
            <v>CLINICA CASANARE S.A.</v>
          </cell>
          <cell r="D5199" t="str">
            <v>6356021</v>
          </cell>
          <cell r="E5199" t="str">
            <v>facturasclinicacasanare@gmail.com</v>
          </cell>
          <cell r="F5199" t="str">
            <v>CL 13 N 29 36 BRR LA PRADERA</v>
          </cell>
          <cell r="G5199">
            <v>85001</v>
          </cell>
        </row>
        <row r="5200">
          <cell r="A5200" t="str">
            <v>900193579</v>
          </cell>
          <cell r="B5200" t="str">
            <v>4</v>
          </cell>
          <cell r="C5200" t="str">
            <v>GRUPO THEOS SAS</v>
          </cell>
          <cell r="D5200" t="str">
            <v>6334412</v>
          </cell>
          <cell r="E5200" t="str">
            <v>auxiliar.contable@theos.com.co</v>
          </cell>
          <cell r="F5200" t="str">
            <v>CL 11 3 35</v>
          </cell>
          <cell r="G5200">
            <v>85001</v>
          </cell>
        </row>
        <row r="5201">
          <cell r="A5201" t="str">
            <v>900387152</v>
          </cell>
          <cell r="B5201" t="str">
            <v>7</v>
          </cell>
          <cell r="C5201" t="str">
            <v>CENTRO COMERCIAL EL HOBO</v>
          </cell>
          <cell r="D5201" t="str">
            <v>6334571</v>
          </cell>
          <cell r="E5201" t="str">
            <v>admhobo@gmail.com</v>
          </cell>
          <cell r="F5201" t="str">
            <v>CARRERA 29  17  59</v>
          </cell>
          <cell r="G5201">
            <v>85001</v>
          </cell>
        </row>
        <row r="5202">
          <cell r="A5202" t="str">
            <v>900401117</v>
          </cell>
          <cell r="B5202" t="str">
            <v>9</v>
          </cell>
          <cell r="C5202" t="str">
            <v>AGROPECUARIA GARZON LOPEZ S.A.S.</v>
          </cell>
          <cell r="D5202" t="str">
            <v>6333840</v>
          </cell>
          <cell r="E5202" t="str">
            <v>hotelsoldepiedemonte@hotmail.es</v>
          </cell>
          <cell r="F5202" t="str">
            <v>CALLE 8  22  25</v>
          </cell>
          <cell r="G5202">
            <v>85001</v>
          </cell>
        </row>
        <row r="5203">
          <cell r="A5203" t="str">
            <v>900437821</v>
          </cell>
          <cell r="B5203" t="str">
            <v>1</v>
          </cell>
          <cell r="C5203" t="str">
            <v>EDIFICIO TORRES DE SAN NICOLAS PROPIEDAD HORIZONTAL</v>
          </cell>
          <cell r="D5203" t="str">
            <v>3103210249</v>
          </cell>
          <cell r="E5203" t="str">
            <v>marticayopal@yahoo.com</v>
          </cell>
          <cell r="F5203" t="str">
            <v>CALLE 19  28 A  20</v>
          </cell>
          <cell r="G5203">
            <v>85001</v>
          </cell>
        </row>
        <row r="5204">
          <cell r="A5204" t="str">
            <v>900638684</v>
          </cell>
          <cell r="B5204" t="str">
            <v>1</v>
          </cell>
          <cell r="C5204" t="str">
            <v>CENTRO ODONTOLOGICO &amp; MAXILOFACIAL DR. JUAN DAVID DIAZ B. S.A.S.</v>
          </cell>
          <cell r="D5204" t="str">
            <v>6345222</v>
          </cell>
          <cell r="E5204" t="str">
            <v>facturacion@estiloingenieria.com</v>
          </cell>
          <cell r="F5204" t="str">
            <v>CALLE 9  24  25</v>
          </cell>
          <cell r="G5204">
            <v>85001</v>
          </cell>
        </row>
        <row r="5205">
          <cell r="A5205" t="str">
            <v>900691738</v>
          </cell>
          <cell r="B5205" t="str">
            <v>5</v>
          </cell>
          <cell r="C5205" t="str">
            <v>URBANIZACION CAMINOS DE SIRIVANA</v>
          </cell>
          <cell r="D5205" t="str">
            <v>3118962101</v>
          </cell>
          <cell r="E5205" t="str">
            <v>admoncsirivana@gmail.com</v>
          </cell>
          <cell r="F5205" t="str">
            <v>CALLE 16 A  31  128</v>
          </cell>
          <cell r="G5205">
            <v>85001</v>
          </cell>
        </row>
        <row r="5206">
          <cell r="A5206" t="str">
            <v>900833663</v>
          </cell>
          <cell r="B5206" t="str">
            <v>2</v>
          </cell>
          <cell r="C5206" t="str">
            <v>EDIFICIO CUMARE</v>
          </cell>
          <cell r="D5206" t="str">
            <v>6334285</v>
          </cell>
          <cell r="E5206" t="str">
            <v>edificiocumareph@gmail.com</v>
          </cell>
          <cell r="F5206" t="str">
            <v>CARRERA 29  13  72</v>
          </cell>
          <cell r="G5206">
            <v>85001</v>
          </cell>
        </row>
        <row r="5207">
          <cell r="A5207" t="str">
            <v>900866424</v>
          </cell>
          <cell r="B5207" t="str">
            <v>0</v>
          </cell>
          <cell r="C5207" t="str">
            <v>EDIFICIO FORMENTERA PROPIEDAD HORIZONTAL</v>
          </cell>
          <cell r="D5207" t="str">
            <v>3133578617</v>
          </cell>
          <cell r="E5207" t="str">
            <v>formenteraedificio@gmail.com</v>
          </cell>
          <cell r="F5207" t="str">
            <v>CARRERA 33  22  25</v>
          </cell>
          <cell r="G5207">
            <v>85001</v>
          </cell>
        </row>
        <row r="5208">
          <cell r="A5208" t="str">
            <v>901383843</v>
          </cell>
          <cell r="B5208" t="str">
            <v>3</v>
          </cell>
          <cell r="C5208" t="str">
            <v>EDIFICIO TORRE 28-PROPIEDAD HORIZONTAL</v>
          </cell>
          <cell r="D5208" t="str">
            <v>3103210249</v>
          </cell>
          <cell r="E5208" t="str">
            <v>torre28admonyopal@gmail.com</v>
          </cell>
          <cell r="F5208" t="str">
            <v>CARRERA 27 N° 27A-32</v>
          </cell>
          <cell r="G5208">
            <v>85001</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060"/>
  <sheetViews>
    <sheetView tabSelected="1" topLeftCell="A4036" workbookViewId="0">
      <selection activeCell="G4054" sqref="G1:G104857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2251</v>
      </c>
      <c r="B7" s="6" t="s">
        <v>6302</v>
      </c>
      <c r="C7" s="6">
        <v>0</v>
      </c>
      <c r="D7" s="7" t="s">
        <v>13287</v>
      </c>
      <c r="E7" s="6">
        <v>0</v>
      </c>
      <c r="F7" s="16">
        <v>11001</v>
      </c>
      <c r="G7" s="6">
        <v>643219</v>
      </c>
      <c r="H7" s="6">
        <v>4329</v>
      </c>
    </row>
    <row r="8" spans="1:8" x14ac:dyDescent="0.25">
      <c r="A8" s="6" t="s">
        <v>2252</v>
      </c>
      <c r="B8" s="6" t="s">
        <v>6303</v>
      </c>
      <c r="C8" s="6">
        <v>0</v>
      </c>
      <c r="D8" s="6" t="s">
        <v>13287</v>
      </c>
      <c r="E8" s="6">
        <v>0</v>
      </c>
      <c r="F8" s="16">
        <v>11001</v>
      </c>
      <c r="G8" s="6">
        <v>643219</v>
      </c>
      <c r="H8" s="6">
        <v>4329</v>
      </c>
    </row>
    <row r="9" spans="1:8" x14ac:dyDescent="0.25">
      <c r="A9" s="6" t="s">
        <v>2253</v>
      </c>
      <c r="B9" s="6" t="s">
        <v>6304</v>
      </c>
      <c r="C9" s="6">
        <v>0</v>
      </c>
      <c r="D9" s="6" t="s">
        <v>13287</v>
      </c>
      <c r="E9" s="6">
        <v>0</v>
      </c>
      <c r="F9" s="16">
        <v>11001</v>
      </c>
      <c r="G9" s="6">
        <v>665219</v>
      </c>
      <c r="H9" s="6">
        <v>4329</v>
      </c>
    </row>
    <row r="10" spans="1:8" x14ac:dyDescent="0.25">
      <c r="A10" s="6" t="s">
        <v>2254</v>
      </c>
      <c r="B10" s="6" t="s">
        <v>6305</v>
      </c>
      <c r="C10" s="6">
        <v>0</v>
      </c>
      <c r="D10" s="6" t="s">
        <v>13287</v>
      </c>
      <c r="E10" s="6">
        <v>0</v>
      </c>
      <c r="F10" s="16">
        <v>11001</v>
      </c>
      <c r="G10" s="6">
        <v>665219</v>
      </c>
      <c r="H10" s="6">
        <v>4329</v>
      </c>
    </row>
    <row r="11" spans="1:8" x14ac:dyDescent="0.25">
      <c r="A11" s="6" t="s">
        <v>2255</v>
      </c>
      <c r="B11" s="6" t="s">
        <v>6306</v>
      </c>
      <c r="C11" s="6">
        <v>0</v>
      </c>
      <c r="D11" s="6" t="s">
        <v>13287</v>
      </c>
      <c r="E11" s="6">
        <v>0</v>
      </c>
      <c r="F11" s="16">
        <v>11001</v>
      </c>
      <c r="G11" s="6">
        <v>665219</v>
      </c>
      <c r="H11" s="6">
        <v>4329</v>
      </c>
    </row>
    <row r="12" spans="1:8" x14ac:dyDescent="0.25">
      <c r="A12" s="6" t="s">
        <v>2256</v>
      </c>
      <c r="B12" s="6" t="s">
        <v>6307</v>
      </c>
      <c r="C12" s="6">
        <v>0</v>
      </c>
      <c r="D12" s="6" t="s">
        <v>13287</v>
      </c>
      <c r="E12" s="6">
        <v>0</v>
      </c>
      <c r="F12" s="16">
        <v>11001</v>
      </c>
      <c r="G12" s="6">
        <v>665219</v>
      </c>
      <c r="H12" s="6">
        <v>4329</v>
      </c>
    </row>
    <row r="13" spans="1:8" x14ac:dyDescent="0.25">
      <c r="A13" s="6" t="s">
        <v>2257</v>
      </c>
      <c r="B13" s="6" t="s">
        <v>6308</v>
      </c>
      <c r="C13" s="6">
        <v>0</v>
      </c>
      <c r="D13" s="6" t="s">
        <v>13287</v>
      </c>
      <c r="E13" s="6">
        <v>0</v>
      </c>
      <c r="F13" s="16">
        <v>11001</v>
      </c>
      <c r="G13" s="6">
        <v>665219</v>
      </c>
      <c r="H13" s="6">
        <v>4329</v>
      </c>
    </row>
    <row r="14" spans="1:8" x14ac:dyDescent="0.25">
      <c r="A14" s="6" t="s">
        <v>2258</v>
      </c>
      <c r="B14" s="6" t="s">
        <v>6309</v>
      </c>
      <c r="C14" s="6">
        <v>0</v>
      </c>
      <c r="D14" s="6" t="s">
        <v>13287</v>
      </c>
      <c r="E14" s="6">
        <v>0</v>
      </c>
      <c r="F14" s="16">
        <v>11001</v>
      </c>
      <c r="G14" s="6">
        <v>665219</v>
      </c>
      <c r="H14" s="6">
        <v>4329</v>
      </c>
    </row>
    <row r="15" spans="1:8" x14ac:dyDescent="0.25">
      <c r="A15" s="6" t="s">
        <v>2259</v>
      </c>
      <c r="B15" s="6" t="s">
        <v>6310</v>
      </c>
      <c r="C15" s="6">
        <v>0</v>
      </c>
      <c r="D15" s="6" t="s">
        <v>13287</v>
      </c>
      <c r="E15" s="6">
        <v>0</v>
      </c>
      <c r="F15" s="16">
        <v>11001</v>
      </c>
      <c r="G15" s="6">
        <v>665219</v>
      </c>
      <c r="H15" s="6">
        <v>4329</v>
      </c>
    </row>
    <row r="16" spans="1:8" x14ac:dyDescent="0.25">
      <c r="A16" s="6" t="s">
        <v>2260</v>
      </c>
      <c r="B16" s="6" t="s">
        <v>6311</v>
      </c>
      <c r="C16" s="6">
        <v>0</v>
      </c>
      <c r="D16" s="6" t="s">
        <v>13287</v>
      </c>
      <c r="E16" s="6">
        <v>0</v>
      </c>
      <c r="F16" s="16">
        <v>11001</v>
      </c>
      <c r="G16" s="6">
        <v>665219</v>
      </c>
      <c r="H16" s="6">
        <v>4329</v>
      </c>
    </row>
    <row r="17" spans="1:8" x14ac:dyDescent="0.25">
      <c r="A17" s="6" t="s">
        <v>2261</v>
      </c>
      <c r="B17" s="6" t="s">
        <v>6312</v>
      </c>
      <c r="C17" s="6">
        <v>0</v>
      </c>
      <c r="D17" s="6" t="s">
        <v>13287</v>
      </c>
      <c r="E17" s="6">
        <v>0</v>
      </c>
      <c r="F17" s="16">
        <v>11001</v>
      </c>
      <c r="G17" s="6">
        <v>665219</v>
      </c>
      <c r="H17" s="6">
        <v>4329</v>
      </c>
    </row>
    <row r="18" spans="1:8" x14ac:dyDescent="0.25">
      <c r="A18" s="6" t="s">
        <v>2262</v>
      </c>
      <c r="B18" s="6" t="s">
        <v>6313</v>
      </c>
      <c r="C18" s="6">
        <v>0</v>
      </c>
      <c r="D18" s="6" t="s">
        <v>13287</v>
      </c>
      <c r="E18" s="6">
        <v>0</v>
      </c>
      <c r="F18" s="16">
        <v>11001</v>
      </c>
      <c r="G18" s="6">
        <v>675219</v>
      </c>
      <c r="H18" s="6">
        <v>4329</v>
      </c>
    </row>
    <row r="19" spans="1:8" x14ac:dyDescent="0.25">
      <c r="A19" s="6" t="s">
        <v>2263</v>
      </c>
      <c r="B19" s="6" t="s">
        <v>6314</v>
      </c>
      <c r="C19" s="6">
        <v>0</v>
      </c>
      <c r="D19" s="6" t="s">
        <v>13287</v>
      </c>
      <c r="E19" s="6">
        <v>0</v>
      </c>
      <c r="F19" s="16">
        <v>11001</v>
      </c>
      <c r="G19" s="6">
        <v>695219</v>
      </c>
      <c r="H19" s="6">
        <v>4329</v>
      </c>
    </row>
    <row r="20" spans="1:8" x14ac:dyDescent="0.25">
      <c r="A20" s="6" t="s">
        <v>2264</v>
      </c>
      <c r="B20" s="6" t="s">
        <v>6315</v>
      </c>
      <c r="C20" s="6">
        <v>0</v>
      </c>
      <c r="D20" s="6" t="s">
        <v>13287</v>
      </c>
      <c r="E20" s="6">
        <v>0</v>
      </c>
      <c r="F20" s="16">
        <v>11001</v>
      </c>
      <c r="G20" s="6">
        <v>695219</v>
      </c>
      <c r="H20" s="6">
        <v>4329</v>
      </c>
    </row>
    <row r="21" spans="1:8" ht="15.75" customHeight="1" x14ac:dyDescent="0.25">
      <c r="A21" s="6" t="s">
        <v>2265</v>
      </c>
      <c r="B21" s="6" t="s">
        <v>6316</v>
      </c>
      <c r="C21" s="6">
        <v>0</v>
      </c>
      <c r="D21" s="6" t="s">
        <v>13287</v>
      </c>
      <c r="E21" s="6">
        <v>0</v>
      </c>
      <c r="F21" s="16">
        <v>11001</v>
      </c>
      <c r="G21" s="6">
        <v>695219</v>
      </c>
      <c r="H21" s="6">
        <v>4329</v>
      </c>
    </row>
    <row r="22" spans="1:8" ht="15.75" customHeight="1" x14ac:dyDescent="0.25">
      <c r="A22" s="6" t="s">
        <v>2266</v>
      </c>
      <c r="B22" s="6" t="s">
        <v>6317</v>
      </c>
      <c r="C22" s="6">
        <v>0</v>
      </c>
      <c r="D22" s="6" t="s">
        <v>13287</v>
      </c>
      <c r="E22" s="6">
        <v>0</v>
      </c>
      <c r="F22" s="16">
        <v>11001</v>
      </c>
      <c r="G22" s="6">
        <v>695219</v>
      </c>
      <c r="H22" s="6">
        <v>4329</v>
      </c>
    </row>
    <row r="23" spans="1:8" ht="15.75" customHeight="1" x14ac:dyDescent="0.25">
      <c r="A23" s="6" t="s">
        <v>2267</v>
      </c>
      <c r="B23" s="6" t="s">
        <v>6318</v>
      </c>
      <c r="C23" s="6">
        <v>0</v>
      </c>
      <c r="D23" s="6" t="s">
        <v>13287</v>
      </c>
      <c r="E23" s="6">
        <v>0</v>
      </c>
      <c r="F23" s="16">
        <v>11001</v>
      </c>
      <c r="G23" s="6">
        <v>695219</v>
      </c>
      <c r="H23" s="6">
        <v>4329</v>
      </c>
    </row>
    <row r="24" spans="1:8" ht="15.75" customHeight="1" x14ac:dyDescent="0.25">
      <c r="A24" s="6" t="s">
        <v>2268</v>
      </c>
      <c r="B24" s="6" t="s">
        <v>6319</v>
      </c>
      <c r="C24" s="6">
        <v>0</v>
      </c>
      <c r="D24" s="6" t="s">
        <v>13287</v>
      </c>
      <c r="E24" s="6">
        <v>0</v>
      </c>
      <c r="F24" s="16">
        <v>11001</v>
      </c>
      <c r="G24" s="6">
        <v>695219</v>
      </c>
      <c r="H24" s="6">
        <v>4329</v>
      </c>
    </row>
    <row r="25" spans="1:8" ht="15.75" customHeight="1" x14ac:dyDescent="0.25">
      <c r="A25" s="6" t="s">
        <v>2269</v>
      </c>
      <c r="B25" s="6" t="s">
        <v>6320</v>
      </c>
      <c r="C25" s="6">
        <v>0</v>
      </c>
      <c r="D25" s="6" t="s">
        <v>13287</v>
      </c>
      <c r="E25" s="6">
        <v>0</v>
      </c>
      <c r="F25" s="16">
        <v>11001</v>
      </c>
      <c r="G25" s="6">
        <v>695219</v>
      </c>
      <c r="H25" s="6">
        <v>4329</v>
      </c>
    </row>
    <row r="26" spans="1:8" ht="15.75" customHeight="1" x14ac:dyDescent="0.25">
      <c r="A26" s="6" t="s">
        <v>2270</v>
      </c>
      <c r="B26" s="6" t="s">
        <v>6321</v>
      </c>
      <c r="C26" s="6">
        <v>0</v>
      </c>
      <c r="D26" s="6" t="s">
        <v>13287</v>
      </c>
      <c r="E26" s="6">
        <v>0</v>
      </c>
      <c r="F26" s="16">
        <v>11001</v>
      </c>
      <c r="G26" s="6">
        <v>695219</v>
      </c>
      <c r="H26" s="6">
        <v>4329</v>
      </c>
    </row>
    <row r="27" spans="1:8" ht="15.75" customHeight="1" x14ac:dyDescent="0.25">
      <c r="A27" s="6" t="s">
        <v>2271</v>
      </c>
      <c r="B27" s="6" t="s">
        <v>6322</v>
      </c>
      <c r="C27" s="6">
        <v>0</v>
      </c>
      <c r="D27" s="6" t="s">
        <v>13287</v>
      </c>
      <c r="E27" s="6">
        <v>0</v>
      </c>
      <c r="F27" s="16">
        <v>11001</v>
      </c>
      <c r="G27" s="6">
        <v>695219</v>
      </c>
      <c r="H27" s="6">
        <v>4329</v>
      </c>
    </row>
    <row r="28" spans="1:8" ht="15.75" customHeight="1" x14ac:dyDescent="0.25">
      <c r="A28" s="6" t="s">
        <v>2272</v>
      </c>
      <c r="B28" s="6" t="s">
        <v>6323</v>
      </c>
      <c r="C28" s="6">
        <v>0</v>
      </c>
      <c r="D28" s="6" t="s">
        <v>13287</v>
      </c>
      <c r="E28" s="6">
        <v>0</v>
      </c>
      <c r="F28" s="16">
        <v>11001</v>
      </c>
      <c r="G28" s="6">
        <v>695219</v>
      </c>
      <c r="H28" s="6">
        <v>4329</v>
      </c>
    </row>
    <row r="29" spans="1:8" ht="15.75" customHeight="1" x14ac:dyDescent="0.25">
      <c r="A29" s="6" t="s">
        <v>2273</v>
      </c>
      <c r="B29" s="6" t="s">
        <v>6324</v>
      </c>
      <c r="C29" s="6">
        <v>0</v>
      </c>
      <c r="D29" s="6" t="s">
        <v>13287</v>
      </c>
      <c r="E29" s="6">
        <v>0</v>
      </c>
      <c r="F29" s="16">
        <v>11001</v>
      </c>
      <c r="G29" s="6">
        <v>695219</v>
      </c>
      <c r="H29" s="6">
        <v>4329</v>
      </c>
    </row>
    <row r="30" spans="1:8" ht="15.75" customHeight="1" x14ac:dyDescent="0.25">
      <c r="A30" s="6" t="s">
        <v>2274</v>
      </c>
      <c r="B30" s="6" t="s">
        <v>6325</v>
      </c>
      <c r="C30" s="6">
        <v>0</v>
      </c>
      <c r="D30" s="6" t="s">
        <v>13287</v>
      </c>
      <c r="E30" s="6">
        <v>0</v>
      </c>
      <c r="F30" s="16">
        <v>11001</v>
      </c>
      <c r="G30" s="6">
        <v>695219</v>
      </c>
      <c r="H30" s="6">
        <v>4329</v>
      </c>
    </row>
    <row r="31" spans="1:8" ht="15.75" customHeight="1" x14ac:dyDescent="0.25">
      <c r="A31" s="6" t="s">
        <v>2275</v>
      </c>
      <c r="B31" s="6" t="s">
        <v>6326</v>
      </c>
      <c r="C31" s="6">
        <v>0</v>
      </c>
      <c r="D31" s="6" t="s">
        <v>13287</v>
      </c>
      <c r="E31" s="6">
        <v>0</v>
      </c>
      <c r="F31" s="16">
        <v>11001</v>
      </c>
      <c r="G31" s="6">
        <v>695219</v>
      </c>
      <c r="H31" s="6">
        <v>4329</v>
      </c>
    </row>
    <row r="32" spans="1:8" ht="15.75" customHeight="1" x14ac:dyDescent="0.25">
      <c r="A32" s="6" t="s">
        <v>2276</v>
      </c>
      <c r="B32" s="6" t="s">
        <v>6327</v>
      </c>
      <c r="C32" s="6">
        <v>0</v>
      </c>
      <c r="D32" s="6" t="s">
        <v>13287</v>
      </c>
      <c r="E32" s="6">
        <v>0</v>
      </c>
      <c r="F32" s="16">
        <v>11001</v>
      </c>
      <c r="G32" s="6">
        <v>695219</v>
      </c>
      <c r="H32" s="6">
        <v>4329</v>
      </c>
    </row>
    <row r="33" spans="1:8" ht="15.75" customHeight="1" x14ac:dyDescent="0.25">
      <c r="A33" s="6" t="s">
        <v>2277</v>
      </c>
      <c r="B33" s="6" t="s">
        <v>6328</v>
      </c>
      <c r="C33" s="6">
        <v>0</v>
      </c>
      <c r="D33" s="6" t="s">
        <v>13287</v>
      </c>
      <c r="E33" s="6">
        <v>0</v>
      </c>
      <c r="F33" s="16">
        <v>11001</v>
      </c>
      <c r="G33" s="6">
        <v>695219</v>
      </c>
      <c r="H33" s="6">
        <v>4329</v>
      </c>
    </row>
    <row r="34" spans="1:8" ht="15.75" customHeight="1" x14ac:dyDescent="0.25">
      <c r="A34" s="6" t="s">
        <v>2278</v>
      </c>
      <c r="B34" s="6" t="s">
        <v>6329</v>
      </c>
      <c r="C34" s="6">
        <v>0</v>
      </c>
      <c r="D34" s="6" t="s">
        <v>13287</v>
      </c>
      <c r="E34" s="6">
        <v>0</v>
      </c>
      <c r="F34" s="16">
        <v>11001</v>
      </c>
      <c r="G34" s="6">
        <v>695219</v>
      </c>
      <c r="H34" s="6">
        <v>4329</v>
      </c>
    </row>
    <row r="35" spans="1:8" ht="15.75" customHeight="1" x14ac:dyDescent="0.25">
      <c r="A35" s="6" t="s">
        <v>2279</v>
      </c>
      <c r="B35" s="6" t="s">
        <v>6330</v>
      </c>
      <c r="C35" s="6">
        <v>0</v>
      </c>
      <c r="D35" s="6" t="s">
        <v>13287</v>
      </c>
      <c r="E35" s="6">
        <v>0</v>
      </c>
      <c r="F35" s="16">
        <v>11001</v>
      </c>
      <c r="G35" s="6">
        <v>695219</v>
      </c>
      <c r="H35" s="6">
        <v>4329</v>
      </c>
    </row>
    <row r="36" spans="1:8" ht="15.75" customHeight="1" x14ac:dyDescent="0.25">
      <c r="A36" s="6" t="s">
        <v>2280</v>
      </c>
      <c r="B36" s="6" t="s">
        <v>6331</v>
      </c>
      <c r="C36" s="6">
        <v>0</v>
      </c>
      <c r="D36" s="6" t="s">
        <v>13287</v>
      </c>
      <c r="E36" s="6">
        <v>0</v>
      </c>
      <c r="F36" s="16">
        <v>11001</v>
      </c>
      <c r="G36" s="6">
        <v>695219</v>
      </c>
      <c r="H36" s="6">
        <v>4329</v>
      </c>
    </row>
    <row r="37" spans="1:8" ht="15.75" customHeight="1" x14ac:dyDescent="0.25">
      <c r="A37" s="6" t="s">
        <v>2281</v>
      </c>
      <c r="B37" s="6" t="s">
        <v>6332</v>
      </c>
      <c r="C37" s="6">
        <v>0</v>
      </c>
      <c r="D37" s="6" t="s">
        <v>13287</v>
      </c>
      <c r="E37" s="6">
        <v>0</v>
      </c>
      <c r="F37" s="16">
        <v>11001</v>
      </c>
      <c r="G37" s="6">
        <v>695219</v>
      </c>
      <c r="H37" s="6">
        <v>4329</v>
      </c>
    </row>
    <row r="38" spans="1:8" ht="15.75" customHeight="1" x14ac:dyDescent="0.25">
      <c r="A38" s="6" t="s">
        <v>2282</v>
      </c>
      <c r="B38" s="6" t="s">
        <v>6333</v>
      </c>
      <c r="C38" s="6">
        <v>0</v>
      </c>
      <c r="D38" s="6" t="s">
        <v>13287</v>
      </c>
      <c r="E38" s="6">
        <v>0</v>
      </c>
      <c r="F38" s="16">
        <v>11001</v>
      </c>
      <c r="G38" s="6">
        <v>695219</v>
      </c>
      <c r="H38" s="6">
        <v>4329</v>
      </c>
    </row>
    <row r="39" spans="1:8" ht="15.75" customHeight="1" x14ac:dyDescent="0.25">
      <c r="A39" s="6" t="s">
        <v>2283</v>
      </c>
      <c r="B39" s="6" t="s">
        <v>6334</v>
      </c>
      <c r="C39" s="6">
        <v>0</v>
      </c>
      <c r="D39" s="6" t="s">
        <v>13287</v>
      </c>
      <c r="E39" s="6">
        <v>0</v>
      </c>
      <c r="F39" s="16">
        <v>11001</v>
      </c>
      <c r="G39" s="6">
        <v>695219</v>
      </c>
      <c r="H39" s="6">
        <v>4329</v>
      </c>
    </row>
    <row r="40" spans="1:8" ht="15.75" customHeight="1" x14ac:dyDescent="0.25">
      <c r="A40" s="6" t="s">
        <v>2284</v>
      </c>
      <c r="B40" s="6" t="s">
        <v>6335</v>
      </c>
      <c r="C40" s="6">
        <v>0</v>
      </c>
      <c r="D40" s="6" t="s">
        <v>13287</v>
      </c>
      <c r="E40" s="6">
        <v>0</v>
      </c>
      <c r="F40" s="16">
        <v>11001</v>
      </c>
      <c r="G40" s="6">
        <v>695219</v>
      </c>
      <c r="H40" s="6">
        <v>4329</v>
      </c>
    </row>
    <row r="41" spans="1:8" ht="15.75" customHeight="1" x14ac:dyDescent="0.25">
      <c r="A41" s="6" t="s">
        <v>2285</v>
      </c>
      <c r="B41" s="6" t="s">
        <v>6336</v>
      </c>
      <c r="C41" s="6">
        <v>0</v>
      </c>
      <c r="D41" s="6" t="s">
        <v>13287</v>
      </c>
      <c r="E41" s="6">
        <v>0</v>
      </c>
      <c r="F41" s="16">
        <v>11001</v>
      </c>
      <c r="G41" s="6">
        <v>695219</v>
      </c>
      <c r="H41" s="6">
        <v>4329</v>
      </c>
    </row>
    <row r="42" spans="1:8" ht="15.75" customHeight="1" x14ac:dyDescent="0.25">
      <c r="A42" s="6" t="s">
        <v>2286</v>
      </c>
      <c r="B42" s="6" t="s">
        <v>6337</v>
      </c>
      <c r="C42" s="6">
        <v>0</v>
      </c>
      <c r="D42" s="6" t="s">
        <v>13287</v>
      </c>
      <c r="E42" s="6">
        <v>0</v>
      </c>
      <c r="F42" s="16">
        <v>11001</v>
      </c>
      <c r="G42" s="6">
        <v>695219</v>
      </c>
      <c r="H42" s="6">
        <v>4329</v>
      </c>
    </row>
    <row r="43" spans="1:8" ht="15.75" customHeight="1" x14ac:dyDescent="0.25">
      <c r="A43" s="6" t="s">
        <v>2287</v>
      </c>
      <c r="B43" s="6" t="s">
        <v>6338</v>
      </c>
      <c r="C43" s="6">
        <v>0</v>
      </c>
      <c r="D43" s="6" t="s">
        <v>13287</v>
      </c>
      <c r="E43" s="6">
        <v>0</v>
      </c>
      <c r="F43" s="16">
        <v>11001</v>
      </c>
      <c r="G43" s="6">
        <v>695219</v>
      </c>
      <c r="H43" s="6">
        <v>4329</v>
      </c>
    </row>
    <row r="44" spans="1:8" ht="15" customHeight="1" x14ac:dyDescent="0.25">
      <c r="A44" t="s">
        <v>2288</v>
      </c>
      <c r="B44" t="s">
        <v>6339</v>
      </c>
      <c r="C44">
        <v>0</v>
      </c>
      <c r="D44" t="s">
        <v>13287</v>
      </c>
      <c r="E44">
        <v>0</v>
      </c>
      <c r="F44" s="17">
        <v>11001</v>
      </c>
      <c r="G44">
        <v>695219</v>
      </c>
      <c r="H44">
        <v>4329</v>
      </c>
    </row>
    <row r="45" spans="1:8" ht="15" customHeight="1" x14ac:dyDescent="0.25">
      <c r="A45" t="s">
        <v>2289</v>
      </c>
      <c r="B45" t="s">
        <v>6340</v>
      </c>
      <c r="C45">
        <v>0</v>
      </c>
      <c r="D45" t="s">
        <v>13287</v>
      </c>
      <c r="E45">
        <v>0</v>
      </c>
      <c r="F45" s="17">
        <v>11001</v>
      </c>
      <c r="G45">
        <v>695219</v>
      </c>
      <c r="H45">
        <v>4329</v>
      </c>
    </row>
    <row r="46" spans="1:8" ht="15" customHeight="1" x14ac:dyDescent="0.25">
      <c r="A46" t="s">
        <v>2290</v>
      </c>
      <c r="B46" t="s">
        <v>6341</v>
      </c>
      <c r="C46">
        <v>0</v>
      </c>
      <c r="D46" t="s">
        <v>13287</v>
      </c>
      <c r="E46">
        <v>0</v>
      </c>
      <c r="F46" s="17">
        <v>11001</v>
      </c>
      <c r="G46">
        <v>695219</v>
      </c>
      <c r="H46">
        <v>4329</v>
      </c>
    </row>
    <row r="47" spans="1:8" ht="15" customHeight="1" x14ac:dyDescent="0.25">
      <c r="A47" t="s">
        <v>2291</v>
      </c>
      <c r="B47" t="s">
        <v>6342</v>
      </c>
      <c r="C47">
        <v>0</v>
      </c>
      <c r="D47" t="s">
        <v>13287</v>
      </c>
      <c r="E47">
        <v>0</v>
      </c>
      <c r="F47" s="17">
        <v>11001</v>
      </c>
      <c r="G47">
        <v>695219</v>
      </c>
      <c r="H47">
        <v>4329</v>
      </c>
    </row>
    <row r="48" spans="1:8" ht="15" customHeight="1" x14ac:dyDescent="0.25">
      <c r="A48" t="s">
        <v>2292</v>
      </c>
      <c r="B48" t="s">
        <v>6343</v>
      </c>
      <c r="C48">
        <v>0</v>
      </c>
      <c r="D48" t="s">
        <v>13287</v>
      </c>
      <c r="E48">
        <v>0</v>
      </c>
      <c r="F48" s="17">
        <v>11001</v>
      </c>
      <c r="G48">
        <v>695219</v>
      </c>
      <c r="H48">
        <v>4329</v>
      </c>
    </row>
    <row r="49" spans="1:8" ht="15" customHeight="1" x14ac:dyDescent="0.25">
      <c r="A49" t="s">
        <v>2293</v>
      </c>
      <c r="B49" t="s">
        <v>6344</v>
      </c>
      <c r="C49">
        <v>0</v>
      </c>
      <c r="D49" t="s">
        <v>13287</v>
      </c>
      <c r="E49">
        <v>0</v>
      </c>
      <c r="F49" s="17">
        <v>11001</v>
      </c>
      <c r="G49">
        <v>695219</v>
      </c>
      <c r="H49">
        <v>4329</v>
      </c>
    </row>
    <row r="50" spans="1:8" ht="15" customHeight="1" x14ac:dyDescent="0.25">
      <c r="A50" t="s">
        <v>2294</v>
      </c>
      <c r="B50" t="s">
        <v>6345</v>
      </c>
      <c r="C50">
        <v>0</v>
      </c>
      <c r="D50" t="s">
        <v>13287</v>
      </c>
      <c r="E50">
        <v>0</v>
      </c>
      <c r="F50" s="17">
        <v>11001</v>
      </c>
      <c r="G50">
        <v>695219</v>
      </c>
      <c r="H50">
        <v>4329</v>
      </c>
    </row>
    <row r="51" spans="1:8" ht="15" customHeight="1" x14ac:dyDescent="0.25">
      <c r="A51" t="s">
        <v>2295</v>
      </c>
      <c r="B51" t="s">
        <v>6346</v>
      </c>
      <c r="C51">
        <v>0</v>
      </c>
      <c r="D51" t="s">
        <v>13287</v>
      </c>
      <c r="E51">
        <v>0</v>
      </c>
      <c r="F51" s="17">
        <v>11001</v>
      </c>
      <c r="G51">
        <v>695219</v>
      </c>
      <c r="H51">
        <v>4329</v>
      </c>
    </row>
    <row r="52" spans="1:8" ht="15" customHeight="1" x14ac:dyDescent="0.25">
      <c r="A52" t="s">
        <v>2296</v>
      </c>
      <c r="B52" t="s">
        <v>6347</v>
      </c>
      <c r="C52">
        <v>0</v>
      </c>
      <c r="D52" t="s">
        <v>13287</v>
      </c>
      <c r="E52">
        <v>0</v>
      </c>
      <c r="F52" s="17">
        <v>11001</v>
      </c>
      <c r="G52">
        <v>695219</v>
      </c>
      <c r="H52">
        <v>4329</v>
      </c>
    </row>
    <row r="53" spans="1:8" ht="15" customHeight="1" x14ac:dyDescent="0.25">
      <c r="A53" t="s">
        <v>2297</v>
      </c>
      <c r="B53" t="s">
        <v>6348</v>
      </c>
      <c r="C53">
        <v>0</v>
      </c>
      <c r="D53" t="s">
        <v>13287</v>
      </c>
      <c r="E53">
        <v>0</v>
      </c>
      <c r="F53" s="17">
        <v>11001</v>
      </c>
      <c r="G53">
        <v>695219</v>
      </c>
      <c r="H53">
        <v>4329</v>
      </c>
    </row>
    <row r="54" spans="1:8" ht="15" customHeight="1" x14ac:dyDescent="0.25">
      <c r="A54" t="s">
        <v>2298</v>
      </c>
      <c r="B54" t="s">
        <v>6349</v>
      </c>
      <c r="C54">
        <v>0</v>
      </c>
      <c r="D54" t="s">
        <v>13287</v>
      </c>
      <c r="E54">
        <v>0</v>
      </c>
      <c r="F54" s="17">
        <v>11001</v>
      </c>
      <c r="G54">
        <v>695219</v>
      </c>
      <c r="H54">
        <v>4329</v>
      </c>
    </row>
    <row r="55" spans="1:8" ht="15" customHeight="1" x14ac:dyDescent="0.25">
      <c r="A55" t="s">
        <v>2299</v>
      </c>
      <c r="B55" t="s">
        <v>6350</v>
      </c>
      <c r="C55">
        <v>0</v>
      </c>
      <c r="D55" t="s">
        <v>13287</v>
      </c>
      <c r="E55">
        <v>0</v>
      </c>
      <c r="F55" s="17">
        <v>11001</v>
      </c>
      <c r="G55">
        <v>695219</v>
      </c>
      <c r="H55">
        <v>4329</v>
      </c>
    </row>
    <row r="56" spans="1:8" ht="15" customHeight="1" x14ac:dyDescent="0.25">
      <c r="A56" t="s">
        <v>2300</v>
      </c>
      <c r="B56" t="s">
        <v>6351</v>
      </c>
      <c r="C56">
        <v>0</v>
      </c>
      <c r="D56" t="s">
        <v>13287</v>
      </c>
      <c r="E56">
        <v>0</v>
      </c>
      <c r="F56" s="17">
        <v>11001</v>
      </c>
      <c r="G56">
        <v>695219</v>
      </c>
      <c r="H56">
        <v>4329</v>
      </c>
    </row>
    <row r="57" spans="1:8" ht="15" customHeight="1" x14ac:dyDescent="0.25">
      <c r="A57" t="s">
        <v>2301</v>
      </c>
      <c r="B57" t="s">
        <v>6352</v>
      </c>
      <c r="C57">
        <v>0</v>
      </c>
      <c r="D57" t="s">
        <v>13287</v>
      </c>
      <c r="E57">
        <v>0</v>
      </c>
      <c r="F57" s="17">
        <v>11001</v>
      </c>
      <c r="G57">
        <v>695219</v>
      </c>
      <c r="H57">
        <v>4329</v>
      </c>
    </row>
    <row r="58" spans="1:8" ht="15" customHeight="1" x14ac:dyDescent="0.25">
      <c r="A58" t="s">
        <v>2302</v>
      </c>
      <c r="B58" t="s">
        <v>6353</v>
      </c>
      <c r="C58">
        <v>0</v>
      </c>
      <c r="D58" t="s">
        <v>13287</v>
      </c>
      <c r="E58">
        <v>0</v>
      </c>
      <c r="F58" s="17">
        <v>11001</v>
      </c>
      <c r="G58">
        <v>695219</v>
      </c>
      <c r="H58">
        <v>4329</v>
      </c>
    </row>
    <row r="59" spans="1:8" ht="15" customHeight="1" x14ac:dyDescent="0.25">
      <c r="A59" t="s">
        <v>2303</v>
      </c>
      <c r="B59" t="s">
        <v>6354</v>
      </c>
      <c r="C59">
        <v>0</v>
      </c>
      <c r="D59" t="s">
        <v>13287</v>
      </c>
      <c r="E59">
        <v>0</v>
      </c>
      <c r="F59" s="17">
        <v>11001</v>
      </c>
      <c r="G59">
        <v>695219</v>
      </c>
      <c r="H59">
        <v>4329</v>
      </c>
    </row>
    <row r="60" spans="1:8" ht="15" customHeight="1" x14ac:dyDescent="0.25">
      <c r="A60" t="s">
        <v>2304</v>
      </c>
      <c r="B60" t="s">
        <v>6355</v>
      </c>
      <c r="C60">
        <v>0</v>
      </c>
      <c r="D60" t="s">
        <v>13287</v>
      </c>
      <c r="E60">
        <v>0</v>
      </c>
      <c r="F60" s="17">
        <v>11001</v>
      </c>
      <c r="G60">
        <v>695219</v>
      </c>
      <c r="H60">
        <v>4329</v>
      </c>
    </row>
    <row r="61" spans="1:8" ht="15" customHeight="1" x14ac:dyDescent="0.25">
      <c r="A61" t="s">
        <v>2305</v>
      </c>
      <c r="B61" t="s">
        <v>6356</v>
      </c>
      <c r="C61">
        <v>0</v>
      </c>
      <c r="D61" t="s">
        <v>13287</v>
      </c>
      <c r="E61">
        <v>0</v>
      </c>
      <c r="F61" s="17">
        <v>11001</v>
      </c>
      <c r="G61">
        <v>695219</v>
      </c>
      <c r="H61">
        <v>4329</v>
      </c>
    </row>
    <row r="62" spans="1:8" ht="15" customHeight="1" x14ac:dyDescent="0.25">
      <c r="A62" t="s">
        <v>2306</v>
      </c>
      <c r="B62" t="s">
        <v>6357</v>
      </c>
      <c r="C62">
        <v>0</v>
      </c>
      <c r="D62" t="s">
        <v>13287</v>
      </c>
      <c r="E62">
        <v>0</v>
      </c>
      <c r="F62" s="17">
        <v>11001</v>
      </c>
      <c r="G62">
        <v>695219</v>
      </c>
      <c r="H62">
        <v>4329</v>
      </c>
    </row>
    <row r="63" spans="1:8" ht="15" customHeight="1" x14ac:dyDescent="0.25">
      <c r="A63" t="s">
        <v>2307</v>
      </c>
      <c r="B63" t="s">
        <v>6358</v>
      </c>
      <c r="C63">
        <v>0</v>
      </c>
      <c r="D63" t="s">
        <v>13287</v>
      </c>
      <c r="E63">
        <v>0</v>
      </c>
      <c r="F63" s="17">
        <v>11001</v>
      </c>
      <c r="G63">
        <v>695219</v>
      </c>
      <c r="H63">
        <v>4329</v>
      </c>
    </row>
    <row r="64" spans="1:8" ht="15" customHeight="1" x14ac:dyDescent="0.25">
      <c r="A64" t="s">
        <v>2308</v>
      </c>
      <c r="B64" t="s">
        <v>6359</v>
      </c>
      <c r="C64">
        <v>0</v>
      </c>
      <c r="D64" t="s">
        <v>13287</v>
      </c>
      <c r="E64">
        <v>0</v>
      </c>
      <c r="F64" s="17">
        <v>11001</v>
      </c>
      <c r="G64">
        <v>695219</v>
      </c>
      <c r="H64">
        <v>4329</v>
      </c>
    </row>
    <row r="65" spans="1:8" ht="15" customHeight="1" x14ac:dyDescent="0.25">
      <c r="A65" t="s">
        <v>2309</v>
      </c>
      <c r="B65" t="s">
        <v>6360</v>
      </c>
      <c r="C65">
        <v>0</v>
      </c>
      <c r="D65" t="s">
        <v>13287</v>
      </c>
      <c r="E65">
        <v>0</v>
      </c>
      <c r="F65" s="17">
        <v>11001</v>
      </c>
      <c r="G65">
        <v>695219</v>
      </c>
      <c r="H65">
        <v>4329</v>
      </c>
    </row>
    <row r="66" spans="1:8" ht="15" customHeight="1" x14ac:dyDescent="0.25">
      <c r="A66" t="s">
        <v>2310</v>
      </c>
      <c r="B66" t="s">
        <v>6361</v>
      </c>
      <c r="C66">
        <v>0</v>
      </c>
      <c r="D66" t="s">
        <v>13287</v>
      </c>
      <c r="E66">
        <v>0</v>
      </c>
      <c r="F66" s="17">
        <v>11001</v>
      </c>
      <c r="G66">
        <v>695219</v>
      </c>
      <c r="H66">
        <v>4329</v>
      </c>
    </row>
    <row r="67" spans="1:8" ht="15" customHeight="1" x14ac:dyDescent="0.25">
      <c r="A67" t="s">
        <v>2311</v>
      </c>
      <c r="B67" t="s">
        <v>6362</v>
      </c>
      <c r="C67">
        <v>0</v>
      </c>
      <c r="D67" t="s">
        <v>13287</v>
      </c>
      <c r="E67">
        <v>0</v>
      </c>
      <c r="F67" s="17">
        <v>11001</v>
      </c>
      <c r="G67">
        <v>695219</v>
      </c>
      <c r="H67">
        <v>4329</v>
      </c>
    </row>
    <row r="68" spans="1:8" ht="15" customHeight="1" x14ac:dyDescent="0.25">
      <c r="A68" t="s">
        <v>2312</v>
      </c>
      <c r="B68" t="s">
        <v>6363</v>
      </c>
      <c r="C68">
        <v>0</v>
      </c>
      <c r="D68" t="s">
        <v>13287</v>
      </c>
      <c r="E68">
        <v>0</v>
      </c>
      <c r="F68" s="17">
        <v>11001</v>
      </c>
      <c r="G68">
        <v>695219</v>
      </c>
      <c r="H68">
        <v>4329</v>
      </c>
    </row>
    <row r="69" spans="1:8" ht="15" customHeight="1" x14ac:dyDescent="0.25">
      <c r="A69" t="s">
        <v>2313</v>
      </c>
      <c r="B69" t="s">
        <v>6364</v>
      </c>
      <c r="C69">
        <v>0</v>
      </c>
      <c r="D69" t="s">
        <v>13287</v>
      </c>
      <c r="E69">
        <v>0</v>
      </c>
      <c r="F69" s="17">
        <v>11001</v>
      </c>
      <c r="G69">
        <v>695219</v>
      </c>
      <c r="H69">
        <v>4329</v>
      </c>
    </row>
    <row r="70" spans="1:8" ht="15" customHeight="1" x14ac:dyDescent="0.25">
      <c r="A70" t="s">
        <v>2314</v>
      </c>
      <c r="B70" t="s">
        <v>6365</v>
      </c>
      <c r="C70">
        <v>0</v>
      </c>
      <c r="D70" t="s">
        <v>13287</v>
      </c>
      <c r="E70">
        <v>0</v>
      </c>
      <c r="F70" s="17">
        <v>11001</v>
      </c>
      <c r="G70">
        <v>695219</v>
      </c>
      <c r="H70">
        <v>4329</v>
      </c>
    </row>
    <row r="71" spans="1:8" ht="15" customHeight="1" x14ac:dyDescent="0.25">
      <c r="A71" t="s">
        <v>2315</v>
      </c>
      <c r="B71" t="s">
        <v>6366</v>
      </c>
      <c r="C71">
        <v>0</v>
      </c>
      <c r="D71" t="s">
        <v>13287</v>
      </c>
      <c r="E71">
        <v>0</v>
      </c>
      <c r="F71" s="17">
        <v>11001</v>
      </c>
      <c r="G71">
        <v>695219</v>
      </c>
      <c r="H71">
        <v>4329</v>
      </c>
    </row>
    <row r="72" spans="1:8" ht="15" customHeight="1" x14ac:dyDescent="0.25">
      <c r="A72" t="s">
        <v>2316</v>
      </c>
      <c r="B72" t="s">
        <v>6367</v>
      </c>
      <c r="C72">
        <v>0</v>
      </c>
      <c r="D72" t="s">
        <v>13287</v>
      </c>
      <c r="E72">
        <v>0</v>
      </c>
      <c r="F72" s="17">
        <v>11001</v>
      </c>
      <c r="G72">
        <v>695219</v>
      </c>
      <c r="H72">
        <v>4329</v>
      </c>
    </row>
    <row r="73" spans="1:8" ht="15" customHeight="1" x14ac:dyDescent="0.25">
      <c r="A73" t="s">
        <v>2317</v>
      </c>
      <c r="B73" t="s">
        <v>6368</v>
      </c>
      <c r="C73">
        <v>0</v>
      </c>
      <c r="D73" t="s">
        <v>13287</v>
      </c>
      <c r="E73">
        <v>0</v>
      </c>
      <c r="F73" s="17">
        <v>11001</v>
      </c>
      <c r="G73">
        <v>695219</v>
      </c>
      <c r="H73">
        <v>4329</v>
      </c>
    </row>
    <row r="74" spans="1:8" ht="15" customHeight="1" x14ac:dyDescent="0.25">
      <c r="A74" t="s">
        <v>2318</v>
      </c>
      <c r="B74" t="s">
        <v>6369</v>
      </c>
      <c r="C74">
        <v>0</v>
      </c>
      <c r="D74" t="s">
        <v>13287</v>
      </c>
      <c r="E74">
        <v>0</v>
      </c>
      <c r="F74" s="17">
        <v>11001</v>
      </c>
      <c r="G74">
        <v>695219</v>
      </c>
      <c r="H74">
        <v>4329</v>
      </c>
    </row>
    <row r="75" spans="1:8" ht="15" customHeight="1" x14ac:dyDescent="0.25">
      <c r="A75" t="s">
        <v>2319</v>
      </c>
      <c r="B75" t="s">
        <v>6370</v>
      </c>
      <c r="C75">
        <v>0</v>
      </c>
      <c r="D75" t="s">
        <v>13287</v>
      </c>
      <c r="E75">
        <v>0</v>
      </c>
      <c r="F75" s="17">
        <v>11001</v>
      </c>
      <c r="G75">
        <v>695219</v>
      </c>
      <c r="H75">
        <v>4329</v>
      </c>
    </row>
    <row r="76" spans="1:8" ht="15" customHeight="1" x14ac:dyDescent="0.25">
      <c r="A76" t="s">
        <v>2320</v>
      </c>
      <c r="B76" t="s">
        <v>6371</v>
      </c>
      <c r="C76">
        <v>0</v>
      </c>
      <c r="D76" t="s">
        <v>13287</v>
      </c>
      <c r="E76">
        <v>0</v>
      </c>
      <c r="F76" s="17">
        <v>11001</v>
      </c>
      <c r="G76">
        <v>695219</v>
      </c>
      <c r="H76">
        <v>4329</v>
      </c>
    </row>
    <row r="77" spans="1:8" ht="15" customHeight="1" x14ac:dyDescent="0.25">
      <c r="A77" t="s">
        <v>2321</v>
      </c>
      <c r="B77" t="s">
        <v>6372</v>
      </c>
      <c r="C77">
        <v>0</v>
      </c>
      <c r="D77" t="s">
        <v>13287</v>
      </c>
      <c r="E77">
        <v>0</v>
      </c>
      <c r="F77" s="17">
        <v>11001</v>
      </c>
      <c r="G77">
        <v>695219</v>
      </c>
      <c r="H77">
        <v>4329</v>
      </c>
    </row>
    <row r="78" spans="1:8" ht="15" customHeight="1" x14ac:dyDescent="0.25">
      <c r="A78" t="s">
        <v>2322</v>
      </c>
      <c r="B78" t="s">
        <v>6373</v>
      </c>
      <c r="C78">
        <v>0</v>
      </c>
      <c r="D78" t="s">
        <v>13287</v>
      </c>
      <c r="E78">
        <v>0</v>
      </c>
      <c r="F78" s="17">
        <v>11001</v>
      </c>
      <c r="G78">
        <v>695219</v>
      </c>
      <c r="H78">
        <v>4329</v>
      </c>
    </row>
    <row r="79" spans="1:8" ht="15" customHeight="1" x14ac:dyDescent="0.25">
      <c r="A79" t="s">
        <v>2323</v>
      </c>
      <c r="B79" t="s">
        <v>6374</v>
      </c>
      <c r="C79">
        <v>0</v>
      </c>
      <c r="D79" t="s">
        <v>13287</v>
      </c>
      <c r="E79">
        <v>0</v>
      </c>
      <c r="F79" s="17">
        <v>11001</v>
      </c>
      <c r="G79">
        <v>695219</v>
      </c>
      <c r="H79">
        <v>4329</v>
      </c>
    </row>
    <row r="80" spans="1:8" ht="15" customHeight="1" x14ac:dyDescent="0.25">
      <c r="A80" t="s">
        <v>2324</v>
      </c>
      <c r="B80" t="s">
        <v>6375</v>
      </c>
      <c r="C80">
        <v>0</v>
      </c>
      <c r="D80" t="s">
        <v>13287</v>
      </c>
      <c r="E80">
        <v>0</v>
      </c>
      <c r="F80" s="17">
        <v>11001</v>
      </c>
      <c r="G80">
        <v>695219</v>
      </c>
      <c r="H80">
        <v>4329</v>
      </c>
    </row>
    <row r="81" spans="1:8" ht="15" customHeight="1" x14ac:dyDescent="0.25">
      <c r="A81" t="s">
        <v>2325</v>
      </c>
      <c r="B81" t="s">
        <v>6376</v>
      </c>
      <c r="C81">
        <v>0</v>
      </c>
      <c r="D81" t="s">
        <v>13287</v>
      </c>
      <c r="E81">
        <v>0</v>
      </c>
      <c r="F81" s="17">
        <v>11001</v>
      </c>
      <c r="G81">
        <v>695219</v>
      </c>
      <c r="H81">
        <v>4329</v>
      </c>
    </row>
    <row r="82" spans="1:8" ht="15" customHeight="1" x14ac:dyDescent="0.25">
      <c r="A82" t="s">
        <v>2326</v>
      </c>
      <c r="B82" t="s">
        <v>6377</v>
      </c>
      <c r="C82">
        <v>0</v>
      </c>
      <c r="D82" t="s">
        <v>13287</v>
      </c>
      <c r="E82">
        <v>0</v>
      </c>
      <c r="F82" s="17">
        <v>11001</v>
      </c>
      <c r="G82">
        <v>695219</v>
      </c>
      <c r="H82">
        <v>4329</v>
      </c>
    </row>
    <row r="83" spans="1:8" ht="15" customHeight="1" x14ac:dyDescent="0.25">
      <c r="A83" t="s">
        <v>2327</v>
      </c>
      <c r="B83" t="s">
        <v>6378</v>
      </c>
      <c r="C83">
        <v>0</v>
      </c>
      <c r="D83" t="s">
        <v>13287</v>
      </c>
      <c r="E83">
        <v>0</v>
      </c>
      <c r="F83" s="17">
        <v>11001</v>
      </c>
      <c r="G83">
        <v>695219</v>
      </c>
      <c r="H83">
        <v>4329</v>
      </c>
    </row>
    <row r="84" spans="1:8" ht="15" customHeight="1" x14ac:dyDescent="0.25">
      <c r="A84" t="s">
        <v>2328</v>
      </c>
      <c r="B84" t="s">
        <v>6379</v>
      </c>
      <c r="C84">
        <v>0</v>
      </c>
      <c r="D84" t="s">
        <v>13287</v>
      </c>
      <c r="E84">
        <v>0</v>
      </c>
      <c r="F84" s="17">
        <v>11001</v>
      </c>
      <c r="G84">
        <v>695219</v>
      </c>
      <c r="H84">
        <v>4329</v>
      </c>
    </row>
    <row r="85" spans="1:8" ht="15" customHeight="1" x14ac:dyDescent="0.25">
      <c r="A85" t="s">
        <v>2329</v>
      </c>
      <c r="B85" t="s">
        <v>6380</v>
      </c>
      <c r="C85">
        <v>0</v>
      </c>
      <c r="D85" t="s">
        <v>13287</v>
      </c>
      <c r="E85">
        <v>0</v>
      </c>
      <c r="F85" s="17">
        <v>11001</v>
      </c>
      <c r="G85">
        <v>695219</v>
      </c>
      <c r="H85">
        <v>4329</v>
      </c>
    </row>
    <row r="86" spans="1:8" ht="15" customHeight="1" x14ac:dyDescent="0.25">
      <c r="A86" t="s">
        <v>2330</v>
      </c>
      <c r="B86" t="s">
        <v>6381</v>
      </c>
      <c r="C86">
        <v>0</v>
      </c>
      <c r="D86" t="s">
        <v>13287</v>
      </c>
      <c r="E86">
        <v>0</v>
      </c>
      <c r="F86" s="17">
        <v>11001</v>
      </c>
      <c r="G86">
        <v>695219</v>
      </c>
      <c r="H86">
        <v>4329</v>
      </c>
    </row>
    <row r="87" spans="1:8" ht="15" customHeight="1" x14ac:dyDescent="0.25">
      <c r="A87" t="s">
        <v>2331</v>
      </c>
      <c r="B87" t="s">
        <v>6382</v>
      </c>
      <c r="C87">
        <v>0</v>
      </c>
      <c r="D87" t="s">
        <v>13287</v>
      </c>
      <c r="E87">
        <v>0</v>
      </c>
      <c r="F87" s="17">
        <v>11001</v>
      </c>
      <c r="G87">
        <v>695219</v>
      </c>
      <c r="H87">
        <v>4329</v>
      </c>
    </row>
    <row r="88" spans="1:8" ht="15" customHeight="1" x14ac:dyDescent="0.25">
      <c r="A88" t="s">
        <v>2332</v>
      </c>
      <c r="B88" t="s">
        <v>6383</v>
      </c>
      <c r="C88">
        <v>0</v>
      </c>
      <c r="D88" t="s">
        <v>13287</v>
      </c>
      <c r="E88">
        <v>0</v>
      </c>
      <c r="F88" s="17">
        <v>11001</v>
      </c>
      <c r="G88">
        <v>695219</v>
      </c>
      <c r="H88">
        <v>4329</v>
      </c>
    </row>
    <row r="89" spans="1:8" ht="15" customHeight="1" x14ac:dyDescent="0.25">
      <c r="A89" t="s">
        <v>2333</v>
      </c>
      <c r="B89" t="s">
        <v>6384</v>
      </c>
      <c r="C89">
        <v>0</v>
      </c>
      <c r="D89" t="s">
        <v>13287</v>
      </c>
      <c r="E89">
        <v>0</v>
      </c>
      <c r="F89" s="17">
        <v>11001</v>
      </c>
      <c r="G89">
        <v>695219</v>
      </c>
      <c r="H89">
        <v>4329</v>
      </c>
    </row>
    <row r="90" spans="1:8" ht="15" customHeight="1" x14ac:dyDescent="0.25">
      <c r="A90" t="s">
        <v>2334</v>
      </c>
      <c r="B90" t="s">
        <v>6385</v>
      </c>
      <c r="C90">
        <v>0</v>
      </c>
      <c r="D90" t="s">
        <v>13287</v>
      </c>
      <c r="E90">
        <v>0</v>
      </c>
      <c r="F90" s="17">
        <v>11001</v>
      </c>
      <c r="G90">
        <v>695219</v>
      </c>
      <c r="H90">
        <v>4329</v>
      </c>
    </row>
    <row r="91" spans="1:8" ht="15" customHeight="1" x14ac:dyDescent="0.25">
      <c r="A91" t="s">
        <v>2335</v>
      </c>
      <c r="B91" t="s">
        <v>6386</v>
      </c>
      <c r="C91">
        <v>0</v>
      </c>
      <c r="D91" t="s">
        <v>13287</v>
      </c>
      <c r="E91">
        <v>0</v>
      </c>
      <c r="F91" s="17">
        <v>11001</v>
      </c>
      <c r="G91">
        <v>695219</v>
      </c>
      <c r="H91">
        <v>4329</v>
      </c>
    </row>
    <row r="92" spans="1:8" ht="15" customHeight="1" x14ac:dyDescent="0.25">
      <c r="A92" t="s">
        <v>2336</v>
      </c>
      <c r="B92" t="s">
        <v>6387</v>
      </c>
      <c r="C92">
        <v>0</v>
      </c>
      <c r="D92" t="s">
        <v>13287</v>
      </c>
      <c r="E92">
        <v>0</v>
      </c>
      <c r="F92" s="17">
        <v>11001</v>
      </c>
      <c r="G92">
        <v>695219</v>
      </c>
      <c r="H92">
        <v>4329</v>
      </c>
    </row>
    <row r="93" spans="1:8" ht="15" customHeight="1" x14ac:dyDescent="0.25">
      <c r="A93" t="s">
        <v>2337</v>
      </c>
      <c r="B93" t="s">
        <v>6388</v>
      </c>
      <c r="C93">
        <v>0</v>
      </c>
      <c r="D93" t="s">
        <v>13287</v>
      </c>
      <c r="E93">
        <v>0</v>
      </c>
      <c r="F93" s="17">
        <v>11001</v>
      </c>
      <c r="G93">
        <v>695219</v>
      </c>
      <c r="H93">
        <v>4329</v>
      </c>
    </row>
    <row r="94" spans="1:8" ht="15" customHeight="1" x14ac:dyDescent="0.25">
      <c r="A94" t="s">
        <v>2338</v>
      </c>
      <c r="B94" t="s">
        <v>6389</v>
      </c>
      <c r="C94">
        <v>0</v>
      </c>
      <c r="D94" t="s">
        <v>13287</v>
      </c>
      <c r="E94">
        <v>0</v>
      </c>
      <c r="F94" s="17">
        <v>11001</v>
      </c>
      <c r="G94">
        <v>705719</v>
      </c>
      <c r="H94">
        <v>4329</v>
      </c>
    </row>
    <row r="95" spans="1:8" ht="15" customHeight="1" x14ac:dyDescent="0.25">
      <c r="A95" t="s">
        <v>2339</v>
      </c>
      <c r="B95" t="s">
        <v>6390</v>
      </c>
      <c r="C95">
        <v>0</v>
      </c>
      <c r="D95" t="s">
        <v>13287</v>
      </c>
      <c r="E95">
        <v>0</v>
      </c>
      <c r="F95" s="17">
        <v>11001</v>
      </c>
      <c r="G95">
        <v>705719</v>
      </c>
      <c r="H95">
        <v>4329</v>
      </c>
    </row>
    <row r="96" spans="1:8" ht="15" customHeight="1" x14ac:dyDescent="0.25">
      <c r="A96" t="s">
        <v>2340</v>
      </c>
      <c r="B96" t="s">
        <v>6391</v>
      </c>
      <c r="C96">
        <v>0</v>
      </c>
      <c r="D96" t="s">
        <v>13287</v>
      </c>
      <c r="E96">
        <v>0</v>
      </c>
      <c r="F96" s="17">
        <v>11001</v>
      </c>
      <c r="G96">
        <v>707219</v>
      </c>
      <c r="H96">
        <v>4329</v>
      </c>
    </row>
    <row r="97" spans="1:8" ht="15" customHeight="1" x14ac:dyDescent="0.25">
      <c r="A97" t="s">
        <v>2341</v>
      </c>
      <c r="B97" t="s">
        <v>6392</v>
      </c>
      <c r="C97">
        <v>0</v>
      </c>
      <c r="D97" t="s">
        <v>13287</v>
      </c>
      <c r="E97">
        <v>0</v>
      </c>
      <c r="F97" s="17">
        <v>11001</v>
      </c>
      <c r="G97">
        <v>707219</v>
      </c>
      <c r="H97">
        <v>4329</v>
      </c>
    </row>
    <row r="98" spans="1:8" ht="15" customHeight="1" x14ac:dyDescent="0.25">
      <c r="A98" t="s">
        <v>2342</v>
      </c>
      <c r="B98" t="s">
        <v>6393</v>
      </c>
      <c r="C98">
        <v>0</v>
      </c>
      <c r="D98" t="s">
        <v>13287</v>
      </c>
      <c r="E98">
        <v>0</v>
      </c>
      <c r="F98" s="17">
        <v>11001</v>
      </c>
      <c r="G98">
        <v>707219</v>
      </c>
      <c r="H98">
        <v>4329</v>
      </c>
    </row>
    <row r="99" spans="1:8" ht="15" customHeight="1" x14ac:dyDescent="0.25">
      <c r="A99" t="s">
        <v>2343</v>
      </c>
      <c r="B99" t="s">
        <v>6394</v>
      </c>
      <c r="C99">
        <v>0</v>
      </c>
      <c r="D99" t="s">
        <v>13287</v>
      </c>
      <c r="E99">
        <v>0</v>
      </c>
      <c r="F99" s="17">
        <v>11001</v>
      </c>
      <c r="G99">
        <v>710219</v>
      </c>
      <c r="H99">
        <v>4329</v>
      </c>
    </row>
    <row r="100" spans="1:8" ht="15" customHeight="1" x14ac:dyDescent="0.25">
      <c r="A100" t="s">
        <v>2344</v>
      </c>
      <c r="B100" t="s">
        <v>6395</v>
      </c>
      <c r="C100">
        <v>0</v>
      </c>
      <c r="D100" t="s">
        <v>13287</v>
      </c>
      <c r="E100">
        <v>0</v>
      </c>
      <c r="F100" s="17">
        <v>11001</v>
      </c>
      <c r="G100">
        <v>710219</v>
      </c>
      <c r="H100">
        <v>4329</v>
      </c>
    </row>
    <row r="101" spans="1:8" ht="15" customHeight="1" x14ac:dyDescent="0.25">
      <c r="A101" t="s">
        <v>2345</v>
      </c>
      <c r="B101" t="s">
        <v>6396</v>
      </c>
      <c r="C101">
        <v>0</v>
      </c>
      <c r="D101" t="s">
        <v>13287</v>
      </c>
      <c r="E101">
        <v>0</v>
      </c>
      <c r="F101" s="17">
        <v>11001</v>
      </c>
      <c r="G101">
        <v>717719</v>
      </c>
      <c r="H101">
        <v>4329</v>
      </c>
    </row>
    <row r="102" spans="1:8" ht="15" customHeight="1" x14ac:dyDescent="0.25">
      <c r="A102" t="s">
        <v>2346</v>
      </c>
      <c r="B102" t="s">
        <v>6397</v>
      </c>
      <c r="C102">
        <v>0</v>
      </c>
      <c r="D102" t="s">
        <v>13287</v>
      </c>
      <c r="E102">
        <v>0</v>
      </c>
      <c r="F102" s="17">
        <v>11001</v>
      </c>
      <c r="G102">
        <v>782219</v>
      </c>
      <c r="H102">
        <v>4329</v>
      </c>
    </row>
    <row r="103" spans="1:8" ht="15" customHeight="1" x14ac:dyDescent="0.25">
      <c r="A103" t="s">
        <v>2347</v>
      </c>
      <c r="B103" t="s">
        <v>6398</v>
      </c>
      <c r="C103">
        <v>0</v>
      </c>
      <c r="D103" t="s">
        <v>13287</v>
      </c>
      <c r="E103">
        <v>0</v>
      </c>
      <c r="F103" s="17">
        <v>11001</v>
      </c>
      <c r="G103">
        <v>785219</v>
      </c>
      <c r="H103">
        <v>4329</v>
      </c>
    </row>
    <row r="104" spans="1:8" ht="15" customHeight="1" x14ac:dyDescent="0.25">
      <c r="A104" t="s">
        <v>2348</v>
      </c>
      <c r="B104" t="s">
        <v>6399</v>
      </c>
      <c r="C104">
        <v>0</v>
      </c>
      <c r="D104" t="s">
        <v>13287</v>
      </c>
      <c r="E104">
        <v>0</v>
      </c>
      <c r="F104" s="17">
        <v>11001</v>
      </c>
      <c r="G104">
        <v>785219</v>
      </c>
      <c r="H104">
        <v>4329</v>
      </c>
    </row>
    <row r="105" spans="1:8" ht="15" customHeight="1" x14ac:dyDescent="0.25">
      <c r="A105" t="s">
        <v>2349</v>
      </c>
      <c r="B105" t="s">
        <v>6400</v>
      </c>
      <c r="C105">
        <v>0</v>
      </c>
      <c r="D105" t="s">
        <v>13287</v>
      </c>
      <c r="E105">
        <v>0</v>
      </c>
      <c r="F105" s="17">
        <v>11001</v>
      </c>
      <c r="G105">
        <v>786419</v>
      </c>
      <c r="H105">
        <v>4329</v>
      </c>
    </row>
    <row r="106" spans="1:8" ht="15" customHeight="1" x14ac:dyDescent="0.25">
      <c r="A106" t="s">
        <v>2350</v>
      </c>
      <c r="B106" t="s">
        <v>6401</v>
      </c>
      <c r="C106">
        <v>0</v>
      </c>
      <c r="D106" t="s">
        <v>13287</v>
      </c>
      <c r="E106">
        <v>0</v>
      </c>
      <c r="F106" s="17">
        <v>11001</v>
      </c>
      <c r="G106">
        <v>795219</v>
      </c>
      <c r="H106">
        <v>4329</v>
      </c>
    </row>
    <row r="107" spans="1:8" ht="15" customHeight="1" x14ac:dyDescent="0.25">
      <c r="A107" t="s">
        <v>2351</v>
      </c>
      <c r="B107" t="s">
        <v>6402</v>
      </c>
      <c r="C107">
        <v>0</v>
      </c>
      <c r="D107" t="s">
        <v>13287</v>
      </c>
      <c r="E107">
        <v>0</v>
      </c>
      <c r="F107" s="17">
        <v>11001</v>
      </c>
      <c r="G107">
        <v>795219</v>
      </c>
      <c r="H107">
        <v>4329</v>
      </c>
    </row>
    <row r="108" spans="1:8" ht="15" customHeight="1" x14ac:dyDescent="0.25">
      <c r="A108" t="s">
        <v>2352</v>
      </c>
      <c r="B108" t="s">
        <v>6403</v>
      </c>
      <c r="C108">
        <v>0</v>
      </c>
      <c r="D108" t="s">
        <v>13287</v>
      </c>
      <c r="E108">
        <v>0</v>
      </c>
      <c r="F108" s="17">
        <v>11001</v>
      </c>
      <c r="G108">
        <v>816219</v>
      </c>
      <c r="H108">
        <v>4329</v>
      </c>
    </row>
    <row r="109" spans="1:8" ht="15" customHeight="1" x14ac:dyDescent="0.25">
      <c r="A109" t="s">
        <v>2353</v>
      </c>
      <c r="B109" t="s">
        <v>6404</v>
      </c>
      <c r="C109">
        <v>0</v>
      </c>
      <c r="D109" t="s">
        <v>13287</v>
      </c>
      <c r="E109">
        <v>0</v>
      </c>
      <c r="F109" s="17">
        <v>11001</v>
      </c>
      <c r="G109">
        <v>816219</v>
      </c>
      <c r="H109">
        <v>4329</v>
      </c>
    </row>
    <row r="110" spans="1:8" ht="15" customHeight="1" x14ac:dyDescent="0.25">
      <c r="A110" t="s">
        <v>2354</v>
      </c>
      <c r="B110" t="s">
        <v>6405</v>
      </c>
      <c r="C110">
        <v>0</v>
      </c>
      <c r="D110" t="s">
        <v>13287</v>
      </c>
      <c r="E110">
        <v>0</v>
      </c>
      <c r="F110" s="17">
        <v>11001</v>
      </c>
      <c r="G110">
        <v>816219</v>
      </c>
      <c r="H110">
        <v>4329</v>
      </c>
    </row>
    <row r="111" spans="1:8" ht="15" customHeight="1" x14ac:dyDescent="0.25">
      <c r="A111" t="s">
        <v>2355</v>
      </c>
      <c r="B111" t="s">
        <v>6406</v>
      </c>
      <c r="C111">
        <v>0</v>
      </c>
      <c r="D111" t="s">
        <v>13287</v>
      </c>
      <c r="E111">
        <v>0</v>
      </c>
      <c r="F111" s="17">
        <v>11001</v>
      </c>
      <c r="G111">
        <v>816219</v>
      </c>
      <c r="H111">
        <v>4329</v>
      </c>
    </row>
    <row r="112" spans="1:8" ht="15" customHeight="1" x14ac:dyDescent="0.25">
      <c r="A112" t="s">
        <v>2356</v>
      </c>
      <c r="B112" t="s">
        <v>6407</v>
      </c>
      <c r="C112">
        <v>0</v>
      </c>
      <c r="D112" t="s">
        <v>13287</v>
      </c>
      <c r="E112">
        <v>0</v>
      </c>
      <c r="F112" s="17">
        <v>11001</v>
      </c>
      <c r="G112">
        <v>816219</v>
      </c>
      <c r="H112">
        <v>4329</v>
      </c>
    </row>
    <row r="113" spans="1:8" ht="15" customHeight="1" x14ac:dyDescent="0.25">
      <c r="A113" t="s">
        <v>2357</v>
      </c>
      <c r="B113" t="s">
        <v>6408</v>
      </c>
      <c r="C113">
        <v>0</v>
      </c>
      <c r="D113" t="s">
        <v>13287</v>
      </c>
      <c r="E113">
        <v>0</v>
      </c>
      <c r="F113" s="17">
        <v>11001</v>
      </c>
      <c r="G113">
        <v>816219</v>
      </c>
      <c r="H113">
        <v>4329</v>
      </c>
    </row>
    <row r="114" spans="1:8" ht="15" customHeight="1" x14ac:dyDescent="0.25">
      <c r="A114" t="s">
        <v>2358</v>
      </c>
      <c r="B114" t="s">
        <v>6409</v>
      </c>
      <c r="C114">
        <v>0</v>
      </c>
      <c r="D114" t="s">
        <v>13287</v>
      </c>
      <c r="E114">
        <v>0</v>
      </c>
      <c r="F114" s="17">
        <v>11001</v>
      </c>
      <c r="G114">
        <v>816219</v>
      </c>
      <c r="H114">
        <v>4329</v>
      </c>
    </row>
    <row r="115" spans="1:8" ht="15" customHeight="1" x14ac:dyDescent="0.25">
      <c r="A115" t="s">
        <v>2359</v>
      </c>
      <c r="B115" t="s">
        <v>6410</v>
      </c>
      <c r="C115">
        <v>0</v>
      </c>
      <c r="D115" t="s">
        <v>13287</v>
      </c>
      <c r="E115">
        <v>0</v>
      </c>
      <c r="F115" s="17">
        <v>11001</v>
      </c>
      <c r="G115">
        <v>816219</v>
      </c>
      <c r="H115">
        <v>4329</v>
      </c>
    </row>
    <row r="116" spans="1:8" ht="15" customHeight="1" x14ac:dyDescent="0.25">
      <c r="A116" t="s">
        <v>2360</v>
      </c>
      <c r="B116" t="s">
        <v>6411</v>
      </c>
      <c r="C116">
        <v>0</v>
      </c>
      <c r="D116" t="s">
        <v>13287</v>
      </c>
      <c r="E116">
        <v>0</v>
      </c>
      <c r="F116" s="17">
        <v>11001</v>
      </c>
      <c r="G116">
        <v>828219</v>
      </c>
      <c r="H116">
        <v>4329</v>
      </c>
    </row>
    <row r="117" spans="1:8" ht="15" customHeight="1" x14ac:dyDescent="0.25">
      <c r="A117" t="s">
        <v>2361</v>
      </c>
      <c r="B117" t="s">
        <v>6412</v>
      </c>
      <c r="C117">
        <v>0</v>
      </c>
      <c r="D117" t="s">
        <v>13287</v>
      </c>
      <c r="E117">
        <v>0</v>
      </c>
      <c r="F117" s="17">
        <v>11001</v>
      </c>
      <c r="G117">
        <v>880219</v>
      </c>
      <c r="H117">
        <v>4329</v>
      </c>
    </row>
    <row r="118" spans="1:8" ht="15" customHeight="1" x14ac:dyDescent="0.25">
      <c r="A118" t="s">
        <v>2362</v>
      </c>
      <c r="B118" t="s">
        <v>6413</v>
      </c>
      <c r="C118">
        <v>0</v>
      </c>
      <c r="D118" t="s">
        <v>13287</v>
      </c>
      <c r="E118">
        <v>0</v>
      </c>
      <c r="F118" s="17">
        <v>11001</v>
      </c>
      <c r="G118">
        <v>885219</v>
      </c>
      <c r="H118">
        <v>4329</v>
      </c>
    </row>
    <row r="119" spans="1:8" ht="15" customHeight="1" x14ac:dyDescent="0.25">
      <c r="A119" t="s">
        <v>2363</v>
      </c>
      <c r="B119" t="s">
        <v>6414</v>
      </c>
      <c r="C119">
        <v>0</v>
      </c>
      <c r="D119" t="s">
        <v>13287</v>
      </c>
      <c r="E119">
        <v>0</v>
      </c>
      <c r="F119" s="17">
        <v>11001</v>
      </c>
      <c r="G119">
        <v>896219</v>
      </c>
      <c r="H119">
        <v>4329</v>
      </c>
    </row>
    <row r="120" spans="1:8" ht="15" customHeight="1" x14ac:dyDescent="0.25">
      <c r="A120" t="s">
        <v>2364</v>
      </c>
      <c r="B120" t="s">
        <v>6415</v>
      </c>
      <c r="C120">
        <v>0</v>
      </c>
      <c r="D120" t="s">
        <v>13287</v>
      </c>
      <c r="E120">
        <v>0</v>
      </c>
      <c r="F120" s="17">
        <v>11001</v>
      </c>
      <c r="G120">
        <v>896219</v>
      </c>
      <c r="H120">
        <v>4329</v>
      </c>
    </row>
    <row r="121" spans="1:8" ht="15" customHeight="1" x14ac:dyDescent="0.25">
      <c r="A121" t="s">
        <v>2365</v>
      </c>
      <c r="B121" t="s">
        <v>6416</v>
      </c>
      <c r="C121">
        <v>0</v>
      </c>
      <c r="D121" t="s">
        <v>13287</v>
      </c>
      <c r="E121">
        <v>0</v>
      </c>
      <c r="F121" s="17">
        <v>11001</v>
      </c>
      <c r="G121">
        <v>940032</v>
      </c>
      <c r="H121">
        <v>4329</v>
      </c>
    </row>
    <row r="122" spans="1:8" ht="15" customHeight="1" x14ac:dyDescent="0.25">
      <c r="A122" t="s">
        <v>2366</v>
      </c>
      <c r="B122" t="s">
        <v>6417</v>
      </c>
      <c r="C122">
        <v>0</v>
      </c>
      <c r="D122" t="s">
        <v>13287</v>
      </c>
      <c r="E122">
        <v>0</v>
      </c>
      <c r="F122" s="17">
        <v>11001</v>
      </c>
      <c r="G122">
        <v>943219</v>
      </c>
      <c r="H122">
        <v>4329</v>
      </c>
    </row>
    <row r="123" spans="1:8" ht="15" customHeight="1" x14ac:dyDescent="0.25">
      <c r="A123" t="s">
        <v>2367</v>
      </c>
      <c r="B123" t="s">
        <v>6418</v>
      </c>
      <c r="C123">
        <v>0</v>
      </c>
      <c r="D123" t="s">
        <v>13287</v>
      </c>
      <c r="E123">
        <v>0</v>
      </c>
      <c r="F123" s="17">
        <v>11001</v>
      </c>
      <c r="G123">
        <v>952717</v>
      </c>
      <c r="H123">
        <v>4329</v>
      </c>
    </row>
    <row r="124" spans="1:8" ht="15" customHeight="1" x14ac:dyDescent="0.25">
      <c r="A124" t="s">
        <v>2368</v>
      </c>
      <c r="B124" t="s">
        <v>6419</v>
      </c>
      <c r="C124">
        <v>0</v>
      </c>
      <c r="D124" t="s">
        <v>13287</v>
      </c>
      <c r="E124">
        <v>0</v>
      </c>
      <c r="F124" s="17">
        <v>11001</v>
      </c>
      <c r="G124">
        <v>1015219</v>
      </c>
      <c r="H124">
        <v>4329</v>
      </c>
    </row>
    <row r="125" spans="1:8" ht="15" customHeight="1" x14ac:dyDescent="0.25">
      <c r="A125" t="s">
        <v>2369</v>
      </c>
      <c r="B125" t="s">
        <v>6420</v>
      </c>
      <c r="C125">
        <v>0</v>
      </c>
      <c r="D125" t="s">
        <v>13287</v>
      </c>
      <c r="E125">
        <v>0</v>
      </c>
      <c r="F125" s="17">
        <v>11001</v>
      </c>
      <c r="G125">
        <v>1163219</v>
      </c>
      <c r="H125">
        <v>4329</v>
      </c>
    </row>
    <row r="126" spans="1:8" ht="15" customHeight="1" x14ac:dyDescent="0.25">
      <c r="A126" t="s">
        <v>2370</v>
      </c>
      <c r="B126" t="s">
        <v>6421</v>
      </c>
      <c r="C126">
        <v>0</v>
      </c>
      <c r="D126" t="s">
        <v>13287</v>
      </c>
      <c r="E126">
        <v>0</v>
      </c>
      <c r="F126" s="17">
        <v>11001</v>
      </c>
      <c r="G126">
        <v>600000</v>
      </c>
      <c r="H126">
        <v>4329</v>
      </c>
    </row>
    <row r="127" spans="1:8" ht="15" customHeight="1" x14ac:dyDescent="0.25">
      <c r="A127" t="s">
        <v>2371</v>
      </c>
      <c r="B127" t="s">
        <v>6422</v>
      </c>
      <c r="C127">
        <v>0</v>
      </c>
      <c r="D127" t="s">
        <v>13287</v>
      </c>
      <c r="E127">
        <v>0</v>
      </c>
      <c r="F127" s="17">
        <v>11001</v>
      </c>
      <c r="G127">
        <v>600000</v>
      </c>
      <c r="H127">
        <v>4329</v>
      </c>
    </row>
    <row r="128" spans="1:8" ht="15" customHeight="1" x14ac:dyDescent="0.25">
      <c r="A128" t="s">
        <v>2372</v>
      </c>
      <c r="B128" t="s">
        <v>6423</v>
      </c>
      <c r="C128">
        <v>0</v>
      </c>
      <c r="D128" t="s">
        <v>13287</v>
      </c>
      <c r="E128">
        <v>0</v>
      </c>
      <c r="F128" s="17">
        <v>11001</v>
      </c>
      <c r="G128">
        <v>614201</v>
      </c>
      <c r="H128">
        <v>4329</v>
      </c>
    </row>
    <row r="129" spans="1:8" ht="15" customHeight="1" x14ac:dyDescent="0.25">
      <c r="A129" t="s">
        <v>2373</v>
      </c>
      <c r="B129" t="s">
        <v>6424</v>
      </c>
      <c r="C129">
        <v>0</v>
      </c>
      <c r="D129" t="s">
        <v>13287</v>
      </c>
      <c r="E129">
        <v>0</v>
      </c>
      <c r="F129" s="17">
        <v>11001</v>
      </c>
      <c r="G129">
        <v>617709</v>
      </c>
      <c r="H129">
        <v>4329</v>
      </c>
    </row>
    <row r="130" spans="1:8" ht="15" customHeight="1" x14ac:dyDescent="0.25">
      <c r="A130" t="s">
        <v>2374</v>
      </c>
      <c r="B130" t="s">
        <v>6425</v>
      </c>
      <c r="C130" t="s">
        <v>10338</v>
      </c>
      <c r="D130" t="s">
        <v>13287</v>
      </c>
      <c r="E130" t="str">
        <f>+VLOOKUP(A130,[1]PFE4!$A$7:$F$5208,6,0)</f>
        <v>CR 6 SUR 3 03</v>
      </c>
      <c r="F130" s="17">
        <f>+VLOOKUP(A130,[1]PFE4!$A$7:$G$5208,7,0)</f>
        <v>76364</v>
      </c>
      <c r="G130">
        <v>637006</v>
      </c>
      <c r="H130">
        <v>4329</v>
      </c>
    </row>
    <row r="131" spans="1:8" ht="15" customHeight="1" x14ac:dyDescent="0.25">
      <c r="A131" t="s">
        <v>2375</v>
      </c>
      <c r="B131" t="s">
        <v>6426</v>
      </c>
      <c r="C131">
        <v>0</v>
      </c>
      <c r="D131" t="s">
        <v>13287</v>
      </c>
      <c r="E131">
        <v>0</v>
      </c>
      <c r="F131" s="17">
        <v>11001</v>
      </c>
      <c r="G131">
        <v>638000</v>
      </c>
      <c r="H131">
        <v>4329</v>
      </c>
    </row>
    <row r="132" spans="1:8" ht="15" customHeight="1" x14ac:dyDescent="0.25">
      <c r="A132" t="s">
        <v>2376</v>
      </c>
      <c r="B132" t="s">
        <v>6427</v>
      </c>
      <c r="C132" t="s">
        <v>10339</v>
      </c>
      <c r="D132" t="s">
        <v>13287</v>
      </c>
      <c r="E132" t="str">
        <f>+VLOOKUP(A132,[1]PFE4!$A$7:$F$5208,6,0)</f>
        <v>CARRERA 26 3 A 20 L 203</v>
      </c>
      <c r="F132" s="17" t="str">
        <f>+VLOOKUP(A132,[1]PFE4!$A$7:$G$5208,7,0)</f>
        <v>08573</v>
      </c>
      <c r="G132">
        <v>642045</v>
      </c>
      <c r="H132">
        <v>4329</v>
      </c>
    </row>
    <row r="133" spans="1:8" ht="15" customHeight="1" x14ac:dyDescent="0.25">
      <c r="A133" t="s">
        <v>2377</v>
      </c>
      <c r="B133" t="s">
        <v>6428</v>
      </c>
      <c r="C133">
        <v>0</v>
      </c>
      <c r="D133" t="s">
        <v>13287</v>
      </c>
      <c r="E133">
        <v>0</v>
      </c>
      <c r="F133" s="17">
        <v>11001</v>
      </c>
      <c r="G133">
        <v>654000</v>
      </c>
      <c r="H133">
        <v>4329</v>
      </c>
    </row>
    <row r="134" spans="1:8" ht="15" customHeight="1" x14ac:dyDescent="0.25">
      <c r="A134" t="s">
        <v>2378</v>
      </c>
      <c r="B134" t="s">
        <v>6429</v>
      </c>
      <c r="C134">
        <v>0</v>
      </c>
      <c r="D134" t="s">
        <v>13287</v>
      </c>
      <c r="E134">
        <v>0</v>
      </c>
      <c r="F134" s="17">
        <v>11001</v>
      </c>
      <c r="G134">
        <v>660000</v>
      </c>
      <c r="H134">
        <v>4329</v>
      </c>
    </row>
    <row r="135" spans="1:8" ht="15" customHeight="1" x14ac:dyDescent="0.25">
      <c r="A135" t="s">
        <v>2379</v>
      </c>
      <c r="B135" t="s">
        <v>6430</v>
      </c>
      <c r="C135" t="s">
        <v>10340</v>
      </c>
      <c r="D135" t="s">
        <v>13287</v>
      </c>
      <c r="E135" t="str">
        <f>+VLOOKUP(A135,[1]PFE4!$A$7:$F$5208,6,0)</f>
        <v>dg 75 d 1 - 221 ca 146</v>
      </c>
      <c r="F135" s="17" t="str">
        <f>+VLOOKUP(A135,[1]PFE4!$A$7:$G$5208,7,0)</f>
        <v>05001</v>
      </c>
      <c r="G135">
        <v>664109</v>
      </c>
      <c r="H135">
        <v>4329</v>
      </c>
    </row>
    <row r="136" spans="1:8" ht="15" customHeight="1" x14ac:dyDescent="0.25">
      <c r="A136" t="s">
        <v>2380</v>
      </c>
      <c r="B136" t="s">
        <v>6431</v>
      </c>
      <c r="C136" t="s">
        <v>10341</v>
      </c>
      <c r="D136" t="s">
        <v>13287</v>
      </c>
      <c r="E136" t="str">
        <f>+VLOOKUP(A136,[1]PFE4!$A$7:$F$5208,6,0)</f>
        <v xml:space="preserve">CR 1 B 26 A 109 BRR BELLAVISTA ED ALMIRANTE AP 1501	</v>
      </c>
      <c r="F136" s="17">
        <f>+VLOOKUP(A136,[1]PFE4!$A$7:$G$5208,7,0)</f>
        <v>11001</v>
      </c>
      <c r="G136">
        <v>664525</v>
      </c>
      <c r="H136">
        <v>4329</v>
      </c>
    </row>
    <row r="137" spans="1:8" ht="15" customHeight="1" x14ac:dyDescent="0.25">
      <c r="A137" t="s">
        <v>2381</v>
      </c>
      <c r="B137" t="s">
        <v>6432</v>
      </c>
      <c r="C137">
        <v>0</v>
      </c>
      <c r="D137" t="s">
        <v>13287</v>
      </c>
      <c r="E137">
        <v>0</v>
      </c>
      <c r="F137" s="17">
        <v>11001</v>
      </c>
      <c r="G137">
        <v>670000</v>
      </c>
      <c r="H137">
        <v>4329</v>
      </c>
    </row>
    <row r="138" spans="1:8" ht="15" customHeight="1" x14ac:dyDescent="0.25">
      <c r="A138" t="s">
        <v>2382</v>
      </c>
      <c r="B138" t="s">
        <v>6433</v>
      </c>
      <c r="C138">
        <v>0</v>
      </c>
      <c r="D138" t="s">
        <v>13287</v>
      </c>
      <c r="E138">
        <v>0</v>
      </c>
      <c r="F138" s="17">
        <v>11001</v>
      </c>
      <c r="G138">
        <v>1288924</v>
      </c>
      <c r="H138">
        <v>4329</v>
      </c>
    </row>
    <row r="139" spans="1:8" ht="15" customHeight="1" x14ac:dyDescent="0.25">
      <c r="A139" t="s">
        <v>2383</v>
      </c>
      <c r="B139" t="s">
        <v>6434</v>
      </c>
      <c r="C139">
        <v>0</v>
      </c>
      <c r="D139" t="s">
        <v>13287</v>
      </c>
      <c r="E139">
        <v>0</v>
      </c>
      <c r="F139" s="17">
        <v>11001</v>
      </c>
      <c r="G139">
        <v>698785</v>
      </c>
      <c r="H139">
        <v>4329</v>
      </c>
    </row>
    <row r="140" spans="1:8" ht="15" customHeight="1" x14ac:dyDescent="0.25">
      <c r="A140" t="s">
        <v>2384</v>
      </c>
      <c r="B140" t="s">
        <v>6435</v>
      </c>
      <c r="C140" t="s">
        <v>10342</v>
      </c>
      <c r="D140" t="s">
        <v>13287</v>
      </c>
      <c r="E140" t="str">
        <f>+VLOOKUP(A140,[1]PFE4!$A$7:$F$5208,6,0)</f>
        <v>CALLE 12  8  42  OFICINA 221</v>
      </c>
      <c r="F140" s="17">
        <f>+VLOOKUP(A140,[1]PFE4!$A$7:$G$5208,7,0)</f>
        <v>20001</v>
      </c>
      <c r="G140">
        <v>725589</v>
      </c>
      <c r="H140">
        <v>4329</v>
      </c>
    </row>
    <row r="141" spans="1:8" ht="15" customHeight="1" x14ac:dyDescent="0.25">
      <c r="A141" t="s">
        <v>2385</v>
      </c>
      <c r="B141" t="s">
        <v>6436</v>
      </c>
      <c r="C141">
        <v>0</v>
      </c>
      <c r="D141" t="s">
        <v>13287</v>
      </c>
      <c r="E141">
        <v>0</v>
      </c>
      <c r="F141" s="17">
        <v>11001</v>
      </c>
      <c r="G141">
        <v>726600</v>
      </c>
      <c r="H141">
        <v>4329</v>
      </c>
    </row>
    <row r="142" spans="1:8" ht="15" customHeight="1" x14ac:dyDescent="0.25">
      <c r="A142" t="s">
        <v>2386</v>
      </c>
      <c r="B142" t="s">
        <v>6437</v>
      </c>
      <c r="C142">
        <v>0</v>
      </c>
      <c r="D142" t="s">
        <v>13287</v>
      </c>
      <c r="E142">
        <v>0</v>
      </c>
      <c r="F142" s="17">
        <v>11001</v>
      </c>
      <c r="G142">
        <v>1325219</v>
      </c>
      <c r="H142">
        <v>4329</v>
      </c>
    </row>
    <row r="143" spans="1:8" ht="15" customHeight="1" x14ac:dyDescent="0.25">
      <c r="A143" t="s">
        <v>2387</v>
      </c>
      <c r="B143" t="s">
        <v>6438</v>
      </c>
      <c r="C143">
        <v>3219664011</v>
      </c>
      <c r="D143" t="s">
        <v>13287</v>
      </c>
      <c r="E143" t="str">
        <f>+VLOOKUP(A143,[1]PFE4!$A$7:$F$5208,6,0)</f>
        <v>CARRERA 6  26  85  PISO 15</v>
      </c>
      <c r="F143" s="17">
        <f>+VLOOKUP(A143,[1]PFE4!$A$7:$G$5208,7,0)</f>
        <v>11001</v>
      </c>
      <c r="G143">
        <v>740000</v>
      </c>
      <c r="H143">
        <v>4329</v>
      </c>
    </row>
    <row r="144" spans="1:8" ht="15" customHeight="1" x14ac:dyDescent="0.25">
      <c r="A144" t="s">
        <v>2388</v>
      </c>
      <c r="B144" t="s">
        <v>6439</v>
      </c>
      <c r="C144">
        <v>0</v>
      </c>
      <c r="D144" t="s">
        <v>13287</v>
      </c>
      <c r="E144">
        <v>0</v>
      </c>
      <c r="F144" s="17">
        <v>11001</v>
      </c>
      <c r="G144">
        <v>750000</v>
      </c>
      <c r="H144">
        <v>4329</v>
      </c>
    </row>
    <row r="145" spans="1:8" ht="15" customHeight="1" x14ac:dyDescent="0.25">
      <c r="A145" t="s">
        <v>2389</v>
      </c>
      <c r="B145" t="s">
        <v>6440</v>
      </c>
      <c r="C145">
        <v>0</v>
      </c>
      <c r="D145" t="s">
        <v>13287</v>
      </c>
      <c r="E145">
        <v>0</v>
      </c>
      <c r="F145" s="17">
        <v>11001</v>
      </c>
      <c r="G145">
        <v>750000</v>
      </c>
      <c r="H145">
        <v>4329</v>
      </c>
    </row>
    <row r="146" spans="1:8" ht="15" customHeight="1" x14ac:dyDescent="0.25">
      <c r="A146" t="s">
        <v>2390</v>
      </c>
      <c r="B146" t="s">
        <v>6441</v>
      </c>
      <c r="C146">
        <v>0</v>
      </c>
      <c r="D146" t="s">
        <v>13287</v>
      </c>
      <c r="E146">
        <v>0</v>
      </c>
      <c r="F146" s="17">
        <v>11001</v>
      </c>
      <c r="G146">
        <v>765000</v>
      </c>
      <c r="H146">
        <v>4329</v>
      </c>
    </row>
    <row r="147" spans="1:8" ht="15" customHeight="1" x14ac:dyDescent="0.25">
      <c r="A147" t="s">
        <v>2391</v>
      </c>
      <c r="B147" t="s">
        <v>6442</v>
      </c>
      <c r="C147" t="s">
        <v>10343</v>
      </c>
      <c r="D147" t="s">
        <v>13287</v>
      </c>
      <c r="E147" t="str">
        <f>+VLOOKUP(A147,[1]PFE4!$A$7:$F$5208,6,0)</f>
        <v>CL 31 31 37</v>
      </c>
      <c r="F147" s="17" t="str">
        <f>+VLOOKUP(A147,[1]PFE4!$A$7:$G$5208,7,0)</f>
        <v>05541</v>
      </c>
      <c r="G147">
        <v>766603</v>
      </c>
      <c r="H147">
        <v>4329</v>
      </c>
    </row>
    <row r="148" spans="1:8" ht="15" customHeight="1" x14ac:dyDescent="0.25">
      <c r="A148" t="s">
        <v>2392</v>
      </c>
      <c r="B148" t="s">
        <v>6443</v>
      </c>
      <c r="C148" t="s">
        <v>10344</v>
      </c>
      <c r="D148" t="s">
        <v>13287</v>
      </c>
      <c r="E148" t="str">
        <f>+VLOOKUP(A148,[1]PFE4!$A$7:$F$5208,6,0)</f>
        <v>CARRERA 16 No. 93 a - 36</v>
      </c>
      <c r="F148" s="17">
        <f>+VLOOKUP(A148,[1]PFE4!$A$7:$G$5208,7,0)</f>
        <v>11001</v>
      </c>
      <c r="G148">
        <v>769799</v>
      </c>
      <c r="H148">
        <v>4329</v>
      </c>
    </row>
    <row r="149" spans="1:8" ht="15" customHeight="1" x14ac:dyDescent="0.25">
      <c r="A149" t="s">
        <v>2393</v>
      </c>
      <c r="B149" t="s">
        <v>6444</v>
      </c>
      <c r="C149">
        <v>0</v>
      </c>
      <c r="D149" t="s">
        <v>13287</v>
      </c>
      <c r="E149">
        <v>0</v>
      </c>
      <c r="F149" s="17">
        <v>11001</v>
      </c>
      <c r="G149">
        <v>780000</v>
      </c>
      <c r="H149">
        <v>4329</v>
      </c>
    </row>
    <row r="150" spans="1:8" ht="15" customHeight="1" x14ac:dyDescent="0.25">
      <c r="A150" t="s">
        <v>2394</v>
      </c>
      <c r="B150" t="s">
        <v>6445</v>
      </c>
      <c r="C150">
        <v>0</v>
      </c>
      <c r="D150" t="s">
        <v>13287</v>
      </c>
      <c r="E150">
        <v>0</v>
      </c>
      <c r="F150" s="17">
        <v>11001</v>
      </c>
      <c r="G150">
        <v>780000</v>
      </c>
      <c r="H150">
        <v>4329</v>
      </c>
    </row>
    <row r="151" spans="1:8" ht="15" customHeight="1" x14ac:dyDescent="0.25">
      <c r="A151" t="s">
        <v>2395</v>
      </c>
      <c r="B151" t="s">
        <v>6446</v>
      </c>
      <c r="C151" t="s">
        <v>10345</v>
      </c>
      <c r="D151" t="s">
        <v>13287</v>
      </c>
      <c r="E151" t="str">
        <f>+VLOOKUP(A151,[1]PFE4!$A$7:$F$5208,6,0)</f>
        <v>CARRERA 30  48  60</v>
      </c>
      <c r="F151" s="17">
        <f>+VLOOKUP(A151,[1]PFE4!$A$7:$G$5208,7,0)</f>
        <v>50001</v>
      </c>
      <c r="G151">
        <v>790937</v>
      </c>
      <c r="H151">
        <v>4329</v>
      </c>
    </row>
    <row r="152" spans="1:8" ht="15" customHeight="1" x14ac:dyDescent="0.25">
      <c r="A152" t="s">
        <v>2396</v>
      </c>
      <c r="B152" t="s">
        <v>6447</v>
      </c>
      <c r="C152">
        <v>0</v>
      </c>
      <c r="D152" t="s">
        <v>13287</v>
      </c>
      <c r="E152">
        <v>0</v>
      </c>
      <c r="F152" s="17">
        <v>11001</v>
      </c>
      <c r="G152">
        <v>800000</v>
      </c>
      <c r="H152">
        <v>4329</v>
      </c>
    </row>
    <row r="153" spans="1:8" ht="15" customHeight="1" x14ac:dyDescent="0.25">
      <c r="A153" t="s">
        <v>2397</v>
      </c>
      <c r="B153" t="s">
        <v>6448</v>
      </c>
      <c r="C153">
        <v>0</v>
      </c>
      <c r="D153" t="s">
        <v>13287</v>
      </c>
      <c r="E153">
        <v>0</v>
      </c>
      <c r="F153" s="17">
        <v>11001</v>
      </c>
      <c r="G153">
        <v>815400</v>
      </c>
      <c r="H153">
        <v>4329</v>
      </c>
    </row>
    <row r="154" spans="1:8" ht="15" customHeight="1" x14ac:dyDescent="0.25">
      <c r="A154" t="s">
        <v>2398</v>
      </c>
      <c r="B154" t="s">
        <v>6449</v>
      </c>
      <c r="C154">
        <v>0</v>
      </c>
      <c r="D154" t="s">
        <v>13287</v>
      </c>
      <c r="E154">
        <v>0</v>
      </c>
      <c r="F154" s="17">
        <v>11001</v>
      </c>
      <c r="G154">
        <v>1416219</v>
      </c>
      <c r="H154">
        <v>4329</v>
      </c>
    </row>
    <row r="155" spans="1:8" ht="15" customHeight="1" x14ac:dyDescent="0.25">
      <c r="A155" t="s">
        <v>2399</v>
      </c>
      <c r="B155" t="s">
        <v>6450</v>
      </c>
      <c r="C155">
        <v>0</v>
      </c>
      <c r="D155" t="s">
        <v>13287</v>
      </c>
      <c r="E155">
        <v>0</v>
      </c>
      <c r="F155" s="17">
        <v>11001</v>
      </c>
      <c r="G155">
        <v>850000</v>
      </c>
      <c r="H155">
        <v>4329</v>
      </c>
    </row>
    <row r="156" spans="1:8" ht="15" customHeight="1" x14ac:dyDescent="0.25">
      <c r="A156" t="s">
        <v>2400</v>
      </c>
      <c r="B156" t="s">
        <v>6451</v>
      </c>
      <c r="C156">
        <v>0</v>
      </c>
      <c r="D156" t="s">
        <v>13287</v>
      </c>
      <c r="E156">
        <v>0</v>
      </c>
      <c r="F156" s="17">
        <v>11001</v>
      </c>
      <c r="G156">
        <v>856435</v>
      </c>
      <c r="H156">
        <v>4329</v>
      </c>
    </row>
    <row r="157" spans="1:8" ht="15" customHeight="1" x14ac:dyDescent="0.25">
      <c r="A157" t="s">
        <v>2401</v>
      </c>
      <c r="B157" t="s">
        <v>6452</v>
      </c>
      <c r="C157" t="s">
        <v>10346</v>
      </c>
      <c r="D157" t="s">
        <v>13287</v>
      </c>
      <c r="E157" t="str">
        <f>+VLOOKUP(A157,[1]PFE4!$A$7:$F$5208,6,0)</f>
        <v xml:space="preserve"> Calle 3 Cra 29A 30</v>
      </c>
      <c r="F157" s="17" t="str">
        <f>+VLOOKUP(A157,[1]PFE4!$A$7:$G$5208,7,0)</f>
        <v>05001</v>
      </c>
      <c r="G157">
        <v>875509</v>
      </c>
      <c r="H157">
        <v>4329</v>
      </c>
    </row>
    <row r="158" spans="1:8" ht="15" customHeight="1" x14ac:dyDescent="0.25">
      <c r="A158" t="s">
        <v>2402</v>
      </c>
      <c r="B158" t="s">
        <v>6453</v>
      </c>
      <c r="C158">
        <v>0</v>
      </c>
      <c r="D158" t="s">
        <v>13287</v>
      </c>
      <c r="E158">
        <v>0</v>
      </c>
      <c r="F158" s="17">
        <v>11001</v>
      </c>
      <c r="G158">
        <v>880000</v>
      </c>
      <c r="H158">
        <v>4329</v>
      </c>
    </row>
    <row r="159" spans="1:8" ht="15" customHeight="1" x14ac:dyDescent="0.25">
      <c r="A159" t="s">
        <v>2403</v>
      </c>
      <c r="B159" t="s">
        <v>6454</v>
      </c>
      <c r="C159" t="s">
        <v>10347</v>
      </c>
      <c r="D159" t="s">
        <v>13287</v>
      </c>
      <c r="E159" t="str">
        <f>+VLOOKUP(A159,[1]PFE4!$A$7:$F$5208,6,0)</f>
        <v>CR 50 32 13</v>
      </c>
      <c r="F159" s="17" t="str">
        <f>+VLOOKUP(A159,[1]PFE4!$A$7:$G$5208,7,0)</f>
        <v>05088</v>
      </c>
      <c r="G159">
        <v>887334</v>
      </c>
      <c r="H159">
        <v>4329</v>
      </c>
    </row>
    <row r="160" spans="1:8" ht="15" customHeight="1" x14ac:dyDescent="0.25">
      <c r="A160" t="s">
        <v>2404</v>
      </c>
      <c r="B160" t="s">
        <v>6455</v>
      </c>
      <c r="C160">
        <v>0</v>
      </c>
      <c r="D160" t="s">
        <v>13287</v>
      </c>
      <c r="E160">
        <v>0</v>
      </c>
      <c r="F160" s="17">
        <v>11001</v>
      </c>
      <c r="G160">
        <v>892000</v>
      </c>
      <c r="H160">
        <v>4329</v>
      </c>
    </row>
    <row r="161" spans="1:8" ht="15" customHeight="1" x14ac:dyDescent="0.25">
      <c r="A161" t="s">
        <v>2405</v>
      </c>
      <c r="B161" t="s">
        <v>6456</v>
      </c>
      <c r="C161">
        <v>0</v>
      </c>
      <c r="D161" t="s">
        <v>13287</v>
      </c>
      <c r="E161">
        <v>0</v>
      </c>
      <c r="F161" s="17">
        <v>11001</v>
      </c>
      <c r="G161">
        <v>900000</v>
      </c>
      <c r="H161">
        <v>4329</v>
      </c>
    </row>
    <row r="162" spans="1:8" ht="15" customHeight="1" x14ac:dyDescent="0.25">
      <c r="A162" t="s">
        <v>2406</v>
      </c>
      <c r="B162" t="s">
        <v>6457</v>
      </c>
      <c r="C162" t="s">
        <v>10348</v>
      </c>
      <c r="D162" t="s">
        <v>13287</v>
      </c>
      <c r="E162" t="str">
        <f>+VLOOKUP(A162,[1]PFE4!$A$7:$F$5208,6,0)</f>
        <v>CR 55 27 A 98</v>
      </c>
      <c r="F162" s="17" t="str">
        <f>+VLOOKUP(A162,[1]PFE4!$A$7:$G$5208,7,0)</f>
        <v>05001</v>
      </c>
      <c r="G162">
        <v>908000</v>
      </c>
      <c r="H162">
        <v>4329</v>
      </c>
    </row>
    <row r="163" spans="1:8" ht="15" customHeight="1" x14ac:dyDescent="0.25">
      <c r="A163" t="s">
        <v>2407</v>
      </c>
      <c r="B163" t="s">
        <v>6458</v>
      </c>
      <c r="C163">
        <v>0</v>
      </c>
      <c r="D163" t="s">
        <v>13287</v>
      </c>
      <c r="E163">
        <v>0</v>
      </c>
      <c r="F163" s="17">
        <v>11001</v>
      </c>
      <c r="G163">
        <v>918000</v>
      </c>
      <c r="H163">
        <v>4329</v>
      </c>
    </row>
    <row r="164" spans="1:8" ht="15" customHeight="1" x14ac:dyDescent="0.25">
      <c r="A164" t="s">
        <v>2408</v>
      </c>
      <c r="B164" t="s">
        <v>6459</v>
      </c>
      <c r="C164">
        <v>0</v>
      </c>
      <c r="D164" t="s">
        <v>13287</v>
      </c>
      <c r="E164">
        <v>0</v>
      </c>
      <c r="F164" s="17">
        <v>11001</v>
      </c>
      <c r="G164">
        <v>941500</v>
      </c>
      <c r="H164">
        <v>4329</v>
      </c>
    </row>
    <row r="165" spans="1:8" ht="15" customHeight="1" x14ac:dyDescent="0.25">
      <c r="A165" t="s">
        <v>2409</v>
      </c>
      <c r="B165" t="s">
        <v>6460</v>
      </c>
      <c r="C165">
        <v>0</v>
      </c>
      <c r="D165" t="s">
        <v>13287</v>
      </c>
      <c r="E165">
        <v>0</v>
      </c>
      <c r="F165" s="17">
        <v>11001</v>
      </c>
      <c r="G165">
        <v>953300</v>
      </c>
      <c r="H165">
        <v>4329</v>
      </c>
    </row>
    <row r="166" spans="1:8" ht="15" customHeight="1" x14ac:dyDescent="0.25">
      <c r="A166" t="s">
        <v>2410</v>
      </c>
      <c r="B166" t="s">
        <v>6461</v>
      </c>
      <c r="C166">
        <v>3219664011</v>
      </c>
      <c r="D166" t="s">
        <v>13287</v>
      </c>
      <c r="E166" t="str">
        <f>+VLOOKUP(A166,[1]PFE4!$A$7:$F$5208,6,0)</f>
        <v>CARRERA 48  26  85 PISO 1</v>
      </c>
      <c r="F166" s="17">
        <f>+VLOOKUP(A166,[1]PFE4!$A$7:$G$5208,7,0)</f>
        <v>11001</v>
      </c>
      <c r="G166">
        <v>972040</v>
      </c>
      <c r="H166">
        <v>4329</v>
      </c>
    </row>
    <row r="167" spans="1:8" ht="15" customHeight="1" x14ac:dyDescent="0.25">
      <c r="A167" t="s">
        <v>2411</v>
      </c>
      <c r="B167" t="s">
        <v>6462</v>
      </c>
      <c r="C167" t="s">
        <v>10349</v>
      </c>
      <c r="D167" t="s">
        <v>13287</v>
      </c>
      <c r="E167" t="str">
        <f>+VLOOKUP(A167,[1]PFE4!$A$7:$F$5208,6,0)</f>
        <v>CL 32 32 64 OF 7</v>
      </c>
      <c r="F167" s="17">
        <f>+VLOOKUP(A167,[1]PFE4!$A$7:$G$5208,7,0)</f>
        <v>68276</v>
      </c>
      <c r="G167">
        <v>986170</v>
      </c>
      <c r="H167">
        <v>4329</v>
      </c>
    </row>
    <row r="168" spans="1:8" ht="15" customHeight="1" x14ac:dyDescent="0.25">
      <c r="A168" t="s">
        <v>2412</v>
      </c>
      <c r="B168" t="s">
        <v>6463</v>
      </c>
      <c r="C168" t="s">
        <v>10350</v>
      </c>
      <c r="D168" t="s">
        <v>13287</v>
      </c>
      <c r="E168" t="str">
        <f>+VLOOKUP(A168,[1]PFE4!$A$7:$F$5208,6,0)</f>
        <v>CALLE 61 No.52-31</v>
      </c>
      <c r="F168" s="17" t="str">
        <f>+VLOOKUP(A168,[1]PFE4!$A$7:$G$5208,7,0)</f>
        <v>05001</v>
      </c>
      <c r="G168">
        <v>999079</v>
      </c>
      <c r="H168">
        <v>4329</v>
      </c>
    </row>
    <row r="169" spans="1:8" ht="15" customHeight="1" x14ac:dyDescent="0.25">
      <c r="A169" t="s">
        <v>2413</v>
      </c>
      <c r="B169" t="s">
        <v>6464</v>
      </c>
      <c r="C169" t="s">
        <v>10351</v>
      </c>
      <c r="D169" t="s">
        <v>13287</v>
      </c>
      <c r="E169" t="str">
        <f>+VLOOKUP(A169,[1]PFE4!$A$7:$F$5208,6,0)</f>
        <v>CARRERA 41  40  97</v>
      </c>
      <c r="F169" s="17">
        <f>+VLOOKUP(A169,[1]PFE4!$A$7:$G$5208,7,0)</f>
        <v>11001</v>
      </c>
      <c r="G169">
        <v>1019148</v>
      </c>
      <c r="H169">
        <v>4329</v>
      </c>
    </row>
    <row r="170" spans="1:8" ht="15" customHeight="1" x14ac:dyDescent="0.25">
      <c r="A170" t="s">
        <v>2414</v>
      </c>
      <c r="B170" t="s">
        <v>6465</v>
      </c>
      <c r="C170" t="s">
        <v>10352</v>
      </c>
      <c r="D170" t="s">
        <v>13287</v>
      </c>
      <c r="E170" t="str">
        <f>+VLOOKUP(A170,[1]PFE4!$A$7:$F$5208,6,0)</f>
        <v>CARRERA 13  12  07  OFICINA 305</v>
      </c>
      <c r="F170" s="17">
        <f>+VLOOKUP(A170,[1]PFE4!$A$7:$G$5208,7,0)</f>
        <v>11001</v>
      </c>
      <c r="G170">
        <v>1020000</v>
      </c>
      <c r="H170">
        <v>4329</v>
      </c>
    </row>
    <row r="171" spans="1:8" ht="15" customHeight="1" x14ac:dyDescent="0.25">
      <c r="A171" t="s">
        <v>2415</v>
      </c>
      <c r="B171" t="s">
        <v>6466</v>
      </c>
      <c r="C171">
        <v>0</v>
      </c>
      <c r="D171" t="s">
        <v>13287</v>
      </c>
      <c r="E171">
        <v>0</v>
      </c>
      <c r="F171" s="17">
        <v>11001</v>
      </c>
      <c r="G171">
        <v>1031400</v>
      </c>
      <c r="H171">
        <v>4329</v>
      </c>
    </row>
    <row r="172" spans="1:8" ht="15" customHeight="1" x14ac:dyDescent="0.25">
      <c r="A172" t="s">
        <v>2416</v>
      </c>
      <c r="B172" t="s">
        <v>6467</v>
      </c>
      <c r="C172">
        <v>0</v>
      </c>
      <c r="D172" t="s">
        <v>13287</v>
      </c>
      <c r="E172">
        <v>0</v>
      </c>
      <c r="F172" s="17">
        <v>11001</v>
      </c>
      <c r="G172">
        <v>1659101</v>
      </c>
      <c r="H172">
        <v>4329</v>
      </c>
    </row>
    <row r="173" spans="1:8" ht="15" customHeight="1" x14ac:dyDescent="0.25">
      <c r="A173" t="s">
        <v>2417</v>
      </c>
      <c r="B173" t="s">
        <v>6468</v>
      </c>
      <c r="C173" t="s">
        <v>10353</v>
      </c>
      <c r="D173" t="s">
        <v>13287</v>
      </c>
      <c r="E173" t="str">
        <f>+VLOOKUP(A173,[1]PFE4!$A$7:$F$5208,6,0)</f>
        <v>CR 25 B 16 B SUR 51 CA 104</v>
      </c>
      <c r="F173" s="17" t="str">
        <f>+VLOOKUP(A173,[1]PFE4!$A$7:$G$5208,7,0)</f>
        <v>05001</v>
      </c>
      <c r="G173">
        <v>1071030</v>
      </c>
      <c r="H173">
        <v>4329</v>
      </c>
    </row>
    <row r="174" spans="1:8" ht="15" customHeight="1" x14ac:dyDescent="0.25">
      <c r="A174" t="s">
        <v>2418</v>
      </c>
      <c r="B174" t="s">
        <v>6469</v>
      </c>
      <c r="C174" t="s">
        <v>10354</v>
      </c>
      <c r="D174" t="s">
        <v>13287</v>
      </c>
      <c r="E174" t="str">
        <f>+VLOOKUP(A174,[1]PFE4!$A$7:$F$5208,6,0)</f>
        <v>CR 1 1 231 BRR LAGUITO ED EL GALEON AP 7 B</v>
      </c>
      <c r="F174" s="17">
        <f>+VLOOKUP(A174,[1]PFE4!$A$7:$G$5208,7,0)</f>
        <v>11001</v>
      </c>
      <c r="G174">
        <v>1071030</v>
      </c>
      <c r="H174">
        <v>4329</v>
      </c>
    </row>
    <row r="175" spans="1:8" ht="15" customHeight="1" x14ac:dyDescent="0.25">
      <c r="A175" t="s">
        <v>2419</v>
      </c>
      <c r="B175" t="s">
        <v>6470</v>
      </c>
      <c r="C175" t="s">
        <v>10355</v>
      </c>
      <c r="D175" t="s">
        <v>13287</v>
      </c>
      <c r="E175" t="str">
        <f>+VLOOKUP(A175,[1]PFE4!$A$7:$F$5208,6,0)</f>
        <v>CR 27 54 10 AP 2507</v>
      </c>
      <c r="F175" s="17">
        <f>+VLOOKUP(A175,[1]PFE4!$A$7:$G$5208,7,0)</f>
        <v>11001</v>
      </c>
      <c r="G175">
        <v>1071030</v>
      </c>
      <c r="H175">
        <v>4329</v>
      </c>
    </row>
    <row r="176" spans="1:8" ht="15" customHeight="1" x14ac:dyDescent="0.25">
      <c r="A176" t="s">
        <v>2420</v>
      </c>
      <c r="B176" t="s">
        <v>6471</v>
      </c>
      <c r="C176" t="s">
        <v>10356</v>
      </c>
      <c r="D176" t="s">
        <v>13287</v>
      </c>
      <c r="E176" t="str">
        <f>+VLOOKUP(A176,[1]PFE4!$A$7:$F$5208,6,0)</f>
        <v>CL 38 NORTE 6 N 35 BG 6 OF 206 CC CHIPICHAPE</v>
      </c>
      <c r="F176" s="17">
        <f>+VLOOKUP(A176,[1]PFE4!$A$7:$G$5208,7,0)</f>
        <v>11001</v>
      </c>
      <c r="G176">
        <v>1077223</v>
      </c>
      <c r="H176">
        <v>4329</v>
      </c>
    </row>
    <row r="177" spans="1:8" ht="15" customHeight="1" x14ac:dyDescent="0.25">
      <c r="A177" t="s">
        <v>2421</v>
      </c>
      <c r="B177" t="s">
        <v>6472</v>
      </c>
      <c r="C177">
        <v>0</v>
      </c>
      <c r="D177" t="s">
        <v>13287</v>
      </c>
      <c r="E177">
        <v>0</v>
      </c>
      <c r="F177" s="17">
        <v>11001</v>
      </c>
      <c r="G177">
        <v>1100000</v>
      </c>
      <c r="H177">
        <v>4329</v>
      </c>
    </row>
    <row r="178" spans="1:8" ht="15" customHeight="1" x14ac:dyDescent="0.25">
      <c r="A178" t="s">
        <v>2422</v>
      </c>
      <c r="B178" t="s">
        <v>6473</v>
      </c>
      <c r="C178" t="s">
        <v>10357</v>
      </c>
      <c r="D178" t="s">
        <v>13287</v>
      </c>
      <c r="E178" t="str">
        <f>+VLOOKUP(A178,[1]PFE4!$A$7:$F$5208,6,0)</f>
        <v xml:space="preserve"> AV. 10 No. 26-30 CENTRO</v>
      </c>
      <c r="F178" s="17">
        <f>+VLOOKUP(A178,[1]PFE4!$A$7:$G$5208,7,0)</f>
        <v>11001</v>
      </c>
      <c r="G178">
        <v>1126528</v>
      </c>
      <c r="H178">
        <v>4329</v>
      </c>
    </row>
    <row r="179" spans="1:8" ht="15" customHeight="1" x14ac:dyDescent="0.25">
      <c r="A179" t="s">
        <v>2423</v>
      </c>
      <c r="B179" t="s">
        <v>6474</v>
      </c>
      <c r="C179">
        <v>0</v>
      </c>
      <c r="D179" t="s">
        <v>13287</v>
      </c>
      <c r="E179">
        <v>0</v>
      </c>
      <c r="F179" s="17">
        <v>11001</v>
      </c>
      <c r="G179">
        <v>1140000</v>
      </c>
      <c r="H179">
        <v>4329</v>
      </c>
    </row>
    <row r="180" spans="1:8" ht="15" customHeight="1" x14ac:dyDescent="0.25">
      <c r="A180" t="s">
        <v>2424</v>
      </c>
      <c r="B180" t="s">
        <v>6475</v>
      </c>
      <c r="C180">
        <v>0</v>
      </c>
      <c r="D180" t="s">
        <v>13287</v>
      </c>
      <c r="E180">
        <v>0</v>
      </c>
      <c r="F180" s="17">
        <v>11001</v>
      </c>
      <c r="G180">
        <v>1150000</v>
      </c>
      <c r="H180">
        <v>4329</v>
      </c>
    </row>
    <row r="181" spans="1:8" ht="15" customHeight="1" x14ac:dyDescent="0.25">
      <c r="A181" t="s">
        <v>2425</v>
      </c>
      <c r="B181" t="s">
        <v>6476</v>
      </c>
      <c r="C181" t="s">
        <v>10358</v>
      </c>
      <c r="D181" t="s">
        <v>13287</v>
      </c>
      <c r="E181" t="str">
        <f>+VLOOKUP(A181,[1]PFE4!$A$7:$F$5208,6,0)</f>
        <v>CL 15 SUR 48 39</v>
      </c>
      <c r="F181" s="17" t="str">
        <f>+VLOOKUP(A181,[1]PFE4!$A$7:$G$5208,7,0)</f>
        <v>05001</v>
      </c>
      <c r="G181">
        <v>1151256</v>
      </c>
      <c r="H181">
        <v>4329</v>
      </c>
    </row>
    <row r="182" spans="1:8" ht="15" customHeight="1" x14ac:dyDescent="0.25">
      <c r="A182" t="s">
        <v>2426</v>
      </c>
      <c r="B182" t="s">
        <v>6477</v>
      </c>
      <c r="C182">
        <v>0</v>
      </c>
      <c r="D182" t="s">
        <v>13287</v>
      </c>
      <c r="E182">
        <v>0</v>
      </c>
      <c r="F182" s="17">
        <v>11001</v>
      </c>
      <c r="G182">
        <v>1176000</v>
      </c>
      <c r="H182">
        <v>4329</v>
      </c>
    </row>
    <row r="183" spans="1:8" ht="15" customHeight="1" x14ac:dyDescent="0.25">
      <c r="A183" t="s">
        <v>2427</v>
      </c>
      <c r="B183" t="s">
        <v>6478</v>
      </c>
      <c r="C183" t="s">
        <v>10359</v>
      </c>
      <c r="D183" t="s">
        <v>13287</v>
      </c>
      <c r="E183" t="str">
        <f>+VLOOKUP(A183,[1]PFE4!$A$7:$F$5208,6,0)</f>
        <v>CALLE 108 A  22  10</v>
      </c>
      <c r="F183" s="17">
        <f>+VLOOKUP(A183,[1]PFE4!$A$7:$G$5208,7,0)</f>
        <v>11001</v>
      </c>
      <c r="G183">
        <v>1191677</v>
      </c>
      <c r="H183">
        <v>4329</v>
      </c>
    </row>
    <row r="184" spans="1:8" ht="15" customHeight="1" x14ac:dyDescent="0.25">
      <c r="A184" t="s">
        <v>2428</v>
      </c>
      <c r="B184" t="s">
        <v>6479</v>
      </c>
      <c r="C184">
        <v>0</v>
      </c>
      <c r="D184" t="s">
        <v>13287</v>
      </c>
      <c r="E184">
        <v>0</v>
      </c>
      <c r="F184" s="17">
        <v>11001</v>
      </c>
      <c r="G184">
        <v>1240000</v>
      </c>
      <c r="H184">
        <v>4329</v>
      </c>
    </row>
    <row r="185" spans="1:8" ht="15" customHeight="1" x14ac:dyDescent="0.25">
      <c r="A185" t="s">
        <v>2429</v>
      </c>
      <c r="B185" t="s">
        <v>6480</v>
      </c>
      <c r="C185" t="s">
        <v>10360</v>
      </c>
      <c r="D185" t="s">
        <v>13287</v>
      </c>
      <c r="E185" t="str">
        <f>+VLOOKUP(A185,[1]PFE4!$A$7:$F$5208,6,0)</f>
        <v>CR 13 93 40 OF 316</v>
      </c>
      <c r="F185" s="17">
        <f>+VLOOKUP(A185,[1]PFE4!$A$7:$G$5208,7,0)</f>
        <v>11001</v>
      </c>
      <c r="G185">
        <v>1323542</v>
      </c>
      <c r="H185">
        <v>4329</v>
      </c>
    </row>
    <row r="186" spans="1:8" ht="15" customHeight="1" x14ac:dyDescent="0.25">
      <c r="A186" t="s">
        <v>2430</v>
      </c>
      <c r="B186" t="s">
        <v>6481</v>
      </c>
      <c r="C186" t="s">
        <v>10361</v>
      </c>
      <c r="D186" t="s">
        <v>13287</v>
      </c>
      <c r="E186" t="str">
        <f>+VLOOKUP(A186,[1]PFE4!$A$7:$F$5208,6,0)</f>
        <v>CR 79 N 39D 37 URBANIZACIÓN LOS LLANOS</v>
      </c>
      <c r="F186" s="17" t="str">
        <f>+VLOOKUP(A186,[1]PFE4!$A$7:$G$5208,7,0)</f>
        <v>05615</v>
      </c>
      <c r="G186">
        <v>1340588</v>
      </c>
      <c r="H186">
        <v>4329</v>
      </c>
    </row>
    <row r="187" spans="1:8" ht="15" customHeight="1" x14ac:dyDescent="0.25">
      <c r="A187" t="s">
        <v>2431</v>
      </c>
      <c r="B187" t="s">
        <v>6482</v>
      </c>
      <c r="C187" t="s">
        <v>10362</v>
      </c>
      <c r="D187" t="s">
        <v>13287</v>
      </c>
      <c r="E187" t="str">
        <f>+VLOOKUP(A187,[1]PFE4!$A$7:$F$5208,6,0)</f>
        <v>DIAGONAL 31E N. 27A SUR 49</v>
      </c>
      <c r="F187" s="17" t="str">
        <f>+VLOOKUP(A187,[1]PFE4!$A$7:$G$5208,7,0)</f>
        <v>05266</v>
      </c>
      <c r="G187">
        <v>1340616</v>
      </c>
      <c r="H187">
        <v>4329</v>
      </c>
    </row>
    <row r="188" spans="1:8" ht="15" customHeight="1" x14ac:dyDescent="0.25">
      <c r="A188" t="s">
        <v>2432</v>
      </c>
      <c r="B188" t="s">
        <v>6483</v>
      </c>
      <c r="C188" t="s">
        <v>10363</v>
      </c>
      <c r="D188" t="s">
        <v>13287</v>
      </c>
      <c r="E188" t="str">
        <f>+VLOOKUP(A188,[1]PFE4!$A$7:$F$5208,6,0)</f>
        <v>CARRERA 18  65  10</v>
      </c>
      <c r="F188" s="17">
        <f>+VLOOKUP(A188,[1]PFE4!$A$7:$G$5208,7,0)</f>
        <v>68001</v>
      </c>
      <c r="G188">
        <v>1344033</v>
      </c>
      <c r="H188">
        <v>4329</v>
      </c>
    </row>
    <row r="189" spans="1:8" ht="15" customHeight="1" x14ac:dyDescent="0.25">
      <c r="A189" t="s">
        <v>2433</v>
      </c>
      <c r="B189" t="s">
        <v>6484</v>
      </c>
      <c r="C189">
        <v>0</v>
      </c>
      <c r="D189" t="s">
        <v>13287</v>
      </c>
      <c r="E189">
        <v>0</v>
      </c>
      <c r="F189" s="17">
        <v>11001</v>
      </c>
      <c r="G189">
        <v>1346900</v>
      </c>
      <c r="H189">
        <v>4329</v>
      </c>
    </row>
    <row r="190" spans="1:8" ht="15" customHeight="1" x14ac:dyDescent="0.25">
      <c r="A190" t="s">
        <v>2434</v>
      </c>
      <c r="B190" t="s">
        <v>6485</v>
      </c>
      <c r="C190" t="s">
        <v>10364</v>
      </c>
      <c r="D190" t="s">
        <v>13287</v>
      </c>
      <c r="E190" t="str">
        <f>+VLOOKUP(A190,[1]PFE4!$A$7:$F$5208,6,0)</f>
        <v>CR 1 BIS SUR 42 A BIS 85</v>
      </c>
      <c r="F190" s="17">
        <f>+VLOOKUP(A190,[1]PFE4!$A$7:$G$5208,7,0)</f>
        <v>73001</v>
      </c>
      <c r="G190">
        <v>1360000</v>
      </c>
      <c r="H190">
        <v>4329</v>
      </c>
    </row>
    <row r="191" spans="1:8" ht="15" customHeight="1" x14ac:dyDescent="0.25">
      <c r="A191" t="s">
        <v>2435</v>
      </c>
      <c r="B191" t="s">
        <v>6486</v>
      </c>
      <c r="C191">
        <v>3219664011</v>
      </c>
      <c r="D191" t="s">
        <v>13287</v>
      </c>
      <c r="E191" t="str">
        <f>+VLOOKUP(A191,[1]PFE4!$A$7:$F$5208,6,0)</f>
        <v>CARRERA 48 B  10 SUR  56</v>
      </c>
      <c r="F191" s="17" t="str">
        <f>+VLOOKUP(A191,[1]PFE4!$A$7:$G$5208,7,0)</f>
        <v>05001</v>
      </c>
      <c r="G191">
        <v>1372789</v>
      </c>
      <c r="H191">
        <v>4329</v>
      </c>
    </row>
    <row r="192" spans="1:8" ht="15" customHeight="1" x14ac:dyDescent="0.25">
      <c r="A192" t="s">
        <v>2436</v>
      </c>
      <c r="B192" t="s">
        <v>6487</v>
      </c>
      <c r="C192" t="s">
        <v>10365</v>
      </c>
      <c r="D192" t="s">
        <v>13287</v>
      </c>
      <c r="E192" t="str">
        <f>+VLOOKUP(A192,[1]PFE4!$A$7:$F$5208,6,0)</f>
        <v>CR 30 31 30</v>
      </c>
      <c r="F192" s="17" t="str">
        <f>+VLOOKUP(A192,[1]PFE4!$A$7:$G$5208,7,0)</f>
        <v>05440</v>
      </c>
      <c r="G192">
        <v>1376630</v>
      </c>
      <c r="H192">
        <v>4329</v>
      </c>
    </row>
    <row r="193" spans="1:8" ht="15" customHeight="1" x14ac:dyDescent="0.25">
      <c r="A193" t="s">
        <v>2437</v>
      </c>
      <c r="B193" t="s">
        <v>6488</v>
      </c>
      <c r="C193">
        <v>0</v>
      </c>
      <c r="D193" t="s">
        <v>13287</v>
      </c>
      <c r="E193">
        <v>0</v>
      </c>
      <c r="F193" s="17">
        <v>11001</v>
      </c>
      <c r="G193">
        <v>1410000</v>
      </c>
      <c r="H193">
        <v>4329</v>
      </c>
    </row>
    <row r="194" spans="1:8" ht="15" customHeight="1" x14ac:dyDescent="0.25">
      <c r="A194" t="s">
        <v>2438</v>
      </c>
      <c r="B194" t="s">
        <v>6489</v>
      </c>
      <c r="C194" t="s">
        <v>10366</v>
      </c>
      <c r="D194" t="s">
        <v>13287</v>
      </c>
      <c r="E194" t="str">
        <f>+VLOOKUP(A194,[1]PFE4!$A$7:$F$5208,6,0)</f>
        <v>CR 5 28 55</v>
      </c>
      <c r="F194" s="17">
        <f>+VLOOKUP(A194,[1]PFE4!$A$7:$G$5208,7,0)</f>
        <v>47001</v>
      </c>
      <c r="G194">
        <v>1410102</v>
      </c>
      <c r="H194">
        <v>4329</v>
      </c>
    </row>
    <row r="195" spans="1:8" ht="15" customHeight="1" x14ac:dyDescent="0.25">
      <c r="A195" t="s">
        <v>2439</v>
      </c>
      <c r="B195" t="s">
        <v>6490</v>
      </c>
      <c r="C195" t="s">
        <v>10367</v>
      </c>
      <c r="D195" t="s">
        <v>13287</v>
      </c>
      <c r="E195" t="str">
        <f>+VLOOKUP(A195,[1]PFE4!$A$7:$F$5208,6,0)</f>
        <v>Carrera 39 E Calle 48F sur</v>
      </c>
      <c r="F195" s="17" t="str">
        <f>+VLOOKUP(A195,[1]PFE4!$A$7:$G$5208,7,0)</f>
        <v>05266</v>
      </c>
      <c r="G195">
        <v>1440000</v>
      </c>
      <c r="H195">
        <v>4329</v>
      </c>
    </row>
    <row r="196" spans="1:8" ht="15" customHeight="1" x14ac:dyDescent="0.25">
      <c r="A196" t="s">
        <v>2440</v>
      </c>
      <c r="B196" t="s">
        <v>6491</v>
      </c>
      <c r="C196" t="s">
        <v>10368</v>
      </c>
      <c r="D196" t="s">
        <v>13287</v>
      </c>
      <c r="E196" t="str">
        <f>+VLOOKUP(A196,[1]PFE4!$A$7:$F$5208,6,0)</f>
        <v>CL 7 39 215  OF 501</v>
      </c>
      <c r="F196" s="17" t="str">
        <f>+VLOOKUP(A196,[1]PFE4!$A$7:$G$5208,7,0)</f>
        <v>05001</v>
      </c>
      <c r="G196">
        <v>1444538</v>
      </c>
      <c r="H196">
        <v>4329</v>
      </c>
    </row>
    <row r="197" spans="1:8" ht="15" customHeight="1" x14ac:dyDescent="0.25">
      <c r="A197" t="s">
        <v>2441</v>
      </c>
      <c r="B197" t="s">
        <v>6492</v>
      </c>
      <c r="C197" t="s">
        <v>10369</v>
      </c>
      <c r="D197" t="s">
        <v>13287</v>
      </c>
      <c r="E197" t="str">
        <f>+VLOOKUP(A197,[1]PFE4!$A$7:$F$5208,6,0)</f>
        <v>CR 59 B 91 200</v>
      </c>
      <c r="F197" s="17">
        <f>+VLOOKUP(A197,[1]PFE4!$A$7:$G$5208,7,0)</f>
        <v>11001</v>
      </c>
      <c r="G197">
        <v>1451042</v>
      </c>
      <c r="H197">
        <v>4329</v>
      </c>
    </row>
    <row r="198" spans="1:8" ht="15" customHeight="1" x14ac:dyDescent="0.25">
      <c r="A198" t="s">
        <v>2442</v>
      </c>
      <c r="B198" t="s">
        <v>6493</v>
      </c>
      <c r="C198">
        <v>0</v>
      </c>
      <c r="D198" t="s">
        <v>13287</v>
      </c>
      <c r="E198">
        <v>0</v>
      </c>
      <c r="F198" s="17">
        <v>11001</v>
      </c>
      <c r="G198">
        <v>2056693</v>
      </c>
      <c r="H198">
        <v>4329</v>
      </c>
    </row>
    <row r="199" spans="1:8" ht="15" customHeight="1" x14ac:dyDescent="0.25">
      <c r="A199" t="s">
        <v>2443</v>
      </c>
      <c r="B199" t="s">
        <v>6494</v>
      </c>
      <c r="C199">
        <v>0</v>
      </c>
      <c r="D199" t="s">
        <v>13287</v>
      </c>
      <c r="E199">
        <v>0</v>
      </c>
      <c r="F199" s="17">
        <v>11001</v>
      </c>
      <c r="G199">
        <v>1480000</v>
      </c>
      <c r="H199">
        <v>4329</v>
      </c>
    </row>
    <row r="200" spans="1:8" ht="15" customHeight="1" x14ac:dyDescent="0.25">
      <c r="A200" t="s">
        <v>2444</v>
      </c>
      <c r="B200" t="s">
        <v>6495</v>
      </c>
      <c r="C200">
        <v>0</v>
      </c>
      <c r="D200" t="s">
        <v>13287</v>
      </c>
      <c r="E200">
        <v>0</v>
      </c>
      <c r="F200" s="17">
        <v>11001</v>
      </c>
      <c r="G200">
        <v>1500000</v>
      </c>
      <c r="H200">
        <v>4329</v>
      </c>
    </row>
    <row r="201" spans="1:8" ht="15" customHeight="1" x14ac:dyDescent="0.25">
      <c r="A201" t="s">
        <v>2445</v>
      </c>
      <c r="B201" t="s">
        <v>6496</v>
      </c>
      <c r="C201">
        <v>0</v>
      </c>
      <c r="D201" t="s">
        <v>13287</v>
      </c>
      <c r="E201">
        <v>0</v>
      </c>
      <c r="F201" s="17">
        <v>11001</v>
      </c>
      <c r="G201">
        <v>1500000</v>
      </c>
      <c r="H201">
        <v>4329</v>
      </c>
    </row>
    <row r="202" spans="1:8" ht="15" customHeight="1" x14ac:dyDescent="0.25">
      <c r="A202" t="s">
        <v>2446</v>
      </c>
      <c r="B202" t="s">
        <v>6497</v>
      </c>
      <c r="C202" t="s">
        <v>10370</v>
      </c>
      <c r="D202" t="s">
        <v>13287</v>
      </c>
      <c r="E202" t="str">
        <f>+VLOOKUP(A202,[1]PFE4!$A$7:$F$5208,6,0)</f>
        <v>Bodegas Wonder, Carrera 17 # 59 51 Interior 2</v>
      </c>
      <c r="F202" s="17">
        <f>+VLOOKUP(A202,[1]PFE4!$A$7:$G$5208,7,0)</f>
        <v>11001</v>
      </c>
      <c r="G202">
        <v>1501030</v>
      </c>
      <c r="H202">
        <v>4329</v>
      </c>
    </row>
    <row r="203" spans="1:8" ht="15" customHeight="1" x14ac:dyDescent="0.25">
      <c r="A203" t="s">
        <v>2447</v>
      </c>
      <c r="B203" t="s">
        <v>6498</v>
      </c>
      <c r="C203" t="s">
        <v>10371</v>
      </c>
      <c r="D203" t="s">
        <v>13287</v>
      </c>
      <c r="E203" t="str">
        <f>+VLOOKUP(A203,[1]PFE4!$A$7:$F$5208,6,0)</f>
        <v>CALLE 7  2  65</v>
      </c>
      <c r="F203" s="17">
        <f>+VLOOKUP(A203,[1]PFE4!$A$7:$G$5208,7,0)</f>
        <v>73001</v>
      </c>
      <c r="G203">
        <v>1502696</v>
      </c>
      <c r="H203">
        <v>4329</v>
      </c>
    </row>
    <row r="204" spans="1:8" ht="15" customHeight="1" x14ac:dyDescent="0.25">
      <c r="A204" t="s">
        <v>2448</v>
      </c>
      <c r="B204" t="s">
        <v>6499</v>
      </c>
      <c r="C204" t="s">
        <v>10372</v>
      </c>
      <c r="D204" t="s">
        <v>13287</v>
      </c>
      <c r="E204" t="str">
        <f>+VLOOKUP(A204,[1]PFE4!$A$7:$F$5208,6,0)</f>
        <v>CR 55 71 23 CA 15 BRR LAGOS CACIQUE</v>
      </c>
      <c r="F204" s="17">
        <f>+VLOOKUP(A204,[1]PFE4!$A$7:$G$5208,7,0)</f>
        <v>11001</v>
      </c>
      <c r="G204">
        <v>1541030</v>
      </c>
      <c r="H204">
        <v>4329</v>
      </c>
    </row>
    <row r="205" spans="1:8" ht="15" customHeight="1" x14ac:dyDescent="0.25">
      <c r="A205" t="s">
        <v>2449</v>
      </c>
      <c r="B205" t="s">
        <v>6500</v>
      </c>
      <c r="C205" t="s">
        <v>10373</v>
      </c>
      <c r="D205" t="s">
        <v>13287</v>
      </c>
      <c r="E205" t="str">
        <f>+VLOOKUP(A205,[1]PFE4!$A$7:$F$5208,6,0)</f>
        <v>CR 18 121 26</v>
      </c>
      <c r="F205" s="17">
        <f>+VLOOKUP(A205,[1]PFE4!$A$7:$G$5208,7,0)</f>
        <v>11001</v>
      </c>
      <c r="G205">
        <v>1560000</v>
      </c>
      <c r="H205">
        <v>4329</v>
      </c>
    </row>
    <row r="206" spans="1:8" ht="15" customHeight="1" x14ac:dyDescent="0.25">
      <c r="A206" t="s">
        <v>2450</v>
      </c>
      <c r="B206" t="s">
        <v>6501</v>
      </c>
      <c r="C206" t="s">
        <v>10374</v>
      </c>
      <c r="D206" t="s">
        <v>13287</v>
      </c>
      <c r="E206" t="str">
        <f>+VLOOKUP(A206,[1]PFE4!$A$7:$F$5208,6,0)</f>
        <v>CARRERA 74  139  33</v>
      </c>
      <c r="F206" s="17">
        <f>+VLOOKUP(A206,[1]PFE4!$A$7:$G$5208,7,0)</f>
        <v>11001</v>
      </c>
      <c r="G206">
        <v>1562774</v>
      </c>
      <c r="H206">
        <v>4329</v>
      </c>
    </row>
    <row r="207" spans="1:8" ht="15" customHeight="1" x14ac:dyDescent="0.25">
      <c r="A207" t="s">
        <v>2451</v>
      </c>
      <c r="B207" t="s">
        <v>6502</v>
      </c>
      <c r="C207" t="s">
        <v>10375</v>
      </c>
      <c r="D207" t="s">
        <v>13287</v>
      </c>
      <c r="E207" t="str">
        <f>+VLOOKUP(A207,[1]PFE4!$A$7:$F$5208,6,0)</f>
        <v>CR 38 38A SUR 31</v>
      </c>
      <c r="F207" s="17" t="str">
        <f>+VLOOKUP(A207,[1]PFE4!$A$7:$G$5208,7,0)</f>
        <v>05266</v>
      </c>
      <c r="G207">
        <v>1582422</v>
      </c>
      <c r="H207">
        <v>4329</v>
      </c>
    </row>
    <row r="208" spans="1:8" ht="15" customHeight="1" x14ac:dyDescent="0.25">
      <c r="A208" t="s">
        <v>2452</v>
      </c>
      <c r="B208" t="s">
        <v>6503</v>
      </c>
      <c r="C208">
        <v>3219664011</v>
      </c>
      <c r="D208" t="s">
        <v>13287</v>
      </c>
      <c r="E208" t="str">
        <f>+VLOOKUP(A208,[1]PFE4!$A$7:$F$5208,6,0)</f>
        <v>CALLE 38  61  61</v>
      </c>
      <c r="F208" s="17" t="str">
        <f>+VLOOKUP(A208,[1]PFE4!$A$7:$G$5208,7,0)</f>
        <v>05615</v>
      </c>
      <c r="G208">
        <v>1590173</v>
      </c>
      <c r="H208">
        <v>4329</v>
      </c>
    </row>
    <row r="209" spans="1:8" ht="15" customHeight="1" x14ac:dyDescent="0.25">
      <c r="A209" t="s">
        <v>2453</v>
      </c>
      <c r="B209" t="s">
        <v>6504</v>
      </c>
      <c r="C209">
        <v>0</v>
      </c>
      <c r="D209" t="s">
        <v>13287</v>
      </c>
      <c r="E209">
        <v>0</v>
      </c>
      <c r="F209" s="17">
        <v>11001</v>
      </c>
      <c r="G209">
        <v>1603400</v>
      </c>
      <c r="H209">
        <v>4329</v>
      </c>
    </row>
    <row r="210" spans="1:8" ht="15" customHeight="1" x14ac:dyDescent="0.25">
      <c r="A210" t="s">
        <v>2454</v>
      </c>
      <c r="B210" t="s">
        <v>6505</v>
      </c>
      <c r="C210">
        <v>0</v>
      </c>
      <c r="D210" t="s">
        <v>13287</v>
      </c>
      <c r="E210">
        <v>0</v>
      </c>
      <c r="F210" s="17">
        <v>11001</v>
      </c>
      <c r="G210">
        <v>1604072</v>
      </c>
      <c r="H210">
        <v>4329</v>
      </c>
    </row>
    <row r="211" spans="1:8" ht="15" customHeight="1" x14ac:dyDescent="0.25">
      <c r="A211" t="s">
        <v>2455</v>
      </c>
      <c r="B211" t="s">
        <v>6506</v>
      </c>
      <c r="C211" t="s">
        <v>10376</v>
      </c>
      <c r="D211" t="s">
        <v>13287</v>
      </c>
      <c r="E211" t="str">
        <f>+VLOOKUP(A211,[1]PFE4!$A$7:$F$5208,6,0)</f>
        <v>CL 5 D 11 62 LC 1 BRR KM 8</v>
      </c>
      <c r="F211" s="17">
        <f>+VLOOKUP(A211,[1]PFE4!$A$7:$G$5208,7,0)</f>
        <v>11001</v>
      </c>
      <c r="G211">
        <v>1606545</v>
      </c>
      <c r="H211">
        <v>4329</v>
      </c>
    </row>
    <row r="212" spans="1:8" ht="15" customHeight="1" x14ac:dyDescent="0.25">
      <c r="A212" t="s">
        <v>2456</v>
      </c>
      <c r="B212" t="s">
        <v>6507</v>
      </c>
      <c r="C212">
        <v>0</v>
      </c>
      <c r="D212" t="s">
        <v>13287</v>
      </c>
      <c r="E212">
        <v>0</v>
      </c>
      <c r="F212" s="17">
        <v>11001</v>
      </c>
      <c r="G212">
        <v>1620000</v>
      </c>
      <c r="H212">
        <v>4329</v>
      </c>
    </row>
    <row r="213" spans="1:8" ht="15" customHeight="1" x14ac:dyDescent="0.25">
      <c r="A213" t="s">
        <v>2457</v>
      </c>
      <c r="B213" t="s">
        <v>6508</v>
      </c>
      <c r="C213">
        <v>0</v>
      </c>
      <c r="D213" t="s">
        <v>13287</v>
      </c>
      <c r="E213">
        <v>0</v>
      </c>
      <c r="F213" s="17">
        <v>11001</v>
      </c>
      <c r="G213">
        <v>1620300</v>
      </c>
      <c r="H213">
        <v>4329</v>
      </c>
    </row>
    <row r="214" spans="1:8" ht="15" customHeight="1" x14ac:dyDescent="0.25">
      <c r="A214" t="s">
        <v>2458</v>
      </c>
      <c r="B214" t="s">
        <v>6509</v>
      </c>
      <c r="C214" t="s">
        <v>10377</v>
      </c>
      <c r="D214" t="s">
        <v>13287</v>
      </c>
      <c r="E214" t="str">
        <f>+VLOOKUP(A214,[1]PFE4!$A$7:$F$5208,6,0)</f>
        <v>KM 2 ANILLO VIAL TO 1 OF 417 NATURA ECOPARQUE EMPRESARIAL</v>
      </c>
      <c r="F214" s="17">
        <f>+VLOOKUP(A214,[1]PFE4!$A$7:$G$5208,7,0)</f>
        <v>11001</v>
      </c>
      <c r="G214">
        <v>1626030</v>
      </c>
      <c r="H214">
        <v>4329</v>
      </c>
    </row>
    <row r="215" spans="1:8" ht="15" customHeight="1" x14ac:dyDescent="0.25">
      <c r="A215" t="s">
        <v>2459</v>
      </c>
      <c r="B215" t="s">
        <v>6510</v>
      </c>
      <c r="C215" t="s">
        <v>10378</v>
      </c>
      <c r="D215" t="s">
        <v>13287</v>
      </c>
      <c r="E215" t="str">
        <f>+VLOOKUP(A215,[1]PFE4!$A$7:$F$5208,6,0)</f>
        <v>AVENIDA 4 A NORTE  45 N  92</v>
      </c>
      <c r="F215" s="17">
        <f>+VLOOKUP(A215,[1]PFE4!$A$7:$G$5208,7,0)</f>
        <v>11001</v>
      </c>
      <c r="G215">
        <v>1669572</v>
      </c>
      <c r="H215">
        <v>4329</v>
      </c>
    </row>
    <row r="216" spans="1:8" ht="15" customHeight="1" x14ac:dyDescent="0.25">
      <c r="A216" t="s">
        <v>2460</v>
      </c>
      <c r="B216" t="s">
        <v>6511</v>
      </c>
      <c r="C216">
        <v>3219664011</v>
      </c>
      <c r="D216" t="s">
        <v>13287</v>
      </c>
      <c r="E216" t="str">
        <f>+VLOOKUP(A216,[1]PFE4!$A$7:$F$5208,6,0)</f>
        <v>CALLE 127  13  96 OFICINA 404</v>
      </c>
      <c r="F216" s="17">
        <f>+VLOOKUP(A216,[1]PFE4!$A$7:$G$5208,7,0)</f>
        <v>11001</v>
      </c>
      <c r="G216">
        <v>1670000</v>
      </c>
      <c r="H216">
        <v>4329</v>
      </c>
    </row>
    <row r="217" spans="1:8" ht="15" customHeight="1" x14ac:dyDescent="0.25">
      <c r="A217" t="s">
        <v>2461</v>
      </c>
      <c r="B217" t="s">
        <v>6512</v>
      </c>
      <c r="C217">
        <v>0</v>
      </c>
      <c r="D217" t="s">
        <v>13287</v>
      </c>
      <c r="E217">
        <v>0</v>
      </c>
      <c r="F217" s="17">
        <v>11001</v>
      </c>
      <c r="G217">
        <v>1670000</v>
      </c>
      <c r="H217">
        <v>4329</v>
      </c>
    </row>
    <row r="218" spans="1:8" ht="15" customHeight="1" x14ac:dyDescent="0.25">
      <c r="A218" t="s">
        <v>2462</v>
      </c>
      <c r="B218" t="s">
        <v>6513</v>
      </c>
      <c r="C218" t="s">
        <v>10379</v>
      </c>
      <c r="D218" t="s">
        <v>13287</v>
      </c>
      <c r="E218" t="str">
        <f>+VLOOKUP(A218,[1]PFE4!$A$7:$F$5208,6,0)</f>
        <v>CL 98 22 64 OF 201</v>
      </c>
      <c r="F218" s="17">
        <f>+VLOOKUP(A218,[1]PFE4!$A$7:$G$5208,7,0)</f>
        <v>11001</v>
      </c>
      <c r="G218">
        <v>1713640</v>
      </c>
      <c r="H218">
        <v>4329</v>
      </c>
    </row>
    <row r="219" spans="1:8" ht="15" customHeight="1" x14ac:dyDescent="0.25">
      <c r="A219" t="s">
        <v>2463</v>
      </c>
      <c r="B219" t="s">
        <v>6514</v>
      </c>
      <c r="C219">
        <v>0</v>
      </c>
      <c r="D219" t="s">
        <v>13287</v>
      </c>
      <c r="E219">
        <v>0</v>
      </c>
      <c r="F219" s="17">
        <v>11001</v>
      </c>
      <c r="G219">
        <v>1740000</v>
      </c>
      <c r="H219">
        <v>4329</v>
      </c>
    </row>
    <row r="220" spans="1:8" ht="15" customHeight="1" x14ac:dyDescent="0.25">
      <c r="A220" t="s">
        <v>2464</v>
      </c>
      <c r="B220" t="s">
        <v>6515</v>
      </c>
      <c r="C220">
        <v>0</v>
      </c>
      <c r="D220" t="s">
        <v>13287</v>
      </c>
      <c r="E220">
        <v>0</v>
      </c>
      <c r="F220" s="17">
        <v>11001</v>
      </c>
      <c r="G220">
        <v>1744000</v>
      </c>
      <c r="H220">
        <v>4329</v>
      </c>
    </row>
    <row r="221" spans="1:8" ht="15" customHeight="1" x14ac:dyDescent="0.25">
      <c r="A221" t="s">
        <v>2465</v>
      </c>
      <c r="B221" t="s">
        <v>6516</v>
      </c>
      <c r="C221">
        <v>0</v>
      </c>
      <c r="D221" t="s">
        <v>13287</v>
      </c>
      <c r="E221">
        <v>0</v>
      </c>
      <c r="F221" s="17">
        <v>11001</v>
      </c>
      <c r="G221">
        <v>1763500</v>
      </c>
      <c r="H221">
        <v>4329</v>
      </c>
    </row>
    <row r="222" spans="1:8" ht="15" customHeight="1" x14ac:dyDescent="0.25">
      <c r="A222" t="s">
        <v>2466</v>
      </c>
      <c r="B222" t="s">
        <v>6517</v>
      </c>
      <c r="C222" t="s">
        <v>10380</v>
      </c>
      <c r="D222" t="s">
        <v>13287</v>
      </c>
      <c r="E222" t="str">
        <f>+VLOOKUP(A222,[1]PFE4!$A$7:$F$5208,6,0)</f>
        <v>CALLE 47 No.73-39</v>
      </c>
      <c r="F222" s="17">
        <f>+VLOOKUP(A222,[1]PFE4!$A$7:$G$5208,7,0)</f>
        <v>11001</v>
      </c>
      <c r="G222">
        <v>1785050</v>
      </c>
      <c r="H222">
        <v>4329</v>
      </c>
    </row>
    <row r="223" spans="1:8" ht="15" customHeight="1" x14ac:dyDescent="0.25">
      <c r="A223" t="s">
        <v>2467</v>
      </c>
      <c r="B223" t="s">
        <v>6518</v>
      </c>
      <c r="C223" t="s">
        <v>10381</v>
      </c>
      <c r="D223" t="s">
        <v>13287</v>
      </c>
      <c r="E223" t="str">
        <f>+VLOOKUP(A223,[1]PFE4!$A$7:$F$5208,6,0)</f>
        <v>CALLE 28  11  07</v>
      </c>
      <c r="F223" s="17">
        <f>+VLOOKUP(A223,[1]PFE4!$A$7:$G$5208,7,0)</f>
        <v>11001</v>
      </c>
      <c r="G223">
        <v>1800000</v>
      </c>
      <c r="H223">
        <v>4329</v>
      </c>
    </row>
    <row r="224" spans="1:8" ht="15" customHeight="1" x14ac:dyDescent="0.25">
      <c r="A224" t="s">
        <v>2468</v>
      </c>
      <c r="B224" t="s">
        <v>6519</v>
      </c>
      <c r="C224">
        <v>0</v>
      </c>
      <c r="D224" t="s">
        <v>13287</v>
      </c>
      <c r="E224">
        <v>0</v>
      </c>
      <c r="F224" s="17">
        <v>11001</v>
      </c>
      <c r="G224">
        <v>1800000</v>
      </c>
      <c r="H224">
        <v>4329</v>
      </c>
    </row>
    <row r="225" spans="1:8" ht="15" customHeight="1" x14ac:dyDescent="0.25">
      <c r="A225" t="s">
        <v>2469</v>
      </c>
      <c r="B225" t="s">
        <v>6520</v>
      </c>
      <c r="C225" t="s">
        <v>10382</v>
      </c>
      <c r="D225" t="s">
        <v>13287</v>
      </c>
      <c r="E225" t="str">
        <f>+VLOOKUP(A225,[1]PFE4!$A$7:$F$5208,6,0)</f>
        <v>CR 10 16B 43</v>
      </c>
      <c r="F225" s="17">
        <f>+VLOOKUP(A225,[1]PFE4!$A$7:$G$5208,7,0)</f>
        <v>11001</v>
      </c>
      <c r="G225">
        <v>1826208</v>
      </c>
      <c r="H225">
        <v>4329</v>
      </c>
    </row>
    <row r="226" spans="1:8" ht="15" customHeight="1" x14ac:dyDescent="0.25">
      <c r="A226" t="s">
        <v>2470</v>
      </c>
      <c r="B226" t="s">
        <v>6521</v>
      </c>
      <c r="C226" t="s">
        <v>10383</v>
      </c>
      <c r="D226" t="s">
        <v>13287</v>
      </c>
      <c r="E226" t="str">
        <f>+VLOOKUP(A226,[1]PFE4!$A$7:$F$5208,6,0)</f>
        <v>CL 38 A SUR 43 A 34</v>
      </c>
      <c r="F226" s="17" t="str">
        <f>+VLOOKUP(A226,[1]PFE4!$A$7:$G$5208,7,0)</f>
        <v>05001</v>
      </c>
      <c r="G226">
        <v>1829445</v>
      </c>
      <c r="H226">
        <v>4329</v>
      </c>
    </row>
    <row r="227" spans="1:8" ht="15" customHeight="1" x14ac:dyDescent="0.25">
      <c r="A227" t="s">
        <v>2471</v>
      </c>
      <c r="B227" t="s">
        <v>6522</v>
      </c>
      <c r="C227">
        <v>0</v>
      </c>
      <c r="D227" t="s">
        <v>13287</v>
      </c>
      <c r="E227">
        <v>0</v>
      </c>
      <c r="F227" s="17">
        <v>11001</v>
      </c>
      <c r="G227">
        <v>1830000</v>
      </c>
      <c r="H227">
        <v>4329</v>
      </c>
    </row>
    <row r="228" spans="1:8" ht="15" customHeight="1" x14ac:dyDescent="0.25">
      <c r="A228" t="s">
        <v>2472</v>
      </c>
      <c r="B228" t="s">
        <v>6523</v>
      </c>
      <c r="C228">
        <v>0</v>
      </c>
      <c r="D228" t="s">
        <v>13287</v>
      </c>
      <c r="E228">
        <v>0</v>
      </c>
      <c r="F228" s="17">
        <v>11001</v>
      </c>
      <c r="G228">
        <v>1880000</v>
      </c>
      <c r="H228">
        <v>4329</v>
      </c>
    </row>
    <row r="229" spans="1:8" ht="15" customHeight="1" x14ac:dyDescent="0.25">
      <c r="A229" t="s">
        <v>2473</v>
      </c>
      <c r="B229" t="s">
        <v>6524</v>
      </c>
      <c r="C229">
        <v>0</v>
      </c>
      <c r="D229" t="s">
        <v>13287</v>
      </c>
      <c r="E229">
        <v>0</v>
      </c>
      <c r="F229" s="17">
        <v>11001</v>
      </c>
      <c r="G229">
        <v>1890000</v>
      </c>
      <c r="H229">
        <v>4329</v>
      </c>
    </row>
    <row r="230" spans="1:8" ht="15" customHeight="1" x14ac:dyDescent="0.25">
      <c r="A230" t="s">
        <v>2474</v>
      </c>
      <c r="B230" t="s">
        <v>6525</v>
      </c>
      <c r="C230" t="s">
        <v>10384</v>
      </c>
      <c r="D230" t="s">
        <v>13287</v>
      </c>
      <c r="E230" t="str">
        <f>+VLOOKUP(A230,[1]PFE4!$A$7:$F$5208,6,0)</f>
        <v>AV CL 127 7 A 47 OF 101</v>
      </c>
      <c r="F230" s="17">
        <f>+VLOOKUP(A230,[1]PFE4!$A$7:$G$5208,7,0)</f>
        <v>11001</v>
      </c>
      <c r="G230">
        <v>1899402</v>
      </c>
      <c r="H230">
        <v>4329</v>
      </c>
    </row>
    <row r="231" spans="1:8" ht="15" customHeight="1" x14ac:dyDescent="0.25">
      <c r="A231" t="s">
        <v>2475</v>
      </c>
      <c r="B231" t="s">
        <v>6526</v>
      </c>
      <c r="C231">
        <v>0</v>
      </c>
      <c r="D231" t="s">
        <v>13287</v>
      </c>
      <c r="E231">
        <v>0</v>
      </c>
      <c r="F231" s="17">
        <v>11001</v>
      </c>
      <c r="G231">
        <v>1901589</v>
      </c>
      <c r="H231">
        <v>4329</v>
      </c>
    </row>
    <row r="232" spans="1:8" ht="15" customHeight="1" x14ac:dyDescent="0.25">
      <c r="A232" t="s">
        <v>2476</v>
      </c>
      <c r="B232" t="s">
        <v>6527</v>
      </c>
      <c r="C232">
        <v>0</v>
      </c>
      <c r="D232" t="s">
        <v>13287</v>
      </c>
      <c r="E232">
        <v>0</v>
      </c>
      <c r="F232" s="17">
        <v>11001</v>
      </c>
      <c r="G232">
        <v>1914100</v>
      </c>
      <c r="H232">
        <v>4329</v>
      </c>
    </row>
    <row r="233" spans="1:8" ht="15" customHeight="1" x14ac:dyDescent="0.25">
      <c r="A233" t="s">
        <v>2477</v>
      </c>
      <c r="B233" t="s">
        <v>6528</v>
      </c>
      <c r="C233" t="s">
        <v>10385</v>
      </c>
      <c r="D233" t="s">
        <v>13287</v>
      </c>
      <c r="E233" t="str">
        <f>+VLOOKUP(A233,[1]PFE4!$A$7:$F$5208,6,0)</f>
        <v>CALLE 200  12  528</v>
      </c>
      <c r="F233" s="17">
        <f>+VLOOKUP(A233,[1]PFE4!$A$7:$G$5208,7,0)</f>
        <v>11001</v>
      </c>
      <c r="G233">
        <v>1917949</v>
      </c>
      <c r="H233">
        <v>4329</v>
      </c>
    </row>
    <row r="234" spans="1:8" ht="15" customHeight="1" x14ac:dyDescent="0.25">
      <c r="A234" t="s">
        <v>2478</v>
      </c>
      <c r="B234" t="s">
        <v>6529</v>
      </c>
      <c r="C234">
        <v>0</v>
      </c>
      <c r="D234" t="s">
        <v>13287</v>
      </c>
      <c r="E234">
        <v>0</v>
      </c>
      <c r="F234" s="17">
        <v>11001</v>
      </c>
      <c r="G234">
        <v>1944000</v>
      </c>
      <c r="H234">
        <v>4329</v>
      </c>
    </row>
    <row r="235" spans="1:8" ht="15" customHeight="1" x14ac:dyDescent="0.25">
      <c r="A235" t="s">
        <v>2479</v>
      </c>
      <c r="B235" t="s">
        <v>6530</v>
      </c>
      <c r="C235">
        <v>0</v>
      </c>
      <c r="D235" t="s">
        <v>13287</v>
      </c>
      <c r="E235">
        <v>0</v>
      </c>
      <c r="F235" s="17">
        <v>11001</v>
      </c>
      <c r="G235">
        <v>1950000</v>
      </c>
      <c r="H235">
        <v>4329</v>
      </c>
    </row>
    <row r="236" spans="1:8" ht="15" customHeight="1" x14ac:dyDescent="0.25">
      <c r="A236" t="s">
        <v>2480</v>
      </c>
      <c r="B236" t="s">
        <v>6531</v>
      </c>
      <c r="C236" t="s">
        <v>10386</v>
      </c>
      <c r="D236" t="s">
        <v>13287</v>
      </c>
      <c r="E236" t="str">
        <f>+VLOOKUP(A236,[1]PFE4!$A$7:$F$5208,6,0)</f>
        <v>CARRERA 8 16-71 OF 201</v>
      </c>
      <c r="F236" s="17">
        <f>+VLOOKUP(A236,[1]PFE4!$A$7:$G$5208,7,0)</f>
        <v>66001</v>
      </c>
      <c r="G236">
        <v>1954480</v>
      </c>
      <c r="H236">
        <v>4329</v>
      </c>
    </row>
    <row r="237" spans="1:8" ht="15" customHeight="1" x14ac:dyDescent="0.25">
      <c r="A237" t="s">
        <v>2481</v>
      </c>
      <c r="B237" t="s">
        <v>6532</v>
      </c>
      <c r="C237" t="s">
        <v>10387</v>
      </c>
      <c r="D237" t="s">
        <v>13287</v>
      </c>
      <c r="E237" t="str">
        <f>+VLOOKUP(A237,[1]PFE4!$A$7:$F$5208,6,0)</f>
        <v>CARRERA 8 16-71 OF 201</v>
      </c>
      <c r="F237" s="17">
        <f>+VLOOKUP(A237,[1]PFE4!$A$7:$G$5208,7,0)</f>
        <v>66001</v>
      </c>
      <c r="G237">
        <v>1954490</v>
      </c>
      <c r="H237">
        <v>4329</v>
      </c>
    </row>
    <row r="238" spans="1:8" ht="15" customHeight="1" x14ac:dyDescent="0.25">
      <c r="A238" t="s">
        <v>2482</v>
      </c>
      <c r="B238" t="s">
        <v>6533</v>
      </c>
      <c r="C238">
        <v>0</v>
      </c>
      <c r="D238" t="s">
        <v>13287</v>
      </c>
      <c r="E238">
        <v>0</v>
      </c>
      <c r="F238" s="17">
        <v>11001</v>
      </c>
      <c r="G238">
        <v>1965000</v>
      </c>
      <c r="H238">
        <v>4329</v>
      </c>
    </row>
    <row r="239" spans="1:8" ht="15" customHeight="1" x14ac:dyDescent="0.25">
      <c r="A239" t="s">
        <v>2483</v>
      </c>
      <c r="B239" t="s">
        <v>6534</v>
      </c>
      <c r="C239" t="s">
        <v>10388</v>
      </c>
      <c r="D239" t="s">
        <v>13287</v>
      </c>
      <c r="E239" t="str">
        <f>+VLOOKUP(A239,[1]PFE4!$A$7:$F$5208,6,0)</f>
        <v>CALLE 77 B 59 61 OFC 1203</v>
      </c>
      <c r="F239" s="17">
        <f>+VLOOKUP(A239,[1]PFE4!$A$7:$G$5208,7,0)</f>
        <v>11001</v>
      </c>
      <c r="G239">
        <v>1991540</v>
      </c>
      <c r="H239">
        <v>4329</v>
      </c>
    </row>
    <row r="240" spans="1:8" ht="15" customHeight="1" x14ac:dyDescent="0.25">
      <c r="A240" t="s">
        <v>2484</v>
      </c>
      <c r="B240" t="s">
        <v>6535</v>
      </c>
      <c r="C240">
        <v>0</v>
      </c>
      <c r="D240" t="s">
        <v>13287</v>
      </c>
      <c r="E240">
        <v>0</v>
      </c>
      <c r="F240" s="17">
        <v>11001</v>
      </c>
      <c r="G240">
        <v>2000000</v>
      </c>
      <c r="H240">
        <v>4329</v>
      </c>
    </row>
    <row r="241" spans="1:8" ht="15" customHeight="1" x14ac:dyDescent="0.25">
      <c r="A241" t="s">
        <v>2485</v>
      </c>
      <c r="B241" t="s">
        <v>6536</v>
      </c>
      <c r="C241" t="s">
        <v>10389</v>
      </c>
      <c r="D241" t="s">
        <v>13287</v>
      </c>
      <c r="E241" t="str">
        <f>+VLOOKUP(A241,[1]PFE4!$A$7:$F$5208,6,0)</f>
        <v>CARRERA 20  15  39</v>
      </c>
      <c r="F241" s="17">
        <f>+VLOOKUP(A241,[1]PFE4!$A$7:$G$5208,7,0)</f>
        <v>17001</v>
      </c>
      <c r="G241">
        <v>2039759</v>
      </c>
      <c r="H241">
        <v>4329</v>
      </c>
    </row>
    <row r="242" spans="1:8" ht="15" customHeight="1" x14ac:dyDescent="0.25">
      <c r="A242" t="s">
        <v>2486</v>
      </c>
      <c r="B242" t="s">
        <v>6537</v>
      </c>
      <c r="C242">
        <v>0</v>
      </c>
      <c r="D242" t="s">
        <v>13287</v>
      </c>
      <c r="E242">
        <v>0</v>
      </c>
      <c r="F242" s="17">
        <v>11001</v>
      </c>
      <c r="G242">
        <v>2050000</v>
      </c>
      <c r="H242">
        <v>4329</v>
      </c>
    </row>
    <row r="243" spans="1:8" ht="15" customHeight="1" x14ac:dyDescent="0.25">
      <c r="A243" t="s">
        <v>2487</v>
      </c>
      <c r="B243" t="s">
        <v>6538</v>
      </c>
      <c r="C243" t="s">
        <v>10390</v>
      </c>
      <c r="D243" t="s">
        <v>13287</v>
      </c>
      <c r="E243" t="str">
        <f>+VLOOKUP(A243,[1]PFE4!$A$7:$F$5208,6,0)</f>
        <v>CL 17 AV 18 E AV DEL RIO URBANIZACION NIZA</v>
      </c>
      <c r="F243" s="17">
        <f>+VLOOKUP(A243,[1]PFE4!$A$7:$G$5208,7,0)</f>
        <v>54001</v>
      </c>
      <c r="G243">
        <v>2056969</v>
      </c>
      <c r="H243">
        <v>4329</v>
      </c>
    </row>
    <row r="244" spans="1:8" ht="15" customHeight="1" x14ac:dyDescent="0.25">
      <c r="A244" t="s">
        <v>2488</v>
      </c>
      <c r="B244" t="s">
        <v>6539</v>
      </c>
      <c r="C244">
        <v>0</v>
      </c>
      <c r="D244" t="s">
        <v>13287</v>
      </c>
      <c r="E244">
        <v>0</v>
      </c>
      <c r="F244" s="17">
        <v>11001</v>
      </c>
      <c r="G244">
        <v>2062000</v>
      </c>
      <c r="H244">
        <v>4329</v>
      </c>
    </row>
    <row r="245" spans="1:8" ht="15" customHeight="1" x14ac:dyDescent="0.25">
      <c r="A245" t="s">
        <v>2489</v>
      </c>
      <c r="B245" t="s">
        <v>6540</v>
      </c>
      <c r="C245" t="s">
        <v>10391</v>
      </c>
      <c r="D245" t="s">
        <v>13287</v>
      </c>
      <c r="E245" t="str">
        <f>+VLOOKUP(A245,[1]PFE4!$A$7:$F$5208,6,0)</f>
        <v>CL 93 BIS 19 45</v>
      </c>
      <c r="F245" s="17">
        <f>+VLOOKUP(A245,[1]PFE4!$A$7:$G$5208,7,0)</f>
        <v>11001</v>
      </c>
      <c r="G245">
        <v>2071692</v>
      </c>
      <c r="H245">
        <v>4329</v>
      </c>
    </row>
    <row r="246" spans="1:8" ht="15" customHeight="1" x14ac:dyDescent="0.25">
      <c r="A246" t="s">
        <v>2490</v>
      </c>
      <c r="B246" t="s">
        <v>6541</v>
      </c>
      <c r="C246" t="s">
        <v>10392</v>
      </c>
      <c r="D246" t="s">
        <v>13287</v>
      </c>
      <c r="E246" t="str">
        <f>+VLOOKUP(A246,[1]PFE4!$A$7:$F$5208,6,0)</f>
        <v>DG 5 H 47 99</v>
      </c>
      <c r="F246" s="17">
        <f>+VLOOKUP(A246,[1]PFE4!$A$7:$G$5208,7,0)</f>
        <v>11001</v>
      </c>
      <c r="G246">
        <v>2082515</v>
      </c>
      <c r="H246">
        <v>4329</v>
      </c>
    </row>
    <row r="247" spans="1:8" ht="15" customHeight="1" x14ac:dyDescent="0.25">
      <c r="A247" t="s">
        <v>2491</v>
      </c>
      <c r="B247" t="s">
        <v>6542</v>
      </c>
      <c r="C247">
        <v>0</v>
      </c>
      <c r="D247" t="s">
        <v>13287</v>
      </c>
      <c r="E247">
        <v>0</v>
      </c>
      <c r="F247" s="17">
        <v>11001</v>
      </c>
      <c r="G247">
        <v>2083300</v>
      </c>
      <c r="H247">
        <v>4329</v>
      </c>
    </row>
    <row r="248" spans="1:8" ht="15" customHeight="1" x14ac:dyDescent="0.25">
      <c r="A248" t="s">
        <v>2492</v>
      </c>
      <c r="B248" t="s">
        <v>6543</v>
      </c>
      <c r="C248">
        <v>3219664011</v>
      </c>
      <c r="D248" t="s">
        <v>13287</v>
      </c>
      <c r="E248" t="str">
        <f>+VLOOKUP(A248,[1]PFE4!$A$7:$F$5208,6,0)</f>
        <v>CL 88  42 E  66</v>
      </c>
      <c r="F248" s="17" t="str">
        <f>+VLOOKUP(A248,[1]PFE4!$A$7:$G$5208,7,0)</f>
        <v>08001</v>
      </c>
      <c r="G248">
        <v>2083527</v>
      </c>
      <c r="H248">
        <v>4329</v>
      </c>
    </row>
    <row r="249" spans="1:8" ht="15" customHeight="1" x14ac:dyDescent="0.25">
      <c r="A249" t="s">
        <v>2493</v>
      </c>
      <c r="B249" t="s">
        <v>6544</v>
      </c>
      <c r="C249">
        <v>0</v>
      </c>
      <c r="D249" t="s">
        <v>13287</v>
      </c>
      <c r="E249">
        <v>0</v>
      </c>
      <c r="F249" s="17">
        <v>11001</v>
      </c>
      <c r="G249">
        <v>2100000</v>
      </c>
      <c r="H249">
        <v>4329</v>
      </c>
    </row>
    <row r="250" spans="1:8" ht="15" customHeight="1" x14ac:dyDescent="0.25">
      <c r="A250" t="s">
        <v>2494</v>
      </c>
      <c r="B250" t="s">
        <v>6545</v>
      </c>
      <c r="C250" t="s">
        <v>10393</v>
      </c>
      <c r="D250" t="s">
        <v>13287</v>
      </c>
      <c r="E250" t="str">
        <f>+VLOOKUP(A250,[1]PFE4!$A$7:$F$5208,6,0)</f>
        <v>CL 19 SUR 41 A 21</v>
      </c>
      <c r="F250" s="17">
        <f>+VLOOKUP(A250,[1]PFE4!$A$7:$G$5208,7,0)</f>
        <v>11001</v>
      </c>
      <c r="G250">
        <v>2129200</v>
      </c>
      <c r="H250">
        <v>4329</v>
      </c>
    </row>
    <row r="251" spans="1:8" ht="15" customHeight="1" x14ac:dyDescent="0.25">
      <c r="A251" t="s">
        <v>2495</v>
      </c>
      <c r="B251" t="s">
        <v>6546</v>
      </c>
      <c r="C251" t="s">
        <v>10394</v>
      </c>
      <c r="D251" t="s">
        <v>13287</v>
      </c>
      <c r="E251" t="str">
        <f>+VLOOKUP(A251,[1]PFE4!$A$7:$F$5208,6,0)</f>
        <v>CALLE 5 No. 76 - 45 AP 205</v>
      </c>
      <c r="F251" s="17" t="str">
        <f>+VLOOKUP(A251,[1]PFE4!$A$7:$G$5208,7,0)</f>
        <v>05001</v>
      </c>
      <c r="G251">
        <v>2129582</v>
      </c>
      <c r="H251">
        <v>4329</v>
      </c>
    </row>
    <row r="252" spans="1:8" ht="15" customHeight="1" x14ac:dyDescent="0.25">
      <c r="A252" t="s">
        <v>2496</v>
      </c>
      <c r="B252" t="s">
        <v>6547</v>
      </c>
      <c r="C252">
        <v>0</v>
      </c>
      <c r="D252" t="s">
        <v>13287</v>
      </c>
      <c r="E252">
        <v>0</v>
      </c>
      <c r="F252" s="17">
        <v>11001</v>
      </c>
      <c r="G252">
        <v>2130000</v>
      </c>
      <c r="H252">
        <v>4329</v>
      </c>
    </row>
    <row r="253" spans="1:8" ht="15" customHeight="1" x14ac:dyDescent="0.25">
      <c r="A253" t="s">
        <v>2497</v>
      </c>
      <c r="B253" t="s">
        <v>6548</v>
      </c>
      <c r="C253" t="s">
        <v>10395</v>
      </c>
      <c r="D253" t="s">
        <v>13287</v>
      </c>
      <c r="E253" t="str">
        <f>+VLOOKUP(A253,[1]PFE4!$A$7:$F$5208,6,0)</f>
        <v>CR 43 27 18 IN 1</v>
      </c>
      <c r="F253" s="17" t="str">
        <f>+VLOOKUP(A253,[1]PFE4!$A$7:$G$5208,7,0)</f>
        <v>05440</v>
      </c>
      <c r="G253">
        <v>2142060</v>
      </c>
      <c r="H253">
        <v>4329</v>
      </c>
    </row>
    <row r="254" spans="1:8" ht="15" customHeight="1" x14ac:dyDescent="0.25">
      <c r="A254" t="s">
        <v>2498</v>
      </c>
      <c r="B254" t="s">
        <v>6549</v>
      </c>
      <c r="C254" t="s">
        <v>10396</v>
      </c>
      <c r="D254" t="s">
        <v>13287</v>
      </c>
      <c r="E254" t="str">
        <f>+VLOOKUP(A254,[1]PFE4!$A$7:$F$5208,6,0)</f>
        <v>CL 35 17 56 ED DAVIVIENDA OF 901</v>
      </c>
      <c r="F254" s="17">
        <f>+VLOOKUP(A254,[1]PFE4!$A$7:$G$5208,7,0)</f>
        <v>11001</v>
      </c>
      <c r="G254">
        <v>2142060</v>
      </c>
      <c r="H254">
        <v>4329</v>
      </c>
    </row>
    <row r="255" spans="1:8" ht="15" customHeight="1" x14ac:dyDescent="0.25">
      <c r="A255" t="s">
        <v>2499</v>
      </c>
      <c r="B255" t="s">
        <v>6550</v>
      </c>
      <c r="C255" t="s">
        <v>10397</v>
      </c>
      <c r="D255" t="s">
        <v>13287</v>
      </c>
      <c r="E255" t="str">
        <f>+VLOOKUP(A255,[1]PFE4!$A$7:$F$5208,6,0)</f>
        <v>CC VENTURA PLAZA - CENTRO DE NEGOCIOS OF 3 113</v>
      </c>
      <c r="F255" s="17">
        <f>+VLOOKUP(A255,[1]PFE4!$A$7:$G$5208,7,0)</f>
        <v>11001</v>
      </c>
      <c r="G255">
        <v>2142060</v>
      </c>
      <c r="H255">
        <v>4329</v>
      </c>
    </row>
    <row r="256" spans="1:8" ht="15" customHeight="1" x14ac:dyDescent="0.25">
      <c r="A256" t="s">
        <v>2500</v>
      </c>
      <c r="B256" t="s">
        <v>6551</v>
      </c>
      <c r="C256" t="s">
        <v>10398</v>
      </c>
      <c r="D256" t="s">
        <v>13287</v>
      </c>
      <c r="E256" t="str">
        <f>+VLOOKUP(A256,[1]PFE4!$A$7:$F$5208,6,0)</f>
        <v>CALLE 7 D #43A 99</v>
      </c>
      <c r="F256" s="17" t="str">
        <f>+VLOOKUP(A256,[1]PFE4!$A$7:$G$5208,7,0)</f>
        <v>05266</v>
      </c>
      <c r="G256">
        <v>2142060</v>
      </c>
      <c r="H256">
        <v>4329</v>
      </c>
    </row>
    <row r="257" spans="1:8" ht="15" customHeight="1" x14ac:dyDescent="0.25">
      <c r="A257" t="s">
        <v>2501</v>
      </c>
      <c r="B257" t="s">
        <v>6552</v>
      </c>
      <c r="C257" t="s">
        <v>10399</v>
      </c>
      <c r="D257" t="s">
        <v>13287</v>
      </c>
      <c r="E257" t="str">
        <f>+VLOOKUP(A257,[1]PFE4!$A$7:$F$5208,6,0)</f>
        <v>CALLE 18 SUR  41 A A  149</v>
      </c>
      <c r="F257" s="17" t="str">
        <f>+VLOOKUP(A257,[1]PFE4!$A$7:$G$5208,7,0)</f>
        <v>05631</v>
      </c>
      <c r="G257">
        <v>2142060</v>
      </c>
      <c r="H257">
        <v>4329</v>
      </c>
    </row>
    <row r="258" spans="1:8" ht="15" customHeight="1" x14ac:dyDescent="0.25">
      <c r="A258" t="s">
        <v>2502</v>
      </c>
      <c r="B258" t="s">
        <v>6553</v>
      </c>
      <c r="C258" t="s">
        <v>10400</v>
      </c>
      <c r="D258" t="s">
        <v>13287</v>
      </c>
      <c r="E258" t="str">
        <f>+VLOOKUP(A258,[1]PFE4!$A$7:$F$5208,6,0)</f>
        <v>CL 94 72 A 91</v>
      </c>
      <c r="F258" s="17" t="str">
        <f>+VLOOKUP(A258,[1]PFE4!$A$7:$G$5208,7,0)</f>
        <v>05001</v>
      </c>
      <c r="G258">
        <v>2220360</v>
      </c>
      <c r="H258">
        <v>4329</v>
      </c>
    </row>
    <row r="259" spans="1:8" ht="15" customHeight="1" x14ac:dyDescent="0.25">
      <c r="A259" t="s">
        <v>2503</v>
      </c>
      <c r="B259" t="s">
        <v>6554</v>
      </c>
      <c r="C259" t="s">
        <v>10401</v>
      </c>
      <c r="D259" t="s">
        <v>13287</v>
      </c>
      <c r="E259" t="str">
        <f>+VLOOKUP(A259,[1]PFE4!$A$7:$F$5208,6,0)</f>
        <v>CL 70 BIS 4 41</v>
      </c>
      <c r="F259" s="17">
        <f>+VLOOKUP(A259,[1]PFE4!$A$7:$G$5208,7,0)</f>
        <v>11001</v>
      </c>
      <c r="G259">
        <v>2226189</v>
      </c>
      <c r="H259">
        <v>4329</v>
      </c>
    </row>
    <row r="260" spans="1:8" ht="15" customHeight="1" x14ac:dyDescent="0.25">
      <c r="A260" t="s">
        <v>2504</v>
      </c>
      <c r="B260" t="s">
        <v>6555</v>
      </c>
      <c r="C260" t="s">
        <v>10402</v>
      </c>
      <c r="D260" t="s">
        <v>13287</v>
      </c>
      <c r="E260" t="str">
        <f>+VLOOKUP(A260,[1]PFE4!$A$7:$F$5208,6,0)</f>
        <v>CARRERA 16 93 36 Of. 906 Ed. SEKI</v>
      </c>
      <c r="F260" s="17">
        <f>+VLOOKUP(A260,[1]PFE4!$A$7:$G$5208,7,0)</f>
        <v>11001</v>
      </c>
      <c r="G260">
        <v>2235000</v>
      </c>
      <c r="H260">
        <v>4329</v>
      </c>
    </row>
    <row r="261" spans="1:8" ht="15" customHeight="1" x14ac:dyDescent="0.25">
      <c r="A261" t="s">
        <v>2505</v>
      </c>
      <c r="B261" t="s">
        <v>6556</v>
      </c>
      <c r="C261" t="s">
        <v>10403</v>
      </c>
      <c r="D261" t="s">
        <v>13287</v>
      </c>
      <c r="E261" t="str">
        <f>+VLOOKUP(A261,[1]PFE4!$A$7:$F$5208,6,0)</f>
        <v>AC 100 11 B 95</v>
      </c>
      <c r="F261" s="17">
        <f>+VLOOKUP(A261,[1]PFE4!$A$7:$G$5208,7,0)</f>
        <v>11001</v>
      </c>
      <c r="G261">
        <v>2241816</v>
      </c>
      <c r="H261">
        <v>4329</v>
      </c>
    </row>
    <row r="262" spans="1:8" ht="15" customHeight="1" x14ac:dyDescent="0.25">
      <c r="A262" t="s">
        <v>2506</v>
      </c>
      <c r="B262" t="s">
        <v>6557</v>
      </c>
      <c r="C262">
        <v>0</v>
      </c>
      <c r="D262" t="s">
        <v>13287</v>
      </c>
      <c r="E262">
        <v>0</v>
      </c>
      <c r="F262" s="17">
        <v>11001</v>
      </c>
      <c r="G262">
        <v>2271000</v>
      </c>
      <c r="H262">
        <v>4329</v>
      </c>
    </row>
    <row r="263" spans="1:8" ht="15" customHeight="1" x14ac:dyDescent="0.25">
      <c r="A263" t="s">
        <v>2507</v>
      </c>
      <c r="B263" t="s">
        <v>6558</v>
      </c>
      <c r="C263" t="s">
        <v>10404</v>
      </c>
      <c r="D263" t="s">
        <v>13287</v>
      </c>
      <c r="E263" t="str">
        <f>+VLOOKUP(A263,[1]PFE4!$A$7:$F$5208,6,0)</f>
        <v>CR 64 b 85 80</v>
      </c>
      <c r="F263" s="17" t="str">
        <f>+VLOOKUP(A263,[1]PFE4!$A$7:$G$5208,7,0)</f>
        <v>08001</v>
      </c>
      <c r="G263">
        <v>2281835</v>
      </c>
      <c r="H263">
        <v>4329</v>
      </c>
    </row>
    <row r="264" spans="1:8" ht="15" customHeight="1" x14ac:dyDescent="0.25">
      <c r="A264" t="s">
        <v>2508</v>
      </c>
      <c r="B264" t="s">
        <v>6559</v>
      </c>
      <c r="C264" t="s">
        <v>10405</v>
      </c>
      <c r="D264" t="s">
        <v>13287</v>
      </c>
      <c r="E264" t="str">
        <f>+VLOOKUP(A264,[1]PFE4!$A$7:$F$5208,6,0)</f>
        <v>CR 44 57 31</v>
      </c>
      <c r="F264" s="17">
        <f>+VLOOKUP(A264,[1]PFE4!$A$7:$G$5208,7,0)</f>
        <v>11001</v>
      </c>
      <c r="G264">
        <v>2282940</v>
      </c>
      <c r="H264">
        <v>4329</v>
      </c>
    </row>
    <row r="265" spans="1:8" ht="15" customHeight="1" x14ac:dyDescent="0.25">
      <c r="A265" t="s">
        <v>2509</v>
      </c>
      <c r="B265" t="s">
        <v>6560</v>
      </c>
      <c r="C265" t="s">
        <v>10406</v>
      </c>
      <c r="D265" t="s">
        <v>13287</v>
      </c>
      <c r="E265" t="str">
        <f>+VLOOKUP(A265,[1]PFE4!$A$7:$F$5208,6,0)</f>
        <v>CALLE 39 SUR No. 51F  59</v>
      </c>
      <c r="F265" s="17">
        <f>+VLOOKUP(A265,[1]PFE4!$A$7:$G$5208,7,0)</f>
        <v>11001</v>
      </c>
      <c r="G265">
        <v>2300340</v>
      </c>
      <c r="H265">
        <v>4329</v>
      </c>
    </row>
    <row r="266" spans="1:8" ht="15" customHeight="1" x14ac:dyDescent="0.25">
      <c r="A266" t="s">
        <v>2510</v>
      </c>
      <c r="B266" t="s">
        <v>6561</v>
      </c>
      <c r="C266">
        <v>0</v>
      </c>
      <c r="D266" t="s">
        <v>13287</v>
      </c>
      <c r="E266">
        <v>0</v>
      </c>
      <c r="F266" s="17">
        <v>11001</v>
      </c>
      <c r="G266">
        <v>2316000</v>
      </c>
      <c r="H266">
        <v>4329</v>
      </c>
    </row>
    <row r="267" spans="1:8" ht="15" customHeight="1" x14ac:dyDescent="0.25">
      <c r="A267" t="s">
        <v>2511</v>
      </c>
      <c r="B267" t="s">
        <v>6562</v>
      </c>
      <c r="C267" t="s">
        <v>10407</v>
      </c>
      <c r="D267" t="s">
        <v>13287</v>
      </c>
      <c r="E267" t="str">
        <f>+VLOOKUP(A267,[1]PFE4!$A$7:$F$5208,6,0)</f>
        <v>CL 11 C 31 79 OF 302</v>
      </c>
      <c r="F267" s="17" t="str">
        <f>+VLOOKUP(A267,[1]PFE4!$A$7:$G$5208,7,0)</f>
        <v>05001</v>
      </c>
      <c r="G267">
        <v>2320000</v>
      </c>
      <c r="H267">
        <v>4329</v>
      </c>
    </row>
    <row r="268" spans="1:8" ht="15" customHeight="1" x14ac:dyDescent="0.25">
      <c r="A268" t="s">
        <v>2512</v>
      </c>
      <c r="B268" t="s">
        <v>6563</v>
      </c>
      <c r="C268">
        <v>3219664011</v>
      </c>
      <c r="D268" t="s">
        <v>13287</v>
      </c>
      <c r="E268" t="str">
        <f>+VLOOKUP(A268,[1]PFE4!$A$7:$F$5208,6,0)</f>
        <v>CARRERA 50  53  04</v>
      </c>
      <c r="F268" s="17" t="str">
        <f>+VLOOKUP(A268,[1]PFE4!$A$7:$G$5208,7,0)</f>
        <v>05088</v>
      </c>
      <c r="G268">
        <v>2334952</v>
      </c>
      <c r="H268">
        <v>4329</v>
      </c>
    </row>
    <row r="269" spans="1:8" ht="15" customHeight="1" x14ac:dyDescent="0.25">
      <c r="A269" t="s">
        <v>2513</v>
      </c>
      <c r="B269" t="s">
        <v>6564</v>
      </c>
      <c r="C269" t="s">
        <v>10408</v>
      </c>
      <c r="D269" t="s">
        <v>13287</v>
      </c>
      <c r="E269" t="str">
        <f>+VLOOKUP(A269,[1]PFE4!$A$7:$F$5208,6,0)</f>
        <v>CL 70 7 60 OF 101</v>
      </c>
      <c r="F269" s="17">
        <f>+VLOOKUP(A269,[1]PFE4!$A$7:$G$5208,7,0)</f>
        <v>11001</v>
      </c>
      <c r="G269">
        <v>2339280</v>
      </c>
      <c r="H269">
        <v>4329</v>
      </c>
    </row>
    <row r="270" spans="1:8" ht="15" customHeight="1" x14ac:dyDescent="0.25">
      <c r="A270" t="s">
        <v>2514</v>
      </c>
      <c r="B270" t="s">
        <v>6565</v>
      </c>
      <c r="C270">
        <v>0</v>
      </c>
      <c r="D270" t="s">
        <v>13287</v>
      </c>
      <c r="E270">
        <v>0</v>
      </c>
      <c r="F270" s="17">
        <v>11001</v>
      </c>
      <c r="G270">
        <v>2358300</v>
      </c>
      <c r="H270">
        <v>4329</v>
      </c>
    </row>
    <row r="271" spans="1:8" ht="15" customHeight="1" x14ac:dyDescent="0.25">
      <c r="A271" t="s">
        <v>2515</v>
      </c>
      <c r="B271" t="s">
        <v>6566</v>
      </c>
      <c r="C271" t="s">
        <v>10409</v>
      </c>
      <c r="D271" t="s">
        <v>13287</v>
      </c>
      <c r="E271" t="str">
        <f>+VLOOKUP(A271,[1]PFE4!$A$7:$F$5208,6,0)</f>
        <v>CL 42  51 32</v>
      </c>
      <c r="F271" s="17" t="str">
        <f>+VLOOKUP(A271,[1]PFE4!$A$7:$G$5208,7,0)</f>
        <v>08001</v>
      </c>
      <c r="G271">
        <v>2418300</v>
      </c>
      <c r="H271">
        <v>4329</v>
      </c>
    </row>
    <row r="272" spans="1:8" ht="15" customHeight="1" x14ac:dyDescent="0.25">
      <c r="A272" t="s">
        <v>2516</v>
      </c>
      <c r="B272" t="s">
        <v>6567</v>
      </c>
      <c r="C272">
        <v>0</v>
      </c>
      <c r="D272" t="s">
        <v>13287</v>
      </c>
      <c r="E272">
        <v>0</v>
      </c>
      <c r="F272" s="17">
        <v>11001</v>
      </c>
      <c r="G272">
        <v>2444685</v>
      </c>
      <c r="H272">
        <v>4329</v>
      </c>
    </row>
    <row r="273" spans="1:8" ht="15" customHeight="1" x14ac:dyDescent="0.25">
      <c r="A273" t="s">
        <v>2517</v>
      </c>
      <c r="B273" t="s">
        <v>6568</v>
      </c>
      <c r="C273">
        <v>0</v>
      </c>
      <c r="D273" t="s">
        <v>13287</v>
      </c>
      <c r="E273">
        <v>0</v>
      </c>
      <c r="F273" s="17">
        <v>11001</v>
      </c>
      <c r="G273">
        <v>2448948</v>
      </c>
      <c r="H273">
        <v>4329</v>
      </c>
    </row>
    <row r="274" spans="1:8" ht="15" customHeight="1" x14ac:dyDescent="0.25">
      <c r="A274" t="s">
        <v>2518</v>
      </c>
      <c r="B274" t="s">
        <v>6569</v>
      </c>
      <c r="C274">
        <v>0</v>
      </c>
      <c r="D274" t="s">
        <v>13287</v>
      </c>
      <c r="E274">
        <v>0</v>
      </c>
      <c r="F274" s="17">
        <v>11001</v>
      </c>
      <c r="G274">
        <v>2451380</v>
      </c>
      <c r="H274">
        <v>4329</v>
      </c>
    </row>
    <row r="275" spans="1:8" ht="15" customHeight="1" x14ac:dyDescent="0.25">
      <c r="A275" t="s">
        <v>2519</v>
      </c>
      <c r="B275" t="s">
        <v>6570</v>
      </c>
      <c r="C275" t="s">
        <v>10410</v>
      </c>
      <c r="D275" t="s">
        <v>13287</v>
      </c>
      <c r="E275" t="str">
        <f>+VLOOKUP(A275,[1]PFE4!$A$7:$F$5208,6,0)</f>
        <v>CARRERA 7 A  97  07</v>
      </c>
      <c r="F275" s="17">
        <f>+VLOOKUP(A275,[1]PFE4!$A$7:$G$5208,7,0)</f>
        <v>11001</v>
      </c>
      <c r="G275">
        <v>2482959</v>
      </c>
      <c r="H275">
        <v>4329</v>
      </c>
    </row>
    <row r="276" spans="1:8" ht="15" customHeight="1" x14ac:dyDescent="0.25">
      <c r="A276" t="s">
        <v>2520</v>
      </c>
      <c r="B276" t="s">
        <v>6571</v>
      </c>
      <c r="C276">
        <v>0</v>
      </c>
      <c r="D276" t="s">
        <v>13287</v>
      </c>
      <c r="E276">
        <v>0</v>
      </c>
      <c r="F276" s="17">
        <v>11001</v>
      </c>
      <c r="G276">
        <v>2500000</v>
      </c>
      <c r="H276">
        <v>4329</v>
      </c>
    </row>
    <row r="277" spans="1:8" ht="15" customHeight="1" x14ac:dyDescent="0.25">
      <c r="A277" t="s">
        <v>2521</v>
      </c>
      <c r="B277" t="s">
        <v>6572</v>
      </c>
      <c r="C277">
        <v>0</v>
      </c>
      <c r="D277" t="s">
        <v>13287</v>
      </c>
      <c r="E277">
        <v>0</v>
      </c>
      <c r="F277" s="17">
        <v>11001</v>
      </c>
      <c r="G277">
        <v>2500000</v>
      </c>
      <c r="H277">
        <v>4329</v>
      </c>
    </row>
    <row r="278" spans="1:8" ht="15" customHeight="1" x14ac:dyDescent="0.25">
      <c r="A278" t="s">
        <v>2522</v>
      </c>
      <c r="B278" t="s">
        <v>6573</v>
      </c>
      <c r="C278">
        <v>0</v>
      </c>
      <c r="D278" t="s">
        <v>13287</v>
      </c>
      <c r="E278">
        <v>0</v>
      </c>
      <c r="F278" s="17">
        <v>11001</v>
      </c>
      <c r="G278">
        <v>2500000</v>
      </c>
      <c r="H278">
        <v>4329</v>
      </c>
    </row>
    <row r="279" spans="1:8" ht="15" customHeight="1" x14ac:dyDescent="0.25">
      <c r="A279" t="s">
        <v>2523</v>
      </c>
      <c r="B279" t="s">
        <v>6574</v>
      </c>
      <c r="C279">
        <v>0</v>
      </c>
      <c r="D279" t="s">
        <v>13287</v>
      </c>
      <c r="E279">
        <v>0</v>
      </c>
      <c r="F279" s="17">
        <v>11001</v>
      </c>
      <c r="G279">
        <v>2500000</v>
      </c>
      <c r="H279">
        <v>4329</v>
      </c>
    </row>
    <row r="280" spans="1:8" ht="15" customHeight="1" x14ac:dyDescent="0.25">
      <c r="A280" t="s">
        <v>2524</v>
      </c>
      <c r="B280" t="s">
        <v>6575</v>
      </c>
      <c r="C280" t="s">
        <v>10411</v>
      </c>
      <c r="D280" t="s">
        <v>13287</v>
      </c>
      <c r="E280" t="str">
        <f>+VLOOKUP(A280,[1]PFE4!$A$7:$F$5208,6,0)</f>
        <v>AVENIDA 15  118  75</v>
      </c>
      <c r="F280" s="17">
        <f>+VLOOKUP(A280,[1]PFE4!$A$7:$G$5208,7,0)</f>
        <v>11001</v>
      </c>
      <c r="G280">
        <v>2554801</v>
      </c>
      <c r="H280">
        <v>4329</v>
      </c>
    </row>
    <row r="281" spans="1:8" ht="15" customHeight="1" x14ac:dyDescent="0.25">
      <c r="A281" t="s">
        <v>2525</v>
      </c>
      <c r="B281" t="s">
        <v>6576</v>
      </c>
      <c r="C281">
        <v>3219664011</v>
      </c>
      <c r="D281" t="s">
        <v>13287</v>
      </c>
      <c r="E281" t="str">
        <f>+VLOOKUP(A281,[1]PFE4!$A$7:$F$5208,6,0)</f>
        <v>CARRERA 2 B  26  49</v>
      </c>
      <c r="F281" s="17">
        <f>+VLOOKUP(A281,[1]PFE4!$A$7:$G$5208,7,0)</f>
        <v>11001</v>
      </c>
      <c r="G281">
        <v>2580000</v>
      </c>
      <c r="H281">
        <v>4329</v>
      </c>
    </row>
    <row r="282" spans="1:8" ht="15" customHeight="1" x14ac:dyDescent="0.25">
      <c r="A282" t="s">
        <v>2526</v>
      </c>
      <c r="B282" t="s">
        <v>6577</v>
      </c>
      <c r="C282">
        <v>0</v>
      </c>
      <c r="D282" t="s">
        <v>13287</v>
      </c>
      <c r="E282">
        <v>0</v>
      </c>
      <c r="F282" s="17">
        <v>11001</v>
      </c>
      <c r="G282">
        <v>2586100</v>
      </c>
      <c r="H282">
        <v>4329</v>
      </c>
    </row>
    <row r="283" spans="1:8" ht="15" customHeight="1" x14ac:dyDescent="0.25">
      <c r="A283" t="s">
        <v>2527</v>
      </c>
      <c r="B283" t="s">
        <v>6578</v>
      </c>
      <c r="C283">
        <v>0</v>
      </c>
      <c r="D283" t="s">
        <v>13287</v>
      </c>
      <c r="E283">
        <v>0</v>
      </c>
      <c r="F283" s="17">
        <v>11001</v>
      </c>
      <c r="G283">
        <v>2589217</v>
      </c>
      <c r="H283">
        <v>4329</v>
      </c>
    </row>
    <row r="284" spans="1:8" ht="15" customHeight="1" x14ac:dyDescent="0.25">
      <c r="A284" t="s">
        <v>2528</v>
      </c>
      <c r="B284" t="s">
        <v>6579</v>
      </c>
      <c r="C284">
        <v>0</v>
      </c>
      <c r="D284" t="s">
        <v>13287</v>
      </c>
      <c r="E284">
        <v>0</v>
      </c>
      <c r="F284" s="17">
        <v>11001</v>
      </c>
      <c r="G284">
        <v>3195219</v>
      </c>
      <c r="H284">
        <v>4329</v>
      </c>
    </row>
    <row r="285" spans="1:8" ht="15" customHeight="1" x14ac:dyDescent="0.25">
      <c r="A285" t="s">
        <v>2529</v>
      </c>
      <c r="B285" t="s">
        <v>6580</v>
      </c>
      <c r="C285">
        <v>0</v>
      </c>
      <c r="D285" t="s">
        <v>13287</v>
      </c>
      <c r="E285">
        <v>0</v>
      </c>
      <c r="F285" s="17">
        <v>11001</v>
      </c>
      <c r="G285">
        <v>2600000</v>
      </c>
      <c r="H285">
        <v>4329</v>
      </c>
    </row>
    <row r="286" spans="1:8" ht="15" customHeight="1" x14ac:dyDescent="0.25">
      <c r="A286" t="s">
        <v>2530</v>
      </c>
      <c r="B286" t="s">
        <v>6581</v>
      </c>
      <c r="C286">
        <v>0</v>
      </c>
      <c r="D286" t="s">
        <v>13287</v>
      </c>
      <c r="E286">
        <v>0</v>
      </c>
      <c r="F286" s="17">
        <v>11001</v>
      </c>
      <c r="G286">
        <v>3195219</v>
      </c>
      <c r="H286">
        <v>4329</v>
      </c>
    </row>
    <row r="287" spans="1:8" ht="15" customHeight="1" x14ac:dyDescent="0.25">
      <c r="A287" t="s">
        <v>2531</v>
      </c>
      <c r="B287" t="s">
        <v>6582</v>
      </c>
      <c r="C287" t="s">
        <v>10412</v>
      </c>
      <c r="D287" t="s">
        <v>13287</v>
      </c>
      <c r="E287" t="str">
        <f>+VLOOKUP(A287,[1]PFE4!$A$7:$F$5208,6,0)</f>
        <v>CR 5 B 127 A 78 O F 303</v>
      </c>
      <c r="F287" s="17">
        <f>+VLOOKUP(A287,[1]PFE4!$A$7:$G$5208,7,0)</f>
        <v>11001</v>
      </c>
      <c r="G287">
        <v>2605050</v>
      </c>
      <c r="H287">
        <v>4329</v>
      </c>
    </row>
    <row r="288" spans="1:8" ht="15" customHeight="1" x14ac:dyDescent="0.25">
      <c r="A288" t="s">
        <v>2532</v>
      </c>
      <c r="B288" t="s">
        <v>6583</v>
      </c>
      <c r="C288" t="s">
        <v>10413</v>
      </c>
      <c r="D288" t="s">
        <v>13287</v>
      </c>
      <c r="E288" t="str">
        <f>+VLOOKUP(A288,[1]PFE4!$A$7:$F$5208,6,0)</f>
        <v>CR 16 BIS 8 42</v>
      </c>
      <c r="F288" s="17">
        <f>+VLOOKUP(A288,[1]PFE4!$A$7:$G$5208,7,0)</f>
        <v>11001</v>
      </c>
      <c r="G288">
        <v>2631400</v>
      </c>
      <c r="H288">
        <v>4329</v>
      </c>
    </row>
    <row r="289" spans="1:8" ht="15" customHeight="1" x14ac:dyDescent="0.25">
      <c r="A289" t="s">
        <v>2533</v>
      </c>
      <c r="B289" t="s">
        <v>6584</v>
      </c>
      <c r="C289">
        <v>0</v>
      </c>
      <c r="D289" t="s">
        <v>13287</v>
      </c>
      <c r="E289">
        <v>0</v>
      </c>
      <c r="F289" s="17">
        <v>11001</v>
      </c>
      <c r="G289">
        <v>2651052</v>
      </c>
      <c r="H289">
        <v>4329</v>
      </c>
    </row>
    <row r="290" spans="1:8" ht="15" customHeight="1" x14ac:dyDescent="0.25">
      <c r="A290" t="s">
        <v>2534</v>
      </c>
      <c r="B290" t="s">
        <v>6585</v>
      </c>
      <c r="C290">
        <v>0</v>
      </c>
      <c r="D290" t="s">
        <v>13287</v>
      </c>
      <c r="E290">
        <v>0</v>
      </c>
      <c r="F290" s="17">
        <v>11001</v>
      </c>
      <c r="G290">
        <v>2712000</v>
      </c>
      <c r="H290">
        <v>4329</v>
      </c>
    </row>
    <row r="291" spans="1:8" ht="15" customHeight="1" x14ac:dyDescent="0.25">
      <c r="A291" t="s">
        <v>2535</v>
      </c>
      <c r="B291" t="s">
        <v>6586</v>
      </c>
      <c r="C291">
        <v>0</v>
      </c>
      <c r="D291" t="s">
        <v>13287</v>
      </c>
      <c r="E291">
        <v>0</v>
      </c>
      <c r="F291" s="17">
        <v>11001</v>
      </c>
      <c r="G291">
        <v>2720000</v>
      </c>
      <c r="H291">
        <v>4329</v>
      </c>
    </row>
    <row r="292" spans="1:8" ht="15" customHeight="1" x14ac:dyDescent="0.25">
      <c r="A292" t="s">
        <v>2536</v>
      </c>
      <c r="B292" t="s">
        <v>6587</v>
      </c>
      <c r="C292" t="s">
        <v>10414</v>
      </c>
      <c r="D292" t="s">
        <v>13287</v>
      </c>
      <c r="E292" t="str">
        <f>+VLOOKUP(A292,[1]PFE4!$A$7:$F$5208,6,0)</f>
        <v>TV 3 86 73</v>
      </c>
      <c r="F292" s="17">
        <f>+VLOOKUP(A292,[1]PFE4!$A$7:$G$5208,7,0)</f>
        <v>11001</v>
      </c>
      <c r="G292">
        <v>2725528</v>
      </c>
      <c r="H292">
        <v>4329</v>
      </c>
    </row>
    <row r="293" spans="1:8" ht="15" customHeight="1" x14ac:dyDescent="0.25">
      <c r="A293" t="s">
        <v>2537</v>
      </c>
      <c r="B293" t="s">
        <v>6588</v>
      </c>
      <c r="C293" t="s">
        <v>10415</v>
      </c>
      <c r="D293" t="s">
        <v>13287</v>
      </c>
      <c r="E293" t="str">
        <f>+VLOOKUP(A293,[1]PFE4!$A$7:$F$5208,6,0)</f>
        <v>AV DEL LIBERTADOR 15 61</v>
      </c>
      <c r="F293" s="17">
        <f>+VLOOKUP(A293,[1]PFE4!$A$7:$G$5208,7,0)</f>
        <v>11001</v>
      </c>
      <c r="G293">
        <v>2736177</v>
      </c>
      <c r="H293">
        <v>4329</v>
      </c>
    </row>
    <row r="294" spans="1:8" ht="15" customHeight="1" x14ac:dyDescent="0.25">
      <c r="A294" t="s">
        <v>2538</v>
      </c>
      <c r="B294" t="s">
        <v>6589</v>
      </c>
      <c r="C294">
        <v>0</v>
      </c>
      <c r="D294" t="s">
        <v>13287</v>
      </c>
      <c r="E294">
        <v>0</v>
      </c>
      <c r="F294" s="17">
        <v>11001</v>
      </c>
      <c r="G294">
        <v>2750000</v>
      </c>
      <c r="H294">
        <v>4329</v>
      </c>
    </row>
    <row r="295" spans="1:8" ht="15" customHeight="1" x14ac:dyDescent="0.25">
      <c r="A295" t="s">
        <v>2539</v>
      </c>
      <c r="B295" t="s">
        <v>6590</v>
      </c>
      <c r="C295">
        <v>0</v>
      </c>
      <c r="D295" t="s">
        <v>13287</v>
      </c>
      <c r="E295">
        <v>0</v>
      </c>
      <c r="F295" s="17">
        <v>11001</v>
      </c>
      <c r="G295">
        <v>2819260</v>
      </c>
      <c r="H295">
        <v>4329</v>
      </c>
    </row>
    <row r="296" spans="1:8" ht="15" customHeight="1" x14ac:dyDescent="0.25">
      <c r="A296" t="s">
        <v>2540</v>
      </c>
      <c r="B296" t="s">
        <v>6591</v>
      </c>
      <c r="C296" t="s">
        <v>10416</v>
      </c>
      <c r="D296" t="s">
        <v>13287</v>
      </c>
      <c r="E296" t="str">
        <f>+VLOOKUP(A296,[1]PFE4!$A$7:$F$5208,6,0)</f>
        <v>CALLE 74  28  23</v>
      </c>
      <c r="F296" s="17">
        <f>+VLOOKUP(A296,[1]PFE4!$A$7:$G$5208,7,0)</f>
        <v>68081</v>
      </c>
      <c r="G296">
        <v>2832725</v>
      </c>
      <c r="H296">
        <v>4329</v>
      </c>
    </row>
    <row r="297" spans="1:8" ht="15" customHeight="1" x14ac:dyDescent="0.25">
      <c r="A297" t="s">
        <v>2541</v>
      </c>
      <c r="B297" t="s">
        <v>6592</v>
      </c>
      <c r="C297">
        <v>0</v>
      </c>
      <c r="D297" t="s">
        <v>13287</v>
      </c>
      <c r="E297">
        <v>0</v>
      </c>
      <c r="F297" s="17">
        <v>11001</v>
      </c>
      <c r="G297">
        <v>2837600</v>
      </c>
      <c r="H297">
        <v>4329</v>
      </c>
    </row>
    <row r="298" spans="1:8" ht="15" customHeight="1" x14ac:dyDescent="0.25">
      <c r="A298" t="s">
        <v>2542</v>
      </c>
      <c r="B298" t="s">
        <v>6593</v>
      </c>
      <c r="C298" t="s">
        <v>10417</v>
      </c>
      <c r="D298" t="s">
        <v>13287</v>
      </c>
      <c r="E298" t="str">
        <f>+VLOOKUP(A298,[1]PFE4!$A$7:$F$5208,6,0)</f>
        <v>CL 17 SUR 30 70</v>
      </c>
      <c r="F298" s="17">
        <f>+VLOOKUP(A298,[1]PFE4!$A$7:$G$5208,7,0)</f>
        <v>11001</v>
      </c>
      <c r="G298">
        <v>2848860</v>
      </c>
      <c r="H298">
        <v>4329</v>
      </c>
    </row>
    <row r="299" spans="1:8" ht="15" customHeight="1" x14ac:dyDescent="0.25">
      <c r="A299" t="s">
        <v>2543</v>
      </c>
      <c r="B299" t="s">
        <v>6594</v>
      </c>
      <c r="C299">
        <v>0</v>
      </c>
      <c r="D299" t="s">
        <v>13287</v>
      </c>
      <c r="E299">
        <v>0</v>
      </c>
      <c r="F299" s="17">
        <v>11001</v>
      </c>
      <c r="G299">
        <v>2850000</v>
      </c>
      <c r="H299">
        <v>4329</v>
      </c>
    </row>
    <row r="300" spans="1:8" ht="15" customHeight="1" x14ac:dyDescent="0.25">
      <c r="A300" t="s">
        <v>2544</v>
      </c>
      <c r="B300" t="s">
        <v>6595</v>
      </c>
      <c r="C300" t="s">
        <v>10418</v>
      </c>
      <c r="D300" t="s">
        <v>13287</v>
      </c>
      <c r="E300" t="str">
        <f>+VLOOKUP(A300,[1]PFE4!$A$7:$F$5208,6,0)</f>
        <v>CR 49 52 61 PH ED TEQUENDAMA OF 1304</v>
      </c>
      <c r="F300" s="17" t="str">
        <f>+VLOOKUP(A300,[1]PFE4!$A$7:$G$5208,7,0)</f>
        <v>05266</v>
      </c>
      <c r="G300">
        <v>2853207</v>
      </c>
      <c r="H300">
        <v>4329</v>
      </c>
    </row>
    <row r="301" spans="1:8" ht="15" customHeight="1" x14ac:dyDescent="0.25">
      <c r="A301" t="s">
        <v>2545</v>
      </c>
      <c r="B301" t="s">
        <v>6596</v>
      </c>
      <c r="C301" t="s">
        <v>10419</v>
      </c>
      <c r="D301" t="s">
        <v>13287</v>
      </c>
      <c r="E301" t="str">
        <f>+VLOOKUP(A301,[1]PFE4!$A$7:$F$5208,6,0)</f>
        <v>CR 8  16 71 OF 204</v>
      </c>
      <c r="F301" s="17">
        <f>+VLOOKUP(A301,[1]PFE4!$A$7:$G$5208,7,0)</f>
        <v>66001</v>
      </c>
      <c r="G301">
        <v>2862590</v>
      </c>
      <c r="H301">
        <v>4329</v>
      </c>
    </row>
    <row r="302" spans="1:8" ht="15" customHeight="1" x14ac:dyDescent="0.25">
      <c r="A302" t="s">
        <v>2546</v>
      </c>
      <c r="B302" t="s">
        <v>6597</v>
      </c>
      <c r="C302">
        <v>3219664011</v>
      </c>
      <c r="D302" t="s">
        <v>13287</v>
      </c>
      <c r="E302" t="str">
        <f>+VLOOKUP(A302,[1]PFE4!$A$7:$F$5208,6,0)</f>
        <v>CR 71 D 12 C 60 TO 4 AP 1001</v>
      </c>
      <c r="F302" s="17">
        <f>+VLOOKUP(A302,[1]PFE4!$A$7:$G$5208,7,0)</f>
        <v>11001</v>
      </c>
      <c r="G302">
        <v>2907651</v>
      </c>
      <c r="H302">
        <v>4329</v>
      </c>
    </row>
    <row r="303" spans="1:8" ht="15" customHeight="1" x14ac:dyDescent="0.25">
      <c r="A303" t="s">
        <v>2547</v>
      </c>
      <c r="B303" t="s">
        <v>6598</v>
      </c>
      <c r="C303">
        <v>0</v>
      </c>
      <c r="D303" t="s">
        <v>13287</v>
      </c>
      <c r="E303">
        <v>0</v>
      </c>
      <c r="F303" s="17">
        <v>11001</v>
      </c>
      <c r="G303">
        <v>2918201</v>
      </c>
      <c r="H303">
        <v>4329</v>
      </c>
    </row>
    <row r="304" spans="1:8" ht="15" customHeight="1" x14ac:dyDescent="0.25">
      <c r="A304" t="s">
        <v>2548</v>
      </c>
      <c r="B304" t="s">
        <v>6599</v>
      </c>
      <c r="C304" t="s">
        <v>10420</v>
      </c>
      <c r="D304" t="s">
        <v>13287</v>
      </c>
      <c r="E304" t="str">
        <f>+VLOOKUP(A304,[1]PFE4!$A$7:$F$5208,6,0)</f>
        <v>CL 7 39 215 OF 501</v>
      </c>
      <c r="F304" s="17" t="str">
        <f>+VLOOKUP(A304,[1]PFE4!$A$7:$G$5208,7,0)</f>
        <v>05001</v>
      </c>
      <c r="G304">
        <v>2926530</v>
      </c>
      <c r="H304">
        <v>4329</v>
      </c>
    </row>
    <row r="305" spans="1:8" ht="15" customHeight="1" x14ac:dyDescent="0.25">
      <c r="A305" t="s">
        <v>2549</v>
      </c>
      <c r="B305" t="s">
        <v>6600</v>
      </c>
      <c r="C305">
        <v>0</v>
      </c>
      <c r="D305" t="s">
        <v>13287</v>
      </c>
      <c r="E305">
        <v>0</v>
      </c>
      <c r="F305" s="17">
        <v>11001</v>
      </c>
      <c r="G305">
        <v>2936400</v>
      </c>
      <c r="H305">
        <v>4329</v>
      </c>
    </row>
    <row r="306" spans="1:8" ht="15" customHeight="1" x14ac:dyDescent="0.25">
      <c r="A306" t="s">
        <v>2550</v>
      </c>
      <c r="B306" t="s">
        <v>6601</v>
      </c>
      <c r="C306" t="s">
        <v>10421</v>
      </c>
      <c r="D306" t="s">
        <v>13287</v>
      </c>
      <c r="E306" t="str">
        <f>+VLOOKUP(A306,[1]PFE4!$A$7:$F$5208,6,0)</f>
        <v>CARRERA 29 N 50 - 45</v>
      </c>
      <c r="F306" s="17">
        <f>+VLOOKUP(A306,[1]PFE4!$A$7:$G$5208,7,0)</f>
        <v>11001</v>
      </c>
      <c r="G306">
        <v>2941000</v>
      </c>
      <c r="H306">
        <v>4329</v>
      </c>
    </row>
    <row r="307" spans="1:8" ht="15" customHeight="1" x14ac:dyDescent="0.25">
      <c r="A307" t="s">
        <v>2551</v>
      </c>
      <c r="B307" t="s">
        <v>6602</v>
      </c>
      <c r="C307" t="s">
        <v>10422</v>
      </c>
      <c r="D307" t="s">
        <v>13287</v>
      </c>
      <c r="E307" t="str">
        <f>+VLOOKUP(A307,[1]PFE4!$A$7:$F$5208,6,0)</f>
        <v>CARRERA 13 B  148  73</v>
      </c>
      <c r="F307" s="17">
        <f>+VLOOKUP(A307,[1]PFE4!$A$7:$G$5208,7,0)</f>
        <v>11001</v>
      </c>
      <c r="G307">
        <v>2946013</v>
      </c>
      <c r="H307">
        <v>4329</v>
      </c>
    </row>
    <row r="308" spans="1:8" ht="15" customHeight="1" x14ac:dyDescent="0.25">
      <c r="A308" t="s">
        <v>2552</v>
      </c>
      <c r="B308" t="s">
        <v>6603</v>
      </c>
      <c r="C308" t="s">
        <v>10423</v>
      </c>
      <c r="D308" t="s">
        <v>13287</v>
      </c>
      <c r="E308" t="str">
        <f>+VLOOKUP(A308,[1]PFE4!$A$7:$F$5208,6,0)</f>
        <v>CL 153 99 50</v>
      </c>
      <c r="F308" s="17">
        <f>+VLOOKUP(A308,[1]PFE4!$A$7:$G$5208,7,0)</f>
        <v>11001</v>
      </c>
      <c r="G308">
        <v>2949738</v>
      </c>
      <c r="H308">
        <v>4329</v>
      </c>
    </row>
    <row r="309" spans="1:8" ht="15" customHeight="1" x14ac:dyDescent="0.25">
      <c r="A309" t="s">
        <v>2553</v>
      </c>
      <c r="B309" t="s">
        <v>6604</v>
      </c>
      <c r="C309">
        <v>0</v>
      </c>
      <c r="D309" t="s">
        <v>13287</v>
      </c>
      <c r="E309">
        <v>0</v>
      </c>
      <c r="F309" s="17">
        <v>11001</v>
      </c>
      <c r="G309">
        <v>2950000</v>
      </c>
      <c r="H309">
        <v>4329</v>
      </c>
    </row>
    <row r="310" spans="1:8" ht="15" customHeight="1" x14ac:dyDescent="0.25">
      <c r="A310" t="s">
        <v>2554</v>
      </c>
      <c r="B310" t="s">
        <v>6605</v>
      </c>
      <c r="C310">
        <v>0</v>
      </c>
      <c r="D310" t="s">
        <v>13287</v>
      </c>
      <c r="E310">
        <v>0</v>
      </c>
      <c r="F310" s="17">
        <v>11001</v>
      </c>
      <c r="G310">
        <v>3000000</v>
      </c>
      <c r="H310">
        <v>4329</v>
      </c>
    </row>
    <row r="311" spans="1:8" ht="15" customHeight="1" x14ac:dyDescent="0.25">
      <c r="A311" t="s">
        <v>2555</v>
      </c>
      <c r="B311" t="s">
        <v>6606</v>
      </c>
      <c r="C311" t="s">
        <v>10424</v>
      </c>
      <c r="D311" t="s">
        <v>13287</v>
      </c>
      <c r="E311" t="str">
        <f>+VLOOKUP(A311,[1]PFE4!$A$7:$F$5208,6,0)</f>
        <v>KM 4 VIA RETEN BUCARAMANGA</v>
      </c>
      <c r="F311" s="17">
        <f>+VLOOKUP(A311,[1]PFE4!$A$7:$G$5208,7,0)</f>
        <v>68081</v>
      </c>
      <c r="G311">
        <v>3015932</v>
      </c>
      <c r="H311">
        <v>4329</v>
      </c>
    </row>
    <row r="312" spans="1:8" ht="15" customHeight="1" x14ac:dyDescent="0.25">
      <c r="A312" t="s">
        <v>2556</v>
      </c>
      <c r="B312" t="s">
        <v>6607</v>
      </c>
      <c r="C312">
        <v>3219664011</v>
      </c>
      <c r="D312" t="s">
        <v>13287</v>
      </c>
      <c r="E312" t="str">
        <f>+VLOOKUP(A312,[1]PFE4!$A$7:$F$5208,6,0)</f>
        <v>CARRERA 47  22 A  85</v>
      </c>
      <c r="F312" s="17">
        <f>+VLOOKUP(A312,[1]PFE4!$A$7:$G$5208,7,0)</f>
        <v>11001</v>
      </c>
      <c r="G312">
        <v>3066460</v>
      </c>
      <c r="H312">
        <v>4329</v>
      </c>
    </row>
    <row r="313" spans="1:8" ht="15" customHeight="1" x14ac:dyDescent="0.25">
      <c r="A313" t="s">
        <v>2557</v>
      </c>
      <c r="B313" t="s">
        <v>6608</v>
      </c>
      <c r="C313">
        <v>0</v>
      </c>
      <c r="D313" t="s">
        <v>13287</v>
      </c>
      <c r="E313">
        <v>0</v>
      </c>
      <c r="F313" s="17">
        <v>11001</v>
      </c>
      <c r="G313">
        <v>3080000</v>
      </c>
      <c r="H313">
        <v>4329</v>
      </c>
    </row>
    <row r="314" spans="1:8" ht="15" customHeight="1" x14ac:dyDescent="0.25">
      <c r="A314" t="s">
        <v>2558</v>
      </c>
      <c r="B314" t="s">
        <v>6609</v>
      </c>
      <c r="C314">
        <v>0</v>
      </c>
      <c r="D314" t="s">
        <v>13287</v>
      </c>
      <c r="E314">
        <v>0</v>
      </c>
      <c r="F314" s="17">
        <v>11001</v>
      </c>
      <c r="G314">
        <v>3089600</v>
      </c>
      <c r="H314">
        <v>4329</v>
      </c>
    </row>
    <row r="315" spans="1:8" ht="15" customHeight="1" x14ac:dyDescent="0.25">
      <c r="A315" t="s">
        <v>2559</v>
      </c>
      <c r="B315" t="s">
        <v>6610</v>
      </c>
      <c r="C315">
        <v>0</v>
      </c>
      <c r="D315" t="s">
        <v>13287</v>
      </c>
      <c r="E315">
        <v>0</v>
      </c>
      <c r="F315" s="17">
        <v>11001</v>
      </c>
      <c r="G315">
        <v>3142692</v>
      </c>
      <c r="H315">
        <v>4329</v>
      </c>
    </row>
    <row r="316" spans="1:8" ht="15" customHeight="1" x14ac:dyDescent="0.25">
      <c r="A316" t="s">
        <v>2560</v>
      </c>
      <c r="B316" t="s">
        <v>6611</v>
      </c>
      <c r="C316" t="s">
        <v>10425</v>
      </c>
      <c r="D316" t="s">
        <v>13287</v>
      </c>
      <c r="E316" t="str">
        <f>+VLOOKUP(A316,[1]PFE4!$A$7:$F$5208,6,0)</f>
        <v>CALLE 130 A  7 B  44</v>
      </c>
      <c r="F316" s="17">
        <f>+VLOOKUP(A316,[1]PFE4!$A$7:$G$5208,7,0)</f>
        <v>11001</v>
      </c>
      <c r="G316">
        <v>3143168</v>
      </c>
      <c r="H316">
        <v>4329</v>
      </c>
    </row>
    <row r="317" spans="1:8" ht="15" customHeight="1" x14ac:dyDescent="0.25">
      <c r="A317" t="s">
        <v>2561</v>
      </c>
      <c r="B317" t="s">
        <v>6612</v>
      </c>
      <c r="C317" t="s">
        <v>10426</v>
      </c>
      <c r="D317" t="s">
        <v>13287</v>
      </c>
      <c r="E317" t="str">
        <f>+VLOOKUP(A317,[1]PFE4!$A$7:$F$5208,6,0)</f>
        <v>AVENIDA BOLIVAR  36 N  12</v>
      </c>
      <c r="F317" s="17">
        <f>+VLOOKUP(A317,[1]PFE4!$A$7:$G$5208,7,0)</f>
        <v>63001</v>
      </c>
      <c r="G317">
        <v>3166950</v>
      </c>
      <c r="H317">
        <v>4329</v>
      </c>
    </row>
    <row r="318" spans="1:8" ht="15" customHeight="1" x14ac:dyDescent="0.25">
      <c r="A318" t="s">
        <v>2562</v>
      </c>
      <c r="B318" t="s">
        <v>6613</v>
      </c>
      <c r="C318" t="s">
        <v>10427</v>
      </c>
      <c r="D318" t="s">
        <v>13287</v>
      </c>
      <c r="E318" t="str">
        <f>+VLOOKUP(A318,[1]PFE4!$A$7:$F$5208,6,0)</f>
        <v>CARRERA 4 A 21 C 7 BRR LA CEIBA</v>
      </c>
      <c r="F318" s="17">
        <f>+VLOOKUP(A318,[1]PFE4!$A$7:$G$5208,7,0)</f>
        <v>17174</v>
      </c>
      <c r="G318">
        <v>3220000</v>
      </c>
      <c r="H318">
        <v>4329</v>
      </c>
    </row>
    <row r="319" spans="1:8" ht="15" customHeight="1" x14ac:dyDescent="0.25">
      <c r="A319" t="s">
        <v>2563</v>
      </c>
      <c r="B319" t="s">
        <v>6614</v>
      </c>
      <c r="C319" t="s">
        <v>10428</v>
      </c>
      <c r="D319" t="s">
        <v>13287</v>
      </c>
      <c r="E319" t="str">
        <f>+VLOOKUP(A319,[1]PFE4!$A$7:$F$5208,6,0)</f>
        <v>CL 15 16 22 CENTRO</v>
      </c>
      <c r="F319" s="17">
        <f>+VLOOKUP(A319,[1]PFE4!$A$7:$G$5208,7,0)</f>
        <v>15238</v>
      </c>
      <c r="G319">
        <v>3248541</v>
      </c>
      <c r="H319">
        <v>4329</v>
      </c>
    </row>
    <row r="320" spans="1:8" ht="15" customHeight="1" x14ac:dyDescent="0.25">
      <c r="A320" t="s">
        <v>2564</v>
      </c>
      <c r="B320" t="s">
        <v>6615</v>
      </c>
      <c r="C320" t="s">
        <v>10429</v>
      </c>
      <c r="D320" t="s">
        <v>13287</v>
      </c>
      <c r="E320" t="str">
        <f>+VLOOKUP(A320,[1]PFE4!$A$7:$F$5208,6,0)</f>
        <v>CL 77 9 92</v>
      </c>
      <c r="F320" s="17">
        <f>+VLOOKUP(A320,[1]PFE4!$A$7:$G$5208,7,0)</f>
        <v>11001</v>
      </c>
      <c r="G320">
        <v>3259240</v>
      </c>
      <c r="H320">
        <v>4329</v>
      </c>
    </row>
    <row r="321" spans="1:8" ht="15" customHeight="1" x14ac:dyDescent="0.25">
      <c r="A321" t="s">
        <v>2565</v>
      </c>
      <c r="B321" t="s">
        <v>6616</v>
      </c>
      <c r="C321">
        <v>0</v>
      </c>
      <c r="D321" t="s">
        <v>13287</v>
      </c>
      <c r="E321">
        <v>0</v>
      </c>
      <c r="F321" s="17">
        <v>11001</v>
      </c>
      <c r="G321">
        <v>3265200</v>
      </c>
      <c r="H321">
        <v>4329</v>
      </c>
    </row>
    <row r="322" spans="1:8" ht="15" customHeight="1" x14ac:dyDescent="0.25">
      <c r="A322" t="s">
        <v>2566</v>
      </c>
      <c r="B322" t="s">
        <v>6617</v>
      </c>
      <c r="C322">
        <v>0</v>
      </c>
      <c r="D322" t="s">
        <v>13287</v>
      </c>
      <c r="E322">
        <v>0</v>
      </c>
      <c r="F322" s="17">
        <v>11001</v>
      </c>
      <c r="G322">
        <v>3276320</v>
      </c>
      <c r="H322">
        <v>4329</v>
      </c>
    </row>
    <row r="323" spans="1:8" ht="15" customHeight="1" x14ac:dyDescent="0.25">
      <c r="A323" t="s">
        <v>2567</v>
      </c>
      <c r="B323" t="s">
        <v>6618</v>
      </c>
      <c r="C323" t="s">
        <v>10430</v>
      </c>
      <c r="D323" t="s">
        <v>13287</v>
      </c>
      <c r="E323" t="str">
        <f>+VLOOKUP(A323,[1]PFE4!$A$7:$F$5208,6,0)</f>
        <v>CALLE 72 SUR N° 34-350 SABANETA</v>
      </c>
      <c r="F323" s="17" t="str">
        <f>+VLOOKUP(A323,[1]PFE4!$A$7:$G$5208,7,0)</f>
        <v>05631</v>
      </c>
      <c r="G323">
        <v>3287100</v>
      </c>
      <c r="H323">
        <v>4329</v>
      </c>
    </row>
    <row r="324" spans="1:8" ht="15" customHeight="1" x14ac:dyDescent="0.25">
      <c r="A324" t="s">
        <v>2568</v>
      </c>
      <c r="B324" t="s">
        <v>6619</v>
      </c>
      <c r="C324">
        <v>0</v>
      </c>
      <c r="D324" t="s">
        <v>13287</v>
      </c>
      <c r="E324">
        <v>0</v>
      </c>
      <c r="F324" s="17">
        <v>11001</v>
      </c>
      <c r="G324">
        <v>3945219</v>
      </c>
      <c r="H324">
        <v>4329</v>
      </c>
    </row>
    <row r="325" spans="1:8" ht="15" customHeight="1" x14ac:dyDescent="0.25">
      <c r="A325" t="s">
        <v>2569</v>
      </c>
      <c r="B325" t="s">
        <v>6620</v>
      </c>
      <c r="C325" t="s">
        <v>10431</v>
      </c>
      <c r="D325" t="s">
        <v>13287</v>
      </c>
      <c r="E325" t="str">
        <f>+VLOOKUP(A325,[1]PFE4!$A$7:$F$5208,6,0)</f>
        <v>CL 49 27 A 65 P 7 ED KBC</v>
      </c>
      <c r="F325" s="17" t="str">
        <f>+VLOOKUP(A325,[1]PFE4!$A$7:$G$5208,7,0)</f>
        <v>05001</v>
      </c>
      <c r="G325">
        <v>3405960</v>
      </c>
      <c r="H325">
        <v>4329</v>
      </c>
    </row>
    <row r="326" spans="1:8" ht="15" customHeight="1" x14ac:dyDescent="0.25">
      <c r="A326" t="s">
        <v>2570</v>
      </c>
      <c r="B326" t="s">
        <v>6621</v>
      </c>
      <c r="C326" t="s">
        <v>10432</v>
      </c>
      <c r="D326" t="s">
        <v>13287</v>
      </c>
      <c r="E326" t="str">
        <f>+VLOOKUP(A326,[1]PFE4!$A$7:$F$5208,6,0)</f>
        <v>CR 34 NO. 49 B-11 BRR CAUDAL</v>
      </c>
      <c r="F326" s="17">
        <f>+VLOOKUP(A326,[1]PFE4!$A$7:$G$5208,7,0)</f>
        <v>50001</v>
      </c>
      <c r="G326">
        <v>3465000</v>
      </c>
      <c r="H326">
        <v>4329</v>
      </c>
    </row>
    <row r="327" spans="1:8" ht="15" customHeight="1" x14ac:dyDescent="0.25">
      <c r="A327" t="s">
        <v>2571</v>
      </c>
      <c r="B327" t="s">
        <v>6622</v>
      </c>
      <c r="C327" t="s">
        <v>10433</v>
      </c>
      <c r="D327" t="s">
        <v>13287</v>
      </c>
      <c r="E327" t="str">
        <f>+VLOOKUP(A327,[1]PFE4!$A$7:$F$5208,6,0)</f>
        <v>CR 4 5 123 BRR BOCAGRANDE</v>
      </c>
      <c r="F327" s="17">
        <f>+VLOOKUP(A327,[1]PFE4!$A$7:$G$5208,7,0)</f>
        <v>13001</v>
      </c>
      <c r="G327">
        <v>3494900</v>
      </c>
      <c r="H327">
        <v>4329</v>
      </c>
    </row>
    <row r="328" spans="1:8" ht="15" customHeight="1" x14ac:dyDescent="0.25">
      <c r="A328" t="s">
        <v>2572</v>
      </c>
      <c r="B328" t="s">
        <v>6623</v>
      </c>
      <c r="C328" t="s">
        <v>10434</v>
      </c>
      <c r="D328" t="s">
        <v>13287</v>
      </c>
      <c r="E328" t="str">
        <f>+VLOOKUP(A328,[1]PFE4!$A$7:$F$5208,6,0)</f>
        <v>CR 40 42 69 AP 1101 ED ALTOS DEL PINAR</v>
      </c>
      <c r="F328" s="17">
        <f>+VLOOKUP(A328,[1]PFE4!$A$7:$G$5208,7,0)</f>
        <v>68001</v>
      </c>
      <c r="G328">
        <v>3561700</v>
      </c>
      <c r="H328">
        <v>4329</v>
      </c>
    </row>
    <row r="329" spans="1:8" ht="15" customHeight="1" x14ac:dyDescent="0.25">
      <c r="A329" t="s">
        <v>2573</v>
      </c>
      <c r="B329" t="s">
        <v>6624</v>
      </c>
      <c r="C329" t="s">
        <v>10435</v>
      </c>
      <c r="D329" t="s">
        <v>13287</v>
      </c>
      <c r="E329" t="str">
        <f>+VLOOKUP(A329,[1]PFE4!$A$7:$F$5208,6,0)</f>
        <v>CARRERA 7 B  127 D  40</v>
      </c>
      <c r="F329" s="17">
        <f>+VLOOKUP(A329,[1]PFE4!$A$7:$G$5208,7,0)</f>
        <v>11001</v>
      </c>
      <c r="G329">
        <v>3593801</v>
      </c>
      <c r="H329">
        <v>4329</v>
      </c>
    </row>
    <row r="330" spans="1:8" ht="15" customHeight="1" x14ac:dyDescent="0.25">
      <c r="A330" t="s">
        <v>2574</v>
      </c>
      <c r="B330" t="s">
        <v>6625</v>
      </c>
      <c r="C330">
        <v>0</v>
      </c>
      <c r="D330" t="s">
        <v>13287</v>
      </c>
      <c r="E330">
        <v>0</v>
      </c>
      <c r="F330" s="17">
        <v>11001</v>
      </c>
      <c r="G330">
        <v>3596100</v>
      </c>
      <c r="H330">
        <v>4329</v>
      </c>
    </row>
    <row r="331" spans="1:8" ht="15" customHeight="1" x14ac:dyDescent="0.25">
      <c r="A331" t="s">
        <v>2575</v>
      </c>
      <c r="B331" t="s">
        <v>6626</v>
      </c>
      <c r="C331" t="s">
        <v>10436</v>
      </c>
      <c r="D331" t="s">
        <v>13287</v>
      </c>
      <c r="E331" t="str">
        <f>+VLOOKUP(A331,[1]PFE4!$A$7:$F$5208,6,0)</f>
        <v>CALLE 9  9  28</v>
      </c>
      <c r="F331" s="17">
        <f>+VLOOKUP(A331,[1]PFE4!$A$7:$G$5208,7,0)</f>
        <v>41001</v>
      </c>
      <c r="G331">
        <v>3702229</v>
      </c>
      <c r="H331">
        <v>4329</v>
      </c>
    </row>
    <row r="332" spans="1:8" ht="15" customHeight="1" x14ac:dyDescent="0.25">
      <c r="A332" t="s">
        <v>2576</v>
      </c>
      <c r="B332" t="s">
        <v>6627</v>
      </c>
      <c r="C332">
        <v>3219664011</v>
      </c>
      <c r="D332" t="s">
        <v>13287</v>
      </c>
      <c r="E332" t="str">
        <f>+VLOOKUP(A332,[1]PFE4!$A$7:$F$5208,6,0)</f>
        <v>CR 15 BIS 11 38 ED VITRA LC 1 LOS ALPES</v>
      </c>
      <c r="F332" s="17">
        <f>+VLOOKUP(A332,[1]PFE4!$A$7:$G$5208,7,0)</f>
        <v>11001</v>
      </c>
      <c r="G332">
        <v>3702715</v>
      </c>
      <c r="H332">
        <v>4329</v>
      </c>
    </row>
    <row r="333" spans="1:8" ht="15" customHeight="1" x14ac:dyDescent="0.25">
      <c r="A333" t="s">
        <v>2577</v>
      </c>
      <c r="B333" t="s">
        <v>6628</v>
      </c>
      <c r="C333" t="s">
        <v>10437</v>
      </c>
      <c r="D333" t="s">
        <v>13287</v>
      </c>
      <c r="E333" t="str">
        <f>+VLOOKUP(A333,[1]PFE4!$A$7:$F$5208,6,0)</f>
        <v>CALLE 82  58  41</v>
      </c>
      <c r="F333" s="17" t="str">
        <f>+VLOOKUP(A333,[1]PFE4!$A$7:$G$5208,7,0)</f>
        <v>08001</v>
      </c>
      <c r="G333">
        <v>3703624</v>
      </c>
      <c r="H333">
        <v>4329</v>
      </c>
    </row>
    <row r="334" spans="1:8" ht="15" customHeight="1" x14ac:dyDescent="0.25">
      <c r="A334" t="s">
        <v>2578</v>
      </c>
      <c r="B334" t="s">
        <v>6629</v>
      </c>
      <c r="C334" t="s">
        <v>10438</v>
      </c>
      <c r="D334" t="s">
        <v>13287</v>
      </c>
      <c r="E334" t="str">
        <f>+VLOOKUP(A334,[1]PFE4!$A$7:$F$5208,6,0)</f>
        <v>CL 64 A 94 B 47 IN 301</v>
      </c>
      <c r="F334" s="17" t="str">
        <f>+VLOOKUP(A334,[1]PFE4!$A$7:$G$5208,7,0)</f>
        <v>05001</v>
      </c>
      <c r="G334">
        <v>3711930</v>
      </c>
      <c r="H334">
        <v>4329</v>
      </c>
    </row>
    <row r="335" spans="1:8" ht="15" customHeight="1" x14ac:dyDescent="0.25">
      <c r="A335" t="s">
        <v>2579</v>
      </c>
      <c r="B335" t="s">
        <v>6630</v>
      </c>
      <c r="C335">
        <v>0</v>
      </c>
      <c r="D335" t="s">
        <v>13287</v>
      </c>
      <c r="E335">
        <v>0</v>
      </c>
      <c r="F335" s="17">
        <v>11001</v>
      </c>
      <c r="G335">
        <v>3720000</v>
      </c>
      <c r="H335">
        <v>4329</v>
      </c>
    </row>
    <row r="336" spans="1:8" ht="15" customHeight="1" x14ac:dyDescent="0.25">
      <c r="A336" t="s">
        <v>2580</v>
      </c>
      <c r="B336" t="s">
        <v>6631</v>
      </c>
      <c r="C336">
        <v>0</v>
      </c>
      <c r="D336" t="s">
        <v>13287</v>
      </c>
      <c r="E336">
        <v>0</v>
      </c>
      <c r="F336" s="17">
        <v>11001</v>
      </c>
      <c r="G336">
        <v>3720000</v>
      </c>
      <c r="H336">
        <v>4329</v>
      </c>
    </row>
    <row r="337" spans="1:8" ht="15" customHeight="1" x14ac:dyDescent="0.25">
      <c r="A337" t="s">
        <v>2581</v>
      </c>
      <c r="B337" t="s">
        <v>6632</v>
      </c>
      <c r="C337" t="s">
        <v>10439</v>
      </c>
      <c r="D337" t="s">
        <v>13287</v>
      </c>
      <c r="E337" t="str">
        <f>+VLOOKUP(A337,[1]PFE4!$A$7:$F$5208,6,0)</f>
        <v>CALLE 7  9 E  42</v>
      </c>
      <c r="F337" s="17">
        <f>+VLOOKUP(A337,[1]PFE4!$A$7:$G$5208,7,0)</f>
        <v>54001</v>
      </c>
      <c r="G337">
        <v>3751020</v>
      </c>
      <c r="H337">
        <v>4329</v>
      </c>
    </row>
    <row r="338" spans="1:8" ht="15" customHeight="1" x14ac:dyDescent="0.25">
      <c r="A338" t="s">
        <v>2582</v>
      </c>
      <c r="B338" t="s">
        <v>6633</v>
      </c>
      <c r="C338" t="s">
        <v>10440</v>
      </c>
      <c r="D338" t="s">
        <v>13287</v>
      </c>
      <c r="E338" t="str">
        <f>+VLOOKUP(A338,[1]PFE4!$A$7:$F$5208,6,0)</f>
        <v>CR 64 C 84 260 ED VIVERDI APTDO 503</v>
      </c>
      <c r="F338" s="17" t="str">
        <f>+VLOOKUP(A338,[1]PFE4!$A$7:$G$5208,7,0)</f>
        <v>08001</v>
      </c>
      <c r="G338">
        <v>3777962</v>
      </c>
      <c r="H338">
        <v>4329</v>
      </c>
    </row>
    <row r="339" spans="1:8" ht="15" customHeight="1" x14ac:dyDescent="0.25">
      <c r="A339" t="s">
        <v>2583</v>
      </c>
      <c r="B339" t="s">
        <v>6634</v>
      </c>
      <c r="C339" t="s">
        <v>10441</v>
      </c>
      <c r="D339" t="s">
        <v>13287</v>
      </c>
      <c r="E339" t="str">
        <f>+VLOOKUP(A339,[1]PFE4!$A$7:$F$5208,6,0)</f>
        <v>CALLE 15  8  60</v>
      </c>
      <c r="F339" s="17">
        <f>+VLOOKUP(A339,[1]PFE4!$A$7:$G$5208,7,0)</f>
        <v>15238</v>
      </c>
      <c r="G339">
        <v>3800798</v>
      </c>
      <c r="H339">
        <v>4329</v>
      </c>
    </row>
    <row r="340" spans="1:8" ht="15" customHeight="1" x14ac:dyDescent="0.25">
      <c r="A340" t="s">
        <v>2584</v>
      </c>
      <c r="B340" t="s">
        <v>6635</v>
      </c>
      <c r="C340" t="s">
        <v>10442</v>
      </c>
      <c r="D340" t="s">
        <v>13287</v>
      </c>
      <c r="E340" t="str">
        <f>+VLOOKUP(A340,[1]PFE4!$A$7:$F$5208,6,0)</f>
        <v>CR 70 C 117 22</v>
      </c>
      <c r="F340" s="17">
        <f>+VLOOKUP(A340,[1]PFE4!$A$7:$G$5208,7,0)</f>
        <v>17001</v>
      </c>
      <c r="G340">
        <v>3817800</v>
      </c>
      <c r="H340">
        <v>4329</v>
      </c>
    </row>
    <row r="341" spans="1:8" ht="15" customHeight="1" x14ac:dyDescent="0.25">
      <c r="A341" t="s">
        <v>2585</v>
      </c>
      <c r="B341" t="s">
        <v>6636</v>
      </c>
      <c r="C341" t="s">
        <v>10443</v>
      </c>
      <c r="D341" t="s">
        <v>13287</v>
      </c>
      <c r="E341" t="str">
        <f>+VLOOKUP(A341,[1]PFE4!$A$7:$F$5208,6,0)</f>
        <v>LOTE 18 CONDOMINIOS LAGOS DEL PEÑON</v>
      </c>
      <c r="F341" s="17">
        <f>+VLOOKUP(A341,[1]PFE4!$A$7:$G$5208,7,0)</f>
        <v>25307</v>
      </c>
      <c r="G341">
        <v>3876549</v>
      </c>
      <c r="H341">
        <v>4329</v>
      </c>
    </row>
    <row r="342" spans="1:8" ht="15" customHeight="1" x14ac:dyDescent="0.25">
      <c r="A342" t="s">
        <v>2586</v>
      </c>
      <c r="B342" t="s">
        <v>6637</v>
      </c>
      <c r="C342" t="s">
        <v>10444</v>
      </c>
      <c r="D342" t="s">
        <v>13287</v>
      </c>
      <c r="E342" t="str">
        <f>+VLOOKUP(A342,[1]PFE4!$A$7:$F$5208,6,0)</f>
        <v>CL 61 7 75 BRR LA CASTELLANA</v>
      </c>
      <c r="F342" s="17">
        <f>+VLOOKUP(A342,[1]PFE4!$A$7:$G$5208,7,0)</f>
        <v>11001</v>
      </c>
      <c r="G342">
        <v>3919473</v>
      </c>
      <c r="H342">
        <v>4329</v>
      </c>
    </row>
    <row r="343" spans="1:8" ht="15" customHeight="1" x14ac:dyDescent="0.25">
      <c r="A343" t="s">
        <v>2587</v>
      </c>
      <c r="B343" t="s">
        <v>6638</v>
      </c>
      <c r="C343" t="s">
        <v>10445</v>
      </c>
      <c r="D343" t="s">
        <v>13287</v>
      </c>
      <c r="E343" t="str">
        <f>+VLOOKUP(A343,[1]PFE4!$A$7:$F$5208,6,0)</f>
        <v>CL 20 42 A 122 BRR MORASURCO</v>
      </c>
      <c r="F343" s="17">
        <f>+VLOOKUP(A343,[1]PFE4!$A$7:$G$5208,7,0)</f>
        <v>11001</v>
      </c>
      <c r="G343">
        <v>3921030</v>
      </c>
      <c r="H343">
        <v>4329</v>
      </c>
    </row>
    <row r="344" spans="1:8" ht="15" customHeight="1" x14ac:dyDescent="0.25">
      <c r="A344" t="s">
        <v>2588</v>
      </c>
      <c r="B344" t="s">
        <v>6639</v>
      </c>
      <c r="C344" t="s">
        <v>10446</v>
      </c>
      <c r="D344" t="s">
        <v>13287</v>
      </c>
      <c r="E344" t="str">
        <f>+VLOOKUP(A344,[1]PFE4!$A$7:$F$5208,6,0)</f>
        <v>CR 14 56 27</v>
      </c>
      <c r="F344" s="17">
        <f>+VLOOKUP(A344,[1]PFE4!$A$7:$G$5208,7,0)</f>
        <v>11001</v>
      </c>
      <c r="G344">
        <v>3960455</v>
      </c>
      <c r="H344">
        <v>4329</v>
      </c>
    </row>
    <row r="345" spans="1:8" ht="15" customHeight="1" x14ac:dyDescent="0.25">
      <c r="A345" t="s">
        <v>2589</v>
      </c>
      <c r="B345" t="s">
        <v>6640</v>
      </c>
      <c r="C345">
        <v>0</v>
      </c>
      <c r="D345" t="s">
        <v>13287</v>
      </c>
      <c r="E345">
        <v>0</v>
      </c>
      <c r="F345" s="17">
        <v>11001</v>
      </c>
      <c r="G345">
        <v>3966800</v>
      </c>
      <c r="H345">
        <v>4329</v>
      </c>
    </row>
    <row r="346" spans="1:8" ht="15" customHeight="1" x14ac:dyDescent="0.25">
      <c r="A346" t="s">
        <v>2590</v>
      </c>
      <c r="B346" t="s">
        <v>6641</v>
      </c>
      <c r="C346">
        <v>3219664011</v>
      </c>
      <c r="D346" t="s">
        <v>13287</v>
      </c>
      <c r="E346" t="str">
        <f>+VLOOKUP(A346,[1]PFE4!$A$7:$F$5208,6,0)</f>
        <v>CR 56 96 20 OF</v>
      </c>
      <c r="F346" s="17" t="str">
        <f>+VLOOKUP(A346,[1]PFE4!$A$7:$G$5208,7,0)</f>
        <v>08001</v>
      </c>
      <c r="G346">
        <v>4004925</v>
      </c>
      <c r="H346">
        <v>4329</v>
      </c>
    </row>
    <row r="347" spans="1:8" ht="15" customHeight="1" x14ac:dyDescent="0.25">
      <c r="A347" t="s">
        <v>2591</v>
      </c>
      <c r="B347" t="s">
        <v>6642</v>
      </c>
      <c r="C347" t="s">
        <v>10447</v>
      </c>
      <c r="D347" t="s">
        <v>13287</v>
      </c>
      <c r="E347" t="str">
        <f>+VLOOKUP(A347,[1]PFE4!$A$7:$F$5208,6,0)</f>
        <v>CARRERA 14 # 18- 13</v>
      </c>
      <c r="F347" s="17">
        <f>+VLOOKUP(A347,[1]PFE4!$A$7:$G$5208,7,0)</f>
        <v>66682</v>
      </c>
      <c r="G347">
        <v>4008000</v>
      </c>
      <c r="H347">
        <v>4329</v>
      </c>
    </row>
    <row r="348" spans="1:8" ht="15" customHeight="1" x14ac:dyDescent="0.25">
      <c r="A348" t="s">
        <v>2592</v>
      </c>
      <c r="B348" t="s">
        <v>6643</v>
      </c>
      <c r="C348" t="s">
        <v>10448</v>
      </c>
      <c r="D348" t="s">
        <v>13287</v>
      </c>
      <c r="E348" t="str">
        <f>+VLOOKUP(A348,[1]PFE4!$A$7:$F$5208,6,0)</f>
        <v>CALLE 12  6 A E  82</v>
      </c>
      <c r="F348" s="17">
        <f>+VLOOKUP(A348,[1]PFE4!$A$7:$G$5208,7,0)</f>
        <v>11001</v>
      </c>
      <c r="G348">
        <v>4008438</v>
      </c>
      <c r="H348">
        <v>4329</v>
      </c>
    </row>
    <row r="349" spans="1:8" ht="15" customHeight="1" x14ac:dyDescent="0.25">
      <c r="A349" t="s">
        <v>2593</v>
      </c>
      <c r="B349" t="s">
        <v>6644</v>
      </c>
      <c r="C349">
        <v>0</v>
      </c>
      <c r="D349" t="s">
        <v>13287</v>
      </c>
      <c r="E349">
        <v>0</v>
      </c>
      <c r="F349" s="17">
        <v>11001</v>
      </c>
      <c r="G349">
        <v>4011000</v>
      </c>
      <c r="H349">
        <v>4329</v>
      </c>
    </row>
    <row r="350" spans="1:8" ht="15" customHeight="1" x14ac:dyDescent="0.25">
      <c r="A350" t="s">
        <v>2594</v>
      </c>
      <c r="B350" t="s">
        <v>6645</v>
      </c>
      <c r="C350">
        <v>0</v>
      </c>
      <c r="D350" t="s">
        <v>13287</v>
      </c>
      <c r="E350">
        <v>0</v>
      </c>
      <c r="F350" s="17">
        <v>11001</v>
      </c>
      <c r="G350">
        <v>4020000</v>
      </c>
      <c r="H350">
        <v>4329</v>
      </c>
    </row>
    <row r="351" spans="1:8" ht="15" customHeight="1" x14ac:dyDescent="0.25">
      <c r="A351" t="s">
        <v>2595</v>
      </c>
      <c r="B351" t="s">
        <v>6646</v>
      </c>
      <c r="C351" t="s">
        <v>10449</v>
      </c>
      <c r="D351" t="s">
        <v>13287</v>
      </c>
      <c r="E351" t="str">
        <f>+VLOOKUP(A351,[1]PFE4!$A$7:$F$5208,6,0)</f>
        <v>CARRERA 6 A  24 N  73</v>
      </c>
      <c r="F351" s="17">
        <f>+VLOOKUP(A351,[1]PFE4!$A$7:$G$5208,7,0)</f>
        <v>19001</v>
      </c>
      <c r="G351">
        <v>4031081</v>
      </c>
      <c r="H351">
        <v>4329</v>
      </c>
    </row>
    <row r="352" spans="1:8" ht="15" customHeight="1" x14ac:dyDescent="0.25">
      <c r="A352" t="s">
        <v>2596</v>
      </c>
      <c r="B352" t="s">
        <v>6647</v>
      </c>
      <c r="C352" t="s">
        <v>10450</v>
      </c>
      <c r="D352" t="s">
        <v>13287</v>
      </c>
      <c r="E352" t="str">
        <f>+VLOOKUP(A352,[1]PFE4!$A$7:$F$5208,6,0)</f>
        <v>CARRERA 20  137  67</v>
      </c>
      <c r="F352" s="17">
        <f>+VLOOKUP(A352,[1]PFE4!$A$7:$G$5208,7,0)</f>
        <v>11001</v>
      </c>
      <c r="G352">
        <v>4037760</v>
      </c>
      <c r="H352">
        <v>4329</v>
      </c>
    </row>
    <row r="353" spans="1:8" ht="15" customHeight="1" x14ac:dyDescent="0.25">
      <c r="A353" t="s">
        <v>2597</v>
      </c>
      <c r="B353" t="s">
        <v>6648</v>
      </c>
      <c r="C353" t="s">
        <v>10451</v>
      </c>
      <c r="D353" t="s">
        <v>13287</v>
      </c>
      <c r="E353" t="str">
        <f>+VLOOKUP(A353,[1]PFE4!$A$7:$F$5208,6,0)</f>
        <v>CR 108 14 A 40 ESQ</v>
      </c>
      <c r="F353" s="17">
        <f>+VLOOKUP(A353,[1]PFE4!$A$7:$G$5208,7,0)</f>
        <v>11001</v>
      </c>
      <c r="G353">
        <v>4061430</v>
      </c>
      <c r="H353">
        <v>4329</v>
      </c>
    </row>
    <row r="354" spans="1:8" ht="15" customHeight="1" x14ac:dyDescent="0.25">
      <c r="A354" t="s">
        <v>2598</v>
      </c>
      <c r="B354" t="s">
        <v>6649</v>
      </c>
      <c r="C354" t="s">
        <v>10452</v>
      </c>
      <c r="D354" t="s">
        <v>13287</v>
      </c>
      <c r="E354" t="str">
        <f>+VLOOKUP(A354,[1]PFE4!$A$7:$F$5208,6,0)</f>
        <v>CARRERA 121 B No. 5 - 80</v>
      </c>
      <c r="F354" s="17">
        <f>+VLOOKUP(A354,[1]PFE4!$A$7:$G$5208,7,0)</f>
        <v>76001</v>
      </c>
      <c r="G354">
        <v>4070000</v>
      </c>
      <c r="H354">
        <v>4329</v>
      </c>
    </row>
    <row r="355" spans="1:8" ht="15" customHeight="1" x14ac:dyDescent="0.25">
      <c r="A355" t="s">
        <v>2599</v>
      </c>
      <c r="B355" t="s">
        <v>6650</v>
      </c>
      <c r="C355">
        <v>0</v>
      </c>
      <c r="D355" t="s">
        <v>13287</v>
      </c>
      <c r="E355">
        <v>0</v>
      </c>
      <c r="F355" s="17">
        <v>11001</v>
      </c>
      <c r="G355">
        <v>4078900</v>
      </c>
      <c r="H355">
        <v>4329</v>
      </c>
    </row>
    <row r="356" spans="1:8" ht="15" customHeight="1" x14ac:dyDescent="0.25">
      <c r="A356" t="s">
        <v>2600</v>
      </c>
      <c r="B356" t="s">
        <v>6651</v>
      </c>
      <c r="C356" t="s">
        <v>10453</v>
      </c>
      <c r="D356" t="s">
        <v>13287</v>
      </c>
      <c r="E356" t="str">
        <f>+VLOOKUP(A356,[1]PFE4!$A$7:$F$5208,6,0)</f>
        <v>CARRERA 13  16  47</v>
      </c>
      <c r="F356" s="17">
        <f>+VLOOKUP(A356,[1]PFE4!$A$7:$G$5208,7,0)</f>
        <v>63001</v>
      </c>
      <c r="G356">
        <v>4111500</v>
      </c>
      <c r="H356">
        <v>4329</v>
      </c>
    </row>
    <row r="357" spans="1:8" ht="15" customHeight="1" x14ac:dyDescent="0.25">
      <c r="A357" t="s">
        <v>2601</v>
      </c>
      <c r="B357" t="s">
        <v>6652</v>
      </c>
      <c r="C357" t="s">
        <v>10454</v>
      </c>
      <c r="D357" t="s">
        <v>13287</v>
      </c>
      <c r="E357" t="str">
        <f>+VLOOKUP(A357,[1]PFE4!$A$7:$F$5208,6,0)</f>
        <v>CR 13 A 89 38 OFC 314</v>
      </c>
      <c r="F357" s="17">
        <f>+VLOOKUP(A357,[1]PFE4!$A$7:$G$5208,7,0)</f>
        <v>11001</v>
      </c>
      <c r="G357">
        <v>4114440</v>
      </c>
      <c r="H357">
        <v>4329</v>
      </c>
    </row>
    <row r="358" spans="1:8" ht="15" customHeight="1" x14ac:dyDescent="0.25">
      <c r="A358" t="s">
        <v>2602</v>
      </c>
      <c r="B358" t="s">
        <v>6653</v>
      </c>
      <c r="C358" t="s">
        <v>10455</v>
      </c>
      <c r="D358" t="s">
        <v>13287</v>
      </c>
      <c r="E358" t="str">
        <f>+VLOOKUP(A358,[1]PFE4!$A$7:$F$5208,6,0)</f>
        <v>BRR BOCAGRANDE CR 1 6 106</v>
      </c>
      <c r="F358" s="17">
        <f>+VLOOKUP(A358,[1]PFE4!$A$7:$G$5208,7,0)</f>
        <v>13001</v>
      </c>
      <c r="G358">
        <v>4140000</v>
      </c>
      <c r="H358">
        <v>4329</v>
      </c>
    </row>
    <row r="359" spans="1:8" ht="15" customHeight="1" x14ac:dyDescent="0.25">
      <c r="A359" t="s">
        <v>2603</v>
      </c>
      <c r="B359" t="s">
        <v>6654</v>
      </c>
      <c r="C359" t="s">
        <v>10456</v>
      </c>
      <c r="D359" t="s">
        <v>13287</v>
      </c>
      <c r="E359" t="str">
        <f>+VLOOKUP(A359,[1]PFE4!$A$7:$F$5208,6,0)</f>
        <v>AV CR 7 111 64 BRR SANTA ANA ORIENTAL</v>
      </c>
      <c r="F359" s="17">
        <f>+VLOOKUP(A359,[1]PFE4!$A$7:$G$5208,7,0)</f>
        <v>11001</v>
      </c>
      <c r="G359">
        <v>4151796</v>
      </c>
      <c r="H359">
        <v>4329</v>
      </c>
    </row>
    <row r="360" spans="1:8" ht="15" customHeight="1" x14ac:dyDescent="0.25">
      <c r="A360" t="s">
        <v>2604</v>
      </c>
      <c r="B360" t="s">
        <v>6655</v>
      </c>
      <c r="C360">
        <v>0</v>
      </c>
      <c r="D360" t="s">
        <v>13287</v>
      </c>
      <c r="E360">
        <v>0</v>
      </c>
      <c r="F360" s="17">
        <v>11001</v>
      </c>
      <c r="G360">
        <v>4170000</v>
      </c>
      <c r="H360">
        <v>4329</v>
      </c>
    </row>
    <row r="361" spans="1:8" ht="15" customHeight="1" x14ac:dyDescent="0.25">
      <c r="A361" t="s">
        <v>2605</v>
      </c>
      <c r="B361" t="s">
        <v>6656</v>
      </c>
      <c r="C361" t="s">
        <v>10457</v>
      </c>
      <c r="D361" t="s">
        <v>13287</v>
      </c>
      <c r="E361" t="str">
        <f>+VLOOKUP(A361,[1]PFE4!$A$7:$F$5208,6,0)</f>
        <v>ZF CONJUNTO INDUSTRIAL PARQUE SUR</v>
      </c>
      <c r="F361" s="17">
        <f>+VLOOKUP(A361,[1]PFE4!$A$7:$G$5208,7,0)</f>
        <v>19845</v>
      </c>
      <c r="G361">
        <v>4209069</v>
      </c>
      <c r="H361">
        <v>4329</v>
      </c>
    </row>
    <row r="362" spans="1:8" ht="15" customHeight="1" x14ac:dyDescent="0.25">
      <c r="A362" t="s">
        <v>2606</v>
      </c>
      <c r="B362" t="s">
        <v>6657</v>
      </c>
      <c r="C362" t="s">
        <v>10458</v>
      </c>
      <c r="D362" t="s">
        <v>13287</v>
      </c>
      <c r="E362" t="str">
        <f>+VLOOKUP(A362,[1]PFE4!$A$7:$F$5208,6,0)</f>
        <v>CL 2 28B 81 BRR LOS LAGOS</v>
      </c>
      <c r="F362" s="17">
        <f>+VLOOKUP(A362,[1]PFE4!$A$7:$G$5208,7,0)</f>
        <v>54498</v>
      </c>
      <c r="G362">
        <v>4210484</v>
      </c>
      <c r="H362">
        <v>4329</v>
      </c>
    </row>
    <row r="363" spans="1:8" ht="15" customHeight="1" x14ac:dyDescent="0.25">
      <c r="A363" t="s">
        <v>2607</v>
      </c>
      <c r="B363" t="s">
        <v>6658</v>
      </c>
      <c r="C363">
        <v>3219664011</v>
      </c>
      <c r="D363" t="s">
        <v>13287</v>
      </c>
      <c r="E363" t="str">
        <f>+VLOOKUP(A363,[1]PFE4!$A$7:$F$5208,6,0)</f>
        <v>CALLE 11 C  31  105</v>
      </c>
      <c r="F363" s="17" t="str">
        <f>+VLOOKUP(A363,[1]PFE4!$A$7:$G$5208,7,0)</f>
        <v>05001</v>
      </c>
      <c r="G363">
        <v>4244450</v>
      </c>
      <c r="H363">
        <v>4329</v>
      </c>
    </row>
    <row r="364" spans="1:8" ht="15" customHeight="1" x14ac:dyDescent="0.25">
      <c r="A364" t="s">
        <v>2608</v>
      </c>
      <c r="B364" t="s">
        <v>6659</v>
      </c>
      <c r="C364" t="s">
        <v>10411</v>
      </c>
      <c r="D364" t="s">
        <v>13287</v>
      </c>
      <c r="E364" t="str">
        <f>+VLOOKUP(A364,[1]PFE4!$A$7:$F$5208,6,0)</f>
        <v>TRANSVERSAL 56  106 A  25</v>
      </c>
      <c r="F364" s="17">
        <f>+VLOOKUP(A364,[1]PFE4!$A$7:$G$5208,7,0)</f>
        <v>11001</v>
      </c>
      <c r="G364">
        <v>4246707</v>
      </c>
      <c r="H364">
        <v>4329</v>
      </c>
    </row>
    <row r="365" spans="1:8" ht="15" customHeight="1" x14ac:dyDescent="0.25">
      <c r="A365" t="s">
        <v>2609</v>
      </c>
      <c r="B365" t="s">
        <v>6660</v>
      </c>
      <c r="C365" t="s">
        <v>10459</v>
      </c>
      <c r="D365" t="s">
        <v>13287</v>
      </c>
      <c r="E365" t="str">
        <f>+VLOOKUP(A365,[1]PFE4!$A$7:$F$5208,6,0)</f>
        <v>CALLE 44 A N  4 N  133</v>
      </c>
      <c r="F365" s="17">
        <f>+VLOOKUP(A365,[1]PFE4!$A$7:$G$5208,7,0)</f>
        <v>11001</v>
      </c>
      <c r="G365">
        <v>4284120</v>
      </c>
      <c r="H365">
        <v>4329</v>
      </c>
    </row>
    <row r="366" spans="1:8" ht="15" customHeight="1" x14ac:dyDescent="0.25">
      <c r="A366" t="s">
        <v>2610</v>
      </c>
      <c r="B366" t="s">
        <v>6661</v>
      </c>
      <c r="C366" t="s">
        <v>10460</v>
      </c>
      <c r="D366" t="s">
        <v>13287</v>
      </c>
      <c r="E366" t="str">
        <f>+VLOOKUP(A366,[1]PFE4!$A$7:$F$5208,6,0)</f>
        <v>TRANSVERSAL 39A 70A-31</v>
      </c>
      <c r="F366" s="17" t="str">
        <f>+VLOOKUP(A366,[1]PFE4!$A$7:$G$5208,7,0)</f>
        <v>05001</v>
      </c>
      <c r="G366">
        <v>4318680</v>
      </c>
      <c r="H366">
        <v>4329</v>
      </c>
    </row>
    <row r="367" spans="1:8" ht="15" customHeight="1" x14ac:dyDescent="0.25">
      <c r="A367" t="s">
        <v>2611</v>
      </c>
      <c r="B367" t="s">
        <v>6662</v>
      </c>
      <c r="C367" t="s">
        <v>10461</v>
      </c>
      <c r="D367" t="s">
        <v>13287</v>
      </c>
      <c r="E367" t="str">
        <f>+VLOOKUP(A367,[1]PFE4!$A$7:$F$5208,6,0)</f>
        <v>CL 37 80 A 29 AP 101</v>
      </c>
      <c r="F367" s="17" t="str">
        <f>+VLOOKUP(A367,[1]PFE4!$A$7:$G$5208,7,0)</f>
        <v>05001</v>
      </c>
      <c r="G367">
        <v>4325637</v>
      </c>
      <c r="H367">
        <v>4329</v>
      </c>
    </row>
    <row r="368" spans="1:8" ht="15" customHeight="1" x14ac:dyDescent="0.25">
      <c r="A368" t="s">
        <v>2612</v>
      </c>
      <c r="B368" t="s">
        <v>6663</v>
      </c>
      <c r="C368" t="s">
        <v>10462</v>
      </c>
      <c r="D368" t="s">
        <v>13287</v>
      </c>
      <c r="E368" t="str">
        <f>+VLOOKUP(A368,[1]PFE4!$A$7:$F$5208,6,0)</f>
        <v>CL 23 43 A 100</v>
      </c>
      <c r="F368" s="17" t="str">
        <f>+VLOOKUP(A368,[1]PFE4!$A$7:$G$5208,7,0)</f>
        <v>05001</v>
      </c>
      <c r="G368">
        <v>4341030</v>
      </c>
      <c r="H368">
        <v>4329</v>
      </c>
    </row>
    <row r="369" spans="1:8" ht="15" customHeight="1" x14ac:dyDescent="0.25">
      <c r="A369" t="s">
        <v>2613</v>
      </c>
      <c r="B369" t="s">
        <v>6664</v>
      </c>
      <c r="C369" t="s">
        <v>10463</v>
      </c>
      <c r="D369" t="s">
        <v>13287</v>
      </c>
      <c r="E369" t="str">
        <f>+VLOOKUP(A369,[1]PFE4!$A$7:$F$5208,6,0)</f>
        <v>CALLE 19  28 A  20</v>
      </c>
      <c r="F369" s="17">
        <f>+VLOOKUP(A369,[1]PFE4!$A$7:$G$5208,7,0)</f>
        <v>85001</v>
      </c>
      <c r="G369">
        <v>4346294</v>
      </c>
      <c r="H369">
        <v>4329</v>
      </c>
    </row>
    <row r="370" spans="1:8" ht="15" customHeight="1" x14ac:dyDescent="0.25">
      <c r="A370" t="s">
        <v>2614</v>
      </c>
      <c r="B370" t="s">
        <v>6665</v>
      </c>
      <c r="C370" t="s">
        <v>10464</v>
      </c>
      <c r="D370" t="s">
        <v>13287</v>
      </c>
      <c r="E370" t="str">
        <f>+VLOOKUP(A370,[1]PFE4!$A$7:$F$5208,6,0)</f>
        <v>VIA SACHAMATE ENTRE CALLE CL 33 35 SEC PANGOLA CL 36 19 55</v>
      </c>
      <c r="F370" s="17">
        <f>+VLOOKUP(A370,[1]PFE4!$A$7:$G$5208,7,0)</f>
        <v>76364</v>
      </c>
      <c r="G370">
        <v>4350000</v>
      </c>
      <c r="H370">
        <v>4329</v>
      </c>
    </row>
    <row r="371" spans="1:8" ht="15" customHeight="1" x14ac:dyDescent="0.25">
      <c r="A371" t="s">
        <v>2615</v>
      </c>
      <c r="B371" t="s">
        <v>6666</v>
      </c>
      <c r="C371">
        <v>0</v>
      </c>
      <c r="D371" t="s">
        <v>13287</v>
      </c>
      <c r="E371">
        <v>0</v>
      </c>
      <c r="F371" s="17">
        <v>11001</v>
      </c>
      <c r="G371">
        <v>4360000</v>
      </c>
      <c r="H371">
        <v>4329</v>
      </c>
    </row>
    <row r="372" spans="1:8" ht="15" customHeight="1" x14ac:dyDescent="0.25">
      <c r="A372" t="s">
        <v>2616</v>
      </c>
      <c r="B372" t="s">
        <v>6667</v>
      </c>
      <c r="C372" t="s">
        <v>10465</v>
      </c>
      <c r="D372" t="s">
        <v>13287</v>
      </c>
      <c r="E372" t="str">
        <f>+VLOOKUP(A372,[1]PFE4!$A$7:$F$5208,6,0)</f>
        <v>CR 19 CL 5 107 AP 201 BRR LA FLORIDA</v>
      </c>
      <c r="F372" s="17" t="str">
        <f>+VLOOKUP(A372,[1]PFE4!$A$7:$G$5208,7,0)</f>
        <v>05308</v>
      </c>
      <c r="G372">
        <v>4360908</v>
      </c>
      <c r="H372">
        <v>4329</v>
      </c>
    </row>
    <row r="373" spans="1:8" ht="15" customHeight="1" x14ac:dyDescent="0.25">
      <c r="A373" t="s">
        <v>2617</v>
      </c>
      <c r="B373" t="s">
        <v>6668</v>
      </c>
      <c r="C373" t="s">
        <v>10466</v>
      </c>
      <c r="D373" t="s">
        <v>13287</v>
      </c>
      <c r="E373" t="str">
        <f>+VLOOKUP(A373,[1]PFE4!$A$7:$F$5208,6,0)</f>
        <v>CALLE 32 E E  80 B  27  APARTAMENTO 204</v>
      </c>
      <c r="F373" s="17" t="str">
        <f>+VLOOKUP(A373,[1]PFE4!$A$7:$G$5208,7,0)</f>
        <v>05001</v>
      </c>
      <c r="G373">
        <v>4383289</v>
      </c>
      <c r="H373">
        <v>4329</v>
      </c>
    </row>
    <row r="374" spans="1:8" ht="15" customHeight="1" x14ac:dyDescent="0.25">
      <c r="A374" t="s">
        <v>2618</v>
      </c>
      <c r="B374" t="s">
        <v>6669</v>
      </c>
      <c r="C374" t="s">
        <v>10467</v>
      </c>
      <c r="D374" t="s">
        <v>13287</v>
      </c>
      <c r="E374" t="str">
        <f>+VLOOKUP(A374,[1]PFE4!$A$7:$F$5208,6,0)</f>
        <v>AV 28 36 32</v>
      </c>
      <c r="F374" s="17">
        <f>+VLOOKUP(A374,[1]PFE4!$A$7:$G$5208,7,0)</f>
        <v>11001</v>
      </c>
      <c r="G374">
        <v>4400000</v>
      </c>
      <c r="H374">
        <v>4329</v>
      </c>
    </row>
    <row r="375" spans="1:8" ht="15" customHeight="1" x14ac:dyDescent="0.25">
      <c r="A375" t="s">
        <v>2619</v>
      </c>
      <c r="B375" t="s">
        <v>6670</v>
      </c>
      <c r="C375" t="s">
        <v>10468</v>
      </c>
      <c r="D375" t="s">
        <v>13287</v>
      </c>
      <c r="E375" t="str">
        <f>+VLOOKUP(A375,[1]PFE4!$A$7:$F$5208,6,0)</f>
        <v>CALLE 5 B 3 38 44 CS 101 ST C D C</v>
      </c>
      <c r="F375" s="17">
        <f>+VLOOKUP(A375,[1]PFE4!$A$7:$G$5208,7,0)</f>
        <v>11001</v>
      </c>
      <c r="G375">
        <v>4401012</v>
      </c>
      <c r="H375">
        <v>4329</v>
      </c>
    </row>
    <row r="376" spans="1:8" ht="15" customHeight="1" x14ac:dyDescent="0.25">
      <c r="A376" t="s">
        <v>2620</v>
      </c>
      <c r="B376" t="s">
        <v>6671</v>
      </c>
      <c r="C376">
        <v>3219664011</v>
      </c>
      <c r="D376" t="s">
        <v>13287</v>
      </c>
      <c r="E376" t="str">
        <f>+VLOOKUP(A376,[1]PFE4!$A$7:$F$5208,6,0)</f>
        <v>PALACIO DE JUSTICIA POPULAR  PISO 2</v>
      </c>
      <c r="F376" s="17">
        <f>+VLOOKUP(A376,[1]PFE4!$A$7:$G$5208,7,0)</f>
        <v>11001</v>
      </c>
      <c r="G376">
        <v>4415075</v>
      </c>
      <c r="H376">
        <v>4329</v>
      </c>
    </row>
    <row r="377" spans="1:8" ht="15" customHeight="1" x14ac:dyDescent="0.25">
      <c r="A377" t="s">
        <v>2621</v>
      </c>
      <c r="B377" t="s">
        <v>6672</v>
      </c>
      <c r="C377">
        <v>0</v>
      </c>
      <c r="D377" t="s">
        <v>13287</v>
      </c>
      <c r="E377">
        <v>0</v>
      </c>
      <c r="F377" s="17">
        <v>11001</v>
      </c>
      <c r="G377">
        <v>4433952</v>
      </c>
      <c r="H377">
        <v>4329</v>
      </c>
    </row>
    <row r="378" spans="1:8" ht="15" customHeight="1" x14ac:dyDescent="0.25">
      <c r="A378" t="s">
        <v>2622</v>
      </c>
      <c r="B378" t="s">
        <v>6673</v>
      </c>
      <c r="C378" t="s">
        <v>10469</v>
      </c>
      <c r="D378" t="s">
        <v>13287</v>
      </c>
      <c r="E378" t="str">
        <f>+VLOOKUP(A378,[1]PFE4!$A$7:$F$5208,6,0)</f>
        <v>CARRERA 17B #54-12 B RICAUTE</v>
      </c>
      <c r="F378" s="17">
        <f>+VLOOKUP(A378,[1]PFE4!$A$7:$G$5208,7,0)</f>
        <v>68001</v>
      </c>
      <c r="G378">
        <v>4439948</v>
      </c>
      <c r="H378">
        <v>4329</v>
      </c>
    </row>
    <row r="379" spans="1:8" ht="15" customHeight="1" x14ac:dyDescent="0.25">
      <c r="A379" t="s">
        <v>2623</v>
      </c>
      <c r="B379" t="s">
        <v>6674</v>
      </c>
      <c r="C379" t="s">
        <v>10470</v>
      </c>
      <c r="D379" t="s">
        <v>13287</v>
      </c>
      <c r="E379" t="str">
        <f>+VLOOKUP(A379,[1]PFE4!$A$7:$F$5208,6,0)</f>
        <v xml:space="preserve">CR 35 1 A SUR 4 IN 702 CON OBRA DIECINUEVE
</v>
      </c>
      <c r="F379" s="17">
        <f>+VLOOKUP(A379,[1]PFE4!$A$7:$G$5208,7,0)</f>
        <v>11001</v>
      </c>
      <c r="G379">
        <v>4491030</v>
      </c>
      <c r="H379">
        <v>4329</v>
      </c>
    </row>
    <row r="380" spans="1:8" ht="15" customHeight="1" x14ac:dyDescent="0.25">
      <c r="A380" t="s">
        <v>2624</v>
      </c>
      <c r="B380" t="s">
        <v>6675</v>
      </c>
      <c r="C380" t="s">
        <v>10471</v>
      </c>
      <c r="D380" t="s">
        <v>13287</v>
      </c>
      <c r="E380" t="str">
        <f>+VLOOKUP(A380,[1]PFE4!$A$7:$F$5208,6,0)</f>
        <v>CR 69 44 35</v>
      </c>
      <c r="F380" s="17">
        <f>+VLOOKUP(A380,[1]PFE4!$A$7:$G$5208,7,0)</f>
        <v>66001</v>
      </c>
      <c r="G380">
        <v>4493400</v>
      </c>
      <c r="H380">
        <v>4329</v>
      </c>
    </row>
    <row r="381" spans="1:8" ht="15" customHeight="1" x14ac:dyDescent="0.25">
      <c r="A381" t="s">
        <v>2625</v>
      </c>
      <c r="B381" t="s">
        <v>6676</v>
      </c>
      <c r="C381" t="s">
        <v>10472</v>
      </c>
      <c r="D381" t="s">
        <v>13287</v>
      </c>
      <c r="E381" t="str">
        <f>+VLOOKUP(A381,[1]PFE4!$A$7:$F$5208,6,0)</f>
        <v>CALLE 32 C CR 66 4 IN 201</v>
      </c>
      <c r="F381" s="17" t="str">
        <f>+VLOOKUP(A381,[1]PFE4!$A$7:$G$5208,7,0)</f>
        <v>05001</v>
      </c>
      <c r="G381">
        <v>4501030</v>
      </c>
      <c r="H381">
        <v>4329</v>
      </c>
    </row>
    <row r="382" spans="1:8" ht="15" customHeight="1" x14ac:dyDescent="0.25">
      <c r="A382" t="s">
        <v>2626</v>
      </c>
      <c r="B382" t="s">
        <v>6677</v>
      </c>
      <c r="C382" t="s">
        <v>10473</v>
      </c>
      <c r="D382" t="s">
        <v>13287</v>
      </c>
      <c r="E382" t="str">
        <f>+VLOOKUP(A382,[1]PFE4!$A$7:$F$5208,6,0)</f>
        <v>CALLE 8 A  11  09</v>
      </c>
      <c r="F382" s="17">
        <f>+VLOOKUP(A382,[1]PFE4!$A$7:$G$5208,7,0)</f>
        <v>17001</v>
      </c>
      <c r="G382">
        <v>4504336</v>
      </c>
      <c r="H382">
        <v>4329</v>
      </c>
    </row>
    <row r="383" spans="1:8" ht="15" customHeight="1" x14ac:dyDescent="0.25">
      <c r="A383" t="s">
        <v>2627</v>
      </c>
      <c r="B383" t="s">
        <v>6678</v>
      </c>
      <c r="C383" t="s">
        <v>10474</v>
      </c>
      <c r="D383" t="s">
        <v>13287</v>
      </c>
      <c r="E383" t="str">
        <f>+VLOOKUP(A383,[1]PFE4!$A$7:$F$5208,6,0)</f>
        <v>CALLE 9  24  25</v>
      </c>
      <c r="F383" s="17">
        <f>+VLOOKUP(A383,[1]PFE4!$A$7:$G$5208,7,0)</f>
        <v>85001</v>
      </c>
      <c r="G383">
        <v>4514211</v>
      </c>
      <c r="H383">
        <v>4329</v>
      </c>
    </row>
    <row r="384" spans="1:8" ht="15" customHeight="1" x14ac:dyDescent="0.25">
      <c r="A384" t="s">
        <v>2628</v>
      </c>
      <c r="B384" t="s">
        <v>6679</v>
      </c>
      <c r="C384" t="s">
        <v>10475</v>
      </c>
      <c r="D384" t="s">
        <v>13287</v>
      </c>
      <c r="E384" t="str">
        <f>+VLOOKUP(A384,[1]PFE4!$A$7:$F$5208,6,0)</f>
        <v>CALLE 106  19 A  63</v>
      </c>
      <c r="F384" s="17">
        <f>+VLOOKUP(A384,[1]PFE4!$A$7:$G$5208,7,0)</f>
        <v>11001</v>
      </c>
      <c r="G384">
        <v>4528953</v>
      </c>
      <c r="H384">
        <v>4329</v>
      </c>
    </row>
    <row r="385" spans="1:8" ht="15" customHeight="1" x14ac:dyDescent="0.25">
      <c r="A385" t="s">
        <v>2629</v>
      </c>
      <c r="B385" t="s">
        <v>6680</v>
      </c>
      <c r="C385" t="s">
        <v>10476</v>
      </c>
      <c r="D385" t="s">
        <v>13287</v>
      </c>
      <c r="E385" t="str">
        <f>+VLOOKUP(A385,[1]PFE4!$A$7:$F$5208,6,0)</f>
        <v>CL 11 C  31 105</v>
      </c>
      <c r="F385" s="17">
        <f>+VLOOKUP(A385,[1]PFE4!$A$7:$G$5208,7,0)</f>
        <v>11001</v>
      </c>
      <c r="G385">
        <v>4551610</v>
      </c>
      <c r="H385">
        <v>4329</v>
      </c>
    </row>
    <row r="386" spans="1:8" ht="15" customHeight="1" x14ac:dyDescent="0.25">
      <c r="A386" t="s">
        <v>2630</v>
      </c>
      <c r="B386" t="s">
        <v>6681</v>
      </c>
      <c r="C386" t="s">
        <v>10477</v>
      </c>
      <c r="D386" t="s">
        <v>13287</v>
      </c>
      <c r="E386" t="str">
        <f>+VLOOKUP(A386,[1]PFE4!$A$7:$F$5208,6,0)</f>
        <v>CALLE 11  6 A E  21</v>
      </c>
      <c r="F386" s="17">
        <f>+VLOOKUP(A386,[1]PFE4!$A$7:$G$5208,7,0)</f>
        <v>11001</v>
      </c>
      <c r="G386">
        <v>4577084</v>
      </c>
      <c r="H386">
        <v>4329</v>
      </c>
    </row>
    <row r="387" spans="1:8" ht="15" customHeight="1" x14ac:dyDescent="0.25">
      <c r="A387" t="s">
        <v>2631</v>
      </c>
      <c r="B387" t="s">
        <v>6682</v>
      </c>
      <c r="C387">
        <v>0</v>
      </c>
      <c r="D387" t="s">
        <v>13287</v>
      </c>
      <c r="E387">
        <v>0</v>
      </c>
      <c r="F387" s="17">
        <v>11001</v>
      </c>
      <c r="G387">
        <v>4596252</v>
      </c>
      <c r="H387">
        <v>4329</v>
      </c>
    </row>
    <row r="388" spans="1:8" ht="15" customHeight="1" x14ac:dyDescent="0.25">
      <c r="A388" t="s">
        <v>2632</v>
      </c>
      <c r="B388" t="s">
        <v>6683</v>
      </c>
      <c r="C388">
        <v>3219664011</v>
      </c>
      <c r="D388" t="s">
        <v>13287</v>
      </c>
      <c r="E388" t="str">
        <f>+VLOOKUP(A388,[1]PFE4!$A$7:$F$5208,6,0)</f>
        <v>CARRERA 31  11  11</v>
      </c>
      <c r="F388" s="17">
        <f>+VLOOKUP(A388,[1]PFE4!$A$7:$G$5208,7,0)</f>
        <v>85001</v>
      </c>
      <c r="G388">
        <v>4606815</v>
      </c>
      <c r="H388">
        <v>4329</v>
      </c>
    </row>
    <row r="389" spans="1:8" ht="15" customHeight="1" x14ac:dyDescent="0.25">
      <c r="A389" t="s">
        <v>2633</v>
      </c>
      <c r="B389" t="s">
        <v>6684</v>
      </c>
      <c r="C389" t="s">
        <v>10478</v>
      </c>
      <c r="D389" t="s">
        <v>13287</v>
      </c>
      <c r="E389" t="str">
        <f>+VLOOKUP(A389,[1]PFE4!$A$7:$F$5208,6,0)</f>
        <v>CR 47 69 114</v>
      </c>
      <c r="F389" s="17" t="str">
        <f>+VLOOKUP(A389,[1]PFE4!$A$7:$G$5208,7,0)</f>
        <v>08573</v>
      </c>
      <c r="G389">
        <v>4612952</v>
      </c>
      <c r="H389">
        <v>4329</v>
      </c>
    </row>
    <row r="390" spans="1:8" ht="15" customHeight="1" x14ac:dyDescent="0.25">
      <c r="A390" t="s">
        <v>2634</v>
      </c>
      <c r="B390" t="s">
        <v>6685</v>
      </c>
      <c r="C390" t="s">
        <v>10479</v>
      </c>
      <c r="D390" t="s">
        <v>13287</v>
      </c>
      <c r="E390" t="str">
        <f>+VLOOKUP(A390,[1]PFE4!$A$7:$F$5208,6,0)</f>
        <v>CARRERA 25  67  35</v>
      </c>
      <c r="F390" s="17">
        <f>+VLOOKUP(A390,[1]PFE4!$A$7:$G$5208,7,0)</f>
        <v>17001</v>
      </c>
      <c r="G390">
        <v>4617876</v>
      </c>
      <c r="H390">
        <v>4329</v>
      </c>
    </row>
    <row r="391" spans="1:8" ht="15" customHeight="1" x14ac:dyDescent="0.25">
      <c r="A391" t="s">
        <v>2635</v>
      </c>
      <c r="B391" t="s">
        <v>6686</v>
      </c>
      <c r="C391" t="s">
        <v>10480</v>
      </c>
      <c r="D391" t="s">
        <v>13287</v>
      </c>
      <c r="E391" t="str">
        <f>+VLOOKUP(A391,[1]PFE4!$A$7:$F$5208,6,0)</f>
        <v>CL 153 22 40</v>
      </c>
      <c r="F391" s="17">
        <f>+VLOOKUP(A391,[1]PFE4!$A$7:$G$5208,7,0)</f>
        <v>11001</v>
      </c>
      <c r="G391">
        <v>4620000</v>
      </c>
      <c r="H391">
        <v>4329</v>
      </c>
    </row>
    <row r="392" spans="1:8" ht="15" customHeight="1" x14ac:dyDescent="0.25">
      <c r="A392" t="s">
        <v>2636</v>
      </c>
      <c r="B392" t="s">
        <v>6687</v>
      </c>
      <c r="C392" t="s">
        <v>10481</v>
      </c>
      <c r="D392" t="s">
        <v>13287</v>
      </c>
      <c r="E392" t="str">
        <f>+VLOOKUP(A392,[1]PFE4!$A$7:$F$5208,6,0)</f>
        <v>CL 122 23 55</v>
      </c>
      <c r="F392" s="17">
        <f>+VLOOKUP(A392,[1]PFE4!$A$7:$G$5208,7,0)</f>
        <v>11001</v>
      </c>
      <c r="G392">
        <v>4620000</v>
      </c>
      <c r="H392">
        <v>4329</v>
      </c>
    </row>
    <row r="393" spans="1:8" ht="15" customHeight="1" x14ac:dyDescent="0.25">
      <c r="A393" t="s">
        <v>2637</v>
      </c>
      <c r="B393" t="s">
        <v>6688</v>
      </c>
      <c r="C393" t="s">
        <v>10482</v>
      </c>
      <c r="D393" t="s">
        <v>13287</v>
      </c>
      <c r="E393" t="str">
        <f>+VLOOKUP(A393,[1]PFE4!$A$7:$F$5208,6,0)</f>
        <v>CL 28 79 138 AP 402 BRR BELEN LA PALMA ED PRADOS DE LA PALMA</v>
      </c>
      <c r="F393" s="17" t="str">
        <f>+VLOOKUP(A393,[1]PFE4!$A$7:$G$5208,7,0)</f>
        <v>05001</v>
      </c>
      <c r="G393">
        <v>4622536</v>
      </c>
      <c r="H393">
        <v>4329</v>
      </c>
    </row>
    <row r="394" spans="1:8" ht="15" customHeight="1" x14ac:dyDescent="0.25">
      <c r="A394" t="s">
        <v>2638</v>
      </c>
      <c r="B394" t="s">
        <v>6689</v>
      </c>
      <c r="C394" t="s">
        <v>10483</v>
      </c>
      <c r="D394" t="s">
        <v>13287</v>
      </c>
      <c r="E394" t="str">
        <f>+VLOOKUP(A394,[1]PFE4!$A$7:$F$5208,6,0)</f>
        <v>CL 76 73 40 LC 3</v>
      </c>
      <c r="F394" s="17" t="str">
        <f>+VLOOKUP(A394,[1]PFE4!$A$7:$G$5208,7,0)</f>
        <v>08001</v>
      </c>
      <c r="G394">
        <v>4659400</v>
      </c>
      <c r="H394">
        <v>4329</v>
      </c>
    </row>
    <row r="395" spans="1:8" ht="15" customHeight="1" x14ac:dyDescent="0.25">
      <c r="A395" t="s">
        <v>2639</v>
      </c>
      <c r="B395" t="s">
        <v>6690</v>
      </c>
      <c r="C395">
        <v>0</v>
      </c>
      <c r="D395" t="s">
        <v>13287</v>
      </c>
      <c r="E395">
        <v>0</v>
      </c>
      <c r="F395" s="17">
        <v>11001</v>
      </c>
      <c r="G395">
        <v>4665400</v>
      </c>
      <c r="H395">
        <v>4329</v>
      </c>
    </row>
    <row r="396" spans="1:8" ht="15" customHeight="1" x14ac:dyDescent="0.25">
      <c r="A396" t="s">
        <v>2640</v>
      </c>
      <c r="B396" t="s">
        <v>6691</v>
      </c>
      <c r="C396" t="s">
        <v>10484</v>
      </c>
      <c r="D396" t="s">
        <v>13287</v>
      </c>
      <c r="E396" t="str">
        <f>+VLOOKUP(A396,[1]PFE4!$A$7:$F$5208,6,0)</f>
        <v>AVENIDA GONZALEZ VALENCIA  54  25 APARTAMENTO 1301</v>
      </c>
      <c r="F396" s="17">
        <f>+VLOOKUP(A396,[1]PFE4!$A$7:$G$5208,7,0)</f>
        <v>68001</v>
      </c>
      <c r="G396">
        <v>4668756</v>
      </c>
      <c r="H396">
        <v>4329</v>
      </c>
    </row>
    <row r="397" spans="1:8" ht="15" customHeight="1" x14ac:dyDescent="0.25">
      <c r="A397" t="s">
        <v>2641</v>
      </c>
      <c r="B397" t="s">
        <v>6692</v>
      </c>
      <c r="C397">
        <v>0</v>
      </c>
      <c r="D397" t="s">
        <v>13287</v>
      </c>
      <c r="E397">
        <v>0</v>
      </c>
      <c r="F397" s="17">
        <v>11001</v>
      </c>
      <c r="G397">
        <v>4689500</v>
      </c>
      <c r="H397">
        <v>4329</v>
      </c>
    </row>
    <row r="398" spans="1:8" ht="15" customHeight="1" x14ac:dyDescent="0.25">
      <c r="A398" t="s">
        <v>2642</v>
      </c>
      <c r="B398" t="s">
        <v>6693</v>
      </c>
      <c r="C398" t="s">
        <v>10485</v>
      </c>
      <c r="D398" t="s">
        <v>13287</v>
      </c>
      <c r="E398" t="str">
        <f>+VLOOKUP(A398,[1]PFE4!$A$7:$F$5208,6,0)</f>
        <v>CALLE 16 20 63</v>
      </c>
      <c r="F398" s="17" t="str">
        <f>+VLOOKUP(A398,[1]PFE4!$A$7:$G$5208,7,0)</f>
        <v>05376</v>
      </c>
      <c r="G398">
        <v>4696594</v>
      </c>
      <c r="H398">
        <v>4329</v>
      </c>
    </row>
    <row r="399" spans="1:8" ht="15" customHeight="1" x14ac:dyDescent="0.25">
      <c r="A399" t="s">
        <v>2643</v>
      </c>
      <c r="B399" t="s">
        <v>6694</v>
      </c>
      <c r="C399" t="s">
        <v>10486</v>
      </c>
      <c r="D399" t="s">
        <v>13287</v>
      </c>
      <c r="E399" t="str">
        <f>+VLOOKUP(A399,[1]PFE4!$A$7:$F$5208,6,0)</f>
        <v>TRANSVERSAL 9 No. 56 - 33</v>
      </c>
      <c r="F399" s="17">
        <f>+VLOOKUP(A399,[1]PFE4!$A$7:$G$5208,7,0)</f>
        <v>19001</v>
      </c>
      <c r="G399">
        <v>4717206</v>
      </c>
      <c r="H399">
        <v>4329</v>
      </c>
    </row>
    <row r="400" spans="1:8" ht="15" customHeight="1" x14ac:dyDescent="0.25">
      <c r="A400" t="s">
        <v>2644</v>
      </c>
      <c r="B400" t="s">
        <v>6695</v>
      </c>
      <c r="C400" t="s">
        <v>10487</v>
      </c>
      <c r="D400" t="s">
        <v>13287</v>
      </c>
      <c r="E400" t="str">
        <f>+VLOOKUP(A400,[1]PFE4!$A$7:$F$5208,6,0)</f>
        <v>CALLE 16  14  21</v>
      </c>
      <c r="F400" s="17">
        <f>+VLOOKUP(A400,[1]PFE4!$A$7:$G$5208,7,0)</f>
        <v>25290</v>
      </c>
      <c r="G400">
        <v>4720572</v>
      </c>
      <c r="H400">
        <v>4329</v>
      </c>
    </row>
    <row r="401" spans="1:8" ht="15" customHeight="1" x14ac:dyDescent="0.25">
      <c r="A401" t="s">
        <v>2645</v>
      </c>
      <c r="B401" t="s">
        <v>6696</v>
      </c>
      <c r="C401" t="s">
        <v>10488</v>
      </c>
      <c r="D401" t="s">
        <v>13287</v>
      </c>
      <c r="E401" t="str">
        <f>+VLOOKUP(A401,[1]PFE4!$A$7:$F$5208,6,0)</f>
        <v>CR 43 1  A SUR  267 OF 202</v>
      </c>
      <c r="F401" s="17" t="str">
        <f>+VLOOKUP(A401,[1]PFE4!$A$7:$G$5208,7,0)</f>
        <v>08001</v>
      </c>
      <c r="G401">
        <v>4727880</v>
      </c>
      <c r="H401">
        <v>4329</v>
      </c>
    </row>
    <row r="402" spans="1:8" ht="15" customHeight="1" x14ac:dyDescent="0.25">
      <c r="A402" t="s">
        <v>2646</v>
      </c>
      <c r="B402" t="s">
        <v>6697</v>
      </c>
      <c r="C402">
        <v>0</v>
      </c>
      <c r="D402" t="s">
        <v>13287</v>
      </c>
      <c r="E402" t="str">
        <f>+VLOOKUP(A402,[1]PFE4!$A$7:$F$5208,6,0)</f>
        <v>CALLE 65  7  75</v>
      </c>
      <c r="F402" s="17">
        <f>+VLOOKUP(A402,[1]PFE4!$A$7:$G$5208,7,0)</f>
        <v>11001</v>
      </c>
      <c r="G402">
        <v>4734442</v>
      </c>
      <c r="H402">
        <v>4329</v>
      </c>
    </row>
    <row r="403" spans="1:8" ht="15" customHeight="1" x14ac:dyDescent="0.25">
      <c r="A403" t="s">
        <v>2647</v>
      </c>
      <c r="B403" t="s">
        <v>6698</v>
      </c>
      <c r="C403" t="s">
        <v>10489</v>
      </c>
      <c r="D403" t="s">
        <v>13287</v>
      </c>
      <c r="E403" t="str">
        <f>+VLOOKUP(A403,[1]PFE4!$A$7:$F$5208,6,0)</f>
        <v>CALLE 105  15  53</v>
      </c>
      <c r="F403" s="17">
        <f>+VLOOKUP(A403,[1]PFE4!$A$7:$G$5208,7,0)</f>
        <v>11001</v>
      </c>
      <c r="G403">
        <v>4743961</v>
      </c>
      <c r="H403">
        <v>4329</v>
      </c>
    </row>
    <row r="404" spans="1:8" ht="15" customHeight="1" x14ac:dyDescent="0.25">
      <c r="A404" t="s">
        <v>2648</v>
      </c>
      <c r="B404" t="s">
        <v>6699</v>
      </c>
      <c r="C404">
        <v>0</v>
      </c>
      <c r="D404" t="s">
        <v>13287</v>
      </c>
      <c r="E404">
        <v>0</v>
      </c>
      <c r="F404" s="17">
        <v>11001</v>
      </c>
      <c r="G404">
        <v>4748800</v>
      </c>
      <c r="H404">
        <v>4329</v>
      </c>
    </row>
    <row r="405" spans="1:8" ht="15" customHeight="1" x14ac:dyDescent="0.25">
      <c r="A405" t="s">
        <v>2649</v>
      </c>
      <c r="B405" t="s">
        <v>6700</v>
      </c>
      <c r="C405" t="s">
        <v>10490</v>
      </c>
      <c r="D405" t="s">
        <v>13287</v>
      </c>
      <c r="E405" t="str">
        <f>+VLOOKUP(A405,[1]PFE4!$A$7:$F$5208,6,0)</f>
        <v>CALLE 21  0 B  78</v>
      </c>
      <c r="F405" s="17">
        <f>+VLOOKUP(A405,[1]PFE4!$A$7:$G$5208,7,0)</f>
        <v>54001</v>
      </c>
      <c r="G405">
        <v>4748973</v>
      </c>
      <c r="H405">
        <v>4329</v>
      </c>
    </row>
    <row r="406" spans="1:8" ht="15" customHeight="1" x14ac:dyDescent="0.25">
      <c r="A406" t="s">
        <v>2650</v>
      </c>
      <c r="B406" t="s">
        <v>6701</v>
      </c>
      <c r="C406" t="s">
        <v>10491</v>
      </c>
      <c r="D406" t="s">
        <v>13287</v>
      </c>
      <c r="E406" t="str">
        <f>+VLOOKUP(A406,[1]PFE4!$A$7:$F$5208,6,0)</f>
        <v>CARRERA 23 N° 44-33</v>
      </c>
      <c r="F406" s="17">
        <f>+VLOOKUP(A406,[1]PFE4!$A$7:$G$5208,7,0)</f>
        <v>17001</v>
      </c>
      <c r="G406">
        <v>4750000</v>
      </c>
      <c r="H406">
        <v>4329</v>
      </c>
    </row>
    <row r="407" spans="1:8" ht="15" customHeight="1" x14ac:dyDescent="0.25">
      <c r="A407" t="s">
        <v>2651</v>
      </c>
      <c r="B407" t="s">
        <v>6702</v>
      </c>
      <c r="C407" t="s">
        <v>10492</v>
      </c>
      <c r="D407" t="s">
        <v>13287</v>
      </c>
      <c r="E407" t="str">
        <f>+VLOOKUP(A407,[1]PFE4!$A$7:$F$5208,6,0)</f>
        <v>CALLE 16  15  21</v>
      </c>
      <c r="F407" s="17">
        <f>+VLOOKUP(A407,[1]PFE4!$A$7:$G$5208,7,0)</f>
        <v>15238</v>
      </c>
      <c r="G407">
        <v>4754750</v>
      </c>
      <c r="H407">
        <v>4329</v>
      </c>
    </row>
    <row r="408" spans="1:8" ht="15" customHeight="1" x14ac:dyDescent="0.25">
      <c r="A408" t="s">
        <v>2652</v>
      </c>
      <c r="B408" t="s">
        <v>6703</v>
      </c>
      <c r="C408" t="s">
        <v>10493</v>
      </c>
      <c r="D408" t="s">
        <v>13287</v>
      </c>
      <c r="E408" t="str">
        <f>+VLOOKUP(A408,[1]PFE4!$A$7:$F$5208,6,0)</f>
        <v>CL 123 52 A 32</v>
      </c>
      <c r="F408" s="17">
        <f>+VLOOKUP(A408,[1]PFE4!$A$7:$G$5208,7,0)</f>
        <v>11001</v>
      </c>
      <c r="G408">
        <v>4756672</v>
      </c>
      <c r="H408">
        <v>4329</v>
      </c>
    </row>
    <row r="409" spans="1:8" ht="15" customHeight="1" x14ac:dyDescent="0.25">
      <c r="A409" t="s">
        <v>2653</v>
      </c>
      <c r="B409" t="s">
        <v>6704</v>
      </c>
      <c r="C409" t="s">
        <v>10494</v>
      </c>
      <c r="D409" t="s">
        <v>13287</v>
      </c>
      <c r="E409" t="str">
        <f>+VLOOKUP(A409,[1]PFE4!$A$7:$F$5208,6,0)</f>
        <v>CL 108 60 A 26</v>
      </c>
      <c r="F409" s="17">
        <f>+VLOOKUP(A409,[1]PFE4!$A$7:$G$5208,7,0)</f>
        <v>76001</v>
      </c>
      <c r="G409">
        <v>4757682</v>
      </c>
      <c r="H409">
        <v>4329</v>
      </c>
    </row>
    <row r="410" spans="1:8" ht="15" customHeight="1" x14ac:dyDescent="0.25">
      <c r="A410" t="s">
        <v>2654</v>
      </c>
      <c r="B410" t="s">
        <v>6705</v>
      </c>
      <c r="C410" t="s">
        <v>10495</v>
      </c>
      <c r="D410" t="s">
        <v>13287</v>
      </c>
      <c r="E410" t="str">
        <f>+VLOOKUP(A410,[1]PFE4!$A$7:$F$5208,6,0)</f>
        <v>CARRERA 14 No. 117 - 14</v>
      </c>
      <c r="F410" s="17">
        <f>+VLOOKUP(A410,[1]PFE4!$A$7:$G$5208,7,0)</f>
        <v>11001</v>
      </c>
      <c r="G410">
        <v>4764019</v>
      </c>
      <c r="H410">
        <v>4329</v>
      </c>
    </row>
    <row r="411" spans="1:8" ht="15" customHeight="1" x14ac:dyDescent="0.25">
      <c r="A411" t="s">
        <v>2655</v>
      </c>
      <c r="B411" t="s">
        <v>6706</v>
      </c>
      <c r="C411" t="s">
        <v>10496</v>
      </c>
      <c r="D411" t="s">
        <v>13287</v>
      </c>
      <c r="E411" t="str">
        <f>+VLOOKUP(A411,[1]PFE4!$A$7:$F$5208,6,0)</f>
        <v>CARRERA 15 # 1N-49</v>
      </c>
      <c r="F411" s="17">
        <f>+VLOOKUP(A411,[1]PFE4!$A$7:$G$5208,7,0)</f>
        <v>63001</v>
      </c>
      <c r="G411">
        <v>4786320</v>
      </c>
      <c r="H411">
        <v>4329</v>
      </c>
    </row>
    <row r="412" spans="1:8" ht="15" customHeight="1" x14ac:dyDescent="0.25">
      <c r="A412" t="s">
        <v>2656</v>
      </c>
      <c r="B412" t="s">
        <v>6707</v>
      </c>
      <c r="C412" t="s">
        <v>10497</v>
      </c>
      <c r="D412" t="s">
        <v>13287</v>
      </c>
      <c r="E412" t="str">
        <f>+VLOOKUP(A412,[1]PFE4!$A$7:$F$5208,6,0)</f>
        <v>CARRERA 10 B  135 A  20</v>
      </c>
      <c r="F412" s="17">
        <f>+VLOOKUP(A412,[1]PFE4!$A$7:$G$5208,7,0)</f>
        <v>11001</v>
      </c>
      <c r="G412">
        <v>4800000</v>
      </c>
      <c r="H412">
        <v>4329</v>
      </c>
    </row>
    <row r="413" spans="1:8" ht="15" customHeight="1" x14ac:dyDescent="0.25">
      <c r="A413" t="s">
        <v>2657</v>
      </c>
      <c r="B413" t="s">
        <v>6708</v>
      </c>
      <c r="C413" t="s">
        <v>10498</v>
      </c>
      <c r="D413" t="s">
        <v>13287</v>
      </c>
      <c r="E413" t="str">
        <f>+VLOOKUP(A413,[1]PFE4!$A$7:$F$5208,6,0)</f>
        <v>CALLE 73  9  57  OFICINA 102</v>
      </c>
      <c r="F413" s="17">
        <f>+VLOOKUP(A413,[1]PFE4!$A$7:$G$5208,7,0)</f>
        <v>11001</v>
      </c>
      <c r="G413">
        <v>4800000</v>
      </c>
      <c r="H413">
        <v>4329</v>
      </c>
    </row>
    <row r="414" spans="1:8" ht="15" customHeight="1" x14ac:dyDescent="0.25">
      <c r="A414" t="s">
        <v>2658</v>
      </c>
      <c r="B414" t="s">
        <v>6709</v>
      </c>
      <c r="C414" t="s">
        <v>10499</v>
      </c>
      <c r="D414" t="s">
        <v>13287</v>
      </c>
      <c r="E414" t="str">
        <f>+VLOOKUP(A414,[1]PFE4!$A$7:$F$5208,6,0)</f>
        <v>CR 81 49 A 37 39 41</v>
      </c>
      <c r="F414" s="17" t="str">
        <f>+VLOOKUP(A414,[1]PFE4!$A$7:$G$5208,7,0)</f>
        <v>05001</v>
      </c>
      <c r="G414">
        <v>4800276</v>
      </c>
      <c r="H414">
        <v>4329</v>
      </c>
    </row>
    <row r="415" spans="1:8" ht="15" customHeight="1" x14ac:dyDescent="0.25">
      <c r="A415" t="s">
        <v>2659</v>
      </c>
      <c r="B415" t="s">
        <v>6710</v>
      </c>
      <c r="C415" t="s">
        <v>10500</v>
      </c>
      <c r="D415" t="s">
        <v>13287</v>
      </c>
      <c r="E415" t="str">
        <f>+VLOOKUP(A415,[1]PFE4!$A$7:$F$5208,6,0)</f>
        <v>CR 48 100 17</v>
      </c>
      <c r="F415" s="17">
        <f>+VLOOKUP(A415,[1]PFE4!$A$7:$G$5208,7,0)</f>
        <v>11001</v>
      </c>
      <c r="G415">
        <v>4828278</v>
      </c>
      <c r="H415">
        <v>4329</v>
      </c>
    </row>
    <row r="416" spans="1:8" ht="15" customHeight="1" x14ac:dyDescent="0.25">
      <c r="A416" t="s">
        <v>2660</v>
      </c>
      <c r="B416" t="s">
        <v>6711</v>
      </c>
      <c r="C416" t="s">
        <v>10501</v>
      </c>
      <c r="D416" t="s">
        <v>13287</v>
      </c>
      <c r="E416" t="str">
        <f>+VLOOKUP(A416,[1]PFE4!$A$7:$F$5208,6,0)</f>
        <v>CARRERA 33 BIS  25 B  68</v>
      </c>
      <c r="F416" s="17">
        <f>+VLOOKUP(A416,[1]PFE4!$A$7:$G$5208,7,0)</f>
        <v>11001</v>
      </c>
      <c r="G416">
        <v>4829141</v>
      </c>
      <c r="H416">
        <v>4329</v>
      </c>
    </row>
    <row r="417" spans="1:8" ht="15" customHeight="1" x14ac:dyDescent="0.25">
      <c r="A417" t="s">
        <v>2661</v>
      </c>
      <c r="B417" t="s">
        <v>6712</v>
      </c>
      <c r="C417" t="s">
        <v>10502</v>
      </c>
      <c r="D417" t="s">
        <v>13287</v>
      </c>
      <c r="E417" t="str">
        <f>+VLOOKUP(A417,[1]PFE4!$A$7:$F$5208,6,0)</f>
        <v>CALLE 79  42  69</v>
      </c>
      <c r="F417" s="17" t="str">
        <f>+VLOOKUP(A417,[1]PFE4!$A$7:$G$5208,7,0)</f>
        <v>08001</v>
      </c>
      <c r="G417">
        <v>4847394</v>
      </c>
      <c r="H417">
        <v>4329</v>
      </c>
    </row>
    <row r="418" spans="1:8" ht="15" customHeight="1" x14ac:dyDescent="0.25">
      <c r="A418" t="s">
        <v>2662</v>
      </c>
      <c r="B418" t="s">
        <v>6713</v>
      </c>
      <c r="C418">
        <v>0</v>
      </c>
      <c r="D418" t="s">
        <v>13287</v>
      </c>
      <c r="E418">
        <v>0</v>
      </c>
      <c r="F418" s="17">
        <v>11001</v>
      </c>
      <c r="G418">
        <v>4856941</v>
      </c>
      <c r="H418">
        <v>4329</v>
      </c>
    </row>
    <row r="419" spans="1:8" ht="15" customHeight="1" x14ac:dyDescent="0.25">
      <c r="A419" t="s">
        <v>2663</v>
      </c>
      <c r="B419" t="s">
        <v>6714</v>
      </c>
      <c r="C419" t="s">
        <v>10503</v>
      </c>
      <c r="D419" t="s">
        <v>13287</v>
      </c>
      <c r="E419" t="str">
        <f>+VLOOKUP(A419,[1]PFE4!$A$7:$F$5208,6,0)</f>
        <v>CARRERA 9  77  19</v>
      </c>
      <c r="F419" s="17">
        <f>+VLOOKUP(A419,[1]PFE4!$A$7:$G$5208,7,0)</f>
        <v>11001</v>
      </c>
      <c r="G419">
        <v>4861149</v>
      </c>
      <c r="H419">
        <v>4329</v>
      </c>
    </row>
    <row r="420" spans="1:8" ht="15" customHeight="1" x14ac:dyDescent="0.25">
      <c r="A420" t="s">
        <v>2664</v>
      </c>
      <c r="B420" t="s">
        <v>6715</v>
      </c>
      <c r="C420" t="s">
        <v>10504</v>
      </c>
      <c r="D420" t="s">
        <v>13287</v>
      </c>
      <c r="E420" t="str">
        <f>+VLOOKUP(A420,[1]PFE4!$A$7:$F$5208,6,0)</f>
        <v>CARRERA 19 B  83  02  OFICINA 502</v>
      </c>
      <c r="F420" s="17">
        <f>+VLOOKUP(A420,[1]PFE4!$A$7:$G$5208,7,0)</f>
        <v>11001</v>
      </c>
      <c r="G420">
        <v>4864816</v>
      </c>
      <c r="H420">
        <v>4329</v>
      </c>
    </row>
    <row r="421" spans="1:8" ht="15" customHeight="1" x14ac:dyDescent="0.25">
      <c r="A421" t="s">
        <v>2665</v>
      </c>
      <c r="B421" t="s">
        <v>6716</v>
      </c>
      <c r="C421" t="s">
        <v>10505</v>
      </c>
      <c r="D421" t="s">
        <v>13287</v>
      </c>
      <c r="E421" t="str">
        <f>+VLOOKUP(A421,[1]PFE4!$A$7:$F$5208,6,0)</f>
        <v>CALLE 32 C  28 C  63</v>
      </c>
      <c r="F421" s="17" t="str">
        <f>+VLOOKUP(A421,[1]PFE4!$A$7:$G$5208,7,0)</f>
        <v>05001</v>
      </c>
      <c r="G421">
        <v>4870024</v>
      </c>
      <c r="H421">
        <v>4329</v>
      </c>
    </row>
    <row r="422" spans="1:8" ht="15" customHeight="1" x14ac:dyDescent="0.25">
      <c r="A422" t="s">
        <v>2666</v>
      </c>
      <c r="B422" t="s">
        <v>6717</v>
      </c>
      <c r="C422" t="s">
        <v>10506</v>
      </c>
      <c r="D422" t="s">
        <v>13287</v>
      </c>
      <c r="E422" t="str">
        <f>+VLOOKUP(A422,[1]PFE4!$A$7:$F$5208,6,0)</f>
        <v>CR 40  42  06 16 20 BRR CABECERA</v>
      </c>
      <c r="F422" s="17">
        <f>+VLOOKUP(A422,[1]PFE4!$A$7:$G$5208,7,0)</f>
        <v>68001</v>
      </c>
      <c r="G422">
        <v>4894328</v>
      </c>
      <c r="H422">
        <v>4329</v>
      </c>
    </row>
    <row r="423" spans="1:8" ht="15" customHeight="1" x14ac:dyDescent="0.25">
      <c r="A423" t="s">
        <v>2667</v>
      </c>
      <c r="B423" t="s">
        <v>6718</v>
      </c>
      <c r="C423" t="s">
        <v>10507</v>
      </c>
      <c r="D423" t="s">
        <v>13287</v>
      </c>
      <c r="E423" t="str">
        <f>+VLOOKUP(A423,[1]PFE4!$A$7:$F$5208,6,0)</f>
        <v>CALLE 57 B  37 A  03</v>
      </c>
      <c r="F423" s="17">
        <f>+VLOOKUP(A423,[1]PFE4!$A$7:$G$5208,7,0)</f>
        <v>11001</v>
      </c>
      <c r="G423">
        <v>4897700</v>
      </c>
      <c r="H423">
        <v>4329</v>
      </c>
    </row>
    <row r="424" spans="1:8" ht="15" customHeight="1" x14ac:dyDescent="0.25">
      <c r="A424" t="s">
        <v>2668</v>
      </c>
      <c r="B424" t="s">
        <v>6719</v>
      </c>
      <c r="C424" t="s">
        <v>10508</v>
      </c>
      <c r="D424" t="s">
        <v>13287</v>
      </c>
      <c r="E424" t="str">
        <f>+VLOOKUP(A424,[1]PFE4!$A$7:$F$5208,6,0)</f>
        <v>CALLE 51 # 103 B - 53 PASADENA</v>
      </c>
      <c r="F424" s="17">
        <f>+VLOOKUP(A424,[1]PFE4!$A$7:$G$5208,7,0)</f>
        <v>11001</v>
      </c>
      <c r="G424">
        <v>4898228</v>
      </c>
      <c r="H424">
        <v>4329</v>
      </c>
    </row>
    <row r="425" spans="1:8" ht="15" customHeight="1" x14ac:dyDescent="0.25">
      <c r="A425" t="s">
        <v>2669</v>
      </c>
      <c r="B425" t="s">
        <v>6720</v>
      </c>
      <c r="C425" t="s">
        <v>10509</v>
      </c>
      <c r="D425" t="s">
        <v>13287</v>
      </c>
      <c r="E425" t="str">
        <f>+VLOOKUP(A425,[1]PFE4!$A$7:$F$5208,6,0)</f>
        <v>CL 79 9 10 OF 601 ED 9 79</v>
      </c>
      <c r="F425" s="17">
        <f>+VLOOKUP(A425,[1]PFE4!$A$7:$G$5208,7,0)</f>
        <v>11001</v>
      </c>
      <c r="G425">
        <v>4902120</v>
      </c>
      <c r="H425">
        <v>4329</v>
      </c>
    </row>
    <row r="426" spans="1:8" ht="15" customHeight="1" x14ac:dyDescent="0.25">
      <c r="A426" t="s">
        <v>2670</v>
      </c>
      <c r="B426" t="s">
        <v>6721</v>
      </c>
      <c r="C426" t="s">
        <v>10510</v>
      </c>
      <c r="D426" t="s">
        <v>13287</v>
      </c>
      <c r="E426" t="str">
        <f>+VLOOKUP(A426,[1]PFE4!$A$7:$F$5208,6,0)</f>
        <v>CALLE 75 72B 50</v>
      </c>
      <c r="F426" s="17" t="str">
        <f>+VLOOKUP(A426,[1]PFE4!$A$7:$G$5208,7,0)</f>
        <v>05001</v>
      </c>
      <c r="G426">
        <v>4906336</v>
      </c>
      <c r="H426">
        <v>4329</v>
      </c>
    </row>
    <row r="427" spans="1:8" ht="15" customHeight="1" x14ac:dyDescent="0.25">
      <c r="A427" t="s">
        <v>2671</v>
      </c>
      <c r="B427" t="s">
        <v>6722</v>
      </c>
      <c r="C427" t="s">
        <v>10511</v>
      </c>
      <c r="D427" t="s">
        <v>13287</v>
      </c>
      <c r="E427" t="str">
        <f>+VLOOKUP(A427,[1]PFE4!$A$7:$F$5208,6,0)</f>
        <v>CARRERA 11  5  26  APARTAMENTO 302</v>
      </c>
      <c r="F427" s="17">
        <f>+VLOOKUP(A427,[1]PFE4!$A$7:$G$5208,7,0)</f>
        <v>11001</v>
      </c>
      <c r="G427">
        <v>4911280</v>
      </c>
      <c r="H427">
        <v>4329</v>
      </c>
    </row>
    <row r="428" spans="1:8" ht="15" customHeight="1" x14ac:dyDescent="0.25">
      <c r="A428" t="s">
        <v>2672</v>
      </c>
      <c r="B428" t="s">
        <v>6723</v>
      </c>
      <c r="C428" t="s">
        <v>10512</v>
      </c>
      <c r="D428" t="s">
        <v>13287</v>
      </c>
      <c r="E428" t="str">
        <f>+VLOOKUP(A428,[1]PFE4!$A$7:$F$5208,6,0)</f>
        <v>CR 7 74 09 P 6</v>
      </c>
      <c r="F428" s="17">
        <f>+VLOOKUP(A428,[1]PFE4!$A$7:$G$5208,7,0)</f>
        <v>11001</v>
      </c>
      <c r="G428">
        <v>4914480</v>
      </c>
      <c r="H428">
        <v>4329</v>
      </c>
    </row>
    <row r="429" spans="1:8" ht="15" customHeight="1" x14ac:dyDescent="0.25">
      <c r="A429" t="s">
        <v>2673</v>
      </c>
      <c r="B429" t="s">
        <v>6724</v>
      </c>
      <c r="C429" t="s">
        <v>10513</v>
      </c>
      <c r="D429" t="s">
        <v>13287</v>
      </c>
      <c r="E429" t="str">
        <f>+VLOOKUP(A429,[1]PFE4!$A$7:$F$5208,6,0)</f>
        <v>CARRERA 13  61  87</v>
      </c>
      <c r="F429" s="17">
        <f>+VLOOKUP(A429,[1]PFE4!$A$7:$G$5208,7,0)</f>
        <v>11001</v>
      </c>
      <c r="G429">
        <v>4914480</v>
      </c>
      <c r="H429">
        <v>4329</v>
      </c>
    </row>
    <row r="430" spans="1:8" ht="15" customHeight="1" x14ac:dyDescent="0.25">
      <c r="A430" t="s">
        <v>2674</v>
      </c>
      <c r="B430" t="s">
        <v>6725</v>
      </c>
      <c r="C430" t="s">
        <v>10514</v>
      </c>
      <c r="D430" t="s">
        <v>13287</v>
      </c>
      <c r="E430" t="str">
        <f>+VLOOKUP(A430,[1]PFE4!$A$7:$F$5208,6,0)</f>
        <v>CARRERA 51 102 A-64</v>
      </c>
      <c r="F430" s="17">
        <f>+VLOOKUP(A430,[1]PFE4!$A$7:$G$5208,7,0)</f>
        <v>11001</v>
      </c>
      <c r="G430">
        <v>4919440</v>
      </c>
      <c r="H430">
        <v>4329</v>
      </c>
    </row>
    <row r="431" spans="1:8" ht="15" customHeight="1" x14ac:dyDescent="0.25">
      <c r="A431" t="s">
        <v>2675</v>
      </c>
      <c r="B431" t="s">
        <v>6726</v>
      </c>
      <c r="C431" t="s">
        <v>10515</v>
      </c>
      <c r="D431" t="s">
        <v>13287</v>
      </c>
      <c r="E431" t="str">
        <f>+VLOOKUP(A431,[1]PFE4!$A$7:$F$5208,6,0)</f>
        <v>CR 21 53 D 15</v>
      </c>
      <c r="F431" s="17">
        <f>+VLOOKUP(A431,[1]PFE4!$A$7:$G$5208,7,0)</f>
        <v>11001</v>
      </c>
      <c r="G431">
        <v>4934192</v>
      </c>
      <c r="H431">
        <v>4329</v>
      </c>
    </row>
    <row r="432" spans="1:8" ht="15" customHeight="1" x14ac:dyDescent="0.25">
      <c r="A432" t="s">
        <v>2676</v>
      </c>
      <c r="B432" t="s">
        <v>6727</v>
      </c>
      <c r="C432" t="s">
        <v>10516</v>
      </c>
      <c r="D432" t="s">
        <v>13287</v>
      </c>
      <c r="E432" t="str">
        <f>+VLOOKUP(A432,[1]PFE4!$A$7:$F$5208,6,0)</f>
        <v>CARRERA 14  90  31  OFICINA 402</v>
      </c>
      <c r="F432" s="17">
        <f>+VLOOKUP(A432,[1]PFE4!$A$7:$G$5208,7,0)</f>
        <v>11001</v>
      </c>
      <c r="G432">
        <v>4943883</v>
      </c>
      <c r="H432">
        <v>4329</v>
      </c>
    </row>
    <row r="433" spans="1:8" ht="15" customHeight="1" x14ac:dyDescent="0.25">
      <c r="A433" t="s">
        <v>2677</v>
      </c>
      <c r="B433" t="s">
        <v>6728</v>
      </c>
      <c r="C433" t="s">
        <v>10517</v>
      </c>
      <c r="D433" t="s">
        <v>13287</v>
      </c>
      <c r="E433" t="str">
        <f>+VLOOKUP(A433,[1]PFE4!$A$7:$F$5208,6,0)</f>
        <v>CALLE 35  12  76</v>
      </c>
      <c r="F433" s="17">
        <f>+VLOOKUP(A433,[1]PFE4!$A$7:$G$5208,7,0)</f>
        <v>11001</v>
      </c>
      <c r="G433">
        <v>4948452</v>
      </c>
      <c r="H433">
        <v>4329</v>
      </c>
    </row>
    <row r="434" spans="1:8" ht="15" customHeight="1" x14ac:dyDescent="0.25">
      <c r="A434" t="s">
        <v>2678</v>
      </c>
      <c r="B434" t="s">
        <v>6729</v>
      </c>
      <c r="C434">
        <v>3219664011</v>
      </c>
      <c r="D434" t="s">
        <v>13287</v>
      </c>
      <c r="E434" t="str">
        <f>+VLOOKUP(A434,[1]PFE4!$A$7:$F$5208,6,0)</f>
        <v>CALLE 38  16  07</v>
      </c>
      <c r="F434" s="17">
        <f>+VLOOKUP(A434,[1]PFE4!$A$7:$G$5208,7,0)</f>
        <v>11001</v>
      </c>
      <c r="G434">
        <v>4949973</v>
      </c>
      <c r="H434">
        <v>4329</v>
      </c>
    </row>
    <row r="435" spans="1:8" ht="15" customHeight="1" x14ac:dyDescent="0.25">
      <c r="A435" t="s">
        <v>2679</v>
      </c>
      <c r="B435" t="s">
        <v>6730</v>
      </c>
      <c r="C435" t="s">
        <v>10518</v>
      </c>
      <c r="D435" t="s">
        <v>13287</v>
      </c>
      <c r="E435" t="str">
        <f>+VLOOKUP(A435,[1]PFE4!$A$7:$F$5208,6,0)</f>
        <v>AVENIDA 19  23 NORTE  21</v>
      </c>
      <c r="F435" s="17">
        <f>+VLOOKUP(A435,[1]PFE4!$A$7:$G$5208,7,0)</f>
        <v>63001</v>
      </c>
      <c r="G435">
        <v>4950000</v>
      </c>
      <c r="H435">
        <v>4329</v>
      </c>
    </row>
    <row r="436" spans="1:8" ht="15" customHeight="1" x14ac:dyDescent="0.25">
      <c r="A436" t="s">
        <v>2680</v>
      </c>
      <c r="B436" t="s">
        <v>6731</v>
      </c>
      <c r="C436" t="s">
        <v>10519</v>
      </c>
      <c r="D436" t="s">
        <v>13287</v>
      </c>
      <c r="E436" t="str">
        <f>+VLOOKUP(A436,[1]PFE4!$A$7:$F$5208,6,0)</f>
        <v>CR 56 74 41</v>
      </c>
      <c r="F436" s="17" t="str">
        <f>+VLOOKUP(A436,[1]PFE4!$A$7:$G$5208,7,0)</f>
        <v>08001</v>
      </c>
      <c r="G436">
        <v>4960000</v>
      </c>
      <c r="H436">
        <v>4329</v>
      </c>
    </row>
    <row r="437" spans="1:8" ht="15" customHeight="1" x14ac:dyDescent="0.25">
      <c r="A437" t="s">
        <v>2681</v>
      </c>
      <c r="B437" t="s">
        <v>6732</v>
      </c>
      <c r="C437">
        <v>0</v>
      </c>
      <c r="D437" t="s">
        <v>13287</v>
      </c>
      <c r="E437">
        <v>0</v>
      </c>
      <c r="F437" s="17">
        <v>11001</v>
      </c>
      <c r="G437">
        <v>4960140</v>
      </c>
      <c r="H437">
        <v>4329</v>
      </c>
    </row>
    <row r="438" spans="1:8" ht="15" customHeight="1" x14ac:dyDescent="0.25">
      <c r="A438" t="s">
        <v>2682</v>
      </c>
      <c r="B438" t="s">
        <v>6733</v>
      </c>
      <c r="C438" t="s">
        <v>10520</v>
      </c>
      <c r="D438" t="s">
        <v>13287</v>
      </c>
      <c r="E438" t="str">
        <f>+VLOOKUP(A438,[1]PFE4!$A$7:$F$5208,6,0)</f>
        <v>CALLE 124  18  78</v>
      </c>
      <c r="F438" s="17">
        <f>+VLOOKUP(A438,[1]PFE4!$A$7:$G$5208,7,0)</f>
        <v>11001</v>
      </c>
      <c r="G438">
        <v>4963387</v>
      </c>
      <c r="H438">
        <v>4329</v>
      </c>
    </row>
    <row r="439" spans="1:8" ht="15" customHeight="1" x14ac:dyDescent="0.25">
      <c r="A439" t="s">
        <v>2683</v>
      </c>
      <c r="B439" t="s">
        <v>6734</v>
      </c>
      <c r="C439">
        <v>0</v>
      </c>
      <c r="D439" t="s">
        <v>13287</v>
      </c>
      <c r="E439">
        <v>0</v>
      </c>
      <c r="F439" s="17">
        <v>11001</v>
      </c>
      <c r="G439">
        <v>4974000</v>
      </c>
      <c r="H439">
        <v>4329</v>
      </c>
    </row>
    <row r="440" spans="1:8" ht="15" customHeight="1" x14ac:dyDescent="0.25">
      <c r="A440" t="s">
        <v>2684</v>
      </c>
      <c r="B440" t="s">
        <v>6735</v>
      </c>
      <c r="C440" t="s">
        <v>10521</v>
      </c>
      <c r="D440" t="s">
        <v>13287</v>
      </c>
      <c r="E440" t="str">
        <f>+VLOOKUP(A440,[1]PFE4!$A$7:$F$5208,6,0)</f>
        <v>CL 80 SUR 58 78</v>
      </c>
      <c r="F440" s="17" t="str">
        <f>+VLOOKUP(A440,[1]PFE4!$A$7:$G$5208,7,0)</f>
        <v>05380</v>
      </c>
      <c r="G440">
        <v>4974100</v>
      </c>
      <c r="H440">
        <v>4329</v>
      </c>
    </row>
    <row r="441" spans="1:8" ht="15" customHeight="1" x14ac:dyDescent="0.25">
      <c r="A441" t="s">
        <v>2685</v>
      </c>
      <c r="B441" t="s">
        <v>6736</v>
      </c>
      <c r="C441" t="s">
        <v>10522</v>
      </c>
      <c r="D441" t="s">
        <v>13287</v>
      </c>
      <c r="E441" t="str">
        <f>+VLOOKUP(A441,[1]PFE4!$A$7:$F$5208,6,0)</f>
        <v>AVENIDA 15  119  32  OFICINA 308</v>
      </c>
      <c r="F441" s="17">
        <f>+VLOOKUP(A441,[1]PFE4!$A$7:$G$5208,7,0)</f>
        <v>11001</v>
      </c>
      <c r="G441">
        <v>4976172</v>
      </c>
      <c r="H441">
        <v>4329</v>
      </c>
    </row>
    <row r="442" spans="1:8" ht="15" customHeight="1" x14ac:dyDescent="0.25">
      <c r="A442" t="s">
        <v>2686</v>
      </c>
      <c r="B442" t="s">
        <v>6737</v>
      </c>
      <c r="C442">
        <v>3219664011</v>
      </c>
      <c r="D442" t="s">
        <v>13287</v>
      </c>
      <c r="E442" t="str">
        <f>+VLOOKUP(A442,[1]PFE4!$A$7:$F$5208,6,0)</f>
        <v>CALLE 11 A  21  02</v>
      </c>
      <c r="F442" s="17">
        <f>+VLOOKUP(A442,[1]PFE4!$A$7:$G$5208,7,0)</f>
        <v>47001</v>
      </c>
      <c r="G442">
        <v>4976400</v>
      </c>
      <c r="H442">
        <v>4329</v>
      </c>
    </row>
    <row r="443" spans="1:8" ht="15" customHeight="1" x14ac:dyDescent="0.25">
      <c r="A443" t="s">
        <v>2687</v>
      </c>
      <c r="B443" t="s">
        <v>6738</v>
      </c>
      <c r="C443" t="s">
        <v>10523</v>
      </c>
      <c r="D443" t="s">
        <v>13287</v>
      </c>
      <c r="E443" t="str">
        <f>+VLOOKUP(A443,[1]PFE4!$A$7:$F$5208,6,0)</f>
        <v>CARRERA 13  34  30  PISO 2</v>
      </c>
      <c r="F443" s="17">
        <f>+VLOOKUP(A443,[1]PFE4!$A$7:$G$5208,7,0)</f>
        <v>66170</v>
      </c>
      <c r="G443">
        <v>4984258</v>
      </c>
      <c r="H443">
        <v>4329</v>
      </c>
    </row>
    <row r="444" spans="1:8" ht="15" customHeight="1" x14ac:dyDescent="0.25">
      <c r="A444" t="s">
        <v>2688</v>
      </c>
      <c r="B444" t="s">
        <v>6739</v>
      </c>
      <c r="C444" t="s">
        <v>10524</v>
      </c>
      <c r="D444" t="s">
        <v>13287</v>
      </c>
      <c r="E444" t="str">
        <f>+VLOOKUP(A444,[1]PFE4!$A$7:$F$5208,6,0)</f>
        <v>TV 1 113 81</v>
      </c>
      <c r="F444" s="17">
        <f>+VLOOKUP(A444,[1]PFE4!$A$7:$G$5208,7,0)</f>
        <v>11001</v>
      </c>
      <c r="G444">
        <v>4992276</v>
      </c>
      <c r="H444">
        <v>4329</v>
      </c>
    </row>
    <row r="445" spans="1:8" ht="15" customHeight="1" x14ac:dyDescent="0.25">
      <c r="A445" t="s">
        <v>2689</v>
      </c>
      <c r="B445" t="s">
        <v>6740</v>
      </c>
      <c r="C445" t="s">
        <v>10525</v>
      </c>
      <c r="D445" t="s">
        <v>13287</v>
      </c>
      <c r="E445" t="str">
        <f>+VLOOKUP(A445,[1]PFE4!$A$7:$F$5208,6,0)</f>
        <v>CL 29 3 45 AP 402 URB BELLAVISTA ED TITANIO</v>
      </c>
      <c r="F445" s="17">
        <f>+VLOOKUP(A445,[1]PFE4!$A$7:$G$5208,7,0)</f>
        <v>11001</v>
      </c>
      <c r="G445">
        <v>4993290</v>
      </c>
      <c r="H445">
        <v>4329</v>
      </c>
    </row>
    <row r="446" spans="1:8" ht="15" customHeight="1" x14ac:dyDescent="0.25">
      <c r="A446" t="s">
        <v>2690</v>
      </c>
      <c r="B446" t="s">
        <v>6741</v>
      </c>
      <c r="C446" t="s">
        <v>10526</v>
      </c>
      <c r="D446" t="s">
        <v>13287</v>
      </c>
      <c r="E446" t="str">
        <f>+VLOOKUP(A446,[1]PFE4!$A$7:$F$5208,6,0)</f>
        <v>CALLE 3 SUR  18  45</v>
      </c>
      <c r="F446" s="17">
        <f>+VLOOKUP(A446,[1]PFE4!$A$7:$G$5208,7,0)</f>
        <v>50001</v>
      </c>
      <c r="G446">
        <v>5002944</v>
      </c>
      <c r="H446">
        <v>4329</v>
      </c>
    </row>
    <row r="447" spans="1:8" ht="15" customHeight="1" x14ac:dyDescent="0.25">
      <c r="A447" t="s">
        <v>2691</v>
      </c>
      <c r="B447" t="s">
        <v>6742</v>
      </c>
      <c r="C447" t="s">
        <v>10527</v>
      </c>
      <c r="D447" t="s">
        <v>13287</v>
      </c>
      <c r="E447" t="str">
        <f>+VLOOKUP(A447,[1]PFE4!$A$7:$F$5208,6,0)</f>
        <v>CALLE 37 B SUR CARRERA 27 B 81</v>
      </c>
      <c r="F447" s="17" t="str">
        <f>+VLOOKUP(A447,[1]PFE4!$A$7:$G$5208,7,0)</f>
        <v>05266</v>
      </c>
      <c r="G447">
        <v>5006300</v>
      </c>
      <c r="H447">
        <v>4329</v>
      </c>
    </row>
    <row r="448" spans="1:8" ht="15" customHeight="1" x14ac:dyDescent="0.25">
      <c r="A448" t="s">
        <v>2692</v>
      </c>
      <c r="B448" t="s">
        <v>6743</v>
      </c>
      <c r="C448" t="s">
        <v>10528</v>
      </c>
      <c r="D448" t="s">
        <v>13287</v>
      </c>
      <c r="E448" t="str">
        <f>+VLOOKUP(A448,[1]PFE4!$A$7:$F$5208,6,0)</f>
        <v>CR 10 9 20</v>
      </c>
      <c r="F448" s="17">
        <f>+VLOOKUP(A448,[1]PFE4!$A$7:$G$5208,7,0)</f>
        <v>17001</v>
      </c>
      <c r="G448">
        <v>5012700</v>
      </c>
      <c r="H448">
        <v>4329</v>
      </c>
    </row>
    <row r="449" spans="1:8" ht="15" customHeight="1" x14ac:dyDescent="0.25">
      <c r="A449" t="s">
        <v>2693</v>
      </c>
      <c r="B449" t="s">
        <v>6744</v>
      </c>
      <c r="C449" t="s">
        <v>10529</v>
      </c>
      <c r="D449" t="s">
        <v>13287</v>
      </c>
      <c r="E449" t="str">
        <f>+VLOOKUP(A449,[1]PFE4!$A$7:$F$5208,6,0)</f>
        <v>CARRERA 21  47  52</v>
      </c>
      <c r="F449" s="17">
        <f>+VLOOKUP(A449,[1]PFE4!$A$7:$G$5208,7,0)</f>
        <v>63001</v>
      </c>
      <c r="G449">
        <v>5020700</v>
      </c>
      <c r="H449">
        <v>4329</v>
      </c>
    </row>
    <row r="450" spans="1:8" ht="15" customHeight="1" x14ac:dyDescent="0.25">
      <c r="A450" t="s">
        <v>2694</v>
      </c>
      <c r="B450" t="s">
        <v>6745</v>
      </c>
      <c r="C450" t="s">
        <v>10530</v>
      </c>
      <c r="D450" t="s">
        <v>13287</v>
      </c>
      <c r="E450" t="str">
        <f>+VLOOKUP(A450,[1]PFE4!$A$7:$F$5208,6,0)</f>
        <v>KM 82 TRONCAL OCCIDENTE A LA ALTURA DEL CORR DE TIERRA GRATA</v>
      </c>
      <c r="F450" s="17" t="str">
        <f>+VLOOKUP(A450,[1]PFE4!$A$7:$G$5208,7,0)</f>
        <v>08573</v>
      </c>
      <c r="G450">
        <v>5033869</v>
      </c>
      <c r="H450">
        <v>4329</v>
      </c>
    </row>
    <row r="451" spans="1:8" ht="15" customHeight="1" x14ac:dyDescent="0.25">
      <c r="A451" t="s">
        <v>2695</v>
      </c>
      <c r="B451" t="s">
        <v>6746</v>
      </c>
      <c r="C451" t="s">
        <v>10531</v>
      </c>
      <c r="D451" t="s">
        <v>13287</v>
      </c>
      <c r="E451" t="str">
        <f>+VLOOKUP(A451,[1]PFE4!$A$7:$F$5208,6,0)</f>
        <v>CRA 36 17 73</v>
      </c>
      <c r="F451" s="17">
        <f>+VLOOKUP(A451,[1]PFE4!$A$7:$G$5208,7,0)</f>
        <v>52001</v>
      </c>
      <c r="G451">
        <v>5042016</v>
      </c>
      <c r="H451">
        <v>4329</v>
      </c>
    </row>
    <row r="452" spans="1:8" ht="15" customHeight="1" x14ac:dyDescent="0.25">
      <c r="A452" t="s">
        <v>2696</v>
      </c>
      <c r="B452" t="s">
        <v>6747</v>
      </c>
      <c r="C452" t="s">
        <v>10532</v>
      </c>
      <c r="D452" t="s">
        <v>13287</v>
      </c>
      <c r="E452" t="str">
        <f>+VLOOKUP(A452,[1]PFE4!$A$7:$F$5208,6,0)</f>
        <v>CL 36 22 A 108 CA 18 URB VALTERRA BRR CAÑAVERAL</v>
      </c>
      <c r="F452" s="17">
        <f>+VLOOKUP(A452,[1]PFE4!$A$7:$G$5208,7,0)</f>
        <v>68276</v>
      </c>
      <c r="G452">
        <v>5050120</v>
      </c>
      <c r="H452">
        <v>4329</v>
      </c>
    </row>
    <row r="453" spans="1:8" ht="15" customHeight="1" x14ac:dyDescent="0.25">
      <c r="A453" t="s">
        <v>2697</v>
      </c>
      <c r="B453" t="s">
        <v>6748</v>
      </c>
      <c r="C453" t="s">
        <v>10533</v>
      </c>
      <c r="D453" t="s">
        <v>13287</v>
      </c>
      <c r="E453" t="str">
        <f>+VLOOKUP(A453,[1]PFE4!$A$7:$F$5208,6,0)</f>
        <v>CARRERA 23  35 A  44</v>
      </c>
      <c r="F453" s="17">
        <f>+VLOOKUP(A453,[1]PFE4!$A$7:$G$5208,7,0)</f>
        <v>68276</v>
      </c>
      <c r="G453">
        <v>5062960</v>
      </c>
      <c r="H453">
        <v>4329</v>
      </c>
    </row>
    <row r="454" spans="1:8" ht="15" customHeight="1" x14ac:dyDescent="0.25">
      <c r="A454" t="s">
        <v>2698</v>
      </c>
      <c r="B454" t="s">
        <v>6749</v>
      </c>
      <c r="C454" t="s">
        <v>10534</v>
      </c>
      <c r="D454" t="s">
        <v>13287</v>
      </c>
      <c r="E454" t="str">
        <f>+VLOOKUP(A454,[1]PFE4!$A$7:$F$5208,6,0)</f>
        <v>MZ 36 LT 12 AP 3 BRR ZULIMA ET 1</v>
      </c>
      <c r="F454" s="17">
        <f>+VLOOKUP(A454,[1]PFE4!$A$7:$G$5208,7,0)</f>
        <v>54498</v>
      </c>
      <c r="G454">
        <v>5063215</v>
      </c>
      <c r="H454">
        <v>4329</v>
      </c>
    </row>
    <row r="455" spans="1:8" ht="15" customHeight="1" x14ac:dyDescent="0.25">
      <c r="A455" t="s">
        <v>2699</v>
      </c>
      <c r="B455" t="s">
        <v>6750</v>
      </c>
      <c r="C455" t="s">
        <v>10535</v>
      </c>
      <c r="D455" t="s">
        <v>13287</v>
      </c>
      <c r="E455" t="str">
        <f>+VLOOKUP(A455,[1]PFE4!$A$7:$F$5208,6,0)</f>
        <v>CR 8 D 181 25</v>
      </c>
      <c r="F455" s="17">
        <f>+VLOOKUP(A455,[1]PFE4!$A$7:$G$5208,7,0)</f>
        <v>11001</v>
      </c>
      <c r="G455">
        <v>5063818</v>
      </c>
      <c r="H455">
        <v>4329</v>
      </c>
    </row>
    <row r="456" spans="1:8" ht="15" customHeight="1" x14ac:dyDescent="0.25">
      <c r="A456" t="s">
        <v>2700</v>
      </c>
      <c r="B456" t="s">
        <v>6751</v>
      </c>
      <c r="C456" t="s">
        <v>10536</v>
      </c>
      <c r="D456" t="s">
        <v>13287</v>
      </c>
      <c r="E456" t="str">
        <f>+VLOOKUP(A456,[1]PFE4!$A$7:$F$5208,6,0)</f>
        <v>CR 24 20 22</v>
      </c>
      <c r="F456" s="17">
        <f>+VLOOKUP(A456,[1]PFE4!$A$7:$G$5208,7,0)</f>
        <v>11001</v>
      </c>
      <c r="G456">
        <v>5074151</v>
      </c>
      <c r="H456">
        <v>4329</v>
      </c>
    </row>
    <row r="457" spans="1:8" ht="15" customHeight="1" x14ac:dyDescent="0.25">
      <c r="A457" t="s">
        <v>2701</v>
      </c>
      <c r="B457" t="s">
        <v>6752</v>
      </c>
      <c r="C457" t="s">
        <v>10537</v>
      </c>
      <c r="D457" t="s">
        <v>13287</v>
      </c>
      <c r="E457" t="str">
        <f>+VLOOKUP(A457,[1]PFE4!$A$7:$F$5208,6,0)</f>
        <v>CALLE 136 No. 22-25</v>
      </c>
      <c r="F457" s="17">
        <f>+VLOOKUP(A457,[1]PFE4!$A$7:$G$5208,7,0)</f>
        <v>11001</v>
      </c>
      <c r="G457">
        <v>5074688</v>
      </c>
      <c r="H457">
        <v>4329</v>
      </c>
    </row>
    <row r="458" spans="1:8" ht="15" customHeight="1" x14ac:dyDescent="0.25">
      <c r="A458" t="s">
        <v>2702</v>
      </c>
      <c r="B458" t="s">
        <v>6753</v>
      </c>
      <c r="C458" t="s">
        <v>10538</v>
      </c>
      <c r="D458" t="s">
        <v>13287</v>
      </c>
      <c r="E458" t="str">
        <f>+VLOOKUP(A458,[1]PFE4!$A$7:$F$5208,6,0)</f>
        <v>CALLE 97  16  37</v>
      </c>
      <c r="F458" s="17">
        <f>+VLOOKUP(A458,[1]PFE4!$A$7:$G$5208,7,0)</f>
        <v>11001</v>
      </c>
      <c r="G458">
        <v>5086630</v>
      </c>
      <c r="H458">
        <v>4329</v>
      </c>
    </row>
    <row r="459" spans="1:8" ht="15" customHeight="1" x14ac:dyDescent="0.25">
      <c r="A459" t="s">
        <v>2703</v>
      </c>
      <c r="B459" t="s">
        <v>6754</v>
      </c>
      <c r="C459" t="s">
        <v>10539</v>
      </c>
      <c r="D459" t="s">
        <v>13287</v>
      </c>
      <c r="E459" t="str">
        <f>+VLOOKUP(A459,[1]PFE4!$A$7:$F$5208,6,0)</f>
        <v>CALLE 49 D  83 A  68</v>
      </c>
      <c r="F459" s="17" t="str">
        <f>+VLOOKUP(A459,[1]PFE4!$A$7:$G$5208,7,0)</f>
        <v>05001</v>
      </c>
      <c r="G459">
        <v>5100000</v>
      </c>
      <c r="H459">
        <v>4329</v>
      </c>
    </row>
    <row r="460" spans="1:8" ht="15" customHeight="1" x14ac:dyDescent="0.25">
      <c r="A460" t="s">
        <v>2704</v>
      </c>
      <c r="B460" t="s">
        <v>6755</v>
      </c>
      <c r="C460" t="s">
        <v>10391</v>
      </c>
      <c r="D460" t="s">
        <v>13287</v>
      </c>
      <c r="E460" t="str">
        <f>+VLOOKUP(A460,[1]PFE4!$A$7:$F$5208,6,0)</f>
        <v>CARRERA 9 BIS  119  07</v>
      </c>
      <c r="F460" s="17">
        <f>+VLOOKUP(A460,[1]PFE4!$A$7:$G$5208,7,0)</f>
        <v>11001</v>
      </c>
      <c r="G460">
        <v>5106662</v>
      </c>
      <c r="H460">
        <v>4329</v>
      </c>
    </row>
    <row r="461" spans="1:8" ht="15" customHeight="1" x14ac:dyDescent="0.25">
      <c r="A461" t="s">
        <v>2705</v>
      </c>
      <c r="B461" t="s">
        <v>6756</v>
      </c>
      <c r="C461">
        <v>0</v>
      </c>
      <c r="D461" t="s">
        <v>13287</v>
      </c>
      <c r="E461">
        <v>0</v>
      </c>
      <c r="F461" s="17">
        <v>11001</v>
      </c>
      <c r="G461">
        <v>5120000</v>
      </c>
      <c r="H461">
        <v>4329</v>
      </c>
    </row>
    <row r="462" spans="1:8" ht="15" customHeight="1" x14ac:dyDescent="0.25">
      <c r="A462" t="s">
        <v>2706</v>
      </c>
      <c r="B462" t="s">
        <v>6757</v>
      </c>
      <c r="C462" t="s">
        <v>10540</v>
      </c>
      <c r="D462" t="s">
        <v>13287</v>
      </c>
      <c r="E462" t="str">
        <f>+VLOOKUP(A462,[1]PFE4!$A$7:$F$5208,6,0)</f>
        <v>TRANSVERSAL 6  51 A  72</v>
      </c>
      <c r="F462" s="17">
        <f>+VLOOKUP(A462,[1]PFE4!$A$7:$G$5208,7,0)</f>
        <v>11001</v>
      </c>
      <c r="G462">
        <v>5126406</v>
      </c>
      <c r="H462">
        <v>4329</v>
      </c>
    </row>
    <row r="463" spans="1:8" ht="15" customHeight="1" x14ac:dyDescent="0.25">
      <c r="A463" t="s">
        <v>2707</v>
      </c>
      <c r="B463" t="s">
        <v>6758</v>
      </c>
      <c r="C463">
        <v>0</v>
      </c>
      <c r="D463" t="s">
        <v>13287</v>
      </c>
      <c r="E463">
        <v>0</v>
      </c>
      <c r="F463" s="17">
        <v>11001</v>
      </c>
      <c r="G463">
        <v>5152900</v>
      </c>
      <c r="H463">
        <v>4329</v>
      </c>
    </row>
    <row r="464" spans="1:8" ht="15" customHeight="1" x14ac:dyDescent="0.25">
      <c r="A464" t="s">
        <v>2708</v>
      </c>
      <c r="B464" t="s">
        <v>6759</v>
      </c>
      <c r="C464" t="s">
        <v>10541</v>
      </c>
      <c r="D464" t="s">
        <v>13287</v>
      </c>
      <c r="E464" t="str">
        <f>+VLOOKUP(A464,[1]PFE4!$A$7:$F$5208,6,0)</f>
        <v>CL 90 NO. 12 28</v>
      </c>
      <c r="F464" s="17">
        <f>+VLOOKUP(A464,[1]PFE4!$A$7:$G$5208,7,0)</f>
        <v>11001</v>
      </c>
      <c r="G464">
        <v>5168067</v>
      </c>
      <c r="H464">
        <v>4329</v>
      </c>
    </row>
    <row r="465" spans="1:8" ht="15" customHeight="1" x14ac:dyDescent="0.25">
      <c r="A465" t="s">
        <v>2709</v>
      </c>
      <c r="B465" t="s">
        <v>6760</v>
      </c>
      <c r="C465" t="s">
        <v>10542</v>
      </c>
      <c r="D465" t="s">
        <v>13287</v>
      </c>
      <c r="E465" t="str">
        <f>+VLOOKUP(A465,[1]PFE4!$A$7:$F$5208,6,0)</f>
        <v>CARRERA 42 H  80  153</v>
      </c>
      <c r="F465" s="17" t="str">
        <f>+VLOOKUP(A465,[1]PFE4!$A$7:$G$5208,7,0)</f>
        <v>08001</v>
      </c>
      <c r="G465">
        <v>5175752</v>
      </c>
      <c r="H465">
        <v>4329</v>
      </c>
    </row>
    <row r="466" spans="1:8" ht="15" customHeight="1" x14ac:dyDescent="0.25">
      <c r="A466" t="s">
        <v>2710</v>
      </c>
      <c r="B466" t="s">
        <v>6761</v>
      </c>
      <c r="C466" t="s">
        <v>10543</v>
      </c>
      <c r="D466" t="s">
        <v>13287</v>
      </c>
      <c r="E466" t="str">
        <f>+VLOOKUP(A466,[1]PFE4!$A$7:$F$5208,6,0)</f>
        <v>CALLE 77  14  46  OFICINA 503</v>
      </c>
      <c r="F466" s="17">
        <f>+VLOOKUP(A466,[1]PFE4!$A$7:$G$5208,7,0)</f>
        <v>11001</v>
      </c>
      <c r="G466">
        <v>5189551</v>
      </c>
      <c r="H466">
        <v>4329</v>
      </c>
    </row>
    <row r="467" spans="1:8" ht="15" customHeight="1" x14ac:dyDescent="0.25">
      <c r="A467" t="s">
        <v>2711</v>
      </c>
      <c r="B467" t="s">
        <v>6762</v>
      </c>
      <c r="C467" t="s">
        <v>10544</v>
      </c>
      <c r="D467" t="s">
        <v>13287</v>
      </c>
      <c r="E467" t="str">
        <f>+VLOOKUP(A467,[1]PFE4!$A$7:$F$5208,6,0)</f>
        <v>CL 103 21 74</v>
      </c>
      <c r="F467" s="17">
        <f>+VLOOKUP(A467,[1]PFE4!$A$7:$G$5208,7,0)</f>
        <v>11001</v>
      </c>
      <c r="G467">
        <v>5191646</v>
      </c>
      <c r="H467">
        <v>4329</v>
      </c>
    </row>
    <row r="468" spans="1:8" ht="15" customHeight="1" x14ac:dyDescent="0.25">
      <c r="A468" t="s">
        <v>2712</v>
      </c>
      <c r="B468" t="s">
        <v>6763</v>
      </c>
      <c r="C468" t="s">
        <v>10545</v>
      </c>
      <c r="D468" t="s">
        <v>13287</v>
      </c>
      <c r="E468" t="str">
        <f>+VLOOKUP(A468,[1]PFE4!$A$7:$F$5208,6,0)</f>
        <v>CL 71 No. 1 - 998 LA FLORIDA</v>
      </c>
      <c r="F468" s="17">
        <f>+VLOOKUP(A468,[1]PFE4!$A$7:$G$5208,7,0)</f>
        <v>17873</v>
      </c>
      <c r="G468">
        <v>5198628</v>
      </c>
      <c r="H468">
        <v>4329</v>
      </c>
    </row>
    <row r="469" spans="1:8" ht="15" customHeight="1" x14ac:dyDescent="0.25">
      <c r="A469" t="s">
        <v>2713</v>
      </c>
      <c r="B469" t="s">
        <v>6764</v>
      </c>
      <c r="C469" t="s">
        <v>10546</v>
      </c>
      <c r="D469" t="s">
        <v>13287</v>
      </c>
      <c r="E469" t="str">
        <f>+VLOOKUP(A469,[1]PFE4!$A$7:$F$5208,6,0)</f>
        <v>CARRERA 27 AA  36 SUR  151</v>
      </c>
      <c r="F469" s="17" t="str">
        <f>+VLOOKUP(A469,[1]PFE4!$A$7:$G$5208,7,0)</f>
        <v>05266</v>
      </c>
      <c r="G469">
        <v>5210940</v>
      </c>
      <c r="H469">
        <v>4329</v>
      </c>
    </row>
    <row r="470" spans="1:8" ht="15" customHeight="1" x14ac:dyDescent="0.25">
      <c r="A470" t="s">
        <v>2714</v>
      </c>
      <c r="B470" t="s">
        <v>6765</v>
      </c>
      <c r="C470" t="s">
        <v>10547</v>
      </c>
      <c r="D470" t="s">
        <v>13287</v>
      </c>
      <c r="E470" t="str">
        <f>+VLOOKUP(A470,[1]PFE4!$A$7:$F$5208,6,0)</f>
        <v>CARRERA 19 A  118  95</v>
      </c>
      <c r="F470" s="17">
        <f>+VLOOKUP(A470,[1]PFE4!$A$7:$G$5208,7,0)</f>
        <v>11001</v>
      </c>
      <c r="G470">
        <v>5215637</v>
      </c>
      <c r="H470">
        <v>4329</v>
      </c>
    </row>
    <row r="471" spans="1:8" ht="15" customHeight="1" x14ac:dyDescent="0.25">
      <c r="A471" t="s">
        <v>2715</v>
      </c>
      <c r="B471" t="s">
        <v>6766</v>
      </c>
      <c r="C471" t="s">
        <v>10548</v>
      </c>
      <c r="D471" t="s">
        <v>13287</v>
      </c>
      <c r="E471" t="str">
        <f>+VLOOKUP(A471,[1]PFE4!$A$7:$F$5208,6,0)</f>
        <v>CL 18 25 41 49 51</v>
      </c>
      <c r="F471" s="17">
        <f>+VLOOKUP(A471,[1]PFE4!$A$7:$G$5208,7,0)</f>
        <v>68001</v>
      </c>
      <c r="G471">
        <v>5224336</v>
      </c>
      <c r="H471">
        <v>4329</v>
      </c>
    </row>
    <row r="472" spans="1:8" ht="15" customHeight="1" x14ac:dyDescent="0.25">
      <c r="A472" t="s">
        <v>2716</v>
      </c>
      <c r="B472" t="s">
        <v>6767</v>
      </c>
      <c r="C472" t="s">
        <v>10549</v>
      </c>
      <c r="D472" t="s">
        <v>13287</v>
      </c>
      <c r="E472" t="str">
        <f>+VLOOKUP(A472,[1]PFE4!$A$7:$F$5208,6,0)</f>
        <v>CARRERA 64B  94  128</v>
      </c>
      <c r="F472" s="17" t="str">
        <f>+VLOOKUP(A472,[1]PFE4!$A$7:$G$5208,7,0)</f>
        <v>08001</v>
      </c>
      <c r="G472">
        <v>5225000</v>
      </c>
      <c r="H472">
        <v>4329</v>
      </c>
    </row>
    <row r="473" spans="1:8" ht="15" customHeight="1" x14ac:dyDescent="0.25">
      <c r="A473" t="s">
        <v>2717</v>
      </c>
      <c r="B473" t="s">
        <v>6768</v>
      </c>
      <c r="C473" t="s">
        <v>10550</v>
      </c>
      <c r="D473" t="s">
        <v>13287</v>
      </c>
      <c r="E473" t="str">
        <f>+VLOOKUP(A473,[1]PFE4!$A$7:$F$5208,6,0)</f>
        <v>CL 61 17C 43</v>
      </c>
      <c r="F473" s="17">
        <f>+VLOOKUP(A473,[1]PFE4!$A$7:$G$5208,7,0)</f>
        <v>68001</v>
      </c>
      <c r="G473">
        <v>5225146</v>
      </c>
      <c r="H473">
        <v>4329</v>
      </c>
    </row>
    <row r="474" spans="1:8" ht="15" customHeight="1" x14ac:dyDescent="0.25">
      <c r="A474" t="s">
        <v>2718</v>
      </c>
      <c r="B474" t="s">
        <v>6769</v>
      </c>
      <c r="C474" t="s">
        <v>10551</v>
      </c>
      <c r="D474" t="s">
        <v>13287</v>
      </c>
      <c r="E474" t="str">
        <f>+VLOOKUP(A474,[1]PFE4!$A$7:$F$5208,6,0)</f>
        <v>CL 75 SUR 53 120 AP 1601</v>
      </c>
      <c r="F474" s="17" t="str">
        <f>+VLOOKUP(A474,[1]PFE4!$A$7:$G$5208,7,0)</f>
        <v>05631</v>
      </c>
      <c r="G474">
        <v>5234448</v>
      </c>
      <c r="H474">
        <v>4329</v>
      </c>
    </row>
    <row r="475" spans="1:8" ht="15" customHeight="1" x14ac:dyDescent="0.25">
      <c r="A475" t="s">
        <v>2719</v>
      </c>
      <c r="B475" t="s">
        <v>6770</v>
      </c>
      <c r="C475" t="s">
        <v>10552</v>
      </c>
      <c r="D475" t="s">
        <v>13287</v>
      </c>
      <c r="E475" t="str">
        <f>+VLOOKUP(A475,[1]PFE4!$A$7:$F$5208,6,0)</f>
        <v>AVENIDA CARRERA 24  39  67</v>
      </c>
      <c r="F475" s="17">
        <f>+VLOOKUP(A475,[1]PFE4!$A$7:$G$5208,7,0)</f>
        <v>11001</v>
      </c>
      <c r="G475">
        <v>5234878</v>
      </c>
      <c r="H475">
        <v>4329</v>
      </c>
    </row>
    <row r="476" spans="1:8" ht="15" customHeight="1" x14ac:dyDescent="0.25">
      <c r="A476" t="s">
        <v>2720</v>
      </c>
      <c r="B476" t="s">
        <v>6771</v>
      </c>
      <c r="C476">
        <v>0</v>
      </c>
      <c r="D476" t="s">
        <v>13287</v>
      </c>
      <c r="E476">
        <v>0</v>
      </c>
      <c r="F476" s="17">
        <v>11001</v>
      </c>
      <c r="G476">
        <v>5241900</v>
      </c>
      <c r="H476">
        <v>4329</v>
      </c>
    </row>
    <row r="477" spans="1:8" ht="15" customHeight="1" x14ac:dyDescent="0.25">
      <c r="A477" t="s">
        <v>2721</v>
      </c>
      <c r="B477" t="s">
        <v>6772</v>
      </c>
      <c r="C477">
        <v>0</v>
      </c>
      <c r="D477" t="s">
        <v>13287</v>
      </c>
      <c r="E477">
        <v>0</v>
      </c>
      <c r="F477" s="17">
        <v>11001</v>
      </c>
      <c r="G477">
        <v>5243800</v>
      </c>
      <c r="H477">
        <v>4329</v>
      </c>
    </row>
    <row r="478" spans="1:8" ht="15" customHeight="1" x14ac:dyDescent="0.25">
      <c r="A478" t="s">
        <v>2722</v>
      </c>
      <c r="B478" t="s">
        <v>6773</v>
      </c>
      <c r="C478" t="s">
        <v>10553</v>
      </c>
      <c r="D478" t="s">
        <v>13287</v>
      </c>
      <c r="E478" t="str">
        <f>+VLOOKUP(A478,[1]PFE4!$A$7:$F$5208,6,0)</f>
        <v>Cra 81 # 30A- 127</v>
      </c>
      <c r="F478" s="17" t="str">
        <f>+VLOOKUP(A478,[1]PFE4!$A$7:$G$5208,7,0)</f>
        <v>05001</v>
      </c>
      <c r="G478">
        <v>5250250</v>
      </c>
      <c r="H478">
        <v>4329</v>
      </c>
    </row>
    <row r="479" spans="1:8" ht="15" customHeight="1" x14ac:dyDescent="0.25">
      <c r="A479" t="s">
        <v>2723</v>
      </c>
      <c r="B479" t="s">
        <v>6774</v>
      </c>
      <c r="C479" t="s">
        <v>10554</v>
      </c>
      <c r="D479" t="s">
        <v>13287</v>
      </c>
      <c r="E479" t="str">
        <f>+VLOOKUP(A479,[1]PFE4!$A$7:$F$5208,6,0)</f>
        <v>CALLE 138  19  49</v>
      </c>
      <c r="F479" s="17">
        <f>+VLOOKUP(A479,[1]PFE4!$A$7:$G$5208,7,0)</f>
        <v>11001</v>
      </c>
      <c r="G479">
        <v>5252814</v>
      </c>
      <c r="H479">
        <v>4329</v>
      </c>
    </row>
    <row r="480" spans="1:8" ht="15" customHeight="1" x14ac:dyDescent="0.25">
      <c r="A480" t="s">
        <v>2724</v>
      </c>
      <c r="B480" t="s">
        <v>6775</v>
      </c>
      <c r="C480" t="s">
        <v>10555</v>
      </c>
      <c r="D480" t="s">
        <v>13287</v>
      </c>
      <c r="E480" t="str">
        <f>+VLOOKUP(A480,[1]PFE4!$A$7:$F$5208,6,0)</f>
        <v>CALLE 52 A  55 A  61</v>
      </c>
      <c r="F480" s="17" t="str">
        <f>+VLOOKUP(A480,[1]PFE4!$A$7:$G$5208,7,0)</f>
        <v>05001</v>
      </c>
      <c r="G480">
        <v>5269996</v>
      </c>
      <c r="H480">
        <v>4329</v>
      </c>
    </row>
    <row r="481" spans="1:8" ht="15" customHeight="1" x14ac:dyDescent="0.25">
      <c r="A481" t="s">
        <v>2725</v>
      </c>
      <c r="B481" t="s">
        <v>6776</v>
      </c>
      <c r="C481" t="s">
        <v>10556</v>
      </c>
      <c r="D481" t="s">
        <v>13287</v>
      </c>
      <c r="E481" t="str">
        <f>+VLOOKUP(A481,[1]PFE4!$A$7:$F$5208,6,0)</f>
        <v>CALLE 33 B SUR  45  36</v>
      </c>
      <c r="F481" s="17" t="str">
        <f>+VLOOKUP(A481,[1]PFE4!$A$7:$G$5208,7,0)</f>
        <v>05266</v>
      </c>
      <c r="G481">
        <v>5270619</v>
      </c>
      <c r="H481">
        <v>4329</v>
      </c>
    </row>
    <row r="482" spans="1:8" ht="15" customHeight="1" x14ac:dyDescent="0.25">
      <c r="A482" t="s">
        <v>2726</v>
      </c>
      <c r="B482" t="s">
        <v>6777</v>
      </c>
      <c r="C482" t="s">
        <v>10557</v>
      </c>
      <c r="D482" t="s">
        <v>13287</v>
      </c>
      <c r="E482" t="str">
        <f>+VLOOKUP(A482,[1]PFE4!$A$7:$F$5208,6,0)</f>
        <v>CALLE 7 OESTE  6  59</v>
      </c>
      <c r="F482" s="17">
        <f>+VLOOKUP(A482,[1]PFE4!$A$7:$G$5208,7,0)</f>
        <v>76001</v>
      </c>
      <c r="G482">
        <v>5277919</v>
      </c>
      <c r="H482">
        <v>4329</v>
      </c>
    </row>
    <row r="483" spans="1:8" ht="15" customHeight="1" x14ac:dyDescent="0.25">
      <c r="A483" t="s">
        <v>2727</v>
      </c>
      <c r="B483" t="s">
        <v>6778</v>
      </c>
      <c r="C483" t="s">
        <v>10558</v>
      </c>
      <c r="D483" t="s">
        <v>13287</v>
      </c>
      <c r="E483" t="str">
        <f>+VLOOKUP(A483,[1]PFE4!$A$7:$F$5208,6,0)</f>
        <v>CARRERA 4  16  63</v>
      </c>
      <c r="F483" s="17">
        <f>+VLOOKUP(A483,[1]PFE4!$A$7:$G$5208,7,0)</f>
        <v>73001</v>
      </c>
      <c r="G483">
        <v>5279355</v>
      </c>
      <c r="H483">
        <v>4329</v>
      </c>
    </row>
    <row r="484" spans="1:8" ht="15" customHeight="1" x14ac:dyDescent="0.25">
      <c r="A484" t="s">
        <v>2728</v>
      </c>
      <c r="B484" t="s">
        <v>6779</v>
      </c>
      <c r="C484" t="s">
        <v>10559</v>
      </c>
      <c r="D484" t="s">
        <v>13287</v>
      </c>
      <c r="E484" t="str">
        <f>+VLOOKUP(A484,[1]PFE4!$A$7:$F$5208,6,0)</f>
        <v>CARRERA 45  85  33</v>
      </c>
      <c r="F484" s="17" t="str">
        <f>+VLOOKUP(A484,[1]PFE4!$A$7:$G$5208,7,0)</f>
        <v>08001</v>
      </c>
      <c r="G484">
        <v>5280000</v>
      </c>
      <c r="H484">
        <v>4329</v>
      </c>
    </row>
    <row r="485" spans="1:8" ht="15" customHeight="1" x14ac:dyDescent="0.25">
      <c r="A485" t="s">
        <v>2729</v>
      </c>
      <c r="B485" t="s">
        <v>6780</v>
      </c>
      <c r="C485">
        <v>3219664011</v>
      </c>
      <c r="D485" t="s">
        <v>13287</v>
      </c>
      <c r="E485" t="str">
        <f>+VLOOKUP(A485,[1]PFE4!$A$7:$F$5208,6,0)</f>
        <v>TRANSVERSAL 3  110 A  08</v>
      </c>
      <c r="F485" s="17">
        <f>+VLOOKUP(A485,[1]PFE4!$A$7:$G$5208,7,0)</f>
        <v>11001</v>
      </c>
      <c r="G485">
        <v>5280000</v>
      </c>
      <c r="H485">
        <v>4329</v>
      </c>
    </row>
    <row r="486" spans="1:8" ht="15" customHeight="1" x14ac:dyDescent="0.25">
      <c r="A486" t="s">
        <v>2730</v>
      </c>
      <c r="B486" t="s">
        <v>6781</v>
      </c>
      <c r="C486">
        <v>0</v>
      </c>
      <c r="D486" t="s">
        <v>13287</v>
      </c>
      <c r="E486">
        <v>0</v>
      </c>
      <c r="F486" s="17">
        <v>11001</v>
      </c>
      <c r="G486">
        <v>5280000</v>
      </c>
      <c r="H486">
        <v>4329</v>
      </c>
    </row>
    <row r="487" spans="1:8" ht="15" customHeight="1" x14ac:dyDescent="0.25">
      <c r="A487" t="s">
        <v>2731</v>
      </c>
      <c r="B487" t="s">
        <v>6782</v>
      </c>
      <c r="C487" t="s">
        <v>10560</v>
      </c>
      <c r="D487" t="s">
        <v>13287</v>
      </c>
      <c r="E487" t="str">
        <f>+VLOOKUP(A487,[1]PFE4!$A$7:$F$5208,6,0)</f>
        <v>CR 19 21 50</v>
      </c>
      <c r="F487" s="17" t="str">
        <f>+VLOOKUP(A487,[1]PFE4!$A$7:$G$5208,7,0)</f>
        <v>05376</v>
      </c>
      <c r="G487">
        <v>5280204</v>
      </c>
      <c r="H487">
        <v>4329</v>
      </c>
    </row>
    <row r="488" spans="1:8" ht="15" customHeight="1" x14ac:dyDescent="0.25">
      <c r="A488" t="s">
        <v>2732</v>
      </c>
      <c r="B488" t="s">
        <v>6783</v>
      </c>
      <c r="C488">
        <v>0</v>
      </c>
      <c r="D488" t="s">
        <v>13287</v>
      </c>
      <c r="E488">
        <v>0</v>
      </c>
      <c r="F488" s="17">
        <v>11001</v>
      </c>
      <c r="G488">
        <v>5283066</v>
      </c>
      <c r="H488">
        <v>4329</v>
      </c>
    </row>
    <row r="489" spans="1:8" ht="15" customHeight="1" x14ac:dyDescent="0.25">
      <c r="A489" t="s">
        <v>2733</v>
      </c>
      <c r="B489" t="s">
        <v>6784</v>
      </c>
      <c r="C489" t="s">
        <v>10561</v>
      </c>
      <c r="D489" t="s">
        <v>13287</v>
      </c>
      <c r="E489" t="str">
        <f>+VLOOKUP(A489,[1]PFE4!$A$7:$F$5208,6,0)</f>
        <v>CARRERA 23  51  111</v>
      </c>
      <c r="F489" s="17">
        <f>+VLOOKUP(A489,[1]PFE4!$A$7:$G$5208,7,0)</f>
        <v>11001</v>
      </c>
      <c r="G489">
        <v>5302098</v>
      </c>
      <c r="H489">
        <v>4329</v>
      </c>
    </row>
    <row r="490" spans="1:8" ht="15" customHeight="1" x14ac:dyDescent="0.25">
      <c r="A490" t="s">
        <v>2734</v>
      </c>
      <c r="B490" t="s">
        <v>6785</v>
      </c>
      <c r="C490" t="s">
        <v>10562</v>
      </c>
      <c r="D490" t="s">
        <v>13287</v>
      </c>
      <c r="E490" t="str">
        <f>+VLOOKUP(A490,[1]PFE4!$A$7:$F$5208,6,0)</f>
        <v>CARRERA 24  37  73</v>
      </c>
      <c r="F490" s="17">
        <f>+VLOOKUP(A490,[1]PFE4!$A$7:$G$5208,7,0)</f>
        <v>11001</v>
      </c>
      <c r="G490">
        <v>5323400</v>
      </c>
      <c r="H490">
        <v>4329</v>
      </c>
    </row>
    <row r="491" spans="1:8" ht="15" customHeight="1" x14ac:dyDescent="0.25">
      <c r="A491" t="s">
        <v>2735</v>
      </c>
      <c r="B491" t="s">
        <v>6786</v>
      </c>
      <c r="C491" t="s">
        <v>10563</v>
      </c>
      <c r="D491" t="s">
        <v>13287</v>
      </c>
      <c r="E491" t="str">
        <f>+VLOOKUP(A491,[1]PFE4!$A$7:$F$5208,6,0)</f>
        <v>CALLE 44 10 23</v>
      </c>
      <c r="F491" s="17">
        <f>+VLOOKUP(A491,[1]PFE4!$A$7:$G$5208,7,0)</f>
        <v>66001</v>
      </c>
      <c r="G491">
        <v>5337620</v>
      </c>
      <c r="H491">
        <v>4329</v>
      </c>
    </row>
    <row r="492" spans="1:8" ht="15" customHeight="1" x14ac:dyDescent="0.25">
      <c r="A492" t="s">
        <v>2736</v>
      </c>
      <c r="B492" t="s">
        <v>6787</v>
      </c>
      <c r="C492" t="s">
        <v>10564</v>
      </c>
      <c r="D492" t="s">
        <v>13287</v>
      </c>
      <c r="E492" t="str">
        <f>+VLOOKUP(A492,[1]PFE4!$A$7:$F$5208,6,0)</f>
        <v>CALLE 103 A  19 A  88</v>
      </c>
      <c r="F492" s="17">
        <f>+VLOOKUP(A492,[1]PFE4!$A$7:$G$5208,7,0)</f>
        <v>11001</v>
      </c>
      <c r="G492">
        <v>5340000</v>
      </c>
      <c r="H492">
        <v>4329</v>
      </c>
    </row>
    <row r="493" spans="1:8" ht="15" customHeight="1" x14ac:dyDescent="0.25">
      <c r="A493" t="s">
        <v>2737</v>
      </c>
      <c r="B493" t="s">
        <v>6788</v>
      </c>
      <c r="C493" t="s">
        <v>10565</v>
      </c>
      <c r="D493" t="s">
        <v>13287</v>
      </c>
      <c r="E493" t="str">
        <f>+VLOOKUP(A493,[1]PFE4!$A$7:$F$5208,6,0)</f>
        <v>CL 62 49 67 BRR PRADO CENTRO</v>
      </c>
      <c r="F493" s="17" t="str">
        <f>+VLOOKUP(A493,[1]PFE4!$A$7:$G$5208,7,0)</f>
        <v>05001</v>
      </c>
      <c r="G493">
        <v>5342400</v>
      </c>
      <c r="H493">
        <v>4329</v>
      </c>
    </row>
    <row r="494" spans="1:8" ht="15" customHeight="1" x14ac:dyDescent="0.25">
      <c r="A494" t="s">
        <v>2738</v>
      </c>
      <c r="B494" t="s">
        <v>6789</v>
      </c>
      <c r="C494" t="s">
        <v>10566</v>
      </c>
      <c r="D494" t="s">
        <v>13287</v>
      </c>
      <c r="E494" t="str">
        <f>+VLOOKUP(A494,[1]PFE4!$A$7:$F$5208,6,0)</f>
        <v>CARRERA 22 A  46  59</v>
      </c>
      <c r="F494" s="17" t="str">
        <f>+VLOOKUP(A494,[1]PFE4!$A$7:$G$5208,7,0)</f>
        <v>05001</v>
      </c>
      <c r="G494">
        <v>5343132</v>
      </c>
      <c r="H494">
        <v>4329</v>
      </c>
    </row>
    <row r="495" spans="1:8" ht="15" customHeight="1" x14ac:dyDescent="0.25">
      <c r="A495" t="s">
        <v>2739</v>
      </c>
      <c r="B495" t="s">
        <v>6790</v>
      </c>
      <c r="C495" t="s">
        <v>10567</v>
      </c>
      <c r="D495" t="s">
        <v>13287</v>
      </c>
      <c r="E495" t="str">
        <f>+VLOOKUP(A495,[1]PFE4!$A$7:$F$5208,6,0)</f>
        <v xml:space="preserve"> CALLE 12 16A-65</v>
      </c>
      <c r="F495" s="17">
        <f>+VLOOKUP(A495,[1]PFE4!$A$7:$G$5208,7,0)</f>
        <v>54498</v>
      </c>
      <c r="G495">
        <v>5346957</v>
      </c>
      <c r="H495">
        <v>4329</v>
      </c>
    </row>
    <row r="496" spans="1:8" ht="15" customHeight="1" x14ac:dyDescent="0.25">
      <c r="A496" t="s">
        <v>2740</v>
      </c>
      <c r="B496" t="s">
        <v>6791</v>
      </c>
      <c r="C496" t="s">
        <v>10568</v>
      </c>
      <c r="D496" t="s">
        <v>13287</v>
      </c>
      <c r="E496" t="str">
        <f>+VLOOKUP(A496,[1]PFE4!$A$7:$F$5208,6,0)</f>
        <v>CARRERA 26  20  22</v>
      </c>
      <c r="F496" s="17">
        <f>+VLOOKUP(A496,[1]PFE4!$A$7:$G$5208,7,0)</f>
        <v>68001</v>
      </c>
      <c r="G496">
        <v>5349334</v>
      </c>
      <c r="H496">
        <v>4329</v>
      </c>
    </row>
    <row r="497" spans="1:8" ht="15" customHeight="1" x14ac:dyDescent="0.25">
      <c r="A497" t="s">
        <v>2741</v>
      </c>
      <c r="B497" t="s">
        <v>6792</v>
      </c>
      <c r="C497" t="s">
        <v>10569</v>
      </c>
      <c r="D497" t="s">
        <v>13287</v>
      </c>
      <c r="E497" t="str">
        <f>+VLOOKUP(A497,[1]PFE4!$A$7:$F$5208,6,0)</f>
        <v>CARRERA 12  101  61</v>
      </c>
      <c r="F497" s="17">
        <f>+VLOOKUP(A497,[1]PFE4!$A$7:$G$5208,7,0)</f>
        <v>11001</v>
      </c>
      <c r="G497">
        <v>5356500</v>
      </c>
      <c r="H497">
        <v>4329</v>
      </c>
    </row>
    <row r="498" spans="1:8" ht="15" customHeight="1" x14ac:dyDescent="0.25">
      <c r="A498" t="s">
        <v>2742</v>
      </c>
      <c r="B498" t="s">
        <v>6793</v>
      </c>
      <c r="C498" t="s">
        <v>10570</v>
      </c>
      <c r="D498" t="s">
        <v>13287</v>
      </c>
      <c r="E498" t="str">
        <f>+VLOOKUP(A498,[1]PFE4!$A$7:$F$5208,6,0)</f>
        <v>AV 5 10 52 ED BANCO DE BOGOTA</v>
      </c>
      <c r="F498" s="17" t="str">
        <f>+VLOOKUP(A498,[1]PFE4!$A$7:$G$5208,7,0)</f>
        <v>05001</v>
      </c>
      <c r="G498">
        <v>5379057</v>
      </c>
      <c r="H498">
        <v>4329</v>
      </c>
    </row>
    <row r="499" spans="1:8" ht="15" customHeight="1" x14ac:dyDescent="0.25">
      <c r="A499" t="s">
        <v>2743</v>
      </c>
      <c r="B499" t="s">
        <v>6794</v>
      </c>
      <c r="C499" t="s">
        <v>10571</v>
      </c>
      <c r="D499" t="s">
        <v>13287</v>
      </c>
      <c r="E499" t="str">
        <f>+VLOOKUP(A499,[1]PFE4!$A$7:$F$5208,6,0)</f>
        <v>CARRERA 8  23  09  LOCAL 10</v>
      </c>
      <c r="F499" s="17">
        <f>+VLOOKUP(A499,[1]PFE4!$A$7:$G$5208,7,0)</f>
        <v>66001</v>
      </c>
      <c r="G499">
        <v>5386280</v>
      </c>
      <c r="H499">
        <v>4329</v>
      </c>
    </row>
    <row r="500" spans="1:8" ht="15" customHeight="1" x14ac:dyDescent="0.25">
      <c r="A500" t="s">
        <v>2744</v>
      </c>
      <c r="B500" t="s">
        <v>6795</v>
      </c>
      <c r="C500" t="s">
        <v>10572</v>
      </c>
      <c r="D500" t="s">
        <v>13287</v>
      </c>
      <c r="E500" t="str">
        <f>+VLOOKUP(A500,[1]PFE4!$A$7:$F$5208,6,0)</f>
        <v>CARRERA 18  13  69</v>
      </c>
      <c r="F500" s="17">
        <f>+VLOOKUP(A500,[1]PFE4!$A$7:$G$5208,7,0)</f>
        <v>15238</v>
      </c>
      <c r="G500">
        <v>5386521</v>
      </c>
      <c r="H500">
        <v>4329</v>
      </c>
    </row>
    <row r="501" spans="1:8" ht="15" customHeight="1" x14ac:dyDescent="0.25">
      <c r="A501" t="s">
        <v>2745</v>
      </c>
      <c r="B501" t="s">
        <v>6796</v>
      </c>
      <c r="C501" t="s">
        <v>10573</v>
      </c>
      <c r="D501" t="s">
        <v>13287</v>
      </c>
      <c r="E501" t="str">
        <f>+VLOOKUP(A501,[1]PFE4!$A$7:$F$5208,6,0)</f>
        <v>CALLE 52  71 A  76</v>
      </c>
      <c r="F501" s="17" t="str">
        <f>+VLOOKUP(A501,[1]PFE4!$A$7:$G$5208,7,0)</f>
        <v>05001</v>
      </c>
      <c r="G501">
        <v>5414940</v>
      </c>
      <c r="H501">
        <v>4329</v>
      </c>
    </row>
    <row r="502" spans="1:8" ht="15" customHeight="1" x14ac:dyDescent="0.25">
      <c r="A502" t="s">
        <v>2746</v>
      </c>
      <c r="B502" t="s">
        <v>6797</v>
      </c>
      <c r="C502" t="s">
        <v>10574</v>
      </c>
      <c r="D502" t="s">
        <v>13287</v>
      </c>
      <c r="E502" t="str">
        <f>+VLOOKUP(A502,[1]PFE4!$A$7:$F$5208,6,0)</f>
        <v>CR 23  39 08</v>
      </c>
      <c r="F502" s="17">
        <f>+VLOOKUP(A502,[1]PFE4!$A$7:$G$5208,7,0)</f>
        <v>11001</v>
      </c>
      <c r="G502">
        <v>5416100</v>
      </c>
      <c r="H502">
        <v>4329</v>
      </c>
    </row>
    <row r="503" spans="1:8" ht="15" customHeight="1" x14ac:dyDescent="0.25">
      <c r="A503" t="s">
        <v>2747</v>
      </c>
      <c r="B503" t="s">
        <v>6798</v>
      </c>
      <c r="C503">
        <v>0</v>
      </c>
      <c r="D503" t="s">
        <v>13287</v>
      </c>
      <c r="E503">
        <v>0</v>
      </c>
      <c r="F503" s="17">
        <v>11001</v>
      </c>
      <c r="G503">
        <v>5423400</v>
      </c>
      <c r="H503">
        <v>4329</v>
      </c>
    </row>
    <row r="504" spans="1:8" ht="15" customHeight="1" x14ac:dyDescent="0.25">
      <c r="A504" t="s">
        <v>2748</v>
      </c>
      <c r="B504" t="s">
        <v>6799</v>
      </c>
      <c r="C504" t="s">
        <v>10575</v>
      </c>
      <c r="D504" t="s">
        <v>13287</v>
      </c>
      <c r="E504" t="str">
        <f>+VLOOKUP(A504,[1]PFE4!$A$7:$F$5208,6,0)</f>
        <v>CALLE 59 N° 47-46 LT 9 MZ V</v>
      </c>
      <c r="F504" s="17">
        <f>+VLOOKUP(A504,[1]PFE4!$A$7:$G$5208,7,0)</f>
        <v>11001</v>
      </c>
      <c r="G504">
        <v>5426184</v>
      </c>
      <c r="H504">
        <v>4329</v>
      </c>
    </row>
    <row r="505" spans="1:8" ht="15" customHeight="1" x14ac:dyDescent="0.25">
      <c r="A505" t="s">
        <v>2749</v>
      </c>
      <c r="B505" t="s">
        <v>6800</v>
      </c>
      <c r="C505" t="s">
        <v>10576</v>
      </c>
      <c r="D505" t="s">
        <v>13287</v>
      </c>
      <c r="E505" t="str">
        <f>+VLOOKUP(A505,[1]PFE4!$A$7:$F$5208,6,0)</f>
        <v>CARRERA 12 No.13-30</v>
      </c>
      <c r="F505" s="17">
        <f>+VLOOKUP(A505,[1]PFE4!$A$7:$G$5208,7,0)</f>
        <v>66682</v>
      </c>
      <c r="G505">
        <v>5430000</v>
      </c>
      <c r="H505">
        <v>4329</v>
      </c>
    </row>
    <row r="506" spans="1:8" ht="15" customHeight="1" x14ac:dyDescent="0.25">
      <c r="A506" t="s">
        <v>2750</v>
      </c>
      <c r="B506" t="s">
        <v>6801</v>
      </c>
      <c r="C506" t="s">
        <v>10577</v>
      </c>
      <c r="D506" t="s">
        <v>13287</v>
      </c>
      <c r="E506" t="str">
        <f>+VLOOKUP(A506,[1]PFE4!$A$7:$F$5208,6,0)</f>
        <v>CR 13 A 59 A 15</v>
      </c>
      <c r="F506" s="17">
        <f>+VLOOKUP(A506,[1]PFE4!$A$7:$G$5208,7,0)</f>
        <v>11001</v>
      </c>
      <c r="G506">
        <v>5440680</v>
      </c>
      <c r="H506">
        <v>4329</v>
      </c>
    </row>
    <row r="507" spans="1:8" ht="15" customHeight="1" x14ac:dyDescent="0.25">
      <c r="A507" t="s">
        <v>2751</v>
      </c>
      <c r="B507" t="s">
        <v>6802</v>
      </c>
      <c r="C507" t="s">
        <v>10578</v>
      </c>
      <c r="D507" t="s">
        <v>13287</v>
      </c>
      <c r="E507" t="str">
        <f>+VLOOKUP(A507,[1]PFE4!$A$7:$F$5208,6,0)</f>
        <v>CARRERA 13  16 N  12</v>
      </c>
      <c r="F507" s="17">
        <f>+VLOOKUP(A507,[1]PFE4!$A$7:$G$5208,7,0)</f>
        <v>63001</v>
      </c>
      <c r="G507">
        <v>5441719</v>
      </c>
      <c r="H507">
        <v>4329</v>
      </c>
    </row>
    <row r="508" spans="1:8" ht="15" customHeight="1" x14ac:dyDescent="0.25">
      <c r="A508" t="s">
        <v>2752</v>
      </c>
      <c r="B508" t="s">
        <v>6803</v>
      </c>
      <c r="C508" t="s">
        <v>10579</v>
      </c>
      <c r="D508" t="s">
        <v>13287</v>
      </c>
      <c r="E508" t="str">
        <f>+VLOOKUP(A508,[1]PFE4!$A$7:$F$5208,6,0)</f>
        <v>CARRERA 14  55  37</v>
      </c>
      <c r="F508" s="17">
        <f>+VLOOKUP(A508,[1]PFE4!$A$7:$G$5208,7,0)</f>
        <v>68081</v>
      </c>
      <c r="G508">
        <v>5441952</v>
      </c>
      <c r="H508">
        <v>4329</v>
      </c>
    </row>
    <row r="509" spans="1:8" ht="15" customHeight="1" x14ac:dyDescent="0.25">
      <c r="A509" t="s">
        <v>2753</v>
      </c>
      <c r="B509" t="s">
        <v>6804</v>
      </c>
      <c r="C509">
        <v>0</v>
      </c>
      <c r="D509" t="s">
        <v>13287</v>
      </c>
      <c r="E509">
        <v>0</v>
      </c>
      <c r="F509" s="17">
        <v>11001</v>
      </c>
      <c r="G509">
        <v>5448000</v>
      </c>
      <c r="H509">
        <v>4329</v>
      </c>
    </row>
    <row r="510" spans="1:8" ht="15" customHeight="1" x14ac:dyDescent="0.25">
      <c r="A510" t="s">
        <v>2754</v>
      </c>
      <c r="B510" t="s">
        <v>6805</v>
      </c>
      <c r="C510" t="s">
        <v>10580</v>
      </c>
      <c r="D510" t="s">
        <v>13287</v>
      </c>
      <c r="E510" t="str">
        <f>+VLOOKUP(A510,[1]PFE4!$A$7:$F$5208,6,0)</f>
        <v>CARRERA 45  22 A  60</v>
      </c>
      <c r="F510" s="17">
        <f>+VLOOKUP(A510,[1]PFE4!$A$7:$G$5208,7,0)</f>
        <v>11001</v>
      </c>
      <c r="G510">
        <v>5456500</v>
      </c>
      <c r="H510">
        <v>4329</v>
      </c>
    </row>
    <row r="511" spans="1:8" ht="15" customHeight="1" x14ac:dyDescent="0.25">
      <c r="A511" t="s">
        <v>2755</v>
      </c>
      <c r="B511" t="s">
        <v>6806</v>
      </c>
      <c r="C511" t="s">
        <v>10581</v>
      </c>
      <c r="D511" t="s">
        <v>13287</v>
      </c>
      <c r="E511" t="str">
        <f>+VLOOKUP(A511,[1]PFE4!$A$7:$F$5208,6,0)</f>
        <v>CRA 20 # 127A-05</v>
      </c>
      <c r="F511" s="17">
        <f>+VLOOKUP(A511,[1]PFE4!$A$7:$G$5208,7,0)</f>
        <v>11001</v>
      </c>
      <c r="G511">
        <v>5458804</v>
      </c>
      <c r="H511">
        <v>4329</v>
      </c>
    </row>
    <row r="512" spans="1:8" ht="15" customHeight="1" x14ac:dyDescent="0.25">
      <c r="A512" t="s">
        <v>2756</v>
      </c>
      <c r="B512" t="s">
        <v>6807</v>
      </c>
      <c r="C512" t="s">
        <v>10582</v>
      </c>
      <c r="D512" t="s">
        <v>13287</v>
      </c>
      <c r="E512" t="str">
        <f>+VLOOKUP(A512,[1]PFE4!$A$7:$F$5208,6,0)</f>
        <v>CALLE  34 82 B 27</v>
      </c>
      <c r="F512" s="17" t="str">
        <f>+VLOOKUP(A512,[1]PFE4!$A$7:$G$5208,7,0)</f>
        <v>05001</v>
      </c>
      <c r="G512">
        <v>5471030</v>
      </c>
      <c r="H512">
        <v>4329</v>
      </c>
    </row>
    <row r="513" spans="1:8" ht="15" customHeight="1" x14ac:dyDescent="0.25">
      <c r="A513" t="s">
        <v>2757</v>
      </c>
      <c r="B513" t="s">
        <v>6808</v>
      </c>
      <c r="C513" t="s">
        <v>10583</v>
      </c>
      <c r="D513" t="s">
        <v>13287</v>
      </c>
      <c r="E513" t="str">
        <f>+VLOOKUP(A513,[1]PFE4!$A$7:$F$5208,6,0)</f>
        <v>CALLE 25  22  23</v>
      </c>
      <c r="F513" s="17">
        <f>+VLOOKUP(A513,[1]PFE4!$A$7:$G$5208,7,0)</f>
        <v>17001</v>
      </c>
      <c r="G513">
        <v>5475273</v>
      </c>
      <c r="H513">
        <v>4329</v>
      </c>
    </row>
    <row r="514" spans="1:8" ht="15" customHeight="1" x14ac:dyDescent="0.25">
      <c r="A514" t="s">
        <v>2758</v>
      </c>
      <c r="B514" t="s">
        <v>6809</v>
      </c>
      <c r="C514">
        <v>0</v>
      </c>
      <c r="D514" t="s">
        <v>13287</v>
      </c>
      <c r="E514">
        <v>0</v>
      </c>
      <c r="F514" s="17">
        <v>11001</v>
      </c>
      <c r="G514">
        <v>5490000</v>
      </c>
      <c r="H514">
        <v>4329</v>
      </c>
    </row>
    <row r="515" spans="1:8" ht="15" customHeight="1" x14ac:dyDescent="0.25">
      <c r="A515" t="s">
        <v>2759</v>
      </c>
      <c r="B515" t="s">
        <v>6810</v>
      </c>
      <c r="C515" t="s">
        <v>10584</v>
      </c>
      <c r="D515" t="s">
        <v>13287</v>
      </c>
      <c r="E515" t="str">
        <f>+VLOOKUP(A515,[1]PFE4!$A$7:$F$5208,6,0)</f>
        <v>CL 70 52 54</v>
      </c>
      <c r="F515" s="17" t="str">
        <f>+VLOOKUP(A515,[1]PFE4!$A$7:$G$5208,7,0)</f>
        <v>08001</v>
      </c>
      <c r="G515">
        <v>5490714</v>
      </c>
      <c r="H515">
        <v>4329</v>
      </c>
    </row>
    <row r="516" spans="1:8" ht="15" customHeight="1" x14ac:dyDescent="0.25">
      <c r="A516" t="s">
        <v>2760</v>
      </c>
      <c r="B516" t="s">
        <v>6811</v>
      </c>
      <c r="C516" t="s">
        <v>10585</v>
      </c>
      <c r="D516" t="s">
        <v>13287</v>
      </c>
      <c r="E516" t="str">
        <f>+VLOOKUP(A516,[1]PFE4!$A$7:$F$5208,6,0)</f>
        <v>CALLE 105 A BIS  13 A  71</v>
      </c>
      <c r="F516" s="17">
        <f>+VLOOKUP(A516,[1]PFE4!$A$7:$G$5208,7,0)</f>
        <v>11001</v>
      </c>
      <c r="G516">
        <v>5493780</v>
      </c>
      <c r="H516">
        <v>4329</v>
      </c>
    </row>
    <row r="517" spans="1:8" ht="15" customHeight="1" x14ac:dyDescent="0.25">
      <c r="A517" t="s">
        <v>2761</v>
      </c>
      <c r="B517" t="s">
        <v>6812</v>
      </c>
      <c r="C517" t="s">
        <v>10586</v>
      </c>
      <c r="D517" t="s">
        <v>13287</v>
      </c>
      <c r="E517" t="str">
        <f>+VLOOKUP(A517,[1]PFE4!$A$7:$F$5208,6,0)</f>
        <v>CALLE 8 B 11 22</v>
      </c>
      <c r="F517" s="17">
        <f>+VLOOKUP(A517,[1]PFE4!$A$7:$G$5208,7,0)</f>
        <v>17001</v>
      </c>
      <c r="G517">
        <v>5500000</v>
      </c>
      <c r="H517">
        <v>4329</v>
      </c>
    </row>
    <row r="518" spans="1:8" ht="15" customHeight="1" x14ac:dyDescent="0.25">
      <c r="A518" t="s">
        <v>2762</v>
      </c>
      <c r="B518" t="s">
        <v>6813</v>
      </c>
      <c r="C518" t="s">
        <v>10587</v>
      </c>
      <c r="D518" t="s">
        <v>13287</v>
      </c>
      <c r="E518" t="str">
        <f>+VLOOKUP(A518,[1]PFE4!$A$7:$F$5208,6,0)</f>
        <v>CARRERA 22  101  56</v>
      </c>
      <c r="F518" s="17">
        <f>+VLOOKUP(A518,[1]PFE4!$A$7:$G$5208,7,0)</f>
        <v>11001</v>
      </c>
      <c r="G518">
        <v>5500863</v>
      </c>
      <c r="H518">
        <v>4329</v>
      </c>
    </row>
    <row r="519" spans="1:8" ht="15" customHeight="1" x14ac:dyDescent="0.25">
      <c r="A519" t="s">
        <v>2763</v>
      </c>
      <c r="B519" t="s">
        <v>6814</v>
      </c>
      <c r="C519" t="s">
        <v>10588</v>
      </c>
      <c r="D519" t="s">
        <v>13287</v>
      </c>
      <c r="E519" t="str">
        <f>+VLOOKUP(A519,[1]PFE4!$A$7:$F$5208,6,0)</f>
        <v>Avenida 26 # 52-200 Apto 339 Torre 6</v>
      </c>
      <c r="F519" s="17" t="str">
        <f>+VLOOKUP(A519,[1]PFE4!$A$7:$G$5208,7,0)</f>
        <v>05237</v>
      </c>
      <c r="G519">
        <v>5503174</v>
      </c>
      <c r="H519">
        <v>4329</v>
      </c>
    </row>
    <row r="520" spans="1:8" ht="15" customHeight="1" x14ac:dyDescent="0.25">
      <c r="A520" t="s">
        <v>2764</v>
      </c>
      <c r="B520" t="s">
        <v>6815</v>
      </c>
      <c r="C520" t="s">
        <v>10589</v>
      </c>
      <c r="D520" t="s">
        <v>13287</v>
      </c>
      <c r="E520" t="str">
        <f>+VLOOKUP(A520,[1]PFE4!$A$7:$F$5208,6,0)</f>
        <v>DG 51 31 120</v>
      </c>
      <c r="F520" s="17" t="str">
        <f>+VLOOKUP(A520,[1]PFE4!$A$7:$G$5208,7,0)</f>
        <v>05615</v>
      </c>
      <c r="G520">
        <v>5507048</v>
      </c>
      <c r="H520">
        <v>4329</v>
      </c>
    </row>
    <row r="521" spans="1:8" ht="15" customHeight="1" x14ac:dyDescent="0.25">
      <c r="A521" t="s">
        <v>2765</v>
      </c>
      <c r="B521" t="s">
        <v>6816</v>
      </c>
      <c r="C521" t="s">
        <v>10590</v>
      </c>
      <c r="D521" t="s">
        <v>13287</v>
      </c>
      <c r="E521" t="str">
        <f>+VLOOKUP(A521,[1]PFE4!$A$7:$F$5208,6,0)</f>
        <v>CR 23 C 63  25</v>
      </c>
      <c r="F521" s="17">
        <f>+VLOOKUP(A521,[1]PFE4!$A$7:$G$5208,7,0)</f>
        <v>17001</v>
      </c>
      <c r="G521">
        <v>5511203</v>
      </c>
      <c r="H521">
        <v>4329</v>
      </c>
    </row>
    <row r="522" spans="1:8" ht="15" customHeight="1" x14ac:dyDescent="0.25">
      <c r="A522" t="s">
        <v>2766</v>
      </c>
      <c r="B522" t="s">
        <v>6817</v>
      </c>
      <c r="C522" t="s">
        <v>10591</v>
      </c>
      <c r="D522" t="s">
        <v>13287</v>
      </c>
      <c r="E522" t="str">
        <f>+VLOOKUP(A522,[1]PFE4!$A$7:$F$5208,6,0)</f>
        <v>CR 18 12 47</v>
      </c>
      <c r="F522" s="17">
        <f>+VLOOKUP(A522,[1]PFE4!$A$7:$G$5208,7,0)</f>
        <v>15238</v>
      </c>
      <c r="G522">
        <v>5519901</v>
      </c>
      <c r="H522">
        <v>4329</v>
      </c>
    </row>
    <row r="523" spans="1:8" ht="15" customHeight="1" x14ac:dyDescent="0.25">
      <c r="A523" t="s">
        <v>2767</v>
      </c>
      <c r="B523" t="s">
        <v>6818</v>
      </c>
      <c r="C523" t="s">
        <v>10592</v>
      </c>
      <c r="D523" t="s">
        <v>13287</v>
      </c>
      <c r="E523" t="str">
        <f>+VLOOKUP(A523,[1]PFE4!$A$7:$F$5208,6,0)</f>
        <v>CL 73 SUR 46 A 06</v>
      </c>
      <c r="F523" s="17" t="str">
        <f>+VLOOKUP(A523,[1]PFE4!$A$7:$G$5208,7,0)</f>
        <v>05631</v>
      </c>
      <c r="G523">
        <v>5523234</v>
      </c>
      <c r="H523">
        <v>4329</v>
      </c>
    </row>
    <row r="524" spans="1:8" ht="15" customHeight="1" x14ac:dyDescent="0.25">
      <c r="A524" t="s">
        <v>2768</v>
      </c>
      <c r="B524" t="s">
        <v>6819</v>
      </c>
      <c r="C524" t="s">
        <v>10593</v>
      </c>
      <c r="D524" t="s">
        <v>13287</v>
      </c>
      <c r="E524" t="str">
        <f>+VLOOKUP(A524,[1]PFE4!$A$7:$F$5208,6,0)</f>
        <v>CALLE 10  5  05</v>
      </c>
      <c r="F524" s="17">
        <f>+VLOOKUP(A524,[1]PFE4!$A$7:$G$5208,7,0)</f>
        <v>11001</v>
      </c>
      <c r="G524">
        <v>5525271</v>
      </c>
      <c r="H524">
        <v>4329</v>
      </c>
    </row>
    <row r="525" spans="1:8" ht="15" customHeight="1" x14ac:dyDescent="0.25">
      <c r="A525" t="s">
        <v>2769</v>
      </c>
      <c r="B525" t="s">
        <v>6820</v>
      </c>
      <c r="C525" t="s">
        <v>10594</v>
      </c>
      <c r="D525" t="s">
        <v>13287</v>
      </c>
      <c r="E525" t="str">
        <f>+VLOOKUP(A525,[1]PFE4!$A$7:$F$5208,6,0)</f>
        <v>CALLE 41  37  82</v>
      </c>
      <c r="F525" s="17">
        <f>+VLOOKUP(A525,[1]PFE4!$A$7:$G$5208,7,0)</f>
        <v>68001</v>
      </c>
      <c r="G525">
        <v>5528000</v>
      </c>
      <c r="H525">
        <v>4329</v>
      </c>
    </row>
    <row r="526" spans="1:8" ht="15" customHeight="1" x14ac:dyDescent="0.25">
      <c r="A526" t="s">
        <v>2770</v>
      </c>
      <c r="B526" t="s">
        <v>6821</v>
      </c>
      <c r="C526" t="s">
        <v>10595</v>
      </c>
      <c r="D526" t="s">
        <v>13287</v>
      </c>
      <c r="E526" t="str">
        <f>+VLOOKUP(A526,[1]PFE4!$A$7:$F$5208,6,0)</f>
        <v>CR 31 39 SUR 56</v>
      </c>
      <c r="F526" s="17" t="str">
        <f>+VLOOKUP(A526,[1]PFE4!$A$7:$G$5208,7,0)</f>
        <v>05266</v>
      </c>
      <c r="G526">
        <v>5530500</v>
      </c>
      <c r="H526">
        <v>4329</v>
      </c>
    </row>
    <row r="527" spans="1:8" ht="15" customHeight="1" x14ac:dyDescent="0.25">
      <c r="A527" t="s">
        <v>2771</v>
      </c>
      <c r="B527" t="s">
        <v>6822</v>
      </c>
      <c r="C527" t="s">
        <v>10596</v>
      </c>
      <c r="D527" t="s">
        <v>13287</v>
      </c>
      <c r="E527" t="str">
        <f>+VLOOKUP(A527,[1]PFE4!$A$7:$F$5208,6,0)</f>
        <v>CR 6 # 13-31</v>
      </c>
      <c r="F527" s="17">
        <f>+VLOOKUP(A527,[1]PFE4!$A$7:$G$5208,7,0)</f>
        <v>63594</v>
      </c>
      <c r="G527">
        <v>5531350</v>
      </c>
      <c r="H527">
        <v>4329</v>
      </c>
    </row>
    <row r="528" spans="1:8" ht="15" customHeight="1" x14ac:dyDescent="0.25">
      <c r="A528" t="s">
        <v>2772</v>
      </c>
      <c r="B528" t="s">
        <v>6823</v>
      </c>
      <c r="C528">
        <v>0</v>
      </c>
      <c r="D528" t="s">
        <v>13287</v>
      </c>
      <c r="E528">
        <v>0</v>
      </c>
      <c r="F528" s="17">
        <v>11001</v>
      </c>
      <c r="G528">
        <v>5533500</v>
      </c>
      <c r="H528">
        <v>4329</v>
      </c>
    </row>
    <row r="529" spans="1:8" ht="15" customHeight="1" x14ac:dyDescent="0.25">
      <c r="A529" t="s">
        <v>2773</v>
      </c>
      <c r="B529" t="s">
        <v>6824</v>
      </c>
      <c r="C529" t="s">
        <v>10597</v>
      </c>
      <c r="D529" t="s">
        <v>13287</v>
      </c>
      <c r="E529" t="str">
        <f>+VLOOKUP(A529,[1]PFE4!$A$7:$F$5208,6,0)</f>
        <v>CARRERA 6  46  26</v>
      </c>
      <c r="F529" s="17">
        <f>+VLOOKUP(A529,[1]PFE4!$A$7:$G$5208,7,0)</f>
        <v>73001</v>
      </c>
      <c r="G529">
        <v>5548535</v>
      </c>
      <c r="H529">
        <v>4329</v>
      </c>
    </row>
    <row r="530" spans="1:8" ht="15" customHeight="1" x14ac:dyDescent="0.25">
      <c r="A530" t="s">
        <v>2774</v>
      </c>
      <c r="B530" t="s">
        <v>6825</v>
      </c>
      <c r="C530" t="s">
        <v>10598</v>
      </c>
      <c r="D530" t="s">
        <v>13287</v>
      </c>
      <c r="E530" t="str">
        <f>+VLOOKUP(A530,[1]PFE4!$A$7:$F$5208,6,0)</f>
        <v>TV 1 ESTE 57 81</v>
      </c>
      <c r="F530" s="17">
        <f>+VLOOKUP(A530,[1]PFE4!$A$7:$G$5208,7,0)</f>
        <v>11001</v>
      </c>
      <c r="G530">
        <v>5552283</v>
      </c>
      <c r="H530">
        <v>4329</v>
      </c>
    </row>
    <row r="531" spans="1:8" ht="15" customHeight="1" x14ac:dyDescent="0.25">
      <c r="A531" t="s">
        <v>2775</v>
      </c>
      <c r="B531" t="s">
        <v>6826</v>
      </c>
      <c r="C531" t="s">
        <v>10599</v>
      </c>
      <c r="D531" t="s">
        <v>13287</v>
      </c>
      <c r="E531" t="str">
        <f>+VLOOKUP(A531,[1]PFE4!$A$7:$F$5208,6,0)</f>
        <v>CL 33 B SUR 45 B 49</v>
      </c>
      <c r="F531" s="17" t="str">
        <f>+VLOOKUP(A531,[1]PFE4!$A$7:$G$5208,7,0)</f>
        <v>05266</v>
      </c>
      <c r="G531">
        <v>5562344</v>
      </c>
      <c r="H531">
        <v>4329</v>
      </c>
    </row>
    <row r="532" spans="1:8" ht="15" customHeight="1" x14ac:dyDescent="0.25">
      <c r="A532" t="s">
        <v>2776</v>
      </c>
      <c r="B532" t="s">
        <v>6827</v>
      </c>
      <c r="C532" t="s">
        <v>10600</v>
      </c>
      <c r="D532" t="s">
        <v>13287</v>
      </c>
      <c r="E532" t="str">
        <f>+VLOOKUP(A532,[1]PFE4!$A$7:$F$5208,6,0)</f>
        <v>CL 16 8 19</v>
      </c>
      <c r="F532" s="17">
        <f>+VLOOKUP(A532,[1]PFE4!$A$7:$G$5208,7,0)</f>
        <v>15238</v>
      </c>
      <c r="G532">
        <v>5563200</v>
      </c>
      <c r="H532">
        <v>4329</v>
      </c>
    </row>
    <row r="533" spans="1:8" ht="15" customHeight="1" x14ac:dyDescent="0.25">
      <c r="A533" t="s">
        <v>2777</v>
      </c>
      <c r="B533" t="s">
        <v>6828</v>
      </c>
      <c r="C533" t="s">
        <v>10601</v>
      </c>
      <c r="D533" t="s">
        <v>13287</v>
      </c>
      <c r="E533" t="str">
        <f>+VLOOKUP(A533,[1]PFE4!$A$7:$F$5208,6,0)</f>
        <v>CARRERA 20  127  41</v>
      </c>
      <c r="F533" s="17">
        <f>+VLOOKUP(A533,[1]PFE4!$A$7:$G$5208,7,0)</f>
        <v>11001</v>
      </c>
      <c r="G533">
        <v>5565723</v>
      </c>
      <c r="H533">
        <v>4329</v>
      </c>
    </row>
    <row r="534" spans="1:8" ht="15" customHeight="1" x14ac:dyDescent="0.25">
      <c r="A534" t="s">
        <v>2778</v>
      </c>
      <c r="B534" t="s">
        <v>6829</v>
      </c>
      <c r="C534" t="s">
        <v>10602</v>
      </c>
      <c r="D534" t="s">
        <v>13287</v>
      </c>
      <c r="E534" t="str">
        <f>+VLOOKUP(A534,[1]PFE4!$A$7:$F$5208,6,0)</f>
        <v>AVENIDA CARRERA 45  128 C  45  OFICINA 301</v>
      </c>
      <c r="F534" s="17">
        <f>+VLOOKUP(A534,[1]PFE4!$A$7:$G$5208,7,0)</f>
        <v>11001</v>
      </c>
      <c r="G534">
        <v>5566336</v>
      </c>
      <c r="H534">
        <v>4329</v>
      </c>
    </row>
    <row r="535" spans="1:8" ht="15" customHeight="1" x14ac:dyDescent="0.25">
      <c r="A535" t="s">
        <v>2779</v>
      </c>
      <c r="B535" t="s">
        <v>6830</v>
      </c>
      <c r="C535" t="s">
        <v>10603</v>
      </c>
      <c r="D535" t="s">
        <v>13287</v>
      </c>
      <c r="E535" t="str">
        <f>+VLOOKUP(A535,[1]PFE4!$A$7:$F$5208,6,0)</f>
        <v>CALLE 12 7-43</v>
      </c>
      <c r="F535" s="17">
        <f>+VLOOKUP(A535,[1]PFE4!$A$7:$G$5208,7,0)</f>
        <v>20001</v>
      </c>
      <c r="G535">
        <v>5570998</v>
      </c>
      <c r="H535">
        <v>4329</v>
      </c>
    </row>
    <row r="536" spans="1:8" ht="15" customHeight="1" x14ac:dyDescent="0.25">
      <c r="A536" t="s">
        <v>2780</v>
      </c>
      <c r="B536" t="s">
        <v>6831</v>
      </c>
      <c r="C536" t="s">
        <v>10604</v>
      </c>
      <c r="D536" t="s">
        <v>13287</v>
      </c>
      <c r="E536" t="str">
        <f>+VLOOKUP(A536,[1]PFE4!$A$7:$F$5208,6,0)</f>
        <v>CL 45 E 15 B 81</v>
      </c>
      <c r="F536" s="17" t="str">
        <f>+VLOOKUP(A536,[1]PFE4!$A$7:$G$5208,7,0)</f>
        <v>08758</v>
      </c>
      <c r="G536">
        <v>5578377</v>
      </c>
      <c r="H536">
        <v>4329</v>
      </c>
    </row>
    <row r="537" spans="1:8" ht="15" customHeight="1" x14ac:dyDescent="0.25">
      <c r="A537" t="s">
        <v>2781</v>
      </c>
      <c r="B537" t="s">
        <v>6832</v>
      </c>
      <c r="C537" t="s">
        <v>10605</v>
      </c>
      <c r="D537" t="s">
        <v>13287</v>
      </c>
      <c r="E537" t="str">
        <f>+VLOOKUP(A537,[1]PFE4!$A$7:$F$5208,6,0)</f>
        <v>DG 74 A 2 36</v>
      </c>
      <c r="F537" s="17">
        <f>+VLOOKUP(A537,[1]PFE4!$A$7:$G$5208,7,0)</f>
        <v>11001</v>
      </c>
      <c r="G537">
        <v>5578520</v>
      </c>
      <c r="H537">
        <v>4329</v>
      </c>
    </row>
    <row r="538" spans="1:8" ht="15" customHeight="1" x14ac:dyDescent="0.25">
      <c r="A538" t="s">
        <v>2782</v>
      </c>
      <c r="B538" t="s">
        <v>6833</v>
      </c>
      <c r="C538" t="s">
        <v>10606</v>
      </c>
      <c r="D538" t="s">
        <v>13287</v>
      </c>
      <c r="E538" t="str">
        <f>+VLOOKUP(A538,[1]PFE4!$A$7:$F$5208,6,0)</f>
        <v>BRR BOSQUE CRA 49 CL SENA 21B 76</v>
      </c>
      <c r="F538" s="17">
        <f>+VLOOKUP(A538,[1]PFE4!$A$7:$G$5208,7,0)</f>
        <v>13001</v>
      </c>
      <c r="G538">
        <v>5580000</v>
      </c>
      <c r="H538">
        <v>4329</v>
      </c>
    </row>
    <row r="539" spans="1:8" ht="15" customHeight="1" x14ac:dyDescent="0.25">
      <c r="A539" t="s">
        <v>2783</v>
      </c>
      <c r="B539" t="s">
        <v>6834</v>
      </c>
      <c r="C539" t="s">
        <v>10607</v>
      </c>
      <c r="D539" t="s">
        <v>13287</v>
      </c>
      <c r="E539" t="str">
        <f>+VLOOKUP(A539,[1]PFE4!$A$7:$F$5208,6,0)</f>
        <v>DG 71 A 1 26 I 68 BRR RICARDO BALCAZAR</v>
      </c>
      <c r="F539" s="17">
        <f>+VLOOKUP(A539,[1]PFE4!$A$7:$G$5208,7,0)</f>
        <v>11001</v>
      </c>
      <c r="G539">
        <v>5582952</v>
      </c>
      <c r="H539">
        <v>4329</v>
      </c>
    </row>
    <row r="540" spans="1:8" ht="15" customHeight="1" x14ac:dyDescent="0.25">
      <c r="A540" t="s">
        <v>2784</v>
      </c>
      <c r="B540" t="s">
        <v>6835</v>
      </c>
      <c r="C540" t="s">
        <v>10608</v>
      </c>
      <c r="D540" t="s">
        <v>13287</v>
      </c>
      <c r="E540" t="str">
        <f>+VLOOKUP(A540,[1]PFE4!$A$7:$F$5208,6,0)</f>
        <v>CL 36 34 45</v>
      </c>
      <c r="F540" s="17">
        <f>+VLOOKUP(A540,[1]PFE4!$A$7:$G$5208,7,0)</f>
        <v>11001</v>
      </c>
      <c r="G540">
        <v>5591840</v>
      </c>
      <c r="H540">
        <v>4329</v>
      </c>
    </row>
    <row r="541" spans="1:8" ht="15" customHeight="1" x14ac:dyDescent="0.25">
      <c r="A541" t="s">
        <v>2785</v>
      </c>
      <c r="B541" t="s">
        <v>6836</v>
      </c>
      <c r="C541" t="s">
        <v>10609</v>
      </c>
      <c r="D541" t="s">
        <v>13287</v>
      </c>
      <c r="E541" t="str">
        <f>+VLOOKUP(A541,[1]PFE4!$A$7:$F$5208,6,0)</f>
        <v>CALLE 17  1 A  53</v>
      </c>
      <c r="F541" s="17">
        <f>+VLOOKUP(A541,[1]PFE4!$A$7:$G$5208,7,0)</f>
        <v>63001</v>
      </c>
      <c r="G541">
        <v>5593556</v>
      </c>
      <c r="H541">
        <v>4329</v>
      </c>
    </row>
    <row r="542" spans="1:8" ht="15" customHeight="1" x14ac:dyDescent="0.25">
      <c r="A542" t="s">
        <v>2786</v>
      </c>
      <c r="B542" t="s">
        <v>6837</v>
      </c>
      <c r="C542" t="s">
        <v>10610</v>
      </c>
      <c r="D542" t="s">
        <v>13287</v>
      </c>
      <c r="E542" t="str">
        <f>+VLOOKUP(A542,[1]PFE4!$A$7:$F$5208,6,0)</f>
        <v>KM 9 VIA BOGOTA LA CALERA VEREDA EL SALITRE</v>
      </c>
      <c r="F542" s="17">
        <f>+VLOOKUP(A542,[1]PFE4!$A$7:$G$5208,7,0)</f>
        <v>25377</v>
      </c>
      <c r="G542">
        <v>5604916</v>
      </c>
      <c r="H542">
        <v>4329</v>
      </c>
    </row>
    <row r="543" spans="1:8" ht="15" customHeight="1" x14ac:dyDescent="0.25">
      <c r="A543" t="s">
        <v>2787</v>
      </c>
      <c r="B543" t="s">
        <v>6838</v>
      </c>
      <c r="C543" t="s">
        <v>10611</v>
      </c>
      <c r="D543" t="s">
        <v>13287</v>
      </c>
      <c r="E543" t="str">
        <f>+VLOOKUP(A543,[1]PFE4!$A$7:$F$5208,6,0)</f>
        <v>CARRERA 2 ESTE No. 70-20</v>
      </c>
      <c r="F543" s="17">
        <f>+VLOOKUP(A543,[1]PFE4!$A$7:$G$5208,7,0)</f>
        <v>11001</v>
      </c>
      <c r="G543">
        <v>5607768</v>
      </c>
      <c r="H543">
        <v>4329</v>
      </c>
    </row>
    <row r="544" spans="1:8" ht="15" customHeight="1" x14ac:dyDescent="0.25">
      <c r="A544" t="s">
        <v>2788</v>
      </c>
      <c r="B544" t="s">
        <v>6839</v>
      </c>
      <c r="C544" t="s">
        <v>10612</v>
      </c>
      <c r="D544" t="s">
        <v>13287</v>
      </c>
      <c r="E544" t="str">
        <f>+VLOOKUP(A544,[1]PFE4!$A$7:$F$5208,6,0)</f>
        <v>CARRERA 16 A  135  84</v>
      </c>
      <c r="F544" s="17">
        <f>+VLOOKUP(A544,[1]PFE4!$A$7:$G$5208,7,0)</f>
        <v>11001</v>
      </c>
      <c r="G544">
        <v>5610600</v>
      </c>
      <c r="H544">
        <v>4329</v>
      </c>
    </row>
    <row r="545" spans="1:8" ht="15" customHeight="1" x14ac:dyDescent="0.25">
      <c r="A545" t="s">
        <v>2789</v>
      </c>
      <c r="B545" t="s">
        <v>6840</v>
      </c>
      <c r="C545">
        <v>0</v>
      </c>
      <c r="D545" t="s">
        <v>13287</v>
      </c>
      <c r="E545">
        <v>0</v>
      </c>
      <c r="F545" s="17">
        <v>11001</v>
      </c>
      <c r="G545">
        <v>5612680</v>
      </c>
      <c r="H545">
        <v>4329</v>
      </c>
    </row>
    <row r="546" spans="1:8" ht="15" customHeight="1" x14ac:dyDescent="0.25">
      <c r="A546" t="s">
        <v>2790</v>
      </c>
      <c r="B546" t="s">
        <v>6841</v>
      </c>
      <c r="C546" t="s">
        <v>10613</v>
      </c>
      <c r="D546" t="s">
        <v>13287</v>
      </c>
      <c r="E546" t="str">
        <f>+VLOOKUP(A546,[1]PFE4!$A$7:$F$5208,6,0)</f>
        <v>AV 10 NORTE 24 A N 5</v>
      </c>
      <c r="F546" s="17">
        <f>+VLOOKUP(A546,[1]PFE4!$A$7:$G$5208,7,0)</f>
        <v>76001</v>
      </c>
      <c r="G546">
        <v>5619300</v>
      </c>
      <c r="H546">
        <v>4329</v>
      </c>
    </row>
    <row r="547" spans="1:8" ht="15" customHeight="1" x14ac:dyDescent="0.25">
      <c r="A547" t="s">
        <v>2791</v>
      </c>
      <c r="B547" t="s">
        <v>6842</v>
      </c>
      <c r="C547" t="s">
        <v>10614</v>
      </c>
      <c r="D547" t="s">
        <v>13287</v>
      </c>
      <c r="E547" t="str">
        <f>+VLOOKUP(A547,[1]PFE4!$A$7:$F$5208,6,0)</f>
        <v>CALLE 18  13  47</v>
      </c>
      <c r="F547" s="17">
        <f>+VLOOKUP(A547,[1]PFE4!$A$7:$G$5208,7,0)</f>
        <v>15238</v>
      </c>
      <c r="G547">
        <v>5630011</v>
      </c>
      <c r="H547">
        <v>4329</v>
      </c>
    </row>
    <row r="548" spans="1:8" ht="15" customHeight="1" x14ac:dyDescent="0.25">
      <c r="A548" t="s">
        <v>2792</v>
      </c>
      <c r="B548" t="s">
        <v>6843</v>
      </c>
      <c r="C548" t="s">
        <v>10615</v>
      </c>
      <c r="D548" t="s">
        <v>13287</v>
      </c>
      <c r="E548" t="str">
        <f>+VLOOKUP(A548,[1]PFE4!$A$7:$F$5208,6,0)</f>
        <v>CALLE 98 11B 29</v>
      </c>
      <c r="F548" s="17">
        <f>+VLOOKUP(A548,[1]PFE4!$A$7:$G$5208,7,0)</f>
        <v>11001</v>
      </c>
      <c r="G548">
        <v>5635310</v>
      </c>
      <c r="H548">
        <v>4329</v>
      </c>
    </row>
    <row r="549" spans="1:8" ht="15" customHeight="1" x14ac:dyDescent="0.25">
      <c r="A549" t="s">
        <v>2793</v>
      </c>
      <c r="B549" t="s">
        <v>6844</v>
      </c>
      <c r="C549" t="s">
        <v>10616</v>
      </c>
      <c r="D549" t="s">
        <v>13287</v>
      </c>
      <c r="E549" t="str">
        <f>+VLOOKUP(A549,[1]PFE4!$A$7:$F$5208,6,0)</f>
        <v>DG 54 No 24 -57</v>
      </c>
      <c r="F549" s="17">
        <f>+VLOOKUP(A549,[1]PFE4!$A$7:$G$5208,7,0)</f>
        <v>11001</v>
      </c>
      <c r="G549">
        <v>5663324</v>
      </c>
      <c r="H549">
        <v>4329</v>
      </c>
    </row>
    <row r="550" spans="1:8" ht="15" customHeight="1" x14ac:dyDescent="0.25">
      <c r="A550" t="s">
        <v>2794</v>
      </c>
      <c r="B550" t="s">
        <v>6845</v>
      </c>
      <c r="C550" t="s">
        <v>10617</v>
      </c>
      <c r="D550" t="s">
        <v>13287</v>
      </c>
      <c r="E550" t="str">
        <f>+VLOOKUP(A550,[1]PFE4!$A$7:$F$5208,6,0)</f>
        <v>CARRERA 19  82  85  OFICINA 504</v>
      </c>
      <c r="F550" s="17">
        <f>+VLOOKUP(A550,[1]PFE4!$A$7:$G$5208,7,0)</f>
        <v>11001</v>
      </c>
      <c r="G550">
        <v>5677060</v>
      </c>
      <c r="H550">
        <v>4329</v>
      </c>
    </row>
    <row r="551" spans="1:8" ht="15" customHeight="1" x14ac:dyDescent="0.25">
      <c r="A551" t="s">
        <v>2795</v>
      </c>
      <c r="B551" t="s">
        <v>6846</v>
      </c>
      <c r="C551" t="s">
        <v>10618</v>
      </c>
      <c r="D551" t="s">
        <v>13287</v>
      </c>
      <c r="E551" t="str">
        <f>+VLOOKUP(A551,[1]PFE4!$A$7:$F$5208,6,0)</f>
        <v>CALLE 117  11  51</v>
      </c>
      <c r="F551" s="17">
        <f>+VLOOKUP(A551,[1]PFE4!$A$7:$G$5208,7,0)</f>
        <v>11001</v>
      </c>
      <c r="G551">
        <v>5679789</v>
      </c>
      <c r="H551">
        <v>4329</v>
      </c>
    </row>
    <row r="552" spans="1:8" ht="15" customHeight="1" x14ac:dyDescent="0.25">
      <c r="A552" t="s">
        <v>2796</v>
      </c>
      <c r="B552" t="s">
        <v>6847</v>
      </c>
      <c r="C552" t="s">
        <v>10619</v>
      </c>
      <c r="D552" t="s">
        <v>13287</v>
      </c>
      <c r="E552" t="str">
        <f>+VLOOKUP(A552,[1]PFE4!$A$7:$F$5208,6,0)</f>
        <v>CR 7 KM 16 VDA FUSCA LT CHOSUA</v>
      </c>
      <c r="F552" s="17">
        <f>+VLOOKUP(A552,[1]PFE4!$A$7:$G$5208,7,0)</f>
        <v>25175</v>
      </c>
      <c r="G552">
        <v>5683065</v>
      </c>
      <c r="H552">
        <v>4329</v>
      </c>
    </row>
    <row r="553" spans="1:8" ht="15" customHeight="1" x14ac:dyDescent="0.25">
      <c r="A553" t="s">
        <v>2797</v>
      </c>
      <c r="B553" t="s">
        <v>6848</v>
      </c>
      <c r="C553" t="s">
        <v>10620</v>
      </c>
      <c r="D553" t="s">
        <v>13287</v>
      </c>
      <c r="E553" t="str">
        <f>+VLOOKUP(A553,[1]PFE4!$A$7:$F$5208,6,0)</f>
        <v>CALLE 51  26  19</v>
      </c>
      <c r="F553" s="17">
        <f>+VLOOKUP(A553,[1]PFE4!$A$7:$G$5208,7,0)</f>
        <v>11001</v>
      </c>
      <c r="G553">
        <v>5683799</v>
      </c>
      <c r="H553">
        <v>4329</v>
      </c>
    </row>
    <row r="554" spans="1:8" ht="15" customHeight="1" x14ac:dyDescent="0.25">
      <c r="A554" t="s">
        <v>2798</v>
      </c>
      <c r="B554" t="s">
        <v>6849</v>
      </c>
      <c r="C554" t="s">
        <v>10621</v>
      </c>
      <c r="D554" t="s">
        <v>13287</v>
      </c>
      <c r="E554" t="str">
        <f>+VLOOKUP(A554,[1]PFE4!$A$7:$F$5208,6,0)</f>
        <v>CL 13 15 61 LC 64 CC AVENIDA COLON</v>
      </c>
      <c r="F554" s="17">
        <f>+VLOOKUP(A554,[1]PFE4!$A$7:$G$5208,7,0)</f>
        <v>68406</v>
      </c>
      <c r="G554">
        <v>5692601</v>
      </c>
      <c r="H554">
        <v>4329</v>
      </c>
    </row>
    <row r="555" spans="1:8" ht="15" customHeight="1" x14ac:dyDescent="0.25">
      <c r="A555" t="s">
        <v>2799</v>
      </c>
      <c r="B555" t="s">
        <v>6850</v>
      </c>
      <c r="C555" t="s">
        <v>10622</v>
      </c>
      <c r="D555" t="s">
        <v>13287</v>
      </c>
      <c r="E555" t="str">
        <f>+VLOOKUP(A555,[1]PFE4!$A$7:$F$5208,6,0)</f>
        <v>CARRERA 78  20 A  85</v>
      </c>
      <c r="F555" s="17" t="str">
        <f>+VLOOKUP(A555,[1]PFE4!$A$7:$G$5208,7,0)</f>
        <v>05088</v>
      </c>
      <c r="G555">
        <v>5697028</v>
      </c>
      <c r="H555">
        <v>4329</v>
      </c>
    </row>
    <row r="556" spans="1:8" ht="15" customHeight="1" x14ac:dyDescent="0.25">
      <c r="A556" t="s">
        <v>2800</v>
      </c>
      <c r="B556" t="s">
        <v>6851</v>
      </c>
      <c r="C556" t="s">
        <v>10623</v>
      </c>
      <c r="D556" t="s">
        <v>13287</v>
      </c>
      <c r="E556" t="str">
        <f>+VLOOKUP(A556,[1]PFE4!$A$7:$F$5208,6,0)</f>
        <v>CALLE 106 A  17 A  47</v>
      </c>
      <c r="F556" s="17">
        <f>+VLOOKUP(A556,[1]PFE4!$A$7:$G$5208,7,0)</f>
        <v>11001</v>
      </c>
      <c r="G556">
        <v>5713158</v>
      </c>
      <c r="H556">
        <v>4329</v>
      </c>
    </row>
    <row r="557" spans="1:8" ht="15" customHeight="1" x14ac:dyDescent="0.25">
      <c r="A557" t="s">
        <v>2801</v>
      </c>
      <c r="B557" t="s">
        <v>6852</v>
      </c>
      <c r="C557" t="s">
        <v>10624</v>
      </c>
      <c r="D557" t="s">
        <v>13287</v>
      </c>
      <c r="E557" t="str">
        <f>+VLOOKUP(A557,[1]PFE4!$A$7:$F$5208,6,0)</f>
        <v>CALLE 9  62 C  06</v>
      </c>
      <c r="F557" s="17">
        <f>+VLOOKUP(A557,[1]PFE4!$A$7:$G$5208,7,0)</f>
        <v>76001</v>
      </c>
      <c r="G557">
        <v>5713644</v>
      </c>
      <c r="H557">
        <v>4329</v>
      </c>
    </row>
    <row r="558" spans="1:8" ht="15" customHeight="1" x14ac:dyDescent="0.25">
      <c r="A558" t="s">
        <v>2802</v>
      </c>
      <c r="B558" t="s">
        <v>6853</v>
      </c>
      <c r="C558" t="s">
        <v>10625</v>
      </c>
      <c r="D558" t="s">
        <v>13287</v>
      </c>
      <c r="E558" t="str">
        <f>+VLOOKUP(A558,[1]PFE4!$A$7:$F$5208,6,0)</f>
        <v>CARRERA 43  65  100</v>
      </c>
      <c r="F558" s="17">
        <f>+VLOOKUP(A558,[1]PFE4!$A$7:$G$5208,7,0)</f>
        <v>11001</v>
      </c>
      <c r="G558">
        <v>5720000</v>
      </c>
      <c r="H558">
        <v>4329</v>
      </c>
    </row>
    <row r="559" spans="1:8" ht="15" customHeight="1" x14ac:dyDescent="0.25">
      <c r="A559" t="s">
        <v>2803</v>
      </c>
      <c r="B559" t="s">
        <v>6854</v>
      </c>
      <c r="C559" t="s">
        <v>10626</v>
      </c>
      <c r="D559" t="s">
        <v>13287</v>
      </c>
      <c r="E559" t="str">
        <f>+VLOOKUP(A559,[1]PFE4!$A$7:$F$5208,6,0)</f>
        <v>AUT MEDELLIN KM 7 PAR CELTA TRADE PARK BG 142</v>
      </c>
      <c r="F559" s="17">
        <f>+VLOOKUP(A559,[1]PFE4!$A$7:$G$5208,7,0)</f>
        <v>25286</v>
      </c>
      <c r="G559">
        <v>5723872</v>
      </c>
      <c r="H559">
        <v>4329</v>
      </c>
    </row>
    <row r="560" spans="1:8" ht="15" customHeight="1" x14ac:dyDescent="0.25">
      <c r="A560" t="s">
        <v>2804</v>
      </c>
      <c r="B560" t="s">
        <v>6855</v>
      </c>
      <c r="C560" t="s">
        <v>10627</v>
      </c>
      <c r="D560" t="s">
        <v>13287</v>
      </c>
      <c r="E560" t="str">
        <f>+VLOOKUP(A560,[1]PFE4!$A$7:$F$5208,6,0)</f>
        <v>CARRERA 34  36  31</v>
      </c>
      <c r="F560" s="17">
        <f>+VLOOKUP(A560,[1]PFE4!$A$7:$G$5208,7,0)</f>
        <v>68001</v>
      </c>
      <c r="G560">
        <v>5725352</v>
      </c>
      <c r="H560">
        <v>4329</v>
      </c>
    </row>
    <row r="561" spans="1:8" ht="15" customHeight="1" x14ac:dyDescent="0.25">
      <c r="A561" t="s">
        <v>2805</v>
      </c>
      <c r="B561" t="s">
        <v>6856</v>
      </c>
      <c r="C561" t="s">
        <v>10628</v>
      </c>
      <c r="D561" t="s">
        <v>13287</v>
      </c>
      <c r="E561" t="str">
        <f>+VLOOKUP(A561,[1]PFE4!$A$7:$F$5208,6,0)</f>
        <v>CR 14 44 106</v>
      </c>
      <c r="F561" s="17">
        <f>+VLOOKUP(A561,[1]PFE4!$A$7:$G$5208,7,0)</f>
        <v>23001</v>
      </c>
      <c r="G561">
        <v>5752755</v>
      </c>
      <c r="H561">
        <v>4329</v>
      </c>
    </row>
    <row r="562" spans="1:8" ht="15" customHeight="1" x14ac:dyDescent="0.25">
      <c r="A562" t="s">
        <v>2806</v>
      </c>
      <c r="B562" t="s">
        <v>6857</v>
      </c>
      <c r="C562" t="s">
        <v>10629</v>
      </c>
      <c r="D562" t="s">
        <v>13287</v>
      </c>
      <c r="E562" t="str">
        <f>+VLOOKUP(A562,[1]PFE4!$A$7:$F$5208,6,0)</f>
        <v>CL 9 B N 7 A E 51 BRR GUAIMARAL</v>
      </c>
      <c r="F562" s="17">
        <f>+VLOOKUP(A562,[1]PFE4!$A$7:$G$5208,7,0)</f>
        <v>54001</v>
      </c>
      <c r="G562">
        <v>5754000</v>
      </c>
      <c r="H562">
        <v>4329</v>
      </c>
    </row>
    <row r="563" spans="1:8" ht="15" customHeight="1" x14ac:dyDescent="0.25">
      <c r="A563" t="s">
        <v>2807</v>
      </c>
      <c r="B563" t="s">
        <v>6858</v>
      </c>
      <c r="C563" t="s">
        <v>10630</v>
      </c>
      <c r="D563" t="s">
        <v>13287</v>
      </c>
      <c r="E563" t="str">
        <f>+VLOOKUP(A563,[1]PFE4!$A$7:$F$5208,6,0)</f>
        <v>CALLE 123  11B  31</v>
      </c>
      <c r="F563" s="17">
        <f>+VLOOKUP(A563,[1]PFE4!$A$7:$G$5208,7,0)</f>
        <v>11001</v>
      </c>
      <c r="G563">
        <v>5754889</v>
      </c>
      <c r="H563">
        <v>4329</v>
      </c>
    </row>
    <row r="564" spans="1:8" ht="15" customHeight="1" x14ac:dyDescent="0.25">
      <c r="A564" t="s">
        <v>2808</v>
      </c>
      <c r="B564" t="s">
        <v>6859</v>
      </c>
      <c r="C564" t="s">
        <v>10631</v>
      </c>
      <c r="D564" t="s">
        <v>13287</v>
      </c>
      <c r="E564" t="str">
        <f>+VLOOKUP(A564,[1]PFE4!$A$7:$F$5208,6,0)</f>
        <v>CR 11 A 93 93</v>
      </c>
      <c r="F564" s="17">
        <f>+VLOOKUP(A564,[1]PFE4!$A$7:$G$5208,7,0)</f>
        <v>11001</v>
      </c>
      <c r="G564">
        <v>5758568</v>
      </c>
      <c r="H564">
        <v>4329</v>
      </c>
    </row>
    <row r="565" spans="1:8" ht="15" customHeight="1" x14ac:dyDescent="0.25">
      <c r="A565" t="s">
        <v>2809</v>
      </c>
      <c r="B565" t="s">
        <v>6860</v>
      </c>
      <c r="C565" t="s">
        <v>10632</v>
      </c>
      <c r="D565" t="s">
        <v>13287</v>
      </c>
      <c r="E565" t="str">
        <f>+VLOOKUP(A565,[1]PFE4!$A$7:$F$5208,6,0)</f>
        <v>CARRERA 19N 17-036</v>
      </c>
      <c r="F565" s="17" t="str">
        <f>+VLOOKUP(A565,[1]PFE4!$A$7:$G$5208,7,0)</f>
        <v>05079</v>
      </c>
      <c r="G565">
        <v>5758788</v>
      </c>
      <c r="H565">
        <v>4329</v>
      </c>
    </row>
    <row r="566" spans="1:8" ht="15" customHeight="1" x14ac:dyDescent="0.25">
      <c r="A566" t="s">
        <v>2810</v>
      </c>
      <c r="B566" t="s">
        <v>6861</v>
      </c>
      <c r="C566">
        <v>0</v>
      </c>
      <c r="D566" t="s">
        <v>13287</v>
      </c>
      <c r="E566">
        <v>0</v>
      </c>
      <c r="F566" s="17">
        <v>11001</v>
      </c>
      <c r="G566">
        <v>5760000</v>
      </c>
      <c r="H566">
        <v>4329</v>
      </c>
    </row>
    <row r="567" spans="1:8" ht="15" customHeight="1" x14ac:dyDescent="0.25">
      <c r="A567" t="s">
        <v>2811</v>
      </c>
      <c r="B567" t="s">
        <v>6862</v>
      </c>
      <c r="C567" t="s">
        <v>10633</v>
      </c>
      <c r="D567" t="s">
        <v>13287</v>
      </c>
      <c r="E567" t="str">
        <f>+VLOOKUP(A567,[1]PFE4!$A$7:$F$5208,6,0)</f>
        <v>CARRERA 23  73  126</v>
      </c>
      <c r="F567" s="17">
        <f>+VLOOKUP(A567,[1]PFE4!$A$7:$G$5208,7,0)</f>
        <v>17001</v>
      </c>
      <c r="G567">
        <v>5760000</v>
      </c>
      <c r="H567">
        <v>4329</v>
      </c>
    </row>
    <row r="568" spans="1:8" ht="15" customHeight="1" x14ac:dyDescent="0.25">
      <c r="A568" t="s">
        <v>2812</v>
      </c>
      <c r="B568" t="s">
        <v>6863</v>
      </c>
      <c r="C568" t="s">
        <v>10634</v>
      </c>
      <c r="D568" t="s">
        <v>13287</v>
      </c>
      <c r="E568" t="str">
        <f>+VLOOKUP(A568,[1]PFE4!$A$7:$F$5208,6,0)</f>
        <v>CR 19 13 48</v>
      </c>
      <c r="F568" s="17">
        <f>+VLOOKUP(A568,[1]PFE4!$A$7:$G$5208,7,0)</f>
        <v>17001</v>
      </c>
      <c r="G568">
        <v>5783567</v>
      </c>
      <c r="H568">
        <v>4329</v>
      </c>
    </row>
    <row r="569" spans="1:8" ht="15" customHeight="1" x14ac:dyDescent="0.25">
      <c r="A569" t="s">
        <v>2813</v>
      </c>
      <c r="B569" t="s">
        <v>6864</v>
      </c>
      <c r="C569" t="s">
        <v>10635</v>
      </c>
      <c r="D569" t="s">
        <v>13287</v>
      </c>
      <c r="E569" t="str">
        <f>+VLOOKUP(A569,[1]PFE4!$A$7:$F$5208,6,0)</f>
        <v>CARRERA 80 A  29  04  20</v>
      </c>
      <c r="F569" s="17" t="str">
        <f>+VLOOKUP(A569,[1]PFE4!$A$7:$G$5208,7,0)</f>
        <v>05001</v>
      </c>
      <c r="G569">
        <v>5796000</v>
      </c>
      <c r="H569">
        <v>4329</v>
      </c>
    </row>
    <row r="570" spans="1:8" ht="15" customHeight="1" x14ac:dyDescent="0.25">
      <c r="A570" t="s">
        <v>2814</v>
      </c>
      <c r="B570" t="s">
        <v>6865</v>
      </c>
      <c r="C570" t="s">
        <v>10583</v>
      </c>
      <c r="D570" t="s">
        <v>13287</v>
      </c>
      <c r="E570" t="str">
        <f>+VLOOKUP(A570,[1]PFE4!$A$7:$F$5208,6,0)</f>
        <v>CRA 27A # 71-27</v>
      </c>
      <c r="F570" s="17">
        <f>+VLOOKUP(A570,[1]PFE4!$A$7:$G$5208,7,0)</f>
        <v>17001</v>
      </c>
      <c r="G570">
        <v>5803716</v>
      </c>
      <c r="H570">
        <v>4329</v>
      </c>
    </row>
    <row r="571" spans="1:8" ht="15" customHeight="1" x14ac:dyDescent="0.25">
      <c r="A571" t="s">
        <v>2815</v>
      </c>
      <c r="B571" t="s">
        <v>6866</v>
      </c>
      <c r="C571" t="s">
        <v>10636</v>
      </c>
      <c r="D571" t="s">
        <v>13287</v>
      </c>
      <c r="E571" t="str">
        <f>+VLOOKUP(A571,[1]PFE4!$A$7:$F$5208,6,0)</f>
        <v>CR 7  153 A 03</v>
      </c>
      <c r="F571" s="17">
        <f>+VLOOKUP(A571,[1]PFE4!$A$7:$G$5208,7,0)</f>
        <v>11001</v>
      </c>
      <c r="G571">
        <v>5814684</v>
      </c>
      <c r="H571">
        <v>4329</v>
      </c>
    </row>
    <row r="572" spans="1:8" ht="15" customHeight="1" x14ac:dyDescent="0.25">
      <c r="A572" t="s">
        <v>2816</v>
      </c>
      <c r="B572" t="s">
        <v>6867</v>
      </c>
      <c r="C572" t="s">
        <v>10637</v>
      </c>
      <c r="D572" t="s">
        <v>13287</v>
      </c>
      <c r="E572" t="str">
        <f>+VLOOKUP(A572,[1]PFE4!$A$7:$F$5208,6,0)</f>
        <v>CALLE 77 65 62</v>
      </c>
      <c r="F572" s="17">
        <f>+VLOOKUP(A572,[1]PFE4!$A$7:$G$5208,7,0)</f>
        <v>68001</v>
      </c>
      <c r="G572">
        <v>5816505</v>
      </c>
      <c r="H572">
        <v>4329</v>
      </c>
    </row>
    <row r="573" spans="1:8" ht="15" customHeight="1" x14ac:dyDescent="0.25">
      <c r="A573" t="s">
        <v>2817</v>
      </c>
      <c r="B573" t="s">
        <v>6868</v>
      </c>
      <c r="C573" t="s">
        <v>10638</v>
      </c>
      <c r="D573" t="s">
        <v>13287</v>
      </c>
      <c r="E573" t="str">
        <f>+VLOOKUP(A573,[1]PFE4!$A$7:$F$5208,6,0)</f>
        <v>CR 45 80 82</v>
      </c>
      <c r="F573" s="17" t="str">
        <f>+VLOOKUP(A573,[1]PFE4!$A$7:$G$5208,7,0)</f>
        <v>08001</v>
      </c>
      <c r="G573">
        <v>5819352</v>
      </c>
      <c r="H573">
        <v>4329</v>
      </c>
    </row>
    <row r="574" spans="1:8" ht="15" customHeight="1" x14ac:dyDescent="0.25">
      <c r="A574" t="s">
        <v>2818</v>
      </c>
      <c r="B574" t="s">
        <v>6869</v>
      </c>
      <c r="C574" t="s">
        <v>10639</v>
      </c>
      <c r="D574" t="s">
        <v>13287</v>
      </c>
      <c r="E574" t="str">
        <f>+VLOOKUP(A574,[1]PFE4!$A$7:$F$5208,6,0)</f>
        <v>CR 46 74 SUR 48 LC 101 ED BOREAL</v>
      </c>
      <c r="F574" s="17" t="str">
        <f>+VLOOKUP(A574,[1]PFE4!$A$7:$G$5208,7,0)</f>
        <v>05631</v>
      </c>
      <c r="G574">
        <v>5819369</v>
      </c>
      <c r="H574">
        <v>4329</v>
      </c>
    </row>
    <row r="575" spans="1:8" ht="15" customHeight="1" x14ac:dyDescent="0.25">
      <c r="A575" t="s">
        <v>2819</v>
      </c>
      <c r="B575" t="s">
        <v>6870</v>
      </c>
      <c r="C575" t="s">
        <v>10640</v>
      </c>
      <c r="D575" t="s">
        <v>13287</v>
      </c>
      <c r="E575" t="str">
        <f>+VLOOKUP(A575,[1]PFE4!$A$7:$F$5208,6,0)</f>
        <v>TRANSVERSAL 21 BIS  61 B  13</v>
      </c>
      <c r="F575" s="17">
        <f>+VLOOKUP(A575,[1]PFE4!$A$7:$G$5208,7,0)</f>
        <v>11001</v>
      </c>
      <c r="G575">
        <v>5822496</v>
      </c>
      <c r="H575">
        <v>4329</v>
      </c>
    </row>
    <row r="576" spans="1:8" ht="15" customHeight="1" x14ac:dyDescent="0.25">
      <c r="A576" t="s">
        <v>2820</v>
      </c>
      <c r="B576" t="s">
        <v>6871</v>
      </c>
      <c r="C576" t="s">
        <v>10641</v>
      </c>
      <c r="D576" t="s">
        <v>13287</v>
      </c>
      <c r="E576" t="str">
        <f>+VLOOKUP(A576,[1]PFE4!$A$7:$F$5208,6,0)</f>
        <v>CALLE 9  37 A  62 OFICINA 4006</v>
      </c>
      <c r="F576" s="17">
        <f>+VLOOKUP(A576,[1]PFE4!$A$7:$G$5208,7,0)</f>
        <v>66001</v>
      </c>
      <c r="G576">
        <v>5824815</v>
      </c>
      <c r="H576">
        <v>4329</v>
      </c>
    </row>
    <row r="577" spans="1:8" ht="15" customHeight="1" x14ac:dyDescent="0.25">
      <c r="A577" t="s">
        <v>2821</v>
      </c>
      <c r="B577" t="s">
        <v>6872</v>
      </c>
      <c r="C577" t="s">
        <v>10642</v>
      </c>
      <c r="D577" t="s">
        <v>13287</v>
      </c>
      <c r="E577" t="str">
        <f>+VLOOKUP(A577,[1]PFE4!$A$7:$F$5208,6,0)</f>
        <v>CALLE 25 B SUR  45  35</v>
      </c>
      <c r="F577" s="17" t="str">
        <f>+VLOOKUP(A577,[1]PFE4!$A$7:$G$5208,7,0)</f>
        <v>05266</v>
      </c>
      <c r="G577">
        <v>5827835</v>
      </c>
      <c r="H577">
        <v>4329</v>
      </c>
    </row>
    <row r="578" spans="1:8" ht="15" customHeight="1" x14ac:dyDescent="0.25">
      <c r="A578" t="s">
        <v>2822</v>
      </c>
      <c r="B578" t="s">
        <v>6873</v>
      </c>
      <c r="C578" t="s">
        <v>10643</v>
      </c>
      <c r="D578" t="s">
        <v>13287</v>
      </c>
      <c r="E578" t="str">
        <f>+VLOOKUP(A578,[1]PFE4!$A$7:$F$5208,6,0)</f>
        <v>CARRERA 6  16  17  OFICINA 201</v>
      </c>
      <c r="F578" s="17">
        <f>+VLOOKUP(A578,[1]PFE4!$A$7:$G$5208,7,0)</f>
        <v>76001</v>
      </c>
      <c r="G578">
        <v>5828595</v>
      </c>
      <c r="H578">
        <v>4329</v>
      </c>
    </row>
    <row r="579" spans="1:8" ht="15" customHeight="1" x14ac:dyDescent="0.25">
      <c r="A579" t="s">
        <v>2823</v>
      </c>
      <c r="B579" t="s">
        <v>6874</v>
      </c>
      <c r="C579" t="s">
        <v>10644</v>
      </c>
      <c r="D579" t="s">
        <v>13287</v>
      </c>
      <c r="E579" t="str">
        <f>+VLOOKUP(A579,[1]PFE4!$A$7:$F$5208,6,0)</f>
        <v>CL 120 42 112</v>
      </c>
      <c r="F579" s="17" t="str">
        <f>+VLOOKUP(A579,[1]PFE4!$A$7:$G$5208,7,0)</f>
        <v>08001</v>
      </c>
      <c r="G579">
        <v>5842425</v>
      </c>
      <c r="H579">
        <v>4329</v>
      </c>
    </row>
    <row r="580" spans="1:8" ht="15" customHeight="1" x14ac:dyDescent="0.25">
      <c r="A580" t="s">
        <v>2824</v>
      </c>
      <c r="B580" t="s">
        <v>6875</v>
      </c>
      <c r="C580" t="s">
        <v>10500</v>
      </c>
      <c r="D580" t="s">
        <v>13287</v>
      </c>
      <c r="E580" t="str">
        <f>+VLOOKUP(A580,[1]PFE4!$A$7:$F$5208,6,0)</f>
        <v>CL 75 23 43</v>
      </c>
      <c r="F580" s="17">
        <f>+VLOOKUP(A580,[1]PFE4!$A$7:$G$5208,7,0)</f>
        <v>11001</v>
      </c>
      <c r="G580">
        <v>5857875</v>
      </c>
      <c r="H580">
        <v>4329</v>
      </c>
    </row>
    <row r="581" spans="1:8" ht="15" customHeight="1" x14ac:dyDescent="0.25">
      <c r="A581" t="s">
        <v>2825</v>
      </c>
      <c r="B581" t="s">
        <v>6876</v>
      </c>
      <c r="C581" t="s">
        <v>10645</v>
      </c>
      <c r="D581" t="s">
        <v>13287</v>
      </c>
      <c r="E581" t="str">
        <f>+VLOOKUP(A581,[1]PFE4!$A$7:$F$5208,6,0)</f>
        <v>CARRERA 19 A  143 A  07</v>
      </c>
      <c r="F581" s="17">
        <f>+VLOOKUP(A581,[1]PFE4!$A$7:$G$5208,7,0)</f>
        <v>11001</v>
      </c>
      <c r="G581">
        <v>5859072</v>
      </c>
      <c r="H581">
        <v>4329</v>
      </c>
    </row>
    <row r="582" spans="1:8" ht="15" customHeight="1" x14ac:dyDescent="0.25">
      <c r="A582" t="s">
        <v>2826</v>
      </c>
      <c r="B582" t="s">
        <v>6877</v>
      </c>
      <c r="C582" t="s">
        <v>10646</v>
      </c>
      <c r="D582" t="s">
        <v>13287</v>
      </c>
      <c r="E582" t="str">
        <f>+VLOOKUP(A582,[1]PFE4!$A$7:$F$5208,6,0)</f>
        <v>AV 7 16 A 23 AP 102 BRR EL PARAMO</v>
      </c>
      <c r="F582" s="17">
        <f>+VLOOKUP(A582,[1]PFE4!$A$7:$G$5208,7,0)</f>
        <v>54001</v>
      </c>
      <c r="G582">
        <v>5859639</v>
      </c>
      <c r="H582">
        <v>4329</v>
      </c>
    </row>
    <row r="583" spans="1:8" ht="15" customHeight="1" x14ac:dyDescent="0.25">
      <c r="A583" t="s">
        <v>2827</v>
      </c>
      <c r="B583" t="s">
        <v>6878</v>
      </c>
      <c r="C583" t="s">
        <v>10647</v>
      </c>
      <c r="D583" t="s">
        <v>13287</v>
      </c>
      <c r="E583" t="str">
        <f>+VLOOKUP(A583,[1]PFE4!$A$7:$F$5208,6,0)</f>
        <v>CARRERA 30 #50-09</v>
      </c>
      <c r="F583" s="17">
        <f>+VLOOKUP(A583,[1]PFE4!$A$7:$G$5208,7,0)</f>
        <v>47001</v>
      </c>
      <c r="G583">
        <v>5866692</v>
      </c>
      <c r="H583">
        <v>4329</v>
      </c>
    </row>
    <row r="584" spans="1:8" ht="15" customHeight="1" x14ac:dyDescent="0.25">
      <c r="A584" t="s">
        <v>2828</v>
      </c>
      <c r="B584" t="s">
        <v>6879</v>
      </c>
      <c r="C584" t="s">
        <v>10648</v>
      </c>
      <c r="D584" t="s">
        <v>13287</v>
      </c>
      <c r="E584" t="str">
        <f>+VLOOKUP(A584,[1]PFE4!$A$7:$F$5208,6,0)</f>
        <v>CL 92 103</v>
      </c>
      <c r="F584" s="17" t="str">
        <f>+VLOOKUP(A584,[1]PFE4!$A$7:$G$5208,7,0)</f>
        <v>05001</v>
      </c>
      <c r="G584">
        <v>5874172</v>
      </c>
      <c r="H584">
        <v>4329</v>
      </c>
    </row>
    <row r="585" spans="1:8" ht="15" customHeight="1" x14ac:dyDescent="0.25">
      <c r="A585" t="s">
        <v>2829</v>
      </c>
      <c r="B585" t="s">
        <v>6880</v>
      </c>
      <c r="C585" t="s">
        <v>10649</v>
      </c>
      <c r="D585" t="s">
        <v>13287</v>
      </c>
      <c r="E585" t="str">
        <f>+VLOOKUP(A585,[1]PFE4!$A$7:$F$5208,6,0)</f>
        <v>CARRERA 3  9  70</v>
      </c>
      <c r="F585" s="17">
        <f>+VLOOKUP(A585,[1]PFE4!$A$7:$G$5208,7,0)</f>
        <v>47001</v>
      </c>
      <c r="G585">
        <v>5883600</v>
      </c>
      <c r="H585">
        <v>4329</v>
      </c>
    </row>
    <row r="586" spans="1:8" ht="15" customHeight="1" x14ac:dyDescent="0.25">
      <c r="A586" t="s">
        <v>2830</v>
      </c>
      <c r="B586" t="s">
        <v>6881</v>
      </c>
      <c r="C586" t="s">
        <v>10650</v>
      </c>
      <c r="D586" t="s">
        <v>13287</v>
      </c>
      <c r="E586" t="str">
        <f>+VLOOKUP(A586,[1]PFE4!$A$7:$F$5208,6,0)</f>
        <v>CL 44 B 51 82</v>
      </c>
      <c r="F586" s="17" t="str">
        <f>+VLOOKUP(A586,[1]PFE4!$A$7:$G$5208,7,0)</f>
        <v>05664</v>
      </c>
      <c r="G586">
        <v>5820000</v>
      </c>
      <c r="H586">
        <v>4329</v>
      </c>
    </row>
    <row r="587" spans="1:8" ht="15" customHeight="1" x14ac:dyDescent="0.25">
      <c r="A587" t="s">
        <v>2831</v>
      </c>
      <c r="B587" t="s">
        <v>6882</v>
      </c>
      <c r="C587" t="s">
        <v>10651</v>
      </c>
      <c r="D587" t="s">
        <v>13287</v>
      </c>
      <c r="E587" t="str">
        <f>+VLOOKUP(A587,[1]PFE4!$A$7:$F$5208,6,0)</f>
        <v>CL 127 A BIS 15 84</v>
      </c>
      <c r="F587" s="17">
        <f>+VLOOKUP(A587,[1]PFE4!$A$7:$G$5208,7,0)</f>
        <v>11001</v>
      </c>
      <c r="G587">
        <v>5896452</v>
      </c>
      <c r="H587">
        <v>4329</v>
      </c>
    </row>
    <row r="588" spans="1:8" ht="15" customHeight="1" x14ac:dyDescent="0.25">
      <c r="A588" t="s">
        <v>2832</v>
      </c>
      <c r="B588" t="s">
        <v>6883</v>
      </c>
      <c r="C588" t="s">
        <v>10652</v>
      </c>
      <c r="D588" t="s">
        <v>13287</v>
      </c>
      <c r="E588" t="str">
        <f>+VLOOKUP(A588,[1]PFE4!$A$7:$F$5208,6,0)</f>
        <v>CALLE 7 11 E 45 BRR. COLSAG</v>
      </c>
      <c r="F588" s="17">
        <f>+VLOOKUP(A588,[1]PFE4!$A$7:$G$5208,7,0)</f>
        <v>54001</v>
      </c>
      <c r="G588">
        <v>5899300</v>
      </c>
      <c r="H588">
        <v>4329</v>
      </c>
    </row>
    <row r="589" spans="1:8" ht="15" customHeight="1" x14ac:dyDescent="0.25">
      <c r="A589" t="s">
        <v>2833</v>
      </c>
      <c r="B589" t="s">
        <v>6884</v>
      </c>
      <c r="C589" t="s">
        <v>10653</v>
      </c>
      <c r="D589" t="s">
        <v>13287</v>
      </c>
      <c r="E589" t="str">
        <f>+VLOOKUP(A589,[1]PFE4!$A$7:$F$5208,6,0)</f>
        <v>TRANSVERSAL 57  106  66</v>
      </c>
      <c r="F589" s="17">
        <f>+VLOOKUP(A589,[1]PFE4!$A$7:$G$5208,7,0)</f>
        <v>11001</v>
      </c>
      <c r="G589">
        <v>5909664</v>
      </c>
      <c r="H589">
        <v>4329</v>
      </c>
    </row>
    <row r="590" spans="1:8" ht="15" customHeight="1" x14ac:dyDescent="0.25">
      <c r="A590" t="s">
        <v>2834</v>
      </c>
      <c r="B590" t="s">
        <v>6885</v>
      </c>
      <c r="C590" t="s">
        <v>10654</v>
      </c>
      <c r="D590" t="s">
        <v>13287</v>
      </c>
      <c r="E590" t="str">
        <f>+VLOOKUP(A590,[1]PFE4!$A$7:$F$5208,6,0)</f>
        <v>CARRERA 21  102  35</v>
      </c>
      <c r="F590" s="17">
        <f>+VLOOKUP(A590,[1]PFE4!$A$7:$G$5208,7,0)</f>
        <v>11001</v>
      </c>
      <c r="G590">
        <v>5912820</v>
      </c>
      <c r="H590">
        <v>4329</v>
      </c>
    </row>
    <row r="591" spans="1:8" ht="15" customHeight="1" x14ac:dyDescent="0.25">
      <c r="A591" t="s">
        <v>2835</v>
      </c>
      <c r="B591" t="s">
        <v>6886</v>
      </c>
      <c r="C591" t="s">
        <v>10655</v>
      </c>
      <c r="D591" t="s">
        <v>13287</v>
      </c>
      <c r="E591" t="str">
        <f>+VLOOKUP(A591,[1]PFE4!$A$7:$F$5208,6,0)</f>
        <v>CARRERA 23  100  62</v>
      </c>
      <c r="F591" s="17">
        <f>+VLOOKUP(A591,[1]PFE4!$A$7:$G$5208,7,0)</f>
        <v>11001</v>
      </c>
      <c r="G591">
        <v>5912820</v>
      </c>
      <c r="H591">
        <v>4329</v>
      </c>
    </row>
    <row r="592" spans="1:8" ht="15" customHeight="1" x14ac:dyDescent="0.25">
      <c r="A592" t="s">
        <v>2836</v>
      </c>
      <c r="B592" t="s">
        <v>6887</v>
      </c>
      <c r="C592" t="s">
        <v>10656</v>
      </c>
      <c r="D592" t="s">
        <v>13287</v>
      </c>
      <c r="E592" t="str">
        <f>+VLOOKUP(A592,[1]PFE4!$A$7:$F$5208,6,0)</f>
        <v>CARRERA 12  88  26</v>
      </c>
      <c r="F592" s="17">
        <f>+VLOOKUP(A592,[1]PFE4!$A$7:$G$5208,7,0)</f>
        <v>11001</v>
      </c>
      <c r="G592">
        <v>5912820</v>
      </c>
      <c r="H592">
        <v>4329</v>
      </c>
    </row>
    <row r="593" spans="1:8" ht="15" customHeight="1" x14ac:dyDescent="0.25">
      <c r="A593" t="s">
        <v>2837</v>
      </c>
      <c r="B593" t="s">
        <v>6888</v>
      </c>
      <c r="C593" t="s">
        <v>10657</v>
      </c>
      <c r="D593" t="s">
        <v>13287</v>
      </c>
      <c r="E593" t="str">
        <f>+VLOOKUP(A593,[1]PFE4!$A$7:$F$5208,6,0)</f>
        <v>CARRERA 38 CALLE 38 A SUR 40</v>
      </c>
      <c r="F593" s="17" t="str">
        <f>+VLOOKUP(A593,[1]PFE4!$A$7:$G$5208,7,0)</f>
        <v>05266</v>
      </c>
      <c r="G593">
        <v>5915700</v>
      </c>
      <c r="H593">
        <v>4329</v>
      </c>
    </row>
    <row r="594" spans="1:8" ht="15" customHeight="1" x14ac:dyDescent="0.25">
      <c r="A594" t="s">
        <v>2838</v>
      </c>
      <c r="B594" t="s">
        <v>6889</v>
      </c>
      <c r="C594" t="s">
        <v>10658</v>
      </c>
      <c r="D594" t="s">
        <v>13287</v>
      </c>
      <c r="E594" t="str">
        <f>+VLOOKUP(A594,[1]PFE4!$A$7:$F$5208,6,0)</f>
        <v>CARRERA 82A N 32B-24</v>
      </c>
      <c r="F594" s="17" t="str">
        <f>+VLOOKUP(A594,[1]PFE4!$A$7:$G$5208,7,0)</f>
        <v>05001</v>
      </c>
      <c r="G594">
        <v>5916774</v>
      </c>
      <c r="H594">
        <v>4329</v>
      </c>
    </row>
    <row r="595" spans="1:8" ht="15" customHeight="1" x14ac:dyDescent="0.25">
      <c r="A595" t="s">
        <v>2839</v>
      </c>
      <c r="B595" t="s">
        <v>6890</v>
      </c>
      <c r="C595" t="s">
        <v>10659</v>
      </c>
      <c r="D595" t="s">
        <v>13287</v>
      </c>
      <c r="E595" t="str">
        <f>+VLOOKUP(A595,[1]PFE4!$A$7:$F$5208,6,0)</f>
        <v>CALLE 44 A  70  22</v>
      </c>
      <c r="F595" s="17" t="str">
        <f>+VLOOKUP(A595,[1]PFE4!$A$7:$G$5208,7,0)</f>
        <v>05001</v>
      </c>
      <c r="G595">
        <v>5919324</v>
      </c>
      <c r="H595">
        <v>4329</v>
      </c>
    </row>
    <row r="596" spans="1:8" ht="15" customHeight="1" x14ac:dyDescent="0.25">
      <c r="A596" t="s">
        <v>2840</v>
      </c>
      <c r="B596" t="s">
        <v>6891</v>
      </c>
      <c r="C596">
        <v>3219664011</v>
      </c>
      <c r="D596" t="s">
        <v>13287</v>
      </c>
      <c r="E596" t="str">
        <f>+VLOOKUP(A596,[1]PFE4!$A$7:$F$5208,6,0)</f>
        <v>CL 40 C 43 6</v>
      </c>
      <c r="F596" s="17" t="str">
        <f>+VLOOKUP(A596,[1]PFE4!$A$7:$G$5208,7,0)</f>
        <v>08001</v>
      </c>
      <c r="G596">
        <v>5920000</v>
      </c>
      <c r="H596">
        <v>4329</v>
      </c>
    </row>
    <row r="597" spans="1:8" ht="15" customHeight="1" x14ac:dyDescent="0.25">
      <c r="A597" t="s">
        <v>2841</v>
      </c>
      <c r="B597" t="s">
        <v>6892</v>
      </c>
      <c r="C597" t="s">
        <v>10660</v>
      </c>
      <c r="D597" t="s">
        <v>13287</v>
      </c>
      <c r="E597" t="str">
        <f>+VLOOKUP(A597,[1]PFE4!$A$7:$F$5208,6,0)</f>
        <v>CARRERA 59  85  216</v>
      </c>
      <c r="F597" s="17" t="str">
        <f>+VLOOKUP(A597,[1]PFE4!$A$7:$G$5208,7,0)</f>
        <v>08001</v>
      </c>
      <c r="G597">
        <v>5926812</v>
      </c>
      <c r="H597">
        <v>4329</v>
      </c>
    </row>
    <row r="598" spans="1:8" ht="15" customHeight="1" x14ac:dyDescent="0.25">
      <c r="A598" t="s">
        <v>2842</v>
      </c>
      <c r="B598" t="s">
        <v>6893</v>
      </c>
      <c r="C598" t="s">
        <v>10661</v>
      </c>
      <c r="D598" t="s">
        <v>13287</v>
      </c>
      <c r="E598" t="str">
        <f>+VLOOKUP(A598,[1]PFE4!$A$7:$F$5208,6,0)</f>
        <v>CALLE 82  18  24  OFICINA 607</v>
      </c>
      <c r="F598" s="17">
        <f>+VLOOKUP(A598,[1]PFE4!$A$7:$G$5208,7,0)</f>
        <v>11001</v>
      </c>
      <c r="G598">
        <v>5928584</v>
      </c>
      <c r="H598">
        <v>4329</v>
      </c>
    </row>
    <row r="599" spans="1:8" ht="15" customHeight="1" x14ac:dyDescent="0.25">
      <c r="A599" t="s">
        <v>2843</v>
      </c>
      <c r="B599" t="s">
        <v>6894</v>
      </c>
      <c r="C599" t="s">
        <v>10439</v>
      </c>
      <c r="D599" t="s">
        <v>13287</v>
      </c>
      <c r="E599" t="str">
        <f>+VLOOKUP(A599,[1]PFE4!$A$7:$F$5208,6,0)</f>
        <v>CL 7 9 E 62</v>
      </c>
      <c r="F599" s="17">
        <f>+VLOOKUP(A599,[1]PFE4!$A$7:$G$5208,7,0)</f>
        <v>54001</v>
      </c>
      <c r="G599">
        <v>5941152</v>
      </c>
      <c r="H599">
        <v>4329</v>
      </c>
    </row>
    <row r="600" spans="1:8" ht="15" customHeight="1" x14ac:dyDescent="0.25">
      <c r="A600" t="s">
        <v>2844</v>
      </c>
      <c r="B600" t="s">
        <v>6895</v>
      </c>
      <c r="C600" t="s">
        <v>10662</v>
      </c>
      <c r="D600" t="s">
        <v>13287</v>
      </c>
      <c r="E600" t="str">
        <f>+VLOOKUP(A600,[1]PFE4!$A$7:$F$5208,6,0)</f>
        <v>CR 73 24 17</v>
      </c>
      <c r="F600" s="17" t="str">
        <f>+VLOOKUP(A600,[1]PFE4!$A$7:$G$5208,7,0)</f>
        <v>05001</v>
      </c>
      <c r="G600">
        <v>5946100</v>
      </c>
      <c r="H600">
        <v>4329</v>
      </c>
    </row>
    <row r="601" spans="1:8" ht="15" customHeight="1" x14ac:dyDescent="0.25">
      <c r="A601" t="s">
        <v>2845</v>
      </c>
      <c r="B601" t="s">
        <v>6896</v>
      </c>
      <c r="C601" t="s">
        <v>10663</v>
      </c>
      <c r="D601" t="s">
        <v>13287</v>
      </c>
      <c r="E601" t="str">
        <f>+VLOOKUP(A601,[1]PFE4!$A$7:$F$5208,6,0)</f>
        <v>CR 15 5 NORTE 07</v>
      </c>
      <c r="F601" s="17">
        <f>+VLOOKUP(A601,[1]PFE4!$A$7:$G$5208,7,0)</f>
        <v>11001</v>
      </c>
      <c r="G601">
        <v>5951000</v>
      </c>
      <c r="H601">
        <v>4329</v>
      </c>
    </row>
    <row r="602" spans="1:8" ht="15" customHeight="1" x14ac:dyDescent="0.25">
      <c r="A602" t="s">
        <v>2846</v>
      </c>
      <c r="B602" t="s">
        <v>6897</v>
      </c>
      <c r="C602" t="s">
        <v>10664</v>
      </c>
      <c r="D602" t="s">
        <v>13287</v>
      </c>
      <c r="E602" t="str">
        <f>+VLOOKUP(A602,[1]PFE4!$A$7:$F$5208,6,0)</f>
        <v>CALLE 33 B SUR  47  06</v>
      </c>
      <c r="F602" s="17" t="str">
        <f>+VLOOKUP(A602,[1]PFE4!$A$7:$G$5208,7,0)</f>
        <v>05266</v>
      </c>
      <c r="G602">
        <v>5954794</v>
      </c>
      <c r="H602">
        <v>4329</v>
      </c>
    </row>
    <row r="603" spans="1:8" ht="15" customHeight="1" x14ac:dyDescent="0.25">
      <c r="A603" t="s">
        <v>2847</v>
      </c>
      <c r="B603" t="s">
        <v>6898</v>
      </c>
      <c r="C603" t="s">
        <v>10665</v>
      </c>
      <c r="D603" t="s">
        <v>13287</v>
      </c>
      <c r="E603" t="str">
        <f>+VLOOKUP(A603,[1]PFE4!$A$7:$F$5208,6,0)</f>
        <v>CALLE 13 13 50</v>
      </c>
      <c r="F603" s="17">
        <f>+VLOOKUP(A603,[1]PFE4!$A$7:$G$5208,7,0)</f>
        <v>15238</v>
      </c>
      <c r="G603">
        <v>5956632</v>
      </c>
      <c r="H603">
        <v>4329</v>
      </c>
    </row>
    <row r="604" spans="1:8" ht="15" customHeight="1" x14ac:dyDescent="0.25">
      <c r="A604" t="s">
        <v>2848</v>
      </c>
      <c r="B604" t="s">
        <v>6899</v>
      </c>
      <c r="C604" t="s">
        <v>10666</v>
      </c>
      <c r="D604" t="s">
        <v>13287</v>
      </c>
      <c r="E604" t="str">
        <f>+VLOOKUP(A604,[1]PFE4!$A$7:$F$5208,6,0)</f>
        <v>CL 10 SUR 51 A 55 OF 403</v>
      </c>
      <c r="F604" s="17">
        <f>+VLOOKUP(A604,[1]PFE4!$A$7:$G$5208,7,0)</f>
        <v>13001</v>
      </c>
      <c r="G604">
        <v>5956824</v>
      </c>
      <c r="H604">
        <v>4329</v>
      </c>
    </row>
    <row r="605" spans="1:8" ht="15" customHeight="1" x14ac:dyDescent="0.25">
      <c r="A605" t="s">
        <v>2849</v>
      </c>
      <c r="B605" t="s">
        <v>6900</v>
      </c>
      <c r="C605">
        <v>0</v>
      </c>
      <c r="D605" t="s">
        <v>13287</v>
      </c>
      <c r="E605">
        <v>0</v>
      </c>
      <c r="F605" s="17">
        <v>11001</v>
      </c>
      <c r="G605">
        <v>5960136</v>
      </c>
      <c r="H605">
        <v>4329</v>
      </c>
    </row>
    <row r="606" spans="1:8" ht="15" customHeight="1" x14ac:dyDescent="0.25">
      <c r="A606" t="s">
        <v>2850</v>
      </c>
      <c r="B606" t="s">
        <v>6901</v>
      </c>
      <c r="C606" t="s">
        <v>10667</v>
      </c>
      <c r="D606" t="s">
        <v>13287</v>
      </c>
      <c r="E606" t="str">
        <f>+VLOOKUP(A606,[1]PFE4!$A$7:$F$5208,6,0)</f>
        <v>CALLE 97  19  60</v>
      </c>
      <c r="F606" s="17">
        <f>+VLOOKUP(A606,[1]PFE4!$A$7:$G$5208,7,0)</f>
        <v>11001</v>
      </c>
      <c r="G606">
        <v>5966963</v>
      </c>
      <c r="H606">
        <v>4329</v>
      </c>
    </row>
    <row r="607" spans="1:8" ht="15" customHeight="1" x14ac:dyDescent="0.25">
      <c r="A607" t="s">
        <v>2851</v>
      </c>
      <c r="B607" t="s">
        <v>6902</v>
      </c>
      <c r="C607">
        <v>0</v>
      </c>
      <c r="D607" t="s">
        <v>13287</v>
      </c>
      <c r="E607">
        <v>0</v>
      </c>
      <c r="F607" s="17">
        <v>11001</v>
      </c>
      <c r="G607">
        <v>5968318</v>
      </c>
      <c r="H607">
        <v>4329</v>
      </c>
    </row>
    <row r="608" spans="1:8" ht="15" customHeight="1" x14ac:dyDescent="0.25">
      <c r="A608" t="s">
        <v>2852</v>
      </c>
      <c r="B608" t="s">
        <v>6903</v>
      </c>
      <c r="C608" t="s">
        <v>10668</v>
      </c>
      <c r="D608" t="s">
        <v>13287</v>
      </c>
      <c r="E608" t="str">
        <f>+VLOOKUP(A608,[1]PFE4!$A$7:$F$5208,6,0)</f>
        <v>CR 26 A CL 10 93 IN 111</v>
      </c>
      <c r="F608" s="17" t="str">
        <f>+VLOOKUP(A608,[1]PFE4!$A$7:$G$5208,7,0)</f>
        <v>05001</v>
      </c>
      <c r="G608">
        <v>5974950</v>
      </c>
      <c r="H608">
        <v>4329</v>
      </c>
    </row>
    <row r="609" spans="1:8" ht="15" customHeight="1" x14ac:dyDescent="0.25">
      <c r="A609" t="s">
        <v>2853</v>
      </c>
      <c r="B609" t="s">
        <v>6904</v>
      </c>
      <c r="C609" t="s">
        <v>10669</v>
      </c>
      <c r="D609" t="s">
        <v>13287</v>
      </c>
      <c r="E609" t="str">
        <f>+VLOOKUP(A609,[1]PFE4!$A$7:$F$5208,6,0)</f>
        <v>CARRERA 10  18 N  146</v>
      </c>
      <c r="F609" s="17">
        <f>+VLOOKUP(A609,[1]PFE4!$A$7:$G$5208,7,0)</f>
        <v>19001</v>
      </c>
      <c r="G609">
        <v>5975592</v>
      </c>
      <c r="H609">
        <v>4329</v>
      </c>
    </row>
    <row r="610" spans="1:8" ht="15" customHeight="1" x14ac:dyDescent="0.25">
      <c r="A610" t="s">
        <v>2854</v>
      </c>
      <c r="B610" t="s">
        <v>6905</v>
      </c>
      <c r="C610" t="s">
        <v>10670</v>
      </c>
      <c r="D610" t="s">
        <v>13287</v>
      </c>
      <c r="E610" t="str">
        <f>+VLOOKUP(A610,[1]PFE4!$A$7:$F$5208,6,0)</f>
        <v>CR 11 A 98 50 OF 301 302 ED PUNTO 99</v>
      </c>
      <c r="F610" s="17">
        <f>+VLOOKUP(A610,[1]PFE4!$A$7:$G$5208,7,0)</f>
        <v>11001</v>
      </c>
      <c r="G610">
        <v>5980000</v>
      </c>
      <c r="H610">
        <v>4329</v>
      </c>
    </row>
    <row r="611" spans="1:8" ht="15" customHeight="1" x14ac:dyDescent="0.25">
      <c r="A611" t="s">
        <v>2855</v>
      </c>
      <c r="B611" t="s">
        <v>6906</v>
      </c>
      <c r="C611">
        <v>0</v>
      </c>
      <c r="D611" t="s">
        <v>13287</v>
      </c>
      <c r="E611">
        <v>0</v>
      </c>
      <c r="F611" s="17">
        <v>11001</v>
      </c>
      <c r="G611">
        <v>6000000</v>
      </c>
      <c r="H611">
        <v>4329</v>
      </c>
    </row>
    <row r="612" spans="1:8" ht="15" customHeight="1" x14ac:dyDescent="0.25">
      <c r="A612" t="s">
        <v>2856</v>
      </c>
      <c r="B612" t="s">
        <v>6907</v>
      </c>
      <c r="C612">
        <v>3219664011</v>
      </c>
      <c r="D612" t="s">
        <v>13287</v>
      </c>
      <c r="E612" t="str">
        <f>+VLOOKUP(A612,[1]PFE4!$A$7:$F$5208,6,0)</f>
        <v>AVENIDA UNIVERSITARIA  35  230</v>
      </c>
      <c r="F612" s="17">
        <f>+VLOOKUP(A612,[1]PFE4!$A$7:$G$5208,7,0)</f>
        <v>15001</v>
      </c>
      <c r="G612">
        <v>6000000</v>
      </c>
      <c r="H612">
        <v>4329</v>
      </c>
    </row>
    <row r="613" spans="1:8" ht="15" customHeight="1" x14ac:dyDescent="0.25">
      <c r="A613" t="s">
        <v>2857</v>
      </c>
      <c r="B613" t="s">
        <v>6908</v>
      </c>
      <c r="C613">
        <v>0</v>
      </c>
      <c r="D613" t="s">
        <v>13287</v>
      </c>
      <c r="E613">
        <v>0</v>
      </c>
      <c r="F613" s="17">
        <v>11001</v>
      </c>
      <c r="G613">
        <v>6000000</v>
      </c>
      <c r="H613">
        <v>4329</v>
      </c>
    </row>
    <row r="614" spans="1:8" ht="15" customHeight="1" x14ac:dyDescent="0.25">
      <c r="A614" t="s">
        <v>2858</v>
      </c>
      <c r="B614" t="s">
        <v>6909</v>
      </c>
      <c r="C614" t="s">
        <v>10671</v>
      </c>
      <c r="D614" t="s">
        <v>13287</v>
      </c>
      <c r="E614" t="str">
        <f>+VLOOKUP(A614,[1]PFE4!$A$7:$F$5208,6,0)</f>
        <v>CALLE 10 22-36 BARRIO MUTUALIDAD</v>
      </c>
      <c r="F614" s="17">
        <f>+VLOOKUP(A614,[1]PFE4!$A$7:$G$5208,7,0)</f>
        <v>68001</v>
      </c>
      <c r="G614">
        <v>6016516</v>
      </c>
      <c r="H614">
        <v>4329</v>
      </c>
    </row>
    <row r="615" spans="1:8" ht="15" customHeight="1" x14ac:dyDescent="0.25">
      <c r="A615" t="s">
        <v>2859</v>
      </c>
      <c r="B615" t="s">
        <v>6910</v>
      </c>
      <c r="C615" t="s">
        <v>10672</v>
      </c>
      <c r="D615" t="s">
        <v>13287</v>
      </c>
      <c r="E615" t="str">
        <f>+VLOOKUP(A615,[1]PFE4!$A$7:$F$5208,6,0)</f>
        <v>TRANSVERSAL 6  27  10  OFICINA 102</v>
      </c>
      <c r="F615" s="17">
        <f>+VLOOKUP(A615,[1]PFE4!$A$7:$G$5208,7,0)</f>
        <v>11001</v>
      </c>
      <c r="G615">
        <v>6023928</v>
      </c>
      <c r="H615">
        <v>4329</v>
      </c>
    </row>
    <row r="616" spans="1:8" ht="15" customHeight="1" x14ac:dyDescent="0.25">
      <c r="A616" t="s">
        <v>2860</v>
      </c>
      <c r="B616" t="s">
        <v>6911</v>
      </c>
      <c r="C616" t="s">
        <v>10673</v>
      </c>
      <c r="D616" t="s">
        <v>13287</v>
      </c>
      <c r="E616" t="str">
        <f>+VLOOKUP(A616,[1]PFE4!$A$7:$F$5208,6,0)</f>
        <v>CARRERA 9 A  3 N  36</v>
      </c>
      <c r="F616" s="17">
        <f>+VLOOKUP(A616,[1]PFE4!$A$7:$G$5208,7,0)</f>
        <v>19001</v>
      </c>
      <c r="G616">
        <v>6028003</v>
      </c>
      <c r="H616">
        <v>4329</v>
      </c>
    </row>
    <row r="617" spans="1:8" ht="15" customHeight="1" x14ac:dyDescent="0.25">
      <c r="A617" t="s">
        <v>2861</v>
      </c>
      <c r="B617" t="s">
        <v>6912</v>
      </c>
      <c r="C617" t="s">
        <v>10674</v>
      </c>
      <c r="D617" t="s">
        <v>13287</v>
      </c>
      <c r="E617" t="str">
        <f>+VLOOKUP(A617,[1]PFE4!$A$7:$F$5208,6,0)</f>
        <v>CALLE 50  20  64</v>
      </c>
      <c r="F617" s="17">
        <f>+VLOOKUP(A617,[1]PFE4!$A$7:$G$5208,7,0)</f>
        <v>17001</v>
      </c>
      <c r="G617">
        <v>6029987</v>
      </c>
      <c r="H617">
        <v>4329</v>
      </c>
    </row>
    <row r="618" spans="1:8" ht="15" customHeight="1" x14ac:dyDescent="0.25">
      <c r="A618" t="s">
        <v>2862</v>
      </c>
      <c r="B618" t="s">
        <v>6913</v>
      </c>
      <c r="C618">
        <v>3219664011</v>
      </c>
      <c r="D618" t="s">
        <v>13287</v>
      </c>
      <c r="E618" t="str">
        <f>+VLOOKUP(A618,[1]PFE4!$A$7:$F$5208,6,0)</f>
        <v>CR 23 37 15 17 EDIFICIO CK 23 APARATAMENTOS</v>
      </c>
      <c r="F618" s="17">
        <f>+VLOOKUP(A618,[1]PFE4!$A$7:$G$5208,7,0)</f>
        <v>63130</v>
      </c>
      <c r="G618">
        <v>6034384</v>
      </c>
      <c r="H618">
        <v>4329</v>
      </c>
    </row>
    <row r="619" spans="1:8" ht="15" customHeight="1" x14ac:dyDescent="0.25">
      <c r="A619" t="s">
        <v>2863</v>
      </c>
      <c r="B619" t="s">
        <v>6914</v>
      </c>
      <c r="C619" t="s">
        <v>10675</v>
      </c>
      <c r="D619" t="s">
        <v>13287</v>
      </c>
      <c r="E619" t="str">
        <f>+VLOOKUP(A619,[1]PFE4!$A$7:$F$5208,6,0)</f>
        <v>CL 39A 18A 37</v>
      </c>
      <c r="F619" s="17">
        <f>+VLOOKUP(A619,[1]PFE4!$A$7:$G$5208,7,0)</f>
        <v>52001</v>
      </c>
      <c r="G619">
        <v>6034610</v>
      </c>
      <c r="H619">
        <v>4329</v>
      </c>
    </row>
    <row r="620" spans="1:8" ht="15" customHeight="1" x14ac:dyDescent="0.25">
      <c r="A620" t="s">
        <v>2864</v>
      </c>
      <c r="B620" t="s">
        <v>6915</v>
      </c>
      <c r="C620" t="s">
        <v>10676</v>
      </c>
      <c r="D620" t="s">
        <v>13287</v>
      </c>
      <c r="E620" t="str">
        <f>+VLOOKUP(A620,[1]PFE4!$A$7:$F$5208,6,0)</f>
        <v>CR 37 8 A 46 OF 201</v>
      </c>
      <c r="F620" s="17" t="str">
        <f>+VLOOKUP(A620,[1]PFE4!$A$7:$G$5208,7,0)</f>
        <v>05001</v>
      </c>
      <c r="G620">
        <v>6043595</v>
      </c>
      <c r="H620">
        <v>4329</v>
      </c>
    </row>
    <row r="621" spans="1:8" ht="15" customHeight="1" x14ac:dyDescent="0.25">
      <c r="A621" t="s">
        <v>2865</v>
      </c>
      <c r="B621" t="s">
        <v>6916</v>
      </c>
      <c r="C621">
        <v>3219664011</v>
      </c>
      <c r="D621" t="s">
        <v>13287</v>
      </c>
      <c r="E621" t="str">
        <f>+VLOOKUP(A621,[1]PFE4!$A$7:$F$5208,6,0)</f>
        <v>CARRERA 14  117  65</v>
      </c>
      <c r="F621" s="17">
        <f>+VLOOKUP(A621,[1]PFE4!$A$7:$G$5208,7,0)</f>
        <v>11001</v>
      </c>
      <c r="G621">
        <v>6050821</v>
      </c>
      <c r="H621">
        <v>4329</v>
      </c>
    </row>
    <row r="622" spans="1:8" ht="15" customHeight="1" x14ac:dyDescent="0.25">
      <c r="A622" t="s">
        <v>2866</v>
      </c>
      <c r="B622" t="s">
        <v>6917</v>
      </c>
      <c r="C622" t="s">
        <v>10677</v>
      </c>
      <c r="D622" t="s">
        <v>13287</v>
      </c>
      <c r="E622" t="str">
        <f>+VLOOKUP(A622,[1]PFE4!$A$7:$F$5208,6,0)</f>
        <v>AVENIDA 82  12  18 OFICINA 505</v>
      </c>
      <c r="F622" s="17">
        <f>+VLOOKUP(A622,[1]PFE4!$A$7:$G$5208,7,0)</f>
        <v>11001</v>
      </c>
      <c r="G622">
        <v>6055742</v>
      </c>
      <c r="H622">
        <v>4329</v>
      </c>
    </row>
    <row r="623" spans="1:8" ht="15" customHeight="1" x14ac:dyDescent="0.25">
      <c r="A623" t="s">
        <v>2867</v>
      </c>
      <c r="B623" t="s">
        <v>6918</v>
      </c>
      <c r="C623" t="s">
        <v>10678</v>
      </c>
      <c r="D623" t="s">
        <v>13287</v>
      </c>
      <c r="E623" t="str">
        <f>+VLOOKUP(A623,[1]PFE4!$A$7:$F$5208,6,0)</f>
        <v>CARRERA 63 C  42 B  27</v>
      </c>
      <c r="F623" s="17" t="str">
        <f>+VLOOKUP(A623,[1]PFE4!$A$7:$G$5208,7,0)</f>
        <v>05001</v>
      </c>
      <c r="G623">
        <v>6056082</v>
      </c>
      <c r="H623">
        <v>4329</v>
      </c>
    </row>
    <row r="624" spans="1:8" ht="15" customHeight="1" x14ac:dyDescent="0.25">
      <c r="A624" t="s">
        <v>2868</v>
      </c>
      <c r="B624" t="s">
        <v>6919</v>
      </c>
      <c r="C624" t="s">
        <v>10679</v>
      </c>
      <c r="D624" t="s">
        <v>13287</v>
      </c>
      <c r="E624" t="str">
        <f>+VLOOKUP(A624,[1]PFE4!$A$7:$F$5208,6,0)</f>
        <v>CIRCULAR 4  66 B  34</v>
      </c>
      <c r="F624" s="17" t="str">
        <f>+VLOOKUP(A624,[1]PFE4!$A$7:$G$5208,7,0)</f>
        <v>05001</v>
      </c>
      <c r="G624">
        <v>6062548</v>
      </c>
      <c r="H624">
        <v>4329</v>
      </c>
    </row>
    <row r="625" spans="1:8" ht="15" customHeight="1" x14ac:dyDescent="0.25">
      <c r="A625" t="s">
        <v>2869</v>
      </c>
      <c r="B625" t="s">
        <v>6920</v>
      </c>
      <c r="C625" t="s">
        <v>10680</v>
      </c>
      <c r="D625" t="s">
        <v>13287</v>
      </c>
      <c r="E625" t="str">
        <f>+VLOOKUP(A625,[1]PFE4!$A$7:$F$5208,6,0)</f>
        <v>CR 25 47 02 SUR</v>
      </c>
      <c r="F625" s="17">
        <f>+VLOOKUP(A625,[1]PFE4!$A$7:$G$5208,7,0)</f>
        <v>11001</v>
      </c>
      <c r="G625">
        <v>6065630</v>
      </c>
      <c r="H625">
        <v>4329</v>
      </c>
    </row>
    <row r="626" spans="1:8" ht="15" customHeight="1" x14ac:dyDescent="0.25">
      <c r="A626" t="s">
        <v>2870</v>
      </c>
      <c r="B626" t="s">
        <v>6921</v>
      </c>
      <c r="C626" t="s">
        <v>10681</v>
      </c>
      <c r="D626" t="s">
        <v>13287</v>
      </c>
      <c r="E626" t="str">
        <f>+VLOOKUP(A626,[1]PFE4!$A$7:$F$5208,6,0)</f>
        <v>BRR SAN FERNANDO CRA 81 22 D 183 B 4 AP 1 C ED BALCONES DE LA ALAMEDA</v>
      </c>
      <c r="F626" s="17">
        <f>+VLOOKUP(A626,[1]PFE4!$A$7:$G$5208,7,0)</f>
        <v>11001</v>
      </c>
      <c r="G626">
        <v>6066030</v>
      </c>
      <c r="H626">
        <v>4329</v>
      </c>
    </row>
    <row r="627" spans="1:8" ht="15" customHeight="1" x14ac:dyDescent="0.25">
      <c r="A627" t="s">
        <v>2871</v>
      </c>
      <c r="B627" t="s">
        <v>6922</v>
      </c>
      <c r="C627" t="s">
        <v>10682</v>
      </c>
      <c r="D627" t="s">
        <v>13287</v>
      </c>
      <c r="E627" t="str">
        <f>+VLOOKUP(A627,[1]PFE4!$A$7:$F$5208,6,0)</f>
        <v>CARRERA 4  16  61</v>
      </c>
      <c r="F627" s="17">
        <f>+VLOOKUP(A627,[1]PFE4!$A$7:$G$5208,7,0)</f>
        <v>11001</v>
      </c>
      <c r="G627">
        <v>6068763</v>
      </c>
      <c r="H627">
        <v>4329</v>
      </c>
    </row>
    <row r="628" spans="1:8" ht="15" customHeight="1" x14ac:dyDescent="0.25">
      <c r="A628" t="s">
        <v>2872</v>
      </c>
      <c r="B628" t="s">
        <v>6923</v>
      </c>
      <c r="C628" t="s">
        <v>10683</v>
      </c>
      <c r="D628" t="s">
        <v>13287</v>
      </c>
      <c r="E628" t="str">
        <f>+VLOOKUP(A628,[1]PFE4!$A$7:$F$5208,6,0)</f>
        <v>CL 35 19 41 OF 801</v>
      </c>
      <c r="F628" s="17">
        <f>+VLOOKUP(A628,[1]PFE4!$A$7:$G$5208,7,0)</f>
        <v>68276</v>
      </c>
      <c r="G628">
        <v>6070865</v>
      </c>
      <c r="H628">
        <v>4329</v>
      </c>
    </row>
    <row r="629" spans="1:8" ht="15" customHeight="1" x14ac:dyDescent="0.25">
      <c r="A629" t="s">
        <v>2873</v>
      </c>
      <c r="B629" t="s">
        <v>6924</v>
      </c>
      <c r="C629" t="s">
        <v>10684</v>
      </c>
      <c r="D629" t="s">
        <v>13287</v>
      </c>
      <c r="E629" t="str">
        <f>+VLOOKUP(A629,[1]PFE4!$A$7:$F$5208,6,0)</f>
        <v>CALLE 127 A  7 C  54</v>
      </c>
      <c r="F629" s="17">
        <f>+VLOOKUP(A629,[1]PFE4!$A$7:$G$5208,7,0)</f>
        <v>11001</v>
      </c>
      <c r="G629">
        <v>6073100</v>
      </c>
      <c r="H629">
        <v>4329</v>
      </c>
    </row>
    <row r="630" spans="1:8" ht="15" customHeight="1" x14ac:dyDescent="0.25">
      <c r="A630" t="s">
        <v>2874</v>
      </c>
      <c r="B630" t="s">
        <v>6925</v>
      </c>
      <c r="C630">
        <v>0</v>
      </c>
      <c r="D630" t="s">
        <v>13287</v>
      </c>
      <c r="E630">
        <v>0</v>
      </c>
      <c r="F630" s="17">
        <v>11001</v>
      </c>
      <c r="G630">
        <v>6084770</v>
      </c>
      <c r="H630">
        <v>4329</v>
      </c>
    </row>
    <row r="631" spans="1:8" ht="15" customHeight="1" x14ac:dyDescent="0.25">
      <c r="A631" t="s">
        <v>2875</v>
      </c>
      <c r="B631" t="s">
        <v>6926</v>
      </c>
      <c r="C631" t="s">
        <v>10685</v>
      </c>
      <c r="D631" t="s">
        <v>13287</v>
      </c>
      <c r="E631" t="str">
        <f>+VLOOKUP(A631,[1]PFE4!$A$7:$F$5208,6,0)</f>
        <v>CARRERA 65 F No. 32 B - 74</v>
      </c>
      <c r="F631" s="17" t="str">
        <f>+VLOOKUP(A631,[1]PFE4!$A$7:$G$5208,7,0)</f>
        <v>05001</v>
      </c>
      <c r="G631">
        <v>6085800</v>
      </c>
      <c r="H631">
        <v>4329</v>
      </c>
    </row>
    <row r="632" spans="1:8" ht="15" customHeight="1" x14ac:dyDescent="0.25">
      <c r="A632" t="s">
        <v>2876</v>
      </c>
      <c r="B632" t="s">
        <v>6927</v>
      </c>
      <c r="C632" t="s">
        <v>10686</v>
      </c>
      <c r="D632" t="s">
        <v>13287</v>
      </c>
      <c r="E632" t="str">
        <f>+VLOOKUP(A632,[1]PFE4!$A$7:$F$5208,6,0)</f>
        <v>AVENIDA CIRCUNVALAR  7  19</v>
      </c>
      <c r="F632" s="17">
        <f>+VLOOKUP(A632,[1]PFE4!$A$7:$G$5208,7,0)</f>
        <v>66001</v>
      </c>
      <c r="G632">
        <v>6093602</v>
      </c>
      <c r="H632">
        <v>4329</v>
      </c>
    </row>
    <row r="633" spans="1:8" ht="15" customHeight="1" x14ac:dyDescent="0.25">
      <c r="A633" t="s">
        <v>2877</v>
      </c>
      <c r="B633" t="s">
        <v>6928</v>
      </c>
      <c r="C633" t="s">
        <v>10687</v>
      </c>
      <c r="D633" t="s">
        <v>13287</v>
      </c>
      <c r="E633" t="str">
        <f>+VLOOKUP(A633,[1]PFE4!$A$7:$F$5208,6,0)</f>
        <v>CL 50 CR 41 44OF 202</v>
      </c>
      <c r="F633" s="17">
        <f>+VLOOKUP(A633,[1]PFE4!$A$7:$G$5208,7,0)</f>
        <v>13001</v>
      </c>
      <c r="G633">
        <v>6103200</v>
      </c>
      <c r="H633">
        <v>4329</v>
      </c>
    </row>
    <row r="634" spans="1:8" ht="15" customHeight="1" x14ac:dyDescent="0.25">
      <c r="A634" t="s">
        <v>2878</v>
      </c>
      <c r="B634" t="s">
        <v>6929</v>
      </c>
      <c r="C634" t="s">
        <v>10688</v>
      </c>
      <c r="D634" t="s">
        <v>13287</v>
      </c>
      <c r="E634" t="str">
        <f>+VLOOKUP(A634,[1]PFE4!$A$7:$F$5208,6,0)</f>
        <v>VRD UVITAL 76 20</v>
      </c>
      <c r="F634" s="17" t="str">
        <f>+VLOOKUP(A634,[1]PFE4!$A$7:$G$5208,7,0)</f>
        <v>05321</v>
      </c>
      <c r="G634">
        <v>6104228</v>
      </c>
      <c r="H634">
        <v>4329</v>
      </c>
    </row>
    <row r="635" spans="1:8" ht="15" customHeight="1" x14ac:dyDescent="0.25">
      <c r="A635" t="s">
        <v>2879</v>
      </c>
      <c r="B635" t="s">
        <v>6930</v>
      </c>
      <c r="C635" t="s">
        <v>10689</v>
      </c>
      <c r="D635" t="s">
        <v>13287</v>
      </c>
      <c r="E635" t="str">
        <f>+VLOOKUP(A635,[1]PFE4!$A$7:$F$5208,6,0)</f>
        <v>CR 22 #27-47 AP 303</v>
      </c>
      <c r="F635" s="17">
        <f>+VLOOKUP(A635,[1]PFE4!$A$7:$G$5208,7,0)</f>
        <v>17001</v>
      </c>
      <c r="G635">
        <v>6108554</v>
      </c>
      <c r="H635">
        <v>4329</v>
      </c>
    </row>
    <row r="636" spans="1:8" ht="15" customHeight="1" x14ac:dyDescent="0.25">
      <c r="A636" t="s">
        <v>2880</v>
      </c>
      <c r="B636" t="s">
        <v>6931</v>
      </c>
      <c r="C636" t="s">
        <v>10690</v>
      </c>
      <c r="D636" t="s">
        <v>13287</v>
      </c>
      <c r="E636" t="str">
        <f>+VLOOKUP(A636,[1]PFE4!$A$7:$F$5208,6,0)</f>
        <v>CL 10 19 56  58</v>
      </c>
      <c r="F636" s="17">
        <f>+VLOOKUP(A636,[1]PFE4!$A$7:$G$5208,7,0)</f>
        <v>68001</v>
      </c>
      <c r="G636">
        <v>6120000</v>
      </c>
      <c r="H636">
        <v>4329</v>
      </c>
    </row>
    <row r="637" spans="1:8" ht="15" customHeight="1" x14ac:dyDescent="0.25">
      <c r="A637" t="s">
        <v>2881</v>
      </c>
      <c r="B637" t="s">
        <v>6932</v>
      </c>
      <c r="C637" t="s">
        <v>10691</v>
      </c>
      <c r="D637" t="s">
        <v>13287</v>
      </c>
      <c r="E637" t="str">
        <f>+VLOOKUP(A637,[1]PFE4!$A$7:$F$5208,6,0)</f>
        <v>CARRERA 3  5  51</v>
      </c>
      <c r="F637" s="17">
        <f>+VLOOKUP(A637,[1]PFE4!$A$7:$G$5208,7,0)</f>
        <v>41001</v>
      </c>
      <c r="G637">
        <v>6126076</v>
      </c>
      <c r="H637">
        <v>4329</v>
      </c>
    </row>
    <row r="638" spans="1:8" ht="15" customHeight="1" x14ac:dyDescent="0.25">
      <c r="A638" t="s">
        <v>2882</v>
      </c>
      <c r="B638" t="s">
        <v>6933</v>
      </c>
      <c r="C638" t="s">
        <v>10692</v>
      </c>
      <c r="D638" t="s">
        <v>13287</v>
      </c>
      <c r="E638" t="str">
        <f>+VLOOKUP(A638,[1]PFE4!$A$7:$F$5208,6,0)</f>
        <v>CL 16 A 121 A 214 OF 407</v>
      </c>
      <c r="F638" s="17">
        <f>+VLOOKUP(A638,[1]PFE4!$A$7:$G$5208,7,0)</f>
        <v>76001</v>
      </c>
      <c r="G638">
        <v>6126336</v>
      </c>
      <c r="H638">
        <v>4329</v>
      </c>
    </row>
    <row r="639" spans="1:8" ht="15" customHeight="1" x14ac:dyDescent="0.25">
      <c r="A639" t="s">
        <v>2883</v>
      </c>
      <c r="B639" t="s">
        <v>6934</v>
      </c>
      <c r="C639" t="s">
        <v>10693</v>
      </c>
      <c r="D639" t="s">
        <v>13287</v>
      </c>
      <c r="E639" t="str">
        <f>+VLOOKUP(A639,[1]PFE4!$A$7:$F$5208,6,0)</f>
        <v>CALLE 26  44  136</v>
      </c>
      <c r="F639" s="17" t="str">
        <f>+VLOOKUP(A639,[1]PFE4!$A$7:$G$5208,7,0)</f>
        <v>05001</v>
      </c>
      <c r="G639">
        <v>6129304</v>
      </c>
      <c r="H639">
        <v>4329</v>
      </c>
    </row>
    <row r="640" spans="1:8" ht="15" customHeight="1" x14ac:dyDescent="0.25">
      <c r="A640" t="s">
        <v>2884</v>
      </c>
      <c r="B640" t="s">
        <v>6935</v>
      </c>
      <c r="C640" t="s">
        <v>10694</v>
      </c>
      <c r="D640" t="s">
        <v>13287</v>
      </c>
      <c r="E640" t="str">
        <f>+VLOOKUP(A640,[1]PFE4!$A$7:$F$5208,6,0)</f>
        <v>CARRERA 11  12 NORTE  60</v>
      </c>
      <c r="F640" s="17">
        <f>+VLOOKUP(A640,[1]PFE4!$A$7:$G$5208,7,0)</f>
        <v>63001</v>
      </c>
      <c r="G640">
        <v>6131778</v>
      </c>
      <c r="H640">
        <v>4329</v>
      </c>
    </row>
    <row r="641" spans="1:8" ht="15" customHeight="1" x14ac:dyDescent="0.25">
      <c r="A641" t="s">
        <v>2885</v>
      </c>
      <c r="B641" t="s">
        <v>6936</v>
      </c>
      <c r="C641" t="s">
        <v>10695</v>
      </c>
      <c r="D641" t="s">
        <v>13287</v>
      </c>
      <c r="E641" t="str">
        <f>+VLOOKUP(A641,[1]PFE4!$A$7:$F$5208,6,0)</f>
        <v>CALLE 87  44  77</v>
      </c>
      <c r="F641" s="17" t="str">
        <f>+VLOOKUP(A641,[1]PFE4!$A$7:$G$5208,7,0)</f>
        <v>08001</v>
      </c>
      <c r="G641">
        <v>6132624</v>
      </c>
      <c r="H641">
        <v>4329</v>
      </c>
    </row>
    <row r="642" spans="1:8" ht="15" customHeight="1" x14ac:dyDescent="0.25">
      <c r="A642" t="s">
        <v>2886</v>
      </c>
      <c r="B642" t="s">
        <v>6937</v>
      </c>
      <c r="C642" t="s">
        <v>10696</v>
      </c>
      <c r="D642" t="s">
        <v>13287</v>
      </c>
      <c r="E642" t="str">
        <f>+VLOOKUP(A642,[1]PFE4!$A$7:$F$5208,6,0)</f>
        <v>CL 44 SUR 40 A 27 BRRO EL PRADO</v>
      </c>
      <c r="F642" s="17" t="str">
        <f>+VLOOKUP(A642,[1]PFE4!$A$7:$G$5208,7,0)</f>
        <v>05266</v>
      </c>
      <c r="G642">
        <v>6133218</v>
      </c>
      <c r="H642">
        <v>4329</v>
      </c>
    </row>
    <row r="643" spans="1:8" ht="15" customHeight="1" x14ac:dyDescent="0.25">
      <c r="A643" t="s">
        <v>2887</v>
      </c>
      <c r="B643" t="s">
        <v>6938</v>
      </c>
      <c r="C643" t="s">
        <v>10697</v>
      </c>
      <c r="D643" t="s">
        <v>13287</v>
      </c>
      <c r="E643" t="str">
        <f>+VLOOKUP(A643,[1]PFE4!$A$7:$F$5208,6,0)</f>
        <v>CALLE 60SUR 44-57</v>
      </c>
      <c r="F643" s="17" t="str">
        <f>+VLOOKUP(A643,[1]PFE4!$A$7:$G$5208,7,0)</f>
        <v>05631</v>
      </c>
      <c r="G643">
        <v>6136200</v>
      </c>
      <c r="H643">
        <v>4329</v>
      </c>
    </row>
    <row r="644" spans="1:8" ht="15" customHeight="1" x14ac:dyDescent="0.25">
      <c r="A644" t="s">
        <v>2888</v>
      </c>
      <c r="B644" t="s">
        <v>6939</v>
      </c>
      <c r="C644" t="s">
        <v>10698</v>
      </c>
      <c r="D644" t="s">
        <v>13287</v>
      </c>
      <c r="E644" t="str">
        <f>+VLOOKUP(A644,[1]PFE4!$A$7:$F$5208,6,0)</f>
        <v>CALLE 90  19 C  32  PISO 4</v>
      </c>
      <c r="F644" s="17">
        <f>+VLOOKUP(A644,[1]PFE4!$A$7:$G$5208,7,0)</f>
        <v>11001</v>
      </c>
      <c r="G644">
        <v>6138402</v>
      </c>
      <c r="H644">
        <v>4329</v>
      </c>
    </row>
    <row r="645" spans="1:8" ht="15" customHeight="1" x14ac:dyDescent="0.25">
      <c r="A645" t="s">
        <v>2889</v>
      </c>
      <c r="B645" t="s">
        <v>6940</v>
      </c>
      <c r="C645" t="s">
        <v>10699</v>
      </c>
      <c r="D645" t="s">
        <v>13287</v>
      </c>
      <c r="E645" t="str">
        <f>+VLOOKUP(A645,[1]PFE4!$A$7:$F$5208,6,0)</f>
        <v>CARRERA 82  33 A A  31</v>
      </c>
      <c r="F645" s="17" t="str">
        <f>+VLOOKUP(A645,[1]PFE4!$A$7:$G$5208,7,0)</f>
        <v>05001</v>
      </c>
      <c r="G645">
        <v>6140868</v>
      </c>
      <c r="H645">
        <v>4329</v>
      </c>
    </row>
    <row r="646" spans="1:8" ht="15" customHeight="1" x14ac:dyDescent="0.25">
      <c r="A646" t="s">
        <v>2890</v>
      </c>
      <c r="B646" t="s">
        <v>6941</v>
      </c>
      <c r="C646" t="s">
        <v>10700</v>
      </c>
      <c r="D646" t="s">
        <v>13287</v>
      </c>
      <c r="E646" t="str">
        <f>+VLOOKUP(A646,[1]PFE4!$A$7:$F$5208,6,0)</f>
        <v>CARRERA 16 A  86 A  90</v>
      </c>
      <c r="F646" s="17">
        <f>+VLOOKUP(A646,[1]PFE4!$A$7:$G$5208,7,0)</f>
        <v>11001</v>
      </c>
      <c r="G646">
        <v>6143100</v>
      </c>
      <c r="H646">
        <v>4329</v>
      </c>
    </row>
    <row r="647" spans="1:8" ht="15" customHeight="1" x14ac:dyDescent="0.25">
      <c r="A647" t="s">
        <v>2891</v>
      </c>
      <c r="B647" t="s">
        <v>6942</v>
      </c>
      <c r="C647" t="s">
        <v>10701</v>
      </c>
      <c r="D647" t="s">
        <v>13287</v>
      </c>
      <c r="E647" t="str">
        <f>+VLOOKUP(A647,[1]PFE4!$A$7:$F$5208,6,0)</f>
        <v>CALLE 21  16  31  OFICINA 502</v>
      </c>
      <c r="F647" s="17">
        <f>+VLOOKUP(A647,[1]PFE4!$A$7:$G$5208,7,0)</f>
        <v>63130</v>
      </c>
      <c r="G647">
        <v>6147547</v>
      </c>
      <c r="H647">
        <v>4329</v>
      </c>
    </row>
    <row r="648" spans="1:8" ht="15" customHeight="1" x14ac:dyDescent="0.25">
      <c r="A648" t="s">
        <v>2892</v>
      </c>
      <c r="B648" t="s">
        <v>6943</v>
      </c>
      <c r="C648" t="s">
        <v>10702</v>
      </c>
      <c r="D648" t="s">
        <v>13287</v>
      </c>
      <c r="E648" t="str">
        <f>+VLOOKUP(A648,[1]PFE4!$A$7:$F$5208,6,0)</f>
        <v>CALLE 32E 66C-34</v>
      </c>
      <c r="F648" s="17" t="str">
        <f>+VLOOKUP(A648,[1]PFE4!$A$7:$G$5208,7,0)</f>
        <v>05001</v>
      </c>
      <c r="G648">
        <v>6155400</v>
      </c>
      <c r="H648">
        <v>4329</v>
      </c>
    </row>
    <row r="649" spans="1:8" ht="15" customHeight="1" x14ac:dyDescent="0.25">
      <c r="A649" t="s">
        <v>2893</v>
      </c>
      <c r="B649" t="s">
        <v>6944</v>
      </c>
      <c r="C649" t="s">
        <v>10703</v>
      </c>
      <c r="D649" t="s">
        <v>13287</v>
      </c>
      <c r="E649" t="str">
        <f>+VLOOKUP(A649,[1]PFE4!$A$7:$F$5208,6,0)</f>
        <v>CALLE 42 Nro. 103-
39/41</v>
      </c>
      <c r="F649" s="17" t="str">
        <f>+VLOOKUP(A649,[1]PFE4!$A$7:$G$5208,7,0)</f>
        <v>05001</v>
      </c>
      <c r="G649">
        <v>6160516</v>
      </c>
      <c r="H649">
        <v>4329</v>
      </c>
    </row>
    <row r="650" spans="1:8" ht="15" customHeight="1" x14ac:dyDescent="0.25">
      <c r="A650" t="s">
        <v>2894</v>
      </c>
      <c r="B650" t="s">
        <v>6945</v>
      </c>
      <c r="C650" t="s">
        <v>10704</v>
      </c>
      <c r="D650" t="s">
        <v>13287</v>
      </c>
      <c r="E650" t="str">
        <f>+VLOOKUP(A650,[1]PFE4!$A$7:$F$5208,6,0)</f>
        <v>CL 7 46 29</v>
      </c>
      <c r="F650" s="17" t="str">
        <f>+VLOOKUP(A650,[1]PFE4!$A$7:$G$5208,7,0)</f>
        <v>05360</v>
      </c>
      <c r="G650">
        <v>6162577</v>
      </c>
      <c r="H650">
        <v>4329</v>
      </c>
    </row>
    <row r="651" spans="1:8" ht="15" customHeight="1" x14ac:dyDescent="0.25">
      <c r="A651" t="s">
        <v>2895</v>
      </c>
      <c r="B651" t="s">
        <v>6946</v>
      </c>
      <c r="C651" t="s">
        <v>10705</v>
      </c>
      <c r="D651" t="s">
        <v>13287</v>
      </c>
      <c r="E651" t="str">
        <f>+VLOOKUP(A651,[1]PFE4!$A$7:$F$5208,6,0)</f>
        <v>CALLE 80  66  46</v>
      </c>
      <c r="F651" s="17" t="str">
        <f>+VLOOKUP(A651,[1]PFE4!$A$7:$G$5208,7,0)</f>
        <v>08001</v>
      </c>
      <c r="G651">
        <v>6164565</v>
      </c>
      <c r="H651">
        <v>4329</v>
      </c>
    </row>
    <row r="652" spans="1:8" ht="15" customHeight="1" x14ac:dyDescent="0.25">
      <c r="A652" t="s">
        <v>2896</v>
      </c>
      <c r="B652" t="s">
        <v>6947</v>
      </c>
      <c r="C652">
        <v>3219664011</v>
      </c>
      <c r="D652" t="s">
        <v>13287</v>
      </c>
      <c r="E652" t="str">
        <f>+VLOOKUP(A652,[1]PFE4!$A$7:$F$5208,6,0)</f>
        <v>CALLE 44  48  12</v>
      </c>
      <c r="F652" s="17">
        <f>+VLOOKUP(A652,[1]PFE4!$A$7:$G$5208,7,0)</f>
        <v>11001</v>
      </c>
      <c r="G652">
        <v>6167787</v>
      </c>
      <c r="H652">
        <v>4329</v>
      </c>
    </row>
    <row r="653" spans="1:8" ht="15" customHeight="1" x14ac:dyDescent="0.25">
      <c r="A653" t="s">
        <v>2897</v>
      </c>
      <c r="B653" t="s">
        <v>6948</v>
      </c>
      <c r="C653" t="s">
        <v>10706</v>
      </c>
      <c r="D653" t="s">
        <v>13287</v>
      </c>
      <c r="E653" t="str">
        <f>+VLOOKUP(A653,[1]PFE4!$A$7:$F$5208,6,0)</f>
        <v>CR 30 31 28</v>
      </c>
      <c r="F653" s="17" t="str">
        <f>+VLOOKUP(A653,[1]PFE4!$A$7:$G$5208,7,0)</f>
        <v>05321</v>
      </c>
      <c r="G653">
        <v>6168120</v>
      </c>
      <c r="H653">
        <v>4329</v>
      </c>
    </row>
    <row r="654" spans="1:8" ht="15" customHeight="1" x14ac:dyDescent="0.25">
      <c r="A654" t="s">
        <v>2898</v>
      </c>
      <c r="B654" t="s">
        <v>6949</v>
      </c>
      <c r="C654" t="s">
        <v>10707</v>
      </c>
      <c r="D654" t="s">
        <v>13287</v>
      </c>
      <c r="E654" t="str">
        <f>+VLOOKUP(A654,[1]PFE4!$A$7:$F$5208,6,0)</f>
        <v>CALLE 80  49 C  32</v>
      </c>
      <c r="F654" s="17">
        <f>+VLOOKUP(A654,[1]PFE4!$A$7:$G$5208,7,0)</f>
        <v>47001</v>
      </c>
      <c r="G654">
        <v>6170685</v>
      </c>
      <c r="H654">
        <v>4329</v>
      </c>
    </row>
    <row r="655" spans="1:8" ht="15" customHeight="1" x14ac:dyDescent="0.25">
      <c r="A655" t="s">
        <v>2899</v>
      </c>
      <c r="B655" t="s">
        <v>6950</v>
      </c>
      <c r="C655" t="s">
        <v>10708</v>
      </c>
      <c r="D655" t="s">
        <v>13287</v>
      </c>
      <c r="E655" t="str">
        <f>+VLOOKUP(A655,[1]PFE4!$A$7:$F$5208,6,0)</f>
        <v>CALLE 14  6  25</v>
      </c>
      <c r="F655" s="17">
        <f>+VLOOKUP(A655,[1]PFE4!$A$7:$G$5208,7,0)</f>
        <v>73001</v>
      </c>
      <c r="G655">
        <v>6183564</v>
      </c>
      <c r="H655">
        <v>4329</v>
      </c>
    </row>
    <row r="656" spans="1:8" ht="15" customHeight="1" x14ac:dyDescent="0.25">
      <c r="A656" t="s">
        <v>2900</v>
      </c>
      <c r="B656" t="s">
        <v>6951</v>
      </c>
      <c r="C656" t="s">
        <v>10709</v>
      </c>
      <c r="D656" t="s">
        <v>13287</v>
      </c>
      <c r="E656" t="str">
        <f>+VLOOKUP(A656,[1]PFE4!$A$7:$F$5208,6,0)</f>
        <v>CALLE 26 NORTE  13  62</v>
      </c>
      <c r="F656" s="17">
        <f>+VLOOKUP(A656,[1]PFE4!$A$7:$G$5208,7,0)</f>
        <v>63001</v>
      </c>
      <c r="G656">
        <v>6184500</v>
      </c>
      <c r="H656">
        <v>4329</v>
      </c>
    </row>
    <row r="657" spans="1:8" ht="15" customHeight="1" x14ac:dyDescent="0.25">
      <c r="A657" t="s">
        <v>2901</v>
      </c>
      <c r="B657" t="s">
        <v>6952</v>
      </c>
      <c r="C657">
        <v>3219664011</v>
      </c>
      <c r="D657" t="s">
        <v>13287</v>
      </c>
      <c r="E657" t="str">
        <f>+VLOOKUP(A657,[1]PFE4!$A$7:$F$5208,6,0)</f>
        <v>CALLE 16  15  22</v>
      </c>
      <c r="F657" s="17">
        <f>+VLOOKUP(A657,[1]PFE4!$A$7:$G$5208,7,0)</f>
        <v>63001</v>
      </c>
      <c r="G657">
        <v>6192857</v>
      </c>
      <c r="H657">
        <v>4329</v>
      </c>
    </row>
    <row r="658" spans="1:8" ht="15" customHeight="1" x14ac:dyDescent="0.25">
      <c r="A658" t="s">
        <v>2902</v>
      </c>
      <c r="B658" t="s">
        <v>6953</v>
      </c>
      <c r="C658" t="s">
        <v>10710</v>
      </c>
      <c r="D658" t="s">
        <v>13287</v>
      </c>
      <c r="E658" t="str">
        <f>+VLOOKUP(A658,[1]PFE4!$A$7:$F$5208,6,0)</f>
        <v>CL 88 44 41</v>
      </c>
      <c r="F658" s="17" t="str">
        <f>+VLOOKUP(A658,[1]PFE4!$A$7:$G$5208,7,0)</f>
        <v>08001</v>
      </c>
      <c r="G658">
        <v>6197042</v>
      </c>
      <c r="H658">
        <v>4329</v>
      </c>
    </row>
    <row r="659" spans="1:8" ht="15" customHeight="1" x14ac:dyDescent="0.25">
      <c r="A659" t="s">
        <v>2903</v>
      </c>
      <c r="B659" t="s">
        <v>6954</v>
      </c>
      <c r="C659" t="s">
        <v>10711</v>
      </c>
      <c r="D659" t="s">
        <v>13287</v>
      </c>
      <c r="E659" t="str">
        <f>+VLOOKUP(A659,[1]PFE4!$A$7:$F$5208,6,0)</f>
        <v>CR 58 91 84</v>
      </c>
      <c r="F659" s="17" t="str">
        <f>+VLOOKUP(A659,[1]PFE4!$A$7:$G$5208,7,0)</f>
        <v>08001</v>
      </c>
      <c r="G659">
        <v>6199600</v>
      </c>
      <c r="H659">
        <v>4329</v>
      </c>
    </row>
    <row r="660" spans="1:8" ht="15" customHeight="1" x14ac:dyDescent="0.25">
      <c r="A660" t="s">
        <v>2904</v>
      </c>
      <c r="B660" t="s">
        <v>6955</v>
      </c>
      <c r="C660" t="s">
        <v>10712</v>
      </c>
      <c r="D660" t="s">
        <v>13287</v>
      </c>
      <c r="E660" t="str">
        <f>+VLOOKUP(A660,[1]PFE4!$A$7:$F$5208,6,0)</f>
        <v>CALLE 65  2  28</v>
      </c>
      <c r="F660" s="17">
        <f>+VLOOKUP(A660,[1]PFE4!$A$7:$G$5208,7,0)</f>
        <v>11001</v>
      </c>
      <c r="G660">
        <v>6199877</v>
      </c>
      <c r="H660">
        <v>4329</v>
      </c>
    </row>
    <row r="661" spans="1:8" ht="15" customHeight="1" x14ac:dyDescent="0.25">
      <c r="A661" t="s">
        <v>2905</v>
      </c>
      <c r="B661" t="s">
        <v>6956</v>
      </c>
      <c r="C661" t="s">
        <v>10713</v>
      </c>
      <c r="D661" t="s">
        <v>13287</v>
      </c>
      <c r="E661" t="str">
        <f>+VLOOKUP(A661,[1]PFE4!$A$7:$F$5208,6,0)</f>
        <v>TRANSVERSAL 4  52 A  33</v>
      </c>
      <c r="F661" s="17">
        <f>+VLOOKUP(A661,[1]PFE4!$A$7:$G$5208,7,0)</f>
        <v>11001</v>
      </c>
      <c r="G661">
        <v>6201040</v>
      </c>
      <c r="H661">
        <v>4329</v>
      </c>
    </row>
    <row r="662" spans="1:8" ht="15" customHeight="1" x14ac:dyDescent="0.25">
      <c r="A662" t="s">
        <v>2906</v>
      </c>
      <c r="B662" t="s">
        <v>6957</v>
      </c>
      <c r="C662" t="s">
        <v>10714</v>
      </c>
      <c r="D662" t="s">
        <v>13287</v>
      </c>
      <c r="E662" t="str">
        <f>+VLOOKUP(A662,[1]PFE4!$A$7:$F$5208,6,0)</f>
        <v>AVENIDA CARRERA 20  88  32</v>
      </c>
      <c r="F662" s="17">
        <f>+VLOOKUP(A662,[1]PFE4!$A$7:$G$5208,7,0)</f>
        <v>11001</v>
      </c>
      <c r="G662">
        <v>6206467</v>
      </c>
      <c r="H662">
        <v>4329</v>
      </c>
    </row>
    <row r="663" spans="1:8" ht="15" customHeight="1" x14ac:dyDescent="0.25">
      <c r="A663" t="s">
        <v>2907</v>
      </c>
      <c r="B663" t="s">
        <v>6958</v>
      </c>
      <c r="C663" t="s">
        <v>10715</v>
      </c>
      <c r="D663" t="s">
        <v>13287</v>
      </c>
      <c r="E663" t="str">
        <f>+VLOOKUP(A663,[1]PFE4!$A$7:$F$5208,6,0)</f>
        <v>CALLE 11 NORTE  9  58</v>
      </c>
      <c r="F663" s="17">
        <f>+VLOOKUP(A663,[1]PFE4!$A$7:$G$5208,7,0)</f>
        <v>19001</v>
      </c>
      <c r="G663">
        <v>6216292</v>
      </c>
      <c r="H663">
        <v>4329</v>
      </c>
    </row>
    <row r="664" spans="1:8" ht="15" customHeight="1" x14ac:dyDescent="0.25">
      <c r="A664" t="s">
        <v>2908</v>
      </c>
      <c r="B664" t="s">
        <v>6959</v>
      </c>
      <c r="C664">
        <v>0</v>
      </c>
      <c r="D664" t="s">
        <v>13287</v>
      </c>
      <c r="E664">
        <v>0</v>
      </c>
      <c r="F664" s="17">
        <v>11001</v>
      </c>
      <c r="G664">
        <v>6223700</v>
      </c>
      <c r="H664">
        <v>4329</v>
      </c>
    </row>
    <row r="665" spans="1:8" ht="15" customHeight="1" x14ac:dyDescent="0.25">
      <c r="A665" t="s">
        <v>2909</v>
      </c>
      <c r="B665" t="s">
        <v>6960</v>
      </c>
      <c r="C665" t="s">
        <v>10716</v>
      </c>
      <c r="D665" t="s">
        <v>13287</v>
      </c>
      <c r="E665" t="str">
        <f>+VLOOKUP(A665,[1]PFE4!$A$7:$F$5208,6,0)</f>
        <v>CL 146 6 24</v>
      </c>
      <c r="F665" s="17">
        <f>+VLOOKUP(A665,[1]PFE4!$A$7:$G$5208,7,0)</f>
        <v>11001</v>
      </c>
      <c r="G665">
        <v>6226096</v>
      </c>
      <c r="H665">
        <v>4329</v>
      </c>
    </row>
    <row r="666" spans="1:8" ht="15" customHeight="1" x14ac:dyDescent="0.25">
      <c r="A666" t="s">
        <v>2910</v>
      </c>
      <c r="B666" t="s">
        <v>6961</v>
      </c>
      <c r="C666" t="s">
        <v>10717</v>
      </c>
      <c r="D666" t="s">
        <v>13287</v>
      </c>
      <c r="E666" t="str">
        <f>+VLOOKUP(A666,[1]PFE4!$A$7:$F$5208,6,0)</f>
        <v>CARRERA 3  68  27</v>
      </c>
      <c r="F666" s="17" t="str">
        <f>+VLOOKUP(A666,[1]PFE4!$A$7:$G$5208,7,0)</f>
        <v>05001</v>
      </c>
      <c r="G666">
        <v>6230552</v>
      </c>
      <c r="H666">
        <v>4329</v>
      </c>
    </row>
    <row r="667" spans="1:8" ht="15" customHeight="1" x14ac:dyDescent="0.25">
      <c r="A667" t="s">
        <v>2911</v>
      </c>
      <c r="B667" t="s">
        <v>6962</v>
      </c>
      <c r="C667" t="s">
        <v>10718</v>
      </c>
      <c r="D667" t="s">
        <v>13287</v>
      </c>
      <c r="E667" t="str">
        <f>+VLOOKUP(A667,[1]PFE4!$A$7:$F$5208,6,0)</f>
        <v>CALLE 20  18  37</v>
      </c>
      <c r="F667" s="17">
        <f>+VLOOKUP(A667,[1]PFE4!$A$7:$G$5208,7,0)</f>
        <v>63001</v>
      </c>
      <c r="G667">
        <v>6230676</v>
      </c>
      <c r="H667">
        <v>4329</v>
      </c>
    </row>
    <row r="668" spans="1:8" ht="15" customHeight="1" x14ac:dyDescent="0.25">
      <c r="A668" t="s">
        <v>2912</v>
      </c>
      <c r="B668" t="s">
        <v>6963</v>
      </c>
      <c r="C668" t="s">
        <v>10719</v>
      </c>
      <c r="D668" t="s">
        <v>13287</v>
      </c>
      <c r="E668" t="str">
        <f>+VLOOKUP(A668,[1]PFE4!$A$7:$F$5208,6,0)</f>
        <v>DIAGONAL 75 C  32 E  47</v>
      </c>
      <c r="F668" s="17" t="str">
        <f>+VLOOKUP(A668,[1]PFE4!$A$7:$G$5208,7,0)</f>
        <v>05001</v>
      </c>
      <c r="G668">
        <v>6232322</v>
      </c>
      <c r="H668">
        <v>4329</v>
      </c>
    </row>
    <row r="669" spans="1:8" ht="15" customHeight="1" x14ac:dyDescent="0.25">
      <c r="A669" t="s">
        <v>2913</v>
      </c>
      <c r="B669" t="s">
        <v>6964</v>
      </c>
      <c r="C669" t="s">
        <v>10720</v>
      </c>
      <c r="D669" t="s">
        <v>13287</v>
      </c>
      <c r="E669" t="str">
        <f>+VLOOKUP(A669,[1]PFE4!$A$7:$F$5208,6,0)</f>
        <v>CARRERA 14  19  15</v>
      </c>
      <c r="F669" s="17">
        <f>+VLOOKUP(A669,[1]PFE4!$A$7:$G$5208,7,0)</f>
        <v>63001</v>
      </c>
      <c r="G669">
        <v>6238155</v>
      </c>
      <c r="H669">
        <v>4329</v>
      </c>
    </row>
    <row r="670" spans="1:8" ht="15" customHeight="1" x14ac:dyDescent="0.25">
      <c r="A670" t="s">
        <v>2914</v>
      </c>
      <c r="B670" t="s">
        <v>6965</v>
      </c>
      <c r="C670" t="s">
        <v>10721</v>
      </c>
      <c r="D670" t="s">
        <v>13287</v>
      </c>
      <c r="E670" t="str">
        <f>+VLOOKUP(A670,[1]PFE4!$A$7:$F$5208,6,0)</f>
        <v>CR 22 120 32</v>
      </c>
      <c r="F670" s="17">
        <f>+VLOOKUP(A670,[1]PFE4!$A$7:$G$5208,7,0)</f>
        <v>11001</v>
      </c>
      <c r="G670">
        <v>6240000</v>
      </c>
      <c r="H670">
        <v>4329</v>
      </c>
    </row>
    <row r="671" spans="1:8" ht="15" customHeight="1" x14ac:dyDescent="0.25">
      <c r="A671" t="s">
        <v>2915</v>
      </c>
      <c r="B671" t="s">
        <v>6966</v>
      </c>
      <c r="C671" t="s">
        <v>10722</v>
      </c>
      <c r="D671" t="s">
        <v>13287</v>
      </c>
      <c r="E671" t="str">
        <f>+VLOOKUP(A671,[1]PFE4!$A$7:$F$5208,6,0)</f>
        <v>CARRERA 23  120  80</v>
      </c>
      <c r="F671" s="17">
        <f>+VLOOKUP(A671,[1]PFE4!$A$7:$G$5208,7,0)</f>
        <v>11001</v>
      </c>
      <c r="G671">
        <v>6240000</v>
      </c>
      <c r="H671">
        <v>4329</v>
      </c>
    </row>
    <row r="672" spans="1:8" ht="15" customHeight="1" x14ac:dyDescent="0.25">
      <c r="A672" t="s">
        <v>2916</v>
      </c>
      <c r="B672" t="s">
        <v>6966</v>
      </c>
      <c r="C672" t="s">
        <v>10723</v>
      </c>
      <c r="D672" t="s">
        <v>13287</v>
      </c>
      <c r="E672" t="str">
        <f>+VLOOKUP(A672,[1]PFE4!$A$7:$F$5208,6,0)</f>
        <v>CARRERA 28  45 A  50</v>
      </c>
      <c r="F672" s="17">
        <f>+VLOOKUP(A672,[1]PFE4!$A$7:$G$5208,7,0)</f>
        <v>11001</v>
      </c>
      <c r="G672">
        <v>6240000</v>
      </c>
      <c r="H672">
        <v>4329</v>
      </c>
    </row>
    <row r="673" spans="1:8" ht="15" customHeight="1" x14ac:dyDescent="0.25">
      <c r="A673" t="s">
        <v>2917</v>
      </c>
      <c r="B673" t="s">
        <v>6967</v>
      </c>
      <c r="C673" t="s">
        <v>10724</v>
      </c>
      <c r="D673" t="s">
        <v>13287</v>
      </c>
      <c r="E673" t="str">
        <f>+VLOOKUP(A673,[1]PFE4!$A$7:$F$5208,6,0)</f>
        <v>CALLE 101  20  47</v>
      </c>
      <c r="F673" s="17">
        <f>+VLOOKUP(A673,[1]PFE4!$A$7:$G$5208,7,0)</f>
        <v>11001</v>
      </c>
      <c r="G673">
        <v>6240000</v>
      </c>
      <c r="H673">
        <v>4329</v>
      </c>
    </row>
    <row r="674" spans="1:8" ht="15" customHeight="1" x14ac:dyDescent="0.25">
      <c r="A674" t="s">
        <v>2918</v>
      </c>
      <c r="B674" t="s">
        <v>6968</v>
      </c>
      <c r="C674">
        <v>0</v>
      </c>
      <c r="D674" t="s">
        <v>13287</v>
      </c>
      <c r="E674">
        <v>0</v>
      </c>
      <c r="F674" s="17">
        <v>11001</v>
      </c>
      <c r="G674">
        <v>6240000</v>
      </c>
      <c r="H674">
        <v>4329</v>
      </c>
    </row>
    <row r="675" spans="1:8" ht="15" customHeight="1" x14ac:dyDescent="0.25">
      <c r="A675" t="s">
        <v>2919</v>
      </c>
      <c r="B675" t="s">
        <v>6969</v>
      </c>
      <c r="C675" t="s">
        <v>10725</v>
      </c>
      <c r="D675" t="s">
        <v>13287</v>
      </c>
      <c r="E675" t="str">
        <f>+VLOOKUP(A675,[1]PFE4!$A$7:$F$5208,6,0)</f>
        <v>AVENIDA 15  127  66</v>
      </c>
      <c r="F675" s="17">
        <f>+VLOOKUP(A675,[1]PFE4!$A$7:$G$5208,7,0)</f>
        <v>11001</v>
      </c>
      <c r="G675">
        <v>6244214</v>
      </c>
      <c r="H675">
        <v>4329</v>
      </c>
    </row>
    <row r="676" spans="1:8" ht="15" customHeight="1" x14ac:dyDescent="0.25">
      <c r="A676" t="s">
        <v>2920</v>
      </c>
      <c r="B676" t="s">
        <v>6970</v>
      </c>
      <c r="C676" t="s">
        <v>10726</v>
      </c>
      <c r="D676" t="s">
        <v>13287</v>
      </c>
      <c r="E676" t="str">
        <f>+VLOOKUP(A676,[1]PFE4!$A$7:$F$5208,6,0)</f>
        <v>CARRERA 17  93 A  05</v>
      </c>
      <c r="F676" s="17">
        <f>+VLOOKUP(A676,[1]PFE4!$A$7:$G$5208,7,0)</f>
        <v>11001</v>
      </c>
      <c r="G676">
        <v>6245952</v>
      </c>
      <c r="H676">
        <v>4329</v>
      </c>
    </row>
    <row r="677" spans="1:8" ht="15" customHeight="1" x14ac:dyDescent="0.25">
      <c r="A677" t="s">
        <v>2921</v>
      </c>
      <c r="B677" t="s">
        <v>6971</v>
      </c>
      <c r="C677" t="s">
        <v>10727</v>
      </c>
      <c r="D677" t="s">
        <v>13287</v>
      </c>
      <c r="E677" t="str">
        <f>+VLOOKUP(A677,[1]PFE4!$A$7:$F$5208,6,0)</f>
        <v>CALLE 12 N°30-126 INT 101ED BLUX</v>
      </c>
      <c r="F677" s="17">
        <f>+VLOOKUP(A677,[1]PFE4!$A$7:$G$5208,7,0)</f>
        <v>68001</v>
      </c>
      <c r="G677">
        <v>6247201</v>
      </c>
      <c r="H677">
        <v>4329</v>
      </c>
    </row>
    <row r="678" spans="1:8" ht="15" customHeight="1" x14ac:dyDescent="0.25">
      <c r="A678" t="s">
        <v>2922</v>
      </c>
      <c r="B678" t="s">
        <v>6972</v>
      </c>
      <c r="C678" t="s">
        <v>10728</v>
      </c>
      <c r="D678" t="s">
        <v>13287</v>
      </c>
      <c r="E678" t="str">
        <f>+VLOOKUP(A678,[1]PFE4!$A$7:$F$5208,6,0)</f>
        <v>CALLE 12  15  37</v>
      </c>
      <c r="F678" s="17">
        <f>+VLOOKUP(A678,[1]PFE4!$A$7:$G$5208,7,0)</f>
        <v>15238</v>
      </c>
      <c r="G678">
        <v>6248125</v>
      </c>
      <c r="H678">
        <v>4329</v>
      </c>
    </row>
    <row r="679" spans="1:8" ht="15" customHeight="1" x14ac:dyDescent="0.25">
      <c r="A679" t="s">
        <v>2923</v>
      </c>
      <c r="B679" t="s">
        <v>6973</v>
      </c>
      <c r="C679" t="s">
        <v>10729</v>
      </c>
      <c r="D679" t="s">
        <v>13287</v>
      </c>
      <c r="E679" t="str">
        <f>+VLOOKUP(A679,[1]PFE4!$A$7:$F$5208,6,0)</f>
        <v>CALLE 48  18  54</v>
      </c>
      <c r="F679" s="17">
        <f>+VLOOKUP(A679,[1]PFE4!$A$7:$G$5208,7,0)</f>
        <v>68001</v>
      </c>
      <c r="G679">
        <v>6253078</v>
      </c>
      <c r="H679">
        <v>4329</v>
      </c>
    </row>
    <row r="680" spans="1:8" ht="15" customHeight="1" x14ac:dyDescent="0.25">
      <c r="A680" t="s">
        <v>2924</v>
      </c>
      <c r="B680" t="s">
        <v>6974</v>
      </c>
      <c r="C680" t="s">
        <v>10730</v>
      </c>
      <c r="D680" t="s">
        <v>13287</v>
      </c>
      <c r="E680" t="str">
        <f>+VLOOKUP(A680,[1]PFE4!$A$7:$F$5208,6,0)</f>
        <v>CL 123 15 A 05</v>
      </c>
      <c r="F680" s="17">
        <f>+VLOOKUP(A680,[1]PFE4!$A$7:$G$5208,7,0)</f>
        <v>11001</v>
      </c>
      <c r="G680">
        <v>6260000</v>
      </c>
      <c r="H680">
        <v>4329</v>
      </c>
    </row>
    <row r="681" spans="1:8" ht="15" customHeight="1" x14ac:dyDescent="0.25">
      <c r="A681" t="s">
        <v>2925</v>
      </c>
      <c r="B681" t="s">
        <v>6975</v>
      </c>
      <c r="C681" t="s">
        <v>10731</v>
      </c>
      <c r="D681" t="s">
        <v>13287</v>
      </c>
      <c r="E681" t="str">
        <f>+VLOOKUP(A681,[1]PFE4!$A$7:$F$5208,6,0)</f>
        <v>CARRERA 11 B BIS  118  27</v>
      </c>
      <c r="F681" s="17">
        <f>+VLOOKUP(A681,[1]PFE4!$A$7:$G$5208,7,0)</f>
        <v>11001</v>
      </c>
      <c r="G681">
        <v>6262160</v>
      </c>
      <c r="H681">
        <v>4329</v>
      </c>
    </row>
    <row r="682" spans="1:8" ht="15" customHeight="1" x14ac:dyDescent="0.25">
      <c r="A682" t="s">
        <v>2926</v>
      </c>
      <c r="B682" t="s">
        <v>6976</v>
      </c>
      <c r="C682" t="s">
        <v>10732</v>
      </c>
      <c r="D682" t="s">
        <v>13287</v>
      </c>
      <c r="E682" t="str">
        <f>+VLOOKUP(A682,[1]PFE4!$A$7:$F$5208,6,0)</f>
        <v>CALLE 42A 63C - 110</v>
      </c>
      <c r="F682" s="17" t="str">
        <f>+VLOOKUP(A682,[1]PFE4!$A$7:$G$5208,7,0)</f>
        <v>05001</v>
      </c>
      <c r="G682">
        <v>6264327</v>
      </c>
      <c r="H682">
        <v>4329</v>
      </c>
    </row>
    <row r="683" spans="1:8" ht="15" customHeight="1" x14ac:dyDescent="0.25">
      <c r="A683" t="s">
        <v>2927</v>
      </c>
      <c r="B683" t="s">
        <v>6977</v>
      </c>
      <c r="C683" t="s">
        <v>10544</v>
      </c>
      <c r="D683" t="s">
        <v>13287</v>
      </c>
      <c r="E683" t="str">
        <f>+VLOOKUP(A683,[1]PFE4!$A$7:$F$5208,6,0)</f>
        <v>DG 128 C 17 36</v>
      </c>
      <c r="F683" s="17">
        <f>+VLOOKUP(A683,[1]PFE4!$A$7:$G$5208,7,0)</f>
        <v>11001</v>
      </c>
      <c r="G683">
        <v>6267414</v>
      </c>
      <c r="H683">
        <v>4329</v>
      </c>
    </row>
    <row r="684" spans="1:8" ht="15" customHeight="1" x14ac:dyDescent="0.25">
      <c r="A684" t="s">
        <v>2928</v>
      </c>
      <c r="B684" t="s">
        <v>6978</v>
      </c>
      <c r="C684" t="s">
        <v>10733</v>
      </c>
      <c r="D684" t="s">
        <v>13287</v>
      </c>
      <c r="E684" t="str">
        <f>+VLOOKUP(A684,[1]PFE4!$A$7:$F$5208,6,0)</f>
        <v>CALLE 9 B SUR  25  178</v>
      </c>
      <c r="F684" s="17" t="str">
        <f>+VLOOKUP(A684,[1]PFE4!$A$7:$G$5208,7,0)</f>
        <v>05001</v>
      </c>
      <c r="G684">
        <v>6267522</v>
      </c>
      <c r="H684">
        <v>4329</v>
      </c>
    </row>
    <row r="685" spans="1:8" ht="15" customHeight="1" x14ac:dyDescent="0.25">
      <c r="A685" t="s">
        <v>2929</v>
      </c>
      <c r="B685" t="s">
        <v>6979</v>
      </c>
      <c r="C685" t="s">
        <v>10734</v>
      </c>
      <c r="D685" t="s">
        <v>13287</v>
      </c>
      <c r="E685" t="str">
        <f>+VLOOKUP(A685,[1]PFE4!$A$7:$F$5208,6,0)</f>
        <v>CARRERA 48  10  45  OFICINA 1017</v>
      </c>
      <c r="F685" s="17" t="str">
        <f>+VLOOKUP(A685,[1]PFE4!$A$7:$G$5208,7,0)</f>
        <v>05001</v>
      </c>
      <c r="G685">
        <v>6271994</v>
      </c>
      <c r="H685">
        <v>4329</v>
      </c>
    </row>
    <row r="686" spans="1:8" ht="15" customHeight="1" x14ac:dyDescent="0.25">
      <c r="A686" t="s">
        <v>2930</v>
      </c>
      <c r="B686" t="s">
        <v>6980</v>
      </c>
      <c r="C686">
        <v>0</v>
      </c>
      <c r="D686" t="s">
        <v>13287</v>
      </c>
      <c r="E686">
        <v>0</v>
      </c>
      <c r="F686" s="17">
        <v>11001</v>
      </c>
      <c r="G686">
        <v>6280336</v>
      </c>
      <c r="H686">
        <v>4329</v>
      </c>
    </row>
    <row r="687" spans="1:8" ht="15" customHeight="1" x14ac:dyDescent="0.25">
      <c r="A687" t="s">
        <v>2931</v>
      </c>
      <c r="B687" t="s">
        <v>6981</v>
      </c>
      <c r="C687" t="s">
        <v>10735</v>
      </c>
      <c r="D687" t="s">
        <v>13287</v>
      </c>
      <c r="E687" t="str">
        <f>+VLOOKUP(A687,[1]PFE4!$A$7:$F$5208,6,0)</f>
        <v>CARRERA 91 B  35 A  86  PISO 2</v>
      </c>
      <c r="F687" s="17" t="str">
        <f>+VLOOKUP(A687,[1]PFE4!$A$7:$G$5208,7,0)</f>
        <v>05001</v>
      </c>
      <c r="G687">
        <v>6284121</v>
      </c>
      <c r="H687">
        <v>4329</v>
      </c>
    </row>
    <row r="688" spans="1:8" ht="15" customHeight="1" x14ac:dyDescent="0.25">
      <c r="A688" t="s">
        <v>2932</v>
      </c>
      <c r="B688" t="s">
        <v>6982</v>
      </c>
      <c r="C688" t="s">
        <v>10736</v>
      </c>
      <c r="D688" t="s">
        <v>13287</v>
      </c>
      <c r="E688" t="str">
        <f>+VLOOKUP(A688,[1]PFE4!$A$7:$F$5208,6,0)</f>
        <v>CALLE 45 A SUR  39 B  22</v>
      </c>
      <c r="F688" s="17" t="str">
        <f>+VLOOKUP(A688,[1]PFE4!$A$7:$G$5208,7,0)</f>
        <v>05266</v>
      </c>
      <c r="G688">
        <v>6292198</v>
      </c>
      <c r="H688">
        <v>4329</v>
      </c>
    </row>
    <row r="689" spans="1:8" ht="15" customHeight="1" x14ac:dyDescent="0.25">
      <c r="A689" t="s">
        <v>2933</v>
      </c>
      <c r="B689" t="s">
        <v>6983</v>
      </c>
      <c r="C689" t="s">
        <v>10737</v>
      </c>
      <c r="D689" t="s">
        <v>13287</v>
      </c>
      <c r="E689" t="str">
        <f>+VLOOKUP(A689,[1]PFE4!$A$7:$F$5208,6,0)</f>
        <v>CALLE 12  18  83</v>
      </c>
      <c r="F689" s="17">
        <f>+VLOOKUP(A689,[1]PFE4!$A$7:$G$5208,7,0)</f>
        <v>47001</v>
      </c>
      <c r="G689">
        <v>6297490</v>
      </c>
      <c r="H689">
        <v>4329</v>
      </c>
    </row>
    <row r="690" spans="1:8" ht="15" customHeight="1" x14ac:dyDescent="0.25">
      <c r="A690" t="s">
        <v>2934</v>
      </c>
      <c r="B690" t="s">
        <v>6984</v>
      </c>
      <c r="C690" t="s">
        <v>10738</v>
      </c>
      <c r="D690" t="s">
        <v>13287</v>
      </c>
      <c r="E690" t="str">
        <f>+VLOOKUP(A690,[1]PFE4!$A$7:$F$5208,6,0)</f>
        <v>CALLE 127  18 A  39  OFICINA 303</v>
      </c>
      <c r="F690" s="17">
        <f>+VLOOKUP(A690,[1]PFE4!$A$7:$G$5208,7,0)</f>
        <v>11001</v>
      </c>
      <c r="G690">
        <v>6297552</v>
      </c>
      <c r="H690">
        <v>4329</v>
      </c>
    </row>
    <row r="691" spans="1:8" ht="15" customHeight="1" x14ac:dyDescent="0.25">
      <c r="A691" t="s">
        <v>2935</v>
      </c>
      <c r="B691" t="s">
        <v>6985</v>
      </c>
      <c r="C691">
        <v>3219664011</v>
      </c>
      <c r="D691" t="s">
        <v>13287</v>
      </c>
      <c r="E691" t="str">
        <f>+VLOOKUP(A691,[1]PFE4!$A$7:$F$5208,6,0)</f>
        <v>CL 17 43 F 235</v>
      </c>
      <c r="F691" s="17" t="str">
        <f>+VLOOKUP(A691,[1]PFE4!$A$7:$G$5208,7,0)</f>
        <v>05001</v>
      </c>
      <c r="G691">
        <v>6305030</v>
      </c>
      <c r="H691">
        <v>4329</v>
      </c>
    </row>
    <row r="692" spans="1:8" ht="15" customHeight="1" x14ac:dyDescent="0.25">
      <c r="A692" t="s">
        <v>2936</v>
      </c>
      <c r="B692" t="s">
        <v>6986</v>
      </c>
      <c r="C692" t="s">
        <v>10739</v>
      </c>
      <c r="D692" t="s">
        <v>13287</v>
      </c>
      <c r="E692" t="str">
        <f>+VLOOKUP(A692,[1]PFE4!$A$7:$F$5208,6,0)</f>
        <v>CL 144 11 A 95</v>
      </c>
      <c r="F692" s="17">
        <f>+VLOOKUP(A692,[1]PFE4!$A$7:$G$5208,7,0)</f>
        <v>11001</v>
      </c>
      <c r="G692">
        <v>6310137</v>
      </c>
      <c r="H692">
        <v>4329</v>
      </c>
    </row>
    <row r="693" spans="1:8" ht="15" customHeight="1" x14ac:dyDescent="0.25">
      <c r="A693" t="s">
        <v>2937</v>
      </c>
      <c r="B693" t="s">
        <v>6987</v>
      </c>
      <c r="C693" t="s">
        <v>10740</v>
      </c>
      <c r="D693" t="s">
        <v>13287</v>
      </c>
      <c r="E693" t="str">
        <f>+VLOOKUP(A693,[1]PFE4!$A$7:$F$5208,6,0)</f>
        <v>CR 22 54 100</v>
      </c>
      <c r="F693" s="17">
        <f>+VLOOKUP(A693,[1]PFE4!$A$7:$G$5208,7,0)</f>
        <v>68001</v>
      </c>
      <c r="G693">
        <v>6313860</v>
      </c>
      <c r="H693">
        <v>4329</v>
      </c>
    </row>
    <row r="694" spans="1:8" ht="15" customHeight="1" x14ac:dyDescent="0.25">
      <c r="A694" t="s">
        <v>2938</v>
      </c>
      <c r="B694" t="s">
        <v>6988</v>
      </c>
      <c r="C694" t="s">
        <v>10741</v>
      </c>
      <c r="D694" t="s">
        <v>13287</v>
      </c>
      <c r="E694" t="str">
        <f>+VLOOKUP(A694,[1]PFE4!$A$7:$F$5208,6,0)</f>
        <v>CL 72 10 51 P 9</v>
      </c>
      <c r="F694" s="17">
        <f>+VLOOKUP(A694,[1]PFE4!$A$7:$G$5208,7,0)</f>
        <v>76109</v>
      </c>
      <c r="G694">
        <v>6316114</v>
      </c>
      <c r="H694">
        <v>4329</v>
      </c>
    </row>
    <row r="695" spans="1:8" ht="15" customHeight="1" x14ac:dyDescent="0.25">
      <c r="A695" t="s">
        <v>2939</v>
      </c>
      <c r="B695" t="s">
        <v>6989</v>
      </c>
      <c r="C695" t="s">
        <v>10609</v>
      </c>
      <c r="D695" t="s">
        <v>13287</v>
      </c>
      <c r="E695" t="str">
        <f>+VLOOKUP(A695,[1]PFE4!$A$7:$F$5208,6,0)</f>
        <v>CARRERA 15  48  92</v>
      </c>
      <c r="F695" s="17">
        <f>+VLOOKUP(A695,[1]PFE4!$A$7:$G$5208,7,0)</f>
        <v>63001</v>
      </c>
      <c r="G695">
        <v>6317172</v>
      </c>
      <c r="H695">
        <v>4329</v>
      </c>
    </row>
    <row r="696" spans="1:8" ht="15" customHeight="1" x14ac:dyDescent="0.25">
      <c r="A696" t="s">
        <v>2940</v>
      </c>
      <c r="B696" t="s">
        <v>6990</v>
      </c>
      <c r="C696" t="s">
        <v>10742</v>
      </c>
      <c r="D696" t="s">
        <v>13287</v>
      </c>
      <c r="E696" t="str">
        <f>+VLOOKUP(A696,[1]PFE4!$A$7:$F$5208,6,0)</f>
        <v>CALLE 123  11 B  21</v>
      </c>
      <c r="F696" s="17">
        <f>+VLOOKUP(A696,[1]PFE4!$A$7:$G$5208,7,0)</f>
        <v>11001</v>
      </c>
      <c r="G696">
        <v>6324452</v>
      </c>
      <c r="H696">
        <v>4329</v>
      </c>
    </row>
    <row r="697" spans="1:8" ht="15" customHeight="1" x14ac:dyDescent="0.25">
      <c r="A697" t="s">
        <v>2941</v>
      </c>
      <c r="B697" t="s">
        <v>6991</v>
      </c>
      <c r="C697" t="s">
        <v>10743</v>
      </c>
      <c r="D697" t="s">
        <v>13287</v>
      </c>
      <c r="E697" t="str">
        <f>+VLOOKUP(A697,[1]PFE4!$A$7:$F$5208,6,0)</f>
        <v>CL 98 A 51 37 OF 305</v>
      </c>
      <c r="F697" s="17">
        <f>+VLOOKUP(A697,[1]PFE4!$A$7:$G$5208,7,0)</f>
        <v>11001</v>
      </c>
      <c r="G697">
        <v>6329052</v>
      </c>
      <c r="H697">
        <v>4329</v>
      </c>
    </row>
    <row r="698" spans="1:8" ht="15" customHeight="1" x14ac:dyDescent="0.25">
      <c r="A698" t="s">
        <v>2942</v>
      </c>
      <c r="B698" t="s">
        <v>6992</v>
      </c>
      <c r="C698" t="s">
        <v>10744</v>
      </c>
      <c r="D698" t="s">
        <v>13287</v>
      </c>
      <c r="E698" t="str">
        <f>+VLOOKUP(A698,[1]PFE4!$A$7:$F$5208,6,0)</f>
        <v>CALLE 6  23 A  22</v>
      </c>
      <c r="F698" s="17">
        <f>+VLOOKUP(A698,[1]PFE4!$A$7:$G$5208,7,0)</f>
        <v>76109</v>
      </c>
      <c r="G698">
        <v>6335010</v>
      </c>
      <c r="H698">
        <v>4329</v>
      </c>
    </row>
    <row r="699" spans="1:8" ht="15" customHeight="1" x14ac:dyDescent="0.25">
      <c r="A699" t="s">
        <v>2943</v>
      </c>
      <c r="B699" t="s">
        <v>6993</v>
      </c>
      <c r="C699" t="s">
        <v>10745</v>
      </c>
      <c r="D699" t="s">
        <v>13287</v>
      </c>
      <c r="E699" t="str">
        <f>+VLOOKUP(A699,[1]PFE4!$A$7:$F$5208,6,0)</f>
        <v>CL 27 7 50</v>
      </c>
      <c r="F699" s="17">
        <f>+VLOOKUP(A699,[1]PFE4!$A$7:$G$5208,7,0)</f>
        <v>11001</v>
      </c>
      <c r="G699">
        <v>6336912</v>
      </c>
      <c r="H699">
        <v>4329</v>
      </c>
    </row>
    <row r="700" spans="1:8" ht="15" customHeight="1" x14ac:dyDescent="0.25">
      <c r="A700" t="s">
        <v>2944</v>
      </c>
      <c r="B700" t="s">
        <v>6994</v>
      </c>
      <c r="C700" t="s">
        <v>10746</v>
      </c>
      <c r="D700" t="s">
        <v>13287</v>
      </c>
      <c r="E700" t="str">
        <f>+VLOOKUP(A700,[1]PFE4!$A$7:$F$5208,6,0)</f>
        <v>CARRERA 24  82  51</v>
      </c>
      <c r="F700" s="17">
        <f>+VLOOKUP(A700,[1]PFE4!$A$7:$G$5208,7,0)</f>
        <v>11001</v>
      </c>
      <c r="G700">
        <v>6337736</v>
      </c>
      <c r="H700">
        <v>4329</v>
      </c>
    </row>
    <row r="701" spans="1:8" ht="15" customHeight="1" x14ac:dyDescent="0.25">
      <c r="A701" t="s">
        <v>2945</v>
      </c>
      <c r="B701" t="s">
        <v>6995</v>
      </c>
      <c r="C701" t="s">
        <v>10747</v>
      </c>
      <c r="D701" t="s">
        <v>13287</v>
      </c>
      <c r="E701" t="str">
        <f>+VLOOKUP(A701,[1]PFE4!$A$7:$F$5208,6,0)</f>
        <v>CALLE 77  14  46  OFICINA 503</v>
      </c>
      <c r="F701" s="17">
        <f>+VLOOKUP(A701,[1]PFE4!$A$7:$G$5208,7,0)</f>
        <v>11001</v>
      </c>
      <c r="G701">
        <v>6343412</v>
      </c>
      <c r="H701">
        <v>4329</v>
      </c>
    </row>
    <row r="702" spans="1:8" ht="15" customHeight="1" x14ac:dyDescent="0.25">
      <c r="A702" t="s">
        <v>2946</v>
      </c>
      <c r="B702" t="s">
        <v>6996</v>
      </c>
      <c r="C702" t="s">
        <v>10748</v>
      </c>
      <c r="D702" t="s">
        <v>13287</v>
      </c>
      <c r="E702" t="str">
        <f>+VLOOKUP(A702,[1]PFE4!$A$7:$F$5208,6,0)</f>
        <v>CALLE 72 A  87  39</v>
      </c>
      <c r="F702" s="17">
        <f>+VLOOKUP(A702,[1]PFE4!$A$7:$G$5208,7,0)</f>
        <v>11001</v>
      </c>
      <c r="G702">
        <v>6344660</v>
      </c>
      <c r="H702">
        <v>4329</v>
      </c>
    </row>
    <row r="703" spans="1:8" ht="15" customHeight="1" x14ac:dyDescent="0.25">
      <c r="A703" t="s">
        <v>2947</v>
      </c>
      <c r="B703" t="s">
        <v>6997</v>
      </c>
      <c r="C703" t="s">
        <v>10749</v>
      </c>
      <c r="D703" t="s">
        <v>13287</v>
      </c>
      <c r="E703" t="str">
        <f>+VLOOKUP(A703,[1]PFE4!$A$7:$F$5208,6,0)</f>
        <v>CL 20 NO. 2 A 26</v>
      </c>
      <c r="F703" s="17">
        <f>+VLOOKUP(A703,[1]PFE4!$A$7:$G$5208,7,0)</f>
        <v>11001</v>
      </c>
      <c r="G703">
        <v>6354836</v>
      </c>
      <c r="H703">
        <v>4329</v>
      </c>
    </row>
    <row r="704" spans="1:8" ht="15" customHeight="1" x14ac:dyDescent="0.25">
      <c r="A704" t="s">
        <v>2948</v>
      </c>
      <c r="B704" t="s">
        <v>6998</v>
      </c>
      <c r="C704" t="s">
        <v>10750</v>
      </c>
      <c r="D704" t="s">
        <v>13287</v>
      </c>
      <c r="E704" t="str">
        <f>+VLOOKUP(A704,[1]PFE4!$A$7:$F$5208,6,0)</f>
        <v>CALLE 32 B SUR  44 A  53</v>
      </c>
      <c r="F704" s="17" t="str">
        <f>+VLOOKUP(A704,[1]PFE4!$A$7:$G$5208,7,0)</f>
        <v>05266</v>
      </c>
      <c r="G704">
        <v>6363072</v>
      </c>
      <c r="H704">
        <v>4329</v>
      </c>
    </row>
    <row r="705" spans="1:8" ht="15" customHeight="1" x14ac:dyDescent="0.25">
      <c r="A705" t="s">
        <v>2949</v>
      </c>
      <c r="B705" t="s">
        <v>6999</v>
      </c>
      <c r="C705" t="s">
        <v>10678</v>
      </c>
      <c r="D705" t="s">
        <v>13287</v>
      </c>
      <c r="E705" t="str">
        <f>+VLOOKUP(A705,[1]PFE4!$A$7:$F$5208,6,0)</f>
        <v>CALLE 42 C  63 C  25</v>
      </c>
      <c r="F705" s="17" t="str">
        <f>+VLOOKUP(A705,[1]PFE4!$A$7:$G$5208,7,0)</f>
        <v>05001</v>
      </c>
      <c r="G705">
        <v>6367221</v>
      </c>
      <c r="H705">
        <v>4329</v>
      </c>
    </row>
    <row r="706" spans="1:8" ht="15" customHeight="1" x14ac:dyDescent="0.25">
      <c r="A706" t="s">
        <v>2950</v>
      </c>
      <c r="B706" t="s">
        <v>7000</v>
      </c>
      <c r="C706" t="s">
        <v>10751</v>
      </c>
      <c r="D706" t="s">
        <v>13287</v>
      </c>
      <c r="E706" t="str">
        <f>+VLOOKUP(A706,[1]PFE4!$A$7:$F$5208,6,0)</f>
        <v>CRR 27A 42 - 51</v>
      </c>
      <c r="F706" s="17">
        <f>+VLOOKUP(A706,[1]PFE4!$A$7:$G$5208,7,0)</f>
        <v>68001</v>
      </c>
      <c r="G706">
        <v>6369165</v>
      </c>
      <c r="H706">
        <v>4329</v>
      </c>
    </row>
    <row r="707" spans="1:8" ht="15" customHeight="1" x14ac:dyDescent="0.25">
      <c r="A707" t="s">
        <v>2951</v>
      </c>
      <c r="B707" t="s">
        <v>7001</v>
      </c>
      <c r="C707" t="s">
        <v>10752</v>
      </c>
      <c r="D707" t="s">
        <v>13287</v>
      </c>
      <c r="E707" t="str">
        <f>+VLOOKUP(A707,[1]PFE4!$A$7:$F$5208,6,0)</f>
        <v>CARRERA 8  86  79</v>
      </c>
      <c r="F707" s="17">
        <f>+VLOOKUP(A707,[1]PFE4!$A$7:$G$5208,7,0)</f>
        <v>11001</v>
      </c>
      <c r="G707">
        <v>6370998</v>
      </c>
      <c r="H707">
        <v>4329</v>
      </c>
    </row>
    <row r="708" spans="1:8" ht="15" customHeight="1" x14ac:dyDescent="0.25">
      <c r="A708" t="s">
        <v>2952</v>
      </c>
      <c r="B708" t="s">
        <v>7002</v>
      </c>
      <c r="C708" t="s">
        <v>10753</v>
      </c>
      <c r="D708" t="s">
        <v>13287</v>
      </c>
      <c r="E708" t="str">
        <f>+VLOOKUP(A708,[1]PFE4!$A$7:$F$5208,6,0)</f>
        <v>CALLE 41  73  23</v>
      </c>
      <c r="F708" s="17" t="str">
        <f>+VLOOKUP(A708,[1]PFE4!$A$7:$G$5208,7,0)</f>
        <v>05001</v>
      </c>
      <c r="G708">
        <v>6374769</v>
      </c>
      <c r="H708">
        <v>4329</v>
      </c>
    </row>
    <row r="709" spans="1:8" ht="15" customHeight="1" x14ac:dyDescent="0.25">
      <c r="A709" t="s">
        <v>2953</v>
      </c>
      <c r="B709" t="s">
        <v>7003</v>
      </c>
      <c r="C709" t="s">
        <v>10754</v>
      </c>
      <c r="D709" t="s">
        <v>13287</v>
      </c>
      <c r="E709" t="str">
        <f>+VLOOKUP(A709,[1]PFE4!$A$7:$F$5208,6,0)</f>
        <v>CR 10 18 N 151 BRR CATAY</v>
      </c>
      <c r="F709" s="17">
        <f>+VLOOKUP(A709,[1]PFE4!$A$7:$G$5208,7,0)</f>
        <v>19001</v>
      </c>
      <c r="G709">
        <v>6381600</v>
      </c>
      <c r="H709">
        <v>4329</v>
      </c>
    </row>
    <row r="710" spans="1:8" ht="15" customHeight="1" x14ac:dyDescent="0.25">
      <c r="A710" t="s">
        <v>2954</v>
      </c>
      <c r="B710" t="s">
        <v>7004</v>
      </c>
      <c r="C710" t="s">
        <v>10755</v>
      </c>
      <c r="D710" t="s">
        <v>13287</v>
      </c>
      <c r="E710" t="str">
        <f>+VLOOKUP(A710,[1]PFE4!$A$7:$F$5208,6,0)</f>
        <v>TRANSVERSAL 19 A  105  15</v>
      </c>
      <c r="F710" s="17">
        <f>+VLOOKUP(A710,[1]PFE4!$A$7:$G$5208,7,0)</f>
        <v>11001</v>
      </c>
      <c r="G710">
        <v>6385137</v>
      </c>
      <c r="H710">
        <v>4329</v>
      </c>
    </row>
    <row r="711" spans="1:8" ht="15" customHeight="1" x14ac:dyDescent="0.25">
      <c r="A711" t="s">
        <v>2955</v>
      </c>
      <c r="B711" t="s">
        <v>7005</v>
      </c>
      <c r="C711" t="s">
        <v>10756</v>
      </c>
      <c r="D711" t="s">
        <v>13287</v>
      </c>
      <c r="E711" t="str">
        <f>+VLOOKUP(A711,[1]PFE4!$A$7:$F$5208,6,0)</f>
        <v>AVENIDA CIRCUNVALAR  3  70</v>
      </c>
      <c r="F711" s="17" t="str">
        <f>+VLOOKUP(A711,[1]PFE4!$A$7:$G$5208,7,0)</f>
        <v>05001</v>
      </c>
      <c r="G711">
        <v>6390768</v>
      </c>
      <c r="H711">
        <v>4329</v>
      </c>
    </row>
    <row r="712" spans="1:8" ht="15" customHeight="1" x14ac:dyDescent="0.25">
      <c r="A712" t="s">
        <v>2956</v>
      </c>
      <c r="B712" t="s">
        <v>7006</v>
      </c>
      <c r="C712" t="s">
        <v>10757</v>
      </c>
      <c r="D712" t="s">
        <v>13287</v>
      </c>
      <c r="E712" t="str">
        <f>+VLOOKUP(A712,[1]PFE4!$A$7:$F$5208,6,0)</f>
        <v>CARRERA 50  29  35</v>
      </c>
      <c r="F712" s="17">
        <f>+VLOOKUP(A712,[1]PFE4!$A$7:$G$5208,7,0)</f>
        <v>13001</v>
      </c>
      <c r="G712">
        <v>6402247</v>
      </c>
      <c r="H712">
        <v>4329</v>
      </c>
    </row>
    <row r="713" spans="1:8" ht="15" customHeight="1" x14ac:dyDescent="0.25">
      <c r="A713" t="s">
        <v>2957</v>
      </c>
      <c r="B713" t="s">
        <v>7007</v>
      </c>
      <c r="C713">
        <v>3219664011</v>
      </c>
      <c r="D713" t="s">
        <v>13287</v>
      </c>
      <c r="E713" t="str">
        <f>+VLOOKUP(A713,[1]PFE4!$A$7:$F$5208,6,0)</f>
        <v>CALLE 18  24  52</v>
      </c>
      <c r="F713" s="17">
        <f>+VLOOKUP(A713,[1]PFE4!$A$7:$G$5208,7,0)</f>
        <v>68001</v>
      </c>
      <c r="G713">
        <v>6403836</v>
      </c>
      <c r="H713">
        <v>4329</v>
      </c>
    </row>
    <row r="714" spans="1:8" ht="15" customHeight="1" x14ac:dyDescent="0.25">
      <c r="A714" t="s">
        <v>2958</v>
      </c>
      <c r="B714" t="s">
        <v>7008</v>
      </c>
      <c r="C714" t="s">
        <v>10758</v>
      </c>
      <c r="D714" t="s">
        <v>13287</v>
      </c>
      <c r="E714" t="str">
        <f>+VLOOKUP(A714,[1]PFE4!$A$7:$F$5208,6,0)</f>
        <v>CR 53 106 29</v>
      </c>
      <c r="F714" s="17">
        <f>+VLOOKUP(A714,[1]PFE4!$A$7:$G$5208,7,0)</f>
        <v>11001</v>
      </c>
      <c r="G714">
        <v>6408289</v>
      </c>
      <c r="H714">
        <v>4329</v>
      </c>
    </row>
    <row r="715" spans="1:8" ht="15" customHeight="1" x14ac:dyDescent="0.25">
      <c r="A715" t="s">
        <v>2959</v>
      </c>
      <c r="B715" t="s">
        <v>7009</v>
      </c>
      <c r="C715" t="s">
        <v>10759</v>
      </c>
      <c r="D715" t="s">
        <v>13287</v>
      </c>
      <c r="E715" t="str">
        <f>+VLOOKUP(A715,[1]PFE4!$A$7:$F$5208,6,0)</f>
        <v>TRANSVERSAL 32 D  74 D  6</v>
      </c>
      <c r="F715" s="17" t="str">
        <f>+VLOOKUP(A715,[1]PFE4!$A$7:$G$5208,7,0)</f>
        <v>05001</v>
      </c>
      <c r="G715">
        <v>6408454</v>
      </c>
      <c r="H715">
        <v>4329</v>
      </c>
    </row>
    <row r="716" spans="1:8" ht="15" customHeight="1" x14ac:dyDescent="0.25">
      <c r="A716" t="s">
        <v>2960</v>
      </c>
      <c r="B716" t="s">
        <v>7010</v>
      </c>
      <c r="C716" t="s">
        <v>10760</v>
      </c>
      <c r="D716" t="s">
        <v>13287</v>
      </c>
      <c r="E716" t="str">
        <f>+VLOOKUP(A716,[1]PFE4!$A$7:$F$5208,6,0)</f>
        <v>CALLE 85  43 B  55</v>
      </c>
      <c r="F716" s="17" t="str">
        <f>+VLOOKUP(A716,[1]PFE4!$A$7:$G$5208,7,0)</f>
        <v>08001</v>
      </c>
      <c r="G716">
        <v>6413436</v>
      </c>
      <c r="H716">
        <v>4329</v>
      </c>
    </row>
    <row r="717" spans="1:8" ht="15" customHeight="1" x14ac:dyDescent="0.25">
      <c r="A717" t="s">
        <v>2961</v>
      </c>
      <c r="B717" t="s">
        <v>7011</v>
      </c>
      <c r="C717" t="s">
        <v>10761</v>
      </c>
      <c r="D717" t="s">
        <v>13287</v>
      </c>
      <c r="E717" t="str">
        <f>+VLOOKUP(A717,[1]PFE4!$A$7:$F$5208,6,0)</f>
        <v>CALLE 12  17  46</v>
      </c>
      <c r="F717" s="17">
        <f>+VLOOKUP(A717,[1]PFE4!$A$7:$G$5208,7,0)</f>
        <v>15238</v>
      </c>
      <c r="G717">
        <v>6415965</v>
      </c>
      <c r="H717">
        <v>4329</v>
      </c>
    </row>
    <row r="718" spans="1:8" ht="15" customHeight="1" x14ac:dyDescent="0.25">
      <c r="A718" t="s">
        <v>2962</v>
      </c>
      <c r="B718" t="s">
        <v>7012</v>
      </c>
      <c r="C718" t="s">
        <v>10762</v>
      </c>
      <c r="D718" t="s">
        <v>13287</v>
      </c>
      <c r="E718" t="str">
        <f>+VLOOKUP(A718,[1]PFE4!$A$7:$F$5208,6,0)</f>
        <v>CALLE 123  15 A  46</v>
      </c>
      <c r="F718" s="17">
        <f>+VLOOKUP(A718,[1]PFE4!$A$7:$G$5208,7,0)</f>
        <v>11001</v>
      </c>
      <c r="G718">
        <v>6424692</v>
      </c>
      <c r="H718">
        <v>4329</v>
      </c>
    </row>
    <row r="719" spans="1:8" ht="15" customHeight="1" x14ac:dyDescent="0.25">
      <c r="A719" t="s">
        <v>2963</v>
      </c>
      <c r="B719" t="s">
        <v>7013</v>
      </c>
      <c r="C719" t="s">
        <v>10763</v>
      </c>
      <c r="D719" t="s">
        <v>13287</v>
      </c>
      <c r="E719" t="str">
        <f>+VLOOKUP(A719,[1]PFE4!$A$7:$F$5208,6,0)</f>
        <v>CALLE 5  16  51</v>
      </c>
      <c r="F719" s="17">
        <f>+VLOOKUP(A719,[1]PFE4!$A$7:$G$5208,7,0)</f>
        <v>76122</v>
      </c>
      <c r="G719">
        <v>6418830</v>
      </c>
      <c r="H719">
        <v>4329</v>
      </c>
    </row>
    <row r="720" spans="1:8" ht="15" customHeight="1" x14ac:dyDescent="0.25">
      <c r="A720" t="s">
        <v>2964</v>
      </c>
      <c r="B720" t="s">
        <v>7014</v>
      </c>
      <c r="C720" t="s">
        <v>10764</v>
      </c>
      <c r="D720" t="s">
        <v>13287</v>
      </c>
      <c r="E720" t="str">
        <f>+VLOOKUP(A720,[1]PFE4!$A$7:$F$5208,6,0)</f>
        <v>CALLE 17  0 E  06</v>
      </c>
      <c r="F720" s="17">
        <f>+VLOOKUP(A720,[1]PFE4!$A$7:$G$5208,7,0)</f>
        <v>11001</v>
      </c>
      <c r="G720">
        <v>6440571</v>
      </c>
      <c r="H720">
        <v>4329</v>
      </c>
    </row>
    <row r="721" spans="1:8" ht="15" customHeight="1" x14ac:dyDescent="0.25">
      <c r="A721" t="s">
        <v>2965</v>
      </c>
      <c r="B721" t="s">
        <v>7015</v>
      </c>
      <c r="C721" t="s">
        <v>10765</v>
      </c>
      <c r="D721" t="s">
        <v>13287</v>
      </c>
      <c r="E721" t="str">
        <f>+VLOOKUP(A721,[1]PFE4!$A$7:$F$5208,6,0)</f>
        <v>CALLE 61  231  37</v>
      </c>
      <c r="F721" s="17">
        <f>+VLOOKUP(A721,[1]PFE4!$A$7:$G$5208,7,0)</f>
        <v>11001</v>
      </c>
      <c r="G721">
        <v>6444990</v>
      </c>
      <c r="H721">
        <v>4329</v>
      </c>
    </row>
    <row r="722" spans="1:8" ht="15" customHeight="1" x14ac:dyDescent="0.25">
      <c r="A722" t="s">
        <v>2966</v>
      </c>
      <c r="B722" t="s">
        <v>7016</v>
      </c>
      <c r="C722" t="s">
        <v>10766</v>
      </c>
      <c r="D722" t="s">
        <v>13287</v>
      </c>
      <c r="E722" t="str">
        <f>+VLOOKUP(A722,[1]PFE4!$A$7:$F$5208,6,0)</f>
        <v>CARRERA 50 CALLE 48-53 MEDELLÍN</v>
      </c>
      <c r="F722" s="17" t="str">
        <f>+VLOOKUP(A722,[1]PFE4!$A$7:$G$5208,7,0)</f>
        <v>05001</v>
      </c>
      <c r="G722">
        <v>6447688</v>
      </c>
      <c r="H722">
        <v>4329</v>
      </c>
    </row>
    <row r="723" spans="1:8" ht="15" customHeight="1" x14ac:dyDescent="0.25">
      <c r="A723" t="s">
        <v>2967</v>
      </c>
      <c r="B723" t="s">
        <v>7017</v>
      </c>
      <c r="C723" t="s">
        <v>10767</v>
      </c>
      <c r="D723" t="s">
        <v>13287</v>
      </c>
      <c r="E723" t="str">
        <f>+VLOOKUP(A723,[1]PFE4!$A$7:$F$5208,6,0)</f>
        <v>CARRERA 85 C  20  18</v>
      </c>
      <c r="F723" s="17">
        <f>+VLOOKUP(A723,[1]PFE4!$A$7:$G$5208,7,0)</f>
        <v>11001</v>
      </c>
      <c r="G723">
        <v>6448740</v>
      </c>
      <c r="H723">
        <v>4329</v>
      </c>
    </row>
    <row r="724" spans="1:8" ht="15" customHeight="1" x14ac:dyDescent="0.25">
      <c r="A724" t="s">
        <v>2968</v>
      </c>
      <c r="B724" t="s">
        <v>7018</v>
      </c>
      <c r="C724" t="s">
        <v>10768</v>
      </c>
      <c r="D724" t="s">
        <v>13287</v>
      </c>
      <c r="E724" t="str">
        <f>+VLOOKUP(A724,[1]PFE4!$A$7:$F$5208,6,0)</f>
        <v>TRANSVERSAL 1 B  55  66</v>
      </c>
      <c r="F724" s="17">
        <f>+VLOOKUP(A724,[1]PFE4!$A$7:$G$5208,7,0)</f>
        <v>11001</v>
      </c>
      <c r="G724">
        <v>6452600</v>
      </c>
      <c r="H724">
        <v>4329</v>
      </c>
    </row>
    <row r="725" spans="1:8" ht="15" customHeight="1" x14ac:dyDescent="0.25">
      <c r="A725" t="s">
        <v>2969</v>
      </c>
      <c r="B725" t="s">
        <v>7019</v>
      </c>
      <c r="C725" t="s">
        <v>10769</v>
      </c>
      <c r="D725" t="s">
        <v>13287</v>
      </c>
      <c r="E725" t="str">
        <f>+VLOOKUP(A725,[1]PFE4!$A$7:$F$5208,6,0)</f>
        <v>CL 15 35 1 OF 404</v>
      </c>
      <c r="F725" s="17" t="str">
        <f>+VLOOKUP(A725,[1]PFE4!$A$7:$G$5208,7,0)</f>
        <v>05001</v>
      </c>
      <c r="G725">
        <v>6453400</v>
      </c>
      <c r="H725">
        <v>4329</v>
      </c>
    </row>
    <row r="726" spans="1:8" ht="15" customHeight="1" x14ac:dyDescent="0.25">
      <c r="A726" t="s">
        <v>2970</v>
      </c>
      <c r="B726" t="s">
        <v>7020</v>
      </c>
      <c r="C726" t="s">
        <v>10770</v>
      </c>
      <c r="D726" t="s">
        <v>13287</v>
      </c>
      <c r="E726" t="str">
        <f>+VLOOKUP(A726,[1]PFE4!$A$7:$F$5208,6,0)</f>
        <v>300 M GLORIETA AEROPUERTO JMC KARGA FASE 2 BD 120</v>
      </c>
      <c r="F726" s="17" t="str">
        <f>+VLOOKUP(A726,[1]PFE4!$A$7:$G$5208,7,0)</f>
        <v>05360</v>
      </c>
      <c r="G726">
        <v>6455660</v>
      </c>
      <c r="H726">
        <v>4329</v>
      </c>
    </row>
    <row r="727" spans="1:8" ht="15" customHeight="1" x14ac:dyDescent="0.25">
      <c r="A727" t="s">
        <v>2971</v>
      </c>
      <c r="B727" t="s">
        <v>7021</v>
      </c>
      <c r="C727" t="s">
        <v>10771</v>
      </c>
      <c r="D727" t="s">
        <v>13287</v>
      </c>
      <c r="E727" t="str">
        <f>+VLOOKUP(A727,[1]PFE4!$A$7:$F$5208,6,0)</f>
        <v>CARRERA 19 10 31 BARRIO MUTUALIDAD</v>
      </c>
      <c r="F727" s="17">
        <f>+VLOOKUP(A727,[1]PFE4!$A$7:$G$5208,7,0)</f>
        <v>11001</v>
      </c>
      <c r="G727">
        <v>6458410</v>
      </c>
      <c r="H727">
        <v>4329</v>
      </c>
    </row>
    <row r="728" spans="1:8" ht="15" customHeight="1" x14ac:dyDescent="0.25">
      <c r="A728" t="s">
        <v>2972</v>
      </c>
      <c r="B728" t="s">
        <v>7022</v>
      </c>
      <c r="C728" t="s">
        <v>10772</v>
      </c>
      <c r="D728" t="s">
        <v>13287</v>
      </c>
      <c r="E728" t="str">
        <f>+VLOOKUP(A728,[1]PFE4!$A$7:$F$5208,6,0)</f>
        <v>CALLE 104 A  19  42</v>
      </c>
      <c r="F728" s="17">
        <f>+VLOOKUP(A728,[1]PFE4!$A$7:$G$5208,7,0)</f>
        <v>11001</v>
      </c>
      <c r="G728">
        <v>6459052</v>
      </c>
      <c r="H728">
        <v>4329</v>
      </c>
    </row>
    <row r="729" spans="1:8" ht="15" customHeight="1" x14ac:dyDescent="0.25">
      <c r="A729" t="s">
        <v>2973</v>
      </c>
      <c r="B729" t="s">
        <v>7023</v>
      </c>
      <c r="C729" t="s">
        <v>10773</v>
      </c>
      <c r="D729" t="s">
        <v>13287</v>
      </c>
      <c r="E729" t="str">
        <f>+VLOOKUP(A729,[1]PFE4!$A$7:$F$5208,6,0)</f>
        <v>CALLE 19  20  01</v>
      </c>
      <c r="F729" s="17" t="str">
        <f>+VLOOKUP(A729,[1]PFE4!$A$7:$G$5208,7,0)</f>
        <v>05887</v>
      </c>
      <c r="G729">
        <v>6464507</v>
      </c>
      <c r="H729">
        <v>4329</v>
      </c>
    </row>
    <row r="730" spans="1:8" ht="15" customHeight="1" x14ac:dyDescent="0.25">
      <c r="A730" t="s">
        <v>2974</v>
      </c>
      <c r="B730" t="s">
        <v>7024</v>
      </c>
      <c r="C730" t="s">
        <v>10774</v>
      </c>
      <c r="D730" t="s">
        <v>13287</v>
      </c>
      <c r="E730" t="str">
        <f>+VLOOKUP(A730,[1]PFE4!$A$7:$F$5208,6,0)</f>
        <v>CALLE 77  14  46  OFICINA 503</v>
      </c>
      <c r="F730" s="17">
        <f>+VLOOKUP(A730,[1]PFE4!$A$7:$G$5208,7,0)</f>
        <v>11001</v>
      </c>
      <c r="G730">
        <v>6466260</v>
      </c>
      <c r="H730">
        <v>4329</v>
      </c>
    </row>
    <row r="731" spans="1:8" ht="15" customHeight="1" x14ac:dyDescent="0.25">
      <c r="A731" t="s">
        <v>2975</v>
      </c>
      <c r="B731" t="s">
        <v>7025</v>
      </c>
      <c r="C731" t="s">
        <v>10775</v>
      </c>
      <c r="D731" t="s">
        <v>13287</v>
      </c>
      <c r="E731" t="str">
        <f>+VLOOKUP(A731,[1]PFE4!$A$7:$F$5208,6,0)</f>
        <v>CALLE 7  9 E  80 BRR COLSAG</v>
      </c>
      <c r="F731" s="17">
        <f>+VLOOKUP(A731,[1]PFE4!$A$7:$G$5208,7,0)</f>
        <v>54001</v>
      </c>
      <c r="G731">
        <v>6466268</v>
      </c>
      <c r="H731">
        <v>4329</v>
      </c>
    </row>
    <row r="732" spans="1:8" ht="15" customHeight="1" x14ac:dyDescent="0.25">
      <c r="A732" t="s">
        <v>2976</v>
      </c>
      <c r="B732" t="s">
        <v>7026</v>
      </c>
      <c r="C732" t="s">
        <v>10776</v>
      </c>
      <c r="D732" t="s">
        <v>13287</v>
      </c>
      <c r="E732" t="str">
        <f>+VLOOKUP(A732,[1]PFE4!$A$7:$F$5208,6,0)</f>
        <v>CALLE 126 A  7 C  82  PISO 5</v>
      </c>
      <c r="F732" s="17">
        <f>+VLOOKUP(A732,[1]PFE4!$A$7:$G$5208,7,0)</f>
        <v>11001</v>
      </c>
      <c r="G732">
        <v>6467700</v>
      </c>
      <c r="H732">
        <v>4329</v>
      </c>
    </row>
    <row r="733" spans="1:8" ht="15" customHeight="1" x14ac:dyDescent="0.25">
      <c r="A733" t="s">
        <v>2977</v>
      </c>
      <c r="B733" t="s">
        <v>7027</v>
      </c>
      <c r="C733" t="s">
        <v>10777</v>
      </c>
      <c r="D733" t="s">
        <v>13287</v>
      </c>
      <c r="E733" t="str">
        <f>+VLOOKUP(A733,[1]PFE4!$A$7:$F$5208,6,0)</f>
        <v>CALLE 49 B # 64 B 112</v>
      </c>
      <c r="F733" s="17" t="str">
        <f>+VLOOKUP(A733,[1]PFE4!$A$7:$G$5208,7,0)</f>
        <v>05001</v>
      </c>
      <c r="G733">
        <v>6474602</v>
      </c>
      <c r="H733">
        <v>4329</v>
      </c>
    </row>
    <row r="734" spans="1:8" ht="15" customHeight="1" x14ac:dyDescent="0.25">
      <c r="A734" t="s">
        <v>2978</v>
      </c>
      <c r="B734" t="s">
        <v>7028</v>
      </c>
      <c r="C734" t="s">
        <v>10778</v>
      </c>
      <c r="D734" t="s">
        <v>13287</v>
      </c>
      <c r="E734" t="str">
        <f>+VLOOKUP(A734,[1]PFE4!$A$7:$F$5208,6,0)</f>
        <v>CALLE 114  6 A  92  OFICINA D 404</v>
      </c>
      <c r="F734" s="17">
        <f>+VLOOKUP(A734,[1]PFE4!$A$7:$G$5208,7,0)</f>
        <v>11001</v>
      </c>
      <c r="G734">
        <v>6474687</v>
      </c>
      <c r="H734">
        <v>4329</v>
      </c>
    </row>
    <row r="735" spans="1:8" ht="15" customHeight="1" x14ac:dyDescent="0.25">
      <c r="A735" t="s">
        <v>2979</v>
      </c>
      <c r="B735" t="s">
        <v>7029</v>
      </c>
      <c r="C735" t="s">
        <v>10342</v>
      </c>
      <c r="D735" t="s">
        <v>13287</v>
      </c>
      <c r="E735" t="str">
        <f>+VLOOKUP(A735,[1]PFE4!$A$7:$F$5208,6,0)</f>
        <v>TRANSVERSAL 24A 16-45</v>
      </c>
      <c r="F735" s="17">
        <f>+VLOOKUP(A735,[1]PFE4!$A$7:$G$5208,7,0)</f>
        <v>20001</v>
      </c>
      <c r="G735">
        <v>6477000</v>
      </c>
      <c r="H735">
        <v>4329</v>
      </c>
    </row>
    <row r="736" spans="1:8" ht="15" customHeight="1" x14ac:dyDescent="0.25">
      <c r="A736" t="s">
        <v>2980</v>
      </c>
      <c r="B736" t="s">
        <v>7030</v>
      </c>
      <c r="C736" t="s">
        <v>10779</v>
      </c>
      <c r="D736" t="s">
        <v>13287</v>
      </c>
      <c r="E736" t="str">
        <f>+VLOOKUP(A736,[1]PFE4!$A$7:$F$5208,6,0)</f>
        <v>CRA 36 10B 75</v>
      </c>
      <c r="F736" s="17" t="str">
        <f>+VLOOKUP(A736,[1]PFE4!$A$7:$G$5208,7,0)</f>
        <v>05001</v>
      </c>
      <c r="G736">
        <v>6478768</v>
      </c>
      <c r="H736">
        <v>4329</v>
      </c>
    </row>
    <row r="737" spans="1:8" ht="15" customHeight="1" x14ac:dyDescent="0.25">
      <c r="A737" t="s">
        <v>2981</v>
      </c>
      <c r="B737" t="s">
        <v>7031</v>
      </c>
      <c r="C737" t="s">
        <v>10780</v>
      </c>
      <c r="D737" t="s">
        <v>13287</v>
      </c>
      <c r="E737" t="str">
        <f>+VLOOKUP(A737,[1]PFE4!$A$7:$F$5208,6,0)</f>
        <v>CR 16 95 14 LOCALIDAD DE CHAPINERO</v>
      </c>
      <c r="F737" s="17">
        <f>+VLOOKUP(A737,[1]PFE4!$A$7:$G$5208,7,0)</f>
        <v>11001</v>
      </c>
      <c r="G737">
        <v>6480000</v>
      </c>
      <c r="H737">
        <v>4329</v>
      </c>
    </row>
    <row r="738" spans="1:8" ht="15" customHeight="1" x14ac:dyDescent="0.25">
      <c r="A738" t="s">
        <v>2982</v>
      </c>
      <c r="B738" t="s">
        <v>7032</v>
      </c>
      <c r="C738" t="s">
        <v>10781</v>
      </c>
      <c r="D738" t="s">
        <v>13287</v>
      </c>
      <c r="E738" t="str">
        <f>+VLOOKUP(A738,[1]PFE4!$A$7:$F$5208,6,0)</f>
        <v>CALLE 83  41 A  14</v>
      </c>
      <c r="F738" s="17" t="str">
        <f>+VLOOKUP(A738,[1]PFE4!$A$7:$G$5208,7,0)</f>
        <v>05001</v>
      </c>
      <c r="G738">
        <v>6480000</v>
      </c>
      <c r="H738">
        <v>4329</v>
      </c>
    </row>
    <row r="739" spans="1:8" ht="15" customHeight="1" x14ac:dyDescent="0.25">
      <c r="A739" t="s">
        <v>2983</v>
      </c>
      <c r="B739" t="s">
        <v>7033</v>
      </c>
      <c r="C739" t="s">
        <v>10782</v>
      </c>
      <c r="D739" t="s">
        <v>13287</v>
      </c>
      <c r="E739" t="str">
        <f>+VLOOKUP(A739,[1]PFE4!$A$7:$F$5208,6,0)</f>
        <v>CL 4 35 A 08</v>
      </c>
      <c r="F739" s="17">
        <f>+VLOOKUP(A739,[1]PFE4!$A$7:$G$5208,7,0)</f>
        <v>25377</v>
      </c>
      <c r="G739">
        <v>6488879</v>
      </c>
      <c r="H739">
        <v>4329</v>
      </c>
    </row>
    <row r="740" spans="1:8" ht="15" customHeight="1" x14ac:dyDescent="0.25">
      <c r="A740" t="s">
        <v>2984</v>
      </c>
      <c r="B740" t="s">
        <v>7034</v>
      </c>
      <c r="C740" t="s">
        <v>10783</v>
      </c>
      <c r="D740" t="s">
        <v>13287</v>
      </c>
      <c r="E740" t="str">
        <f>+VLOOKUP(A740,[1]PFE4!$A$7:$F$5208,6,0)</f>
        <v>CALLE 77  7  64</v>
      </c>
      <c r="F740" s="17">
        <f>+VLOOKUP(A740,[1]PFE4!$A$7:$G$5208,7,0)</f>
        <v>11001</v>
      </c>
      <c r="G740">
        <v>6492083</v>
      </c>
      <c r="H740">
        <v>4329</v>
      </c>
    </row>
    <row r="741" spans="1:8" ht="15" customHeight="1" x14ac:dyDescent="0.25">
      <c r="A741" t="s">
        <v>2985</v>
      </c>
      <c r="B741" t="s">
        <v>7035</v>
      </c>
      <c r="C741" t="s">
        <v>10784</v>
      </c>
      <c r="D741" t="s">
        <v>13287</v>
      </c>
      <c r="E741" t="str">
        <f>+VLOOKUP(A741,[1]PFE4!$A$7:$F$5208,6,0)</f>
        <v>DIAGONAL 33 No. 32 SUR 34</v>
      </c>
      <c r="F741" s="17" t="str">
        <f>+VLOOKUP(A741,[1]PFE4!$A$7:$G$5208,7,0)</f>
        <v>05266</v>
      </c>
      <c r="G741">
        <v>6504814</v>
      </c>
      <c r="H741">
        <v>4329</v>
      </c>
    </row>
    <row r="742" spans="1:8" ht="15" customHeight="1" x14ac:dyDescent="0.25">
      <c r="A742" t="s">
        <v>2986</v>
      </c>
      <c r="B742" t="s">
        <v>7036</v>
      </c>
      <c r="C742" t="s">
        <v>10785</v>
      </c>
      <c r="D742" t="s">
        <v>13287</v>
      </c>
      <c r="E742" t="str">
        <f>+VLOOKUP(A742,[1]PFE4!$A$7:$F$5208,6,0)</f>
        <v>CR 12 147 39</v>
      </c>
      <c r="F742" s="17">
        <f>+VLOOKUP(A742,[1]PFE4!$A$7:$G$5208,7,0)</f>
        <v>11001</v>
      </c>
      <c r="G742">
        <v>6505877</v>
      </c>
      <c r="H742">
        <v>4329</v>
      </c>
    </row>
    <row r="743" spans="1:8" ht="15" customHeight="1" x14ac:dyDescent="0.25">
      <c r="A743" t="s">
        <v>2987</v>
      </c>
      <c r="B743" t="s">
        <v>7037</v>
      </c>
      <c r="C743" t="s">
        <v>10786</v>
      </c>
      <c r="D743" t="s">
        <v>13287</v>
      </c>
      <c r="E743" t="str">
        <f>+VLOOKUP(A743,[1]PFE4!$A$7:$F$5208,6,0)</f>
        <v>CALLE 127 B  60  82</v>
      </c>
      <c r="F743" s="17">
        <f>+VLOOKUP(A743,[1]PFE4!$A$7:$G$5208,7,0)</f>
        <v>11001</v>
      </c>
      <c r="G743">
        <v>6508080</v>
      </c>
      <c r="H743">
        <v>4329</v>
      </c>
    </row>
    <row r="744" spans="1:8" ht="15" customHeight="1" x14ac:dyDescent="0.25">
      <c r="A744" t="s">
        <v>2988</v>
      </c>
      <c r="B744" t="s">
        <v>7038</v>
      </c>
      <c r="C744" t="s">
        <v>10787</v>
      </c>
      <c r="D744" t="s">
        <v>13287</v>
      </c>
      <c r="E744" t="str">
        <f>+VLOOKUP(A744,[1]PFE4!$A$7:$F$5208,6,0)</f>
        <v>CONJUNTO CERRADO MI FUTURO ETAPA 1 CASA 22 B</v>
      </c>
      <c r="F744" s="17">
        <f>+VLOOKUP(A744,[1]PFE4!$A$7:$G$5208,7,0)</f>
        <v>73449</v>
      </c>
      <c r="G744">
        <v>6512304</v>
      </c>
      <c r="H744">
        <v>4329</v>
      </c>
    </row>
    <row r="745" spans="1:8" ht="15" customHeight="1" x14ac:dyDescent="0.25">
      <c r="A745" t="s">
        <v>2989</v>
      </c>
      <c r="B745" t="s">
        <v>7039</v>
      </c>
      <c r="C745" t="s">
        <v>10788</v>
      </c>
      <c r="D745" t="s">
        <v>13287</v>
      </c>
      <c r="E745" t="str">
        <f>+VLOOKUP(A745,[1]PFE4!$A$7:$F$5208,6,0)</f>
        <v>CARRERA 22  137  72  OFICINA 301</v>
      </c>
      <c r="F745" s="17">
        <f>+VLOOKUP(A745,[1]PFE4!$A$7:$G$5208,7,0)</f>
        <v>11001</v>
      </c>
      <c r="G745">
        <v>6513557</v>
      </c>
      <c r="H745">
        <v>4329</v>
      </c>
    </row>
    <row r="746" spans="1:8" ht="15" customHeight="1" x14ac:dyDescent="0.25">
      <c r="A746" t="s">
        <v>2990</v>
      </c>
      <c r="B746" t="s">
        <v>7040</v>
      </c>
      <c r="C746">
        <v>3219664011</v>
      </c>
      <c r="D746" t="s">
        <v>13287</v>
      </c>
      <c r="E746" t="str">
        <f>+VLOOKUP(A746,[1]PFE4!$A$7:$F$5208,6,0)</f>
        <v>CALLE 8 B  11  44</v>
      </c>
      <c r="F746" s="17">
        <f>+VLOOKUP(A746,[1]PFE4!$A$7:$G$5208,7,0)</f>
        <v>17001</v>
      </c>
      <c r="G746">
        <v>6524019</v>
      </c>
      <c r="H746">
        <v>4329</v>
      </c>
    </row>
    <row r="747" spans="1:8" ht="15" customHeight="1" x14ac:dyDescent="0.25">
      <c r="A747" t="s">
        <v>2991</v>
      </c>
      <c r="B747" t="s">
        <v>7041</v>
      </c>
      <c r="C747" t="s">
        <v>10789</v>
      </c>
      <c r="D747" t="s">
        <v>13287</v>
      </c>
      <c r="E747" t="str">
        <f>+VLOOKUP(A747,[1]PFE4!$A$7:$F$5208,6,0)</f>
        <v>calle 146 n°6-24 mz IV etapa 5 Torre 8</v>
      </c>
      <c r="F747" s="17">
        <f>+VLOOKUP(A747,[1]PFE4!$A$7:$G$5208,7,0)</f>
        <v>11001</v>
      </c>
      <c r="G747">
        <v>6530105</v>
      </c>
      <c r="H747">
        <v>4329</v>
      </c>
    </row>
    <row r="748" spans="1:8" ht="15" customHeight="1" x14ac:dyDescent="0.25">
      <c r="A748" t="s">
        <v>2992</v>
      </c>
      <c r="B748" t="s">
        <v>7042</v>
      </c>
      <c r="C748" t="s">
        <v>10790</v>
      </c>
      <c r="D748" t="s">
        <v>13287</v>
      </c>
      <c r="E748" t="str">
        <f>+VLOOKUP(A748,[1]PFE4!$A$7:$F$5208,6,0)</f>
        <v>CARRERA 42  35 SUR  62</v>
      </c>
      <c r="F748" s="17" t="str">
        <f>+VLOOKUP(A748,[1]PFE4!$A$7:$G$5208,7,0)</f>
        <v>05266</v>
      </c>
      <c r="G748">
        <v>6536000</v>
      </c>
      <c r="H748">
        <v>4329</v>
      </c>
    </row>
    <row r="749" spans="1:8" ht="15" customHeight="1" x14ac:dyDescent="0.25">
      <c r="A749" t="s">
        <v>2993</v>
      </c>
      <c r="B749" t="s">
        <v>7043</v>
      </c>
      <c r="C749" t="s">
        <v>10791</v>
      </c>
      <c r="D749" t="s">
        <v>13287</v>
      </c>
      <c r="E749" t="str">
        <f>+VLOOKUP(A749,[1]PFE4!$A$7:$F$5208,6,0)</f>
        <v>CL 102 49 C 18</v>
      </c>
      <c r="F749" s="17" t="str">
        <f>+VLOOKUP(A749,[1]PFE4!$A$7:$G$5208,7,0)</f>
        <v>08001</v>
      </c>
      <c r="G749">
        <v>6542976</v>
      </c>
      <c r="H749">
        <v>4329</v>
      </c>
    </row>
    <row r="750" spans="1:8" ht="15" customHeight="1" x14ac:dyDescent="0.25">
      <c r="A750" t="s">
        <v>2994</v>
      </c>
      <c r="B750" t="s">
        <v>7044</v>
      </c>
      <c r="C750" t="s">
        <v>10792</v>
      </c>
      <c r="D750" t="s">
        <v>13287</v>
      </c>
      <c r="E750" t="str">
        <f>+VLOOKUP(A750,[1]PFE4!$A$7:$F$5208,6,0)</f>
        <v>CL 32 25 35</v>
      </c>
      <c r="F750" s="17" t="str">
        <f>+VLOOKUP(A750,[1]PFE4!$A$7:$G$5208,7,0)</f>
        <v>05321</v>
      </c>
      <c r="G750">
        <v>6543660</v>
      </c>
      <c r="H750">
        <v>4329</v>
      </c>
    </row>
    <row r="751" spans="1:8" ht="15" customHeight="1" x14ac:dyDescent="0.25">
      <c r="A751" t="s">
        <v>2995</v>
      </c>
      <c r="B751" t="s">
        <v>7045</v>
      </c>
      <c r="C751" t="s">
        <v>10793</v>
      </c>
      <c r="D751" t="s">
        <v>13287</v>
      </c>
      <c r="E751" t="str">
        <f>+VLOOKUP(A751,[1]PFE4!$A$7:$F$5208,6,0)</f>
        <v>CL 112 17 38</v>
      </c>
      <c r="F751" s="17">
        <f>+VLOOKUP(A751,[1]PFE4!$A$7:$G$5208,7,0)</f>
        <v>11001</v>
      </c>
      <c r="G751">
        <v>6545215</v>
      </c>
      <c r="H751">
        <v>4329</v>
      </c>
    </row>
    <row r="752" spans="1:8" ht="15" customHeight="1" x14ac:dyDescent="0.25">
      <c r="A752" t="s">
        <v>2996</v>
      </c>
      <c r="B752" t="s">
        <v>7046</v>
      </c>
      <c r="C752" t="s">
        <v>10794</v>
      </c>
      <c r="D752" t="s">
        <v>13287</v>
      </c>
      <c r="E752" t="str">
        <f>+VLOOKUP(A752,[1]PFE4!$A$7:$F$5208,6,0)</f>
        <v>CARRERA 43  90  81</v>
      </c>
      <c r="F752" s="17" t="str">
        <f>+VLOOKUP(A752,[1]PFE4!$A$7:$G$5208,7,0)</f>
        <v>08001</v>
      </c>
      <c r="G752">
        <v>6546798</v>
      </c>
      <c r="H752">
        <v>4329</v>
      </c>
    </row>
    <row r="753" spans="1:8" ht="15" customHeight="1" x14ac:dyDescent="0.25">
      <c r="A753" t="s">
        <v>2997</v>
      </c>
      <c r="B753" t="s">
        <v>7047</v>
      </c>
      <c r="C753" t="s">
        <v>10795</v>
      </c>
      <c r="D753" t="s">
        <v>13287</v>
      </c>
      <c r="E753" t="str">
        <f>+VLOOKUP(A753,[1]PFE4!$A$7:$F$5208,6,0)</f>
        <v>CARRERA 7 B  146  25</v>
      </c>
      <c r="F753" s="17">
        <f>+VLOOKUP(A753,[1]PFE4!$A$7:$G$5208,7,0)</f>
        <v>11001</v>
      </c>
      <c r="G753">
        <v>6547014</v>
      </c>
      <c r="H753">
        <v>4329</v>
      </c>
    </row>
    <row r="754" spans="1:8" ht="15" customHeight="1" x14ac:dyDescent="0.25">
      <c r="A754" t="s">
        <v>2998</v>
      </c>
      <c r="B754" t="s">
        <v>7048</v>
      </c>
      <c r="C754" t="s">
        <v>10796</v>
      </c>
      <c r="D754" t="s">
        <v>13287</v>
      </c>
      <c r="E754" t="str">
        <f>+VLOOKUP(A754,[1]PFE4!$A$7:$F$5208,6,0)</f>
        <v>CR 49 A 47 A 48 BRR MIRAFLORES</v>
      </c>
      <c r="F754" s="17" t="str">
        <f>+VLOOKUP(A754,[1]PFE4!$A$7:$G$5208,7,0)</f>
        <v>05212</v>
      </c>
      <c r="G754">
        <v>6553054</v>
      </c>
      <c r="H754">
        <v>4329</v>
      </c>
    </row>
    <row r="755" spans="1:8" ht="15" customHeight="1" x14ac:dyDescent="0.25">
      <c r="A755" t="s">
        <v>2999</v>
      </c>
      <c r="B755" t="s">
        <v>7049</v>
      </c>
      <c r="C755">
        <v>0</v>
      </c>
      <c r="D755" t="s">
        <v>13287</v>
      </c>
      <c r="E755">
        <v>0</v>
      </c>
      <c r="F755" s="17">
        <v>11001</v>
      </c>
      <c r="G755">
        <v>6554400</v>
      </c>
      <c r="H755">
        <v>4329</v>
      </c>
    </row>
    <row r="756" spans="1:8" ht="15" customHeight="1" x14ac:dyDescent="0.25">
      <c r="A756" t="s">
        <v>3000</v>
      </c>
      <c r="B756" t="s">
        <v>7050</v>
      </c>
      <c r="C756" t="s">
        <v>10797</v>
      </c>
      <c r="D756" t="s">
        <v>13287</v>
      </c>
      <c r="E756" t="str">
        <f>+VLOOKUP(A756,[1]PFE4!$A$7:$F$5208,6,0)</f>
        <v>CALLE 134 BIS  45 A  34</v>
      </c>
      <c r="F756" s="17">
        <f>+VLOOKUP(A756,[1]PFE4!$A$7:$G$5208,7,0)</f>
        <v>11001</v>
      </c>
      <c r="G756">
        <v>6560459</v>
      </c>
      <c r="H756">
        <v>4329</v>
      </c>
    </row>
    <row r="757" spans="1:8" ht="15" customHeight="1" x14ac:dyDescent="0.25">
      <c r="A757" t="s">
        <v>3001</v>
      </c>
      <c r="B757" t="s">
        <v>7051</v>
      </c>
      <c r="C757" t="s">
        <v>10798</v>
      </c>
      <c r="D757" t="s">
        <v>13287</v>
      </c>
      <c r="E757" t="str">
        <f>+VLOOKUP(A757,[1]PFE4!$A$7:$F$5208,6,0)</f>
        <v>VEREDA LOS PLANES KM5 VIA CERRITOS PEREIRA ENTRADA 16 CADENA EL TIGRE BELMONTE ASTURIAS LOTE 3</v>
      </c>
      <c r="F757" s="17">
        <f>+VLOOKUP(A757,[1]PFE4!$A$7:$G$5208,7,0)</f>
        <v>11001</v>
      </c>
      <c r="G757">
        <v>6561135</v>
      </c>
      <c r="H757">
        <v>4329</v>
      </c>
    </row>
    <row r="758" spans="1:8" ht="15" customHeight="1" x14ac:dyDescent="0.25">
      <c r="A758" t="s">
        <v>3002</v>
      </c>
      <c r="B758" t="s">
        <v>7052</v>
      </c>
      <c r="C758" t="s">
        <v>10799</v>
      </c>
      <c r="D758" t="s">
        <v>13287</v>
      </c>
      <c r="E758" t="str">
        <f>+VLOOKUP(A758,[1]PFE4!$A$7:$F$5208,6,0)</f>
        <v>CR 54  104 B  18</v>
      </c>
      <c r="F758" s="17">
        <f>+VLOOKUP(A758,[1]PFE4!$A$7:$G$5208,7,0)</f>
        <v>11001</v>
      </c>
      <c r="G758">
        <v>6562296</v>
      </c>
      <c r="H758">
        <v>4329</v>
      </c>
    </row>
    <row r="759" spans="1:8" ht="15" customHeight="1" x14ac:dyDescent="0.25">
      <c r="A759" t="s">
        <v>3003</v>
      </c>
      <c r="B759" t="s">
        <v>7053</v>
      </c>
      <c r="C759" t="s">
        <v>10800</v>
      </c>
      <c r="D759" t="s">
        <v>13287</v>
      </c>
      <c r="E759" t="str">
        <f>+VLOOKUP(A759,[1]PFE4!$A$7:$F$5208,6,0)</f>
        <v>G 75 C 33 A 23 25 27 Y CL 33 A 75 C 22 36</v>
      </c>
      <c r="F759" s="17" t="str">
        <f>+VLOOKUP(A759,[1]PFE4!$A$7:$G$5208,7,0)</f>
        <v>05001</v>
      </c>
      <c r="G759">
        <v>6570270</v>
      </c>
      <c r="H759">
        <v>4329</v>
      </c>
    </row>
    <row r="760" spans="1:8" ht="15" customHeight="1" x14ac:dyDescent="0.25">
      <c r="A760" t="s">
        <v>3004</v>
      </c>
      <c r="B760" t="s">
        <v>7054</v>
      </c>
      <c r="C760" t="s">
        <v>10801</v>
      </c>
      <c r="D760" t="s">
        <v>13287</v>
      </c>
      <c r="E760" t="str">
        <f>+VLOOKUP(A760,[1]PFE4!$A$7:$F$5208,6,0)</f>
        <v>CALLE 2  7  43</v>
      </c>
      <c r="F760" s="17">
        <f>+VLOOKUP(A760,[1]PFE4!$A$7:$G$5208,7,0)</f>
        <v>73001</v>
      </c>
      <c r="G760">
        <v>6580569</v>
      </c>
      <c r="H760">
        <v>4329</v>
      </c>
    </row>
    <row r="761" spans="1:8" ht="15" customHeight="1" x14ac:dyDescent="0.25">
      <c r="A761" t="s">
        <v>3005</v>
      </c>
      <c r="B761" t="s">
        <v>7055</v>
      </c>
      <c r="C761" t="s">
        <v>10802</v>
      </c>
      <c r="D761" t="s">
        <v>13287</v>
      </c>
      <c r="E761" t="str">
        <f>+VLOOKUP(A761,[1]PFE4!$A$7:$F$5208,6,0)</f>
        <v>VDA ROMAZON FCA EL RETIRO</v>
      </c>
      <c r="F761" s="17" t="str">
        <f>+VLOOKUP(A761,[1]PFE4!$A$7:$G$5208,7,0)</f>
        <v>05237</v>
      </c>
      <c r="G761">
        <v>6581012</v>
      </c>
      <c r="H761">
        <v>4329</v>
      </c>
    </row>
    <row r="762" spans="1:8" ht="15" customHeight="1" x14ac:dyDescent="0.25">
      <c r="A762" t="s">
        <v>3006</v>
      </c>
      <c r="B762" t="s">
        <v>7056</v>
      </c>
      <c r="C762" t="s">
        <v>10803</v>
      </c>
      <c r="D762" t="s">
        <v>13287</v>
      </c>
      <c r="E762" t="str">
        <f>+VLOOKUP(A762,[1]PFE4!$A$7:$F$5208,6,0)</f>
        <v>CARRERA 11  33  14</v>
      </c>
      <c r="F762" s="17">
        <f>+VLOOKUP(A762,[1]PFE4!$A$7:$G$5208,7,0)</f>
        <v>68001</v>
      </c>
      <c r="G762">
        <v>6581100</v>
      </c>
      <c r="H762">
        <v>4329</v>
      </c>
    </row>
    <row r="763" spans="1:8" ht="15" customHeight="1" x14ac:dyDescent="0.25">
      <c r="A763" t="s">
        <v>3007</v>
      </c>
      <c r="B763" t="s">
        <v>7057</v>
      </c>
      <c r="C763" t="s">
        <v>10804</v>
      </c>
      <c r="D763" t="s">
        <v>13287</v>
      </c>
      <c r="E763" t="str">
        <f>+VLOOKUP(A763,[1]PFE4!$A$7:$F$5208,6,0)</f>
        <v>CARRERA 50  94  45</v>
      </c>
      <c r="F763" s="17" t="str">
        <f>+VLOOKUP(A763,[1]PFE4!$A$7:$G$5208,7,0)</f>
        <v>08001</v>
      </c>
      <c r="G763">
        <v>6598120</v>
      </c>
      <c r="H763">
        <v>4329</v>
      </c>
    </row>
    <row r="764" spans="1:8" ht="15" customHeight="1" x14ac:dyDescent="0.25">
      <c r="A764" t="s">
        <v>3008</v>
      </c>
      <c r="B764" t="s">
        <v>7058</v>
      </c>
      <c r="C764" t="s">
        <v>10805</v>
      </c>
      <c r="D764" t="s">
        <v>13287</v>
      </c>
      <c r="E764" t="str">
        <f>+VLOOKUP(A764,[1]PFE4!$A$7:$F$5208,6,0)</f>
        <v>CALLE 1 B  19 A  19</v>
      </c>
      <c r="F764" s="17">
        <f>+VLOOKUP(A764,[1]PFE4!$A$7:$G$5208,7,0)</f>
        <v>11001</v>
      </c>
      <c r="G764">
        <v>6598500</v>
      </c>
      <c r="H764">
        <v>4329</v>
      </c>
    </row>
    <row r="765" spans="1:8" ht="15" customHeight="1" x14ac:dyDescent="0.25">
      <c r="A765" t="s">
        <v>3009</v>
      </c>
      <c r="B765" t="s">
        <v>7059</v>
      </c>
      <c r="C765" t="s">
        <v>10806</v>
      </c>
      <c r="D765" t="s">
        <v>13287</v>
      </c>
      <c r="E765" t="str">
        <f>+VLOOKUP(A765,[1]PFE4!$A$7:$F$5208,6,0)</f>
        <v>CALLE 7 SUR  72  40  CASA 311</v>
      </c>
      <c r="F765" s="17" t="str">
        <f>+VLOOKUP(A765,[1]PFE4!$A$7:$G$5208,7,0)</f>
        <v>05001</v>
      </c>
      <c r="G765">
        <v>6599808</v>
      </c>
      <c r="H765">
        <v>4329</v>
      </c>
    </row>
    <row r="766" spans="1:8" ht="15" customHeight="1" x14ac:dyDescent="0.25">
      <c r="A766" t="s">
        <v>3010</v>
      </c>
      <c r="B766" t="s">
        <v>7060</v>
      </c>
      <c r="C766" t="s">
        <v>10807</v>
      </c>
      <c r="D766" t="s">
        <v>13287</v>
      </c>
      <c r="E766" t="str">
        <f>+VLOOKUP(A766,[1]PFE4!$A$7:$F$5208,6,0)</f>
        <v>CARRERA 25  47  98</v>
      </c>
      <c r="F766" s="17" t="str">
        <f>+VLOOKUP(A766,[1]PFE4!$A$7:$G$5208,7,0)</f>
        <v>05001</v>
      </c>
      <c r="G766">
        <v>6600000</v>
      </c>
      <c r="H766">
        <v>4329</v>
      </c>
    </row>
    <row r="767" spans="1:8" ht="15" customHeight="1" x14ac:dyDescent="0.25">
      <c r="A767" t="s">
        <v>3011</v>
      </c>
      <c r="B767" t="s">
        <v>7061</v>
      </c>
      <c r="C767" t="s">
        <v>10808</v>
      </c>
      <c r="D767" t="s">
        <v>13287</v>
      </c>
      <c r="E767" t="str">
        <f>+VLOOKUP(A767,[1]PFE4!$A$7:$F$5208,6,0)</f>
        <v>CALLE 4 NORTE  13  43</v>
      </c>
      <c r="F767" s="17">
        <f>+VLOOKUP(A767,[1]PFE4!$A$7:$G$5208,7,0)</f>
        <v>11001</v>
      </c>
      <c r="G767">
        <v>6600000</v>
      </c>
      <c r="H767">
        <v>4329</v>
      </c>
    </row>
    <row r="768" spans="1:8" ht="15" customHeight="1" x14ac:dyDescent="0.25">
      <c r="A768" t="s">
        <v>3012</v>
      </c>
      <c r="B768" t="s">
        <v>7062</v>
      </c>
      <c r="C768" t="s">
        <v>10809</v>
      </c>
      <c r="D768" t="s">
        <v>13287</v>
      </c>
      <c r="E768" t="str">
        <f>+VLOOKUP(A768,[1]PFE4!$A$7:$F$5208,6,0)</f>
        <v>CARRERA 79 A  128 A  19</v>
      </c>
      <c r="F768" s="17">
        <f>+VLOOKUP(A768,[1]PFE4!$A$7:$G$5208,7,0)</f>
        <v>11001</v>
      </c>
      <c r="G768">
        <v>6600145</v>
      </c>
      <c r="H768">
        <v>4329</v>
      </c>
    </row>
    <row r="769" spans="1:8" ht="15" customHeight="1" x14ac:dyDescent="0.25">
      <c r="A769" t="s">
        <v>3013</v>
      </c>
      <c r="B769" t="s">
        <v>7063</v>
      </c>
      <c r="C769" t="s">
        <v>10810</v>
      </c>
      <c r="D769" t="s">
        <v>13287</v>
      </c>
      <c r="E769" t="str">
        <f>+VLOOKUP(A769,[1]PFE4!$A$7:$F$5208,6,0)</f>
        <v>CALLE 10 BIS OESTE  28  185</v>
      </c>
      <c r="F769" s="17">
        <f>+VLOOKUP(A769,[1]PFE4!$A$7:$G$5208,7,0)</f>
        <v>76001</v>
      </c>
      <c r="G769">
        <v>6604521</v>
      </c>
      <c r="H769">
        <v>4329</v>
      </c>
    </row>
    <row r="770" spans="1:8" ht="15" customHeight="1" x14ac:dyDescent="0.25">
      <c r="A770" t="s">
        <v>3014</v>
      </c>
      <c r="B770" t="s">
        <v>7064</v>
      </c>
      <c r="C770" t="s">
        <v>10811</v>
      </c>
      <c r="D770" t="s">
        <v>13287</v>
      </c>
      <c r="E770" t="str">
        <f>+VLOOKUP(A770,[1]PFE4!$A$7:$F$5208,6,0)</f>
        <v>CALLE 66  44  54</v>
      </c>
      <c r="F770" s="17" t="str">
        <f>+VLOOKUP(A770,[1]PFE4!$A$7:$G$5208,7,0)</f>
        <v>08001</v>
      </c>
      <c r="G770">
        <v>6618320</v>
      </c>
      <c r="H770">
        <v>4329</v>
      </c>
    </row>
    <row r="771" spans="1:8" ht="15" customHeight="1" x14ac:dyDescent="0.25">
      <c r="A771" t="s">
        <v>3015</v>
      </c>
      <c r="B771" t="s">
        <v>7065</v>
      </c>
      <c r="C771" t="s">
        <v>10812</v>
      </c>
      <c r="D771" t="s">
        <v>13287</v>
      </c>
      <c r="E771" t="str">
        <f>+VLOOKUP(A771,[1]PFE4!$A$7:$F$5208,6,0)</f>
        <v>CARRERA 18 C  123  75</v>
      </c>
      <c r="F771" s="17">
        <f>+VLOOKUP(A771,[1]PFE4!$A$7:$G$5208,7,0)</f>
        <v>11001</v>
      </c>
      <c r="G771">
        <v>6626493</v>
      </c>
      <c r="H771">
        <v>4329</v>
      </c>
    </row>
    <row r="772" spans="1:8" ht="15" customHeight="1" x14ac:dyDescent="0.25">
      <c r="A772" t="s">
        <v>3016</v>
      </c>
      <c r="B772" t="s">
        <v>7066</v>
      </c>
      <c r="C772" t="s">
        <v>10654</v>
      </c>
      <c r="D772" t="s">
        <v>13287</v>
      </c>
      <c r="E772" t="str">
        <f>+VLOOKUP(A772,[1]PFE4!$A$7:$F$5208,6,0)</f>
        <v>CARRERA 13  119  55</v>
      </c>
      <c r="F772" s="17">
        <f>+VLOOKUP(A772,[1]PFE4!$A$7:$G$5208,7,0)</f>
        <v>11001</v>
      </c>
      <c r="G772">
        <v>6626506</v>
      </c>
      <c r="H772">
        <v>4329</v>
      </c>
    </row>
    <row r="773" spans="1:8" ht="15" customHeight="1" x14ac:dyDescent="0.25">
      <c r="A773" t="s">
        <v>3017</v>
      </c>
      <c r="B773" t="s">
        <v>7067</v>
      </c>
      <c r="C773" t="s">
        <v>10813</v>
      </c>
      <c r="D773" t="s">
        <v>13287</v>
      </c>
      <c r="E773" t="str">
        <f>+VLOOKUP(A773,[1]PFE4!$A$7:$F$5208,6,0)</f>
        <v>CARRERA 12  102 A  46</v>
      </c>
      <c r="F773" s="17">
        <f>+VLOOKUP(A773,[1]PFE4!$A$7:$G$5208,7,0)</f>
        <v>11001</v>
      </c>
      <c r="G773">
        <v>6633933</v>
      </c>
      <c r="H773">
        <v>4329</v>
      </c>
    </row>
    <row r="774" spans="1:8" ht="15" customHeight="1" x14ac:dyDescent="0.25">
      <c r="A774" t="s">
        <v>3018</v>
      </c>
      <c r="B774" t="s">
        <v>7068</v>
      </c>
      <c r="C774" t="s">
        <v>10814</v>
      </c>
      <c r="D774" t="s">
        <v>13287</v>
      </c>
      <c r="E774" t="str">
        <f>+VLOOKUP(A774,[1]PFE4!$A$7:$F$5208,6,0)</f>
        <v>CALLE 150 A  48  50</v>
      </c>
      <c r="F774" s="17">
        <f>+VLOOKUP(A774,[1]PFE4!$A$7:$G$5208,7,0)</f>
        <v>11001</v>
      </c>
      <c r="G774">
        <v>6639134</v>
      </c>
      <c r="H774">
        <v>4329</v>
      </c>
    </row>
    <row r="775" spans="1:8" ht="15" customHeight="1" x14ac:dyDescent="0.25">
      <c r="A775" t="s">
        <v>3019</v>
      </c>
      <c r="B775" t="s">
        <v>7069</v>
      </c>
      <c r="C775" t="s">
        <v>10411</v>
      </c>
      <c r="D775" t="s">
        <v>13287</v>
      </c>
      <c r="E775" t="str">
        <f>+VLOOKUP(A775,[1]PFE4!$A$7:$F$5208,6,0)</f>
        <v>TRANSVERSAL 59  106 A  20</v>
      </c>
      <c r="F775" s="17">
        <f>+VLOOKUP(A775,[1]PFE4!$A$7:$G$5208,7,0)</f>
        <v>11001</v>
      </c>
      <c r="G775">
        <v>6639418</v>
      </c>
      <c r="H775">
        <v>4329</v>
      </c>
    </row>
    <row r="776" spans="1:8" ht="15" customHeight="1" x14ac:dyDescent="0.25">
      <c r="A776" t="s">
        <v>3020</v>
      </c>
      <c r="B776" t="s">
        <v>7070</v>
      </c>
      <c r="C776" t="s">
        <v>10815</v>
      </c>
      <c r="D776" t="s">
        <v>13287</v>
      </c>
      <c r="E776" t="str">
        <f>+VLOOKUP(A776,[1]PFE4!$A$7:$F$5208,6,0)</f>
        <v>CALLE 105  15  95</v>
      </c>
      <c r="F776" s="17">
        <f>+VLOOKUP(A776,[1]PFE4!$A$7:$G$5208,7,0)</f>
        <v>11001</v>
      </c>
      <c r="G776">
        <v>6639638</v>
      </c>
      <c r="H776">
        <v>4329</v>
      </c>
    </row>
    <row r="777" spans="1:8" ht="15" customHeight="1" x14ac:dyDescent="0.25">
      <c r="A777" t="s">
        <v>3021</v>
      </c>
      <c r="B777" t="s">
        <v>7071</v>
      </c>
      <c r="C777" t="s">
        <v>10816</v>
      </c>
      <c r="D777" t="s">
        <v>13287</v>
      </c>
      <c r="E777" t="str">
        <f>+VLOOKUP(A777,[1]PFE4!$A$7:$F$5208,6,0)</f>
        <v>CARRERA 9 A  119  70</v>
      </c>
      <c r="F777" s="17">
        <f>+VLOOKUP(A777,[1]PFE4!$A$7:$G$5208,7,0)</f>
        <v>11001</v>
      </c>
      <c r="G777">
        <v>6649422</v>
      </c>
      <c r="H777">
        <v>4329</v>
      </c>
    </row>
    <row r="778" spans="1:8" ht="15" customHeight="1" x14ac:dyDescent="0.25">
      <c r="A778" t="s">
        <v>3022</v>
      </c>
      <c r="B778" t="s">
        <v>7072</v>
      </c>
      <c r="C778" t="s">
        <v>10817</v>
      </c>
      <c r="D778" t="s">
        <v>13287</v>
      </c>
      <c r="E778" t="str">
        <f>+VLOOKUP(A778,[1]PFE4!$A$7:$F$5208,6,0)</f>
        <v>CR 43 A 1 SUR 188 OF 903</v>
      </c>
      <c r="F778" s="17" t="str">
        <f>+VLOOKUP(A778,[1]PFE4!$A$7:$G$5208,7,0)</f>
        <v>05001</v>
      </c>
      <c r="G778">
        <v>6652923</v>
      </c>
      <c r="H778">
        <v>4329</v>
      </c>
    </row>
    <row r="779" spans="1:8" ht="15" customHeight="1" x14ac:dyDescent="0.25">
      <c r="A779" t="s">
        <v>3023</v>
      </c>
      <c r="B779" t="s">
        <v>7073</v>
      </c>
      <c r="C779" t="s">
        <v>10818</v>
      </c>
      <c r="D779" t="s">
        <v>13287</v>
      </c>
      <c r="E779" t="str">
        <f>+VLOOKUP(A779,[1]PFE4!$A$7:$F$5208,6,0)</f>
        <v>CARRERA 39  5 B  30</v>
      </c>
      <c r="F779" s="17">
        <f>+VLOOKUP(A779,[1]PFE4!$A$7:$G$5208,7,0)</f>
        <v>11001</v>
      </c>
      <c r="G779">
        <v>6653619</v>
      </c>
      <c r="H779">
        <v>4329</v>
      </c>
    </row>
    <row r="780" spans="1:8" ht="15" customHeight="1" x14ac:dyDescent="0.25">
      <c r="A780" t="s">
        <v>3024</v>
      </c>
      <c r="B780" t="s">
        <v>7074</v>
      </c>
      <c r="C780" t="s">
        <v>10819</v>
      </c>
      <c r="D780" t="s">
        <v>13287</v>
      </c>
      <c r="E780" t="str">
        <f>+VLOOKUP(A780,[1]PFE4!$A$7:$F$5208,6,0)</f>
        <v>CL 24 25 111</v>
      </c>
      <c r="F780" s="17" t="str">
        <f>+VLOOKUP(A780,[1]PFE4!$A$7:$G$5208,7,0)</f>
        <v>05607</v>
      </c>
      <c r="G780">
        <v>6655116</v>
      </c>
      <c r="H780">
        <v>4329</v>
      </c>
    </row>
    <row r="781" spans="1:8" ht="15" customHeight="1" x14ac:dyDescent="0.25">
      <c r="A781" t="s">
        <v>3025</v>
      </c>
      <c r="B781" t="s">
        <v>7075</v>
      </c>
      <c r="C781" t="s">
        <v>10820</v>
      </c>
      <c r="D781" t="s">
        <v>13287</v>
      </c>
      <c r="E781" t="str">
        <f>+VLOOKUP(A781,[1]PFE4!$A$7:$F$5208,6,0)</f>
        <v>CR 6 9 258</v>
      </c>
      <c r="F781" s="17">
        <f>+VLOOKUP(A781,[1]PFE4!$A$7:$G$5208,7,0)</f>
        <v>25126</v>
      </c>
      <c r="G781">
        <v>6658448</v>
      </c>
      <c r="H781">
        <v>4329</v>
      </c>
    </row>
    <row r="782" spans="1:8" ht="15" customHeight="1" x14ac:dyDescent="0.25">
      <c r="A782" t="s">
        <v>3026</v>
      </c>
      <c r="B782" t="s">
        <v>7076</v>
      </c>
      <c r="C782" t="s">
        <v>10729</v>
      </c>
      <c r="D782" t="s">
        <v>13287</v>
      </c>
      <c r="E782" t="str">
        <f>+VLOOKUP(A782,[1]PFE4!$A$7:$F$5208,6,0)</f>
        <v>CALLE 14 26-29</v>
      </c>
      <c r="F782" s="17">
        <f>+VLOOKUP(A782,[1]PFE4!$A$7:$G$5208,7,0)</f>
        <v>68001</v>
      </c>
      <c r="G782">
        <v>6666308</v>
      </c>
      <c r="H782">
        <v>4329</v>
      </c>
    </row>
    <row r="783" spans="1:8" ht="15" customHeight="1" x14ac:dyDescent="0.25">
      <c r="A783" t="s">
        <v>3027</v>
      </c>
      <c r="B783" t="s">
        <v>7077</v>
      </c>
      <c r="C783" t="s">
        <v>10821</v>
      </c>
      <c r="D783" t="s">
        <v>13287</v>
      </c>
      <c r="E783" t="str">
        <f>+VLOOKUP(A783,[1]PFE4!$A$7:$F$5208,6,0)</f>
        <v>AK 15 83 33 CS 202</v>
      </c>
      <c r="F783" s="17">
        <f>+VLOOKUP(A783,[1]PFE4!$A$7:$G$5208,7,0)</f>
        <v>11001</v>
      </c>
      <c r="G783">
        <v>6667046</v>
      </c>
      <c r="H783">
        <v>4329</v>
      </c>
    </row>
    <row r="784" spans="1:8" ht="15" customHeight="1" x14ac:dyDescent="0.25">
      <c r="A784" t="s">
        <v>3028</v>
      </c>
      <c r="B784" t="s">
        <v>7078</v>
      </c>
      <c r="C784" t="s">
        <v>10822</v>
      </c>
      <c r="D784" t="s">
        <v>13287</v>
      </c>
      <c r="E784" t="str">
        <f>+VLOOKUP(A784,[1]PFE4!$A$7:$F$5208,6,0)</f>
        <v>CL 32 E 80 69</v>
      </c>
      <c r="F784" s="17" t="str">
        <f>+VLOOKUP(A784,[1]PFE4!$A$7:$G$5208,7,0)</f>
        <v>05001</v>
      </c>
      <c r="G784">
        <v>6678000</v>
      </c>
      <c r="H784">
        <v>4329</v>
      </c>
    </row>
    <row r="785" spans="1:8" ht="15" customHeight="1" x14ac:dyDescent="0.25">
      <c r="A785" t="s">
        <v>3029</v>
      </c>
      <c r="B785" t="s">
        <v>7079</v>
      </c>
      <c r="C785" t="s">
        <v>10823</v>
      </c>
      <c r="D785" t="s">
        <v>13287</v>
      </c>
      <c r="E785" t="str">
        <f>+VLOOKUP(A785,[1]PFE4!$A$7:$F$5208,6,0)</f>
        <v>CL 17 N 0 88 BRR LA PLAYA</v>
      </c>
      <c r="F785" s="17">
        <f>+VLOOKUP(A785,[1]PFE4!$A$7:$G$5208,7,0)</f>
        <v>54001</v>
      </c>
      <c r="G785">
        <v>6680633</v>
      </c>
      <c r="H785">
        <v>4329</v>
      </c>
    </row>
    <row r="786" spans="1:8" ht="15" customHeight="1" x14ac:dyDescent="0.25">
      <c r="A786" t="s">
        <v>3030</v>
      </c>
      <c r="B786" t="s">
        <v>7080</v>
      </c>
      <c r="C786" t="s">
        <v>10824</v>
      </c>
      <c r="D786" t="s">
        <v>13287</v>
      </c>
      <c r="E786" t="str">
        <f>+VLOOKUP(A786,[1]PFE4!$A$7:$F$5208,6,0)</f>
        <v>CL 34 82 A 150</v>
      </c>
      <c r="F786" s="17" t="str">
        <f>+VLOOKUP(A786,[1]PFE4!$A$7:$G$5208,7,0)</f>
        <v>05001</v>
      </c>
      <c r="G786">
        <v>6681600</v>
      </c>
      <c r="H786">
        <v>4329</v>
      </c>
    </row>
    <row r="787" spans="1:8" ht="15" customHeight="1" x14ac:dyDescent="0.25">
      <c r="A787" t="s">
        <v>3031</v>
      </c>
      <c r="B787" t="s">
        <v>7081</v>
      </c>
      <c r="C787" t="s">
        <v>10825</v>
      </c>
      <c r="D787" t="s">
        <v>13287</v>
      </c>
      <c r="E787" t="str">
        <f>+VLOOKUP(A787,[1]PFE4!$A$7:$F$5208,6,0)</f>
        <v>CALLE 11  9  69</v>
      </c>
      <c r="F787" s="17">
        <f>+VLOOKUP(A787,[1]PFE4!$A$7:$G$5208,7,0)</f>
        <v>41001</v>
      </c>
      <c r="G787">
        <v>6690132</v>
      </c>
      <c r="H787">
        <v>4329</v>
      </c>
    </row>
    <row r="788" spans="1:8" ht="15" customHeight="1" x14ac:dyDescent="0.25">
      <c r="A788" t="s">
        <v>3032</v>
      </c>
      <c r="B788" t="s">
        <v>7082</v>
      </c>
      <c r="C788" t="s">
        <v>10826</v>
      </c>
      <c r="D788" t="s">
        <v>13287</v>
      </c>
      <c r="E788" t="str">
        <f>+VLOOKUP(A788,[1]PFE4!$A$7:$F$5208,6,0)</f>
        <v>CARRERA 45 A  129  30</v>
      </c>
      <c r="F788" s="17">
        <f>+VLOOKUP(A788,[1]PFE4!$A$7:$G$5208,7,0)</f>
        <v>11001</v>
      </c>
      <c r="G788">
        <v>6690300</v>
      </c>
      <c r="H788">
        <v>4329</v>
      </c>
    </row>
    <row r="789" spans="1:8" ht="15" customHeight="1" x14ac:dyDescent="0.25">
      <c r="A789" t="s">
        <v>3033</v>
      </c>
      <c r="B789" t="s">
        <v>7083</v>
      </c>
      <c r="C789" t="s">
        <v>10827</v>
      </c>
      <c r="D789" t="s">
        <v>13287</v>
      </c>
      <c r="E789" t="str">
        <f>+VLOOKUP(A789,[1]PFE4!$A$7:$F$5208,6,0)</f>
        <v>CR 37 9 14 9 20 CL 9 37 05 37 13</v>
      </c>
      <c r="F789" s="17">
        <f>+VLOOKUP(A789,[1]PFE4!$A$7:$G$5208,7,0)</f>
        <v>15238</v>
      </c>
      <c r="G789">
        <v>6694489</v>
      </c>
      <c r="H789">
        <v>4329</v>
      </c>
    </row>
    <row r="790" spans="1:8" ht="15" customHeight="1" x14ac:dyDescent="0.25">
      <c r="A790" t="s">
        <v>3034</v>
      </c>
      <c r="B790" t="s">
        <v>7084</v>
      </c>
      <c r="C790">
        <v>0</v>
      </c>
      <c r="D790" t="s">
        <v>13287</v>
      </c>
      <c r="E790">
        <v>0</v>
      </c>
      <c r="F790" s="17">
        <v>11001</v>
      </c>
      <c r="G790">
        <v>6706000</v>
      </c>
      <c r="H790">
        <v>4329</v>
      </c>
    </row>
    <row r="791" spans="1:8" ht="15" customHeight="1" x14ac:dyDescent="0.25">
      <c r="A791" t="s">
        <v>3035</v>
      </c>
      <c r="B791" t="s">
        <v>7085</v>
      </c>
      <c r="C791" t="s">
        <v>10828</v>
      </c>
      <c r="D791" t="s">
        <v>13287</v>
      </c>
      <c r="E791" t="str">
        <f>+VLOOKUP(A791,[1]PFE4!$A$7:$F$5208,6,0)</f>
        <v>PD EL PORVENIR VDA CANAVITA ZN INDUSTRIAL DE TOCANCIPA</v>
      </c>
      <c r="F791" s="17">
        <f>+VLOOKUP(A791,[1]PFE4!$A$7:$G$5208,7,0)</f>
        <v>25817</v>
      </c>
      <c r="G791">
        <v>6708958</v>
      </c>
      <c r="H791">
        <v>4329</v>
      </c>
    </row>
    <row r="792" spans="1:8" ht="15" customHeight="1" x14ac:dyDescent="0.25">
      <c r="A792" t="s">
        <v>3036</v>
      </c>
      <c r="B792" t="s">
        <v>7086</v>
      </c>
      <c r="C792" t="s">
        <v>10829</v>
      </c>
      <c r="D792" t="s">
        <v>13287</v>
      </c>
      <c r="E792" t="str">
        <f>+VLOOKUP(A792,[1]PFE4!$A$7:$F$5208,6,0)</f>
        <v>CARRERA 13  5  70</v>
      </c>
      <c r="F792" s="17">
        <f>+VLOOKUP(A792,[1]PFE4!$A$7:$G$5208,7,0)</f>
        <v>11001</v>
      </c>
      <c r="G792">
        <v>6709002</v>
      </c>
      <c r="H792">
        <v>4329</v>
      </c>
    </row>
    <row r="793" spans="1:8" ht="15" customHeight="1" x14ac:dyDescent="0.25">
      <c r="A793" t="s">
        <v>3037</v>
      </c>
      <c r="B793" t="s">
        <v>7087</v>
      </c>
      <c r="C793" t="s">
        <v>10830</v>
      </c>
      <c r="D793" t="s">
        <v>13287</v>
      </c>
      <c r="E793" t="str">
        <f>+VLOOKUP(A793,[1]PFE4!$A$7:$F$5208,6,0)</f>
        <v>CL 11 20 61</v>
      </c>
      <c r="F793" s="17">
        <f>+VLOOKUP(A793,[1]PFE4!$A$7:$G$5208,7,0)</f>
        <v>11001</v>
      </c>
      <c r="G793">
        <v>6720000</v>
      </c>
      <c r="H793">
        <v>4329</v>
      </c>
    </row>
    <row r="794" spans="1:8" ht="15" customHeight="1" x14ac:dyDescent="0.25">
      <c r="A794" t="s">
        <v>3038</v>
      </c>
      <c r="B794" t="s">
        <v>7088</v>
      </c>
      <c r="C794" t="s">
        <v>10831</v>
      </c>
      <c r="D794" t="s">
        <v>13287</v>
      </c>
      <c r="E794" t="str">
        <f>+VLOOKUP(A794,[1]PFE4!$A$7:$F$5208,6,0)</f>
        <v>CALLE 11  1  03</v>
      </c>
      <c r="F794" s="17">
        <f>+VLOOKUP(A794,[1]PFE4!$A$7:$G$5208,7,0)</f>
        <v>73001</v>
      </c>
      <c r="G794">
        <v>6723069</v>
      </c>
      <c r="H794">
        <v>4329</v>
      </c>
    </row>
    <row r="795" spans="1:8" ht="15" customHeight="1" x14ac:dyDescent="0.25">
      <c r="A795" t="s">
        <v>3039</v>
      </c>
      <c r="B795" t="s">
        <v>7089</v>
      </c>
      <c r="C795">
        <v>0</v>
      </c>
      <c r="D795" t="s">
        <v>13287</v>
      </c>
      <c r="E795">
        <v>0</v>
      </c>
      <c r="F795" s="17">
        <v>11001</v>
      </c>
      <c r="G795">
        <v>6724861</v>
      </c>
      <c r="H795">
        <v>4329</v>
      </c>
    </row>
    <row r="796" spans="1:8" ht="15" customHeight="1" x14ac:dyDescent="0.25">
      <c r="A796" t="s">
        <v>3040</v>
      </c>
      <c r="B796" t="s">
        <v>7090</v>
      </c>
      <c r="C796" t="s">
        <v>10832</v>
      </c>
      <c r="D796" t="s">
        <v>13287</v>
      </c>
      <c r="E796" t="str">
        <f>+VLOOKUP(A796,[1]PFE4!$A$7:$F$5208,6,0)</f>
        <v>CALLE 111  13 A  44</v>
      </c>
      <c r="F796" s="17">
        <f>+VLOOKUP(A796,[1]PFE4!$A$7:$G$5208,7,0)</f>
        <v>11001</v>
      </c>
      <c r="G796">
        <v>6725122</v>
      </c>
      <c r="H796">
        <v>4329</v>
      </c>
    </row>
    <row r="797" spans="1:8" ht="15" customHeight="1" x14ac:dyDescent="0.25">
      <c r="A797" t="s">
        <v>3041</v>
      </c>
      <c r="B797" t="s">
        <v>7091</v>
      </c>
      <c r="C797" t="s">
        <v>10833</v>
      </c>
      <c r="D797" t="s">
        <v>13287</v>
      </c>
      <c r="E797" t="str">
        <f>+VLOOKUP(A797,[1]PFE4!$A$7:$F$5208,6,0)</f>
        <v>CARRERA 20  21  51</v>
      </c>
      <c r="F797" s="17">
        <f>+VLOOKUP(A797,[1]PFE4!$A$7:$G$5208,7,0)</f>
        <v>17001</v>
      </c>
      <c r="G797">
        <v>6727339</v>
      </c>
      <c r="H797">
        <v>4329</v>
      </c>
    </row>
    <row r="798" spans="1:8" ht="15" customHeight="1" x14ac:dyDescent="0.25">
      <c r="A798" t="s">
        <v>3042</v>
      </c>
      <c r="B798" t="s">
        <v>7092</v>
      </c>
      <c r="C798" t="s">
        <v>10834</v>
      </c>
      <c r="D798" t="s">
        <v>13287</v>
      </c>
      <c r="E798" t="str">
        <f>+VLOOKUP(A798,[1]PFE4!$A$7:$F$5208,6,0)</f>
        <v>CARRERA 53  11 A  47</v>
      </c>
      <c r="F798" s="17">
        <f>+VLOOKUP(A798,[1]PFE4!$A$7:$G$5208,7,0)</f>
        <v>11001</v>
      </c>
      <c r="G798">
        <v>6731329</v>
      </c>
      <c r="H798">
        <v>4329</v>
      </c>
    </row>
    <row r="799" spans="1:8" ht="15" customHeight="1" x14ac:dyDescent="0.25">
      <c r="A799" t="s">
        <v>3043</v>
      </c>
      <c r="B799" t="s">
        <v>7093</v>
      </c>
      <c r="C799" t="s">
        <v>10835</v>
      </c>
      <c r="D799" t="s">
        <v>13287</v>
      </c>
      <c r="E799" t="str">
        <f>+VLOOKUP(A799,[1]PFE4!$A$7:$F$5208,6,0)</f>
        <v>CARRERA 9 A  113  87</v>
      </c>
      <c r="F799" s="17">
        <f>+VLOOKUP(A799,[1]PFE4!$A$7:$G$5208,7,0)</f>
        <v>11001</v>
      </c>
      <c r="G799">
        <v>6735400</v>
      </c>
      <c r="H799">
        <v>4329</v>
      </c>
    </row>
    <row r="800" spans="1:8" ht="15" customHeight="1" x14ac:dyDescent="0.25">
      <c r="A800" t="s">
        <v>3044</v>
      </c>
      <c r="B800" t="s">
        <v>7094</v>
      </c>
      <c r="C800">
        <v>3219664011</v>
      </c>
      <c r="D800" t="s">
        <v>13287</v>
      </c>
      <c r="E800" t="str">
        <f>+VLOOKUP(A800,[1]PFE4!$A$7:$F$5208,6,0)</f>
        <v>CALLE 14  30  190</v>
      </c>
      <c r="F800" s="17" t="str">
        <f>+VLOOKUP(A800,[1]PFE4!$A$7:$G$5208,7,0)</f>
        <v>05001</v>
      </c>
      <c r="G800">
        <v>6735807</v>
      </c>
      <c r="H800">
        <v>4329</v>
      </c>
    </row>
    <row r="801" spans="1:8" ht="15" customHeight="1" x14ac:dyDescent="0.25">
      <c r="A801" t="s">
        <v>3045</v>
      </c>
      <c r="B801" t="s">
        <v>7095</v>
      </c>
      <c r="C801" t="s">
        <v>10836</v>
      </c>
      <c r="D801" t="s">
        <v>13287</v>
      </c>
      <c r="E801" t="str">
        <f>+VLOOKUP(A801,[1]PFE4!$A$7:$F$5208,6,0)</f>
        <v>CALLE 64 A  1 A  85</v>
      </c>
      <c r="F801" s="17">
        <f>+VLOOKUP(A801,[1]PFE4!$A$7:$G$5208,7,0)</f>
        <v>11001</v>
      </c>
      <c r="G801">
        <v>6745004</v>
      </c>
      <c r="H801">
        <v>4329</v>
      </c>
    </row>
    <row r="802" spans="1:8" ht="15" customHeight="1" x14ac:dyDescent="0.25">
      <c r="A802" t="s">
        <v>3046</v>
      </c>
      <c r="B802" t="s">
        <v>7096</v>
      </c>
      <c r="C802" t="s">
        <v>10837</v>
      </c>
      <c r="D802" t="s">
        <v>13287</v>
      </c>
      <c r="E802" t="str">
        <f>+VLOOKUP(A802,[1]PFE4!$A$7:$F$5208,6,0)</f>
        <v>CALLE 1  6 A  53</v>
      </c>
      <c r="F802" s="17">
        <f>+VLOOKUP(A802,[1]PFE4!$A$7:$G$5208,7,0)</f>
        <v>76109</v>
      </c>
      <c r="G802">
        <v>6746880</v>
      </c>
      <c r="H802">
        <v>4329</v>
      </c>
    </row>
    <row r="803" spans="1:8" ht="15" customHeight="1" x14ac:dyDescent="0.25">
      <c r="A803" t="s">
        <v>3047</v>
      </c>
      <c r="B803" t="s">
        <v>7097</v>
      </c>
      <c r="C803" t="s">
        <v>10585</v>
      </c>
      <c r="D803" t="s">
        <v>13287</v>
      </c>
      <c r="E803" t="str">
        <f>+VLOOKUP(A803,[1]PFE4!$A$7:$F$5208,6,0)</f>
        <v>CARRERA 17 A  123  60</v>
      </c>
      <c r="F803" s="17">
        <f>+VLOOKUP(A803,[1]PFE4!$A$7:$G$5208,7,0)</f>
        <v>11001</v>
      </c>
      <c r="G803">
        <v>6748101</v>
      </c>
      <c r="H803">
        <v>4329</v>
      </c>
    </row>
    <row r="804" spans="1:8" ht="15" customHeight="1" x14ac:dyDescent="0.25">
      <c r="A804" t="s">
        <v>3048</v>
      </c>
      <c r="B804" t="s">
        <v>7098</v>
      </c>
      <c r="C804" t="s">
        <v>10838</v>
      </c>
      <c r="D804" t="s">
        <v>13287</v>
      </c>
      <c r="E804" t="str">
        <f>+VLOOKUP(A804,[1]PFE4!$A$7:$F$5208,6,0)</f>
        <v>CALLE 126  7 C  66</v>
      </c>
      <c r="F804" s="17">
        <f>+VLOOKUP(A804,[1]PFE4!$A$7:$G$5208,7,0)</f>
        <v>11001</v>
      </c>
      <c r="G804">
        <v>6752219</v>
      </c>
      <c r="H804">
        <v>4329</v>
      </c>
    </row>
    <row r="805" spans="1:8" ht="15" customHeight="1" x14ac:dyDescent="0.25">
      <c r="A805" t="s">
        <v>3049</v>
      </c>
      <c r="B805" t="s">
        <v>7099</v>
      </c>
      <c r="C805" t="s">
        <v>10839</v>
      </c>
      <c r="D805" t="s">
        <v>13287</v>
      </c>
      <c r="E805" t="str">
        <f>+VLOOKUP(A805,[1]PFE4!$A$7:$F$5208,6,0)</f>
        <v>CALLE 108  58  25  APARTAMENTO 502</v>
      </c>
      <c r="F805" s="17">
        <f>+VLOOKUP(A805,[1]PFE4!$A$7:$G$5208,7,0)</f>
        <v>11001</v>
      </c>
      <c r="G805">
        <v>6753179</v>
      </c>
      <c r="H805">
        <v>4329</v>
      </c>
    </row>
    <row r="806" spans="1:8" ht="15" customHeight="1" x14ac:dyDescent="0.25">
      <c r="A806" t="s">
        <v>3050</v>
      </c>
      <c r="B806" t="s">
        <v>7100</v>
      </c>
      <c r="C806" t="s">
        <v>10840</v>
      </c>
      <c r="D806" t="s">
        <v>13287</v>
      </c>
      <c r="E806" t="str">
        <f>+VLOOKUP(A806,[1]PFE4!$A$7:$F$5208,6,0)</f>
        <v>CARRERA 42 BIS  17 A  24</v>
      </c>
      <c r="F806" s="17">
        <f>+VLOOKUP(A806,[1]PFE4!$A$7:$G$5208,7,0)</f>
        <v>11001</v>
      </c>
      <c r="G806">
        <v>6754446</v>
      </c>
      <c r="H806">
        <v>4329</v>
      </c>
    </row>
    <row r="807" spans="1:8" ht="15" customHeight="1" x14ac:dyDescent="0.25">
      <c r="A807" t="s">
        <v>3051</v>
      </c>
      <c r="B807" t="s">
        <v>7101</v>
      </c>
      <c r="C807" t="s">
        <v>10841</v>
      </c>
      <c r="D807" t="s">
        <v>13287</v>
      </c>
      <c r="E807" t="str">
        <f>+VLOOKUP(A807,[1]PFE4!$A$7:$F$5208,6,0)</f>
        <v>CARRERA 19 A  120  32</v>
      </c>
      <c r="F807" s="17">
        <f>+VLOOKUP(A807,[1]PFE4!$A$7:$G$5208,7,0)</f>
        <v>11001</v>
      </c>
      <c r="G807">
        <v>6756989</v>
      </c>
      <c r="H807">
        <v>4329</v>
      </c>
    </row>
    <row r="808" spans="1:8" ht="15" customHeight="1" x14ac:dyDescent="0.25">
      <c r="A808" t="s">
        <v>3052</v>
      </c>
      <c r="B808" t="s">
        <v>7102</v>
      </c>
      <c r="C808" t="s">
        <v>10721</v>
      </c>
      <c r="D808" t="s">
        <v>13287</v>
      </c>
      <c r="E808" t="str">
        <f>+VLOOKUP(A808,[1]PFE4!$A$7:$F$5208,6,0)</f>
        <v>CL 118 18 22 BRR SANTA BARBARA OCCIDENTAL</v>
      </c>
      <c r="F808" s="17">
        <f>+VLOOKUP(A808,[1]PFE4!$A$7:$G$5208,7,0)</f>
        <v>11001</v>
      </c>
      <c r="G808">
        <v>6762190</v>
      </c>
      <c r="H808">
        <v>4329</v>
      </c>
    </row>
    <row r="809" spans="1:8" ht="15" customHeight="1" x14ac:dyDescent="0.25">
      <c r="A809" t="s">
        <v>3053</v>
      </c>
      <c r="B809" t="s">
        <v>7103</v>
      </c>
      <c r="C809" t="s">
        <v>10842</v>
      </c>
      <c r="D809" t="s">
        <v>13287</v>
      </c>
      <c r="E809" t="str">
        <f>+VLOOKUP(A809,[1]PFE4!$A$7:$F$5208,6,0)</f>
        <v>CARRERA 45  128 C  45  OFICINA 301</v>
      </c>
      <c r="F809" s="17">
        <f>+VLOOKUP(A809,[1]PFE4!$A$7:$G$5208,7,0)</f>
        <v>11001</v>
      </c>
      <c r="G809">
        <v>6764849</v>
      </c>
      <c r="H809">
        <v>4329</v>
      </c>
    </row>
    <row r="810" spans="1:8" ht="15" customHeight="1" x14ac:dyDescent="0.25">
      <c r="A810" t="s">
        <v>3054</v>
      </c>
      <c r="B810" t="s">
        <v>7104</v>
      </c>
      <c r="C810" t="s">
        <v>10843</v>
      </c>
      <c r="D810" t="s">
        <v>13287</v>
      </c>
      <c r="E810" t="str">
        <f>+VLOOKUP(A810,[1]PFE4!$A$7:$F$5208,6,0)</f>
        <v>CARRERA 77 C  49  39</v>
      </c>
      <c r="F810" s="17" t="str">
        <f>+VLOOKUP(A810,[1]PFE4!$A$7:$G$5208,7,0)</f>
        <v>05001</v>
      </c>
      <c r="G810">
        <v>6766920</v>
      </c>
      <c r="H810">
        <v>4329</v>
      </c>
    </row>
    <row r="811" spans="1:8" ht="15" customHeight="1" x14ac:dyDescent="0.25">
      <c r="A811" t="s">
        <v>3055</v>
      </c>
      <c r="B811" t="s">
        <v>7105</v>
      </c>
      <c r="C811" t="s">
        <v>10844</v>
      </c>
      <c r="D811" t="s">
        <v>13287</v>
      </c>
      <c r="E811" t="str">
        <f>+VLOOKUP(A811,[1]PFE4!$A$7:$F$5208,6,0)</f>
        <v>CARRERA 74  41  46</v>
      </c>
      <c r="F811" s="17" t="str">
        <f>+VLOOKUP(A811,[1]PFE4!$A$7:$G$5208,7,0)</f>
        <v>05001</v>
      </c>
      <c r="G811">
        <v>6767907</v>
      </c>
      <c r="H811">
        <v>4329</v>
      </c>
    </row>
    <row r="812" spans="1:8" ht="15" customHeight="1" x14ac:dyDescent="0.25">
      <c r="A812" t="s">
        <v>3056</v>
      </c>
      <c r="B812" t="s">
        <v>7106</v>
      </c>
      <c r="C812" t="s">
        <v>10845</v>
      </c>
      <c r="D812" t="s">
        <v>13287</v>
      </c>
      <c r="E812" t="str">
        <f>+VLOOKUP(A812,[1]PFE4!$A$7:$F$5208,6,0)</f>
        <v>CL 37 15 25 OF 506</v>
      </c>
      <c r="F812" s="17">
        <f>+VLOOKUP(A812,[1]PFE4!$A$7:$G$5208,7,0)</f>
        <v>68276</v>
      </c>
      <c r="G812">
        <v>6768080</v>
      </c>
      <c r="H812">
        <v>4329</v>
      </c>
    </row>
    <row r="813" spans="1:8" ht="15" customHeight="1" x14ac:dyDescent="0.25">
      <c r="A813" t="s">
        <v>3057</v>
      </c>
      <c r="B813" t="s">
        <v>7107</v>
      </c>
      <c r="C813" t="s">
        <v>10846</v>
      </c>
      <c r="D813" t="s">
        <v>13287</v>
      </c>
      <c r="E813" t="str">
        <f>+VLOOKUP(A813,[1]PFE4!$A$7:$F$5208,6,0)</f>
        <v>CARRERA 51  85  41</v>
      </c>
      <c r="F813" s="17">
        <f>+VLOOKUP(A813,[1]PFE4!$A$7:$G$5208,7,0)</f>
        <v>11001</v>
      </c>
      <c r="G813">
        <v>6770446</v>
      </c>
      <c r="H813">
        <v>4329</v>
      </c>
    </row>
    <row r="814" spans="1:8" ht="15" customHeight="1" x14ac:dyDescent="0.25">
      <c r="A814" t="s">
        <v>3058</v>
      </c>
      <c r="B814" t="s">
        <v>7108</v>
      </c>
      <c r="C814" t="s">
        <v>10847</v>
      </c>
      <c r="D814" t="s">
        <v>13287</v>
      </c>
      <c r="E814" t="str">
        <f>+VLOOKUP(A814,[1]PFE4!$A$7:$F$5208,6,0)</f>
        <v>AVENIDA CALLE 147 A  11  72</v>
      </c>
      <c r="F814" s="17">
        <f>+VLOOKUP(A814,[1]PFE4!$A$7:$G$5208,7,0)</f>
        <v>11001</v>
      </c>
      <c r="G814">
        <v>6770485</v>
      </c>
      <c r="H814">
        <v>4329</v>
      </c>
    </row>
    <row r="815" spans="1:8" ht="15" customHeight="1" x14ac:dyDescent="0.25">
      <c r="A815" t="s">
        <v>3059</v>
      </c>
      <c r="B815" t="s">
        <v>7109</v>
      </c>
      <c r="C815" t="s">
        <v>10848</v>
      </c>
      <c r="D815" t="s">
        <v>13287</v>
      </c>
      <c r="E815" t="str">
        <f>+VLOOKUP(A815,[1]PFE4!$A$7:$F$5208,6,0)</f>
        <v>CL 85 42D 99</v>
      </c>
      <c r="F815" s="17" t="str">
        <f>+VLOOKUP(A815,[1]PFE4!$A$7:$G$5208,7,0)</f>
        <v>08001</v>
      </c>
      <c r="G815">
        <v>6771600</v>
      </c>
      <c r="H815">
        <v>4329</v>
      </c>
    </row>
    <row r="816" spans="1:8" ht="15" customHeight="1" x14ac:dyDescent="0.25">
      <c r="A816" t="s">
        <v>3060</v>
      </c>
      <c r="B816" t="s">
        <v>7110</v>
      </c>
      <c r="C816" t="s">
        <v>10849</v>
      </c>
      <c r="D816" t="s">
        <v>13287</v>
      </c>
      <c r="E816" t="str">
        <f>+VLOOKUP(A816,[1]PFE4!$A$7:$F$5208,6,0)</f>
        <v>CL   95     11 A   37</v>
      </c>
      <c r="F816" s="17">
        <f>+VLOOKUP(A816,[1]PFE4!$A$7:$G$5208,7,0)</f>
        <v>11001</v>
      </c>
      <c r="G816">
        <v>6778197</v>
      </c>
      <c r="H816">
        <v>4329</v>
      </c>
    </row>
    <row r="817" spans="1:8" ht="15" customHeight="1" x14ac:dyDescent="0.25">
      <c r="A817" t="s">
        <v>3061</v>
      </c>
      <c r="B817" t="s">
        <v>7111</v>
      </c>
      <c r="C817">
        <v>0</v>
      </c>
      <c r="D817" t="s">
        <v>13287</v>
      </c>
      <c r="E817">
        <v>0</v>
      </c>
      <c r="F817" s="17">
        <v>11001</v>
      </c>
      <c r="G817">
        <v>6780000</v>
      </c>
      <c r="H817">
        <v>4329</v>
      </c>
    </row>
    <row r="818" spans="1:8" ht="15" customHeight="1" x14ac:dyDescent="0.25">
      <c r="A818" t="s">
        <v>3062</v>
      </c>
      <c r="B818" t="s">
        <v>7112</v>
      </c>
      <c r="C818" t="s">
        <v>10850</v>
      </c>
      <c r="D818" t="s">
        <v>13287</v>
      </c>
      <c r="E818" t="str">
        <f>+VLOOKUP(A818,[1]PFE4!$A$7:$F$5208,6,0)</f>
        <v>CL 39 C 73 49 53 55</v>
      </c>
      <c r="F818" s="17" t="str">
        <f>+VLOOKUP(A818,[1]PFE4!$A$7:$G$5208,7,0)</f>
        <v>05001</v>
      </c>
      <c r="G818">
        <v>6780832</v>
      </c>
      <c r="H818">
        <v>4329</v>
      </c>
    </row>
    <row r="819" spans="1:8" ht="15" customHeight="1" x14ac:dyDescent="0.25">
      <c r="A819" t="s">
        <v>3063</v>
      </c>
      <c r="B819" t="s">
        <v>7113</v>
      </c>
      <c r="C819" t="s">
        <v>10851</v>
      </c>
      <c r="D819" t="s">
        <v>13287</v>
      </c>
      <c r="E819" t="str">
        <f>+VLOOKUP(A819,[1]PFE4!$A$7:$F$5208,6,0)</f>
        <v>CALLE 21 N  7 A  35</v>
      </c>
      <c r="F819" s="17">
        <f>+VLOOKUP(A819,[1]PFE4!$A$7:$G$5208,7,0)</f>
        <v>19001</v>
      </c>
      <c r="G819">
        <v>6781224</v>
      </c>
      <c r="H819">
        <v>4329</v>
      </c>
    </row>
    <row r="820" spans="1:8" ht="15" customHeight="1" x14ac:dyDescent="0.25">
      <c r="A820" t="s">
        <v>3064</v>
      </c>
      <c r="B820" t="s">
        <v>7114</v>
      </c>
      <c r="C820" t="s">
        <v>10795</v>
      </c>
      <c r="D820" t="s">
        <v>13287</v>
      </c>
      <c r="E820" t="str">
        <f>+VLOOKUP(A820,[1]PFE4!$A$7:$F$5208,6,0)</f>
        <v>CARRERA 52  123  34</v>
      </c>
      <c r="F820" s="17">
        <f>+VLOOKUP(A820,[1]PFE4!$A$7:$G$5208,7,0)</f>
        <v>11001</v>
      </c>
      <c r="G820">
        <v>6782476</v>
      </c>
      <c r="H820">
        <v>4329</v>
      </c>
    </row>
    <row r="821" spans="1:8" ht="15" customHeight="1" x14ac:dyDescent="0.25">
      <c r="A821" t="s">
        <v>3065</v>
      </c>
      <c r="B821" t="s">
        <v>7115</v>
      </c>
      <c r="C821" t="s">
        <v>10852</v>
      </c>
      <c r="D821" t="s">
        <v>13287</v>
      </c>
      <c r="E821" t="str">
        <f>+VLOOKUP(A821,[1]PFE4!$A$7:$F$5208,6,0)</f>
        <v>CARRERA 18  116  48</v>
      </c>
      <c r="F821" s="17">
        <f>+VLOOKUP(A821,[1]PFE4!$A$7:$G$5208,7,0)</f>
        <v>11001</v>
      </c>
      <c r="G821">
        <v>6783374</v>
      </c>
      <c r="H821">
        <v>4329</v>
      </c>
    </row>
    <row r="822" spans="1:8" ht="15" customHeight="1" x14ac:dyDescent="0.25">
      <c r="A822" t="s">
        <v>3066</v>
      </c>
      <c r="B822" t="s">
        <v>7116</v>
      </c>
      <c r="C822" t="s">
        <v>10853</v>
      </c>
      <c r="D822" t="s">
        <v>13287</v>
      </c>
      <c r="E822" t="str">
        <f>+VLOOKUP(A822,[1]PFE4!$A$7:$F$5208,6,0)</f>
        <v>CARRERA 48  25 A SUR  70 OFICINA 504</v>
      </c>
      <c r="F822" s="17" t="str">
        <f>+VLOOKUP(A822,[1]PFE4!$A$7:$G$5208,7,0)</f>
        <v>05001</v>
      </c>
      <c r="G822">
        <v>6788198</v>
      </c>
      <c r="H822">
        <v>4329</v>
      </c>
    </row>
    <row r="823" spans="1:8" ht="15" customHeight="1" x14ac:dyDescent="0.25">
      <c r="A823" t="s">
        <v>3067</v>
      </c>
      <c r="B823" t="s">
        <v>7117</v>
      </c>
      <c r="C823" t="s">
        <v>10854</v>
      </c>
      <c r="D823" t="s">
        <v>13287</v>
      </c>
      <c r="E823" t="str">
        <f>+VLOOKUP(A823,[1]PFE4!$A$7:$F$5208,6,0)</f>
        <v>CR 20 25 Y 26 PORTON 25 77</v>
      </c>
      <c r="F823" s="17" t="str">
        <f>+VLOOKUP(A823,[1]PFE4!$A$7:$G$5208,7,0)</f>
        <v>05376</v>
      </c>
      <c r="G823">
        <v>6789360</v>
      </c>
      <c r="H823">
        <v>4329</v>
      </c>
    </row>
    <row r="824" spans="1:8" ht="15" customHeight="1" x14ac:dyDescent="0.25">
      <c r="A824" t="s">
        <v>3068</v>
      </c>
      <c r="B824" t="s">
        <v>7118</v>
      </c>
      <c r="C824" t="s">
        <v>10855</v>
      </c>
      <c r="D824" t="s">
        <v>13287</v>
      </c>
      <c r="E824" t="str">
        <f>+VLOOKUP(A824,[1]PFE4!$A$7:$F$5208,6,0)</f>
        <v>carrea 81 a n 33 b 26</v>
      </c>
      <c r="F824" s="17" t="str">
        <f>+VLOOKUP(A824,[1]PFE4!$A$7:$G$5208,7,0)</f>
        <v>05001</v>
      </c>
      <c r="G824">
        <v>6790344</v>
      </c>
      <c r="H824">
        <v>4329</v>
      </c>
    </row>
    <row r="825" spans="1:8" ht="15" customHeight="1" x14ac:dyDescent="0.25">
      <c r="A825" t="s">
        <v>3069</v>
      </c>
      <c r="B825" t="s">
        <v>7119</v>
      </c>
      <c r="C825" t="s">
        <v>10856</v>
      </c>
      <c r="D825" t="s">
        <v>13287</v>
      </c>
      <c r="E825" t="str">
        <f>+VLOOKUP(A825,[1]PFE4!$A$7:$F$5208,6,0)</f>
        <v>CARRERA 15  116  36  OFICINA 604</v>
      </c>
      <c r="F825" s="17">
        <f>+VLOOKUP(A825,[1]PFE4!$A$7:$G$5208,7,0)</f>
        <v>11001</v>
      </c>
      <c r="G825">
        <v>6795200</v>
      </c>
      <c r="H825">
        <v>4329</v>
      </c>
    </row>
    <row r="826" spans="1:8" ht="15" customHeight="1" x14ac:dyDescent="0.25">
      <c r="A826" t="s">
        <v>3070</v>
      </c>
      <c r="B826" t="s">
        <v>7120</v>
      </c>
      <c r="C826">
        <v>0</v>
      </c>
      <c r="D826" t="s">
        <v>13287</v>
      </c>
      <c r="E826">
        <v>0</v>
      </c>
      <c r="F826" s="17">
        <v>11001</v>
      </c>
      <c r="G826">
        <v>6797901</v>
      </c>
      <c r="H826">
        <v>4329</v>
      </c>
    </row>
    <row r="827" spans="1:8" ht="15" customHeight="1" x14ac:dyDescent="0.25">
      <c r="A827" t="s">
        <v>3071</v>
      </c>
      <c r="B827" t="s">
        <v>7121</v>
      </c>
      <c r="C827" t="s">
        <v>10857</v>
      </c>
      <c r="D827" t="s">
        <v>13287</v>
      </c>
      <c r="E827" t="str">
        <f>+VLOOKUP(A827,[1]PFE4!$A$7:$F$5208,6,0)</f>
        <v>CARRERA 16  86 A  76</v>
      </c>
      <c r="F827" s="17">
        <f>+VLOOKUP(A827,[1]PFE4!$A$7:$G$5208,7,0)</f>
        <v>11001</v>
      </c>
      <c r="G827">
        <v>6797914</v>
      </c>
      <c r="H827">
        <v>4329</v>
      </c>
    </row>
    <row r="828" spans="1:8" ht="15" customHeight="1" x14ac:dyDescent="0.25">
      <c r="A828" t="s">
        <v>3072</v>
      </c>
      <c r="B828" t="s">
        <v>7122</v>
      </c>
      <c r="C828" t="s">
        <v>10858</v>
      </c>
      <c r="D828" t="s">
        <v>13287</v>
      </c>
      <c r="E828" t="str">
        <f>+VLOOKUP(A828,[1]PFE4!$A$7:$F$5208,6,0)</f>
        <v>CALLE 104  23  34 OFC 401</v>
      </c>
      <c r="F828" s="17">
        <f>+VLOOKUP(A828,[1]PFE4!$A$7:$G$5208,7,0)</f>
        <v>11001</v>
      </c>
      <c r="G828">
        <v>6801501</v>
      </c>
      <c r="H828">
        <v>4329</v>
      </c>
    </row>
    <row r="829" spans="1:8" ht="15" customHeight="1" x14ac:dyDescent="0.25">
      <c r="A829" t="s">
        <v>3073</v>
      </c>
      <c r="B829" t="s">
        <v>7123</v>
      </c>
      <c r="C829" t="s">
        <v>10859</v>
      </c>
      <c r="D829" t="s">
        <v>13287</v>
      </c>
      <c r="E829" t="str">
        <f>+VLOOKUP(A829,[1]PFE4!$A$7:$F$5208,6,0)</f>
        <v>CALLE 28  22  23</v>
      </c>
      <c r="F829" s="17">
        <f>+VLOOKUP(A829,[1]PFE4!$A$7:$G$5208,7,0)</f>
        <v>68001</v>
      </c>
      <c r="G829">
        <v>6803342</v>
      </c>
      <c r="H829">
        <v>4329</v>
      </c>
    </row>
    <row r="830" spans="1:8" ht="15" customHeight="1" x14ac:dyDescent="0.25">
      <c r="A830" t="s">
        <v>3074</v>
      </c>
      <c r="B830" t="s">
        <v>7124</v>
      </c>
      <c r="C830" t="s">
        <v>10860</v>
      </c>
      <c r="D830" t="s">
        <v>13287</v>
      </c>
      <c r="E830" t="str">
        <f>+VLOOKUP(A830,[1]PFE4!$A$7:$F$5208,6,0)</f>
        <v>CARRERA 52  74  28  PISO 3</v>
      </c>
      <c r="F830" s="17" t="str">
        <f>+VLOOKUP(A830,[1]PFE4!$A$7:$G$5208,7,0)</f>
        <v>08001</v>
      </c>
      <c r="G830">
        <v>6803541</v>
      </c>
      <c r="H830">
        <v>4329</v>
      </c>
    </row>
    <row r="831" spans="1:8" ht="15" customHeight="1" x14ac:dyDescent="0.25">
      <c r="A831" t="s">
        <v>3075</v>
      </c>
      <c r="B831" t="s">
        <v>7125</v>
      </c>
      <c r="C831" t="s">
        <v>10861</v>
      </c>
      <c r="D831" t="s">
        <v>13287</v>
      </c>
      <c r="E831" t="str">
        <f>+VLOOKUP(A831,[1]PFE4!$A$7:$F$5208,6,0)</f>
        <v>CALLE 37  78  57</v>
      </c>
      <c r="F831" s="17" t="str">
        <f>+VLOOKUP(A831,[1]PFE4!$A$7:$G$5208,7,0)</f>
        <v>05001</v>
      </c>
      <c r="G831">
        <v>6803949</v>
      </c>
      <c r="H831">
        <v>4329</v>
      </c>
    </row>
    <row r="832" spans="1:8" ht="15" customHeight="1" x14ac:dyDescent="0.25">
      <c r="A832" t="s">
        <v>3076</v>
      </c>
      <c r="B832" t="s">
        <v>7126</v>
      </c>
      <c r="C832" t="s">
        <v>10862</v>
      </c>
      <c r="D832" t="s">
        <v>13287</v>
      </c>
      <c r="E832" t="str">
        <f>+VLOOKUP(A832,[1]PFE4!$A$7:$F$5208,6,0)</f>
        <v>CALLE 19  27  80</v>
      </c>
      <c r="F832" s="17">
        <f>+VLOOKUP(A832,[1]PFE4!$A$7:$G$5208,7,0)</f>
        <v>11001</v>
      </c>
      <c r="G832">
        <v>6812420</v>
      </c>
      <c r="H832">
        <v>4329</v>
      </c>
    </row>
    <row r="833" spans="1:8" ht="15" customHeight="1" x14ac:dyDescent="0.25">
      <c r="A833" t="s">
        <v>3077</v>
      </c>
      <c r="B833" t="s">
        <v>7127</v>
      </c>
      <c r="C833" t="s">
        <v>10863</v>
      </c>
      <c r="D833" t="s">
        <v>13287</v>
      </c>
      <c r="E833" t="str">
        <f>+VLOOKUP(A833,[1]PFE4!$A$7:$F$5208,6,0)</f>
        <v>CALLE 6  6  72</v>
      </c>
      <c r="F833" s="17">
        <f>+VLOOKUP(A833,[1]PFE4!$A$7:$G$5208,7,0)</f>
        <v>13001</v>
      </c>
      <c r="G833">
        <v>6817634</v>
      </c>
      <c r="H833">
        <v>4329</v>
      </c>
    </row>
    <row r="834" spans="1:8" ht="15" customHeight="1" x14ac:dyDescent="0.25">
      <c r="A834" t="s">
        <v>3078</v>
      </c>
      <c r="B834" t="s">
        <v>7128</v>
      </c>
      <c r="C834" t="s">
        <v>10864</v>
      </c>
      <c r="D834" t="s">
        <v>13287</v>
      </c>
      <c r="E834" t="str">
        <f>+VLOOKUP(A834,[1]PFE4!$A$7:$F$5208,6,0)</f>
        <v>CALLE 33  83 A  36</v>
      </c>
      <c r="F834" s="17" t="str">
        <f>+VLOOKUP(A834,[1]PFE4!$A$7:$G$5208,7,0)</f>
        <v>05631</v>
      </c>
      <c r="G834">
        <v>6818100</v>
      </c>
      <c r="H834">
        <v>4329</v>
      </c>
    </row>
    <row r="835" spans="1:8" ht="15" customHeight="1" x14ac:dyDescent="0.25">
      <c r="A835" t="s">
        <v>3079</v>
      </c>
      <c r="B835" t="s">
        <v>7129</v>
      </c>
      <c r="C835" t="s">
        <v>10865</v>
      </c>
      <c r="D835" t="s">
        <v>13287</v>
      </c>
      <c r="E835" t="str">
        <f>+VLOOKUP(A835,[1]PFE4!$A$7:$F$5208,6,0)</f>
        <v>CL 1 CR 5 A 1 30</v>
      </c>
      <c r="F835" s="17">
        <f>+VLOOKUP(A835,[1]PFE4!$A$7:$G$5208,7,0)</f>
        <v>76109</v>
      </c>
      <c r="G835">
        <v>6801972</v>
      </c>
      <c r="H835">
        <v>4329</v>
      </c>
    </row>
    <row r="836" spans="1:8" ht="15" customHeight="1" x14ac:dyDescent="0.25">
      <c r="A836" t="s">
        <v>3080</v>
      </c>
      <c r="B836" t="s">
        <v>7130</v>
      </c>
      <c r="C836" t="s">
        <v>10866</v>
      </c>
      <c r="D836" t="s">
        <v>13287</v>
      </c>
      <c r="E836" t="str">
        <f>+VLOOKUP(A836,[1]PFE4!$A$7:$F$5208,6,0)</f>
        <v>CARRERA 14  91  26</v>
      </c>
      <c r="F836" s="17">
        <f>+VLOOKUP(A836,[1]PFE4!$A$7:$G$5208,7,0)</f>
        <v>11001</v>
      </c>
      <c r="G836">
        <v>6824110</v>
      </c>
      <c r="H836">
        <v>4329</v>
      </c>
    </row>
    <row r="837" spans="1:8" ht="15" customHeight="1" x14ac:dyDescent="0.25">
      <c r="A837" t="s">
        <v>3081</v>
      </c>
      <c r="B837" t="s">
        <v>7131</v>
      </c>
      <c r="C837" t="s">
        <v>10867</v>
      </c>
      <c r="D837" t="s">
        <v>13287</v>
      </c>
      <c r="E837" t="str">
        <f>+VLOOKUP(A837,[1]PFE4!$A$7:$F$5208,6,0)</f>
        <v>CARRERA 7 N° 9A - 41 SUR</v>
      </c>
      <c r="F837" s="17">
        <f>+VLOOKUP(A837,[1]PFE4!$A$7:$G$5208,7,0)</f>
        <v>11001</v>
      </c>
      <c r="G837">
        <v>6825821</v>
      </c>
      <c r="H837">
        <v>4329</v>
      </c>
    </row>
    <row r="838" spans="1:8" ht="15" customHeight="1" x14ac:dyDescent="0.25">
      <c r="A838" t="s">
        <v>3082</v>
      </c>
      <c r="B838" t="s">
        <v>7132</v>
      </c>
      <c r="C838" t="s">
        <v>10868</v>
      </c>
      <c r="D838" t="s">
        <v>13287</v>
      </c>
      <c r="E838" t="str">
        <f>+VLOOKUP(A838,[1]PFE4!$A$7:$F$5208,6,0)</f>
        <v>AVENIDA 7 N°145-38</v>
      </c>
      <c r="F838" s="17">
        <f>+VLOOKUP(A838,[1]PFE4!$A$7:$G$5208,7,0)</f>
        <v>11001</v>
      </c>
      <c r="G838">
        <v>6827409</v>
      </c>
      <c r="H838">
        <v>4329</v>
      </c>
    </row>
    <row r="839" spans="1:8" ht="15" customHeight="1" x14ac:dyDescent="0.25">
      <c r="A839" t="s">
        <v>3083</v>
      </c>
      <c r="B839" t="s">
        <v>7133</v>
      </c>
      <c r="C839" t="s">
        <v>10869</v>
      </c>
      <c r="D839" t="s">
        <v>13287</v>
      </c>
      <c r="E839" t="str">
        <f>+VLOOKUP(A839,[1]PFE4!$A$7:$F$5208,6,0)</f>
        <v>CARRERA 13 A  127 B  24</v>
      </c>
      <c r="F839" s="17">
        <f>+VLOOKUP(A839,[1]PFE4!$A$7:$G$5208,7,0)</f>
        <v>11001</v>
      </c>
      <c r="G839">
        <v>6830365</v>
      </c>
      <c r="H839">
        <v>4329</v>
      </c>
    </row>
    <row r="840" spans="1:8" ht="15" customHeight="1" x14ac:dyDescent="0.25">
      <c r="A840" t="s">
        <v>3084</v>
      </c>
      <c r="B840" t="s">
        <v>7134</v>
      </c>
      <c r="C840" t="s">
        <v>10870</v>
      </c>
      <c r="D840" t="s">
        <v>13287</v>
      </c>
      <c r="E840" t="str">
        <f>+VLOOKUP(A840,[1]PFE4!$A$7:$F$5208,6,0)</f>
        <v>CALLE 10B 36-32 OF.601</v>
      </c>
      <c r="F840" s="17" t="str">
        <f>+VLOOKUP(A840,[1]PFE4!$A$7:$G$5208,7,0)</f>
        <v>05266</v>
      </c>
      <c r="G840">
        <v>6835356</v>
      </c>
      <c r="H840">
        <v>4329</v>
      </c>
    </row>
    <row r="841" spans="1:8" ht="15" customHeight="1" x14ac:dyDescent="0.25">
      <c r="A841" t="s">
        <v>3085</v>
      </c>
      <c r="B841" t="s">
        <v>7135</v>
      </c>
      <c r="C841" t="s">
        <v>10871</v>
      </c>
      <c r="D841" t="s">
        <v>13287</v>
      </c>
      <c r="E841" t="str">
        <f>+VLOOKUP(A841,[1]PFE4!$A$7:$F$5208,6,0)</f>
        <v>CALLE 72  27  104</v>
      </c>
      <c r="F841" s="17">
        <f>+VLOOKUP(A841,[1]PFE4!$A$7:$G$5208,7,0)</f>
        <v>17001</v>
      </c>
      <c r="G841">
        <v>6840150</v>
      </c>
      <c r="H841">
        <v>4329</v>
      </c>
    </row>
    <row r="842" spans="1:8" ht="15" customHeight="1" x14ac:dyDescent="0.25">
      <c r="A842" t="s">
        <v>3086</v>
      </c>
      <c r="B842" t="s">
        <v>7136</v>
      </c>
      <c r="C842" t="s">
        <v>10872</v>
      </c>
      <c r="D842" t="s">
        <v>13287</v>
      </c>
      <c r="E842" t="str">
        <f>+VLOOKUP(A842,[1]PFE4!$A$7:$F$5208,6,0)</f>
        <v>CALLE 104 B  57  35</v>
      </c>
      <c r="F842" s="17">
        <f>+VLOOKUP(A842,[1]PFE4!$A$7:$G$5208,7,0)</f>
        <v>11001</v>
      </c>
      <c r="G842">
        <v>6843891</v>
      </c>
      <c r="H842">
        <v>4329</v>
      </c>
    </row>
    <row r="843" spans="1:8" ht="15" customHeight="1" x14ac:dyDescent="0.25">
      <c r="A843" t="s">
        <v>3087</v>
      </c>
      <c r="B843" t="s">
        <v>7137</v>
      </c>
      <c r="C843" t="s">
        <v>10873</v>
      </c>
      <c r="D843" t="s">
        <v>13287</v>
      </c>
      <c r="E843" t="str">
        <f>+VLOOKUP(A843,[1]PFE4!$A$7:$F$5208,6,0)</f>
        <v>CARRERA 9  4 N  05</v>
      </c>
      <c r="F843" s="17">
        <f>+VLOOKUP(A843,[1]PFE4!$A$7:$G$5208,7,0)</f>
        <v>19001</v>
      </c>
      <c r="G843">
        <v>6848231</v>
      </c>
      <c r="H843">
        <v>4329</v>
      </c>
    </row>
    <row r="844" spans="1:8" ht="15" customHeight="1" x14ac:dyDescent="0.25">
      <c r="A844" t="s">
        <v>3088</v>
      </c>
      <c r="B844" t="s">
        <v>7138</v>
      </c>
      <c r="C844" t="s">
        <v>10874</v>
      </c>
      <c r="D844" t="s">
        <v>13287</v>
      </c>
      <c r="E844" t="str">
        <f>+VLOOKUP(A844,[1]PFE4!$A$7:$F$5208,6,0)</f>
        <v>CR 80 19 82</v>
      </c>
      <c r="F844" s="17" t="str">
        <f>+VLOOKUP(A844,[1]PFE4!$A$7:$G$5208,7,0)</f>
        <v>05001</v>
      </c>
      <c r="G844">
        <v>6851868</v>
      </c>
      <c r="H844">
        <v>4329</v>
      </c>
    </row>
    <row r="845" spans="1:8" ht="15" customHeight="1" x14ac:dyDescent="0.25">
      <c r="A845" t="s">
        <v>3089</v>
      </c>
      <c r="B845" t="s">
        <v>7139</v>
      </c>
      <c r="C845" t="s">
        <v>10875</v>
      </c>
      <c r="D845" t="s">
        <v>13287</v>
      </c>
      <c r="E845" t="str">
        <f>+VLOOKUP(A845,[1]PFE4!$A$7:$F$5208,6,0)</f>
        <v>CALLE 32  32  20 EDIFICO PLAZA GRANADA BRR MEJORAS PUBLICAS</v>
      </c>
      <c r="F845" s="17">
        <f>+VLOOKUP(A845,[1]PFE4!$A$7:$G$5208,7,0)</f>
        <v>68001</v>
      </c>
      <c r="G845">
        <v>6858684</v>
      </c>
      <c r="H845">
        <v>4329</v>
      </c>
    </row>
    <row r="846" spans="1:8" ht="15" customHeight="1" x14ac:dyDescent="0.25">
      <c r="A846" t="s">
        <v>3090</v>
      </c>
      <c r="B846" t="s">
        <v>7140</v>
      </c>
      <c r="C846" t="s">
        <v>10876</v>
      </c>
      <c r="D846" t="s">
        <v>13287</v>
      </c>
      <c r="E846" t="str">
        <f>+VLOOKUP(A846,[1]PFE4!$A$7:$F$5208,6,0)</f>
        <v>CARRERA 47  48  65 INTERIOR 801</v>
      </c>
      <c r="F846" s="17" t="str">
        <f>+VLOOKUP(A846,[1]PFE4!$A$7:$G$5208,7,0)</f>
        <v>05440</v>
      </c>
      <c r="G846">
        <v>6858893</v>
      </c>
      <c r="H846">
        <v>4329</v>
      </c>
    </row>
    <row r="847" spans="1:8" ht="15" customHeight="1" x14ac:dyDescent="0.25">
      <c r="A847" t="s">
        <v>3091</v>
      </c>
      <c r="B847" t="s">
        <v>7141</v>
      </c>
      <c r="C847" t="s">
        <v>10608</v>
      </c>
      <c r="D847" t="s">
        <v>13287</v>
      </c>
      <c r="E847" t="str">
        <f>+VLOOKUP(A847,[1]PFE4!$A$7:$F$5208,6,0)</f>
        <v>CALLE 38  34  18</v>
      </c>
      <c r="F847" s="17">
        <f>+VLOOKUP(A847,[1]PFE4!$A$7:$G$5208,7,0)</f>
        <v>68001</v>
      </c>
      <c r="G847">
        <v>6862867</v>
      </c>
      <c r="H847">
        <v>4329</v>
      </c>
    </row>
    <row r="848" spans="1:8" ht="15" customHeight="1" x14ac:dyDescent="0.25">
      <c r="A848" t="s">
        <v>3092</v>
      </c>
      <c r="B848" t="s">
        <v>7142</v>
      </c>
      <c r="C848">
        <v>0</v>
      </c>
      <c r="D848" t="s">
        <v>13287</v>
      </c>
      <c r="E848">
        <v>0</v>
      </c>
      <c r="F848" s="17">
        <v>11001</v>
      </c>
      <c r="G848">
        <v>6864000</v>
      </c>
      <c r="H848">
        <v>4329</v>
      </c>
    </row>
    <row r="849" spans="1:8" ht="15" customHeight="1" x14ac:dyDescent="0.25">
      <c r="A849" t="s">
        <v>3093</v>
      </c>
      <c r="B849" t="s">
        <v>7143</v>
      </c>
      <c r="C849" t="s">
        <v>10877</v>
      </c>
      <c r="D849" t="s">
        <v>13287</v>
      </c>
      <c r="E849" t="str">
        <f>+VLOOKUP(A849,[1]PFE4!$A$7:$F$5208,6,0)</f>
        <v>CR 19 14 37</v>
      </c>
      <c r="F849" s="17" t="str">
        <f>+VLOOKUP(A849,[1]PFE4!$A$7:$G$5208,7,0)</f>
        <v>05376</v>
      </c>
      <c r="G849">
        <v>6877728</v>
      </c>
      <c r="H849">
        <v>4329</v>
      </c>
    </row>
    <row r="850" spans="1:8" ht="15" customHeight="1" x14ac:dyDescent="0.25">
      <c r="A850" t="s">
        <v>3094</v>
      </c>
      <c r="B850" t="s">
        <v>7144</v>
      </c>
      <c r="C850" t="s">
        <v>10878</v>
      </c>
      <c r="D850" t="s">
        <v>13287</v>
      </c>
      <c r="E850" t="str">
        <f>+VLOOKUP(A850,[1]PFE4!$A$7:$F$5208,6,0)</f>
        <v>CARRERA 20  127 B  22</v>
      </c>
      <c r="F850" s="17">
        <f>+VLOOKUP(A850,[1]PFE4!$A$7:$G$5208,7,0)</f>
        <v>11001</v>
      </c>
      <c r="G850">
        <v>6886557</v>
      </c>
      <c r="H850">
        <v>4329</v>
      </c>
    </row>
    <row r="851" spans="1:8" ht="15" customHeight="1" x14ac:dyDescent="0.25">
      <c r="A851" t="s">
        <v>3095</v>
      </c>
      <c r="B851" t="s">
        <v>7145</v>
      </c>
      <c r="C851" t="s">
        <v>10879</v>
      </c>
      <c r="D851" t="s">
        <v>13287</v>
      </c>
      <c r="E851" t="str">
        <f>+VLOOKUP(A851,[1]PFE4!$A$7:$F$5208,6,0)</f>
        <v>CALLE 103A 23-32</v>
      </c>
      <c r="F851" s="17">
        <f>+VLOOKUP(A851,[1]PFE4!$A$7:$G$5208,7,0)</f>
        <v>11001</v>
      </c>
      <c r="G851">
        <v>6892734</v>
      </c>
      <c r="H851">
        <v>4329</v>
      </c>
    </row>
    <row r="852" spans="1:8" ht="15" customHeight="1" x14ac:dyDescent="0.25">
      <c r="A852" t="s">
        <v>3096</v>
      </c>
      <c r="B852" t="s">
        <v>7146</v>
      </c>
      <c r="C852">
        <v>0</v>
      </c>
      <c r="D852" t="s">
        <v>13287</v>
      </c>
      <c r="E852">
        <v>0</v>
      </c>
      <c r="F852" s="17">
        <v>11001</v>
      </c>
      <c r="G852">
        <v>6900000</v>
      </c>
      <c r="H852">
        <v>4329</v>
      </c>
    </row>
    <row r="853" spans="1:8" ht="15" customHeight="1" x14ac:dyDescent="0.25">
      <c r="A853" t="s">
        <v>3097</v>
      </c>
      <c r="B853" t="s">
        <v>7147</v>
      </c>
      <c r="C853">
        <v>0</v>
      </c>
      <c r="D853" t="s">
        <v>13287</v>
      </c>
      <c r="E853">
        <v>0</v>
      </c>
      <c r="F853" s="17">
        <v>11001</v>
      </c>
      <c r="G853">
        <v>6900000</v>
      </c>
      <c r="H853">
        <v>4329</v>
      </c>
    </row>
    <row r="854" spans="1:8" ht="15" customHeight="1" x14ac:dyDescent="0.25">
      <c r="A854" t="s">
        <v>3098</v>
      </c>
      <c r="B854" t="s">
        <v>7148</v>
      </c>
      <c r="C854" t="s">
        <v>10880</v>
      </c>
      <c r="D854" t="s">
        <v>13287</v>
      </c>
      <c r="E854" t="str">
        <f>+VLOOKUP(A854,[1]PFE4!$A$7:$F$5208,6,0)</f>
        <v>CL 33 A A 83 A 29 AP 501</v>
      </c>
      <c r="F854" s="17" t="str">
        <f>+VLOOKUP(A854,[1]PFE4!$A$7:$G$5208,7,0)</f>
        <v>05001</v>
      </c>
      <c r="G854">
        <v>6901284</v>
      </c>
      <c r="H854">
        <v>4329</v>
      </c>
    </row>
    <row r="855" spans="1:8" ht="15" customHeight="1" x14ac:dyDescent="0.25">
      <c r="A855" t="s">
        <v>3099</v>
      </c>
      <c r="B855" t="s">
        <v>7149</v>
      </c>
      <c r="C855" t="s">
        <v>10881</v>
      </c>
      <c r="D855" t="s">
        <v>13287</v>
      </c>
      <c r="E855" t="str">
        <f>+VLOOKUP(A855,[1]PFE4!$A$7:$F$5208,6,0)</f>
        <v>CALLE 5  28  05</v>
      </c>
      <c r="F855" s="17">
        <f>+VLOOKUP(A855,[1]PFE4!$A$7:$G$5208,7,0)</f>
        <v>41001</v>
      </c>
      <c r="G855">
        <v>6917749</v>
      </c>
      <c r="H855">
        <v>4329</v>
      </c>
    </row>
    <row r="856" spans="1:8" ht="15" customHeight="1" x14ac:dyDescent="0.25">
      <c r="A856" t="s">
        <v>3100</v>
      </c>
      <c r="B856" t="s">
        <v>7150</v>
      </c>
      <c r="C856" t="s">
        <v>10882</v>
      </c>
      <c r="D856" t="s">
        <v>13287</v>
      </c>
      <c r="E856" t="str">
        <f>+VLOOKUP(A856,[1]PFE4!$A$7:$F$5208,6,0)</f>
        <v>CR 96 A 46 10</v>
      </c>
      <c r="F856" s="17" t="str">
        <f>+VLOOKUP(A856,[1]PFE4!$A$7:$G$5208,7,0)</f>
        <v>08001</v>
      </c>
      <c r="G856">
        <v>6919379</v>
      </c>
      <c r="H856">
        <v>4329</v>
      </c>
    </row>
    <row r="857" spans="1:8" ht="15" customHeight="1" x14ac:dyDescent="0.25">
      <c r="A857" t="s">
        <v>3101</v>
      </c>
      <c r="B857" t="s">
        <v>7151</v>
      </c>
      <c r="C857" t="s">
        <v>10883</v>
      </c>
      <c r="D857" t="s">
        <v>13287</v>
      </c>
      <c r="E857" t="str">
        <f>+VLOOKUP(A857,[1]PFE4!$A$7:$F$5208,6,0)</f>
        <v>CARRERA 34  42  54</v>
      </c>
      <c r="F857" s="17">
        <f>+VLOOKUP(A857,[1]PFE4!$A$7:$G$5208,7,0)</f>
        <v>11001</v>
      </c>
      <c r="G857">
        <v>6935860</v>
      </c>
      <c r="H857">
        <v>4329</v>
      </c>
    </row>
    <row r="858" spans="1:8" ht="15" customHeight="1" x14ac:dyDescent="0.25">
      <c r="A858" t="s">
        <v>3102</v>
      </c>
      <c r="B858" t="s">
        <v>7152</v>
      </c>
      <c r="C858" t="s">
        <v>10884</v>
      </c>
      <c r="D858" t="s">
        <v>13287</v>
      </c>
      <c r="E858" t="str">
        <f>+VLOOKUP(A858,[1]PFE4!$A$7:$F$5208,6,0)</f>
        <v>CARRERA 50  122  91</v>
      </c>
      <c r="F858" s="17">
        <f>+VLOOKUP(A858,[1]PFE4!$A$7:$G$5208,7,0)</f>
        <v>11001</v>
      </c>
      <c r="G858">
        <v>6936915</v>
      </c>
      <c r="H858">
        <v>4329</v>
      </c>
    </row>
    <row r="859" spans="1:8" ht="15" customHeight="1" x14ac:dyDescent="0.25">
      <c r="A859" t="s">
        <v>3103</v>
      </c>
      <c r="B859" t="s">
        <v>7153</v>
      </c>
      <c r="C859" t="s">
        <v>10885</v>
      </c>
      <c r="D859" t="s">
        <v>13287</v>
      </c>
      <c r="E859" t="str">
        <f>+VLOOKUP(A859,[1]PFE4!$A$7:$F$5208,6,0)</f>
        <v>CARRERA 51 #57-55</v>
      </c>
      <c r="F859" s="17" t="str">
        <f>+VLOOKUP(A859,[1]PFE4!$A$7:$G$5208,7,0)</f>
        <v>05318</v>
      </c>
      <c r="G859">
        <v>6944523</v>
      </c>
      <c r="H859">
        <v>4329</v>
      </c>
    </row>
    <row r="860" spans="1:8" ht="15" customHeight="1" x14ac:dyDescent="0.25">
      <c r="A860" t="s">
        <v>3104</v>
      </c>
      <c r="B860" t="s">
        <v>7154</v>
      </c>
      <c r="C860" t="s">
        <v>10886</v>
      </c>
      <c r="D860" t="s">
        <v>13287</v>
      </c>
      <c r="E860" t="str">
        <f>+VLOOKUP(A860,[1]PFE4!$A$7:$F$5208,6,0)</f>
        <v>CALLE 45 SUR  41 B  04</v>
      </c>
      <c r="F860" s="17" t="str">
        <f>+VLOOKUP(A860,[1]PFE4!$A$7:$G$5208,7,0)</f>
        <v>05266</v>
      </c>
      <c r="G860">
        <v>6949273</v>
      </c>
      <c r="H860">
        <v>4329</v>
      </c>
    </row>
    <row r="861" spans="1:8" ht="15" customHeight="1" x14ac:dyDescent="0.25">
      <c r="A861" t="s">
        <v>3105</v>
      </c>
      <c r="B861" t="s">
        <v>7155</v>
      </c>
      <c r="C861" t="s">
        <v>10887</v>
      </c>
      <c r="D861" t="s">
        <v>13287</v>
      </c>
      <c r="E861" t="str">
        <f>+VLOOKUP(A861,[1]PFE4!$A$7:$F$5208,6,0)</f>
        <v>URBANIZACION SAN JUAN BLOQUE 9 APARTAMENTO 5 C</v>
      </c>
      <c r="F861" s="17">
        <f>+VLOOKUP(A861,[1]PFE4!$A$7:$G$5208,7,0)</f>
        <v>11001</v>
      </c>
      <c r="G861">
        <v>6955704</v>
      </c>
      <c r="H861">
        <v>4329</v>
      </c>
    </row>
    <row r="862" spans="1:8" ht="15" customHeight="1" x14ac:dyDescent="0.25">
      <c r="A862" t="s">
        <v>3106</v>
      </c>
      <c r="B862" t="s">
        <v>7156</v>
      </c>
      <c r="C862" t="s">
        <v>10888</v>
      </c>
      <c r="D862" t="s">
        <v>13287</v>
      </c>
      <c r="E862" t="str">
        <f>+VLOOKUP(A862,[1]PFE4!$A$7:$F$5208,6,0)</f>
        <v>CL 66 45 33 BRR LA FLORESTA</v>
      </c>
      <c r="F862" s="17">
        <f>+VLOOKUP(A862,[1]PFE4!$A$7:$G$5208,7,0)</f>
        <v>68001</v>
      </c>
      <c r="G862">
        <v>6956195</v>
      </c>
      <c r="H862">
        <v>4329</v>
      </c>
    </row>
    <row r="863" spans="1:8" ht="15" customHeight="1" x14ac:dyDescent="0.25">
      <c r="A863" t="s">
        <v>3107</v>
      </c>
      <c r="B863" t="s">
        <v>7157</v>
      </c>
      <c r="C863" t="s">
        <v>10889</v>
      </c>
      <c r="D863" t="s">
        <v>13287</v>
      </c>
      <c r="E863" t="str">
        <f>+VLOOKUP(A863,[1]PFE4!$A$7:$F$5208,6,0)</f>
        <v>CALLE 103  21  52 BRR CHICO NAVARRRA</v>
      </c>
      <c r="F863" s="17">
        <f>+VLOOKUP(A863,[1]PFE4!$A$7:$G$5208,7,0)</f>
        <v>11001</v>
      </c>
      <c r="G863">
        <v>6956415</v>
      </c>
      <c r="H863">
        <v>4329</v>
      </c>
    </row>
    <row r="864" spans="1:8" ht="15" customHeight="1" x14ac:dyDescent="0.25">
      <c r="A864" t="s">
        <v>3108</v>
      </c>
      <c r="B864" t="s">
        <v>7158</v>
      </c>
      <c r="C864">
        <v>0</v>
      </c>
      <c r="D864" t="s">
        <v>13287</v>
      </c>
      <c r="E864">
        <v>0</v>
      </c>
      <c r="F864" s="17">
        <v>11001</v>
      </c>
      <c r="G864">
        <v>6958000</v>
      </c>
      <c r="H864">
        <v>4329</v>
      </c>
    </row>
    <row r="865" spans="1:8" ht="15" customHeight="1" x14ac:dyDescent="0.25">
      <c r="A865" t="s">
        <v>3109</v>
      </c>
      <c r="B865" t="s">
        <v>7159</v>
      </c>
      <c r="C865" t="s">
        <v>10890</v>
      </c>
      <c r="D865" t="s">
        <v>13287</v>
      </c>
      <c r="E865" t="str">
        <f>+VLOOKUP(A865,[1]PFE4!$A$7:$F$5208,6,0)</f>
        <v>CR 17 164 25</v>
      </c>
      <c r="F865" s="17">
        <f>+VLOOKUP(A865,[1]PFE4!$A$7:$G$5208,7,0)</f>
        <v>11001</v>
      </c>
      <c r="G865">
        <v>6959926</v>
      </c>
      <c r="H865">
        <v>4329</v>
      </c>
    </row>
    <row r="866" spans="1:8" ht="15" customHeight="1" x14ac:dyDescent="0.25">
      <c r="A866" t="s">
        <v>3110</v>
      </c>
      <c r="B866" t="s">
        <v>7160</v>
      </c>
      <c r="C866" t="s">
        <v>10891</v>
      </c>
      <c r="D866" t="s">
        <v>13287</v>
      </c>
      <c r="E866" t="str">
        <f>+VLOOKUP(A866,[1]PFE4!$A$7:$F$5208,6,0)</f>
        <v>CL 71 53 96 BRR LAGOS DEL CACIQUE</v>
      </c>
      <c r="F866" s="17">
        <f>+VLOOKUP(A866,[1]PFE4!$A$7:$G$5208,7,0)</f>
        <v>68001</v>
      </c>
      <c r="G866">
        <v>6961213</v>
      </c>
      <c r="H866">
        <v>4329</v>
      </c>
    </row>
    <row r="867" spans="1:8" ht="15" customHeight="1" x14ac:dyDescent="0.25">
      <c r="A867" t="s">
        <v>3111</v>
      </c>
      <c r="B867" t="s">
        <v>7161</v>
      </c>
      <c r="C867" t="s">
        <v>10892</v>
      </c>
      <c r="D867" t="s">
        <v>13287</v>
      </c>
      <c r="E867" t="str">
        <f>+VLOOKUP(A867,[1]PFE4!$A$7:$F$5208,6,0)</f>
        <v>CALLE 45  27 A  73</v>
      </c>
      <c r="F867" s="17">
        <f>+VLOOKUP(A867,[1]PFE4!$A$7:$G$5208,7,0)</f>
        <v>68001</v>
      </c>
      <c r="G867">
        <v>6962503</v>
      </c>
      <c r="H867">
        <v>4329</v>
      </c>
    </row>
    <row r="868" spans="1:8" ht="15" customHeight="1" x14ac:dyDescent="0.25">
      <c r="A868" t="s">
        <v>3112</v>
      </c>
      <c r="B868" t="s">
        <v>7162</v>
      </c>
      <c r="C868" t="s">
        <v>10893</v>
      </c>
      <c r="D868" t="s">
        <v>13287</v>
      </c>
      <c r="E868" t="str">
        <f>+VLOOKUP(A868,[1]PFE4!$A$7:$F$5208,6,0)</f>
        <v>CALLE 8 A  9  43</v>
      </c>
      <c r="F868" s="17">
        <f>+VLOOKUP(A868,[1]PFE4!$A$7:$G$5208,7,0)</f>
        <v>54001</v>
      </c>
      <c r="G868">
        <v>6968140</v>
      </c>
      <c r="H868">
        <v>4329</v>
      </c>
    </row>
    <row r="869" spans="1:8" ht="15" customHeight="1" x14ac:dyDescent="0.25">
      <c r="A869" t="s">
        <v>3113</v>
      </c>
      <c r="B869" t="s">
        <v>7163</v>
      </c>
      <c r="C869" t="s">
        <v>10894</v>
      </c>
      <c r="D869" t="s">
        <v>13287</v>
      </c>
      <c r="E869" t="str">
        <f>+VLOOKUP(A869,[1]PFE4!$A$7:$F$5208,6,0)</f>
        <v>CRA 45 C C 70 SUR 14</v>
      </c>
      <c r="F869" s="17" t="str">
        <f>+VLOOKUP(A869,[1]PFE4!$A$7:$G$5208,7,0)</f>
        <v>05631</v>
      </c>
      <c r="G869">
        <v>6970176</v>
      </c>
      <c r="H869">
        <v>4329</v>
      </c>
    </row>
    <row r="870" spans="1:8" ht="15" customHeight="1" x14ac:dyDescent="0.25">
      <c r="A870" t="s">
        <v>3114</v>
      </c>
      <c r="B870" t="s">
        <v>7164</v>
      </c>
      <c r="C870" t="s">
        <v>10895</v>
      </c>
      <c r="D870" t="s">
        <v>13287</v>
      </c>
      <c r="E870" t="str">
        <f>+VLOOKUP(A870,[1]PFE4!$A$7:$F$5208,6,0)</f>
        <v>AVENIDA 3 F  55 N  72</v>
      </c>
      <c r="F870" s="17">
        <f>+VLOOKUP(A870,[1]PFE4!$A$7:$G$5208,7,0)</f>
        <v>11001</v>
      </c>
      <c r="G870">
        <v>6970936</v>
      </c>
      <c r="H870">
        <v>4329</v>
      </c>
    </row>
    <row r="871" spans="1:8" ht="15" customHeight="1" x14ac:dyDescent="0.25">
      <c r="A871" t="s">
        <v>3115</v>
      </c>
      <c r="B871" t="s">
        <v>7165</v>
      </c>
      <c r="C871" t="s">
        <v>10896</v>
      </c>
      <c r="D871" t="s">
        <v>13287</v>
      </c>
      <c r="E871" t="str">
        <f>+VLOOKUP(A871,[1]PFE4!$A$7:$F$5208,6,0)</f>
        <v>CR 30 50 09</v>
      </c>
      <c r="F871" s="17">
        <f>+VLOOKUP(A871,[1]PFE4!$A$7:$G$5208,7,0)</f>
        <v>47001</v>
      </c>
      <c r="G871">
        <v>6975436</v>
      </c>
      <c r="H871">
        <v>4329</v>
      </c>
    </row>
    <row r="872" spans="1:8" ht="15" customHeight="1" x14ac:dyDescent="0.25">
      <c r="A872" t="s">
        <v>3116</v>
      </c>
      <c r="B872" t="s">
        <v>7166</v>
      </c>
      <c r="C872" t="s">
        <v>10897</v>
      </c>
      <c r="D872" t="s">
        <v>13287</v>
      </c>
      <c r="E872" t="str">
        <f>+VLOOKUP(A872,[1]PFE4!$A$7:$F$5208,6,0)</f>
        <v>CR 13 A 29 B 22</v>
      </c>
      <c r="F872" s="17">
        <f>+VLOOKUP(A872,[1]PFE4!$A$7:$G$5208,7,0)</f>
        <v>11001</v>
      </c>
      <c r="G872">
        <v>6977230</v>
      </c>
      <c r="H872">
        <v>4329</v>
      </c>
    </row>
    <row r="873" spans="1:8" ht="15" customHeight="1" x14ac:dyDescent="0.25">
      <c r="A873" t="s">
        <v>3117</v>
      </c>
      <c r="B873" t="s">
        <v>7167</v>
      </c>
      <c r="C873" t="s">
        <v>10898</v>
      </c>
      <c r="D873" t="s">
        <v>13287</v>
      </c>
      <c r="E873" t="str">
        <f>+VLOOKUP(A873,[1]PFE4!$A$7:$F$5208,6,0)</f>
        <v>CARRERA 43 B No. 80 - 88</v>
      </c>
      <c r="F873" s="17" t="str">
        <f>+VLOOKUP(A873,[1]PFE4!$A$7:$G$5208,7,0)</f>
        <v>08001</v>
      </c>
      <c r="G873">
        <v>6977645</v>
      </c>
      <c r="H873">
        <v>4329</v>
      </c>
    </row>
    <row r="874" spans="1:8" ht="15" customHeight="1" x14ac:dyDescent="0.25">
      <c r="A874" t="s">
        <v>3118</v>
      </c>
      <c r="B874" t="s">
        <v>7168</v>
      </c>
      <c r="C874" t="s">
        <v>10899</v>
      </c>
      <c r="D874" t="s">
        <v>13287</v>
      </c>
      <c r="E874" t="str">
        <f>+VLOOKUP(A874,[1]PFE4!$A$7:$F$5208,6,0)</f>
        <v>CARRERA 2 ESTE  2  02</v>
      </c>
      <c r="F874" s="17">
        <f>+VLOOKUP(A874,[1]PFE4!$A$7:$G$5208,7,0)</f>
        <v>76001</v>
      </c>
      <c r="G874">
        <v>6984372</v>
      </c>
      <c r="H874">
        <v>4329</v>
      </c>
    </row>
    <row r="875" spans="1:8" ht="15" customHeight="1" x14ac:dyDescent="0.25">
      <c r="A875" t="s">
        <v>3119</v>
      </c>
      <c r="B875" t="s">
        <v>7169</v>
      </c>
      <c r="C875" t="s">
        <v>10900</v>
      </c>
      <c r="D875" t="s">
        <v>13287</v>
      </c>
      <c r="E875" t="str">
        <f>+VLOOKUP(A875,[1]PFE4!$A$7:$F$5208,6,0)</f>
        <v>CARRERA 22  44  68</v>
      </c>
      <c r="F875" s="17">
        <f>+VLOOKUP(A875,[1]PFE4!$A$7:$G$5208,7,0)</f>
        <v>17001</v>
      </c>
      <c r="G875">
        <v>6985236</v>
      </c>
      <c r="H875">
        <v>4329</v>
      </c>
    </row>
    <row r="876" spans="1:8" ht="15" customHeight="1" x14ac:dyDescent="0.25">
      <c r="A876" t="s">
        <v>3120</v>
      </c>
      <c r="B876" t="s">
        <v>7170</v>
      </c>
      <c r="C876" t="s">
        <v>10901</v>
      </c>
      <c r="D876" t="s">
        <v>13287</v>
      </c>
      <c r="E876" t="str">
        <f>+VLOOKUP(A876,[1]PFE4!$A$7:$F$5208,6,0)</f>
        <v>AVENIDA CENTENARIO  2  56</v>
      </c>
      <c r="F876" s="17">
        <f>+VLOOKUP(A876,[1]PFE4!$A$7:$G$5208,7,0)</f>
        <v>63001</v>
      </c>
      <c r="G876">
        <v>6987132</v>
      </c>
      <c r="H876">
        <v>4329</v>
      </c>
    </row>
    <row r="877" spans="1:8" ht="15" customHeight="1" x14ac:dyDescent="0.25">
      <c r="A877" t="s">
        <v>3121</v>
      </c>
      <c r="B877" t="s">
        <v>7171</v>
      </c>
      <c r="C877" t="s">
        <v>10902</v>
      </c>
      <c r="D877" t="s">
        <v>13287</v>
      </c>
      <c r="E877" t="str">
        <f>+VLOOKUP(A877,[1]PFE4!$A$7:$F$5208,6,0)</f>
        <v>CL 8 29  163</v>
      </c>
      <c r="F877" s="17">
        <f>+VLOOKUP(A877,[1]PFE4!$A$7:$G$5208,7,0)</f>
        <v>54498</v>
      </c>
      <c r="G877">
        <v>6989040</v>
      </c>
      <c r="H877">
        <v>4329</v>
      </c>
    </row>
    <row r="878" spans="1:8" ht="15" customHeight="1" x14ac:dyDescent="0.25">
      <c r="A878" t="s">
        <v>3122</v>
      </c>
      <c r="B878" t="s">
        <v>7172</v>
      </c>
      <c r="C878" t="s">
        <v>10903</v>
      </c>
      <c r="D878" t="s">
        <v>13287</v>
      </c>
      <c r="E878" t="str">
        <f>+VLOOKUP(A878,[1]PFE4!$A$7:$F$5208,6,0)</f>
        <v>CALLE 2A 1E-67</v>
      </c>
      <c r="F878" s="17">
        <f>+VLOOKUP(A878,[1]PFE4!$A$7:$G$5208,7,0)</f>
        <v>11001</v>
      </c>
      <c r="G878">
        <v>6992622</v>
      </c>
      <c r="H878">
        <v>4329</v>
      </c>
    </row>
    <row r="879" spans="1:8" ht="15" customHeight="1" x14ac:dyDescent="0.25">
      <c r="A879" t="s">
        <v>3123</v>
      </c>
      <c r="B879" t="s">
        <v>7173</v>
      </c>
      <c r="C879">
        <v>0</v>
      </c>
      <c r="D879" t="s">
        <v>13287</v>
      </c>
      <c r="E879">
        <v>0</v>
      </c>
      <c r="F879" s="17">
        <v>11001</v>
      </c>
      <c r="G879">
        <v>6996000</v>
      </c>
      <c r="H879">
        <v>4329</v>
      </c>
    </row>
    <row r="880" spans="1:8" ht="15" customHeight="1" x14ac:dyDescent="0.25">
      <c r="A880" t="s">
        <v>3124</v>
      </c>
      <c r="B880" t="s">
        <v>7174</v>
      </c>
      <c r="C880" t="s">
        <v>10904</v>
      </c>
      <c r="D880" t="s">
        <v>13287</v>
      </c>
      <c r="E880" t="str">
        <f>+VLOOKUP(A880,[1]PFE4!$A$7:$F$5208,6,0)</f>
        <v>CARRERA 14  9  18</v>
      </c>
      <c r="F880" s="17">
        <f>+VLOOKUP(A880,[1]PFE4!$A$7:$G$5208,7,0)</f>
        <v>63001</v>
      </c>
      <c r="G880">
        <v>7000240</v>
      </c>
      <c r="H880">
        <v>4329</v>
      </c>
    </row>
    <row r="881" spans="1:8" ht="15" customHeight="1" x14ac:dyDescent="0.25">
      <c r="A881" t="s">
        <v>3125</v>
      </c>
      <c r="B881" t="s">
        <v>7175</v>
      </c>
      <c r="C881" t="s">
        <v>10585</v>
      </c>
      <c r="D881" t="s">
        <v>13287</v>
      </c>
      <c r="E881" t="str">
        <f>+VLOOKUP(A881,[1]PFE4!$A$7:$F$5208,6,0)</f>
        <v>CALLE 106 B  23  17</v>
      </c>
      <c r="F881" s="17">
        <f>+VLOOKUP(A881,[1]PFE4!$A$7:$G$5208,7,0)</f>
        <v>11001</v>
      </c>
      <c r="G881">
        <v>7003749</v>
      </c>
      <c r="H881">
        <v>4329</v>
      </c>
    </row>
    <row r="882" spans="1:8" ht="15" customHeight="1" x14ac:dyDescent="0.25">
      <c r="A882" t="s">
        <v>3126</v>
      </c>
      <c r="B882" t="s">
        <v>7176</v>
      </c>
      <c r="C882" t="s">
        <v>10905</v>
      </c>
      <c r="D882" t="s">
        <v>13287</v>
      </c>
      <c r="E882" t="str">
        <f>+VLOOKUP(A882,[1]PFE4!$A$7:$F$5208,6,0)</f>
        <v>CALLE 25  4  08</v>
      </c>
      <c r="F882" s="17">
        <f>+VLOOKUP(A882,[1]PFE4!$A$7:$G$5208,7,0)</f>
        <v>76001</v>
      </c>
      <c r="G882">
        <v>7007136</v>
      </c>
      <c r="H882">
        <v>4329</v>
      </c>
    </row>
    <row r="883" spans="1:8" ht="15" customHeight="1" x14ac:dyDescent="0.25">
      <c r="A883" t="s">
        <v>3127</v>
      </c>
      <c r="B883" t="s">
        <v>7177</v>
      </c>
      <c r="C883" t="s">
        <v>10906</v>
      </c>
      <c r="D883" t="s">
        <v>13287</v>
      </c>
      <c r="E883" t="str">
        <f>+VLOOKUP(A883,[1]PFE4!$A$7:$F$5208,6,0)</f>
        <v>CL 67 NORTE 8 N 65</v>
      </c>
      <c r="F883" s="17">
        <f>+VLOOKUP(A883,[1]PFE4!$A$7:$G$5208,7,0)</f>
        <v>76001</v>
      </c>
      <c r="G883">
        <v>7008820</v>
      </c>
      <c r="H883">
        <v>4329</v>
      </c>
    </row>
    <row r="884" spans="1:8" ht="15" customHeight="1" x14ac:dyDescent="0.25">
      <c r="A884" t="s">
        <v>3128</v>
      </c>
      <c r="B884" t="s">
        <v>7178</v>
      </c>
      <c r="C884" t="s">
        <v>10907</v>
      </c>
      <c r="D884" t="s">
        <v>13287</v>
      </c>
      <c r="E884" t="str">
        <f>+VLOOKUP(A884,[1]PFE4!$A$7:$F$5208,6,0)</f>
        <v>CALLE 25 C SUR  45  57</v>
      </c>
      <c r="F884" s="17" t="str">
        <f>+VLOOKUP(A884,[1]PFE4!$A$7:$G$5208,7,0)</f>
        <v>05266</v>
      </c>
      <c r="G884">
        <v>7010115</v>
      </c>
      <c r="H884">
        <v>4329</v>
      </c>
    </row>
    <row r="885" spans="1:8" ht="15" customHeight="1" x14ac:dyDescent="0.25">
      <c r="A885" t="s">
        <v>3129</v>
      </c>
      <c r="B885" t="s">
        <v>7179</v>
      </c>
      <c r="C885" t="s">
        <v>10908</v>
      </c>
      <c r="D885" t="s">
        <v>13287</v>
      </c>
      <c r="E885" t="str">
        <f>+VLOOKUP(A885,[1]PFE4!$A$7:$F$5208,6,0)</f>
        <v>CARRERA 39  46  84</v>
      </c>
      <c r="F885" s="17">
        <f>+VLOOKUP(A885,[1]PFE4!$A$7:$G$5208,7,0)</f>
        <v>68001</v>
      </c>
      <c r="G885">
        <v>7021983</v>
      </c>
      <c r="H885">
        <v>4329</v>
      </c>
    </row>
    <row r="886" spans="1:8" ht="15" customHeight="1" x14ac:dyDescent="0.25">
      <c r="A886" t="s">
        <v>3130</v>
      </c>
      <c r="B886" t="s">
        <v>7180</v>
      </c>
      <c r="C886" t="s">
        <v>10909</v>
      </c>
      <c r="D886" t="s">
        <v>13287</v>
      </c>
      <c r="E886" t="str">
        <f>+VLOOKUP(A886,[1]PFE4!$A$7:$F$5208,6,0)</f>
        <v>CARRERA 13 BIS  109  11</v>
      </c>
      <c r="F886" s="17">
        <f>+VLOOKUP(A886,[1]PFE4!$A$7:$G$5208,7,0)</f>
        <v>11001</v>
      </c>
      <c r="G886">
        <v>7031970</v>
      </c>
      <c r="H886">
        <v>4329</v>
      </c>
    </row>
    <row r="887" spans="1:8" ht="15" customHeight="1" x14ac:dyDescent="0.25">
      <c r="A887" t="s">
        <v>3131</v>
      </c>
      <c r="B887" t="s">
        <v>7181</v>
      </c>
      <c r="C887" t="s">
        <v>10713</v>
      </c>
      <c r="D887" t="s">
        <v>13287</v>
      </c>
      <c r="E887" t="str">
        <f>+VLOOKUP(A887,[1]PFE4!$A$7:$F$5208,6,0)</f>
        <v>CARRERA 15  116  36  OFICINA 521</v>
      </c>
      <c r="F887" s="17">
        <f>+VLOOKUP(A887,[1]PFE4!$A$7:$G$5208,7,0)</f>
        <v>11001</v>
      </c>
      <c r="G887">
        <v>7034527</v>
      </c>
      <c r="H887">
        <v>4329</v>
      </c>
    </row>
    <row r="888" spans="1:8" ht="15" customHeight="1" x14ac:dyDescent="0.25">
      <c r="A888" t="s">
        <v>3132</v>
      </c>
      <c r="B888" t="s">
        <v>7182</v>
      </c>
      <c r="C888" t="s">
        <v>10910</v>
      </c>
      <c r="D888" t="s">
        <v>13287</v>
      </c>
      <c r="E888" t="str">
        <f>+VLOOKUP(A888,[1]PFE4!$A$7:$F$5208,6,0)</f>
        <v>CARRERA 29  58  110</v>
      </c>
      <c r="F888" s="17">
        <f>+VLOOKUP(A888,[1]PFE4!$A$7:$G$5208,7,0)</f>
        <v>68001</v>
      </c>
      <c r="G888">
        <v>7035555</v>
      </c>
      <c r="H888">
        <v>4329</v>
      </c>
    </row>
    <row r="889" spans="1:8" ht="15" customHeight="1" x14ac:dyDescent="0.25">
      <c r="A889" t="s">
        <v>3133</v>
      </c>
      <c r="B889" t="s">
        <v>7183</v>
      </c>
      <c r="C889" t="s">
        <v>10911</v>
      </c>
      <c r="D889" t="s">
        <v>13287</v>
      </c>
      <c r="E889" t="str">
        <f>+VLOOKUP(A889,[1]PFE4!$A$7:$F$5208,6,0)</f>
        <v>CALLE 50 No. 28 - 34</v>
      </c>
      <c r="F889" s="17">
        <f>+VLOOKUP(A889,[1]PFE4!$A$7:$G$5208,7,0)</f>
        <v>11001</v>
      </c>
      <c r="G889">
        <v>7038204</v>
      </c>
      <c r="H889">
        <v>4329</v>
      </c>
    </row>
    <row r="890" spans="1:8" ht="15" customHeight="1" x14ac:dyDescent="0.25">
      <c r="A890" t="s">
        <v>3134</v>
      </c>
      <c r="B890" t="s">
        <v>7184</v>
      </c>
      <c r="C890" t="s">
        <v>10912</v>
      </c>
      <c r="D890" t="s">
        <v>13287</v>
      </c>
      <c r="E890" t="str">
        <f>+VLOOKUP(A890,[1]PFE4!$A$7:$F$5208,6,0)</f>
        <v>CALLE 32 C  76  92</v>
      </c>
      <c r="F890" s="17" t="str">
        <f>+VLOOKUP(A890,[1]PFE4!$A$7:$G$5208,7,0)</f>
        <v>05001</v>
      </c>
      <c r="G890">
        <v>7041356</v>
      </c>
      <c r="H890">
        <v>4329</v>
      </c>
    </row>
    <row r="891" spans="1:8" ht="15" customHeight="1" x14ac:dyDescent="0.25">
      <c r="A891" t="s">
        <v>3135</v>
      </c>
      <c r="B891" t="s">
        <v>7185</v>
      </c>
      <c r="C891" t="s">
        <v>10913</v>
      </c>
      <c r="D891" t="s">
        <v>13287</v>
      </c>
      <c r="E891" t="str">
        <f>+VLOOKUP(A891,[1]PFE4!$A$7:$F$5208,6,0)</f>
        <v>CR 43 93 73</v>
      </c>
      <c r="F891" s="17" t="str">
        <f>+VLOOKUP(A891,[1]PFE4!$A$7:$G$5208,7,0)</f>
        <v>08001</v>
      </c>
      <c r="G891">
        <v>7044000</v>
      </c>
      <c r="H891">
        <v>4329</v>
      </c>
    </row>
    <row r="892" spans="1:8" ht="15" customHeight="1" x14ac:dyDescent="0.25">
      <c r="A892" t="s">
        <v>3136</v>
      </c>
      <c r="B892" t="s">
        <v>7186</v>
      </c>
      <c r="C892" t="s">
        <v>10914</v>
      </c>
      <c r="D892" t="s">
        <v>13287</v>
      </c>
      <c r="E892" t="str">
        <f>+VLOOKUP(A892,[1]PFE4!$A$7:$F$5208,6,0)</f>
        <v>CALLE 143  17  35</v>
      </c>
      <c r="F892" s="17">
        <f>+VLOOKUP(A892,[1]PFE4!$A$7:$G$5208,7,0)</f>
        <v>11001</v>
      </c>
      <c r="G892">
        <v>7046007</v>
      </c>
      <c r="H892">
        <v>4329</v>
      </c>
    </row>
    <row r="893" spans="1:8" ht="15" customHeight="1" x14ac:dyDescent="0.25">
      <c r="A893" t="s">
        <v>3137</v>
      </c>
      <c r="B893" t="s">
        <v>7187</v>
      </c>
      <c r="C893" t="s">
        <v>10915</v>
      </c>
      <c r="D893" t="s">
        <v>13287</v>
      </c>
      <c r="E893" t="str">
        <f>+VLOOKUP(A893,[1]PFE4!$A$7:$F$5208,6,0)</f>
        <v>CR 1 ESTE 72 A 08</v>
      </c>
      <c r="F893" s="17">
        <f>+VLOOKUP(A893,[1]PFE4!$A$7:$G$5208,7,0)</f>
        <v>11001</v>
      </c>
      <c r="G893">
        <v>7050910</v>
      </c>
      <c r="H893">
        <v>4329</v>
      </c>
    </row>
    <row r="894" spans="1:8" ht="15" customHeight="1" x14ac:dyDescent="0.25">
      <c r="A894" t="s">
        <v>3138</v>
      </c>
      <c r="B894" t="s">
        <v>7188</v>
      </c>
      <c r="C894" t="s">
        <v>10916</v>
      </c>
      <c r="D894" t="s">
        <v>13287</v>
      </c>
      <c r="E894" t="str">
        <f>+VLOOKUP(A894,[1]PFE4!$A$7:$F$5208,6,0)</f>
        <v>CALLE 36 No. 13-33</v>
      </c>
      <c r="F894" s="17">
        <f>+VLOOKUP(A894,[1]PFE4!$A$7:$G$5208,7,0)</f>
        <v>68001</v>
      </c>
      <c r="G894">
        <v>7051037</v>
      </c>
      <c r="H894">
        <v>4329</v>
      </c>
    </row>
    <row r="895" spans="1:8" ht="15" customHeight="1" x14ac:dyDescent="0.25">
      <c r="A895" t="s">
        <v>3139</v>
      </c>
      <c r="B895" t="s">
        <v>7189</v>
      </c>
      <c r="C895" t="s">
        <v>10917</v>
      </c>
      <c r="D895" t="s">
        <v>13287</v>
      </c>
      <c r="E895" t="str">
        <f>+VLOOKUP(A895,[1]PFE4!$A$7:$F$5208,6,0)</f>
        <v>CL 13 CR 4 12 A 70</v>
      </c>
      <c r="F895" s="17">
        <f>+VLOOKUP(A895,[1]PFE4!$A$7:$G$5208,7,0)</f>
        <v>66001</v>
      </c>
      <c r="G895">
        <v>7054127</v>
      </c>
      <c r="H895">
        <v>4329</v>
      </c>
    </row>
    <row r="896" spans="1:8" ht="15" customHeight="1" x14ac:dyDescent="0.25">
      <c r="A896" t="s">
        <v>3140</v>
      </c>
      <c r="B896" t="s">
        <v>7190</v>
      </c>
      <c r="C896" t="s">
        <v>10918</v>
      </c>
      <c r="D896" t="s">
        <v>13287</v>
      </c>
      <c r="E896" t="str">
        <f>+VLOOKUP(A896,[1]PFE4!$A$7:$F$5208,6,0)</f>
        <v>CALLE 78 5 32</v>
      </c>
      <c r="F896" s="17">
        <f>+VLOOKUP(A896,[1]PFE4!$A$7:$G$5208,7,0)</f>
        <v>11001</v>
      </c>
      <c r="G896">
        <v>7057920</v>
      </c>
      <c r="H896">
        <v>4329</v>
      </c>
    </row>
    <row r="897" spans="1:8" ht="15" customHeight="1" x14ac:dyDescent="0.25">
      <c r="A897" t="s">
        <v>3141</v>
      </c>
      <c r="B897" t="s">
        <v>7191</v>
      </c>
      <c r="C897">
        <v>0</v>
      </c>
      <c r="D897" t="s">
        <v>13287</v>
      </c>
      <c r="E897">
        <v>0</v>
      </c>
      <c r="F897" s="17">
        <v>11001</v>
      </c>
      <c r="G897">
        <v>7059000</v>
      </c>
      <c r="H897">
        <v>4329</v>
      </c>
    </row>
    <row r="898" spans="1:8" ht="15" customHeight="1" x14ac:dyDescent="0.25">
      <c r="A898" t="s">
        <v>3142</v>
      </c>
      <c r="B898" t="s">
        <v>7192</v>
      </c>
      <c r="C898" t="s">
        <v>10919</v>
      </c>
      <c r="D898" t="s">
        <v>13287</v>
      </c>
      <c r="E898" t="str">
        <f>+VLOOKUP(A898,[1]PFE4!$A$7:$F$5208,6,0)</f>
        <v>CARRERA 28  14  25 BRR SAN ALONSO</v>
      </c>
      <c r="F898" s="17">
        <f>+VLOOKUP(A898,[1]PFE4!$A$7:$G$5208,7,0)</f>
        <v>68001</v>
      </c>
      <c r="G898">
        <v>7063634</v>
      </c>
      <c r="H898">
        <v>4329</v>
      </c>
    </row>
    <row r="899" spans="1:8" ht="15" customHeight="1" x14ac:dyDescent="0.25">
      <c r="A899" t="s">
        <v>3143</v>
      </c>
      <c r="B899" t="s">
        <v>7193</v>
      </c>
      <c r="C899" t="s">
        <v>10920</v>
      </c>
      <c r="D899" t="s">
        <v>13287</v>
      </c>
      <c r="E899" t="str">
        <f>+VLOOKUP(A899,[1]PFE4!$A$7:$F$5208,6,0)</f>
        <v>CARRERA 7  99  53 PISO 18</v>
      </c>
      <c r="F899" s="17" t="str">
        <f>+VLOOKUP(A899,[1]PFE4!$A$7:$G$5208,7,0)</f>
        <v>08001</v>
      </c>
      <c r="G899">
        <v>7064892</v>
      </c>
      <c r="H899">
        <v>4329</v>
      </c>
    </row>
    <row r="900" spans="1:8" ht="15" customHeight="1" x14ac:dyDescent="0.25">
      <c r="A900" t="s">
        <v>3144</v>
      </c>
      <c r="B900" t="s">
        <v>7194</v>
      </c>
      <c r="C900" t="s">
        <v>10581</v>
      </c>
      <c r="D900" t="s">
        <v>13287</v>
      </c>
      <c r="E900" t="str">
        <f>+VLOOKUP(A900,[1]PFE4!$A$7:$F$5208,6,0)</f>
        <v>CARRERA 15 A  124  05</v>
      </c>
      <c r="F900" s="17">
        <f>+VLOOKUP(A900,[1]PFE4!$A$7:$G$5208,7,0)</f>
        <v>11001</v>
      </c>
      <c r="G900">
        <v>7065792</v>
      </c>
      <c r="H900">
        <v>4329</v>
      </c>
    </row>
    <row r="901" spans="1:8" ht="15" customHeight="1" x14ac:dyDescent="0.25">
      <c r="A901" t="s">
        <v>3145</v>
      </c>
      <c r="B901" t="s">
        <v>7195</v>
      </c>
      <c r="C901" t="s">
        <v>10921</v>
      </c>
      <c r="D901" t="s">
        <v>13287</v>
      </c>
      <c r="E901" t="str">
        <f>+VLOOKUP(A901,[1]PFE4!$A$7:$F$5208,6,0)</f>
        <v>CR 14 127 30</v>
      </c>
      <c r="F901" s="17">
        <f>+VLOOKUP(A901,[1]PFE4!$A$7:$G$5208,7,0)</f>
        <v>11001</v>
      </c>
      <c r="G901">
        <v>7066314</v>
      </c>
      <c r="H901">
        <v>4329</v>
      </c>
    </row>
    <row r="902" spans="1:8" ht="15" customHeight="1" x14ac:dyDescent="0.25">
      <c r="A902" t="s">
        <v>3146</v>
      </c>
      <c r="B902" t="s">
        <v>7196</v>
      </c>
      <c r="C902" t="s">
        <v>10922</v>
      </c>
      <c r="D902" t="s">
        <v>13287</v>
      </c>
      <c r="E902" t="str">
        <f>+VLOOKUP(A902,[1]PFE4!$A$7:$F$5208,6,0)</f>
        <v>CL 15 19 75</v>
      </c>
      <c r="F902" s="17">
        <f>+VLOOKUP(A902,[1]PFE4!$A$7:$G$5208,7,0)</f>
        <v>15238</v>
      </c>
      <c r="G902">
        <v>7066936</v>
      </c>
      <c r="H902">
        <v>4329</v>
      </c>
    </row>
    <row r="903" spans="1:8" ht="15" customHeight="1" x14ac:dyDescent="0.25">
      <c r="A903" t="s">
        <v>3147</v>
      </c>
      <c r="B903" t="s">
        <v>7197</v>
      </c>
      <c r="C903" t="s">
        <v>10923</v>
      </c>
      <c r="D903" t="s">
        <v>13287</v>
      </c>
      <c r="E903" t="str">
        <f>+VLOOKUP(A903,[1]PFE4!$A$7:$F$5208,6,0)</f>
        <v xml:space="preserve"> CALLE 19 #20-01 YARUMAL ANTIOQUIA</v>
      </c>
      <c r="F903" s="17" t="str">
        <f>+VLOOKUP(A903,[1]PFE4!$A$7:$G$5208,7,0)</f>
        <v>05887</v>
      </c>
      <c r="G903">
        <v>7073856</v>
      </c>
      <c r="H903">
        <v>4329</v>
      </c>
    </row>
    <row r="904" spans="1:8" ht="15" customHeight="1" x14ac:dyDescent="0.25">
      <c r="A904" t="s">
        <v>3148</v>
      </c>
      <c r="B904" t="s">
        <v>7198</v>
      </c>
      <c r="C904" t="s">
        <v>10924</v>
      </c>
      <c r="D904" t="s">
        <v>13287</v>
      </c>
      <c r="E904" t="str">
        <f>+VLOOKUP(A904,[1]PFE4!$A$7:$F$5208,6,0)</f>
        <v>AV. Dorado 68b 31</v>
      </c>
      <c r="F904" s="17">
        <f>+VLOOKUP(A904,[1]PFE4!$A$7:$G$5208,7,0)</f>
        <v>17001</v>
      </c>
      <c r="G904">
        <v>7077130</v>
      </c>
      <c r="H904">
        <v>4329</v>
      </c>
    </row>
    <row r="905" spans="1:8" ht="15" customHeight="1" x14ac:dyDescent="0.25">
      <c r="A905" t="s">
        <v>3149</v>
      </c>
      <c r="B905" t="s">
        <v>7199</v>
      </c>
      <c r="C905" t="s">
        <v>10925</v>
      </c>
      <c r="D905" t="s">
        <v>13287</v>
      </c>
      <c r="E905" t="str">
        <f>+VLOOKUP(A905,[1]PFE4!$A$7:$F$5208,6,0)</f>
        <v>CALLE 7 D  14 A  39</v>
      </c>
      <c r="F905" s="17">
        <f>+VLOOKUP(A905,[1]PFE4!$A$7:$G$5208,7,0)</f>
        <v>20001</v>
      </c>
      <c r="G905">
        <v>7078566</v>
      </c>
      <c r="H905">
        <v>4329</v>
      </c>
    </row>
    <row r="906" spans="1:8" ht="15" customHeight="1" x14ac:dyDescent="0.25">
      <c r="A906" t="s">
        <v>3150</v>
      </c>
      <c r="B906" t="s">
        <v>7200</v>
      </c>
      <c r="C906" t="s">
        <v>10926</v>
      </c>
      <c r="D906" t="s">
        <v>13287</v>
      </c>
      <c r="E906" t="str">
        <f>+VLOOKUP(A906,[1]PFE4!$A$7:$F$5208,6,0)</f>
        <v>CL 28 23 B 6</v>
      </c>
      <c r="F906" s="17" t="str">
        <f>+VLOOKUP(A906,[1]PFE4!$A$7:$G$5208,7,0)</f>
        <v>05321</v>
      </c>
      <c r="G906">
        <v>7080000</v>
      </c>
      <c r="H906">
        <v>4329</v>
      </c>
    </row>
    <row r="907" spans="1:8" ht="15" customHeight="1" x14ac:dyDescent="0.25">
      <c r="A907" t="s">
        <v>3151</v>
      </c>
      <c r="B907" t="s">
        <v>7201</v>
      </c>
      <c r="C907" t="s">
        <v>10927</v>
      </c>
      <c r="D907" t="s">
        <v>13287</v>
      </c>
      <c r="E907" t="str">
        <f>+VLOOKUP(A907,[1]PFE4!$A$7:$F$5208,6,0)</f>
        <v>CARRERA 78  35  33</v>
      </c>
      <c r="F907" s="17" t="str">
        <f>+VLOOKUP(A907,[1]PFE4!$A$7:$G$5208,7,0)</f>
        <v>05001</v>
      </c>
      <c r="G907">
        <v>7081842</v>
      </c>
      <c r="H907">
        <v>4329</v>
      </c>
    </row>
    <row r="908" spans="1:8" ht="15" customHeight="1" x14ac:dyDescent="0.25">
      <c r="A908" t="s">
        <v>3152</v>
      </c>
      <c r="B908" t="s">
        <v>7202</v>
      </c>
      <c r="C908" t="s">
        <v>10928</v>
      </c>
      <c r="D908" t="s">
        <v>13287</v>
      </c>
      <c r="E908" t="str">
        <f>+VLOOKUP(A908,[1]PFE4!$A$7:$F$5208,6,0)</f>
        <v>CALLE 38 54A 35</v>
      </c>
      <c r="F908" s="17" t="str">
        <f>+VLOOKUP(A908,[1]PFE4!$A$7:$G$5208,7,0)</f>
        <v>05615</v>
      </c>
      <c r="G908">
        <v>7082348</v>
      </c>
      <c r="H908">
        <v>4329</v>
      </c>
    </row>
    <row r="909" spans="1:8" ht="15" customHeight="1" x14ac:dyDescent="0.25">
      <c r="A909" t="s">
        <v>3153</v>
      </c>
      <c r="B909" t="s">
        <v>7203</v>
      </c>
      <c r="C909" t="s">
        <v>10929</v>
      </c>
      <c r="D909" t="s">
        <v>13287</v>
      </c>
      <c r="E909" t="str">
        <f>+VLOOKUP(A909,[1]PFE4!$A$7:$F$5208,6,0)</f>
        <v>CALLE 52 14 50</v>
      </c>
      <c r="F909" s="17">
        <f>+VLOOKUP(A909,[1]PFE4!$A$7:$G$5208,7,0)</f>
        <v>11001</v>
      </c>
      <c r="G909">
        <v>7084246</v>
      </c>
      <c r="H909">
        <v>4329</v>
      </c>
    </row>
    <row r="910" spans="1:8" ht="15" customHeight="1" x14ac:dyDescent="0.25">
      <c r="A910" t="s">
        <v>3154</v>
      </c>
      <c r="B910" t="s">
        <v>7204</v>
      </c>
      <c r="C910">
        <v>0</v>
      </c>
      <c r="D910" t="s">
        <v>13287</v>
      </c>
      <c r="E910">
        <v>0</v>
      </c>
      <c r="F910" s="17">
        <v>11001</v>
      </c>
      <c r="G910">
        <v>7011365</v>
      </c>
      <c r="H910">
        <v>4329</v>
      </c>
    </row>
    <row r="911" spans="1:8" ht="15" customHeight="1" x14ac:dyDescent="0.25">
      <c r="A911" t="s">
        <v>3155</v>
      </c>
      <c r="B911" t="s">
        <v>7205</v>
      </c>
      <c r="C911" t="s">
        <v>10930</v>
      </c>
      <c r="D911" t="s">
        <v>13287</v>
      </c>
      <c r="E911" t="str">
        <f>+VLOOKUP(A911,[1]PFE4!$A$7:$F$5208,6,0)</f>
        <v>AVENIDA 1 E  17 A  19</v>
      </c>
      <c r="F911" s="17">
        <f>+VLOOKUP(A911,[1]PFE4!$A$7:$G$5208,7,0)</f>
        <v>54001</v>
      </c>
      <c r="G911">
        <v>7089893</v>
      </c>
      <c r="H911">
        <v>4329</v>
      </c>
    </row>
    <row r="912" spans="1:8" ht="15" customHeight="1" x14ac:dyDescent="0.25">
      <c r="A912" t="s">
        <v>3156</v>
      </c>
      <c r="B912" t="s">
        <v>7206</v>
      </c>
      <c r="C912" t="s">
        <v>10931</v>
      </c>
      <c r="D912" t="s">
        <v>13287</v>
      </c>
      <c r="E912" t="str">
        <f>+VLOOKUP(A912,[1]PFE4!$A$7:$F$5208,6,0)</f>
        <v>CR 49 D 102 155</v>
      </c>
      <c r="F912" s="17" t="str">
        <f>+VLOOKUP(A912,[1]PFE4!$A$7:$G$5208,7,0)</f>
        <v>08001</v>
      </c>
      <c r="G912">
        <v>7091424</v>
      </c>
      <c r="H912">
        <v>4329</v>
      </c>
    </row>
    <row r="913" spans="1:8" ht="15" customHeight="1" x14ac:dyDescent="0.25">
      <c r="A913" t="s">
        <v>3157</v>
      </c>
      <c r="B913" t="s">
        <v>7207</v>
      </c>
      <c r="C913" t="s">
        <v>10932</v>
      </c>
      <c r="D913" t="s">
        <v>13287</v>
      </c>
      <c r="E913" t="str">
        <f>+VLOOKUP(A913,[1]PFE4!$A$7:$F$5208,6,0)</f>
        <v>CL 5 D 11 62 BRR KILOMETRO 8</v>
      </c>
      <c r="F913" s="17">
        <f>+VLOOKUP(A913,[1]PFE4!$A$7:$G$5208,7,0)</f>
        <v>54405</v>
      </c>
      <c r="G913">
        <v>7096176</v>
      </c>
      <c r="H913">
        <v>4329</v>
      </c>
    </row>
    <row r="914" spans="1:8" ht="15" customHeight="1" x14ac:dyDescent="0.25">
      <c r="A914" t="s">
        <v>3158</v>
      </c>
      <c r="B914" t="s">
        <v>7208</v>
      </c>
      <c r="C914" t="s">
        <v>10933</v>
      </c>
      <c r="D914" t="s">
        <v>13287</v>
      </c>
      <c r="E914" t="str">
        <f>+VLOOKUP(A914,[1]PFE4!$A$7:$F$5208,6,0)</f>
        <v>CARRERA 78  32  71</v>
      </c>
      <c r="F914" s="17" t="str">
        <f>+VLOOKUP(A914,[1]PFE4!$A$7:$G$5208,7,0)</f>
        <v>05001</v>
      </c>
      <c r="G914">
        <v>7096800</v>
      </c>
      <c r="H914">
        <v>4329</v>
      </c>
    </row>
    <row r="915" spans="1:8" ht="15" customHeight="1" x14ac:dyDescent="0.25">
      <c r="A915" t="s">
        <v>3159</v>
      </c>
      <c r="B915" t="s">
        <v>7209</v>
      </c>
      <c r="C915">
        <v>0</v>
      </c>
      <c r="D915" t="s">
        <v>13287</v>
      </c>
      <c r="E915">
        <v>0</v>
      </c>
      <c r="F915" s="17">
        <v>11001</v>
      </c>
      <c r="G915">
        <v>7097820</v>
      </c>
      <c r="H915">
        <v>4329</v>
      </c>
    </row>
    <row r="916" spans="1:8" ht="15" customHeight="1" x14ac:dyDescent="0.25">
      <c r="A916" t="s">
        <v>3160</v>
      </c>
      <c r="B916" t="s">
        <v>7210</v>
      </c>
      <c r="C916" t="s">
        <v>10934</v>
      </c>
      <c r="D916" t="s">
        <v>13287</v>
      </c>
      <c r="E916" t="str">
        <f>+VLOOKUP(A916,[1]PFE4!$A$7:$F$5208,6,0)</f>
        <v>CARRERA 9 B  117 A  20</v>
      </c>
      <c r="F916" s="17">
        <f>+VLOOKUP(A916,[1]PFE4!$A$7:$G$5208,7,0)</f>
        <v>11001</v>
      </c>
      <c r="G916">
        <v>7100689</v>
      </c>
      <c r="H916">
        <v>4329</v>
      </c>
    </row>
    <row r="917" spans="1:8" ht="15" customHeight="1" x14ac:dyDescent="0.25">
      <c r="A917" t="s">
        <v>3161</v>
      </c>
      <c r="B917" t="s">
        <v>7211</v>
      </c>
      <c r="C917">
        <v>3219664011</v>
      </c>
      <c r="D917" t="s">
        <v>13287</v>
      </c>
      <c r="E917" t="str">
        <f>+VLOOKUP(A917,[1]PFE4!$A$7:$F$5208,6,0)</f>
        <v>CR 18 C  123 74</v>
      </c>
      <c r="F917" s="17">
        <f>+VLOOKUP(A917,[1]PFE4!$A$7:$G$5208,7,0)</f>
        <v>11001</v>
      </c>
      <c r="G917">
        <v>7103949</v>
      </c>
      <c r="H917">
        <v>4329</v>
      </c>
    </row>
    <row r="918" spans="1:8" ht="15" customHeight="1" x14ac:dyDescent="0.25">
      <c r="A918" t="s">
        <v>3162</v>
      </c>
      <c r="B918" t="s">
        <v>7212</v>
      </c>
      <c r="C918" t="s">
        <v>10935</v>
      </c>
      <c r="D918" t="s">
        <v>13287</v>
      </c>
      <c r="E918" t="str">
        <f>+VLOOKUP(A918,[1]PFE4!$A$7:$F$5208,6,0)</f>
        <v>CR 7 83 29 OF 603</v>
      </c>
      <c r="F918" s="17">
        <f>+VLOOKUP(A918,[1]PFE4!$A$7:$G$5208,7,0)</f>
        <v>11001</v>
      </c>
      <c r="G918">
        <v>7104370</v>
      </c>
      <c r="H918">
        <v>4329</v>
      </c>
    </row>
    <row r="919" spans="1:8" ht="15" customHeight="1" x14ac:dyDescent="0.25">
      <c r="A919" t="s">
        <v>3163</v>
      </c>
      <c r="B919" t="s">
        <v>7213</v>
      </c>
      <c r="C919" t="s">
        <v>10936</v>
      </c>
      <c r="D919" t="s">
        <v>13287</v>
      </c>
      <c r="E919" t="str">
        <f>+VLOOKUP(A919,[1]PFE4!$A$7:$F$5208,6,0)</f>
        <v>CARRERA 31 A  121  29</v>
      </c>
      <c r="F919" s="17">
        <f>+VLOOKUP(A919,[1]PFE4!$A$7:$G$5208,7,0)</f>
        <v>68276</v>
      </c>
      <c r="G919">
        <v>7107112</v>
      </c>
      <c r="H919">
        <v>4329</v>
      </c>
    </row>
    <row r="920" spans="1:8" ht="15" customHeight="1" x14ac:dyDescent="0.25">
      <c r="A920" t="s">
        <v>3164</v>
      </c>
      <c r="B920" t="s">
        <v>7214</v>
      </c>
      <c r="C920" t="s">
        <v>10937</v>
      </c>
      <c r="D920" t="s">
        <v>13287</v>
      </c>
      <c r="E920" t="str">
        <f>+VLOOKUP(A920,[1]PFE4!$A$7:$F$5208,6,0)</f>
        <v>CARRERA 2 ESTE  70 A  56</v>
      </c>
      <c r="F920" s="17">
        <f>+VLOOKUP(A920,[1]PFE4!$A$7:$G$5208,7,0)</f>
        <v>11001</v>
      </c>
      <c r="G920">
        <v>7109514</v>
      </c>
      <c r="H920">
        <v>4329</v>
      </c>
    </row>
    <row r="921" spans="1:8" ht="15" customHeight="1" x14ac:dyDescent="0.25">
      <c r="A921" t="s">
        <v>3165</v>
      </c>
      <c r="B921" t="s">
        <v>7215</v>
      </c>
      <c r="C921" t="s">
        <v>10938</v>
      </c>
      <c r="D921" t="s">
        <v>13287</v>
      </c>
      <c r="E921" t="str">
        <f>+VLOOKUP(A921,[1]PFE4!$A$7:$F$5208,6,0)</f>
        <v>CL 48 46 115 LC 248</v>
      </c>
      <c r="F921" s="17" t="str">
        <f>+VLOOKUP(A921,[1]PFE4!$A$7:$G$5208,7,0)</f>
        <v>05001</v>
      </c>
      <c r="G921">
        <v>7110180</v>
      </c>
      <c r="H921">
        <v>4329</v>
      </c>
    </row>
    <row r="922" spans="1:8" ht="15" customHeight="1" x14ac:dyDescent="0.25">
      <c r="A922" t="s">
        <v>3166</v>
      </c>
      <c r="B922" t="s">
        <v>7216</v>
      </c>
      <c r="C922" t="s">
        <v>10939</v>
      </c>
      <c r="D922" t="s">
        <v>13287</v>
      </c>
      <c r="E922" t="str">
        <f>+VLOOKUP(A922,[1]PFE4!$A$7:$F$5208,6,0)</f>
        <v>CL 8 18 23 39</v>
      </c>
      <c r="F922" s="17">
        <f>+VLOOKUP(A922,[1]PFE4!$A$7:$G$5208,7,0)</f>
        <v>68001</v>
      </c>
      <c r="G922">
        <v>7111364</v>
      </c>
      <c r="H922">
        <v>4329</v>
      </c>
    </row>
    <row r="923" spans="1:8" ht="15" customHeight="1" x14ac:dyDescent="0.25">
      <c r="A923" t="s">
        <v>3167</v>
      </c>
      <c r="B923" t="s">
        <v>7217</v>
      </c>
      <c r="C923" t="s">
        <v>10940</v>
      </c>
      <c r="D923" t="s">
        <v>13287</v>
      </c>
      <c r="E923" t="str">
        <f>+VLOOKUP(A923,[1]PFE4!$A$7:$F$5208,6,0)</f>
        <v>CALLE 94  14  48</v>
      </c>
      <c r="F923" s="17">
        <f>+VLOOKUP(A923,[1]PFE4!$A$7:$G$5208,7,0)</f>
        <v>11001</v>
      </c>
      <c r="G923">
        <v>7113025</v>
      </c>
      <c r="H923">
        <v>4329</v>
      </c>
    </row>
    <row r="924" spans="1:8" ht="15" customHeight="1" x14ac:dyDescent="0.25">
      <c r="A924" t="s">
        <v>3168</v>
      </c>
      <c r="B924" t="s">
        <v>7218</v>
      </c>
      <c r="C924" t="s">
        <v>10941</v>
      </c>
      <c r="D924" t="s">
        <v>13287</v>
      </c>
      <c r="E924" t="str">
        <f>+VLOOKUP(A924,[1]PFE4!$A$7:$F$5208,6,0)</f>
        <v>CARRERA 10  10  30  PISO 2</v>
      </c>
      <c r="F924" s="17">
        <f>+VLOOKUP(A924,[1]PFE4!$A$7:$G$5208,7,0)</f>
        <v>11001</v>
      </c>
      <c r="G924">
        <v>7121030</v>
      </c>
      <c r="H924">
        <v>4329</v>
      </c>
    </row>
    <row r="925" spans="1:8" ht="15" customHeight="1" x14ac:dyDescent="0.25">
      <c r="A925" t="s">
        <v>3169</v>
      </c>
      <c r="B925" t="s">
        <v>7219</v>
      </c>
      <c r="C925" t="s">
        <v>10942</v>
      </c>
      <c r="D925" t="s">
        <v>13287</v>
      </c>
      <c r="E925" t="str">
        <f>+VLOOKUP(A925,[1]PFE4!$A$7:$F$5208,6,0)</f>
        <v>CL 32 SUR  45 B  63</v>
      </c>
      <c r="F925" s="17" t="str">
        <f>+VLOOKUP(A925,[1]PFE4!$A$7:$G$5208,7,0)</f>
        <v>05266</v>
      </c>
      <c r="G925">
        <v>7121686</v>
      </c>
      <c r="H925">
        <v>4329</v>
      </c>
    </row>
    <row r="926" spans="1:8" ht="15" customHeight="1" x14ac:dyDescent="0.25">
      <c r="A926" t="s">
        <v>3170</v>
      </c>
      <c r="B926" t="s">
        <v>7220</v>
      </c>
      <c r="C926" t="s">
        <v>10943</v>
      </c>
      <c r="D926" t="s">
        <v>13287</v>
      </c>
      <c r="E926" t="str">
        <f>+VLOOKUP(A926,[1]PFE4!$A$7:$F$5208,6,0)</f>
        <v>CARRERA 4 B  48  08</v>
      </c>
      <c r="F926" s="17">
        <f>+VLOOKUP(A926,[1]PFE4!$A$7:$G$5208,7,0)</f>
        <v>11001</v>
      </c>
      <c r="G926">
        <v>7126600</v>
      </c>
      <c r="H926">
        <v>4329</v>
      </c>
    </row>
    <row r="927" spans="1:8" ht="15" customHeight="1" x14ac:dyDescent="0.25">
      <c r="A927" t="s">
        <v>3171</v>
      </c>
      <c r="B927" t="s">
        <v>7221</v>
      </c>
      <c r="C927" t="s">
        <v>10944</v>
      </c>
      <c r="D927" t="s">
        <v>13287</v>
      </c>
      <c r="E927" t="str">
        <f>+VLOOKUP(A927,[1]PFE4!$A$7:$F$5208,6,0)</f>
        <v>CARRERA 52  79  130</v>
      </c>
      <c r="F927" s="17" t="str">
        <f>+VLOOKUP(A927,[1]PFE4!$A$7:$G$5208,7,0)</f>
        <v>08001</v>
      </c>
      <c r="G927">
        <v>7130739</v>
      </c>
      <c r="H927">
        <v>4329</v>
      </c>
    </row>
    <row r="928" spans="1:8" ht="15" customHeight="1" x14ac:dyDescent="0.25">
      <c r="A928" t="s">
        <v>3172</v>
      </c>
      <c r="B928" t="s">
        <v>7222</v>
      </c>
      <c r="C928" t="s">
        <v>10945</v>
      </c>
      <c r="D928" t="s">
        <v>13287</v>
      </c>
      <c r="E928" t="str">
        <f>+VLOOKUP(A928,[1]PFE4!$A$7:$F$5208,6,0)</f>
        <v>CALLE 124 No. 20 - 76</v>
      </c>
      <c r="F928" s="17">
        <f>+VLOOKUP(A928,[1]PFE4!$A$7:$G$5208,7,0)</f>
        <v>11001</v>
      </c>
      <c r="G928">
        <v>7134526</v>
      </c>
      <c r="H928">
        <v>4329</v>
      </c>
    </row>
    <row r="929" spans="1:8" ht="15" customHeight="1" x14ac:dyDescent="0.25">
      <c r="A929" t="s">
        <v>3173</v>
      </c>
      <c r="B929" t="s">
        <v>7223</v>
      </c>
      <c r="C929">
        <v>0</v>
      </c>
      <c r="D929" t="s">
        <v>13287</v>
      </c>
      <c r="E929">
        <v>0</v>
      </c>
      <c r="F929" s="17">
        <v>11001</v>
      </c>
      <c r="G929">
        <v>7136506</v>
      </c>
      <c r="H929">
        <v>4329</v>
      </c>
    </row>
    <row r="930" spans="1:8" ht="15" customHeight="1" x14ac:dyDescent="0.25">
      <c r="A930" t="s">
        <v>3174</v>
      </c>
      <c r="B930" t="s">
        <v>7224</v>
      </c>
      <c r="C930" t="s">
        <v>10946</v>
      </c>
      <c r="D930" t="s">
        <v>13287</v>
      </c>
      <c r="E930" t="str">
        <f>+VLOOKUP(A930,[1]PFE4!$A$7:$F$5208,6,0)</f>
        <v>CALLE 10 NORTE  14  27</v>
      </c>
      <c r="F930" s="17">
        <f>+VLOOKUP(A930,[1]PFE4!$A$7:$G$5208,7,0)</f>
        <v>63001</v>
      </c>
      <c r="G930">
        <v>7139099</v>
      </c>
      <c r="H930">
        <v>4329</v>
      </c>
    </row>
    <row r="931" spans="1:8" ht="15" customHeight="1" x14ac:dyDescent="0.25">
      <c r="A931" t="s">
        <v>3175</v>
      </c>
      <c r="B931" t="s">
        <v>7225</v>
      </c>
      <c r="C931" t="s">
        <v>10947</v>
      </c>
      <c r="D931" t="s">
        <v>13287</v>
      </c>
      <c r="E931" t="str">
        <f>+VLOOKUP(A931,[1]PFE4!$A$7:$F$5208,6,0)</f>
        <v>CALLEE 29 30 27 APTO 404</v>
      </c>
      <c r="F931" s="17" t="str">
        <f>+VLOOKUP(A931,[1]PFE4!$A$7:$G$5208,7,0)</f>
        <v>05237</v>
      </c>
      <c r="G931">
        <v>7139536</v>
      </c>
      <c r="H931">
        <v>4329</v>
      </c>
    </row>
    <row r="932" spans="1:8" ht="15" customHeight="1" x14ac:dyDescent="0.25">
      <c r="A932" t="s">
        <v>3176</v>
      </c>
      <c r="B932" t="s">
        <v>7226</v>
      </c>
      <c r="C932" t="s">
        <v>10948</v>
      </c>
      <c r="D932" t="s">
        <v>13287</v>
      </c>
      <c r="E932" t="str">
        <f>+VLOOKUP(A932,[1]PFE4!$A$7:$F$5208,6,0)</f>
        <v>CR 11 A  94 A  23 OF 108</v>
      </c>
      <c r="F932" s="17">
        <f>+VLOOKUP(A932,[1]PFE4!$A$7:$G$5208,7,0)</f>
        <v>11001</v>
      </c>
      <c r="G932">
        <v>7139610</v>
      </c>
      <c r="H932">
        <v>4329</v>
      </c>
    </row>
    <row r="933" spans="1:8" ht="15" customHeight="1" x14ac:dyDescent="0.25">
      <c r="A933" t="s">
        <v>3177</v>
      </c>
      <c r="B933" t="s">
        <v>7227</v>
      </c>
      <c r="C933" t="s">
        <v>10949</v>
      </c>
      <c r="D933" t="s">
        <v>13287</v>
      </c>
      <c r="E933" t="str">
        <f>+VLOOKUP(A933,[1]PFE4!$A$7:$F$5208,6,0)</f>
        <v>CALLE 37  6  35</v>
      </c>
      <c r="F933" s="17">
        <f>+VLOOKUP(A933,[1]PFE4!$A$7:$G$5208,7,0)</f>
        <v>11001</v>
      </c>
      <c r="G933">
        <v>7140320</v>
      </c>
      <c r="H933">
        <v>4329</v>
      </c>
    </row>
    <row r="934" spans="1:8" ht="15" customHeight="1" x14ac:dyDescent="0.25">
      <c r="A934" t="s">
        <v>3178</v>
      </c>
      <c r="B934" t="s">
        <v>7228</v>
      </c>
      <c r="C934" t="s">
        <v>10950</v>
      </c>
      <c r="D934" t="s">
        <v>13287</v>
      </c>
      <c r="E934" t="str">
        <f>+VLOOKUP(A934,[1]PFE4!$A$7:$F$5208,6,0)</f>
        <v>AV 3 48N 17</v>
      </c>
      <c r="F934" s="17">
        <f>+VLOOKUP(A934,[1]PFE4!$A$7:$G$5208,7,0)</f>
        <v>76001</v>
      </c>
      <c r="G934">
        <v>7141512</v>
      </c>
      <c r="H934">
        <v>4329</v>
      </c>
    </row>
    <row r="935" spans="1:8" ht="15" customHeight="1" x14ac:dyDescent="0.25">
      <c r="A935" t="s">
        <v>3179</v>
      </c>
      <c r="B935" t="s">
        <v>7229</v>
      </c>
      <c r="C935" t="s">
        <v>10951</v>
      </c>
      <c r="D935" t="s">
        <v>13287</v>
      </c>
      <c r="E935" t="str">
        <f>+VLOOKUP(A935,[1]PFE4!$A$7:$F$5208,6,0)</f>
        <v>CALLE 45C SUR 42C-110</v>
      </c>
      <c r="F935" s="17" t="str">
        <f>+VLOOKUP(A935,[1]PFE4!$A$7:$G$5208,7,0)</f>
        <v>05266</v>
      </c>
      <c r="G935">
        <v>7158970</v>
      </c>
      <c r="H935">
        <v>4329</v>
      </c>
    </row>
    <row r="936" spans="1:8" ht="15" customHeight="1" x14ac:dyDescent="0.25">
      <c r="A936" t="s">
        <v>3180</v>
      </c>
      <c r="B936" t="s">
        <v>7230</v>
      </c>
      <c r="C936" t="s">
        <v>10952</v>
      </c>
      <c r="D936" t="s">
        <v>13287</v>
      </c>
      <c r="E936" t="str">
        <f>+VLOOKUP(A936,[1]PFE4!$A$7:$F$5208,6,0)</f>
        <v>CR 74 139 33</v>
      </c>
      <c r="F936" s="17">
        <f>+VLOOKUP(A936,[1]PFE4!$A$7:$G$5208,7,0)</f>
        <v>11001</v>
      </c>
      <c r="G936">
        <v>7159331</v>
      </c>
      <c r="H936">
        <v>4329</v>
      </c>
    </row>
    <row r="937" spans="1:8" ht="15" customHeight="1" x14ac:dyDescent="0.25">
      <c r="A937" t="s">
        <v>3181</v>
      </c>
      <c r="B937" t="s">
        <v>7231</v>
      </c>
      <c r="C937" t="s">
        <v>10953</v>
      </c>
      <c r="D937" t="s">
        <v>13287</v>
      </c>
      <c r="E937" t="str">
        <f>+VLOOKUP(A937,[1]PFE4!$A$7:$F$5208,6,0)</f>
        <v>CALLE 104  14  86 BRR MOLINOS DEL NORTE</v>
      </c>
      <c r="F937" s="17">
        <f>+VLOOKUP(A937,[1]PFE4!$A$7:$G$5208,7,0)</f>
        <v>11001</v>
      </c>
      <c r="G937">
        <v>7163679</v>
      </c>
      <c r="H937">
        <v>4329</v>
      </c>
    </row>
    <row r="938" spans="1:8" ht="15" customHeight="1" x14ac:dyDescent="0.25">
      <c r="A938" t="s">
        <v>3182</v>
      </c>
      <c r="B938" t="s">
        <v>7232</v>
      </c>
      <c r="C938" t="s">
        <v>10781</v>
      </c>
      <c r="D938" t="s">
        <v>13287</v>
      </c>
      <c r="E938" t="str">
        <f>+VLOOKUP(A938,[1]PFE4!$A$7:$F$5208,6,0)</f>
        <v>CARRERA 79  39  45</v>
      </c>
      <c r="F938" s="17" t="str">
        <f>+VLOOKUP(A938,[1]PFE4!$A$7:$G$5208,7,0)</f>
        <v>05001</v>
      </c>
      <c r="G938">
        <v>7167528</v>
      </c>
      <c r="H938">
        <v>4329</v>
      </c>
    </row>
    <row r="939" spans="1:8" ht="15" customHeight="1" x14ac:dyDescent="0.25">
      <c r="A939" t="s">
        <v>3183</v>
      </c>
      <c r="B939" t="s">
        <v>7233</v>
      </c>
      <c r="C939" t="s">
        <v>10954</v>
      </c>
      <c r="D939" t="s">
        <v>13287</v>
      </c>
      <c r="E939" t="str">
        <f>+VLOOKUP(A939,[1]PFE4!$A$7:$F$5208,6,0)</f>
        <v>CARRERA 64C 94 57</v>
      </c>
      <c r="F939" s="17" t="str">
        <f>+VLOOKUP(A939,[1]PFE4!$A$7:$G$5208,7,0)</f>
        <v>08001</v>
      </c>
      <c r="G939">
        <v>7169686</v>
      </c>
      <c r="H939">
        <v>4329</v>
      </c>
    </row>
    <row r="940" spans="1:8" ht="15" customHeight="1" x14ac:dyDescent="0.25">
      <c r="A940" t="s">
        <v>3184</v>
      </c>
      <c r="B940" t="s">
        <v>7234</v>
      </c>
      <c r="C940" t="s">
        <v>10955</v>
      </c>
      <c r="D940" t="s">
        <v>13287</v>
      </c>
      <c r="E940" t="str">
        <f>+VLOOKUP(A940,[1]PFE4!$A$7:$F$5208,6,0)</f>
        <v>CARRERA 17 A  107  22</v>
      </c>
      <c r="F940" s="17">
        <f>+VLOOKUP(A940,[1]PFE4!$A$7:$G$5208,7,0)</f>
        <v>11001</v>
      </c>
      <c r="G940">
        <v>7169801</v>
      </c>
      <c r="H940">
        <v>4329</v>
      </c>
    </row>
    <row r="941" spans="1:8" ht="15" customHeight="1" x14ac:dyDescent="0.25">
      <c r="A941" t="s">
        <v>3185</v>
      </c>
      <c r="B941" t="s">
        <v>7235</v>
      </c>
      <c r="C941" t="s">
        <v>10956</v>
      </c>
      <c r="D941" t="s">
        <v>13287</v>
      </c>
      <c r="E941" t="str">
        <f>+VLOOKUP(A941,[1]PFE4!$A$7:$F$5208,6,0)</f>
        <v>CALLE 104  21  10</v>
      </c>
      <c r="F941" s="17">
        <f>+VLOOKUP(A941,[1]PFE4!$A$7:$G$5208,7,0)</f>
        <v>11001</v>
      </c>
      <c r="G941">
        <v>7172679</v>
      </c>
      <c r="H941">
        <v>4329</v>
      </c>
    </row>
    <row r="942" spans="1:8" ht="15" customHeight="1" x14ac:dyDescent="0.25">
      <c r="A942" t="s">
        <v>3186</v>
      </c>
      <c r="B942" t="s">
        <v>7236</v>
      </c>
      <c r="C942" t="s">
        <v>10957</v>
      </c>
      <c r="D942" t="s">
        <v>13287</v>
      </c>
      <c r="E942" t="str">
        <f>+VLOOKUP(A942,[1]PFE4!$A$7:$F$5208,6,0)</f>
        <v>CARRERA 52 B  94  259  APARTAMENTO 801</v>
      </c>
      <c r="F942" s="17" t="str">
        <f>+VLOOKUP(A942,[1]PFE4!$A$7:$G$5208,7,0)</f>
        <v>08001</v>
      </c>
      <c r="G942">
        <v>7175328</v>
      </c>
      <c r="H942">
        <v>4329</v>
      </c>
    </row>
    <row r="943" spans="1:8" ht="15" customHeight="1" x14ac:dyDescent="0.25">
      <c r="A943" t="s">
        <v>3187</v>
      </c>
      <c r="B943" t="s">
        <v>7237</v>
      </c>
      <c r="C943" t="s">
        <v>10958</v>
      </c>
      <c r="D943" t="s">
        <v>13287</v>
      </c>
      <c r="E943" t="str">
        <f>+VLOOKUP(A943,[1]PFE4!$A$7:$F$5208,6,0)</f>
        <v>CALLE 33 A  71  59</v>
      </c>
      <c r="F943" s="17" t="str">
        <f>+VLOOKUP(A943,[1]PFE4!$A$7:$G$5208,7,0)</f>
        <v>05001</v>
      </c>
      <c r="G943">
        <v>7176234</v>
      </c>
      <c r="H943">
        <v>4329</v>
      </c>
    </row>
    <row r="944" spans="1:8" ht="15" customHeight="1" x14ac:dyDescent="0.25">
      <c r="A944" t="s">
        <v>3188</v>
      </c>
      <c r="B944" t="s">
        <v>7238</v>
      </c>
      <c r="C944" t="s">
        <v>10781</v>
      </c>
      <c r="D944" t="s">
        <v>13287</v>
      </c>
      <c r="E944" t="str">
        <f>+VLOOKUP(A944,[1]PFE4!$A$7:$F$5208,6,0)</f>
        <v>CARRERA 80  34 B  86  APARTAMENTO 702</v>
      </c>
      <c r="F944" s="17" t="str">
        <f>+VLOOKUP(A944,[1]PFE4!$A$7:$G$5208,7,0)</f>
        <v>05001</v>
      </c>
      <c r="G944">
        <v>7187062</v>
      </c>
      <c r="H944">
        <v>4329</v>
      </c>
    </row>
    <row r="945" spans="1:8" ht="15" customHeight="1" x14ac:dyDescent="0.25">
      <c r="A945" t="s">
        <v>3189</v>
      </c>
      <c r="B945" t="s">
        <v>7239</v>
      </c>
      <c r="C945" t="s">
        <v>10959</v>
      </c>
      <c r="D945" t="s">
        <v>13287</v>
      </c>
      <c r="E945" t="str">
        <f>+VLOOKUP(A945,[1]PFE4!$A$7:$F$5208,6,0)</f>
        <v>CARRERA 19 A  151  76</v>
      </c>
      <c r="F945" s="17">
        <f>+VLOOKUP(A945,[1]PFE4!$A$7:$G$5208,7,0)</f>
        <v>11001</v>
      </c>
      <c r="G945">
        <v>7188894</v>
      </c>
      <c r="H945">
        <v>4329</v>
      </c>
    </row>
    <row r="946" spans="1:8" ht="15" customHeight="1" x14ac:dyDescent="0.25">
      <c r="A946" t="s">
        <v>3190</v>
      </c>
      <c r="B946" t="s">
        <v>7240</v>
      </c>
      <c r="C946" t="s">
        <v>10949</v>
      </c>
      <c r="D946" t="s">
        <v>13287</v>
      </c>
      <c r="E946" t="str">
        <f>+VLOOKUP(A946,[1]PFE4!$A$7:$F$5208,6,0)</f>
        <v>CARRERA 23  30  62</v>
      </c>
      <c r="F946" s="17">
        <f>+VLOOKUP(A946,[1]PFE4!$A$7:$G$5208,7,0)</f>
        <v>68001</v>
      </c>
      <c r="G946">
        <v>7196072</v>
      </c>
      <c r="H946">
        <v>4329</v>
      </c>
    </row>
    <row r="947" spans="1:8" ht="15" customHeight="1" x14ac:dyDescent="0.25">
      <c r="A947" t="s">
        <v>3191</v>
      </c>
      <c r="B947" t="s">
        <v>7241</v>
      </c>
      <c r="C947" t="s">
        <v>10960</v>
      </c>
      <c r="D947" t="s">
        <v>13287</v>
      </c>
      <c r="E947" t="str">
        <f>+VLOOKUP(A947,[1]PFE4!$A$7:$F$5208,6,0)</f>
        <v>CALLE 62  5  35</v>
      </c>
      <c r="F947" s="17">
        <f>+VLOOKUP(A947,[1]PFE4!$A$7:$G$5208,7,0)</f>
        <v>11001</v>
      </c>
      <c r="G947">
        <v>7198061</v>
      </c>
      <c r="H947">
        <v>4329</v>
      </c>
    </row>
    <row r="948" spans="1:8" ht="15" customHeight="1" x14ac:dyDescent="0.25">
      <c r="A948" t="s">
        <v>3192</v>
      </c>
      <c r="B948" t="s">
        <v>7242</v>
      </c>
      <c r="C948">
        <v>0</v>
      </c>
      <c r="D948" t="s">
        <v>13287</v>
      </c>
      <c r="E948">
        <v>0</v>
      </c>
      <c r="F948" s="17">
        <v>11001</v>
      </c>
      <c r="G948">
        <v>7200000</v>
      </c>
      <c r="H948">
        <v>4329</v>
      </c>
    </row>
    <row r="949" spans="1:8" ht="15" customHeight="1" x14ac:dyDescent="0.25">
      <c r="A949" t="s">
        <v>3193</v>
      </c>
      <c r="B949" t="s">
        <v>7243</v>
      </c>
      <c r="C949" t="s">
        <v>10961</v>
      </c>
      <c r="D949" t="s">
        <v>13287</v>
      </c>
      <c r="E949" t="str">
        <f>+VLOOKUP(A949,[1]PFE4!$A$7:$F$5208,6,0)</f>
        <v>CALLE 18 No 31 - 44</v>
      </c>
      <c r="F949" s="17">
        <f>+VLOOKUP(A949,[1]PFE4!$A$7:$G$5208,7,0)</f>
        <v>68001</v>
      </c>
      <c r="G949">
        <v>7203612</v>
      </c>
      <c r="H949">
        <v>4329</v>
      </c>
    </row>
    <row r="950" spans="1:8" ht="15" customHeight="1" x14ac:dyDescent="0.25">
      <c r="A950" t="s">
        <v>3194</v>
      </c>
      <c r="B950" t="s">
        <v>7244</v>
      </c>
      <c r="C950" t="s">
        <v>10962</v>
      </c>
      <c r="D950" t="s">
        <v>13287</v>
      </c>
      <c r="E950" t="str">
        <f>+VLOOKUP(A950,[1]PFE4!$A$7:$F$5208,6,0)</f>
        <v>CL 21 18 65 A P 401</v>
      </c>
      <c r="F950" s="17" t="str">
        <f>+VLOOKUP(A950,[1]PFE4!$A$7:$G$5208,7,0)</f>
        <v>05887</v>
      </c>
      <c r="G950">
        <v>7081200</v>
      </c>
      <c r="H950">
        <v>4329</v>
      </c>
    </row>
    <row r="951" spans="1:8" ht="15" customHeight="1" x14ac:dyDescent="0.25">
      <c r="A951" t="s">
        <v>3195</v>
      </c>
      <c r="B951" t="s">
        <v>7245</v>
      </c>
      <c r="C951" t="s">
        <v>10963</v>
      </c>
      <c r="D951" t="s">
        <v>13287</v>
      </c>
      <c r="E951" t="str">
        <f>+VLOOKUP(A951,[1]PFE4!$A$7:$F$5208,6,0)</f>
        <v>CARRERA 17 A  119 A  59</v>
      </c>
      <c r="F951" s="17">
        <f>+VLOOKUP(A951,[1]PFE4!$A$7:$G$5208,7,0)</f>
        <v>11001</v>
      </c>
      <c r="G951">
        <v>7213060</v>
      </c>
      <c r="H951">
        <v>4329</v>
      </c>
    </row>
    <row r="952" spans="1:8" ht="15" customHeight="1" x14ac:dyDescent="0.25">
      <c r="A952" t="s">
        <v>3196</v>
      </c>
      <c r="B952" t="s">
        <v>7246</v>
      </c>
      <c r="C952" t="s">
        <v>10964</v>
      </c>
      <c r="D952" t="s">
        <v>13287</v>
      </c>
      <c r="E952" t="str">
        <f>+VLOOKUP(A952,[1]PFE4!$A$7:$F$5208,6,0)</f>
        <v>CARRERA 18  124  21</v>
      </c>
      <c r="F952" s="17">
        <f>+VLOOKUP(A952,[1]PFE4!$A$7:$G$5208,7,0)</f>
        <v>11001</v>
      </c>
      <c r="G952">
        <v>7214420</v>
      </c>
      <c r="H952">
        <v>4329</v>
      </c>
    </row>
    <row r="953" spans="1:8" ht="15" customHeight="1" x14ac:dyDescent="0.25">
      <c r="A953" t="s">
        <v>3197</v>
      </c>
      <c r="B953" t="s">
        <v>7247</v>
      </c>
      <c r="C953" t="s">
        <v>10965</v>
      </c>
      <c r="D953" t="s">
        <v>13287</v>
      </c>
      <c r="E953" t="str">
        <f>+VLOOKUP(A953,[1]PFE4!$A$7:$F$5208,6,0)</f>
        <v>CALLE 15  16  25</v>
      </c>
      <c r="F953" s="17">
        <f>+VLOOKUP(A953,[1]PFE4!$A$7:$G$5208,7,0)</f>
        <v>15238</v>
      </c>
      <c r="G953">
        <v>7215279</v>
      </c>
      <c r="H953">
        <v>4329</v>
      </c>
    </row>
    <row r="954" spans="1:8" ht="15" customHeight="1" x14ac:dyDescent="0.25">
      <c r="A954" t="s">
        <v>3198</v>
      </c>
      <c r="B954" t="s">
        <v>7248</v>
      </c>
      <c r="C954" t="s">
        <v>10966</v>
      </c>
      <c r="D954" t="s">
        <v>13287</v>
      </c>
      <c r="E954" t="str">
        <f>+VLOOKUP(A954,[1]PFE4!$A$7:$F$5208,6,0)</f>
        <v>TRANSVERSAL 4 C  89  55</v>
      </c>
      <c r="F954" s="17">
        <f>+VLOOKUP(A954,[1]PFE4!$A$7:$G$5208,7,0)</f>
        <v>11001</v>
      </c>
      <c r="G954">
        <v>7219538</v>
      </c>
      <c r="H954">
        <v>4329</v>
      </c>
    </row>
    <row r="955" spans="1:8" ht="15" customHeight="1" x14ac:dyDescent="0.25">
      <c r="A955" t="s">
        <v>3199</v>
      </c>
      <c r="B955" t="s">
        <v>7249</v>
      </c>
      <c r="C955" t="s">
        <v>10967</v>
      </c>
      <c r="D955" t="s">
        <v>13287</v>
      </c>
      <c r="E955" t="str">
        <f>+VLOOKUP(A955,[1]PFE4!$A$7:$F$5208,6,0)</f>
        <v>TRANSVERSAL 74 C  1  23</v>
      </c>
      <c r="F955" s="17" t="str">
        <f>+VLOOKUP(A955,[1]PFE4!$A$7:$G$5208,7,0)</f>
        <v>05001</v>
      </c>
      <c r="G955">
        <v>7225257</v>
      </c>
      <c r="H955">
        <v>4329</v>
      </c>
    </row>
    <row r="956" spans="1:8" ht="15" customHeight="1" x14ac:dyDescent="0.25">
      <c r="A956" t="s">
        <v>3200</v>
      </c>
      <c r="B956" t="s">
        <v>7250</v>
      </c>
      <c r="C956" t="s">
        <v>10968</v>
      </c>
      <c r="D956" t="s">
        <v>13287</v>
      </c>
      <c r="E956" t="str">
        <f>+VLOOKUP(A956,[1]PFE4!$A$7:$F$5208,6,0)</f>
        <v>CALLE 59  3 A  08</v>
      </c>
      <c r="F956" s="17">
        <f>+VLOOKUP(A956,[1]PFE4!$A$7:$G$5208,7,0)</f>
        <v>11001</v>
      </c>
      <c r="G956">
        <v>7238704</v>
      </c>
      <c r="H956">
        <v>4329</v>
      </c>
    </row>
    <row r="957" spans="1:8" ht="15" customHeight="1" x14ac:dyDescent="0.25">
      <c r="A957" t="s">
        <v>3201</v>
      </c>
      <c r="B957" t="s">
        <v>7251</v>
      </c>
      <c r="C957" t="s">
        <v>10969</v>
      </c>
      <c r="D957" t="s">
        <v>13287</v>
      </c>
      <c r="E957" t="str">
        <f>+VLOOKUP(A957,[1]PFE4!$A$7:$F$5208,6,0)</f>
        <v>CR 16  141 08  24</v>
      </c>
      <c r="F957" s="17">
        <f>+VLOOKUP(A957,[1]PFE4!$A$7:$G$5208,7,0)</f>
        <v>11001</v>
      </c>
      <c r="G957">
        <v>7241034</v>
      </c>
      <c r="H957">
        <v>4329</v>
      </c>
    </row>
    <row r="958" spans="1:8" ht="15" customHeight="1" x14ac:dyDescent="0.25">
      <c r="A958" t="s">
        <v>3202</v>
      </c>
      <c r="B958" t="s">
        <v>7252</v>
      </c>
      <c r="C958" t="s">
        <v>10970</v>
      </c>
      <c r="D958" t="s">
        <v>13287</v>
      </c>
      <c r="E958" t="str">
        <f>+VLOOKUP(A958,[1]PFE4!$A$7:$F$5208,6,0)</f>
        <v>CARRERA 29  41 A  53</v>
      </c>
      <c r="F958" s="17">
        <f>+VLOOKUP(A958,[1]PFE4!$A$7:$G$5208,7,0)</f>
        <v>11001</v>
      </c>
      <c r="G958">
        <v>7242088</v>
      </c>
      <c r="H958">
        <v>4329</v>
      </c>
    </row>
    <row r="959" spans="1:8" ht="15" customHeight="1" x14ac:dyDescent="0.25">
      <c r="A959" t="s">
        <v>3203</v>
      </c>
      <c r="B959" t="s">
        <v>7253</v>
      </c>
      <c r="C959" t="s">
        <v>10971</v>
      </c>
      <c r="D959" t="s">
        <v>13287</v>
      </c>
      <c r="E959" t="str">
        <f>+VLOOKUP(A959,[1]PFE4!$A$7:$F$5208,6,0)</f>
        <v>CALLE 106  48  08</v>
      </c>
      <c r="F959" s="17">
        <f>+VLOOKUP(A959,[1]PFE4!$A$7:$G$5208,7,0)</f>
        <v>11001</v>
      </c>
      <c r="G959">
        <v>7244011</v>
      </c>
      <c r="H959">
        <v>4329</v>
      </c>
    </row>
    <row r="960" spans="1:8" ht="15" customHeight="1" x14ac:dyDescent="0.25">
      <c r="A960" t="s">
        <v>3204</v>
      </c>
      <c r="B960" t="s">
        <v>7254</v>
      </c>
      <c r="C960" t="s">
        <v>10850</v>
      </c>
      <c r="D960" t="s">
        <v>13287</v>
      </c>
      <c r="E960" t="str">
        <f>+VLOOKUP(A960,[1]PFE4!$A$7:$F$5208,6,0)</f>
        <v>CARRERA 2  66 B  125</v>
      </c>
      <c r="F960" s="17" t="str">
        <f>+VLOOKUP(A960,[1]PFE4!$A$7:$G$5208,7,0)</f>
        <v>05001</v>
      </c>
      <c r="G960">
        <v>7246620</v>
      </c>
      <c r="H960">
        <v>4329</v>
      </c>
    </row>
    <row r="961" spans="1:8" ht="15" customHeight="1" x14ac:dyDescent="0.25">
      <c r="A961" t="s">
        <v>3205</v>
      </c>
      <c r="B961" t="s">
        <v>7255</v>
      </c>
      <c r="C961" t="s">
        <v>10972</v>
      </c>
      <c r="D961" t="s">
        <v>13287</v>
      </c>
      <c r="E961" t="str">
        <f>+VLOOKUP(A961,[1]PFE4!$A$7:$F$5208,6,0)</f>
        <v>AVENIDA 3 OESTE  12  170</v>
      </c>
      <c r="F961" s="17">
        <f>+VLOOKUP(A961,[1]PFE4!$A$7:$G$5208,7,0)</f>
        <v>76001</v>
      </c>
      <c r="G961">
        <v>7247644</v>
      </c>
      <c r="H961">
        <v>4329</v>
      </c>
    </row>
    <row r="962" spans="1:8" ht="15" customHeight="1" x14ac:dyDescent="0.25">
      <c r="A962" t="s">
        <v>3206</v>
      </c>
      <c r="B962" t="s">
        <v>7256</v>
      </c>
      <c r="C962" t="s">
        <v>10973</v>
      </c>
      <c r="D962" t="s">
        <v>13287</v>
      </c>
      <c r="E962" t="str">
        <f>+VLOOKUP(A962,[1]PFE4!$A$7:$F$5208,6,0)</f>
        <v>CARRERA 51  127 SUR  24</v>
      </c>
      <c r="F962" s="17" t="str">
        <f>+VLOOKUP(A962,[1]PFE4!$A$7:$G$5208,7,0)</f>
        <v>05129</v>
      </c>
      <c r="G962">
        <v>7256890</v>
      </c>
      <c r="H962">
        <v>4329</v>
      </c>
    </row>
    <row r="963" spans="1:8" ht="15" customHeight="1" x14ac:dyDescent="0.25">
      <c r="A963" t="s">
        <v>3207</v>
      </c>
      <c r="B963" t="s">
        <v>7257</v>
      </c>
      <c r="C963" t="s">
        <v>10974</v>
      </c>
      <c r="D963" t="s">
        <v>13287</v>
      </c>
      <c r="E963" t="str">
        <f>+VLOOKUP(A963,[1]PFE4!$A$7:$F$5208,6,0)</f>
        <v>CARRERA 18  120  65</v>
      </c>
      <c r="F963" s="17">
        <f>+VLOOKUP(A963,[1]PFE4!$A$7:$G$5208,7,0)</f>
        <v>11001</v>
      </c>
      <c r="G963">
        <v>7257340</v>
      </c>
      <c r="H963">
        <v>4329</v>
      </c>
    </row>
    <row r="964" spans="1:8" ht="15" customHeight="1" x14ac:dyDescent="0.25">
      <c r="A964" t="s">
        <v>3208</v>
      </c>
      <c r="B964" t="s">
        <v>7258</v>
      </c>
      <c r="C964" t="s">
        <v>10975</v>
      </c>
      <c r="D964" t="s">
        <v>13287</v>
      </c>
      <c r="E964" t="str">
        <f>+VLOOKUP(A964,[1]PFE4!$A$7:$F$5208,6,0)</f>
        <v>CALLE 15  13  38</v>
      </c>
      <c r="F964" s="17">
        <f>+VLOOKUP(A964,[1]PFE4!$A$7:$G$5208,7,0)</f>
        <v>15238</v>
      </c>
      <c r="G964">
        <v>7257800</v>
      </c>
      <c r="H964">
        <v>4329</v>
      </c>
    </row>
    <row r="965" spans="1:8" ht="15" customHeight="1" x14ac:dyDescent="0.25">
      <c r="A965" t="s">
        <v>3209</v>
      </c>
      <c r="B965" t="s">
        <v>7259</v>
      </c>
      <c r="C965" t="s">
        <v>10976</v>
      </c>
      <c r="D965" t="s">
        <v>13287</v>
      </c>
      <c r="E965" t="str">
        <f>+VLOOKUP(A965,[1]PFE4!$A$7:$F$5208,6,0)</f>
        <v>CALLE 22 NORTE  5 A  75</v>
      </c>
      <c r="F965" s="17">
        <f>+VLOOKUP(A965,[1]PFE4!$A$7:$G$5208,7,0)</f>
        <v>76001</v>
      </c>
      <c r="G965">
        <v>7258763</v>
      </c>
      <c r="H965">
        <v>4329</v>
      </c>
    </row>
    <row r="966" spans="1:8" ht="15" customHeight="1" x14ac:dyDescent="0.25">
      <c r="A966" t="s">
        <v>3210</v>
      </c>
      <c r="B966" t="s">
        <v>7260</v>
      </c>
      <c r="C966" t="s">
        <v>10977</v>
      </c>
      <c r="D966" t="s">
        <v>13287</v>
      </c>
      <c r="E966" t="str">
        <f>+VLOOKUP(A966,[1]PFE4!$A$7:$F$5208,6,0)</f>
        <v>TV 3 4 55</v>
      </c>
      <c r="F966" s="17">
        <f>+VLOOKUP(A966,[1]PFE4!$A$7:$G$5208,7,0)</f>
        <v>25817</v>
      </c>
      <c r="G966">
        <v>7260000</v>
      </c>
      <c r="H966">
        <v>4329</v>
      </c>
    </row>
    <row r="967" spans="1:8" ht="15" customHeight="1" x14ac:dyDescent="0.25">
      <c r="A967" t="s">
        <v>3211</v>
      </c>
      <c r="B967" t="s">
        <v>7261</v>
      </c>
      <c r="C967" t="s">
        <v>10978</v>
      </c>
      <c r="D967" t="s">
        <v>13287</v>
      </c>
      <c r="E967" t="str">
        <f>+VLOOKUP(A967,[1]PFE4!$A$7:$F$5208,6,0)</f>
        <v>CALLE 40 A  25  55</v>
      </c>
      <c r="F967" s="17">
        <f>+VLOOKUP(A967,[1]PFE4!$A$7:$G$5208,7,0)</f>
        <v>11001</v>
      </c>
      <c r="G967">
        <v>7270240</v>
      </c>
      <c r="H967">
        <v>4329</v>
      </c>
    </row>
    <row r="968" spans="1:8" ht="15" customHeight="1" x14ac:dyDescent="0.25">
      <c r="A968" t="s">
        <v>3212</v>
      </c>
      <c r="B968" t="s">
        <v>7262</v>
      </c>
      <c r="C968" t="s">
        <v>10979</v>
      </c>
      <c r="D968" t="s">
        <v>13287</v>
      </c>
      <c r="E968" t="str">
        <f>+VLOOKUP(A968,[1]PFE4!$A$7:$F$5208,6,0)</f>
        <v>CL 74 SUR   35   145</v>
      </c>
      <c r="F968" s="17">
        <f>+VLOOKUP(A968,[1]PFE4!$A$7:$G$5208,7,0)</f>
        <v>76520</v>
      </c>
      <c r="G968">
        <v>7277956</v>
      </c>
      <c r="H968">
        <v>4329</v>
      </c>
    </row>
    <row r="969" spans="1:8" ht="15" customHeight="1" x14ac:dyDescent="0.25">
      <c r="A969" t="s">
        <v>3213</v>
      </c>
      <c r="B969" t="s">
        <v>7263</v>
      </c>
      <c r="C969">
        <v>0</v>
      </c>
      <c r="D969" t="s">
        <v>13287</v>
      </c>
      <c r="E969">
        <v>0</v>
      </c>
      <c r="F969" s="17">
        <v>11001</v>
      </c>
      <c r="G969">
        <v>7280000</v>
      </c>
      <c r="H969">
        <v>4329</v>
      </c>
    </row>
    <row r="970" spans="1:8" ht="15" customHeight="1" x14ac:dyDescent="0.25">
      <c r="A970" t="s">
        <v>3214</v>
      </c>
      <c r="B970" t="s">
        <v>7264</v>
      </c>
      <c r="C970" t="s">
        <v>10980</v>
      </c>
      <c r="D970" t="s">
        <v>13287</v>
      </c>
      <c r="E970" t="str">
        <f>+VLOOKUP(A970,[1]PFE4!$A$7:$F$5208,6,0)</f>
        <v>DIAGONAL 20 #99-22</v>
      </c>
      <c r="F970" s="17">
        <f>+VLOOKUP(A970,[1]PFE4!$A$7:$G$5208,7,0)</f>
        <v>11001</v>
      </c>
      <c r="G970">
        <v>7284550</v>
      </c>
      <c r="H970">
        <v>4329</v>
      </c>
    </row>
    <row r="971" spans="1:8" ht="15" customHeight="1" x14ac:dyDescent="0.25">
      <c r="A971" t="s">
        <v>3215</v>
      </c>
      <c r="B971" t="s">
        <v>7265</v>
      </c>
      <c r="C971" t="s">
        <v>10981</v>
      </c>
      <c r="D971" t="s">
        <v>13287</v>
      </c>
      <c r="E971" t="str">
        <f>+VLOOKUP(A971,[1]PFE4!$A$7:$F$5208,6,0)</f>
        <v>CARRERA 1  5  131 APARTAMENTO 1202</v>
      </c>
      <c r="F971" s="17">
        <f>+VLOOKUP(A971,[1]PFE4!$A$7:$G$5208,7,0)</f>
        <v>47001</v>
      </c>
      <c r="G971">
        <v>7290082</v>
      </c>
      <c r="H971">
        <v>4329</v>
      </c>
    </row>
    <row r="972" spans="1:8" ht="15" customHeight="1" x14ac:dyDescent="0.25">
      <c r="A972" t="s">
        <v>3216</v>
      </c>
      <c r="B972" t="s">
        <v>7266</v>
      </c>
      <c r="C972" t="s">
        <v>10982</v>
      </c>
      <c r="D972" t="s">
        <v>13287</v>
      </c>
      <c r="E972" t="str">
        <f>+VLOOKUP(A972,[1]PFE4!$A$7:$F$5208,6,0)</f>
        <v>CLL 54 31 79 BRR CABECERA</v>
      </c>
      <c r="F972" s="17">
        <f>+VLOOKUP(A972,[1]PFE4!$A$7:$G$5208,7,0)</f>
        <v>68001</v>
      </c>
      <c r="G972">
        <v>7291481</v>
      </c>
      <c r="H972">
        <v>4329</v>
      </c>
    </row>
    <row r="973" spans="1:8" ht="15" customHeight="1" x14ac:dyDescent="0.25">
      <c r="A973" t="s">
        <v>3217</v>
      </c>
      <c r="B973" t="s">
        <v>7267</v>
      </c>
      <c r="C973" t="s">
        <v>10983</v>
      </c>
      <c r="D973" t="s">
        <v>13287</v>
      </c>
      <c r="E973" t="str">
        <f>+VLOOKUP(A973,[1]PFE4!$A$7:$F$5208,6,0)</f>
        <v>CR 11 11 57 BRR CENTRO</v>
      </c>
      <c r="F973" s="17">
        <f>+VLOOKUP(A973,[1]PFE4!$A$7:$G$5208,7,0)</f>
        <v>54498</v>
      </c>
      <c r="G973">
        <v>7297483</v>
      </c>
      <c r="H973">
        <v>4329</v>
      </c>
    </row>
    <row r="974" spans="1:8" ht="15" customHeight="1" x14ac:dyDescent="0.25">
      <c r="A974" t="s">
        <v>3218</v>
      </c>
      <c r="B974" t="s">
        <v>7268</v>
      </c>
      <c r="C974" t="s">
        <v>10984</v>
      </c>
      <c r="D974" t="s">
        <v>13287</v>
      </c>
      <c r="E974" t="str">
        <f>+VLOOKUP(A974,[1]PFE4!$A$7:$F$5208,6,0)</f>
        <v>CARRERA 14 B  110  63</v>
      </c>
      <c r="F974" s="17">
        <f>+VLOOKUP(A974,[1]PFE4!$A$7:$G$5208,7,0)</f>
        <v>11001</v>
      </c>
      <c r="G974">
        <v>7302876</v>
      </c>
      <c r="H974">
        <v>4329</v>
      </c>
    </row>
    <row r="975" spans="1:8" ht="15" customHeight="1" x14ac:dyDescent="0.25">
      <c r="A975" t="s">
        <v>3219</v>
      </c>
      <c r="B975" t="s">
        <v>7269</v>
      </c>
      <c r="C975" t="s">
        <v>10985</v>
      </c>
      <c r="D975" t="s">
        <v>13287</v>
      </c>
      <c r="E975" t="str">
        <f>+VLOOKUP(A975,[1]PFE4!$A$7:$F$5208,6,0)</f>
        <v>CALLE 17  48 B  320  APARTAMENTO 510</v>
      </c>
      <c r="F975" s="17" t="str">
        <f>+VLOOKUP(A975,[1]PFE4!$A$7:$G$5208,7,0)</f>
        <v>05887</v>
      </c>
      <c r="G975">
        <v>7306248</v>
      </c>
      <c r="H975">
        <v>4329</v>
      </c>
    </row>
    <row r="976" spans="1:8" ht="15" customHeight="1" x14ac:dyDescent="0.25">
      <c r="A976" t="s">
        <v>3220</v>
      </c>
      <c r="B976" t="s">
        <v>7270</v>
      </c>
      <c r="C976" t="s">
        <v>10986</v>
      </c>
      <c r="D976" t="s">
        <v>13287</v>
      </c>
      <c r="E976" t="str">
        <f>+VLOOKUP(A976,[1]PFE4!$A$7:$F$5208,6,0)</f>
        <v>CALLE 56  17 A  77</v>
      </c>
      <c r="F976" s="17">
        <f>+VLOOKUP(A976,[1]PFE4!$A$7:$G$5208,7,0)</f>
        <v>68001</v>
      </c>
      <c r="G976">
        <v>7306831</v>
      </c>
      <c r="H976">
        <v>4329</v>
      </c>
    </row>
    <row r="977" spans="1:8" ht="15" customHeight="1" x14ac:dyDescent="0.25">
      <c r="A977" t="s">
        <v>3221</v>
      </c>
      <c r="B977" t="s">
        <v>7271</v>
      </c>
      <c r="C977" t="s">
        <v>10987</v>
      </c>
      <c r="D977" t="s">
        <v>13287</v>
      </c>
      <c r="E977" t="str">
        <f>+VLOOKUP(A977,[1]PFE4!$A$7:$F$5208,6,0)</f>
        <v>CR 71 24 50</v>
      </c>
      <c r="F977" s="17">
        <f>+VLOOKUP(A977,[1]PFE4!$A$7:$G$5208,7,0)</f>
        <v>11001</v>
      </c>
      <c r="G977">
        <v>7308400</v>
      </c>
      <c r="H977">
        <v>4329</v>
      </c>
    </row>
    <row r="978" spans="1:8" ht="15" customHeight="1" x14ac:dyDescent="0.25">
      <c r="A978" t="s">
        <v>3222</v>
      </c>
      <c r="B978" t="s">
        <v>7272</v>
      </c>
      <c r="C978" t="s">
        <v>10988</v>
      </c>
      <c r="D978" t="s">
        <v>13287</v>
      </c>
      <c r="E978" t="str">
        <f>+VLOOKUP(A978,[1]PFE4!$A$7:$F$5208,6,0)</f>
        <v>PARAJE EL CHUSCAL CL 28 17 20</v>
      </c>
      <c r="F978" s="17" t="str">
        <f>+VLOOKUP(A978,[1]PFE4!$A$7:$G$5208,7,0)</f>
        <v>05607</v>
      </c>
      <c r="G978">
        <v>7312968</v>
      </c>
      <c r="H978">
        <v>4329</v>
      </c>
    </row>
    <row r="979" spans="1:8" ht="15" customHeight="1" x14ac:dyDescent="0.25">
      <c r="A979" t="s">
        <v>3223</v>
      </c>
      <c r="B979" t="s">
        <v>7273</v>
      </c>
      <c r="C979">
        <v>0</v>
      </c>
      <c r="D979" t="s">
        <v>13287</v>
      </c>
      <c r="E979">
        <v>0</v>
      </c>
      <c r="F979" s="17">
        <v>11001</v>
      </c>
      <c r="G979">
        <v>7314120</v>
      </c>
      <c r="H979">
        <v>4329</v>
      </c>
    </row>
    <row r="980" spans="1:8" ht="15" customHeight="1" x14ac:dyDescent="0.25">
      <c r="A980" t="s">
        <v>3224</v>
      </c>
      <c r="B980" t="s">
        <v>7274</v>
      </c>
      <c r="C980" t="s">
        <v>10989</v>
      </c>
      <c r="D980" t="s">
        <v>13287</v>
      </c>
      <c r="E980" t="str">
        <f>+VLOOKUP(A980,[1]PFE4!$A$7:$F$5208,6,0)</f>
        <v>CARRERA 47 A  52  32</v>
      </c>
      <c r="F980" s="17">
        <f>+VLOOKUP(A980,[1]PFE4!$A$7:$G$5208,7,0)</f>
        <v>68001</v>
      </c>
      <c r="G980">
        <v>7321044</v>
      </c>
      <c r="H980">
        <v>4329</v>
      </c>
    </row>
    <row r="981" spans="1:8" ht="15" customHeight="1" x14ac:dyDescent="0.25">
      <c r="A981" t="s">
        <v>3225</v>
      </c>
      <c r="B981" t="s">
        <v>7275</v>
      </c>
      <c r="C981" t="s">
        <v>10990</v>
      </c>
      <c r="D981" t="s">
        <v>13287</v>
      </c>
      <c r="E981" t="str">
        <f>+VLOOKUP(A981,[1]PFE4!$A$7:$F$5208,6,0)</f>
        <v>CL 102 50 15</v>
      </c>
      <c r="F981" s="17" t="str">
        <f>+VLOOKUP(A981,[1]PFE4!$A$7:$G$5208,7,0)</f>
        <v>08001</v>
      </c>
      <c r="G981">
        <v>7321400</v>
      </c>
      <c r="H981">
        <v>4329</v>
      </c>
    </row>
    <row r="982" spans="1:8" ht="15" customHeight="1" x14ac:dyDescent="0.25">
      <c r="A982" t="s">
        <v>3226</v>
      </c>
      <c r="B982" t="s">
        <v>7276</v>
      </c>
      <c r="C982" t="s">
        <v>10991</v>
      </c>
      <c r="D982" t="s">
        <v>13287</v>
      </c>
      <c r="E982" t="str">
        <f>+VLOOKUP(A982,[1]PFE4!$A$7:$F$5208,6,0)</f>
        <v>CARRERA 3  9  69</v>
      </c>
      <c r="F982" s="17">
        <f>+VLOOKUP(A982,[1]PFE4!$A$7:$G$5208,7,0)</f>
        <v>47001</v>
      </c>
      <c r="G982">
        <v>7324944</v>
      </c>
      <c r="H982">
        <v>4329</v>
      </c>
    </row>
    <row r="983" spans="1:8" ht="15" customHeight="1" x14ac:dyDescent="0.25">
      <c r="A983" t="s">
        <v>3227</v>
      </c>
      <c r="B983" t="s">
        <v>7277</v>
      </c>
      <c r="C983" t="s">
        <v>10992</v>
      </c>
      <c r="D983" t="s">
        <v>13287</v>
      </c>
      <c r="E983" t="str">
        <f>+VLOOKUP(A983,[1]PFE4!$A$7:$F$5208,6,0)</f>
        <v>CALLE 122 48-46</v>
      </c>
      <c r="F983" s="17">
        <f>+VLOOKUP(A983,[1]PFE4!$A$7:$G$5208,7,0)</f>
        <v>11001</v>
      </c>
      <c r="G983">
        <v>7327840</v>
      </c>
      <c r="H983">
        <v>4329</v>
      </c>
    </row>
    <row r="984" spans="1:8" ht="15" customHeight="1" x14ac:dyDescent="0.25">
      <c r="A984" t="s">
        <v>3228</v>
      </c>
      <c r="B984" t="s">
        <v>7278</v>
      </c>
      <c r="C984" t="s">
        <v>10993</v>
      </c>
      <c r="D984" t="s">
        <v>13287</v>
      </c>
      <c r="E984" t="str">
        <f>+VLOOKUP(A984,[1]PFE4!$A$7:$F$5208,6,0)</f>
        <v>CARRERA 28  54  54</v>
      </c>
      <c r="F984" s="17">
        <f>+VLOOKUP(A984,[1]PFE4!$A$7:$G$5208,7,0)</f>
        <v>11001</v>
      </c>
      <c r="G984">
        <v>7332840</v>
      </c>
      <c r="H984">
        <v>4329</v>
      </c>
    </row>
    <row r="985" spans="1:8" ht="15" customHeight="1" x14ac:dyDescent="0.25">
      <c r="A985" t="s">
        <v>3229</v>
      </c>
      <c r="B985" t="s">
        <v>7279</v>
      </c>
      <c r="C985" t="s">
        <v>10994</v>
      </c>
      <c r="D985" t="s">
        <v>13287</v>
      </c>
      <c r="E985" t="str">
        <f>+VLOOKUP(A985,[1]PFE4!$A$7:$F$5208,6,0)</f>
        <v>CARRERA 15  77  50  OFICINA 502</v>
      </c>
      <c r="F985" s="17">
        <f>+VLOOKUP(A985,[1]PFE4!$A$7:$G$5208,7,0)</f>
        <v>11001</v>
      </c>
      <c r="G985">
        <v>7333242</v>
      </c>
      <c r="H985">
        <v>4329</v>
      </c>
    </row>
    <row r="986" spans="1:8" ht="15" customHeight="1" x14ac:dyDescent="0.25">
      <c r="A986" t="s">
        <v>3230</v>
      </c>
      <c r="B986" t="s">
        <v>7280</v>
      </c>
      <c r="C986" t="s">
        <v>10995</v>
      </c>
      <c r="D986" t="s">
        <v>13287</v>
      </c>
      <c r="E986" t="str">
        <f>+VLOOKUP(A986,[1]PFE4!$A$7:$F$5208,6,0)</f>
        <v>CALLE 55  45  58</v>
      </c>
      <c r="F986" s="17" t="str">
        <f>+VLOOKUP(A986,[1]PFE4!$A$7:$G$5208,7,0)</f>
        <v>05001</v>
      </c>
      <c r="G986">
        <v>7333736</v>
      </c>
      <c r="H986">
        <v>4329</v>
      </c>
    </row>
    <row r="987" spans="1:8" ht="15" customHeight="1" x14ac:dyDescent="0.25">
      <c r="A987" t="s">
        <v>3231</v>
      </c>
      <c r="B987" t="s">
        <v>7281</v>
      </c>
      <c r="C987" t="s">
        <v>10996</v>
      </c>
      <c r="D987" t="s">
        <v>13287</v>
      </c>
      <c r="E987" t="str">
        <f>+VLOOKUP(A987,[1]PFE4!$A$7:$F$5208,6,0)</f>
        <v>CARRERA 37  8 A  46</v>
      </c>
      <c r="F987" s="17" t="str">
        <f>+VLOOKUP(A987,[1]PFE4!$A$7:$G$5208,7,0)</f>
        <v>05001</v>
      </c>
      <c r="G987">
        <v>7336454</v>
      </c>
      <c r="H987">
        <v>4329</v>
      </c>
    </row>
    <row r="988" spans="1:8" ht="15" customHeight="1" x14ac:dyDescent="0.25">
      <c r="A988" t="s">
        <v>3232</v>
      </c>
      <c r="B988" t="s">
        <v>7282</v>
      </c>
      <c r="C988" t="s">
        <v>10997</v>
      </c>
      <c r="D988" t="s">
        <v>13287</v>
      </c>
      <c r="E988" t="str">
        <f>+VLOOKUP(A988,[1]PFE4!$A$7:$F$5208,6,0)</f>
        <v>CALLE 20  20  40</v>
      </c>
      <c r="F988" s="17" t="str">
        <f>+VLOOKUP(A988,[1]PFE4!$A$7:$G$5208,7,0)</f>
        <v>05607</v>
      </c>
      <c r="G988">
        <v>7336670</v>
      </c>
      <c r="H988">
        <v>4329</v>
      </c>
    </row>
    <row r="989" spans="1:8" ht="15" customHeight="1" x14ac:dyDescent="0.25">
      <c r="A989" t="s">
        <v>3233</v>
      </c>
      <c r="B989" t="s">
        <v>7283</v>
      </c>
      <c r="C989" t="s">
        <v>10998</v>
      </c>
      <c r="D989" t="s">
        <v>13287</v>
      </c>
      <c r="E989" t="str">
        <f>+VLOOKUP(A989,[1]PFE4!$A$7:$F$5208,6,0)</f>
        <v>CALLE 3  24  91</v>
      </c>
      <c r="F989" s="17" t="str">
        <f>+VLOOKUP(A989,[1]PFE4!$A$7:$G$5208,7,0)</f>
        <v>08573</v>
      </c>
      <c r="G989">
        <v>7340200</v>
      </c>
      <c r="H989">
        <v>4329</v>
      </c>
    </row>
    <row r="990" spans="1:8" ht="15" customHeight="1" x14ac:dyDescent="0.25">
      <c r="A990" t="s">
        <v>3234</v>
      </c>
      <c r="B990" t="s">
        <v>7284</v>
      </c>
      <c r="C990" t="s">
        <v>10999</v>
      </c>
      <c r="D990" t="s">
        <v>13287</v>
      </c>
      <c r="E990" t="str">
        <f>+VLOOKUP(A990,[1]PFE4!$A$7:$F$5208,6,0)</f>
        <v>CARRERA 55  45  37</v>
      </c>
      <c r="F990" s="17" t="str">
        <f>+VLOOKUP(A990,[1]PFE4!$A$7:$G$5208,7,0)</f>
        <v>08001</v>
      </c>
      <c r="G990">
        <v>7341066</v>
      </c>
      <c r="H990">
        <v>4329</v>
      </c>
    </row>
    <row r="991" spans="1:8" ht="15" customHeight="1" x14ac:dyDescent="0.25">
      <c r="A991" t="s">
        <v>3235</v>
      </c>
      <c r="B991" t="s">
        <v>7285</v>
      </c>
      <c r="C991" t="s">
        <v>11000</v>
      </c>
      <c r="D991" t="s">
        <v>13287</v>
      </c>
      <c r="E991" t="str">
        <f>+VLOOKUP(A991,[1]PFE4!$A$7:$F$5208,6,0)</f>
        <v>CR 34 11 94 BR BUENOS AIRES</v>
      </c>
      <c r="F991" s="17">
        <f>+VLOOKUP(A991,[1]PFE4!$A$7:$G$5208,7,0)</f>
        <v>54498</v>
      </c>
      <c r="G991">
        <v>7346536</v>
      </c>
      <c r="H991">
        <v>4329</v>
      </c>
    </row>
    <row r="992" spans="1:8" ht="15" customHeight="1" x14ac:dyDescent="0.25">
      <c r="A992" t="s">
        <v>3236</v>
      </c>
      <c r="B992" t="s">
        <v>7286</v>
      </c>
      <c r="C992" t="s">
        <v>11001</v>
      </c>
      <c r="D992" t="s">
        <v>13287</v>
      </c>
      <c r="E992" t="str">
        <f>+VLOOKUP(A992,[1]PFE4!$A$7:$F$5208,6,0)</f>
        <v>TRANSVERSAL 39  79  51</v>
      </c>
      <c r="F992" s="17" t="str">
        <f>+VLOOKUP(A992,[1]PFE4!$A$7:$G$5208,7,0)</f>
        <v>05001</v>
      </c>
      <c r="G992">
        <v>7347600</v>
      </c>
      <c r="H992">
        <v>4329</v>
      </c>
    </row>
    <row r="993" spans="1:8" ht="15" customHeight="1" x14ac:dyDescent="0.25">
      <c r="A993" t="s">
        <v>3237</v>
      </c>
      <c r="B993" t="s">
        <v>7287</v>
      </c>
      <c r="C993" t="s">
        <v>11002</v>
      </c>
      <c r="D993" t="s">
        <v>13287</v>
      </c>
      <c r="E993" t="str">
        <f>+VLOOKUP(A993,[1]PFE4!$A$7:$F$5208,6,0)</f>
        <v>CALLE 28  22  41</v>
      </c>
      <c r="F993" s="17">
        <f>+VLOOKUP(A993,[1]PFE4!$A$7:$G$5208,7,0)</f>
        <v>68001</v>
      </c>
      <c r="G993">
        <v>7349705</v>
      </c>
      <c r="H993">
        <v>4329</v>
      </c>
    </row>
    <row r="994" spans="1:8" ht="15" customHeight="1" x14ac:dyDescent="0.25">
      <c r="A994" t="s">
        <v>3238</v>
      </c>
      <c r="B994" t="s">
        <v>7288</v>
      </c>
      <c r="C994" t="s">
        <v>11003</v>
      </c>
      <c r="D994" t="s">
        <v>13287</v>
      </c>
      <c r="E994" t="str">
        <f>+VLOOKUP(A994,[1]PFE4!$A$7:$F$5208,6,0)</f>
        <v>CALLE 32 B SUR  45 B  34. (Buzón)</v>
      </c>
      <c r="F994" s="17" t="str">
        <f>+VLOOKUP(A994,[1]PFE4!$A$7:$G$5208,7,0)</f>
        <v>05266</v>
      </c>
      <c r="G994">
        <v>7350712</v>
      </c>
      <c r="H994">
        <v>4329</v>
      </c>
    </row>
    <row r="995" spans="1:8" ht="15" customHeight="1" x14ac:dyDescent="0.25">
      <c r="A995" t="s">
        <v>3239</v>
      </c>
      <c r="B995" t="s">
        <v>7289</v>
      </c>
      <c r="C995" t="s">
        <v>11004</v>
      </c>
      <c r="D995" t="s">
        <v>13287</v>
      </c>
      <c r="E995" t="str">
        <f>+VLOOKUP(A995,[1]PFE4!$A$7:$F$5208,6,0)</f>
        <v>CR 12 113 23</v>
      </c>
      <c r="F995" s="17">
        <f>+VLOOKUP(A995,[1]PFE4!$A$7:$G$5208,7,0)</f>
        <v>11001</v>
      </c>
      <c r="G995">
        <v>7352616</v>
      </c>
      <c r="H995">
        <v>4329</v>
      </c>
    </row>
    <row r="996" spans="1:8" ht="15" customHeight="1" x14ac:dyDescent="0.25">
      <c r="A996" t="s">
        <v>3240</v>
      </c>
      <c r="B996" t="s">
        <v>7290</v>
      </c>
      <c r="C996" t="s">
        <v>11005</v>
      </c>
      <c r="D996" t="s">
        <v>13287</v>
      </c>
      <c r="E996" t="str">
        <f>+VLOOKUP(A996,[1]PFE4!$A$7:$F$5208,6,0)</f>
        <v>CALLE 107  53  20</v>
      </c>
      <c r="F996" s="17">
        <f>+VLOOKUP(A996,[1]PFE4!$A$7:$G$5208,7,0)</f>
        <v>11001</v>
      </c>
      <c r="G996">
        <v>7363602</v>
      </c>
      <c r="H996">
        <v>4329</v>
      </c>
    </row>
    <row r="997" spans="1:8" ht="15" customHeight="1" x14ac:dyDescent="0.25">
      <c r="A997" t="s">
        <v>3241</v>
      </c>
      <c r="B997" t="s">
        <v>7291</v>
      </c>
      <c r="C997" t="s">
        <v>11006</v>
      </c>
      <c r="D997" t="s">
        <v>13287</v>
      </c>
      <c r="E997" t="str">
        <f>+VLOOKUP(A997,[1]PFE4!$A$7:$F$5208,6,0)</f>
        <v>CARRERA 9  9  35</v>
      </c>
      <c r="F997" s="17">
        <f>+VLOOKUP(A997,[1]PFE4!$A$7:$G$5208,7,0)</f>
        <v>17001</v>
      </c>
      <c r="G997">
        <v>7364020</v>
      </c>
      <c r="H997">
        <v>4329</v>
      </c>
    </row>
    <row r="998" spans="1:8" ht="15" customHeight="1" x14ac:dyDescent="0.25">
      <c r="A998" t="s">
        <v>3242</v>
      </c>
      <c r="B998" t="s">
        <v>7292</v>
      </c>
      <c r="C998" t="s">
        <v>11007</v>
      </c>
      <c r="D998" t="s">
        <v>13287</v>
      </c>
      <c r="E998" t="str">
        <f>+VLOOKUP(A998,[1]PFE4!$A$7:$F$5208,6,0)</f>
        <v>CALLE 94  15  32</v>
      </c>
      <c r="F998" s="17">
        <f>+VLOOKUP(A998,[1]PFE4!$A$7:$G$5208,7,0)</f>
        <v>11001</v>
      </c>
      <c r="G998">
        <v>7370599</v>
      </c>
      <c r="H998">
        <v>4329</v>
      </c>
    </row>
    <row r="999" spans="1:8" ht="15" customHeight="1" x14ac:dyDescent="0.25">
      <c r="A999" t="s">
        <v>3243</v>
      </c>
      <c r="B999" t="s">
        <v>7293</v>
      </c>
      <c r="C999" t="s">
        <v>11008</v>
      </c>
      <c r="D999" t="s">
        <v>13287</v>
      </c>
      <c r="E999" t="str">
        <f>+VLOOKUP(A999,[1]PFE4!$A$7:$F$5208,6,0)</f>
        <v>CL 49 27 A 34 LC 5</v>
      </c>
      <c r="F999" s="17">
        <f>+VLOOKUP(A999,[1]PFE4!$A$7:$G$5208,7,0)</f>
        <v>11001</v>
      </c>
      <c r="G999">
        <v>7372720</v>
      </c>
      <c r="H999">
        <v>4329</v>
      </c>
    </row>
    <row r="1000" spans="1:8" ht="15" customHeight="1" x14ac:dyDescent="0.25">
      <c r="A1000" t="s">
        <v>3244</v>
      </c>
      <c r="B1000" t="s">
        <v>7294</v>
      </c>
      <c r="C1000" t="s">
        <v>10819</v>
      </c>
      <c r="D1000" t="s">
        <v>13287</v>
      </c>
      <c r="E1000" t="str">
        <f>+VLOOKUP(A1000,[1]PFE4!$A$7:$F$5208,6,0)</f>
        <v>CALLE 21  18  60</v>
      </c>
      <c r="F1000" s="17" t="str">
        <f>+VLOOKUP(A1000,[1]PFE4!$A$7:$G$5208,7,0)</f>
        <v>05376</v>
      </c>
      <c r="G1000">
        <v>7378560</v>
      </c>
      <c r="H1000">
        <v>4329</v>
      </c>
    </row>
    <row r="1001" spans="1:8" ht="15" customHeight="1" x14ac:dyDescent="0.25">
      <c r="A1001" t="s">
        <v>3245</v>
      </c>
      <c r="B1001" t="s">
        <v>7295</v>
      </c>
      <c r="C1001" t="s">
        <v>11009</v>
      </c>
      <c r="D1001" t="s">
        <v>13287</v>
      </c>
      <c r="E1001" t="str">
        <f>+VLOOKUP(A1001,[1]PFE4!$A$7:$F$5208,6,0)</f>
        <v>CALLE 20 A 15 16</v>
      </c>
      <c r="F1001" s="17">
        <f>+VLOOKUP(A1001,[1]PFE4!$A$7:$G$5208,7,0)</f>
        <v>63001</v>
      </c>
      <c r="G1001">
        <v>7383552</v>
      </c>
      <c r="H1001">
        <v>4329</v>
      </c>
    </row>
    <row r="1002" spans="1:8" ht="15" customHeight="1" x14ac:dyDescent="0.25">
      <c r="A1002" t="s">
        <v>3246</v>
      </c>
      <c r="B1002" t="s">
        <v>7296</v>
      </c>
      <c r="C1002" t="s">
        <v>11010</v>
      </c>
      <c r="D1002" t="s">
        <v>13287</v>
      </c>
      <c r="E1002" t="str">
        <f>+VLOOKUP(A1002,[1]PFE4!$A$7:$F$5208,6,0)</f>
        <v>DIAGONAL 75 B  32 B B  85</v>
      </c>
      <c r="F1002" s="17" t="str">
        <f>+VLOOKUP(A1002,[1]PFE4!$A$7:$G$5208,7,0)</f>
        <v>05001</v>
      </c>
      <c r="G1002">
        <v>7387740</v>
      </c>
      <c r="H1002">
        <v>4329</v>
      </c>
    </row>
    <row r="1003" spans="1:8" ht="15" customHeight="1" x14ac:dyDescent="0.25">
      <c r="A1003" t="s">
        <v>3247</v>
      </c>
      <c r="B1003" t="s">
        <v>7297</v>
      </c>
      <c r="C1003">
        <v>3219664011</v>
      </c>
      <c r="D1003" t="s">
        <v>13287</v>
      </c>
      <c r="E1003" t="str">
        <f>+VLOOKUP(A1003,[1]PFE4!$A$7:$F$5208,6,0)</f>
        <v>CARRERA 13 A  38  39</v>
      </c>
      <c r="F1003" s="17">
        <f>+VLOOKUP(A1003,[1]PFE4!$A$7:$G$5208,7,0)</f>
        <v>11001</v>
      </c>
      <c r="G1003">
        <v>7389652</v>
      </c>
      <c r="H1003">
        <v>4329</v>
      </c>
    </row>
    <row r="1004" spans="1:8" ht="15" customHeight="1" x14ac:dyDescent="0.25">
      <c r="A1004" t="s">
        <v>3248</v>
      </c>
      <c r="B1004" t="s">
        <v>7298</v>
      </c>
      <c r="C1004">
        <v>0</v>
      </c>
      <c r="D1004" t="s">
        <v>13287</v>
      </c>
      <c r="E1004">
        <v>0</v>
      </c>
      <c r="F1004" s="17">
        <v>11001</v>
      </c>
      <c r="G1004">
        <v>7394568</v>
      </c>
      <c r="H1004">
        <v>4329</v>
      </c>
    </row>
    <row r="1005" spans="1:8" ht="15" customHeight="1" x14ac:dyDescent="0.25">
      <c r="A1005" t="s">
        <v>3249</v>
      </c>
      <c r="B1005" t="s">
        <v>7299</v>
      </c>
      <c r="C1005" t="s">
        <v>11011</v>
      </c>
      <c r="D1005" t="s">
        <v>13287</v>
      </c>
      <c r="E1005" t="str">
        <f>+VLOOKUP(A1005,[1]PFE4!$A$7:$F$5208,6,0)</f>
        <v>CARRERA 22  31  41</v>
      </c>
      <c r="F1005" s="17">
        <f>+VLOOKUP(A1005,[1]PFE4!$A$7:$G$5208,7,0)</f>
        <v>11001</v>
      </c>
      <c r="G1005">
        <v>7396620</v>
      </c>
      <c r="H1005">
        <v>4329</v>
      </c>
    </row>
    <row r="1006" spans="1:8" ht="15" customHeight="1" x14ac:dyDescent="0.25">
      <c r="A1006" t="s">
        <v>3250</v>
      </c>
      <c r="B1006" t="s">
        <v>7300</v>
      </c>
      <c r="C1006" t="s">
        <v>11012</v>
      </c>
      <c r="D1006" t="s">
        <v>13287</v>
      </c>
      <c r="E1006" t="str">
        <f>+VLOOKUP(A1006,[1]PFE4!$A$7:$F$5208,6,0)</f>
        <v>CARRERA 39  48  152</v>
      </c>
      <c r="F1006" s="17">
        <f>+VLOOKUP(A1006,[1]PFE4!$A$7:$G$5208,7,0)</f>
        <v>68001</v>
      </c>
      <c r="G1006">
        <v>7397300</v>
      </c>
      <c r="H1006">
        <v>4329</v>
      </c>
    </row>
    <row r="1007" spans="1:8" ht="15" customHeight="1" x14ac:dyDescent="0.25">
      <c r="A1007" t="s">
        <v>3251</v>
      </c>
      <c r="B1007" t="s">
        <v>7301</v>
      </c>
      <c r="C1007" t="s">
        <v>11013</v>
      </c>
      <c r="D1007" t="s">
        <v>13287</v>
      </c>
      <c r="E1007" t="str">
        <f>+VLOOKUP(A1007,[1]PFE4!$A$7:$F$5208,6,0)</f>
        <v xml:space="preserve"> Km 7 Autopista Bucaramanga Piedecuesta, Valle de Menzuly Piso 4</v>
      </c>
      <c r="F1007" s="17">
        <f>+VLOOKUP(A1007,[1]PFE4!$A$7:$G$5208,7,0)</f>
        <v>68001</v>
      </c>
      <c r="G1007">
        <v>7398901</v>
      </c>
      <c r="H1007">
        <v>4329</v>
      </c>
    </row>
    <row r="1008" spans="1:8" ht="15" customHeight="1" x14ac:dyDescent="0.25">
      <c r="A1008" t="s">
        <v>3252</v>
      </c>
      <c r="B1008" t="s">
        <v>7302</v>
      </c>
      <c r="C1008" t="s">
        <v>11014</v>
      </c>
      <c r="D1008" t="s">
        <v>13287</v>
      </c>
      <c r="E1008" t="str">
        <f>+VLOOKUP(A1008,[1]PFE4!$A$7:$F$5208,6,0)</f>
        <v>CALLE 125  19  89</v>
      </c>
      <c r="F1008" s="17">
        <f>+VLOOKUP(A1008,[1]PFE4!$A$7:$G$5208,7,0)</f>
        <v>11001</v>
      </c>
      <c r="G1008">
        <v>7400412</v>
      </c>
      <c r="H1008">
        <v>4329</v>
      </c>
    </row>
    <row r="1009" spans="1:8" ht="15" customHeight="1" x14ac:dyDescent="0.25">
      <c r="A1009" t="s">
        <v>3253</v>
      </c>
      <c r="B1009" t="s">
        <v>7303</v>
      </c>
      <c r="C1009">
        <v>3219664011</v>
      </c>
      <c r="D1009" t="s">
        <v>13287</v>
      </c>
      <c r="E1009" t="str">
        <f>+VLOOKUP(A1009,[1]PFE4!$A$7:$F$5208,6,0)</f>
        <v>CALLE 23 NORTE  4 N  50  PISO 8</v>
      </c>
      <c r="F1009" s="17">
        <f>+VLOOKUP(A1009,[1]PFE4!$A$7:$G$5208,7,0)</f>
        <v>76001</v>
      </c>
      <c r="G1009">
        <v>7402878</v>
      </c>
      <c r="H1009">
        <v>4329</v>
      </c>
    </row>
    <row r="1010" spans="1:8" ht="15" customHeight="1" x14ac:dyDescent="0.25">
      <c r="A1010" t="s">
        <v>3254</v>
      </c>
      <c r="B1010" t="s">
        <v>7304</v>
      </c>
      <c r="C1010" t="s">
        <v>10909</v>
      </c>
      <c r="D1010" t="s">
        <v>13287</v>
      </c>
      <c r="E1010" t="str">
        <f>+VLOOKUP(A1010,[1]PFE4!$A$7:$F$5208,6,0)</f>
        <v>CALLE 118  16  41</v>
      </c>
      <c r="F1010" s="17">
        <f>+VLOOKUP(A1010,[1]PFE4!$A$7:$G$5208,7,0)</f>
        <v>11001</v>
      </c>
      <c r="G1010">
        <v>7406095</v>
      </c>
      <c r="H1010">
        <v>4329</v>
      </c>
    </row>
    <row r="1011" spans="1:8" ht="15" customHeight="1" x14ac:dyDescent="0.25">
      <c r="A1011" t="s">
        <v>3255</v>
      </c>
      <c r="B1011" t="s">
        <v>7305</v>
      </c>
      <c r="C1011" t="s">
        <v>11015</v>
      </c>
      <c r="D1011" t="s">
        <v>13287</v>
      </c>
      <c r="E1011" t="str">
        <f>+VLOOKUP(A1011,[1]PFE4!$A$7:$F$5208,6,0)</f>
        <v>CARRERA 14 B  110  07</v>
      </c>
      <c r="F1011" s="17">
        <f>+VLOOKUP(A1011,[1]PFE4!$A$7:$G$5208,7,0)</f>
        <v>11001</v>
      </c>
      <c r="G1011">
        <v>7414930</v>
      </c>
      <c r="H1011">
        <v>4329</v>
      </c>
    </row>
    <row r="1012" spans="1:8" ht="15" customHeight="1" x14ac:dyDescent="0.25">
      <c r="A1012" t="s">
        <v>3256</v>
      </c>
      <c r="B1012" t="s">
        <v>7306</v>
      </c>
      <c r="C1012" t="s">
        <v>11016</v>
      </c>
      <c r="D1012" t="s">
        <v>13287</v>
      </c>
      <c r="E1012" t="str">
        <f>+VLOOKUP(A1012,[1]PFE4!$A$7:$F$5208,6,0)</f>
        <v>CALLE 127 BIS  19  31</v>
      </c>
      <c r="F1012" s="17">
        <f>+VLOOKUP(A1012,[1]PFE4!$A$7:$G$5208,7,0)</f>
        <v>11001</v>
      </c>
      <c r="G1012">
        <v>7414955</v>
      </c>
      <c r="H1012">
        <v>4329</v>
      </c>
    </row>
    <row r="1013" spans="1:8" ht="15" customHeight="1" x14ac:dyDescent="0.25">
      <c r="A1013" t="s">
        <v>3257</v>
      </c>
      <c r="B1013" t="s">
        <v>7307</v>
      </c>
      <c r="C1013">
        <v>0</v>
      </c>
      <c r="D1013" t="s">
        <v>13287</v>
      </c>
      <c r="E1013">
        <v>0</v>
      </c>
      <c r="F1013" s="17">
        <v>11001</v>
      </c>
      <c r="G1013">
        <v>7415370</v>
      </c>
      <c r="H1013">
        <v>4329</v>
      </c>
    </row>
    <row r="1014" spans="1:8" ht="15" customHeight="1" x14ac:dyDescent="0.25">
      <c r="A1014" t="s">
        <v>3258</v>
      </c>
      <c r="B1014" t="s">
        <v>7308</v>
      </c>
      <c r="C1014" t="s">
        <v>11017</v>
      </c>
      <c r="D1014" t="s">
        <v>13287</v>
      </c>
      <c r="E1014" t="str">
        <f>+VLOOKUP(A1014,[1]PFE4!$A$7:$F$5208,6,0)</f>
        <v>CARRERA 72 B  27  52</v>
      </c>
      <c r="F1014" s="17" t="str">
        <f>+VLOOKUP(A1014,[1]PFE4!$A$7:$G$5208,7,0)</f>
        <v>05001</v>
      </c>
      <c r="G1014">
        <v>7422636</v>
      </c>
      <c r="H1014">
        <v>4329</v>
      </c>
    </row>
    <row r="1015" spans="1:8" ht="15" customHeight="1" x14ac:dyDescent="0.25">
      <c r="A1015" t="s">
        <v>3259</v>
      </c>
      <c r="B1015" t="s">
        <v>7309</v>
      </c>
      <c r="C1015" t="s">
        <v>11018</v>
      </c>
      <c r="D1015" t="s">
        <v>13287</v>
      </c>
      <c r="E1015" t="str">
        <f>+VLOOKUP(A1015,[1]PFE4!$A$7:$F$5208,6,0)</f>
        <v>CL 17 19 53</v>
      </c>
      <c r="F1015" s="17" t="str">
        <f>+VLOOKUP(A1015,[1]PFE4!$A$7:$G$5208,7,0)</f>
        <v>05887</v>
      </c>
      <c r="G1015">
        <v>7426468</v>
      </c>
      <c r="H1015">
        <v>4329</v>
      </c>
    </row>
    <row r="1016" spans="1:8" ht="15" customHeight="1" x14ac:dyDescent="0.25">
      <c r="A1016" t="s">
        <v>3260</v>
      </c>
      <c r="B1016" t="s">
        <v>7310</v>
      </c>
      <c r="C1016">
        <v>0</v>
      </c>
      <c r="D1016" t="s">
        <v>13287</v>
      </c>
      <c r="E1016">
        <v>0</v>
      </c>
      <c r="F1016" s="17">
        <v>11001</v>
      </c>
      <c r="G1016">
        <v>7429345</v>
      </c>
      <c r="H1016">
        <v>4329</v>
      </c>
    </row>
    <row r="1017" spans="1:8" ht="15" customHeight="1" x14ac:dyDescent="0.25">
      <c r="A1017" t="s">
        <v>3261</v>
      </c>
      <c r="B1017" t="s">
        <v>7311</v>
      </c>
      <c r="C1017" t="s">
        <v>11019</v>
      </c>
      <c r="D1017" t="s">
        <v>13287</v>
      </c>
      <c r="E1017" t="str">
        <f>+VLOOKUP(A1017,[1]PFE4!$A$7:$F$5208,6,0)</f>
        <v>CR 28 29 39</v>
      </c>
      <c r="F1017" s="17" t="str">
        <f>+VLOOKUP(A1017,[1]PFE4!$A$7:$G$5208,7,0)</f>
        <v>05237</v>
      </c>
      <c r="G1017">
        <v>7432280</v>
      </c>
      <c r="H1017">
        <v>4329</v>
      </c>
    </row>
    <row r="1018" spans="1:8" ht="15" customHeight="1" x14ac:dyDescent="0.25">
      <c r="A1018" t="s">
        <v>3262</v>
      </c>
      <c r="B1018" t="s">
        <v>7312</v>
      </c>
      <c r="C1018">
        <v>0</v>
      </c>
      <c r="D1018" t="s">
        <v>13287</v>
      </c>
      <c r="E1018">
        <v>0</v>
      </c>
      <c r="F1018" s="17">
        <v>11001</v>
      </c>
      <c r="G1018">
        <v>7433823</v>
      </c>
      <c r="H1018">
        <v>4329</v>
      </c>
    </row>
    <row r="1019" spans="1:8" ht="15" customHeight="1" x14ac:dyDescent="0.25">
      <c r="A1019" t="s">
        <v>3263</v>
      </c>
      <c r="B1019" t="s">
        <v>7313</v>
      </c>
      <c r="C1019">
        <v>3219664011</v>
      </c>
      <c r="D1019" t="s">
        <v>13287</v>
      </c>
      <c r="E1019" t="str">
        <f>+VLOOKUP(A1019,[1]PFE4!$A$7:$F$5208,6,0)</f>
        <v>CARRERA 77  38  92</v>
      </c>
      <c r="F1019" s="17" t="str">
        <f>+VLOOKUP(A1019,[1]PFE4!$A$7:$G$5208,7,0)</f>
        <v>05001</v>
      </c>
      <c r="G1019">
        <v>7439016</v>
      </c>
      <c r="H1019">
        <v>4329</v>
      </c>
    </row>
    <row r="1020" spans="1:8" ht="15" customHeight="1" x14ac:dyDescent="0.25">
      <c r="A1020" t="s">
        <v>3264</v>
      </c>
      <c r="B1020" t="s">
        <v>7314</v>
      </c>
      <c r="C1020" t="s">
        <v>11020</v>
      </c>
      <c r="D1020" t="s">
        <v>13287</v>
      </c>
      <c r="E1020" t="str">
        <f>+VLOOKUP(A1020,[1]PFE4!$A$7:$F$5208,6,0)</f>
        <v>CL 8 B 30 52 60</v>
      </c>
      <c r="F1020" s="17" t="str">
        <f>+VLOOKUP(A1020,[1]PFE4!$A$7:$G$5208,7,0)</f>
        <v>05001</v>
      </c>
      <c r="G1020">
        <v>7440000</v>
      </c>
      <c r="H1020">
        <v>4329</v>
      </c>
    </row>
    <row r="1021" spans="1:8" ht="15" customHeight="1" x14ac:dyDescent="0.25">
      <c r="A1021" t="s">
        <v>3265</v>
      </c>
      <c r="B1021" t="s">
        <v>7315</v>
      </c>
      <c r="C1021" t="s">
        <v>11021</v>
      </c>
      <c r="D1021" t="s">
        <v>13287</v>
      </c>
      <c r="E1021" t="str">
        <f>+VLOOKUP(A1021,[1]PFE4!$A$7:$F$5208,6,0)</f>
        <v>CARRERA 81 A  48 B  49</v>
      </c>
      <c r="F1021" s="17" t="str">
        <f>+VLOOKUP(A1021,[1]PFE4!$A$7:$G$5208,7,0)</f>
        <v>05001</v>
      </c>
      <c r="G1021">
        <v>7441176</v>
      </c>
      <c r="H1021">
        <v>4329</v>
      </c>
    </row>
    <row r="1022" spans="1:8" ht="15" customHeight="1" x14ac:dyDescent="0.25">
      <c r="A1022" t="s">
        <v>3266</v>
      </c>
      <c r="B1022" t="s">
        <v>7316</v>
      </c>
      <c r="C1022" t="s">
        <v>11022</v>
      </c>
      <c r="D1022" t="s">
        <v>13287</v>
      </c>
      <c r="E1022" t="str">
        <f>+VLOOKUP(A1022,[1]PFE4!$A$7:$F$5208,6,0)</f>
        <v>CARRERA 24  31  74</v>
      </c>
      <c r="F1022" s="17">
        <f>+VLOOKUP(A1022,[1]PFE4!$A$7:$G$5208,7,0)</f>
        <v>11001</v>
      </c>
      <c r="G1022">
        <v>7441807</v>
      </c>
      <c r="H1022">
        <v>4329</v>
      </c>
    </row>
    <row r="1023" spans="1:8" ht="15" customHeight="1" x14ac:dyDescent="0.25">
      <c r="A1023" t="s">
        <v>3267</v>
      </c>
      <c r="B1023" t="s">
        <v>7317</v>
      </c>
      <c r="C1023" t="s">
        <v>11023</v>
      </c>
      <c r="D1023" t="s">
        <v>13287</v>
      </c>
      <c r="E1023" t="str">
        <f>+VLOOKUP(A1023,[1]PFE4!$A$7:$F$5208,6,0)</f>
        <v>CALLE 71  41  46</v>
      </c>
      <c r="F1023" s="17" t="str">
        <f>+VLOOKUP(A1023,[1]PFE4!$A$7:$G$5208,7,0)</f>
        <v>08001</v>
      </c>
      <c r="G1023">
        <v>7446881</v>
      </c>
      <c r="H1023">
        <v>4329</v>
      </c>
    </row>
    <row r="1024" spans="1:8" ht="15" customHeight="1" x14ac:dyDescent="0.25">
      <c r="A1024" t="s">
        <v>3268</v>
      </c>
      <c r="B1024" t="s">
        <v>7318</v>
      </c>
      <c r="C1024" t="s">
        <v>11024</v>
      </c>
      <c r="D1024" t="s">
        <v>13287</v>
      </c>
      <c r="E1024" t="str">
        <f>+VLOOKUP(A1024,[1]PFE4!$A$7:$F$5208,6,0)</f>
        <v>CALLE 50  28  25</v>
      </c>
      <c r="F1024" s="17">
        <f>+VLOOKUP(A1024,[1]PFE4!$A$7:$G$5208,7,0)</f>
        <v>11001</v>
      </c>
      <c r="G1024">
        <v>7448104</v>
      </c>
      <c r="H1024">
        <v>4329</v>
      </c>
    </row>
    <row r="1025" spans="1:8" ht="15" customHeight="1" x14ac:dyDescent="0.25">
      <c r="A1025" t="s">
        <v>3269</v>
      </c>
      <c r="B1025" t="s">
        <v>7319</v>
      </c>
      <c r="C1025" t="s">
        <v>11025</v>
      </c>
      <c r="D1025" t="s">
        <v>13287</v>
      </c>
      <c r="E1025" t="str">
        <f>+VLOOKUP(A1025,[1]PFE4!$A$7:$F$5208,6,0)</f>
        <v>CALLE 10  5  47</v>
      </c>
      <c r="F1025" s="17">
        <f>+VLOOKUP(A1025,[1]PFE4!$A$7:$G$5208,7,0)</f>
        <v>41001</v>
      </c>
      <c r="G1025">
        <v>7458456</v>
      </c>
      <c r="H1025">
        <v>4329</v>
      </c>
    </row>
    <row r="1026" spans="1:8" ht="15" customHeight="1" x14ac:dyDescent="0.25">
      <c r="A1026" t="s">
        <v>3270</v>
      </c>
      <c r="B1026" t="s">
        <v>7320</v>
      </c>
      <c r="C1026">
        <v>3219664011</v>
      </c>
      <c r="D1026" t="s">
        <v>13287</v>
      </c>
      <c r="E1026" t="str">
        <f>+VLOOKUP(A1026,[1]PFE4!$A$7:$F$5208,6,0)</f>
        <v>CARRERA 43  22 A SUR  20</v>
      </c>
      <c r="F1026" s="17" t="str">
        <f>+VLOOKUP(A1026,[1]PFE4!$A$7:$G$5208,7,0)</f>
        <v>05266</v>
      </c>
      <c r="G1026">
        <v>7461564</v>
      </c>
      <c r="H1026">
        <v>4329</v>
      </c>
    </row>
    <row r="1027" spans="1:8" ht="15" customHeight="1" x14ac:dyDescent="0.25">
      <c r="A1027" t="s">
        <v>3271</v>
      </c>
      <c r="B1027" t="s">
        <v>7321</v>
      </c>
      <c r="C1027" t="s">
        <v>11026</v>
      </c>
      <c r="D1027" t="s">
        <v>13287</v>
      </c>
      <c r="E1027" t="str">
        <f>+VLOOKUP(A1027,[1]PFE4!$A$7:$F$5208,6,0)</f>
        <v>CARRERA 14  95  47  OFICINA 402</v>
      </c>
      <c r="F1027" s="17">
        <f>+VLOOKUP(A1027,[1]PFE4!$A$7:$G$5208,7,0)</f>
        <v>11001</v>
      </c>
      <c r="G1027">
        <v>7464048</v>
      </c>
      <c r="H1027">
        <v>4329</v>
      </c>
    </row>
    <row r="1028" spans="1:8" ht="15" customHeight="1" x14ac:dyDescent="0.25">
      <c r="A1028" t="s">
        <v>3272</v>
      </c>
      <c r="B1028" t="s">
        <v>7322</v>
      </c>
      <c r="C1028" t="s">
        <v>10968</v>
      </c>
      <c r="D1028" t="s">
        <v>13287</v>
      </c>
      <c r="E1028" t="str">
        <f>+VLOOKUP(A1028,[1]PFE4!$A$7:$F$5208,6,0)</f>
        <v>CALLE 72 BIS  1  83</v>
      </c>
      <c r="F1028" s="17">
        <f>+VLOOKUP(A1028,[1]PFE4!$A$7:$G$5208,7,0)</f>
        <v>11001</v>
      </c>
      <c r="G1028">
        <v>7470060</v>
      </c>
      <c r="H1028">
        <v>4329</v>
      </c>
    </row>
    <row r="1029" spans="1:8" ht="15" customHeight="1" x14ac:dyDescent="0.25">
      <c r="A1029" t="s">
        <v>3273</v>
      </c>
      <c r="B1029" t="s">
        <v>7323</v>
      </c>
      <c r="C1029" t="s">
        <v>11027</v>
      </c>
      <c r="D1029" t="s">
        <v>13287</v>
      </c>
      <c r="E1029" t="str">
        <f>+VLOOKUP(A1029,[1]PFE4!$A$7:$F$5208,6,0)</f>
        <v>CALLE 77 A C  80  40</v>
      </c>
      <c r="F1029" s="17" t="str">
        <f>+VLOOKUP(A1029,[1]PFE4!$A$7:$G$5208,7,0)</f>
        <v>05001</v>
      </c>
      <c r="G1029">
        <v>7470700</v>
      </c>
      <c r="H1029">
        <v>4329</v>
      </c>
    </row>
    <row r="1030" spans="1:8" ht="15" customHeight="1" x14ac:dyDescent="0.25">
      <c r="A1030" t="s">
        <v>3274</v>
      </c>
      <c r="B1030" t="s">
        <v>7324</v>
      </c>
      <c r="C1030">
        <v>3219664011</v>
      </c>
      <c r="D1030" t="s">
        <v>13287</v>
      </c>
      <c r="E1030" t="str">
        <f>+VLOOKUP(A1030,[1]PFE4!$A$7:$F$5208,6,0)</f>
        <v>CALLE 75 SUR  34  120</v>
      </c>
      <c r="F1030" s="17" t="str">
        <f>+VLOOKUP(A1030,[1]PFE4!$A$7:$G$5208,7,0)</f>
        <v>05631</v>
      </c>
      <c r="G1030">
        <v>7471019</v>
      </c>
      <c r="H1030">
        <v>4329</v>
      </c>
    </row>
    <row r="1031" spans="1:8" ht="15" customHeight="1" x14ac:dyDescent="0.25">
      <c r="A1031" t="s">
        <v>3275</v>
      </c>
      <c r="B1031" t="s">
        <v>7325</v>
      </c>
      <c r="C1031" t="s">
        <v>11028</v>
      </c>
      <c r="D1031" t="s">
        <v>13287</v>
      </c>
      <c r="E1031" t="str">
        <f>+VLOOKUP(A1031,[1]PFE4!$A$7:$F$5208,6,0)</f>
        <v>CARRERA 40  10 A  46</v>
      </c>
      <c r="F1031" s="17" t="str">
        <f>+VLOOKUP(A1031,[1]PFE4!$A$7:$G$5208,7,0)</f>
        <v>05001</v>
      </c>
      <c r="G1031">
        <v>7474470</v>
      </c>
      <c r="H1031">
        <v>4329</v>
      </c>
    </row>
    <row r="1032" spans="1:8" ht="15" customHeight="1" x14ac:dyDescent="0.25">
      <c r="A1032" t="s">
        <v>3276</v>
      </c>
      <c r="B1032" t="s">
        <v>7326</v>
      </c>
      <c r="C1032" t="s">
        <v>11029</v>
      </c>
      <c r="D1032" t="s">
        <v>13287</v>
      </c>
      <c r="E1032" t="str">
        <f>+VLOOKUP(A1032,[1]PFE4!$A$7:$F$5208,6,0)</f>
        <v>CALLE 71 B  100  11</v>
      </c>
      <c r="F1032" s="17">
        <f>+VLOOKUP(A1032,[1]PFE4!$A$7:$G$5208,7,0)</f>
        <v>11001</v>
      </c>
      <c r="G1032">
        <v>7476323</v>
      </c>
      <c r="H1032">
        <v>4329</v>
      </c>
    </row>
    <row r="1033" spans="1:8" ht="15" customHeight="1" x14ac:dyDescent="0.25">
      <c r="A1033" t="s">
        <v>3277</v>
      </c>
      <c r="B1033" t="s">
        <v>7327</v>
      </c>
      <c r="C1033" t="s">
        <v>11030</v>
      </c>
      <c r="D1033" t="s">
        <v>13287</v>
      </c>
      <c r="E1033" t="str">
        <f>+VLOOKUP(A1033,[1]PFE4!$A$7:$F$5208,6,0)</f>
        <v>CARRERA 47  84  56</v>
      </c>
      <c r="F1033" s="17" t="str">
        <f>+VLOOKUP(A1033,[1]PFE4!$A$7:$G$5208,7,0)</f>
        <v>08001</v>
      </c>
      <c r="G1033">
        <v>7492515</v>
      </c>
      <c r="H1033">
        <v>4329</v>
      </c>
    </row>
    <row r="1034" spans="1:8" ht="15" customHeight="1" x14ac:dyDescent="0.25">
      <c r="A1034" t="s">
        <v>3278</v>
      </c>
      <c r="B1034" t="s">
        <v>7328</v>
      </c>
      <c r="C1034" t="s">
        <v>11031</v>
      </c>
      <c r="D1034" t="s">
        <v>13287</v>
      </c>
      <c r="E1034" t="str">
        <f>+VLOOKUP(A1034,[1]PFE4!$A$7:$F$5208,6,0)</f>
        <v>CARRERA 78  135  60</v>
      </c>
      <c r="F1034" s="17">
        <f>+VLOOKUP(A1034,[1]PFE4!$A$7:$G$5208,7,0)</f>
        <v>11001</v>
      </c>
      <c r="G1034">
        <v>7493129</v>
      </c>
      <c r="H1034">
        <v>4329</v>
      </c>
    </row>
    <row r="1035" spans="1:8" ht="15" customHeight="1" x14ac:dyDescent="0.25">
      <c r="A1035" t="s">
        <v>3279</v>
      </c>
      <c r="B1035" t="s">
        <v>7329</v>
      </c>
      <c r="C1035" t="s">
        <v>11032</v>
      </c>
      <c r="D1035" t="s">
        <v>13287</v>
      </c>
      <c r="E1035" t="str">
        <f>+VLOOKUP(A1035,[1]PFE4!$A$7:$F$5208,6,0)</f>
        <v>CALLE 81  42 B  58</v>
      </c>
      <c r="F1035" s="17" t="str">
        <f>+VLOOKUP(A1035,[1]PFE4!$A$7:$G$5208,7,0)</f>
        <v>08001</v>
      </c>
      <c r="G1035">
        <v>7493152</v>
      </c>
      <c r="H1035">
        <v>4329</v>
      </c>
    </row>
    <row r="1036" spans="1:8" ht="15" customHeight="1" x14ac:dyDescent="0.25">
      <c r="A1036" t="s">
        <v>3280</v>
      </c>
      <c r="B1036" t="s">
        <v>7330</v>
      </c>
      <c r="C1036" t="s">
        <v>11033</v>
      </c>
      <c r="D1036" t="s">
        <v>13287</v>
      </c>
      <c r="E1036" t="str">
        <f>+VLOOKUP(A1036,[1]PFE4!$A$7:$F$5208,6,0)</f>
        <v>CARRERA 21 #1 SUR 31</v>
      </c>
      <c r="F1036" s="17">
        <f>+VLOOKUP(A1036,[1]PFE4!$A$7:$G$5208,7,0)</f>
        <v>25899</v>
      </c>
      <c r="G1036">
        <v>7493531</v>
      </c>
      <c r="H1036">
        <v>4329</v>
      </c>
    </row>
    <row r="1037" spans="1:8" ht="15" customHeight="1" x14ac:dyDescent="0.25">
      <c r="A1037" t="s">
        <v>3281</v>
      </c>
      <c r="B1037" t="s">
        <v>7331</v>
      </c>
      <c r="C1037" t="s">
        <v>11034</v>
      </c>
      <c r="D1037" t="s">
        <v>13287</v>
      </c>
      <c r="E1037" t="str">
        <f>+VLOOKUP(A1037,[1]PFE4!$A$7:$F$5208,6,0)</f>
        <v>CALLE 6  9  60</v>
      </c>
      <c r="F1037" s="17">
        <f>+VLOOKUP(A1037,[1]PFE4!$A$7:$G$5208,7,0)</f>
        <v>68679</v>
      </c>
      <c r="G1037">
        <v>7496872</v>
      </c>
      <c r="H1037">
        <v>4329</v>
      </c>
    </row>
    <row r="1038" spans="1:8" ht="15" customHeight="1" x14ac:dyDescent="0.25">
      <c r="A1038" t="s">
        <v>3282</v>
      </c>
      <c r="B1038" t="s">
        <v>7332</v>
      </c>
      <c r="C1038" t="s">
        <v>11035</v>
      </c>
      <c r="D1038" t="s">
        <v>13287</v>
      </c>
      <c r="E1038" t="str">
        <f>+VLOOKUP(A1038,[1]PFE4!$A$7:$F$5208,6,0)</f>
        <v>CARRERA 11 A  117  24</v>
      </c>
      <c r="F1038" s="17">
        <f>+VLOOKUP(A1038,[1]PFE4!$A$7:$G$5208,7,0)</f>
        <v>11001</v>
      </c>
      <c r="G1038">
        <v>7498933</v>
      </c>
      <c r="H1038">
        <v>4329</v>
      </c>
    </row>
    <row r="1039" spans="1:8" ht="15" customHeight="1" x14ac:dyDescent="0.25">
      <c r="A1039" t="s">
        <v>3283</v>
      </c>
      <c r="B1039" t="s">
        <v>7333</v>
      </c>
      <c r="C1039" t="s">
        <v>11036</v>
      </c>
      <c r="D1039" t="s">
        <v>13287</v>
      </c>
      <c r="E1039" t="str">
        <f>+VLOOKUP(A1039,[1]PFE4!$A$7:$F$5208,6,0)</f>
        <v>CARRERA 14  108  54</v>
      </c>
      <c r="F1039" s="17">
        <f>+VLOOKUP(A1039,[1]PFE4!$A$7:$G$5208,7,0)</f>
        <v>11001</v>
      </c>
      <c r="G1039">
        <v>7500014</v>
      </c>
      <c r="H1039">
        <v>4329</v>
      </c>
    </row>
    <row r="1040" spans="1:8" ht="15" customHeight="1" x14ac:dyDescent="0.25">
      <c r="A1040" t="s">
        <v>3284</v>
      </c>
      <c r="B1040" t="s">
        <v>7334</v>
      </c>
      <c r="C1040" t="s">
        <v>11037</v>
      </c>
      <c r="D1040" t="s">
        <v>13287</v>
      </c>
      <c r="E1040" t="str">
        <f>+VLOOKUP(A1040,[1]PFE4!$A$7:$F$5208,6,0)</f>
        <v>CARRERA 48 No. 124-69</v>
      </c>
      <c r="F1040" s="17">
        <f>+VLOOKUP(A1040,[1]PFE4!$A$7:$G$5208,7,0)</f>
        <v>11001</v>
      </c>
      <c r="G1040">
        <v>7504429</v>
      </c>
      <c r="H1040">
        <v>4329</v>
      </c>
    </row>
    <row r="1041" spans="1:8" ht="15" customHeight="1" x14ac:dyDescent="0.25">
      <c r="A1041" t="s">
        <v>3285</v>
      </c>
      <c r="B1041" t="s">
        <v>7335</v>
      </c>
      <c r="C1041" t="s">
        <v>11038</v>
      </c>
      <c r="D1041" t="s">
        <v>13287</v>
      </c>
      <c r="E1041" t="str">
        <f>+VLOOKUP(A1041,[1]PFE4!$A$7:$F$5208,6,0)</f>
        <v>CARRERA 9  28  10</v>
      </c>
      <c r="F1041" s="17">
        <f>+VLOOKUP(A1041,[1]PFE4!$A$7:$G$5208,7,0)</f>
        <v>11001</v>
      </c>
      <c r="G1041">
        <v>7504674</v>
      </c>
      <c r="H1041">
        <v>4329</v>
      </c>
    </row>
    <row r="1042" spans="1:8" ht="15" customHeight="1" x14ac:dyDescent="0.25">
      <c r="A1042" t="s">
        <v>3286</v>
      </c>
      <c r="B1042" t="s">
        <v>7336</v>
      </c>
      <c r="C1042" t="s">
        <v>11039</v>
      </c>
      <c r="D1042" t="s">
        <v>13287</v>
      </c>
      <c r="E1042" t="str">
        <f>+VLOOKUP(A1042,[1]PFE4!$A$7:$F$5208,6,0)</f>
        <v>CARRERA 24  22  36</v>
      </c>
      <c r="F1042" s="17">
        <f>+VLOOKUP(A1042,[1]PFE4!$A$7:$G$5208,7,0)</f>
        <v>17001</v>
      </c>
      <c r="G1042">
        <v>7511600</v>
      </c>
      <c r="H1042">
        <v>4329</v>
      </c>
    </row>
    <row r="1043" spans="1:8" ht="15" customHeight="1" x14ac:dyDescent="0.25">
      <c r="A1043" t="s">
        <v>3287</v>
      </c>
      <c r="B1043" t="s">
        <v>7337</v>
      </c>
      <c r="C1043" t="s">
        <v>11040</v>
      </c>
      <c r="D1043" t="s">
        <v>13287</v>
      </c>
      <c r="E1043" t="str">
        <f>+VLOOKUP(A1043,[1]PFE4!$A$7:$F$5208,6,0)</f>
        <v>CALLE 67  31  30</v>
      </c>
      <c r="F1043" s="17">
        <f>+VLOOKUP(A1043,[1]PFE4!$A$7:$G$5208,7,0)</f>
        <v>68081</v>
      </c>
      <c r="G1043">
        <v>7513450</v>
      </c>
      <c r="H1043">
        <v>4329</v>
      </c>
    </row>
    <row r="1044" spans="1:8" ht="15" customHeight="1" x14ac:dyDescent="0.25">
      <c r="A1044" t="s">
        <v>3288</v>
      </c>
      <c r="B1044" t="s">
        <v>7338</v>
      </c>
      <c r="C1044">
        <v>0</v>
      </c>
      <c r="D1044" t="s">
        <v>13287</v>
      </c>
      <c r="E1044">
        <v>0</v>
      </c>
      <c r="F1044" s="17">
        <v>11001</v>
      </c>
      <c r="G1044">
        <v>7516600</v>
      </c>
      <c r="H1044">
        <v>4329</v>
      </c>
    </row>
    <row r="1045" spans="1:8" ht="15" customHeight="1" x14ac:dyDescent="0.25">
      <c r="A1045" t="s">
        <v>3289</v>
      </c>
      <c r="B1045" t="s">
        <v>7339</v>
      </c>
      <c r="C1045" t="s">
        <v>11041</v>
      </c>
      <c r="D1045" t="s">
        <v>13287</v>
      </c>
      <c r="E1045" t="str">
        <f>+VLOOKUP(A1045,[1]PFE4!$A$7:$F$5208,6,0)</f>
        <v>CARRERA 19 A  122  85</v>
      </c>
      <c r="F1045" s="17">
        <f>+VLOOKUP(A1045,[1]PFE4!$A$7:$G$5208,7,0)</f>
        <v>11001</v>
      </c>
      <c r="G1045">
        <v>7524488</v>
      </c>
      <c r="H1045">
        <v>4329</v>
      </c>
    </row>
    <row r="1046" spans="1:8" ht="15" customHeight="1" x14ac:dyDescent="0.25">
      <c r="A1046" t="s">
        <v>3290</v>
      </c>
      <c r="B1046" t="s">
        <v>7340</v>
      </c>
      <c r="C1046" t="s">
        <v>11042</v>
      </c>
      <c r="D1046" t="s">
        <v>13287</v>
      </c>
      <c r="E1046" t="str">
        <f>+VLOOKUP(A1046,[1]PFE4!$A$7:$F$5208,6,0)</f>
        <v>CARRERA 57  78  05</v>
      </c>
      <c r="F1046" s="17" t="str">
        <f>+VLOOKUP(A1046,[1]PFE4!$A$7:$G$5208,7,0)</f>
        <v>08001</v>
      </c>
      <c r="G1046">
        <v>7530288</v>
      </c>
      <c r="H1046">
        <v>4329</v>
      </c>
    </row>
    <row r="1047" spans="1:8" ht="15" customHeight="1" x14ac:dyDescent="0.25">
      <c r="A1047" t="s">
        <v>3291</v>
      </c>
      <c r="B1047" t="s">
        <v>7341</v>
      </c>
      <c r="C1047" t="s">
        <v>11043</v>
      </c>
      <c r="D1047" t="s">
        <v>13287</v>
      </c>
      <c r="E1047" t="str">
        <f>+VLOOKUP(A1047,[1]PFE4!$A$7:$F$5208,6,0)</f>
        <v>CALLE 49 A  76 A  27</v>
      </c>
      <c r="F1047" s="17" t="str">
        <f>+VLOOKUP(A1047,[1]PFE4!$A$7:$G$5208,7,0)</f>
        <v>05001</v>
      </c>
      <c r="G1047">
        <v>7532076</v>
      </c>
      <c r="H1047">
        <v>4329</v>
      </c>
    </row>
    <row r="1048" spans="1:8" ht="15" customHeight="1" x14ac:dyDescent="0.25">
      <c r="A1048" t="s">
        <v>3292</v>
      </c>
      <c r="B1048" t="s">
        <v>7342</v>
      </c>
      <c r="C1048" t="s">
        <v>11044</v>
      </c>
      <c r="D1048" t="s">
        <v>13287</v>
      </c>
      <c r="E1048" t="str">
        <f>+VLOOKUP(A1048,[1]PFE4!$A$7:$F$5208,6,0)</f>
        <v>CARRERA 33  22  25</v>
      </c>
      <c r="F1048" s="17">
        <f>+VLOOKUP(A1048,[1]PFE4!$A$7:$G$5208,7,0)</f>
        <v>11001</v>
      </c>
      <c r="G1048">
        <v>7532519</v>
      </c>
      <c r="H1048">
        <v>4329</v>
      </c>
    </row>
    <row r="1049" spans="1:8" ht="15" customHeight="1" x14ac:dyDescent="0.25">
      <c r="A1049" t="s">
        <v>3293</v>
      </c>
      <c r="B1049" t="s">
        <v>7343</v>
      </c>
      <c r="C1049" t="s">
        <v>11045</v>
      </c>
      <c r="D1049" t="s">
        <v>13287</v>
      </c>
      <c r="E1049" t="str">
        <f>+VLOOKUP(A1049,[1]PFE4!$A$7:$F$5208,6,0)</f>
        <v>CARRERA 8  69  11</v>
      </c>
      <c r="F1049" s="17">
        <f>+VLOOKUP(A1049,[1]PFE4!$A$7:$G$5208,7,0)</f>
        <v>11001</v>
      </c>
      <c r="G1049">
        <v>7541547</v>
      </c>
      <c r="H1049">
        <v>4329</v>
      </c>
    </row>
    <row r="1050" spans="1:8" ht="15" customHeight="1" x14ac:dyDescent="0.25">
      <c r="A1050" t="s">
        <v>3294</v>
      </c>
      <c r="B1050" t="s">
        <v>7344</v>
      </c>
      <c r="C1050" t="s">
        <v>11046</v>
      </c>
      <c r="D1050" t="s">
        <v>13287</v>
      </c>
      <c r="E1050" t="str">
        <f>+VLOOKUP(A1050,[1]PFE4!$A$7:$F$5208,6,0)</f>
        <v>CARRERA 47  20 SUR  108</v>
      </c>
      <c r="F1050" s="17" t="str">
        <f>+VLOOKUP(A1050,[1]PFE4!$A$7:$G$5208,7,0)</f>
        <v>05266</v>
      </c>
      <c r="G1050">
        <v>7541844</v>
      </c>
      <c r="H1050">
        <v>4329</v>
      </c>
    </row>
    <row r="1051" spans="1:8" ht="15" customHeight="1" x14ac:dyDescent="0.25">
      <c r="A1051" t="s">
        <v>3295</v>
      </c>
      <c r="B1051" t="s">
        <v>7345</v>
      </c>
      <c r="C1051">
        <v>3219664011</v>
      </c>
      <c r="D1051" t="s">
        <v>13287</v>
      </c>
      <c r="E1051" t="str">
        <f>+VLOOKUP(A1051,[1]PFE4!$A$7:$F$5208,6,0)</f>
        <v>CARRERA 77  38  64</v>
      </c>
      <c r="F1051" s="17" t="str">
        <f>+VLOOKUP(A1051,[1]PFE4!$A$7:$G$5208,7,0)</f>
        <v>05001</v>
      </c>
      <c r="G1051">
        <v>7543312</v>
      </c>
      <c r="H1051">
        <v>4329</v>
      </c>
    </row>
    <row r="1052" spans="1:8" ht="15" customHeight="1" x14ac:dyDescent="0.25">
      <c r="A1052" t="s">
        <v>3296</v>
      </c>
      <c r="B1052" t="s">
        <v>7346</v>
      </c>
      <c r="C1052" t="s">
        <v>11047</v>
      </c>
      <c r="D1052" t="s">
        <v>13287</v>
      </c>
      <c r="E1052" t="str">
        <f>+VLOOKUP(A1052,[1]PFE4!$A$7:$F$5208,6,0)</f>
        <v>CARRERA 45 A  123  10</v>
      </c>
      <c r="F1052" s="17">
        <f>+VLOOKUP(A1052,[1]PFE4!$A$7:$G$5208,7,0)</f>
        <v>11001</v>
      </c>
      <c r="G1052">
        <v>7544359</v>
      </c>
      <c r="H1052">
        <v>4329</v>
      </c>
    </row>
    <row r="1053" spans="1:8" ht="15" customHeight="1" x14ac:dyDescent="0.25">
      <c r="A1053" t="s">
        <v>3297</v>
      </c>
      <c r="B1053" t="s">
        <v>7347</v>
      </c>
      <c r="C1053" t="s">
        <v>11048</v>
      </c>
      <c r="D1053" t="s">
        <v>13287</v>
      </c>
      <c r="E1053" t="str">
        <f>+VLOOKUP(A1053,[1]PFE4!$A$7:$F$5208,6,0)</f>
        <v>CARRERA 28  14  52</v>
      </c>
      <c r="F1053" s="17">
        <f>+VLOOKUP(A1053,[1]PFE4!$A$7:$G$5208,7,0)</f>
        <v>47001</v>
      </c>
      <c r="G1053">
        <v>7548789</v>
      </c>
      <c r="H1053">
        <v>4329</v>
      </c>
    </row>
    <row r="1054" spans="1:8" ht="15" customHeight="1" x14ac:dyDescent="0.25">
      <c r="A1054" t="s">
        <v>3298</v>
      </c>
      <c r="B1054" t="s">
        <v>7348</v>
      </c>
      <c r="C1054" t="s">
        <v>11049</v>
      </c>
      <c r="D1054" t="s">
        <v>13287</v>
      </c>
      <c r="E1054" t="str">
        <f>+VLOOKUP(A1054,[1]PFE4!$A$7:$F$5208,6,0)</f>
        <v>CARRERA 11 B  135  22</v>
      </c>
      <c r="F1054" s="17">
        <f>+VLOOKUP(A1054,[1]PFE4!$A$7:$G$5208,7,0)</f>
        <v>11001</v>
      </c>
      <c r="G1054">
        <v>7555426</v>
      </c>
      <c r="H1054">
        <v>4329</v>
      </c>
    </row>
    <row r="1055" spans="1:8" ht="15" customHeight="1" x14ac:dyDescent="0.25">
      <c r="A1055" t="s">
        <v>3299</v>
      </c>
      <c r="B1055" t="s">
        <v>7349</v>
      </c>
      <c r="C1055" t="s">
        <v>11050</v>
      </c>
      <c r="D1055" t="s">
        <v>13287</v>
      </c>
      <c r="E1055" t="str">
        <f>+VLOOKUP(A1055,[1]PFE4!$A$7:$F$5208,6,0)</f>
        <v>CALLE 14 # 30 - 144</v>
      </c>
      <c r="F1055" s="17" t="str">
        <f>+VLOOKUP(A1055,[1]PFE4!$A$7:$G$5208,7,0)</f>
        <v>05001</v>
      </c>
      <c r="G1055">
        <v>7560908</v>
      </c>
      <c r="H1055">
        <v>4329</v>
      </c>
    </row>
    <row r="1056" spans="1:8" ht="15" customHeight="1" x14ac:dyDescent="0.25">
      <c r="A1056" t="s">
        <v>3300</v>
      </c>
      <c r="B1056" t="s">
        <v>7350</v>
      </c>
      <c r="C1056" t="s">
        <v>11051</v>
      </c>
      <c r="D1056" t="s">
        <v>13287</v>
      </c>
      <c r="E1056" t="str">
        <f>+VLOOKUP(A1056,[1]PFE4!$A$7:$F$5208,6,0)</f>
        <v>CL 32 C SUR 47 20</v>
      </c>
      <c r="F1056" s="17" t="str">
        <f>+VLOOKUP(A1056,[1]PFE4!$A$7:$G$5208,7,0)</f>
        <v>05266</v>
      </c>
      <c r="G1056">
        <v>7563947</v>
      </c>
      <c r="H1056">
        <v>4329</v>
      </c>
    </row>
    <row r="1057" spans="1:8" ht="15" customHeight="1" x14ac:dyDescent="0.25">
      <c r="A1057" t="s">
        <v>3301</v>
      </c>
      <c r="B1057" t="s">
        <v>7351</v>
      </c>
      <c r="C1057" t="s">
        <v>11052</v>
      </c>
      <c r="D1057" t="s">
        <v>13287</v>
      </c>
      <c r="E1057" t="str">
        <f>+VLOOKUP(A1057,[1]PFE4!$A$7:$F$5208,6,0)</f>
        <v>CALLE 15  9 NORTE  66</v>
      </c>
      <c r="F1057" s="17">
        <f>+VLOOKUP(A1057,[1]PFE4!$A$7:$G$5208,7,0)</f>
        <v>11001</v>
      </c>
      <c r="G1057">
        <v>7567431</v>
      </c>
      <c r="H1057">
        <v>4329</v>
      </c>
    </row>
    <row r="1058" spans="1:8" ht="15" customHeight="1" x14ac:dyDescent="0.25">
      <c r="A1058" t="s">
        <v>3302</v>
      </c>
      <c r="B1058" t="s">
        <v>7352</v>
      </c>
      <c r="C1058" t="s">
        <v>11053</v>
      </c>
      <c r="D1058" t="s">
        <v>13287</v>
      </c>
      <c r="E1058" t="str">
        <f>+VLOOKUP(A1058,[1]PFE4!$A$7:$F$5208,6,0)</f>
        <v>CALLE 129  7  63</v>
      </c>
      <c r="F1058" s="17">
        <f>+VLOOKUP(A1058,[1]PFE4!$A$7:$G$5208,7,0)</f>
        <v>11001</v>
      </c>
      <c r="G1058">
        <v>7567659</v>
      </c>
      <c r="H1058">
        <v>4329</v>
      </c>
    </row>
    <row r="1059" spans="1:8" ht="15" customHeight="1" x14ac:dyDescent="0.25">
      <c r="A1059" t="s">
        <v>3303</v>
      </c>
      <c r="B1059" t="s">
        <v>7353</v>
      </c>
      <c r="C1059" t="s">
        <v>11054</v>
      </c>
      <c r="D1059" t="s">
        <v>13287</v>
      </c>
      <c r="E1059" t="str">
        <f>+VLOOKUP(A1059,[1]PFE4!$A$7:$F$5208,6,0)</f>
        <v>CARRERA 9  13  127  LOCAL 151</v>
      </c>
      <c r="F1059" s="17">
        <f>+VLOOKUP(A1059,[1]PFE4!$A$7:$G$5208,7,0)</f>
        <v>76001</v>
      </c>
      <c r="G1059">
        <v>7568288</v>
      </c>
      <c r="H1059">
        <v>4329</v>
      </c>
    </row>
    <row r="1060" spans="1:8" ht="15" customHeight="1" x14ac:dyDescent="0.25">
      <c r="A1060" t="s">
        <v>3304</v>
      </c>
      <c r="B1060" t="s">
        <v>7354</v>
      </c>
      <c r="C1060">
        <v>3219664011</v>
      </c>
      <c r="D1060" t="s">
        <v>13287</v>
      </c>
      <c r="E1060" t="str">
        <f>+VLOOKUP(A1060,[1]PFE4!$A$7:$F$5208,6,0)</f>
        <v>CALLE 57  54  93</v>
      </c>
      <c r="F1060" s="17" t="str">
        <f>+VLOOKUP(A1060,[1]PFE4!$A$7:$G$5208,7,0)</f>
        <v>05001</v>
      </c>
      <c r="G1060">
        <v>7579400</v>
      </c>
      <c r="H1060">
        <v>4329</v>
      </c>
    </row>
    <row r="1061" spans="1:8" ht="15" customHeight="1" x14ac:dyDescent="0.25">
      <c r="A1061" t="s">
        <v>3305</v>
      </c>
      <c r="B1061" t="s">
        <v>7355</v>
      </c>
      <c r="C1061" t="s">
        <v>11055</v>
      </c>
      <c r="D1061" t="s">
        <v>13287</v>
      </c>
      <c r="E1061" t="str">
        <f>+VLOOKUP(A1061,[1]PFE4!$A$7:$F$5208,6,0)</f>
        <v>CL 7 10 E 41 BRR EL COLSAG</v>
      </c>
      <c r="F1061" s="17">
        <f>+VLOOKUP(A1061,[1]PFE4!$A$7:$G$5208,7,0)</f>
        <v>54001</v>
      </c>
      <c r="G1061">
        <v>7580052</v>
      </c>
      <c r="H1061">
        <v>4329</v>
      </c>
    </row>
    <row r="1062" spans="1:8" ht="15" customHeight="1" x14ac:dyDescent="0.25">
      <c r="A1062" t="s">
        <v>3306</v>
      </c>
      <c r="B1062" t="s">
        <v>7356</v>
      </c>
      <c r="C1062" t="s">
        <v>11056</v>
      </c>
      <c r="D1062" t="s">
        <v>13287</v>
      </c>
      <c r="E1062" t="str">
        <f>+VLOOKUP(A1062,[1]PFE4!$A$7:$F$5208,6,0)</f>
        <v>CALLE 93 A  9 A  29</v>
      </c>
      <c r="F1062" s="17">
        <f>+VLOOKUP(A1062,[1]PFE4!$A$7:$G$5208,7,0)</f>
        <v>11001</v>
      </c>
      <c r="G1062">
        <v>7583235</v>
      </c>
      <c r="H1062">
        <v>4329</v>
      </c>
    </row>
    <row r="1063" spans="1:8" ht="15" customHeight="1" x14ac:dyDescent="0.25">
      <c r="A1063" t="s">
        <v>3307</v>
      </c>
      <c r="B1063" t="s">
        <v>7357</v>
      </c>
      <c r="C1063" t="s">
        <v>11057</v>
      </c>
      <c r="D1063" t="s">
        <v>13287</v>
      </c>
      <c r="E1063" t="str">
        <f>+VLOOKUP(A1063,[1]PFE4!$A$7:$F$5208,6,0)</f>
        <v>TRANSVERSAL 5  87  41</v>
      </c>
      <c r="F1063" s="17">
        <f>+VLOOKUP(A1063,[1]PFE4!$A$7:$G$5208,7,0)</f>
        <v>11001</v>
      </c>
      <c r="G1063">
        <v>7590900</v>
      </c>
      <c r="H1063">
        <v>4329</v>
      </c>
    </row>
    <row r="1064" spans="1:8" ht="15" customHeight="1" x14ac:dyDescent="0.25">
      <c r="A1064" t="s">
        <v>3308</v>
      </c>
      <c r="B1064" t="s">
        <v>7358</v>
      </c>
      <c r="C1064" t="s">
        <v>11058</v>
      </c>
      <c r="D1064" t="s">
        <v>13287</v>
      </c>
      <c r="E1064" t="str">
        <f>+VLOOKUP(A1064,[1]PFE4!$A$7:$F$5208,6,0)</f>
        <v>CALLE 38  77  19</v>
      </c>
      <c r="F1064" s="17" t="str">
        <f>+VLOOKUP(A1064,[1]PFE4!$A$7:$G$5208,7,0)</f>
        <v>05001</v>
      </c>
      <c r="G1064">
        <v>7591688</v>
      </c>
      <c r="H1064">
        <v>4329</v>
      </c>
    </row>
    <row r="1065" spans="1:8" ht="15" customHeight="1" x14ac:dyDescent="0.25">
      <c r="A1065" t="s">
        <v>3309</v>
      </c>
      <c r="B1065" t="s">
        <v>7359</v>
      </c>
      <c r="C1065" t="s">
        <v>11059</v>
      </c>
      <c r="D1065" t="s">
        <v>13287</v>
      </c>
      <c r="E1065" t="str">
        <f>+VLOOKUP(A1065,[1]PFE4!$A$7:$F$5208,6,0)</f>
        <v>CARRERA 15  4 B  63</v>
      </c>
      <c r="F1065" s="17">
        <f>+VLOOKUP(A1065,[1]PFE4!$A$7:$G$5208,7,0)</f>
        <v>17001</v>
      </c>
      <c r="G1065">
        <v>7592328</v>
      </c>
      <c r="H1065">
        <v>4329</v>
      </c>
    </row>
    <row r="1066" spans="1:8" ht="15" customHeight="1" x14ac:dyDescent="0.25">
      <c r="A1066" t="s">
        <v>3310</v>
      </c>
      <c r="B1066" t="s">
        <v>7360</v>
      </c>
      <c r="C1066">
        <v>3219664011</v>
      </c>
      <c r="D1066" t="s">
        <v>13287</v>
      </c>
      <c r="E1066" t="str">
        <f>+VLOOKUP(A1066,[1]PFE4!$A$7:$F$5208,6,0)</f>
        <v>CARRERA 54  50  58</v>
      </c>
      <c r="F1066" s="17" t="str">
        <f>+VLOOKUP(A1066,[1]PFE4!$A$7:$G$5208,7,0)</f>
        <v>05001</v>
      </c>
      <c r="G1066">
        <v>7595048</v>
      </c>
      <c r="H1066">
        <v>4329</v>
      </c>
    </row>
    <row r="1067" spans="1:8" ht="15" customHeight="1" x14ac:dyDescent="0.25">
      <c r="A1067" t="s">
        <v>3311</v>
      </c>
      <c r="B1067" t="s">
        <v>7361</v>
      </c>
      <c r="C1067" t="s">
        <v>11060</v>
      </c>
      <c r="D1067" t="s">
        <v>13287</v>
      </c>
      <c r="E1067" t="str">
        <f>+VLOOKUP(A1067,[1]PFE4!$A$7:$F$5208,6,0)</f>
        <v>CL 151 A 4  63</v>
      </c>
      <c r="F1067" s="17">
        <f>+VLOOKUP(A1067,[1]PFE4!$A$7:$G$5208,7,0)</f>
        <v>11001</v>
      </c>
      <c r="G1067">
        <v>7599841</v>
      </c>
      <c r="H1067">
        <v>4329</v>
      </c>
    </row>
    <row r="1068" spans="1:8" ht="15" customHeight="1" x14ac:dyDescent="0.25">
      <c r="A1068" t="s">
        <v>3312</v>
      </c>
      <c r="B1068" t="s">
        <v>7362</v>
      </c>
      <c r="C1068" t="s">
        <v>11061</v>
      </c>
      <c r="D1068" t="s">
        <v>13287</v>
      </c>
      <c r="E1068" t="str">
        <f>+VLOOKUP(A1068,[1]PFE4!$A$7:$F$5208,6,0)</f>
        <v>CALLE 134 A  21  54</v>
      </c>
      <c r="F1068" s="17">
        <f>+VLOOKUP(A1068,[1]PFE4!$A$7:$G$5208,7,0)</f>
        <v>11001</v>
      </c>
      <c r="G1068">
        <v>7602309</v>
      </c>
      <c r="H1068">
        <v>4329</v>
      </c>
    </row>
    <row r="1069" spans="1:8" ht="15" customHeight="1" x14ac:dyDescent="0.25">
      <c r="A1069" t="s">
        <v>3313</v>
      </c>
      <c r="B1069" t="s">
        <v>7363</v>
      </c>
      <c r="C1069" t="s">
        <v>11062</v>
      </c>
      <c r="D1069" t="s">
        <v>13287</v>
      </c>
      <c r="E1069" t="str">
        <f>+VLOOKUP(A1069,[1]PFE4!$A$7:$F$5208,6,0)</f>
        <v>CALLE 16  15  43</v>
      </c>
      <c r="F1069" s="17">
        <f>+VLOOKUP(A1069,[1]PFE4!$A$7:$G$5208,7,0)</f>
        <v>15238</v>
      </c>
      <c r="G1069">
        <v>7607076</v>
      </c>
      <c r="H1069">
        <v>4329</v>
      </c>
    </row>
    <row r="1070" spans="1:8" ht="15" customHeight="1" x14ac:dyDescent="0.25">
      <c r="A1070" t="s">
        <v>3314</v>
      </c>
      <c r="B1070" t="s">
        <v>7364</v>
      </c>
      <c r="C1070" t="s">
        <v>11063</v>
      </c>
      <c r="D1070" t="s">
        <v>13287</v>
      </c>
      <c r="E1070" t="str">
        <f>+VLOOKUP(A1070,[1]PFE4!$A$7:$F$5208,6,0)</f>
        <v>TV 1 A 69-68</v>
      </c>
      <c r="F1070" s="17">
        <f>+VLOOKUP(A1070,[1]PFE4!$A$7:$G$5208,7,0)</f>
        <v>11001</v>
      </c>
      <c r="G1070">
        <v>7612271</v>
      </c>
      <c r="H1070">
        <v>4329</v>
      </c>
    </row>
    <row r="1071" spans="1:8" ht="15" customHeight="1" x14ac:dyDescent="0.25">
      <c r="A1071" t="s">
        <v>3315</v>
      </c>
      <c r="B1071" t="s">
        <v>7365</v>
      </c>
      <c r="C1071" t="s">
        <v>10362</v>
      </c>
      <c r="D1071" t="s">
        <v>13287</v>
      </c>
      <c r="E1071" t="str">
        <f>+VLOOKUP(A1071,[1]PFE4!$A$7:$F$5208,6,0)</f>
        <v>DIAGONAL 31 E  27 A SUR  60</v>
      </c>
      <c r="F1071" s="17" t="str">
        <f>+VLOOKUP(A1071,[1]PFE4!$A$7:$G$5208,7,0)</f>
        <v>05266</v>
      </c>
      <c r="G1071">
        <v>7615260</v>
      </c>
      <c r="H1071">
        <v>4329</v>
      </c>
    </row>
    <row r="1072" spans="1:8" ht="15" customHeight="1" x14ac:dyDescent="0.25">
      <c r="A1072" t="s">
        <v>3316</v>
      </c>
      <c r="B1072" t="s">
        <v>7366</v>
      </c>
      <c r="C1072" t="s">
        <v>11064</v>
      </c>
      <c r="D1072" t="s">
        <v>13287</v>
      </c>
      <c r="E1072" t="str">
        <f>+VLOOKUP(A1072,[1]PFE4!$A$7:$F$5208,6,0)</f>
        <v>CALLE 84 9 51</v>
      </c>
      <c r="F1072" s="17">
        <f>+VLOOKUP(A1072,[1]PFE4!$A$7:$G$5208,7,0)</f>
        <v>11001</v>
      </c>
      <c r="G1072">
        <v>7616530</v>
      </c>
      <c r="H1072">
        <v>4329</v>
      </c>
    </row>
    <row r="1073" spans="1:8" ht="15" customHeight="1" x14ac:dyDescent="0.25">
      <c r="A1073" t="s">
        <v>3317</v>
      </c>
      <c r="B1073" t="s">
        <v>7367</v>
      </c>
      <c r="C1073" t="s">
        <v>10746</v>
      </c>
      <c r="D1073" t="s">
        <v>13287</v>
      </c>
      <c r="E1073" t="str">
        <f>+VLOOKUP(A1073,[1]PFE4!$A$7:$F$5208,6,0)</f>
        <v>CARRERA 7  85  40</v>
      </c>
      <c r="F1073" s="17">
        <f>+VLOOKUP(A1073,[1]PFE4!$A$7:$G$5208,7,0)</f>
        <v>11001</v>
      </c>
      <c r="G1073">
        <v>7623884</v>
      </c>
      <c r="H1073">
        <v>4329</v>
      </c>
    </row>
    <row r="1074" spans="1:8" ht="15" customHeight="1" x14ac:dyDescent="0.25">
      <c r="A1074" t="s">
        <v>3318</v>
      </c>
      <c r="B1074" t="s">
        <v>7368</v>
      </c>
      <c r="C1074" t="s">
        <v>11065</v>
      </c>
      <c r="D1074" t="s">
        <v>13287</v>
      </c>
      <c r="E1074" t="str">
        <f>+VLOOKUP(A1074,[1]PFE4!$A$7:$F$5208,6,0)</f>
        <v>CALLE 50  22  93</v>
      </c>
      <c r="F1074" s="17">
        <f>+VLOOKUP(A1074,[1]PFE4!$A$7:$G$5208,7,0)</f>
        <v>68001</v>
      </c>
      <c r="G1074">
        <v>7630272</v>
      </c>
      <c r="H1074">
        <v>4329</v>
      </c>
    </row>
    <row r="1075" spans="1:8" ht="15" customHeight="1" x14ac:dyDescent="0.25">
      <c r="A1075" t="s">
        <v>3319</v>
      </c>
      <c r="B1075" t="s">
        <v>7369</v>
      </c>
      <c r="C1075" t="s">
        <v>11066</v>
      </c>
      <c r="D1075" t="s">
        <v>13287</v>
      </c>
      <c r="E1075" t="str">
        <f>+VLOOKUP(A1075,[1]PFE4!$A$7:$F$5208,6,0)</f>
        <v>CARRERA 9 A  60  91  OFICINA 601</v>
      </c>
      <c r="F1075" s="17">
        <f>+VLOOKUP(A1075,[1]PFE4!$A$7:$G$5208,7,0)</f>
        <v>11001</v>
      </c>
      <c r="G1075">
        <v>7630859</v>
      </c>
      <c r="H1075">
        <v>4329</v>
      </c>
    </row>
    <row r="1076" spans="1:8" ht="15" customHeight="1" x14ac:dyDescent="0.25">
      <c r="A1076" t="s">
        <v>3320</v>
      </c>
      <c r="B1076" t="s">
        <v>7370</v>
      </c>
      <c r="C1076" t="s">
        <v>11067</v>
      </c>
      <c r="D1076" t="s">
        <v>13287</v>
      </c>
      <c r="E1076" t="str">
        <f>+VLOOKUP(A1076,[1]PFE4!$A$7:$F$5208,6,0)</f>
        <v>CARRERA 32  17  45</v>
      </c>
      <c r="F1076" s="17">
        <f>+VLOOKUP(A1076,[1]PFE4!$A$7:$G$5208,7,0)</f>
        <v>68001</v>
      </c>
      <c r="G1076">
        <v>7633472</v>
      </c>
      <c r="H1076">
        <v>4329</v>
      </c>
    </row>
    <row r="1077" spans="1:8" ht="15" customHeight="1" x14ac:dyDescent="0.25">
      <c r="A1077" t="s">
        <v>3321</v>
      </c>
      <c r="B1077" t="s">
        <v>7371</v>
      </c>
      <c r="C1077" t="s">
        <v>11068</v>
      </c>
      <c r="D1077" t="s">
        <v>13287</v>
      </c>
      <c r="E1077" t="str">
        <f>+VLOOKUP(A1077,[1]PFE4!$A$7:$F$5208,6,0)</f>
        <v>CL 106 19 A 23</v>
      </c>
      <c r="F1077" s="17">
        <f>+VLOOKUP(A1077,[1]PFE4!$A$7:$G$5208,7,0)</f>
        <v>11001</v>
      </c>
      <c r="G1077">
        <v>7633725</v>
      </c>
      <c r="H1077">
        <v>4329</v>
      </c>
    </row>
    <row r="1078" spans="1:8" ht="15" customHeight="1" x14ac:dyDescent="0.25">
      <c r="A1078" t="s">
        <v>3322</v>
      </c>
      <c r="B1078" t="s">
        <v>7372</v>
      </c>
      <c r="C1078" t="s">
        <v>11069</v>
      </c>
      <c r="D1078" t="s">
        <v>13287</v>
      </c>
      <c r="E1078" t="str">
        <f>+VLOOKUP(A1078,[1]PFE4!$A$7:$F$5208,6,0)</f>
        <v>CARRERA 64 B  84  28</v>
      </c>
      <c r="F1078" s="17" t="str">
        <f>+VLOOKUP(A1078,[1]PFE4!$A$7:$G$5208,7,0)</f>
        <v>08001</v>
      </c>
      <c r="G1078">
        <v>7634760</v>
      </c>
      <c r="H1078">
        <v>4329</v>
      </c>
    </row>
    <row r="1079" spans="1:8" ht="15" customHeight="1" x14ac:dyDescent="0.25">
      <c r="A1079" t="s">
        <v>3323</v>
      </c>
      <c r="B1079" t="s">
        <v>7373</v>
      </c>
      <c r="C1079" t="s">
        <v>10490</v>
      </c>
      <c r="D1079" t="s">
        <v>13287</v>
      </c>
      <c r="E1079" t="str">
        <f>+VLOOKUP(A1079,[1]PFE4!$A$7:$F$5208,6,0)</f>
        <v>AVENIDA 2 ESTE  11 A  20 urb quinta velez</v>
      </c>
      <c r="F1079" s="17">
        <f>+VLOOKUP(A1079,[1]PFE4!$A$7:$G$5208,7,0)</f>
        <v>54001</v>
      </c>
      <c r="G1079">
        <v>7636289</v>
      </c>
      <c r="H1079">
        <v>4329</v>
      </c>
    </row>
    <row r="1080" spans="1:8" ht="15" customHeight="1" x14ac:dyDescent="0.25">
      <c r="A1080" t="s">
        <v>3324</v>
      </c>
      <c r="B1080" t="s">
        <v>7374</v>
      </c>
      <c r="C1080" t="s">
        <v>11070</v>
      </c>
      <c r="D1080" t="s">
        <v>13287</v>
      </c>
      <c r="E1080" t="str">
        <f>+VLOOKUP(A1080,[1]PFE4!$A$7:$F$5208,6,0)</f>
        <v>CALLE 23  2 A  50</v>
      </c>
      <c r="F1080" s="17">
        <f>+VLOOKUP(A1080,[1]PFE4!$A$7:$G$5208,7,0)</f>
        <v>47001</v>
      </c>
      <c r="G1080">
        <v>7645000</v>
      </c>
      <c r="H1080">
        <v>4329</v>
      </c>
    </row>
    <row r="1081" spans="1:8" ht="15" customHeight="1" x14ac:dyDescent="0.25">
      <c r="A1081" t="s">
        <v>3325</v>
      </c>
      <c r="B1081" t="s">
        <v>7375</v>
      </c>
      <c r="C1081" t="s">
        <v>10781</v>
      </c>
      <c r="D1081" t="s">
        <v>13287</v>
      </c>
      <c r="E1081" t="str">
        <f>+VLOOKUP(A1081,[1]PFE4!$A$7:$F$5208,6,0)</f>
        <v>CARRERA 87  44  38</v>
      </c>
      <c r="F1081" s="17" t="str">
        <f>+VLOOKUP(A1081,[1]PFE4!$A$7:$G$5208,7,0)</f>
        <v>05001</v>
      </c>
      <c r="G1081">
        <v>7648800</v>
      </c>
      <c r="H1081">
        <v>4329</v>
      </c>
    </row>
    <row r="1082" spans="1:8" ht="15" customHeight="1" x14ac:dyDescent="0.25">
      <c r="A1082" t="s">
        <v>3326</v>
      </c>
      <c r="B1082" t="s">
        <v>7376</v>
      </c>
      <c r="C1082" t="s">
        <v>11071</v>
      </c>
      <c r="D1082" t="s">
        <v>13287</v>
      </c>
      <c r="E1082" t="str">
        <f>+VLOOKUP(A1082,[1]PFE4!$A$7:$F$5208,6,0)</f>
        <v>CALLE 145 A  21  29</v>
      </c>
      <c r="F1082" s="17">
        <f>+VLOOKUP(A1082,[1]PFE4!$A$7:$G$5208,7,0)</f>
        <v>11001</v>
      </c>
      <c r="G1082">
        <v>7648813</v>
      </c>
      <c r="H1082">
        <v>4329</v>
      </c>
    </row>
    <row r="1083" spans="1:8" ht="15" customHeight="1" x14ac:dyDescent="0.25">
      <c r="A1083" t="s">
        <v>3327</v>
      </c>
      <c r="B1083" t="s">
        <v>7377</v>
      </c>
      <c r="C1083" t="s">
        <v>11072</v>
      </c>
      <c r="D1083" t="s">
        <v>13287</v>
      </c>
      <c r="E1083" t="str">
        <f>+VLOOKUP(A1083,[1]PFE4!$A$7:$F$5208,6,0)</f>
        <v>CALLE 48 C SUR  39 A  110</v>
      </c>
      <c r="F1083" s="17" t="str">
        <f>+VLOOKUP(A1083,[1]PFE4!$A$7:$G$5208,7,0)</f>
        <v>05266</v>
      </c>
      <c r="G1083">
        <v>7653476</v>
      </c>
      <c r="H1083">
        <v>4329</v>
      </c>
    </row>
    <row r="1084" spans="1:8" ht="15" customHeight="1" x14ac:dyDescent="0.25">
      <c r="A1084" t="s">
        <v>3328</v>
      </c>
      <c r="B1084" t="s">
        <v>7378</v>
      </c>
      <c r="C1084" t="s">
        <v>11073</v>
      </c>
      <c r="D1084" t="s">
        <v>13287</v>
      </c>
      <c r="E1084" t="str">
        <f>+VLOOKUP(A1084,[1]PFE4!$A$7:$F$5208,6,0)</f>
        <v>CARRERA 46  85  43</v>
      </c>
      <c r="F1084" s="17" t="str">
        <f>+VLOOKUP(A1084,[1]PFE4!$A$7:$G$5208,7,0)</f>
        <v>08001</v>
      </c>
      <c r="G1084">
        <v>7657200</v>
      </c>
      <c r="H1084">
        <v>4329</v>
      </c>
    </row>
    <row r="1085" spans="1:8" ht="15" customHeight="1" x14ac:dyDescent="0.25">
      <c r="A1085" t="s">
        <v>3329</v>
      </c>
      <c r="B1085" t="s">
        <v>7379</v>
      </c>
      <c r="C1085" t="s">
        <v>11074</v>
      </c>
      <c r="D1085" t="s">
        <v>13287</v>
      </c>
      <c r="E1085" t="str">
        <f>+VLOOKUP(A1085,[1]PFE4!$A$7:$F$5208,6,0)</f>
        <v>CR 24 B 16 08 12</v>
      </c>
      <c r="F1085" s="17" t="str">
        <f>+VLOOKUP(A1085,[1]PFE4!$A$7:$G$5208,7,0)</f>
        <v>05001</v>
      </c>
      <c r="G1085">
        <v>7661500</v>
      </c>
      <c r="H1085">
        <v>4329</v>
      </c>
    </row>
    <row r="1086" spans="1:8" ht="15" customHeight="1" x14ac:dyDescent="0.25">
      <c r="A1086" t="s">
        <v>3330</v>
      </c>
      <c r="B1086" t="s">
        <v>7380</v>
      </c>
      <c r="C1086" t="s">
        <v>11065</v>
      </c>
      <c r="D1086" t="s">
        <v>13287</v>
      </c>
      <c r="E1086" t="str">
        <f>+VLOOKUP(A1086,[1]PFE4!$A$7:$F$5208,6,0)</f>
        <v>CALLE 34  26  82</v>
      </c>
      <c r="F1086" s="17">
        <f>+VLOOKUP(A1086,[1]PFE4!$A$7:$G$5208,7,0)</f>
        <v>68001</v>
      </c>
      <c r="G1086">
        <v>7662100</v>
      </c>
      <c r="H1086">
        <v>4329</v>
      </c>
    </row>
    <row r="1087" spans="1:8" ht="15" customHeight="1" x14ac:dyDescent="0.25">
      <c r="A1087" t="s">
        <v>3331</v>
      </c>
      <c r="B1087" t="s">
        <v>7381</v>
      </c>
      <c r="C1087" t="s">
        <v>11075</v>
      </c>
      <c r="D1087" t="s">
        <v>13287</v>
      </c>
      <c r="E1087" t="str">
        <f>+VLOOKUP(A1087,[1]PFE4!$A$7:$F$5208,6,0)</f>
        <v>CALLE 38 B  79  18</v>
      </c>
      <c r="F1087" s="17" t="str">
        <f>+VLOOKUP(A1087,[1]PFE4!$A$7:$G$5208,7,0)</f>
        <v>05001</v>
      </c>
      <c r="G1087">
        <v>7662972</v>
      </c>
      <c r="H1087">
        <v>4329</v>
      </c>
    </row>
    <row r="1088" spans="1:8" ht="15" customHeight="1" x14ac:dyDescent="0.25">
      <c r="A1088" t="s">
        <v>3332</v>
      </c>
      <c r="B1088" t="s">
        <v>7382</v>
      </c>
      <c r="C1088" t="s">
        <v>10738</v>
      </c>
      <c r="D1088" t="s">
        <v>13287</v>
      </c>
      <c r="E1088" t="str">
        <f>+VLOOKUP(A1088,[1]PFE4!$A$7:$F$5208,6,0)</f>
        <v>CALLE 123  11  33</v>
      </c>
      <c r="F1088" s="17">
        <f>+VLOOKUP(A1088,[1]PFE4!$A$7:$G$5208,7,0)</f>
        <v>11001</v>
      </c>
      <c r="G1088">
        <v>7673148</v>
      </c>
      <c r="H1088">
        <v>4329</v>
      </c>
    </row>
    <row r="1089" spans="1:8" ht="15" customHeight="1" x14ac:dyDescent="0.25">
      <c r="A1089" t="s">
        <v>3333</v>
      </c>
      <c r="B1089" t="s">
        <v>7383</v>
      </c>
      <c r="C1089" t="s">
        <v>11076</v>
      </c>
      <c r="D1089" t="s">
        <v>13287</v>
      </c>
      <c r="E1089" t="str">
        <f>+VLOOKUP(A1089,[1]PFE4!$A$7:$F$5208,6,0)</f>
        <v>CALLE 135 C  10 B  67</v>
      </c>
      <c r="F1089" s="17">
        <f>+VLOOKUP(A1089,[1]PFE4!$A$7:$G$5208,7,0)</f>
        <v>11001</v>
      </c>
      <c r="G1089">
        <v>7677095</v>
      </c>
      <c r="H1089">
        <v>4329</v>
      </c>
    </row>
    <row r="1090" spans="1:8" ht="15" customHeight="1" x14ac:dyDescent="0.25">
      <c r="A1090" t="s">
        <v>3334</v>
      </c>
      <c r="B1090" t="s">
        <v>7384</v>
      </c>
      <c r="C1090" t="s">
        <v>11077</v>
      </c>
      <c r="D1090" t="s">
        <v>13287</v>
      </c>
      <c r="E1090" t="str">
        <f>+VLOOKUP(A1090,[1]PFE4!$A$7:$F$5208,6,0)</f>
        <v>CARRERA 42 B  26 SUR  31</v>
      </c>
      <c r="F1090" s="17" t="str">
        <f>+VLOOKUP(A1090,[1]PFE4!$A$7:$G$5208,7,0)</f>
        <v>05266</v>
      </c>
      <c r="G1090">
        <v>7678104</v>
      </c>
      <c r="H1090">
        <v>4329</v>
      </c>
    </row>
    <row r="1091" spans="1:8" ht="15" customHeight="1" x14ac:dyDescent="0.25">
      <c r="A1091" t="s">
        <v>3335</v>
      </c>
      <c r="B1091" t="s">
        <v>7385</v>
      </c>
      <c r="C1091" t="s">
        <v>11078</v>
      </c>
      <c r="D1091" t="s">
        <v>13287</v>
      </c>
      <c r="E1091" t="str">
        <f>+VLOOKUP(A1091,[1]PFE4!$A$7:$F$5208,6,0)</f>
        <v>CALLE 137  55 A  52 BRR COLINA CAMPESTRE</v>
      </c>
      <c r="F1091" s="17">
        <f>+VLOOKUP(A1091,[1]PFE4!$A$7:$G$5208,7,0)</f>
        <v>11001</v>
      </c>
      <c r="G1091">
        <v>7685948</v>
      </c>
      <c r="H1091">
        <v>4329</v>
      </c>
    </row>
    <row r="1092" spans="1:8" ht="15" customHeight="1" x14ac:dyDescent="0.25">
      <c r="A1092" t="s">
        <v>3336</v>
      </c>
      <c r="B1092" t="s">
        <v>7386</v>
      </c>
      <c r="C1092" t="s">
        <v>11079</v>
      </c>
      <c r="D1092" t="s">
        <v>13287</v>
      </c>
      <c r="E1092" t="str">
        <f>+VLOOKUP(A1092,[1]PFE4!$A$7:$F$5208,6,0)</f>
        <v>CALLE 106  19 A  42</v>
      </c>
      <c r="F1092" s="17">
        <f>+VLOOKUP(A1092,[1]PFE4!$A$7:$G$5208,7,0)</f>
        <v>11001</v>
      </c>
      <c r="G1092">
        <v>7690744</v>
      </c>
      <c r="H1092">
        <v>4329</v>
      </c>
    </row>
    <row r="1093" spans="1:8" ht="15" customHeight="1" x14ac:dyDescent="0.25">
      <c r="A1093" t="s">
        <v>3337</v>
      </c>
      <c r="B1093" t="s">
        <v>7387</v>
      </c>
      <c r="C1093" t="s">
        <v>11080</v>
      </c>
      <c r="D1093" t="s">
        <v>13287</v>
      </c>
      <c r="E1093" t="str">
        <f>+VLOOKUP(A1093,[1]PFE4!$A$7:$F$5208,6,0)</f>
        <v>AVENIDA 8  66  19</v>
      </c>
      <c r="F1093" s="17">
        <f>+VLOOKUP(A1093,[1]PFE4!$A$7:$G$5208,7,0)</f>
        <v>54405</v>
      </c>
      <c r="G1093">
        <v>7704000</v>
      </c>
      <c r="H1093">
        <v>4329</v>
      </c>
    </row>
    <row r="1094" spans="1:8" ht="15" customHeight="1" x14ac:dyDescent="0.25">
      <c r="A1094" t="s">
        <v>3338</v>
      </c>
      <c r="B1094" t="s">
        <v>7388</v>
      </c>
      <c r="C1094" t="s">
        <v>11081</v>
      </c>
      <c r="D1094" t="s">
        <v>13287</v>
      </c>
      <c r="E1094" t="str">
        <f>+VLOOKUP(A1094,[1]PFE4!$A$7:$F$5208,6,0)</f>
        <v>CR 30 1 295</v>
      </c>
      <c r="F1094" s="17" t="str">
        <f>+VLOOKUP(A1094,[1]PFE4!$A$7:$G$5208,7,0)</f>
        <v>08758</v>
      </c>
      <c r="G1094">
        <v>7704842</v>
      </c>
      <c r="H1094">
        <v>4329</v>
      </c>
    </row>
    <row r="1095" spans="1:8" ht="15" customHeight="1" x14ac:dyDescent="0.25">
      <c r="A1095" t="s">
        <v>3339</v>
      </c>
      <c r="B1095" t="s">
        <v>7389</v>
      </c>
      <c r="C1095" t="s">
        <v>11074</v>
      </c>
      <c r="D1095" t="s">
        <v>13287</v>
      </c>
      <c r="E1095" t="str">
        <f>+VLOOKUP(A1095,[1]PFE4!$A$7:$F$5208,6,0)</f>
        <v>CL 10 D 30 A 135</v>
      </c>
      <c r="F1095" s="17" t="str">
        <f>+VLOOKUP(A1095,[1]PFE4!$A$7:$G$5208,7,0)</f>
        <v>05001</v>
      </c>
      <c r="G1095">
        <v>7708176</v>
      </c>
      <c r="H1095">
        <v>4329</v>
      </c>
    </row>
    <row r="1096" spans="1:8" ht="15" customHeight="1" x14ac:dyDescent="0.25">
      <c r="A1096" t="s">
        <v>3340</v>
      </c>
      <c r="B1096" t="s">
        <v>7390</v>
      </c>
      <c r="C1096" t="s">
        <v>11082</v>
      </c>
      <c r="D1096" t="s">
        <v>13287</v>
      </c>
      <c r="E1096" t="str">
        <f>+VLOOKUP(A1096,[1]PFE4!$A$7:$F$5208,6,0)</f>
        <v>CARRERA 52 D  41  14</v>
      </c>
      <c r="F1096" s="17" t="str">
        <f>+VLOOKUP(A1096,[1]PFE4!$A$7:$G$5208,7,0)</f>
        <v>05615</v>
      </c>
      <c r="G1096">
        <v>7708193</v>
      </c>
      <c r="H1096">
        <v>4329</v>
      </c>
    </row>
    <row r="1097" spans="1:8" ht="15" customHeight="1" x14ac:dyDescent="0.25">
      <c r="A1097" t="s">
        <v>3341</v>
      </c>
      <c r="B1097" t="s">
        <v>7391</v>
      </c>
      <c r="C1097" t="s">
        <v>11083</v>
      </c>
      <c r="D1097" t="s">
        <v>13287</v>
      </c>
      <c r="E1097" t="str">
        <f>+VLOOKUP(A1097,[1]PFE4!$A$7:$F$5208,6,0)</f>
        <v>CALLE 75  13  51  OFICINA 501</v>
      </c>
      <c r="F1097" s="17">
        <f>+VLOOKUP(A1097,[1]PFE4!$A$7:$G$5208,7,0)</f>
        <v>11001</v>
      </c>
      <c r="G1097">
        <v>7711178</v>
      </c>
      <c r="H1097">
        <v>4329</v>
      </c>
    </row>
    <row r="1098" spans="1:8" ht="15" customHeight="1" x14ac:dyDescent="0.25">
      <c r="A1098" t="s">
        <v>3342</v>
      </c>
      <c r="B1098" t="s">
        <v>7392</v>
      </c>
      <c r="C1098" t="s">
        <v>11084</v>
      </c>
      <c r="D1098" t="s">
        <v>13287</v>
      </c>
      <c r="E1098" t="str">
        <f>+VLOOKUP(A1098,[1]PFE4!$A$7:$F$5208,6,0)</f>
        <v>AVENIDA 1 A  42 A  12</v>
      </c>
      <c r="F1098" s="17">
        <f>+VLOOKUP(A1098,[1]PFE4!$A$7:$G$5208,7,0)</f>
        <v>54405</v>
      </c>
      <c r="G1098">
        <v>7719028</v>
      </c>
      <c r="H1098">
        <v>4329</v>
      </c>
    </row>
    <row r="1099" spans="1:8" ht="15" customHeight="1" x14ac:dyDescent="0.25">
      <c r="A1099" t="s">
        <v>3343</v>
      </c>
      <c r="B1099" t="s">
        <v>7393</v>
      </c>
      <c r="C1099" t="s">
        <v>11085</v>
      </c>
      <c r="D1099" t="s">
        <v>13287</v>
      </c>
      <c r="E1099" t="str">
        <f>+VLOOKUP(A1099,[1]PFE4!$A$7:$F$5208,6,0)</f>
        <v>CL 45 C 76 10-12 -14</v>
      </c>
      <c r="F1099" s="17" t="str">
        <f>+VLOOKUP(A1099,[1]PFE4!$A$7:$G$5208,7,0)</f>
        <v>05001</v>
      </c>
      <c r="G1099">
        <v>7721040</v>
      </c>
      <c r="H1099">
        <v>4329</v>
      </c>
    </row>
    <row r="1100" spans="1:8" ht="15" customHeight="1" x14ac:dyDescent="0.25">
      <c r="A1100" t="s">
        <v>3344</v>
      </c>
      <c r="B1100" t="s">
        <v>7394</v>
      </c>
      <c r="C1100" t="s">
        <v>11086</v>
      </c>
      <c r="D1100" t="s">
        <v>13287</v>
      </c>
      <c r="E1100" t="str">
        <f>+VLOOKUP(A1100,[1]PFE4!$A$7:$F$5208,6,0)</f>
        <v>CALLE 98 A  60  53</v>
      </c>
      <c r="F1100" s="17">
        <f>+VLOOKUP(A1100,[1]PFE4!$A$7:$G$5208,7,0)</f>
        <v>11001</v>
      </c>
      <c r="G1100">
        <v>7727385</v>
      </c>
      <c r="H1100">
        <v>4329</v>
      </c>
    </row>
    <row r="1101" spans="1:8" ht="15" customHeight="1" x14ac:dyDescent="0.25">
      <c r="A1101" t="s">
        <v>3345</v>
      </c>
      <c r="B1101" t="s">
        <v>7395</v>
      </c>
      <c r="C1101">
        <v>3219664011</v>
      </c>
      <c r="D1101" t="s">
        <v>13287</v>
      </c>
      <c r="E1101" t="str">
        <f>+VLOOKUP(A1101,[1]PFE4!$A$7:$F$5208,6,0)</f>
        <v>CALLE 114 A  16  34</v>
      </c>
      <c r="F1101" s="17">
        <f>+VLOOKUP(A1101,[1]PFE4!$A$7:$G$5208,7,0)</f>
        <v>11001</v>
      </c>
      <c r="G1101">
        <v>7729356</v>
      </c>
      <c r="H1101">
        <v>4329</v>
      </c>
    </row>
    <row r="1102" spans="1:8" ht="15" customHeight="1" x14ac:dyDescent="0.25">
      <c r="A1102" t="s">
        <v>3346</v>
      </c>
      <c r="B1102" t="s">
        <v>7396</v>
      </c>
      <c r="C1102" t="s">
        <v>11087</v>
      </c>
      <c r="D1102" t="s">
        <v>13287</v>
      </c>
      <c r="E1102" t="str">
        <f>+VLOOKUP(A1102,[1]PFE4!$A$7:$F$5208,6,0)</f>
        <v>CALLE 112  18  21</v>
      </c>
      <c r="F1102" s="17">
        <f>+VLOOKUP(A1102,[1]PFE4!$A$7:$G$5208,7,0)</f>
        <v>11001</v>
      </c>
      <c r="G1102">
        <v>7731924</v>
      </c>
      <c r="H1102">
        <v>4329</v>
      </c>
    </row>
    <row r="1103" spans="1:8" ht="15" customHeight="1" x14ac:dyDescent="0.25">
      <c r="A1103" t="s">
        <v>3347</v>
      </c>
      <c r="B1103" t="s">
        <v>7397</v>
      </c>
      <c r="C1103" t="s">
        <v>11088</v>
      </c>
      <c r="D1103" t="s">
        <v>13287</v>
      </c>
      <c r="E1103" t="str">
        <f>+VLOOKUP(A1103,[1]PFE4!$A$7:$F$5208,6,0)</f>
        <v>CARRERA 80 A  33  35</v>
      </c>
      <c r="F1103" s="17" t="str">
        <f>+VLOOKUP(A1103,[1]PFE4!$A$7:$G$5208,7,0)</f>
        <v>05001</v>
      </c>
      <c r="G1103">
        <v>7734316</v>
      </c>
      <c r="H1103">
        <v>4329</v>
      </c>
    </row>
    <row r="1104" spans="1:8" ht="15" customHeight="1" x14ac:dyDescent="0.25">
      <c r="A1104" t="s">
        <v>3348</v>
      </c>
      <c r="B1104" t="s">
        <v>7398</v>
      </c>
      <c r="C1104" t="s">
        <v>11089</v>
      </c>
      <c r="D1104" t="s">
        <v>13287</v>
      </c>
      <c r="E1104" t="str">
        <f>+VLOOKUP(A1104,[1]PFE4!$A$7:$F$5208,6,0)</f>
        <v>CARRERA 26  9  45</v>
      </c>
      <c r="F1104" s="17">
        <f>+VLOOKUP(A1104,[1]PFE4!$A$7:$G$5208,7,0)</f>
        <v>68001</v>
      </c>
      <c r="G1104">
        <v>7734580</v>
      </c>
      <c r="H1104">
        <v>4329</v>
      </c>
    </row>
    <row r="1105" spans="1:8" ht="15" customHeight="1" x14ac:dyDescent="0.25">
      <c r="A1105" t="s">
        <v>3349</v>
      </c>
      <c r="B1105" t="s">
        <v>7399</v>
      </c>
      <c r="C1105" t="s">
        <v>11090</v>
      </c>
      <c r="D1105" t="s">
        <v>13287</v>
      </c>
      <c r="E1105" t="str">
        <f>+VLOOKUP(A1105,[1]PFE4!$A$7:$F$5208,6,0)</f>
        <v>CARRERA 10 A  134 B  55</v>
      </c>
      <c r="F1105" s="17">
        <f>+VLOOKUP(A1105,[1]PFE4!$A$7:$G$5208,7,0)</f>
        <v>11001</v>
      </c>
      <c r="G1105">
        <v>7741469</v>
      </c>
      <c r="H1105">
        <v>4329</v>
      </c>
    </row>
    <row r="1106" spans="1:8" ht="15" customHeight="1" x14ac:dyDescent="0.25">
      <c r="A1106" t="s">
        <v>3350</v>
      </c>
      <c r="B1106" t="s">
        <v>7400</v>
      </c>
      <c r="C1106" t="s">
        <v>11091</v>
      </c>
      <c r="D1106" t="s">
        <v>13287</v>
      </c>
      <c r="E1106" t="str">
        <f>+VLOOKUP(A1106,[1]PFE4!$A$7:$F$5208,6,0)</f>
        <v>CARRERA 96 B  25 D  55</v>
      </c>
      <c r="F1106" s="17">
        <f>+VLOOKUP(A1106,[1]PFE4!$A$7:$G$5208,7,0)</f>
        <v>11001</v>
      </c>
      <c r="G1106">
        <v>7746624</v>
      </c>
      <c r="H1106">
        <v>4329</v>
      </c>
    </row>
    <row r="1107" spans="1:8" ht="15" customHeight="1" x14ac:dyDescent="0.25">
      <c r="A1107" t="s">
        <v>3351</v>
      </c>
      <c r="B1107" t="s">
        <v>7401</v>
      </c>
      <c r="C1107" t="s">
        <v>11092</v>
      </c>
      <c r="D1107" t="s">
        <v>13287</v>
      </c>
      <c r="E1107" t="str">
        <f>+VLOOKUP(A1107,[1]PFE4!$A$7:$F$5208,6,0)</f>
        <v>CARRERA 4  73  31</v>
      </c>
      <c r="F1107" s="17" t="str">
        <f>+VLOOKUP(A1107,[1]PFE4!$A$7:$G$5208,7,0)</f>
        <v>05001</v>
      </c>
      <c r="G1107">
        <v>7747272</v>
      </c>
      <c r="H1107">
        <v>4329</v>
      </c>
    </row>
    <row r="1108" spans="1:8" ht="15" customHeight="1" x14ac:dyDescent="0.25">
      <c r="A1108" t="s">
        <v>3352</v>
      </c>
      <c r="B1108" t="s">
        <v>7402</v>
      </c>
      <c r="C1108" t="s">
        <v>11093</v>
      </c>
      <c r="D1108" t="s">
        <v>13287</v>
      </c>
      <c r="E1108" t="str">
        <f>+VLOOKUP(A1108,[1]PFE4!$A$7:$F$5208,6,0)</f>
        <v>CRA 34 32 95 BARRIO EL PRADO</v>
      </c>
      <c r="F1108" s="17">
        <f>+VLOOKUP(A1108,[1]PFE4!$A$7:$G$5208,7,0)</f>
        <v>68001</v>
      </c>
      <c r="G1108">
        <v>7752648</v>
      </c>
      <c r="H1108">
        <v>4329</v>
      </c>
    </row>
    <row r="1109" spans="1:8" ht="15" customHeight="1" x14ac:dyDescent="0.25">
      <c r="A1109" t="s">
        <v>3353</v>
      </c>
      <c r="B1109" t="s">
        <v>7403</v>
      </c>
      <c r="C1109" t="s">
        <v>11094</v>
      </c>
      <c r="D1109" t="s">
        <v>13287</v>
      </c>
      <c r="E1109" t="str">
        <f>+VLOOKUP(A1109,[1]PFE4!$A$7:$F$5208,6,0)</f>
        <v>CARRERA 46  20 SUR  135</v>
      </c>
      <c r="F1109" s="17" t="str">
        <f>+VLOOKUP(A1109,[1]PFE4!$A$7:$G$5208,7,0)</f>
        <v>05266</v>
      </c>
      <c r="G1109">
        <v>7757776</v>
      </c>
      <c r="H1109">
        <v>4329</v>
      </c>
    </row>
    <row r="1110" spans="1:8" ht="15" customHeight="1" x14ac:dyDescent="0.25">
      <c r="A1110" t="s">
        <v>3354</v>
      </c>
      <c r="B1110" t="s">
        <v>7404</v>
      </c>
      <c r="C1110" t="s">
        <v>11095</v>
      </c>
      <c r="D1110" t="s">
        <v>13287</v>
      </c>
      <c r="E1110" t="str">
        <f>+VLOOKUP(A1110,[1]PFE4!$A$7:$F$5208,6,0)</f>
        <v>CARRERA 28  29  60</v>
      </c>
      <c r="F1110" s="17">
        <f>+VLOOKUP(A1110,[1]PFE4!$A$7:$G$5208,7,0)</f>
        <v>76520</v>
      </c>
      <c r="G1110">
        <v>7764340</v>
      </c>
      <c r="H1110">
        <v>4329</v>
      </c>
    </row>
    <row r="1111" spans="1:8" ht="15" customHeight="1" x14ac:dyDescent="0.25">
      <c r="A1111" t="s">
        <v>3355</v>
      </c>
      <c r="B1111" t="s">
        <v>7405</v>
      </c>
      <c r="C1111" t="s">
        <v>11096</v>
      </c>
      <c r="D1111" t="s">
        <v>13287</v>
      </c>
      <c r="E1111" t="str">
        <f>+VLOOKUP(A1111,[1]PFE4!$A$7:$F$5208,6,0)</f>
        <v>CARRERA 1 ESTE  70  47</v>
      </c>
      <c r="F1111" s="17">
        <f>+VLOOKUP(A1111,[1]PFE4!$A$7:$G$5208,7,0)</f>
        <v>11001</v>
      </c>
      <c r="G1111">
        <v>7764529</v>
      </c>
      <c r="H1111">
        <v>4329</v>
      </c>
    </row>
    <row r="1112" spans="1:8" ht="15" customHeight="1" x14ac:dyDescent="0.25">
      <c r="A1112" t="s">
        <v>3356</v>
      </c>
      <c r="B1112" t="s">
        <v>7406</v>
      </c>
      <c r="C1112" t="s">
        <v>11097</v>
      </c>
      <c r="D1112" t="s">
        <v>13287</v>
      </c>
      <c r="E1112" t="str">
        <f>+VLOOKUP(A1112,[1]PFE4!$A$7:$F$5208,6,0)</f>
        <v>CR 41 18D 65 AP 303</v>
      </c>
      <c r="F1112" s="17" t="str">
        <f>+VLOOKUP(A1112,[1]PFE4!$A$7:$G$5208,7,0)</f>
        <v>05001</v>
      </c>
      <c r="G1112">
        <v>7765612</v>
      </c>
      <c r="H1112">
        <v>4329</v>
      </c>
    </row>
    <row r="1113" spans="1:8" ht="15" customHeight="1" x14ac:dyDescent="0.25">
      <c r="A1113" t="s">
        <v>3357</v>
      </c>
      <c r="B1113" t="s">
        <v>7407</v>
      </c>
      <c r="C1113" t="s">
        <v>11045</v>
      </c>
      <c r="D1113" t="s">
        <v>13287</v>
      </c>
      <c r="E1113" t="str">
        <f>+VLOOKUP(A1113,[1]PFE4!$A$7:$F$5208,6,0)</f>
        <v>CARRERA 8 A  69  11</v>
      </c>
      <c r="F1113" s="17">
        <f>+VLOOKUP(A1113,[1]PFE4!$A$7:$G$5208,7,0)</f>
        <v>11001</v>
      </c>
      <c r="G1113">
        <v>7768368</v>
      </c>
      <c r="H1113">
        <v>4329</v>
      </c>
    </row>
    <row r="1114" spans="1:8" ht="15" customHeight="1" x14ac:dyDescent="0.25">
      <c r="A1114" t="s">
        <v>3358</v>
      </c>
      <c r="B1114" t="s">
        <v>7408</v>
      </c>
      <c r="C1114" t="s">
        <v>11098</v>
      </c>
      <c r="D1114" t="s">
        <v>13287</v>
      </c>
      <c r="E1114" t="str">
        <f>+VLOOKUP(A1114,[1]PFE4!$A$7:$F$5208,6,0)</f>
        <v>CALLE 54  54  23</v>
      </c>
      <c r="F1114" s="17">
        <f>+VLOOKUP(A1114,[1]PFE4!$A$7:$G$5208,7,0)</f>
        <v>68001</v>
      </c>
      <c r="G1114">
        <v>7779320</v>
      </c>
      <c r="H1114">
        <v>4329</v>
      </c>
    </row>
    <row r="1115" spans="1:8" ht="15" customHeight="1" x14ac:dyDescent="0.25">
      <c r="A1115" t="s">
        <v>3359</v>
      </c>
      <c r="B1115" t="s">
        <v>7409</v>
      </c>
      <c r="C1115" t="s">
        <v>11099</v>
      </c>
      <c r="D1115" t="s">
        <v>13287</v>
      </c>
      <c r="E1115" t="str">
        <f>+VLOOKUP(A1115,[1]PFE4!$A$7:$F$5208,6,0)</f>
        <v>CALLE 8 A  17  16</v>
      </c>
      <c r="F1115" s="17">
        <f>+VLOOKUP(A1115,[1]PFE4!$A$7:$G$5208,7,0)</f>
        <v>68001</v>
      </c>
      <c r="G1115">
        <v>7780368</v>
      </c>
      <c r="H1115">
        <v>4329</v>
      </c>
    </row>
    <row r="1116" spans="1:8" ht="15" customHeight="1" x14ac:dyDescent="0.25">
      <c r="A1116" t="s">
        <v>3360</v>
      </c>
      <c r="B1116" t="s">
        <v>7410</v>
      </c>
      <c r="C1116" t="s">
        <v>11100</v>
      </c>
      <c r="D1116" t="s">
        <v>13287</v>
      </c>
      <c r="E1116" t="str">
        <f>+VLOOKUP(A1116,[1]PFE4!$A$7:$F$5208,6,0)</f>
        <v>CALLE 146 N°6-24</v>
      </c>
      <c r="F1116" s="17">
        <f>+VLOOKUP(A1116,[1]PFE4!$A$7:$G$5208,7,0)</f>
        <v>11001</v>
      </c>
      <c r="G1116">
        <v>7791209</v>
      </c>
      <c r="H1116">
        <v>4329</v>
      </c>
    </row>
    <row r="1117" spans="1:8" ht="15" customHeight="1" x14ac:dyDescent="0.25">
      <c r="A1117" t="s">
        <v>3361</v>
      </c>
      <c r="B1117" t="s">
        <v>7411</v>
      </c>
      <c r="C1117" t="s">
        <v>11101</v>
      </c>
      <c r="D1117" t="s">
        <v>13287</v>
      </c>
      <c r="E1117" t="str">
        <f>+VLOOKUP(A1117,[1]PFE4!$A$7:$F$5208,6,0)</f>
        <v>CARRERA 30 CL 27 29</v>
      </c>
      <c r="F1117" s="17" t="str">
        <f>+VLOOKUP(A1117,[1]PFE4!$A$7:$G$5208,7,0)</f>
        <v>05237</v>
      </c>
      <c r="G1117">
        <v>7795200</v>
      </c>
      <c r="H1117">
        <v>4329</v>
      </c>
    </row>
    <row r="1118" spans="1:8" ht="15" customHeight="1" x14ac:dyDescent="0.25">
      <c r="A1118" t="s">
        <v>3362</v>
      </c>
      <c r="B1118" t="s">
        <v>7412</v>
      </c>
      <c r="C1118" t="s">
        <v>11102</v>
      </c>
      <c r="D1118" t="s">
        <v>13287</v>
      </c>
      <c r="E1118" t="str">
        <f>+VLOOKUP(A1118,[1]PFE4!$A$7:$F$5208,6,0)</f>
        <v>CALLE 51  38  45</v>
      </c>
      <c r="F1118" s="17" t="str">
        <f>+VLOOKUP(A1118,[1]PFE4!$A$7:$G$5208,7,0)</f>
        <v>05001</v>
      </c>
      <c r="G1118">
        <v>7806384</v>
      </c>
      <c r="H1118">
        <v>4329</v>
      </c>
    </row>
    <row r="1119" spans="1:8" ht="15" customHeight="1" x14ac:dyDescent="0.25">
      <c r="A1119" t="s">
        <v>3363</v>
      </c>
      <c r="B1119" t="s">
        <v>7413</v>
      </c>
      <c r="C1119" t="s">
        <v>11103</v>
      </c>
      <c r="D1119" t="s">
        <v>13287</v>
      </c>
      <c r="E1119" t="str">
        <f>+VLOOKUP(A1119,[1]PFE4!$A$7:$F$5208,6,0)</f>
        <v>AVENIDA 13  100  12</v>
      </c>
      <c r="F1119" s="17">
        <f>+VLOOKUP(A1119,[1]PFE4!$A$7:$G$5208,7,0)</f>
        <v>11001</v>
      </c>
      <c r="G1119">
        <v>7811856</v>
      </c>
      <c r="H1119">
        <v>4329</v>
      </c>
    </row>
    <row r="1120" spans="1:8" ht="15" customHeight="1" x14ac:dyDescent="0.25">
      <c r="A1120" t="s">
        <v>3364</v>
      </c>
      <c r="B1120" t="s">
        <v>7414</v>
      </c>
      <c r="C1120">
        <v>3219664011</v>
      </c>
      <c r="D1120" t="s">
        <v>13287</v>
      </c>
      <c r="E1120" t="str">
        <f>+VLOOKUP(A1120,[1]PFE4!$A$7:$F$5208,6,0)</f>
        <v>CARRERA 20  34  47</v>
      </c>
      <c r="F1120" s="17">
        <f>+VLOOKUP(A1120,[1]PFE4!$A$7:$G$5208,7,0)</f>
        <v>68001</v>
      </c>
      <c r="G1120">
        <v>7813460</v>
      </c>
      <c r="H1120">
        <v>4329</v>
      </c>
    </row>
    <row r="1121" spans="1:8" ht="15" customHeight="1" x14ac:dyDescent="0.25">
      <c r="A1121" t="s">
        <v>3365</v>
      </c>
      <c r="B1121" t="s">
        <v>7415</v>
      </c>
      <c r="C1121" t="s">
        <v>11104</v>
      </c>
      <c r="D1121" t="s">
        <v>13287</v>
      </c>
      <c r="E1121" t="str">
        <f>+VLOOKUP(A1121,[1]PFE4!$A$7:$F$5208,6,0)</f>
        <v>CL 32 N 9 174</v>
      </c>
      <c r="F1121" s="17">
        <f>+VLOOKUP(A1121,[1]PFE4!$A$7:$G$5208,7,0)</f>
        <v>19001</v>
      </c>
      <c r="G1121">
        <v>7815012</v>
      </c>
      <c r="H1121">
        <v>4329</v>
      </c>
    </row>
    <row r="1122" spans="1:8" ht="15" customHeight="1" x14ac:dyDescent="0.25">
      <c r="A1122" t="s">
        <v>3366</v>
      </c>
      <c r="B1122" t="s">
        <v>7416</v>
      </c>
      <c r="C1122" t="s">
        <v>11105</v>
      </c>
      <c r="D1122" t="s">
        <v>13287</v>
      </c>
      <c r="E1122" t="str">
        <f>+VLOOKUP(A1122,[1]PFE4!$A$7:$F$5208,6,0)</f>
        <v>CALLE 20 SUR  45  107</v>
      </c>
      <c r="F1122" s="17" t="str">
        <f>+VLOOKUP(A1122,[1]PFE4!$A$7:$G$5208,7,0)</f>
        <v>05266</v>
      </c>
      <c r="G1122">
        <v>7827048</v>
      </c>
      <c r="H1122">
        <v>4329</v>
      </c>
    </row>
    <row r="1123" spans="1:8" ht="15" customHeight="1" x14ac:dyDescent="0.25">
      <c r="A1123" t="s">
        <v>3367</v>
      </c>
      <c r="B1123" t="s">
        <v>7417</v>
      </c>
      <c r="C1123" t="s">
        <v>11106</v>
      </c>
      <c r="D1123" t="s">
        <v>13287</v>
      </c>
      <c r="E1123" t="str">
        <f>+VLOOKUP(A1123,[1]PFE4!$A$7:$F$5208,6,0)</f>
        <v>CALLE 45 F F  77 A  134</v>
      </c>
      <c r="F1123" s="17" t="str">
        <f>+VLOOKUP(A1123,[1]PFE4!$A$7:$G$5208,7,0)</f>
        <v>05001</v>
      </c>
      <c r="G1123">
        <v>7828098</v>
      </c>
      <c r="H1123">
        <v>4329</v>
      </c>
    </row>
    <row r="1124" spans="1:8" ht="15" customHeight="1" x14ac:dyDescent="0.25">
      <c r="A1124" t="s">
        <v>3368</v>
      </c>
      <c r="B1124" t="s">
        <v>7418</v>
      </c>
      <c r="C1124" t="s">
        <v>11107</v>
      </c>
      <c r="D1124" t="s">
        <v>13287</v>
      </c>
      <c r="E1124" t="str">
        <f>+VLOOKUP(A1124,[1]PFE4!$A$7:$F$5208,6,0)</f>
        <v>CARRERA 42  23 SUR  60</v>
      </c>
      <c r="F1124" s="17" t="str">
        <f>+VLOOKUP(A1124,[1]PFE4!$A$7:$G$5208,7,0)</f>
        <v>05266</v>
      </c>
      <c r="G1124">
        <v>7833577</v>
      </c>
      <c r="H1124">
        <v>4329</v>
      </c>
    </row>
    <row r="1125" spans="1:8" ht="15" customHeight="1" x14ac:dyDescent="0.25">
      <c r="A1125" t="s">
        <v>3369</v>
      </c>
      <c r="B1125" t="s">
        <v>7419</v>
      </c>
      <c r="C1125" t="s">
        <v>11108</v>
      </c>
      <c r="D1125" t="s">
        <v>13287</v>
      </c>
      <c r="E1125" t="str">
        <f>+VLOOKUP(A1125,[1]PFE4!$A$7:$F$5208,6,0)</f>
        <v>CALLE 22 NORTE  6 A N  24</v>
      </c>
      <c r="F1125" s="17">
        <f>+VLOOKUP(A1125,[1]PFE4!$A$7:$G$5208,7,0)</f>
        <v>76001</v>
      </c>
      <c r="G1125">
        <v>7835642</v>
      </c>
      <c r="H1125">
        <v>4329</v>
      </c>
    </row>
    <row r="1126" spans="1:8" ht="15" customHeight="1" x14ac:dyDescent="0.25">
      <c r="A1126" t="s">
        <v>3370</v>
      </c>
      <c r="B1126" t="s">
        <v>7420</v>
      </c>
      <c r="C1126" t="s">
        <v>11109</v>
      </c>
      <c r="D1126" t="s">
        <v>13287</v>
      </c>
      <c r="E1126" t="str">
        <f>+VLOOKUP(A1126,[1]PFE4!$A$7:$F$5208,6,0)</f>
        <v>CL 38 64 A 16</v>
      </c>
      <c r="F1126" s="17" t="str">
        <f>+VLOOKUP(A1126,[1]PFE4!$A$7:$G$5208,7,0)</f>
        <v>05001</v>
      </c>
      <c r="G1126">
        <v>7841628</v>
      </c>
      <c r="H1126">
        <v>4329</v>
      </c>
    </row>
    <row r="1127" spans="1:8" ht="15" customHeight="1" x14ac:dyDescent="0.25">
      <c r="A1127" t="s">
        <v>3371</v>
      </c>
      <c r="B1127" t="s">
        <v>7421</v>
      </c>
      <c r="C1127" t="s">
        <v>11110</v>
      </c>
      <c r="D1127" t="s">
        <v>13287</v>
      </c>
      <c r="E1127" t="str">
        <f>+VLOOKUP(A1127,[1]PFE4!$A$7:$F$5208,6,0)</f>
        <v>CARRERA 42D # 46D SUR 20</v>
      </c>
      <c r="F1127" s="17" t="str">
        <f>+VLOOKUP(A1127,[1]PFE4!$A$7:$G$5208,7,0)</f>
        <v>05266</v>
      </c>
      <c r="G1127">
        <v>7843602</v>
      </c>
      <c r="H1127">
        <v>4329</v>
      </c>
    </row>
    <row r="1128" spans="1:8" ht="15" customHeight="1" x14ac:dyDescent="0.25">
      <c r="A1128" t="s">
        <v>3372</v>
      </c>
      <c r="B1128" t="s">
        <v>7422</v>
      </c>
      <c r="C1128" t="s">
        <v>11111</v>
      </c>
      <c r="D1128" t="s">
        <v>13287</v>
      </c>
      <c r="E1128" t="str">
        <f>+VLOOKUP(A1128,[1]PFE4!$A$7:$F$5208,6,0)</f>
        <v>CALLE 40  86 A  34</v>
      </c>
      <c r="F1128" s="17" t="str">
        <f>+VLOOKUP(A1128,[1]PFE4!$A$7:$G$5208,7,0)</f>
        <v>05001</v>
      </c>
      <c r="G1128">
        <v>7843980</v>
      </c>
      <c r="H1128">
        <v>4329</v>
      </c>
    </row>
    <row r="1129" spans="1:8" ht="15" customHeight="1" x14ac:dyDescent="0.25">
      <c r="A1129" t="s">
        <v>3373</v>
      </c>
      <c r="B1129" t="s">
        <v>7423</v>
      </c>
      <c r="C1129" t="s">
        <v>10585</v>
      </c>
      <c r="D1129" t="s">
        <v>13287</v>
      </c>
      <c r="E1129" t="str">
        <f>+VLOOKUP(A1129,[1]PFE4!$A$7:$F$5208,6,0)</f>
        <v>CALLE 106  19  43</v>
      </c>
      <c r="F1129" s="17">
        <f>+VLOOKUP(A1129,[1]PFE4!$A$7:$G$5208,7,0)</f>
        <v>11001</v>
      </c>
      <c r="G1129">
        <v>7849103</v>
      </c>
      <c r="H1129">
        <v>4329</v>
      </c>
    </row>
    <row r="1130" spans="1:8" ht="15" customHeight="1" x14ac:dyDescent="0.25">
      <c r="A1130" t="s">
        <v>3374</v>
      </c>
      <c r="B1130" t="s">
        <v>7424</v>
      </c>
      <c r="C1130" t="s">
        <v>10585</v>
      </c>
      <c r="D1130" t="s">
        <v>13287</v>
      </c>
      <c r="E1130" t="str">
        <f>+VLOOKUP(A1130,[1]PFE4!$A$7:$F$5208,6,0)</f>
        <v>CARRERA 17 A  103  61</v>
      </c>
      <c r="F1130" s="17">
        <f>+VLOOKUP(A1130,[1]PFE4!$A$7:$G$5208,7,0)</f>
        <v>11001</v>
      </c>
      <c r="G1130">
        <v>7849103</v>
      </c>
      <c r="H1130">
        <v>4329</v>
      </c>
    </row>
    <row r="1131" spans="1:8" ht="15" customHeight="1" x14ac:dyDescent="0.25">
      <c r="A1131" t="s">
        <v>3375</v>
      </c>
      <c r="B1131" t="s">
        <v>7425</v>
      </c>
      <c r="C1131" t="s">
        <v>11112</v>
      </c>
      <c r="D1131" t="s">
        <v>13287</v>
      </c>
      <c r="E1131" t="str">
        <f>+VLOOKUP(A1131,[1]PFE4!$A$7:$F$5208,6,0)</f>
        <v>CARRERA 12  96  39</v>
      </c>
      <c r="F1131" s="17">
        <f>+VLOOKUP(A1131,[1]PFE4!$A$7:$G$5208,7,0)</f>
        <v>11001</v>
      </c>
      <c r="G1131">
        <v>7855200</v>
      </c>
      <c r="H1131">
        <v>4329</v>
      </c>
    </row>
    <row r="1132" spans="1:8" ht="15" customHeight="1" x14ac:dyDescent="0.25">
      <c r="A1132" t="s">
        <v>3376</v>
      </c>
      <c r="B1132" t="s">
        <v>7426</v>
      </c>
      <c r="C1132" t="s">
        <v>11113</v>
      </c>
      <c r="D1132" t="s">
        <v>13287</v>
      </c>
      <c r="E1132" t="str">
        <f>+VLOOKUP(A1132,[1]PFE4!$A$7:$F$5208,6,0)</f>
        <v>CALLE 134  22  06</v>
      </c>
      <c r="F1132" s="17">
        <f>+VLOOKUP(A1132,[1]PFE4!$A$7:$G$5208,7,0)</f>
        <v>11001</v>
      </c>
      <c r="G1132">
        <v>7857981</v>
      </c>
      <c r="H1132">
        <v>4329</v>
      </c>
    </row>
    <row r="1133" spans="1:8" ht="15" customHeight="1" x14ac:dyDescent="0.25">
      <c r="A1133" t="s">
        <v>3377</v>
      </c>
      <c r="B1133" t="s">
        <v>7427</v>
      </c>
      <c r="C1133" t="s">
        <v>11114</v>
      </c>
      <c r="D1133" t="s">
        <v>13287</v>
      </c>
      <c r="E1133" t="str">
        <f>+VLOOKUP(A1133,[1]PFE4!$A$7:$F$5208,6,0)</f>
        <v>CALLE 106  19 A  26</v>
      </c>
      <c r="F1133" s="17">
        <f>+VLOOKUP(A1133,[1]PFE4!$A$7:$G$5208,7,0)</f>
        <v>11001</v>
      </c>
      <c r="G1133">
        <v>7866000</v>
      </c>
      <c r="H1133">
        <v>4329</v>
      </c>
    </row>
    <row r="1134" spans="1:8" ht="15" customHeight="1" x14ac:dyDescent="0.25">
      <c r="A1134" t="s">
        <v>3378</v>
      </c>
      <c r="B1134" t="s">
        <v>7428</v>
      </c>
      <c r="C1134" t="s">
        <v>11005</v>
      </c>
      <c r="D1134" t="s">
        <v>13287</v>
      </c>
      <c r="E1134" t="str">
        <f>+VLOOKUP(A1134,[1]PFE4!$A$7:$F$5208,6,0)</f>
        <v>CARRERA 23  104  85</v>
      </c>
      <c r="F1134" s="17">
        <f>+VLOOKUP(A1134,[1]PFE4!$A$7:$G$5208,7,0)</f>
        <v>11001</v>
      </c>
      <c r="G1134">
        <v>7868790</v>
      </c>
      <c r="H1134">
        <v>4329</v>
      </c>
    </row>
    <row r="1135" spans="1:8" ht="15" customHeight="1" x14ac:dyDescent="0.25">
      <c r="A1135" t="s">
        <v>3379</v>
      </c>
      <c r="B1135" t="s">
        <v>7429</v>
      </c>
      <c r="C1135" t="s">
        <v>11115</v>
      </c>
      <c r="D1135" t="s">
        <v>13287</v>
      </c>
      <c r="E1135" t="str">
        <f>+VLOOKUP(A1135,[1]PFE4!$A$7:$F$5208,6,0)</f>
        <v>CALLE 30  40  40</v>
      </c>
      <c r="F1135" s="17">
        <f>+VLOOKUP(A1135,[1]PFE4!$A$7:$G$5208,7,0)</f>
        <v>63001</v>
      </c>
      <c r="G1135">
        <v>7869618</v>
      </c>
      <c r="H1135">
        <v>4329</v>
      </c>
    </row>
    <row r="1136" spans="1:8" ht="15" customHeight="1" x14ac:dyDescent="0.25">
      <c r="A1136" t="s">
        <v>3380</v>
      </c>
      <c r="B1136" t="s">
        <v>7430</v>
      </c>
      <c r="C1136" t="s">
        <v>11116</v>
      </c>
      <c r="D1136" t="s">
        <v>13287</v>
      </c>
      <c r="E1136" t="str">
        <f>+VLOOKUP(A1136,[1]PFE4!$A$7:$F$5208,6,0)</f>
        <v>CARRERA 56 No. 1B - 111</v>
      </c>
      <c r="F1136" s="17">
        <f>+VLOOKUP(A1136,[1]PFE4!$A$7:$G$5208,7,0)</f>
        <v>76001</v>
      </c>
      <c r="G1136">
        <v>7873380</v>
      </c>
      <c r="H1136">
        <v>4329</v>
      </c>
    </row>
    <row r="1137" spans="1:8" ht="15" customHeight="1" x14ac:dyDescent="0.25">
      <c r="A1137" t="s">
        <v>3381</v>
      </c>
      <c r="B1137" t="s">
        <v>7431</v>
      </c>
      <c r="C1137" t="s">
        <v>11117</v>
      </c>
      <c r="D1137" t="s">
        <v>13287</v>
      </c>
      <c r="E1137" t="str">
        <f>+VLOOKUP(A1137,[1]PFE4!$A$7:$F$5208,6,0)</f>
        <v>CALLE 55  21  42</v>
      </c>
      <c r="F1137" s="17">
        <f>+VLOOKUP(A1137,[1]PFE4!$A$7:$G$5208,7,0)</f>
        <v>68001</v>
      </c>
      <c r="G1137">
        <v>7878382</v>
      </c>
      <c r="H1137">
        <v>4329</v>
      </c>
    </row>
    <row r="1138" spans="1:8" ht="15" customHeight="1" x14ac:dyDescent="0.25">
      <c r="A1138" t="s">
        <v>3382</v>
      </c>
      <c r="B1138" t="s">
        <v>7432</v>
      </c>
      <c r="C1138">
        <v>0</v>
      </c>
      <c r="D1138" t="s">
        <v>13287</v>
      </c>
      <c r="E1138">
        <v>0</v>
      </c>
      <c r="F1138" s="17">
        <v>11001</v>
      </c>
      <c r="G1138">
        <v>7879254</v>
      </c>
      <c r="H1138">
        <v>4329</v>
      </c>
    </row>
    <row r="1139" spans="1:8" ht="15" customHeight="1" x14ac:dyDescent="0.25">
      <c r="A1139" t="s">
        <v>3383</v>
      </c>
      <c r="B1139" t="s">
        <v>7433</v>
      </c>
      <c r="C1139" t="s">
        <v>11118</v>
      </c>
      <c r="D1139" t="s">
        <v>13287</v>
      </c>
      <c r="E1139" t="str">
        <f>+VLOOKUP(A1139,[1]PFE4!$A$7:$F$5208,6,0)</f>
        <v>CARRERA 43  53  60</v>
      </c>
      <c r="F1139" s="17" t="str">
        <f>+VLOOKUP(A1139,[1]PFE4!$A$7:$G$5208,7,0)</f>
        <v>05001</v>
      </c>
      <c r="G1139">
        <v>7881744</v>
      </c>
      <c r="H1139">
        <v>4329</v>
      </c>
    </row>
    <row r="1140" spans="1:8" ht="15" customHeight="1" x14ac:dyDescent="0.25">
      <c r="A1140" t="s">
        <v>3384</v>
      </c>
      <c r="B1140" t="s">
        <v>7434</v>
      </c>
      <c r="C1140" t="s">
        <v>11119</v>
      </c>
      <c r="D1140" t="s">
        <v>13287</v>
      </c>
      <c r="E1140" t="str">
        <f>+VLOOKUP(A1140,[1]PFE4!$A$7:$F$5208,6,0)</f>
        <v>CALLE 51  38  14</v>
      </c>
      <c r="F1140" s="17">
        <f>+VLOOKUP(A1140,[1]PFE4!$A$7:$G$5208,7,0)</f>
        <v>68001</v>
      </c>
      <c r="G1140">
        <v>7883016</v>
      </c>
      <c r="H1140">
        <v>4329</v>
      </c>
    </row>
    <row r="1141" spans="1:8" ht="15" customHeight="1" x14ac:dyDescent="0.25">
      <c r="A1141" t="s">
        <v>3385</v>
      </c>
      <c r="B1141" t="s">
        <v>7435</v>
      </c>
      <c r="C1141" t="s">
        <v>11120</v>
      </c>
      <c r="D1141" t="s">
        <v>13287</v>
      </c>
      <c r="E1141" t="str">
        <f>+VLOOKUP(A1141,[1]PFE4!$A$7:$F$5208,6,0)</f>
        <v>CALLE 50  67  114</v>
      </c>
      <c r="F1141" s="17" t="str">
        <f>+VLOOKUP(A1141,[1]PFE4!$A$7:$G$5208,7,0)</f>
        <v>05001</v>
      </c>
      <c r="G1141">
        <v>7885804</v>
      </c>
      <c r="H1141">
        <v>4329</v>
      </c>
    </row>
    <row r="1142" spans="1:8" ht="15" customHeight="1" x14ac:dyDescent="0.25">
      <c r="A1142" t="s">
        <v>3386</v>
      </c>
      <c r="B1142" t="s">
        <v>7436</v>
      </c>
      <c r="C1142" t="s">
        <v>11121</v>
      </c>
      <c r="D1142" t="s">
        <v>13287</v>
      </c>
      <c r="E1142" t="str">
        <f>+VLOOKUP(A1142,[1]PFE4!$A$7:$F$5208,6,0)</f>
        <v>CARRERA 11 A  12 NORTE  73</v>
      </c>
      <c r="F1142" s="17">
        <f>+VLOOKUP(A1142,[1]PFE4!$A$7:$G$5208,7,0)</f>
        <v>63001</v>
      </c>
      <c r="G1142">
        <v>7886880</v>
      </c>
      <c r="H1142">
        <v>4329</v>
      </c>
    </row>
    <row r="1143" spans="1:8" ht="15" customHeight="1" x14ac:dyDescent="0.25">
      <c r="A1143" t="s">
        <v>3387</v>
      </c>
      <c r="B1143" t="s">
        <v>7437</v>
      </c>
      <c r="C1143" t="s">
        <v>11122</v>
      </c>
      <c r="D1143" t="s">
        <v>13287</v>
      </c>
      <c r="E1143" t="str">
        <f>+VLOOKUP(A1143,[1]PFE4!$A$7:$F$5208,6,0)</f>
        <v>CALLE 17 NORTE  4 N  29</v>
      </c>
      <c r="F1143" s="17">
        <f>+VLOOKUP(A1143,[1]PFE4!$A$7:$G$5208,7,0)</f>
        <v>76001</v>
      </c>
      <c r="G1143">
        <v>7890984</v>
      </c>
      <c r="H1143">
        <v>4329</v>
      </c>
    </row>
    <row r="1144" spans="1:8" ht="15" customHeight="1" x14ac:dyDescent="0.25">
      <c r="A1144" t="s">
        <v>3388</v>
      </c>
      <c r="B1144" t="s">
        <v>7438</v>
      </c>
      <c r="C1144" t="s">
        <v>11123</v>
      </c>
      <c r="D1144" t="s">
        <v>13287</v>
      </c>
      <c r="E1144" t="str">
        <f>+VLOOKUP(A1144,[1]PFE4!$A$7:$F$5208,6,0)</f>
        <v>AVENIDA 3  57  70</v>
      </c>
      <c r="F1144" s="17">
        <f>+VLOOKUP(A1144,[1]PFE4!$A$7:$G$5208,7,0)</f>
        <v>54405</v>
      </c>
      <c r="G1144">
        <v>7892767</v>
      </c>
      <c r="H1144">
        <v>4329</v>
      </c>
    </row>
    <row r="1145" spans="1:8" ht="15" customHeight="1" x14ac:dyDescent="0.25">
      <c r="A1145" t="s">
        <v>3389</v>
      </c>
      <c r="B1145" t="s">
        <v>7439</v>
      </c>
      <c r="C1145" t="s">
        <v>11124</v>
      </c>
      <c r="D1145" t="s">
        <v>13287</v>
      </c>
      <c r="E1145" t="str">
        <f>+VLOOKUP(A1145,[1]PFE4!$A$7:$F$5208,6,0)</f>
        <v>CALLE 67 A  50 B  12</v>
      </c>
      <c r="F1145" s="17">
        <f>+VLOOKUP(A1145,[1]PFE4!$A$7:$G$5208,7,0)</f>
        <v>11001</v>
      </c>
      <c r="G1145">
        <v>7894444</v>
      </c>
      <c r="H1145">
        <v>4329</v>
      </c>
    </row>
    <row r="1146" spans="1:8" ht="15" customHeight="1" x14ac:dyDescent="0.25">
      <c r="A1146" t="s">
        <v>3390</v>
      </c>
      <c r="B1146" t="s">
        <v>7440</v>
      </c>
      <c r="C1146" t="s">
        <v>11125</v>
      </c>
      <c r="D1146" t="s">
        <v>13287</v>
      </c>
      <c r="E1146" t="str">
        <f>+VLOOKUP(A1146,[1]PFE4!$A$7:$F$5208,6,0)</f>
        <v>CR 45 C 34 53</v>
      </c>
      <c r="F1146" s="17" t="str">
        <f>+VLOOKUP(A1146,[1]PFE4!$A$7:$G$5208,7,0)</f>
        <v>08001</v>
      </c>
      <c r="G1146">
        <v>7895849</v>
      </c>
      <c r="H1146">
        <v>4329</v>
      </c>
    </row>
    <row r="1147" spans="1:8" ht="15" customHeight="1" x14ac:dyDescent="0.25">
      <c r="A1147" t="s">
        <v>3391</v>
      </c>
      <c r="B1147" t="s">
        <v>7441</v>
      </c>
      <c r="C1147" t="s">
        <v>11126</v>
      </c>
      <c r="D1147" t="s">
        <v>13287</v>
      </c>
      <c r="E1147" t="str">
        <f>+VLOOKUP(A1147,[1]PFE4!$A$7:$F$5208,6,0)</f>
        <v>CARRERA 3 D N° 60 - 15</v>
      </c>
      <c r="F1147" s="17">
        <f>+VLOOKUP(A1147,[1]PFE4!$A$7:$G$5208,7,0)</f>
        <v>11001</v>
      </c>
      <c r="G1147">
        <v>7909236</v>
      </c>
      <c r="H1147">
        <v>4329</v>
      </c>
    </row>
    <row r="1148" spans="1:8" ht="15" customHeight="1" x14ac:dyDescent="0.25">
      <c r="A1148" t="s">
        <v>3392</v>
      </c>
      <c r="B1148" t="s">
        <v>7442</v>
      </c>
      <c r="C1148">
        <v>0</v>
      </c>
      <c r="D1148" t="s">
        <v>13287</v>
      </c>
      <c r="E1148">
        <v>0</v>
      </c>
      <c r="F1148" s="17">
        <v>11001</v>
      </c>
      <c r="G1148">
        <v>7910000</v>
      </c>
      <c r="H1148">
        <v>4329</v>
      </c>
    </row>
    <row r="1149" spans="1:8" ht="15" customHeight="1" x14ac:dyDescent="0.25">
      <c r="A1149" t="s">
        <v>3393</v>
      </c>
      <c r="B1149" t="s">
        <v>7443</v>
      </c>
      <c r="C1149" t="s">
        <v>11127</v>
      </c>
      <c r="D1149" t="s">
        <v>13287</v>
      </c>
      <c r="E1149" t="str">
        <f>+VLOOKUP(A1149,[1]PFE4!$A$7:$F$5208,6,0)</f>
        <v>CALLE 106  49 E  11</v>
      </c>
      <c r="F1149" s="17" t="str">
        <f>+VLOOKUP(A1149,[1]PFE4!$A$7:$G$5208,7,0)</f>
        <v>08001</v>
      </c>
      <c r="G1149">
        <v>7911003</v>
      </c>
      <c r="H1149">
        <v>4329</v>
      </c>
    </row>
    <row r="1150" spans="1:8" ht="15" customHeight="1" x14ac:dyDescent="0.25">
      <c r="A1150" t="s">
        <v>3394</v>
      </c>
      <c r="B1150" t="s">
        <v>7444</v>
      </c>
      <c r="C1150" t="s">
        <v>11128</v>
      </c>
      <c r="D1150" t="s">
        <v>13287</v>
      </c>
      <c r="E1150" t="str">
        <f>+VLOOKUP(A1150,[1]PFE4!$A$7:$F$5208,6,0)</f>
        <v>CALLE 114  15 A  70</v>
      </c>
      <c r="F1150" s="17">
        <f>+VLOOKUP(A1150,[1]PFE4!$A$7:$G$5208,7,0)</f>
        <v>11001</v>
      </c>
      <c r="G1150">
        <v>7919824</v>
      </c>
      <c r="H1150">
        <v>4329</v>
      </c>
    </row>
    <row r="1151" spans="1:8" ht="15" customHeight="1" x14ac:dyDescent="0.25">
      <c r="A1151" t="s">
        <v>3395</v>
      </c>
      <c r="B1151" t="s">
        <v>7445</v>
      </c>
      <c r="C1151" t="s">
        <v>11129</v>
      </c>
      <c r="D1151" t="s">
        <v>13287</v>
      </c>
      <c r="E1151" t="str">
        <f>+VLOOKUP(A1151,[1]PFE4!$A$7:$F$5208,6,0)</f>
        <v>CALLE 118  12  25</v>
      </c>
      <c r="F1151" s="17">
        <f>+VLOOKUP(A1151,[1]PFE4!$A$7:$G$5208,7,0)</f>
        <v>11001</v>
      </c>
      <c r="G1151">
        <v>7925738</v>
      </c>
      <c r="H1151">
        <v>4329</v>
      </c>
    </row>
    <row r="1152" spans="1:8" ht="15" customHeight="1" x14ac:dyDescent="0.25">
      <c r="A1152" t="s">
        <v>3396</v>
      </c>
      <c r="B1152" t="s">
        <v>7446</v>
      </c>
      <c r="C1152" t="s">
        <v>11130</v>
      </c>
      <c r="D1152" t="s">
        <v>13287</v>
      </c>
      <c r="E1152" t="str">
        <f>+VLOOKUP(A1152,[1]PFE4!$A$7:$F$5208,6,0)</f>
        <v>CARRERA 46  152  46</v>
      </c>
      <c r="F1152" s="17">
        <f>+VLOOKUP(A1152,[1]PFE4!$A$7:$G$5208,7,0)</f>
        <v>11001</v>
      </c>
      <c r="G1152">
        <v>7925760</v>
      </c>
      <c r="H1152">
        <v>4329</v>
      </c>
    </row>
    <row r="1153" spans="1:8" ht="15" customHeight="1" x14ac:dyDescent="0.25">
      <c r="A1153" t="s">
        <v>3397</v>
      </c>
      <c r="B1153" t="s">
        <v>7447</v>
      </c>
      <c r="C1153">
        <v>3219664011</v>
      </c>
      <c r="D1153" t="s">
        <v>13287</v>
      </c>
      <c r="E1153" t="str">
        <f>+VLOOKUP(A1153,[1]PFE4!$A$7:$F$5208,6,0)</f>
        <v>CARRERA 42 68A-52</v>
      </c>
      <c r="F1153" s="17" t="str">
        <f>+VLOOKUP(A1153,[1]PFE4!$A$7:$G$5208,7,0)</f>
        <v>05001</v>
      </c>
      <c r="G1153">
        <v>7929000</v>
      </c>
      <c r="H1153">
        <v>4329</v>
      </c>
    </row>
    <row r="1154" spans="1:8" ht="15" customHeight="1" x14ac:dyDescent="0.25">
      <c r="A1154" t="s">
        <v>3398</v>
      </c>
      <c r="B1154" t="s">
        <v>7448</v>
      </c>
      <c r="C1154" t="s">
        <v>11131</v>
      </c>
      <c r="D1154" t="s">
        <v>13287</v>
      </c>
      <c r="E1154" t="str">
        <f>+VLOOKUP(A1154,[1]PFE4!$A$7:$F$5208,6,0)</f>
        <v>CARRERA 2  5  162</v>
      </c>
      <c r="F1154" s="17">
        <f>+VLOOKUP(A1154,[1]PFE4!$A$7:$G$5208,7,0)</f>
        <v>47001</v>
      </c>
      <c r="G1154">
        <v>7930034</v>
      </c>
      <c r="H1154">
        <v>4329</v>
      </c>
    </row>
    <row r="1155" spans="1:8" ht="15" customHeight="1" x14ac:dyDescent="0.25">
      <c r="A1155" t="s">
        <v>3399</v>
      </c>
      <c r="B1155" t="s">
        <v>7449</v>
      </c>
      <c r="C1155" t="s">
        <v>11095</v>
      </c>
      <c r="D1155" t="s">
        <v>13287</v>
      </c>
      <c r="E1155" t="str">
        <f>+VLOOKUP(A1155,[1]PFE4!$A$7:$F$5208,6,0)</f>
        <v>CARRERA 18  113  52</v>
      </c>
      <c r="F1155" s="17">
        <f>+VLOOKUP(A1155,[1]PFE4!$A$7:$G$5208,7,0)</f>
        <v>11001</v>
      </c>
      <c r="G1155">
        <v>7930409</v>
      </c>
      <c r="H1155">
        <v>4329</v>
      </c>
    </row>
    <row r="1156" spans="1:8" ht="15" customHeight="1" x14ac:dyDescent="0.25">
      <c r="A1156" t="s">
        <v>3400</v>
      </c>
      <c r="B1156" t="s">
        <v>7450</v>
      </c>
      <c r="C1156" t="s">
        <v>11011</v>
      </c>
      <c r="D1156" t="s">
        <v>13287</v>
      </c>
      <c r="E1156" t="str">
        <f>+VLOOKUP(A1156,[1]PFE4!$A$7:$F$5208,6,0)</f>
        <v>CALLE 19  29  52</v>
      </c>
      <c r="F1156" s="17">
        <f>+VLOOKUP(A1156,[1]PFE4!$A$7:$G$5208,7,0)</f>
        <v>68001</v>
      </c>
      <c r="G1156">
        <v>7935808</v>
      </c>
      <c r="H1156">
        <v>4329</v>
      </c>
    </row>
    <row r="1157" spans="1:8" ht="15" customHeight="1" x14ac:dyDescent="0.25">
      <c r="A1157" t="s">
        <v>3401</v>
      </c>
      <c r="B1157" t="s">
        <v>7451</v>
      </c>
      <c r="C1157" t="s">
        <v>10958</v>
      </c>
      <c r="D1157" t="s">
        <v>13287</v>
      </c>
      <c r="E1157" t="str">
        <f>+VLOOKUP(A1157,[1]PFE4!$A$7:$F$5208,6,0)</f>
        <v>CALLE 37  66 A  47</v>
      </c>
      <c r="F1157" s="17" t="str">
        <f>+VLOOKUP(A1157,[1]PFE4!$A$7:$G$5208,7,0)</f>
        <v>05001</v>
      </c>
      <c r="G1157">
        <v>7936263</v>
      </c>
      <c r="H1157">
        <v>4329</v>
      </c>
    </row>
    <row r="1158" spans="1:8" ht="15" customHeight="1" x14ac:dyDescent="0.25">
      <c r="A1158" t="s">
        <v>3402</v>
      </c>
      <c r="B1158" t="s">
        <v>7452</v>
      </c>
      <c r="C1158" t="s">
        <v>11132</v>
      </c>
      <c r="D1158" t="s">
        <v>13287</v>
      </c>
      <c r="E1158" t="str">
        <f>+VLOOKUP(A1158,[1]PFE4!$A$7:$F$5208,6,0)</f>
        <v>CARRERA 36  48  131</v>
      </c>
      <c r="F1158" s="17">
        <f>+VLOOKUP(A1158,[1]PFE4!$A$7:$G$5208,7,0)</f>
        <v>11001</v>
      </c>
      <c r="G1158">
        <v>7936380</v>
      </c>
      <c r="H1158">
        <v>4329</v>
      </c>
    </row>
    <row r="1159" spans="1:8" ht="15" customHeight="1" x14ac:dyDescent="0.25">
      <c r="A1159" t="s">
        <v>3403</v>
      </c>
      <c r="B1159" t="s">
        <v>7453</v>
      </c>
      <c r="C1159" t="s">
        <v>11133</v>
      </c>
      <c r="D1159" t="s">
        <v>13287</v>
      </c>
      <c r="E1159" t="str">
        <f>+VLOOKUP(A1159,[1]PFE4!$A$7:$F$5208,6,0)</f>
        <v>CALLE 96  17  69</v>
      </c>
      <c r="F1159" s="17">
        <f>+VLOOKUP(A1159,[1]PFE4!$A$7:$G$5208,7,0)</f>
        <v>11001</v>
      </c>
      <c r="G1159">
        <v>7937345</v>
      </c>
      <c r="H1159">
        <v>4329</v>
      </c>
    </row>
    <row r="1160" spans="1:8" ht="15" customHeight="1" x14ac:dyDescent="0.25">
      <c r="A1160" t="s">
        <v>3404</v>
      </c>
      <c r="B1160" t="s">
        <v>7454</v>
      </c>
      <c r="C1160" t="s">
        <v>11134</v>
      </c>
      <c r="D1160" t="s">
        <v>13287</v>
      </c>
      <c r="E1160" t="str">
        <f>+VLOOKUP(A1160,[1]PFE4!$A$7:$F$5208,6,0)</f>
        <v>CALLE 35  65 B  31</v>
      </c>
      <c r="F1160" s="17" t="str">
        <f>+VLOOKUP(A1160,[1]PFE4!$A$7:$G$5208,7,0)</f>
        <v>05001</v>
      </c>
      <c r="G1160">
        <v>7939109</v>
      </c>
      <c r="H1160">
        <v>4329</v>
      </c>
    </row>
    <row r="1161" spans="1:8" ht="15" customHeight="1" x14ac:dyDescent="0.25">
      <c r="A1161" t="s">
        <v>3405</v>
      </c>
      <c r="B1161" t="s">
        <v>7455</v>
      </c>
      <c r="C1161" t="s">
        <v>11135</v>
      </c>
      <c r="D1161" t="s">
        <v>13287</v>
      </c>
      <c r="E1161" t="str">
        <f>+VLOOKUP(A1161,[1]PFE4!$A$7:$F$5208,6,0)</f>
        <v>CARRERA 17 A  137  20</v>
      </c>
      <c r="F1161" s="17">
        <f>+VLOOKUP(A1161,[1]PFE4!$A$7:$G$5208,7,0)</f>
        <v>11001</v>
      </c>
      <c r="G1161">
        <v>7939272</v>
      </c>
      <c r="H1161">
        <v>4329</v>
      </c>
    </row>
    <row r="1162" spans="1:8" ht="15" customHeight="1" x14ac:dyDescent="0.25">
      <c r="A1162" t="s">
        <v>3406</v>
      </c>
      <c r="B1162" t="s">
        <v>7456</v>
      </c>
      <c r="C1162" t="s">
        <v>10781</v>
      </c>
      <c r="D1162" t="s">
        <v>13287</v>
      </c>
      <c r="E1162" t="str">
        <f>+VLOOKUP(A1162,[1]PFE4!$A$7:$F$5208,6,0)</f>
        <v>CARRERA 84  34 B  100</v>
      </c>
      <c r="F1162" s="17" t="str">
        <f>+VLOOKUP(A1162,[1]PFE4!$A$7:$G$5208,7,0)</f>
        <v>05001</v>
      </c>
      <c r="G1162">
        <v>7939400</v>
      </c>
      <c r="H1162">
        <v>4329</v>
      </c>
    </row>
    <row r="1163" spans="1:8" ht="15" customHeight="1" x14ac:dyDescent="0.25">
      <c r="A1163" t="s">
        <v>3407</v>
      </c>
      <c r="B1163" t="s">
        <v>7457</v>
      </c>
      <c r="C1163" t="s">
        <v>11136</v>
      </c>
      <c r="D1163" t="s">
        <v>13287</v>
      </c>
      <c r="E1163" t="str">
        <f>+VLOOKUP(A1163,[1]PFE4!$A$7:$F$5208,6,0)</f>
        <v>CL 51 28 81</v>
      </c>
      <c r="F1163" s="17">
        <f>+VLOOKUP(A1163,[1]PFE4!$A$7:$G$5208,7,0)</f>
        <v>68001</v>
      </c>
      <c r="G1163">
        <v>7943185</v>
      </c>
      <c r="H1163">
        <v>4329</v>
      </c>
    </row>
    <row r="1164" spans="1:8" ht="15" customHeight="1" x14ac:dyDescent="0.25">
      <c r="A1164" t="s">
        <v>3408</v>
      </c>
      <c r="B1164" t="s">
        <v>7458</v>
      </c>
      <c r="C1164" t="s">
        <v>11137</v>
      </c>
      <c r="D1164" t="s">
        <v>13287</v>
      </c>
      <c r="E1164" t="str">
        <f>+VLOOKUP(A1164,[1]PFE4!$A$7:$F$5208,6,0)</f>
        <v>CARRERA 7 C  127  79</v>
      </c>
      <c r="F1164" s="17">
        <f>+VLOOKUP(A1164,[1]PFE4!$A$7:$G$5208,7,0)</f>
        <v>11001</v>
      </c>
      <c r="G1164">
        <v>7944530</v>
      </c>
      <c r="H1164">
        <v>4329</v>
      </c>
    </row>
    <row r="1165" spans="1:8" ht="15" customHeight="1" x14ac:dyDescent="0.25">
      <c r="A1165" t="s">
        <v>3409</v>
      </c>
      <c r="B1165" t="s">
        <v>7459</v>
      </c>
      <c r="C1165" t="s">
        <v>11138</v>
      </c>
      <c r="D1165" t="s">
        <v>13287</v>
      </c>
      <c r="E1165" t="str">
        <f>+VLOOKUP(A1165,[1]PFE4!$A$7:$F$5208,6,0)</f>
        <v>TRANSVERSAL 3  51 A  75</v>
      </c>
      <c r="F1165" s="17">
        <f>+VLOOKUP(A1165,[1]PFE4!$A$7:$G$5208,7,0)</f>
        <v>11001</v>
      </c>
      <c r="G1165">
        <v>7954372</v>
      </c>
      <c r="H1165">
        <v>4329</v>
      </c>
    </row>
    <row r="1166" spans="1:8" ht="15" customHeight="1" x14ac:dyDescent="0.25">
      <c r="A1166" t="s">
        <v>3410</v>
      </c>
      <c r="B1166" t="s">
        <v>7460</v>
      </c>
      <c r="C1166" t="s">
        <v>11139</v>
      </c>
      <c r="D1166" t="s">
        <v>13287</v>
      </c>
      <c r="E1166" t="str">
        <f>+VLOOKUP(A1166,[1]PFE4!$A$7:$F$5208,6,0)</f>
        <v>CALLE 6 No. 25-95</v>
      </c>
      <c r="F1166" s="17" t="str">
        <f>+VLOOKUP(A1166,[1]PFE4!$A$7:$G$5208,7,0)</f>
        <v>05001</v>
      </c>
      <c r="G1166">
        <v>7954760</v>
      </c>
      <c r="H1166">
        <v>4329</v>
      </c>
    </row>
    <row r="1167" spans="1:8" ht="15" customHeight="1" x14ac:dyDescent="0.25">
      <c r="A1167" t="s">
        <v>3411</v>
      </c>
      <c r="B1167" t="s">
        <v>7461</v>
      </c>
      <c r="C1167" t="s">
        <v>11140</v>
      </c>
      <c r="D1167" t="s">
        <v>13287</v>
      </c>
      <c r="E1167" t="str">
        <f>+VLOOKUP(A1167,[1]PFE4!$A$7:$F$5208,6,0)</f>
        <v>CALLE 116  15 B  26 OFICINA 207</v>
      </c>
      <c r="F1167" s="17">
        <f>+VLOOKUP(A1167,[1]PFE4!$A$7:$G$5208,7,0)</f>
        <v>11001</v>
      </c>
      <c r="G1167">
        <v>7954944</v>
      </c>
      <c r="H1167">
        <v>4329</v>
      </c>
    </row>
    <row r="1168" spans="1:8" ht="15" customHeight="1" x14ac:dyDescent="0.25">
      <c r="A1168" t="s">
        <v>3412</v>
      </c>
      <c r="B1168" t="s">
        <v>7462</v>
      </c>
      <c r="C1168" t="s">
        <v>11141</v>
      </c>
      <c r="D1168" t="s">
        <v>13287</v>
      </c>
      <c r="E1168" t="str">
        <f>+VLOOKUP(A1168,[1]PFE4!$A$7:$F$5208,6,0)</f>
        <v>CR 14 93 B 15</v>
      </c>
      <c r="F1168" s="17">
        <f>+VLOOKUP(A1168,[1]PFE4!$A$7:$G$5208,7,0)</f>
        <v>50001</v>
      </c>
      <c r="G1168">
        <v>7955100</v>
      </c>
      <c r="H1168">
        <v>4329</v>
      </c>
    </row>
    <row r="1169" spans="1:8" ht="15" customHeight="1" x14ac:dyDescent="0.25">
      <c r="A1169" t="s">
        <v>3413</v>
      </c>
      <c r="B1169" t="s">
        <v>7463</v>
      </c>
      <c r="C1169" t="s">
        <v>11142</v>
      </c>
      <c r="D1169" t="s">
        <v>13287</v>
      </c>
      <c r="E1169" t="str">
        <f>+VLOOKUP(A1169,[1]PFE4!$A$7:$F$5208,6,0)</f>
        <v>CARRERA 47  19 SUR  136</v>
      </c>
      <c r="F1169" s="17" t="str">
        <f>+VLOOKUP(A1169,[1]PFE4!$A$7:$G$5208,7,0)</f>
        <v>05266</v>
      </c>
      <c r="G1169">
        <v>7959324</v>
      </c>
      <c r="H1169">
        <v>4329</v>
      </c>
    </row>
    <row r="1170" spans="1:8" ht="15" customHeight="1" x14ac:dyDescent="0.25">
      <c r="A1170" t="s">
        <v>3414</v>
      </c>
      <c r="B1170" t="s">
        <v>7464</v>
      </c>
      <c r="C1170" t="s">
        <v>11143</v>
      </c>
      <c r="D1170" t="s">
        <v>13287</v>
      </c>
      <c r="E1170" t="str">
        <f>+VLOOKUP(A1170,[1]PFE4!$A$7:$F$5208,6,0)</f>
        <v>CALLE 10A 40-19</v>
      </c>
      <c r="F1170" s="17" t="str">
        <f>+VLOOKUP(A1170,[1]PFE4!$A$7:$G$5208,7,0)</f>
        <v>05001</v>
      </c>
      <c r="G1170">
        <v>7961372</v>
      </c>
      <c r="H1170">
        <v>4329</v>
      </c>
    </row>
    <row r="1171" spans="1:8" ht="15" customHeight="1" x14ac:dyDescent="0.25">
      <c r="A1171" t="s">
        <v>3415</v>
      </c>
      <c r="B1171" t="s">
        <v>7465</v>
      </c>
      <c r="C1171">
        <v>3219664011</v>
      </c>
      <c r="D1171" t="s">
        <v>13287</v>
      </c>
      <c r="E1171" t="str">
        <f>+VLOOKUP(A1171,[1]PFE4!$A$7:$F$5208,6,0)</f>
        <v>CARRERA 23  30 A  37</v>
      </c>
      <c r="F1171" s="17">
        <f>+VLOOKUP(A1171,[1]PFE4!$A$7:$G$5208,7,0)</f>
        <v>11001</v>
      </c>
      <c r="G1171">
        <v>7961495</v>
      </c>
      <c r="H1171">
        <v>4329</v>
      </c>
    </row>
    <row r="1172" spans="1:8" ht="15" customHeight="1" x14ac:dyDescent="0.25">
      <c r="A1172" t="s">
        <v>3416</v>
      </c>
      <c r="B1172" t="s">
        <v>7466</v>
      </c>
      <c r="C1172" t="s">
        <v>11144</v>
      </c>
      <c r="D1172" t="s">
        <v>13287</v>
      </c>
      <c r="E1172" t="str">
        <f>+VLOOKUP(A1172,[1]PFE4!$A$7:$F$5208,6,0)</f>
        <v>CALLE 13 CARRERA 3A</v>
      </c>
      <c r="F1172" s="17">
        <f>+VLOOKUP(A1172,[1]PFE4!$A$7:$G$5208,7,0)</f>
        <v>66682</v>
      </c>
      <c r="G1172">
        <v>7962409</v>
      </c>
      <c r="H1172">
        <v>4329</v>
      </c>
    </row>
    <row r="1173" spans="1:8" ht="15" customHeight="1" x14ac:dyDescent="0.25">
      <c r="A1173" t="s">
        <v>3417</v>
      </c>
      <c r="B1173" t="s">
        <v>7467</v>
      </c>
      <c r="C1173" t="s">
        <v>11145</v>
      </c>
      <c r="D1173" t="s">
        <v>13287</v>
      </c>
      <c r="E1173" t="str">
        <f>+VLOOKUP(A1173,[1]PFE4!$A$7:$F$5208,6,0)</f>
        <v>CL 16 25-58</v>
      </c>
      <c r="F1173" s="17">
        <f>+VLOOKUP(A1173,[1]PFE4!$A$7:$G$5208,7,0)</f>
        <v>68001</v>
      </c>
      <c r="G1173">
        <v>7966798</v>
      </c>
      <c r="H1173">
        <v>4329</v>
      </c>
    </row>
    <row r="1174" spans="1:8" ht="15" customHeight="1" x14ac:dyDescent="0.25">
      <c r="A1174" t="s">
        <v>3418</v>
      </c>
      <c r="B1174" t="s">
        <v>7468</v>
      </c>
      <c r="C1174" t="s">
        <v>11146</v>
      </c>
      <c r="D1174" t="s">
        <v>13287</v>
      </c>
      <c r="E1174" t="str">
        <f>+VLOOKUP(A1174,[1]PFE4!$A$7:$F$5208,6,0)</f>
        <v>CALLE 75 SUR 54 A 150</v>
      </c>
      <c r="F1174" s="17" t="str">
        <f>+VLOOKUP(A1174,[1]PFE4!$A$7:$G$5208,7,0)</f>
        <v>05360</v>
      </c>
      <c r="G1174">
        <v>7967330</v>
      </c>
      <c r="H1174">
        <v>4329</v>
      </c>
    </row>
    <row r="1175" spans="1:8" ht="15" customHeight="1" x14ac:dyDescent="0.25">
      <c r="A1175" t="s">
        <v>3419</v>
      </c>
      <c r="B1175" t="s">
        <v>7469</v>
      </c>
      <c r="C1175" t="s">
        <v>11147</v>
      </c>
      <c r="D1175" t="s">
        <v>13287</v>
      </c>
      <c r="E1175" t="str">
        <f>+VLOOKUP(A1175,[1]PFE4!$A$7:$F$5208,6,0)</f>
        <v>CL 4 27 52 BRR SAN FERNANDO</v>
      </c>
      <c r="F1175" s="17">
        <f>+VLOOKUP(A1175,[1]PFE4!$A$7:$G$5208,7,0)</f>
        <v>76001</v>
      </c>
      <c r="G1175">
        <v>7967482</v>
      </c>
      <c r="H1175">
        <v>4329</v>
      </c>
    </row>
    <row r="1176" spans="1:8" ht="15" customHeight="1" x14ac:dyDescent="0.25">
      <c r="A1176" t="s">
        <v>3420</v>
      </c>
      <c r="B1176" t="s">
        <v>7470</v>
      </c>
      <c r="C1176" t="s">
        <v>11148</v>
      </c>
      <c r="D1176" t="s">
        <v>13287</v>
      </c>
      <c r="E1176" t="str">
        <f>+VLOOKUP(A1176,[1]PFE4!$A$7:$F$5208,6,0)</f>
        <v>URB EL BIFFI LT 28 BRR TERNERA</v>
      </c>
      <c r="F1176" s="17">
        <f>+VLOOKUP(A1176,[1]PFE4!$A$7:$G$5208,7,0)</f>
        <v>13001</v>
      </c>
      <c r="G1176">
        <v>7969036</v>
      </c>
      <c r="H1176">
        <v>4329</v>
      </c>
    </row>
    <row r="1177" spans="1:8" ht="15" customHeight="1" x14ac:dyDescent="0.25">
      <c r="A1177" t="s">
        <v>3421</v>
      </c>
      <c r="B1177" t="s">
        <v>7471</v>
      </c>
      <c r="C1177" t="s">
        <v>11149</v>
      </c>
      <c r="D1177" t="s">
        <v>13287</v>
      </c>
      <c r="E1177" t="str">
        <f>+VLOOKUP(A1177,[1]PFE4!$A$7:$F$5208,6,0)</f>
        <v>CALLE 11A #31A - 118</v>
      </c>
      <c r="F1177" s="17" t="str">
        <f>+VLOOKUP(A1177,[1]PFE4!$A$7:$G$5208,7,0)</f>
        <v>05001</v>
      </c>
      <c r="G1177">
        <v>7973132</v>
      </c>
      <c r="H1177">
        <v>4329</v>
      </c>
    </row>
    <row r="1178" spans="1:8" ht="15" customHeight="1" x14ac:dyDescent="0.25">
      <c r="A1178" t="s">
        <v>3422</v>
      </c>
      <c r="B1178" t="s">
        <v>7472</v>
      </c>
      <c r="C1178" t="s">
        <v>11150</v>
      </c>
      <c r="D1178" t="s">
        <v>13287</v>
      </c>
      <c r="E1178" t="str">
        <f>+VLOOKUP(A1178,[1]PFE4!$A$7:$F$5208,6,0)</f>
        <v>CR 42 E 80 69</v>
      </c>
      <c r="F1178" s="17" t="str">
        <f>+VLOOKUP(A1178,[1]PFE4!$A$7:$G$5208,7,0)</f>
        <v>08001</v>
      </c>
      <c r="G1178">
        <v>7973592</v>
      </c>
      <c r="H1178">
        <v>4329</v>
      </c>
    </row>
    <row r="1179" spans="1:8" ht="15" customHeight="1" x14ac:dyDescent="0.25">
      <c r="A1179" t="s">
        <v>3423</v>
      </c>
      <c r="B1179" t="s">
        <v>7473</v>
      </c>
      <c r="C1179" t="s">
        <v>11151</v>
      </c>
      <c r="D1179" t="s">
        <v>13287</v>
      </c>
      <c r="E1179" t="str">
        <f>+VLOOKUP(A1179,[1]PFE4!$A$7:$F$5208,6,0)</f>
        <v>CARRERA 13  127 A  14</v>
      </c>
      <c r="F1179" s="17">
        <f>+VLOOKUP(A1179,[1]PFE4!$A$7:$G$5208,7,0)</f>
        <v>11001</v>
      </c>
      <c r="G1179">
        <v>7974040</v>
      </c>
      <c r="H1179">
        <v>4329</v>
      </c>
    </row>
    <row r="1180" spans="1:8" ht="15" customHeight="1" x14ac:dyDescent="0.25">
      <c r="A1180" t="s">
        <v>3424</v>
      </c>
      <c r="B1180" t="s">
        <v>7474</v>
      </c>
      <c r="C1180" t="s">
        <v>11152</v>
      </c>
      <c r="D1180" t="s">
        <v>13287</v>
      </c>
      <c r="E1180" t="str">
        <f>+VLOOKUP(A1180,[1]PFE4!$A$7:$F$5208,6,0)</f>
        <v>CALLE 122  7 A  18  OFICINA 302</v>
      </c>
      <c r="F1180" s="17">
        <f>+VLOOKUP(A1180,[1]PFE4!$A$7:$G$5208,7,0)</f>
        <v>11001</v>
      </c>
      <c r="G1180">
        <v>7974444</v>
      </c>
      <c r="H1180">
        <v>4329</v>
      </c>
    </row>
    <row r="1181" spans="1:8" ht="15" customHeight="1" x14ac:dyDescent="0.25">
      <c r="A1181" t="s">
        <v>3425</v>
      </c>
      <c r="B1181" t="s">
        <v>7475</v>
      </c>
      <c r="C1181">
        <v>0</v>
      </c>
      <c r="D1181" t="s">
        <v>13287</v>
      </c>
      <c r="E1181">
        <v>0</v>
      </c>
      <c r="F1181" s="17">
        <v>11001</v>
      </c>
      <c r="G1181">
        <v>7979618</v>
      </c>
      <c r="H1181">
        <v>4329</v>
      </c>
    </row>
    <row r="1182" spans="1:8" ht="15" customHeight="1" x14ac:dyDescent="0.25">
      <c r="A1182" t="s">
        <v>3426</v>
      </c>
      <c r="B1182" t="s">
        <v>7476</v>
      </c>
      <c r="C1182" t="s">
        <v>11153</v>
      </c>
      <c r="D1182" t="s">
        <v>13287</v>
      </c>
      <c r="E1182" t="str">
        <f>+VLOOKUP(A1182,[1]PFE4!$A$7:$F$5208,6,0)</f>
        <v>CARRERA 16  134 A  40</v>
      </c>
      <c r="F1182" s="17">
        <f>+VLOOKUP(A1182,[1]PFE4!$A$7:$G$5208,7,0)</f>
        <v>11001</v>
      </c>
      <c r="G1182">
        <v>7979640</v>
      </c>
      <c r="H1182">
        <v>4329</v>
      </c>
    </row>
    <row r="1183" spans="1:8" ht="15" customHeight="1" x14ac:dyDescent="0.25">
      <c r="A1183" t="s">
        <v>3427</v>
      </c>
      <c r="B1183" t="s">
        <v>7477</v>
      </c>
      <c r="C1183" t="s">
        <v>11154</v>
      </c>
      <c r="D1183" t="s">
        <v>13287</v>
      </c>
      <c r="E1183" t="str">
        <f>+VLOOKUP(A1183,[1]PFE4!$A$7:$F$5208,6,0)</f>
        <v>CALLE 17A 69B 74</v>
      </c>
      <c r="F1183" s="17">
        <f>+VLOOKUP(A1183,[1]PFE4!$A$7:$G$5208,7,0)</f>
        <v>13001</v>
      </c>
      <c r="G1183">
        <v>7982480</v>
      </c>
      <c r="H1183">
        <v>4329</v>
      </c>
    </row>
    <row r="1184" spans="1:8" ht="15" customHeight="1" x14ac:dyDescent="0.25">
      <c r="A1184" t="s">
        <v>3428</v>
      </c>
      <c r="B1184" t="s">
        <v>7478</v>
      </c>
      <c r="C1184" t="s">
        <v>10561</v>
      </c>
      <c r="D1184" t="s">
        <v>13287</v>
      </c>
      <c r="E1184" t="str">
        <f>+VLOOKUP(A1184,[1]PFE4!$A$7:$F$5208,6,0)</f>
        <v>CARRERA 28 B  71  05</v>
      </c>
      <c r="F1184" s="17">
        <f>+VLOOKUP(A1184,[1]PFE4!$A$7:$G$5208,7,0)</f>
        <v>17001</v>
      </c>
      <c r="G1184">
        <v>7984355</v>
      </c>
      <c r="H1184">
        <v>4329</v>
      </c>
    </row>
    <row r="1185" spans="1:8" ht="15" customHeight="1" x14ac:dyDescent="0.25">
      <c r="A1185" t="s">
        <v>3429</v>
      </c>
      <c r="B1185" t="s">
        <v>7479</v>
      </c>
      <c r="C1185">
        <v>0</v>
      </c>
      <c r="D1185" t="s">
        <v>13287</v>
      </c>
      <c r="E1185">
        <v>0</v>
      </c>
      <c r="F1185" s="17">
        <v>11001</v>
      </c>
      <c r="G1185">
        <v>7985000</v>
      </c>
      <c r="H1185">
        <v>4329</v>
      </c>
    </row>
    <row r="1186" spans="1:8" ht="15" customHeight="1" x14ac:dyDescent="0.25">
      <c r="A1186" t="s">
        <v>3430</v>
      </c>
      <c r="B1186" t="s">
        <v>7480</v>
      </c>
      <c r="C1186" t="s">
        <v>11155</v>
      </c>
      <c r="D1186" t="s">
        <v>13287</v>
      </c>
      <c r="E1186" t="str">
        <f>+VLOOKUP(A1186,[1]PFE4!$A$7:$F$5208,6,0)</f>
        <v>CARRERA 50 102 A-34</v>
      </c>
      <c r="F1186" s="17">
        <f>+VLOOKUP(A1186,[1]PFE4!$A$7:$G$5208,7,0)</f>
        <v>11001</v>
      </c>
      <c r="G1186">
        <v>7985747</v>
      </c>
      <c r="H1186">
        <v>4329</v>
      </c>
    </row>
    <row r="1187" spans="1:8" ht="15" customHeight="1" x14ac:dyDescent="0.25">
      <c r="A1187" t="s">
        <v>3431</v>
      </c>
      <c r="B1187" t="s">
        <v>7481</v>
      </c>
      <c r="C1187" t="s">
        <v>11156</v>
      </c>
      <c r="D1187" t="s">
        <v>13287</v>
      </c>
      <c r="E1187" t="str">
        <f>+VLOOKUP(A1187,[1]PFE4!$A$7:$F$5208,6,0)</f>
        <v>CALLE 42  16  126</v>
      </c>
      <c r="F1187" s="17">
        <f>+VLOOKUP(A1187,[1]PFE4!$A$7:$G$5208,7,0)</f>
        <v>11001</v>
      </c>
      <c r="G1187">
        <v>7987752</v>
      </c>
      <c r="H1187">
        <v>4329</v>
      </c>
    </row>
    <row r="1188" spans="1:8" ht="15" customHeight="1" x14ac:dyDescent="0.25">
      <c r="A1188" t="s">
        <v>3432</v>
      </c>
      <c r="B1188" t="s">
        <v>7482</v>
      </c>
      <c r="C1188">
        <v>3219664011</v>
      </c>
      <c r="D1188" t="s">
        <v>13287</v>
      </c>
      <c r="E1188" t="str">
        <f>+VLOOKUP(A1188,[1]PFE4!$A$7:$F$5208,6,0)</f>
        <v>CARRERA 19  26 NORTE  49</v>
      </c>
      <c r="F1188" s="17">
        <f>+VLOOKUP(A1188,[1]PFE4!$A$7:$G$5208,7,0)</f>
        <v>11001</v>
      </c>
      <c r="G1188">
        <v>7988830</v>
      </c>
      <c r="H1188">
        <v>4329</v>
      </c>
    </row>
    <row r="1189" spans="1:8" ht="15" customHeight="1" x14ac:dyDescent="0.25">
      <c r="A1189" t="s">
        <v>3433</v>
      </c>
      <c r="B1189" t="s">
        <v>7483</v>
      </c>
      <c r="C1189" t="s">
        <v>11157</v>
      </c>
      <c r="D1189" t="s">
        <v>13287</v>
      </c>
      <c r="E1189" t="str">
        <f>+VLOOKUP(A1189,[1]PFE4!$A$7:$F$5208,6,0)</f>
        <v>CARRERA 28  11 A  27</v>
      </c>
      <c r="F1189" s="17">
        <f>+VLOOKUP(A1189,[1]PFE4!$A$7:$G$5208,7,0)</f>
        <v>68001</v>
      </c>
      <c r="G1189">
        <v>7995796</v>
      </c>
      <c r="H1189">
        <v>4329</v>
      </c>
    </row>
    <row r="1190" spans="1:8" ht="15" customHeight="1" x14ac:dyDescent="0.25">
      <c r="A1190" t="s">
        <v>3434</v>
      </c>
      <c r="B1190" t="s">
        <v>7484</v>
      </c>
      <c r="C1190">
        <v>0</v>
      </c>
      <c r="D1190" t="s">
        <v>13287</v>
      </c>
      <c r="E1190">
        <v>0</v>
      </c>
      <c r="F1190" s="17">
        <v>11001</v>
      </c>
      <c r="G1190">
        <v>8001554</v>
      </c>
      <c r="H1190">
        <v>4329</v>
      </c>
    </row>
    <row r="1191" spans="1:8" ht="15" customHeight="1" x14ac:dyDescent="0.25">
      <c r="A1191" t="s">
        <v>3435</v>
      </c>
      <c r="B1191" t="s">
        <v>7485</v>
      </c>
      <c r="C1191" t="s">
        <v>10841</v>
      </c>
      <c r="D1191" t="s">
        <v>13287</v>
      </c>
      <c r="E1191" t="str">
        <f>+VLOOKUP(A1191,[1]PFE4!$A$7:$F$5208,6,0)</f>
        <v>CARRERA 19 A  120  32</v>
      </c>
      <c r="F1191" s="17">
        <f>+VLOOKUP(A1191,[1]PFE4!$A$7:$G$5208,7,0)</f>
        <v>11001</v>
      </c>
      <c r="G1191">
        <v>8019472</v>
      </c>
      <c r="H1191">
        <v>4329</v>
      </c>
    </row>
    <row r="1192" spans="1:8" ht="15" customHeight="1" x14ac:dyDescent="0.25">
      <c r="A1192" t="s">
        <v>3436</v>
      </c>
      <c r="B1192" t="s">
        <v>7486</v>
      </c>
      <c r="C1192" t="s">
        <v>11158</v>
      </c>
      <c r="D1192" t="s">
        <v>13287</v>
      </c>
      <c r="E1192" t="str">
        <f>+VLOOKUP(A1192,[1]PFE4!$A$7:$F$5208,6,0)</f>
        <v>CARRERA 18  85  70</v>
      </c>
      <c r="F1192" s="17">
        <f>+VLOOKUP(A1192,[1]PFE4!$A$7:$G$5208,7,0)</f>
        <v>11001</v>
      </c>
      <c r="G1192">
        <v>8020089</v>
      </c>
      <c r="H1192">
        <v>4329</v>
      </c>
    </row>
    <row r="1193" spans="1:8" ht="15" customHeight="1" x14ac:dyDescent="0.25">
      <c r="A1193" t="s">
        <v>3437</v>
      </c>
      <c r="B1193" t="s">
        <v>7487</v>
      </c>
      <c r="C1193" t="s">
        <v>11159</v>
      </c>
      <c r="D1193" t="s">
        <v>13287</v>
      </c>
      <c r="E1193" t="str">
        <f>+VLOOKUP(A1193,[1]PFE4!$A$7:$F$5208,6,0)</f>
        <v>CARRERA 17  118  27</v>
      </c>
      <c r="F1193" s="17">
        <f>+VLOOKUP(A1193,[1]PFE4!$A$7:$G$5208,7,0)</f>
        <v>11001</v>
      </c>
      <c r="G1193">
        <v>8025199</v>
      </c>
      <c r="H1193">
        <v>4329</v>
      </c>
    </row>
    <row r="1194" spans="1:8" ht="15" customHeight="1" x14ac:dyDescent="0.25">
      <c r="A1194" t="s">
        <v>3438</v>
      </c>
      <c r="B1194" t="s">
        <v>7488</v>
      </c>
      <c r="C1194" t="s">
        <v>11160</v>
      </c>
      <c r="D1194" t="s">
        <v>13287</v>
      </c>
      <c r="E1194" t="str">
        <f>+VLOOKUP(A1194,[1]PFE4!$A$7:$F$5208,6,0)</f>
        <v>CALLE 104  17  45</v>
      </c>
      <c r="F1194" s="17">
        <f>+VLOOKUP(A1194,[1]PFE4!$A$7:$G$5208,7,0)</f>
        <v>11001</v>
      </c>
      <c r="G1194">
        <v>8025840</v>
      </c>
      <c r="H1194">
        <v>4329</v>
      </c>
    </row>
    <row r="1195" spans="1:8" ht="15" customHeight="1" x14ac:dyDescent="0.25">
      <c r="A1195" t="s">
        <v>3439</v>
      </c>
      <c r="B1195" t="s">
        <v>7489</v>
      </c>
      <c r="C1195" t="s">
        <v>11161</v>
      </c>
      <c r="D1195" t="s">
        <v>13287</v>
      </c>
      <c r="E1195" t="str">
        <f>+VLOOKUP(A1195,[1]PFE4!$A$7:$F$5208,6,0)</f>
        <v>CARRERA 14 A  127  42</v>
      </c>
      <c r="F1195" s="17">
        <f>+VLOOKUP(A1195,[1]PFE4!$A$7:$G$5208,7,0)</f>
        <v>11001</v>
      </c>
      <c r="G1195">
        <v>8028347</v>
      </c>
      <c r="H1195">
        <v>4329</v>
      </c>
    </row>
    <row r="1196" spans="1:8" ht="15" customHeight="1" x14ac:dyDescent="0.25">
      <c r="A1196" t="s">
        <v>3440</v>
      </c>
      <c r="B1196" t="s">
        <v>7490</v>
      </c>
      <c r="C1196" t="s">
        <v>11162</v>
      </c>
      <c r="D1196" t="s">
        <v>13287</v>
      </c>
      <c r="E1196" t="str">
        <f>+VLOOKUP(A1196,[1]PFE4!$A$7:$F$5208,6,0)</f>
        <v>CALLE 31  31  24</v>
      </c>
      <c r="F1196" s="17">
        <f>+VLOOKUP(A1196,[1]PFE4!$A$7:$G$5208,7,0)</f>
        <v>68001</v>
      </c>
      <c r="G1196">
        <v>8031036</v>
      </c>
      <c r="H1196">
        <v>4329</v>
      </c>
    </row>
    <row r="1197" spans="1:8" ht="15" customHeight="1" x14ac:dyDescent="0.25">
      <c r="A1197" t="s">
        <v>3441</v>
      </c>
      <c r="B1197" t="s">
        <v>7491</v>
      </c>
      <c r="C1197">
        <v>0</v>
      </c>
      <c r="D1197" t="s">
        <v>13287</v>
      </c>
      <c r="E1197">
        <v>0</v>
      </c>
      <c r="F1197" s="17">
        <v>11001</v>
      </c>
      <c r="G1197">
        <v>8033600</v>
      </c>
      <c r="H1197">
        <v>4329</v>
      </c>
    </row>
    <row r="1198" spans="1:8" ht="15" customHeight="1" x14ac:dyDescent="0.25">
      <c r="A1198" t="s">
        <v>3442</v>
      </c>
      <c r="B1198" t="s">
        <v>7492</v>
      </c>
      <c r="C1198">
        <v>0</v>
      </c>
      <c r="D1198" t="s">
        <v>13287</v>
      </c>
      <c r="E1198">
        <v>0</v>
      </c>
      <c r="F1198" s="17">
        <v>11001</v>
      </c>
      <c r="G1198">
        <v>8045928</v>
      </c>
      <c r="H1198">
        <v>4329</v>
      </c>
    </row>
    <row r="1199" spans="1:8" ht="15" customHeight="1" x14ac:dyDescent="0.25">
      <c r="A1199" t="s">
        <v>3443</v>
      </c>
      <c r="B1199" t="s">
        <v>7493</v>
      </c>
      <c r="C1199" t="s">
        <v>11163</v>
      </c>
      <c r="D1199" t="s">
        <v>13287</v>
      </c>
      <c r="E1199" t="str">
        <f>+VLOOKUP(A1199,[1]PFE4!$A$7:$F$5208,6,0)</f>
        <v>CARRERA 10  96  79</v>
      </c>
      <c r="F1199" s="17">
        <f>+VLOOKUP(A1199,[1]PFE4!$A$7:$G$5208,7,0)</f>
        <v>11001</v>
      </c>
      <c r="G1199">
        <v>8047368</v>
      </c>
      <c r="H1199">
        <v>4329</v>
      </c>
    </row>
    <row r="1200" spans="1:8" ht="15" customHeight="1" x14ac:dyDescent="0.25">
      <c r="A1200" t="s">
        <v>3444</v>
      </c>
      <c r="B1200" t="s">
        <v>7494</v>
      </c>
      <c r="C1200" t="s">
        <v>11164</v>
      </c>
      <c r="D1200" t="s">
        <v>13287</v>
      </c>
      <c r="E1200" t="str">
        <f>+VLOOKUP(A1200,[1]PFE4!$A$7:$F$5208,6,0)</f>
        <v>CARRERA 18 A  106  16</v>
      </c>
      <c r="F1200" s="17">
        <f>+VLOOKUP(A1200,[1]PFE4!$A$7:$G$5208,7,0)</f>
        <v>11001</v>
      </c>
      <c r="G1200">
        <v>8050432</v>
      </c>
      <c r="H1200">
        <v>4329</v>
      </c>
    </row>
    <row r="1201" spans="1:8" ht="15" customHeight="1" x14ac:dyDescent="0.25">
      <c r="A1201" t="s">
        <v>3445</v>
      </c>
      <c r="B1201" t="s">
        <v>7495</v>
      </c>
      <c r="C1201" t="s">
        <v>11165</v>
      </c>
      <c r="D1201" t="s">
        <v>13287</v>
      </c>
      <c r="E1201" t="str">
        <f>+VLOOKUP(A1201,[1]PFE4!$A$7:$F$5208,6,0)</f>
        <v>CALLE 26A # 30 B - 36 BARRIO SAN PEDRO ALEJANDRINO</v>
      </c>
      <c r="F1201" s="17">
        <f>+VLOOKUP(A1201,[1]PFE4!$A$7:$G$5208,7,0)</f>
        <v>47001</v>
      </c>
      <c r="G1201">
        <v>8051212</v>
      </c>
      <c r="H1201">
        <v>4329</v>
      </c>
    </row>
    <row r="1202" spans="1:8" ht="15" customHeight="1" x14ac:dyDescent="0.25">
      <c r="A1202" t="s">
        <v>3446</v>
      </c>
      <c r="B1202" t="s">
        <v>7496</v>
      </c>
      <c r="C1202" t="s">
        <v>10450</v>
      </c>
      <c r="D1202" t="s">
        <v>13287</v>
      </c>
      <c r="E1202" t="str">
        <f>+VLOOKUP(A1202,[1]PFE4!$A$7:$F$5208,6,0)</f>
        <v>CALLE 142  15  08</v>
      </c>
      <c r="F1202" s="17">
        <f>+VLOOKUP(A1202,[1]PFE4!$A$7:$G$5208,7,0)</f>
        <v>11001</v>
      </c>
      <c r="G1202">
        <v>8052058</v>
      </c>
      <c r="H1202">
        <v>4329</v>
      </c>
    </row>
    <row r="1203" spans="1:8" ht="15" customHeight="1" x14ac:dyDescent="0.25">
      <c r="A1203" t="s">
        <v>3447</v>
      </c>
      <c r="B1203" t="s">
        <v>7497</v>
      </c>
      <c r="C1203" t="s">
        <v>11166</v>
      </c>
      <c r="D1203" t="s">
        <v>13287</v>
      </c>
      <c r="E1203" t="str">
        <f>+VLOOKUP(A1203,[1]PFE4!$A$7:$F$5208,6,0)</f>
        <v>CARRERA 22  100  44</v>
      </c>
      <c r="F1203" s="17">
        <f>+VLOOKUP(A1203,[1]PFE4!$A$7:$G$5208,7,0)</f>
        <v>11001</v>
      </c>
      <c r="G1203">
        <v>8054784</v>
      </c>
      <c r="H1203">
        <v>4329</v>
      </c>
    </row>
    <row r="1204" spans="1:8" ht="15" customHeight="1" x14ac:dyDescent="0.25">
      <c r="A1204" t="s">
        <v>3448</v>
      </c>
      <c r="B1204" t="s">
        <v>7498</v>
      </c>
      <c r="C1204" t="s">
        <v>11167</v>
      </c>
      <c r="D1204" t="s">
        <v>13287</v>
      </c>
      <c r="E1204" t="str">
        <f>+VLOOKUP(A1204,[1]PFE4!$A$7:$F$5208,6,0)</f>
        <v>CL 7 OESTE 3 120</v>
      </c>
      <c r="F1204" s="17">
        <f>+VLOOKUP(A1204,[1]PFE4!$A$7:$G$5208,7,0)</f>
        <v>76001</v>
      </c>
      <c r="G1204">
        <v>8056417</v>
      </c>
      <c r="H1204">
        <v>4329</v>
      </c>
    </row>
    <row r="1205" spans="1:8" ht="15" customHeight="1" x14ac:dyDescent="0.25">
      <c r="A1205" t="s">
        <v>3449</v>
      </c>
      <c r="B1205" t="s">
        <v>7499</v>
      </c>
      <c r="C1205" t="s">
        <v>11168</v>
      </c>
      <c r="D1205" t="s">
        <v>13287</v>
      </c>
      <c r="E1205" t="str">
        <f>+VLOOKUP(A1205,[1]PFE4!$A$7:$F$5208,6,0)</f>
        <v>CALLE 49  27 A  39</v>
      </c>
      <c r="F1205" s="17">
        <f>+VLOOKUP(A1205,[1]PFE4!$A$7:$G$5208,7,0)</f>
        <v>11001</v>
      </c>
      <c r="G1205">
        <v>8056418</v>
      </c>
      <c r="H1205">
        <v>4329</v>
      </c>
    </row>
    <row r="1206" spans="1:8" ht="15" customHeight="1" x14ac:dyDescent="0.25">
      <c r="A1206" t="s">
        <v>3450</v>
      </c>
      <c r="B1206" t="s">
        <v>7500</v>
      </c>
      <c r="C1206" t="s">
        <v>11169</v>
      </c>
      <c r="D1206" t="s">
        <v>13287</v>
      </c>
      <c r="E1206" t="str">
        <f>+VLOOKUP(A1206,[1]PFE4!$A$7:$F$5208,6,0)</f>
        <v>CALLE 106  54  32</v>
      </c>
      <c r="F1206" s="17">
        <f>+VLOOKUP(A1206,[1]PFE4!$A$7:$G$5208,7,0)</f>
        <v>11001</v>
      </c>
      <c r="G1206">
        <v>8057471</v>
      </c>
      <c r="H1206">
        <v>4329</v>
      </c>
    </row>
    <row r="1207" spans="1:8" ht="15" customHeight="1" x14ac:dyDescent="0.25">
      <c r="A1207" t="s">
        <v>3451</v>
      </c>
      <c r="B1207" t="s">
        <v>7501</v>
      </c>
      <c r="C1207" t="s">
        <v>11170</v>
      </c>
      <c r="D1207" t="s">
        <v>13287</v>
      </c>
      <c r="E1207" t="str">
        <f>+VLOOKUP(A1207,[1]PFE4!$A$7:$F$5208,6,0)</f>
        <v>CARRERA 39 A  44  77</v>
      </c>
      <c r="F1207" s="17">
        <f>+VLOOKUP(A1207,[1]PFE4!$A$7:$G$5208,7,0)</f>
        <v>68001</v>
      </c>
      <c r="G1207">
        <v>8066324</v>
      </c>
      <c r="H1207">
        <v>4329</v>
      </c>
    </row>
    <row r="1208" spans="1:8" ht="15" customHeight="1" x14ac:dyDescent="0.25">
      <c r="A1208" t="s">
        <v>3452</v>
      </c>
      <c r="B1208" t="s">
        <v>7502</v>
      </c>
      <c r="C1208" t="s">
        <v>11171</v>
      </c>
      <c r="D1208" t="s">
        <v>13287</v>
      </c>
      <c r="E1208" t="str">
        <f>+VLOOKUP(A1208,[1]PFE4!$A$7:$F$5208,6,0)</f>
        <v>CARRERA 12  9 N  07</v>
      </c>
      <c r="F1208" s="17">
        <f>+VLOOKUP(A1208,[1]PFE4!$A$7:$G$5208,7,0)</f>
        <v>63001</v>
      </c>
      <c r="G1208">
        <v>8067080</v>
      </c>
      <c r="H1208">
        <v>4329</v>
      </c>
    </row>
    <row r="1209" spans="1:8" ht="15" customHeight="1" x14ac:dyDescent="0.25">
      <c r="A1209" t="s">
        <v>3453</v>
      </c>
      <c r="B1209" t="s">
        <v>7503</v>
      </c>
      <c r="C1209" t="s">
        <v>11172</v>
      </c>
      <c r="D1209" t="s">
        <v>13287</v>
      </c>
      <c r="E1209" t="str">
        <f>+VLOOKUP(A1209,[1]PFE4!$A$7:$F$5208,6,0)</f>
        <v>CALLE 48  51  24</v>
      </c>
      <c r="F1209" s="17" t="str">
        <f>+VLOOKUP(A1209,[1]PFE4!$A$7:$G$5208,7,0)</f>
        <v>05001</v>
      </c>
      <c r="G1209">
        <v>8068644</v>
      </c>
      <c r="H1209">
        <v>4329</v>
      </c>
    </row>
    <row r="1210" spans="1:8" ht="15" customHeight="1" x14ac:dyDescent="0.25">
      <c r="A1210" t="s">
        <v>3454</v>
      </c>
      <c r="B1210" t="s">
        <v>7504</v>
      </c>
      <c r="C1210" t="s">
        <v>11173</v>
      </c>
      <c r="D1210" t="s">
        <v>13287</v>
      </c>
      <c r="E1210" t="str">
        <f>+VLOOKUP(A1210,[1]PFE4!$A$7:$F$5208,6,0)</f>
        <v>CALLE 8  22  25</v>
      </c>
      <c r="F1210" s="17">
        <f>+VLOOKUP(A1210,[1]PFE4!$A$7:$G$5208,7,0)</f>
        <v>85001</v>
      </c>
      <c r="G1210">
        <v>8072301</v>
      </c>
      <c r="H1210">
        <v>4329</v>
      </c>
    </row>
    <row r="1211" spans="1:8" ht="15" customHeight="1" x14ac:dyDescent="0.25">
      <c r="A1211" t="s">
        <v>3455</v>
      </c>
      <c r="B1211" t="s">
        <v>7505</v>
      </c>
      <c r="C1211" t="s">
        <v>11174</v>
      </c>
      <c r="D1211" t="s">
        <v>13287</v>
      </c>
      <c r="E1211" t="str">
        <f>+VLOOKUP(A1211,[1]PFE4!$A$7:$F$5208,6,0)</f>
        <v>CALLE 30  23  70</v>
      </c>
      <c r="F1211" s="17">
        <f>+VLOOKUP(A1211,[1]PFE4!$A$7:$G$5208,7,0)</f>
        <v>68001</v>
      </c>
      <c r="G1211">
        <v>8073642</v>
      </c>
      <c r="H1211">
        <v>4329</v>
      </c>
    </row>
    <row r="1212" spans="1:8" ht="15" customHeight="1" x14ac:dyDescent="0.25">
      <c r="A1212" t="s">
        <v>3456</v>
      </c>
      <c r="B1212" t="s">
        <v>7506</v>
      </c>
      <c r="C1212" t="s">
        <v>11175</v>
      </c>
      <c r="D1212" t="s">
        <v>13287</v>
      </c>
      <c r="E1212" t="str">
        <f>+VLOOKUP(A1212,[1]PFE4!$A$7:$F$5208,6,0)</f>
        <v>CR 73 C 74 83</v>
      </c>
      <c r="F1212" s="17" t="str">
        <f>+VLOOKUP(A1212,[1]PFE4!$A$7:$G$5208,7,0)</f>
        <v>05001</v>
      </c>
      <c r="G1212">
        <v>8076144</v>
      </c>
      <c r="H1212">
        <v>4329</v>
      </c>
    </row>
    <row r="1213" spans="1:8" ht="15" customHeight="1" x14ac:dyDescent="0.25">
      <c r="A1213" t="s">
        <v>3457</v>
      </c>
      <c r="B1213" t="s">
        <v>7507</v>
      </c>
      <c r="C1213" t="s">
        <v>11176</v>
      </c>
      <c r="D1213" t="s">
        <v>13287</v>
      </c>
      <c r="E1213" t="str">
        <f>+VLOOKUP(A1213,[1]PFE4!$A$7:$F$5208,6,0)</f>
        <v>CR 5 5 179</v>
      </c>
      <c r="F1213" s="17">
        <f>+VLOOKUP(A1213,[1]PFE4!$A$7:$G$5208,7,0)</f>
        <v>25126</v>
      </c>
      <c r="G1213">
        <v>8076320</v>
      </c>
      <c r="H1213">
        <v>4329</v>
      </c>
    </row>
    <row r="1214" spans="1:8" ht="15" customHeight="1" x14ac:dyDescent="0.25">
      <c r="A1214" t="s">
        <v>3458</v>
      </c>
      <c r="B1214" t="s">
        <v>7508</v>
      </c>
      <c r="C1214" t="s">
        <v>10511</v>
      </c>
      <c r="D1214" t="s">
        <v>13287</v>
      </c>
      <c r="E1214" t="str">
        <f>+VLOOKUP(A1214,[1]PFE4!$A$7:$F$5208,6,0)</f>
        <v>CARRERA 11  5  26</v>
      </c>
      <c r="F1214" s="17">
        <f>+VLOOKUP(A1214,[1]PFE4!$A$7:$G$5208,7,0)</f>
        <v>41001</v>
      </c>
      <c r="G1214">
        <v>8077352</v>
      </c>
      <c r="H1214">
        <v>4329</v>
      </c>
    </row>
    <row r="1215" spans="1:8" ht="15" customHeight="1" x14ac:dyDescent="0.25">
      <c r="A1215" t="s">
        <v>3459</v>
      </c>
      <c r="B1215" t="s">
        <v>7509</v>
      </c>
      <c r="C1215" t="s">
        <v>11177</v>
      </c>
      <c r="D1215" t="s">
        <v>13287</v>
      </c>
      <c r="E1215" t="str">
        <f>+VLOOKUP(A1215,[1]PFE4!$A$7:$F$5208,6,0)</f>
        <v>CARRERA 48 41-20 BARRIO SANTA ANA</v>
      </c>
      <c r="F1215" s="17" t="str">
        <f>+VLOOKUP(A1215,[1]PFE4!$A$7:$G$5208,7,0)</f>
        <v>05615</v>
      </c>
      <c r="G1215">
        <v>8081705</v>
      </c>
      <c r="H1215">
        <v>4329</v>
      </c>
    </row>
    <row r="1216" spans="1:8" ht="15" customHeight="1" x14ac:dyDescent="0.25">
      <c r="A1216" t="s">
        <v>3460</v>
      </c>
      <c r="B1216" t="s">
        <v>7510</v>
      </c>
      <c r="C1216" t="s">
        <v>11178</v>
      </c>
      <c r="D1216" t="s">
        <v>13287</v>
      </c>
      <c r="E1216" t="str">
        <f>+VLOOKUP(A1216,[1]PFE4!$A$7:$F$5208,6,0)</f>
        <v>CARRERA 16  112  39</v>
      </c>
      <c r="F1216" s="17">
        <f>+VLOOKUP(A1216,[1]PFE4!$A$7:$G$5208,7,0)</f>
        <v>11001</v>
      </c>
      <c r="G1216">
        <v>8088307</v>
      </c>
      <c r="H1216">
        <v>4329</v>
      </c>
    </row>
    <row r="1217" spans="1:8" ht="15" customHeight="1" x14ac:dyDescent="0.25">
      <c r="A1217" t="s">
        <v>3461</v>
      </c>
      <c r="B1217" t="s">
        <v>7511</v>
      </c>
      <c r="C1217" t="s">
        <v>11179</v>
      </c>
      <c r="D1217" t="s">
        <v>13287</v>
      </c>
      <c r="E1217" t="str">
        <f>+VLOOKUP(A1217,[1]PFE4!$A$7:$F$5208,6,0)</f>
        <v>CARRERA 42 B  26 A SUR  45</v>
      </c>
      <c r="F1217" s="17" t="str">
        <f>+VLOOKUP(A1217,[1]PFE4!$A$7:$G$5208,7,0)</f>
        <v>05266</v>
      </c>
      <c r="G1217">
        <v>8089100</v>
      </c>
      <c r="H1217">
        <v>4329</v>
      </c>
    </row>
    <row r="1218" spans="1:8" ht="15" customHeight="1" x14ac:dyDescent="0.25">
      <c r="A1218" t="s">
        <v>3462</v>
      </c>
      <c r="B1218" t="s">
        <v>7512</v>
      </c>
      <c r="C1218" t="s">
        <v>11180</v>
      </c>
      <c r="D1218" t="s">
        <v>13287</v>
      </c>
      <c r="E1218" t="str">
        <f>+VLOOKUP(A1218,[1]PFE4!$A$7:$F$5208,6,0)</f>
        <v>CARRERA 23  118  70</v>
      </c>
      <c r="F1218" s="17">
        <f>+VLOOKUP(A1218,[1]PFE4!$A$7:$G$5208,7,0)</f>
        <v>11001</v>
      </c>
      <c r="G1218">
        <v>8099240</v>
      </c>
      <c r="H1218">
        <v>4329</v>
      </c>
    </row>
    <row r="1219" spans="1:8" ht="15" customHeight="1" x14ac:dyDescent="0.25">
      <c r="A1219" t="s">
        <v>3463</v>
      </c>
      <c r="B1219" t="s">
        <v>7513</v>
      </c>
      <c r="C1219" t="s">
        <v>11181</v>
      </c>
      <c r="D1219" t="s">
        <v>13287</v>
      </c>
      <c r="E1219" t="str">
        <f>+VLOOKUP(A1219,[1]PFE4!$A$7:$F$5208,6,0)</f>
        <v>LA BOQUILLA SECTOR CIELO MAR CALLE 21 10-39</v>
      </c>
      <c r="F1219" s="17">
        <f>+VLOOKUP(A1219,[1]PFE4!$A$7:$G$5208,7,0)</f>
        <v>13001</v>
      </c>
      <c r="G1219">
        <v>8101304</v>
      </c>
      <c r="H1219">
        <v>4329</v>
      </c>
    </row>
    <row r="1220" spans="1:8" ht="15" customHeight="1" x14ac:dyDescent="0.25">
      <c r="A1220" t="s">
        <v>3464</v>
      </c>
      <c r="B1220" t="s">
        <v>7514</v>
      </c>
      <c r="C1220" t="s">
        <v>11182</v>
      </c>
      <c r="D1220" t="s">
        <v>13287</v>
      </c>
      <c r="E1220" t="str">
        <f>+VLOOKUP(A1220,[1]PFE4!$A$7:$F$5208,6,0)</f>
        <v>CARRERA 38  75 B SUR  115</v>
      </c>
      <c r="F1220" s="17" t="str">
        <f>+VLOOKUP(A1220,[1]PFE4!$A$7:$G$5208,7,0)</f>
        <v>05631</v>
      </c>
      <c r="G1220">
        <v>8102360</v>
      </c>
      <c r="H1220">
        <v>4329</v>
      </c>
    </row>
    <row r="1221" spans="1:8" ht="15" customHeight="1" x14ac:dyDescent="0.25">
      <c r="A1221" t="s">
        <v>3465</v>
      </c>
      <c r="B1221" t="s">
        <v>7515</v>
      </c>
      <c r="C1221" t="s">
        <v>11183</v>
      </c>
      <c r="D1221" t="s">
        <v>13287</v>
      </c>
      <c r="E1221" t="str">
        <f>+VLOOKUP(A1221,[1]PFE4!$A$7:$F$5208,6,0)</f>
        <v>CL 106 56 33</v>
      </c>
      <c r="F1221" s="17">
        <f>+VLOOKUP(A1221,[1]PFE4!$A$7:$G$5208,7,0)</f>
        <v>11001</v>
      </c>
      <c r="G1221">
        <v>8102666</v>
      </c>
      <c r="H1221">
        <v>4329</v>
      </c>
    </row>
    <row r="1222" spans="1:8" ht="15" customHeight="1" x14ac:dyDescent="0.25">
      <c r="A1222" t="s">
        <v>3466</v>
      </c>
      <c r="B1222" t="s">
        <v>7516</v>
      </c>
      <c r="C1222" t="s">
        <v>11184</v>
      </c>
      <c r="D1222" t="s">
        <v>13287</v>
      </c>
      <c r="E1222" t="str">
        <f>+VLOOKUP(A1222,[1]PFE4!$A$7:$F$5208,6,0)</f>
        <v>CALLE 15 2 06</v>
      </c>
      <c r="F1222" s="17">
        <f>+VLOOKUP(A1222,[1]PFE4!$A$7:$G$5208,7,0)</f>
        <v>76001</v>
      </c>
      <c r="G1222">
        <v>8105044</v>
      </c>
      <c r="H1222">
        <v>4329</v>
      </c>
    </row>
    <row r="1223" spans="1:8" ht="15" customHeight="1" x14ac:dyDescent="0.25">
      <c r="A1223" t="s">
        <v>3467</v>
      </c>
      <c r="B1223" t="s">
        <v>7517</v>
      </c>
      <c r="C1223" t="s">
        <v>11185</v>
      </c>
      <c r="D1223" t="s">
        <v>13287</v>
      </c>
      <c r="E1223" t="str">
        <f>+VLOOKUP(A1223,[1]PFE4!$A$7:$F$5208,6,0)</f>
        <v>CARRERA 18 A  103  35</v>
      </c>
      <c r="F1223" s="17">
        <f>+VLOOKUP(A1223,[1]PFE4!$A$7:$G$5208,7,0)</f>
        <v>11001</v>
      </c>
      <c r="G1223">
        <v>8108293</v>
      </c>
      <c r="H1223">
        <v>4329</v>
      </c>
    </row>
    <row r="1224" spans="1:8" ht="15" customHeight="1" x14ac:dyDescent="0.25">
      <c r="A1224" t="s">
        <v>3468</v>
      </c>
      <c r="B1224" t="s">
        <v>7518</v>
      </c>
      <c r="C1224" t="s">
        <v>11186</v>
      </c>
      <c r="D1224" t="s">
        <v>13287</v>
      </c>
      <c r="E1224" t="str">
        <f>+VLOOKUP(A1224,[1]PFE4!$A$7:$F$5208,6,0)</f>
        <v>CALLE 74 A  73  40</v>
      </c>
      <c r="F1224" s="17" t="str">
        <f>+VLOOKUP(A1224,[1]PFE4!$A$7:$G$5208,7,0)</f>
        <v>05001</v>
      </c>
      <c r="G1224">
        <v>8123652</v>
      </c>
      <c r="H1224">
        <v>4329</v>
      </c>
    </row>
    <row r="1225" spans="1:8" ht="15" customHeight="1" x14ac:dyDescent="0.25">
      <c r="A1225" t="s">
        <v>3469</v>
      </c>
      <c r="B1225" t="s">
        <v>7519</v>
      </c>
      <c r="C1225" t="s">
        <v>11187</v>
      </c>
      <c r="D1225" t="s">
        <v>13287</v>
      </c>
      <c r="E1225" t="str">
        <f>+VLOOKUP(A1225,[1]PFE4!$A$7:$F$5208,6,0)</f>
        <v>CARRERA 34  35  29</v>
      </c>
      <c r="F1225" s="17">
        <f>+VLOOKUP(A1225,[1]PFE4!$A$7:$G$5208,7,0)</f>
        <v>68001</v>
      </c>
      <c r="G1225">
        <v>8139852</v>
      </c>
      <c r="H1225">
        <v>4329</v>
      </c>
    </row>
    <row r="1226" spans="1:8" ht="15" customHeight="1" x14ac:dyDescent="0.25">
      <c r="A1226" t="s">
        <v>3470</v>
      </c>
      <c r="B1226" t="s">
        <v>7520</v>
      </c>
      <c r="C1226" t="s">
        <v>11188</v>
      </c>
      <c r="D1226" t="s">
        <v>13287</v>
      </c>
      <c r="E1226" t="str">
        <f>+VLOOKUP(A1226,[1]PFE4!$A$7:$F$5208,6,0)</f>
        <v>AVENIDA 3 F NORTE  55 N  48</v>
      </c>
      <c r="F1226" s="17">
        <f>+VLOOKUP(A1226,[1]PFE4!$A$7:$G$5208,7,0)</f>
        <v>11001</v>
      </c>
      <c r="G1226">
        <v>8141112</v>
      </c>
      <c r="H1226">
        <v>4329</v>
      </c>
    </row>
    <row r="1227" spans="1:8" ht="15" customHeight="1" x14ac:dyDescent="0.25">
      <c r="A1227" t="s">
        <v>3471</v>
      </c>
      <c r="B1227" t="s">
        <v>7521</v>
      </c>
      <c r="C1227" t="s">
        <v>11145</v>
      </c>
      <c r="D1227" t="s">
        <v>13287</v>
      </c>
      <c r="E1227" t="str">
        <f>+VLOOKUP(A1227,[1]PFE4!$A$7:$F$5208,6,0)</f>
        <v>CL 16 25 58 BRR SAN FRANCISCO</v>
      </c>
      <c r="F1227" s="17">
        <f>+VLOOKUP(A1227,[1]PFE4!$A$7:$G$5208,7,0)</f>
        <v>11001</v>
      </c>
      <c r="G1227">
        <v>8145771</v>
      </c>
      <c r="H1227">
        <v>4329</v>
      </c>
    </row>
    <row r="1228" spans="1:8" ht="15" customHeight="1" x14ac:dyDescent="0.25">
      <c r="A1228" t="s">
        <v>3472</v>
      </c>
      <c r="B1228" t="s">
        <v>7522</v>
      </c>
      <c r="C1228" t="s">
        <v>11189</v>
      </c>
      <c r="D1228" t="s">
        <v>13287</v>
      </c>
      <c r="E1228" t="str">
        <f>+VLOOKUP(A1228,[1]PFE4!$A$7:$F$5208,6,0)</f>
        <v>CARRERA 13  14  26</v>
      </c>
      <c r="F1228" s="17">
        <f>+VLOOKUP(A1228,[1]PFE4!$A$7:$G$5208,7,0)</f>
        <v>63001</v>
      </c>
      <c r="G1228">
        <v>8148950</v>
      </c>
      <c r="H1228">
        <v>4329</v>
      </c>
    </row>
    <row r="1229" spans="1:8" ht="15" customHeight="1" x14ac:dyDescent="0.25">
      <c r="A1229" t="s">
        <v>3473</v>
      </c>
      <c r="B1229" t="s">
        <v>7523</v>
      </c>
      <c r="C1229" t="s">
        <v>11190</v>
      </c>
      <c r="D1229" t="s">
        <v>13287</v>
      </c>
      <c r="E1229" t="str">
        <f>+VLOOKUP(A1229,[1]PFE4!$A$7:$F$5208,6,0)</f>
        <v>CALLE 120  20  57</v>
      </c>
      <c r="F1229" s="17">
        <f>+VLOOKUP(A1229,[1]PFE4!$A$7:$G$5208,7,0)</f>
        <v>11001</v>
      </c>
      <c r="G1229">
        <v>8150201</v>
      </c>
      <c r="H1229">
        <v>4329</v>
      </c>
    </row>
    <row r="1230" spans="1:8" ht="15" customHeight="1" x14ac:dyDescent="0.25">
      <c r="A1230" t="s">
        <v>3474</v>
      </c>
      <c r="B1230" t="s">
        <v>7524</v>
      </c>
      <c r="C1230" t="s">
        <v>11191</v>
      </c>
      <c r="D1230" t="s">
        <v>13287</v>
      </c>
      <c r="E1230" t="str">
        <f>+VLOOKUP(A1230,[1]PFE4!$A$7:$F$5208,6,0)</f>
        <v>CARRERA 24  30  51</v>
      </c>
      <c r="F1230" s="17">
        <f>+VLOOKUP(A1230,[1]PFE4!$A$7:$G$5208,7,0)</f>
        <v>68001</v>
      </c>
      <c r="G1230">
        <v>8154372</v>
      </c>
      <c r="H1230">
        <v>4329</v>
      </c>
    </row>
    <row r="1231" spans="1:8" ht="15" customHeight="1" x14ac:dyDescent="0.25">
      <c r="A1231" t="s">
        <v>3475</v>
      </c>
      <c r="B1231" t="s">
        <v>7525</v>
      </c>
      <c r="C1231" t="s">
        <v>10370</v>
      </c>
      <c r="D1231" t="s">
        <v>13287</v>
      </c>
      <c r="E1231" t="str">
        <f>+VLOOKUP(A1231,[1]PFE4!$A$7:$F$5208,6,0)</f>
        <v>Carrera 17 59-51 interior 2 chimita palenque - Giron santander</v>
      </c>
      <c r="F1231" s="17">
        <f>+VLOOKUP(A1231,[1]PFE4!$A$7:$G$5208,7,0)</f>
        <v>68307</v>
      </c>
      <c r="G1231">
        <v>8155600</v>
      </c>
      <c r="H1231">
        <v>4329</v>
      </c>
    </row>
    <row r="1232" spans="1:8" ht="15" customHeight="1" x14ac:dyDescent="0.25">
      <c r="A1232" t="s">
        <v>3476</v>
      </c>
      <c r="B1232" t="s">
        <v>7526</v>
      </c>
      <c r="C1232" t="s">
        <v>11192</v>
      </c>
      <c r="D1232" t="s">
        <v>13287</v>
      </c>
      <c r="E1232" t="str">
        <f>+VLOOKUP(A1232,[1]PFE4!$A$7:$F$5208,6,0)</f>
        <v>CARRERA 41  46  44</v>
      </c>
      <c r="F1232" s="17">
        <f>+VLOOKUP(A1232,[1]PFE4!$A$7:$G$5208,7,0)</f>
        <v>68001</v>
      </c>
      <c r="G1232">
        <v>8156387</v>
      </c>
      <c r="H1232">
        <v>4329</v>
      </c>
    </row>
    <row r="1233" spans="1:8" ht="15" customHeight="1" x14ac:dyDescent="0.25">
      <c r="A1233" t="s">
        <v>3477</v>
      </c>
      <c r="B1233" t="s">
        <v>7527</v>
      </c>
      <c r="C1233">
        <v>3219664011</v>
      </c>
      <c r="D1233" t="s">
        <v>13287</v>
      </c>
      <c r="E1233" t="str">
        <f>+VLOOKUP(A1233,[1]PFE4!$A$7:$F$5208,6,0)</f>
        <v>CARRERA 23 No. 73 - 27</v>
      </c>
      <c r="F1233" s="17">
        <f>+VLOOKUP(A1233,[1]PFE4!$A$7:$G$5208,7,0)</f>
        <v>11001</v>
      </c>
      <c r="G1233">
        <v>8162917</v>
      </c>
      <c r="H1233">
        <v>4329</v>
      </c>
    </row>
    <row r="1234" spans="1:8" ht="15" customHeight="1" x14ac:dyDescent="0.25">
      <c r="A1234" t="s">
        <v>3478</v>
      </c>
      <c r="B1234" t="s">
        <v>7528</v>
      </c>
      <c r="C1234" t="s">
        <v>11193</v>
      </c>
      <c r="D1234" t="s">
        <v>13287</v>
      </c>
      <c r="E1234" t="str">
        <f>+VLOOKUP(A1234,[1]PFE4!$A$7:$F$5208,6,0)</f>
        <v>CALLE 115  59  40</v>
      </c>
      <c r="F1234" s="17">
        <f>+VLOOKUP(A1234,[1]PFE4!$A$7:$G$5208,7,0)</f>
        <v>11001</v>
      </c>
      <c r="G1234">
        <v>8183354</v>
      </c>
      <c r="H1234">
        <v>4329</v>
      </c>
    </row>
    <row r="1235" spans="1:8" ht="15" customHeight="1" x14ac:dyDescent="0.25">
      <c r="A1235" t="s">
        <v>3479</v>
      </c>
      <c r="B1235" t="s">
        <v>7529</v>
      </c>
      <c r="C1235" t="s">
        <v>11194</v>
      </c>
      <c r="D1235" t="s">
        <v>13287</v>
      </c>
      <c r="E1235" t="str">
        <f>+VLOOKUP(A1235,[1]PFE4!$A$7:$F$5208,6,0)</f>
        <v>CARRERA 54 D  135  95</v>
      </c>
      <c r="F1235" s="17">
        <f>+VLOOKUP(A1235,[1]PFE4!$A$7:$G$5208,7,0)</f>
        <v>11001</v>
      </c>
      <c r="G1235">
        <v>8184866</v>
      </c>
      <c r="H1235">
        <v>4329</v>
      </c>
    </row>
    <row r="1236" spans="1:8" ht="15" customHeight="1" x14ac:dyDescent="0.25">
      <c r="A1236" t="s">
        <v>3480</v>
      </c>
      <c r="B1236" t="s">
        <v>7530</v>
      </c>
      <c r="C1236" t="s">
        <v>11195</v>
      </c>
      <c r="D1236" t="s">
        <v>13287</v>
      </c>
      <c r="E1236" t="str">
        <f>+VLOOKUP(A1236,[1]PFE4!$A$7:$F$5208,6,0)</f>
        <v>CL 151 54 A 41 AP 501 TO 1 ED OLMOS DE LA COLINA</v>
      </c>
      <c r="F1236" s="17">
        <f>+VLOOKUP(A1236,[1]PFE4!$A$7:$G$5208,7,0)</f>
        <v>11001</v>
      </c>
      <c r="G1236">
        <v>8189762</v>
      </c>
      <c r="H1236">
        <v>4329</v>
      </c>
    </row>
    <row r="1237" spans="1:8" ht="15" customHeight="1" x14ac:dyDescent="0.25">
      <c r="A1237" t="s">
        <v>3481</v>
      </c>
      <c r="B1237" t="s">
        <v>7531</v>
      </c>
      <c r="C1237" t="s">
        <v>11196</v>
      </c>
      <c r="D1237" t="s">
        <v>13287</v>
      </c>
      <c r="E1237" t="str">
        <f>+VLOOKUP(A1237,[1]PFE4!$A$7:$F$5208,6,0)</f>
        <v>CALLE 35 A  66 A  76</v>
      </c>
      <c r="F1237" s="17" t="str">
        <f>+VLOOKUP(A1237,[1]PFE4!$A$7:$G$5208,7,0)</f>
        <v>05001</v>
      </c>
      <c r="G1237">
        <v>8204872</v>
      </c>
      <c r="H1237">
        <v>4329</v>
      </c>
    </row>
    <row r="1238" spans="1:8" ht="15" customHeight="1" x14ac:dyDescent="0.25">
      <c r="A1238" t="s">
        <v>3482</v>
      </c>
      <c r="B1238" t="s">
        <v>7532</v>
      </c>
      <c r="C1238" t="s">
        <v>11197</v>
      </c>
      <c r="D1238" t="s">
        <v>13287</v>
      </c>
      <c r="E1238" t="str">
        <f>+VLOOKUP(A1238,[1]PFE4!$A$7:$F$5208,6,0)</f>
        <v>CL 144  23 06</v>
      </c>
      <c r="F1238" s="17">
        <f>+VLOOKUP(A1238,[1]PFE4!$A$7:$G$5208,7,0)</f>
        <v>11001</v>
      </c>
      <c r="G1238">
        <v>8204895</v>
      </c>
      <c r="H1238">
        <v>4329</v>
      </c>
    </row>
    <row r="1239" spans="1:8" ht="15" customHeight="1" x14ac:dyDescent="0.25">
      <c r="A1239" t="s">
        <v>3483</v>
      </c>
      <c r="B1239" t="s">
        <v>7533</v>
      </c>
      <c r="C1239" t="s">
        <v>11198</v>
      </c>
      <c r="D1239" t="s">
        <v>13287</v>
      </c>
      <c r="E1239" t="str">
        <f>+VLOOKUP(A1239,[1]PFE4!$A$7:$F$5208,6,0)</f>
        <v>CR 2 A 72 03</v>
      </c>
      <c r="F1239" s="17">
        <f>+VLOOKUP(A1239,[1]PFE4!$A$7:$G$5208,7,0)</f>
        <v>11001</v>
      </c>
      <c r="G1239">
        <v>8208276</v>
      </c>
      <c r="H1239">
        <v>4329</v>
      </c>
    </row>
    <row r="1240" spans="1:8" ht="15" customHeight="1" x14ac:dyDescent="0.25">
      <c r="A1240" t="s">
        <v>3484</v>
      </c>
      <c r="B1240" t="s">
        <v>7534</v>
      </c>
      <c r="C1240" t="s">
        <v>11199</v>
      </c>
      <c r="D1240" t="s">
        <v>13287</v>
      </c>
      <c r="E1240" t="str">
        <f>+VLOOKUP(A1240,[1]PFE4!$A$7:$F$5208,6,0)</f>
        <v>CALLE 42 8 46 BRR ALFONSO LOPEZ</v>
      </c>
      <c r="F1240" s="17">
        <f>+VLOOKUP(A1240,[1]PFE4!$A$7:$G$5208,7,0)</f>
        <v>68001</v>
      </c>
      <c r="G1240">
        <v>8212885</v>
      </c>
      <c r="H1240">
        <v>4329</v>
      </c>
    </row>
    <row r="1241" spans="1:8" ht="15" customHeight="1" x14ac:dyDescent="0.25">
      <c r="A1241" t="s">
        <v>3485</v>
      </c>
      <c r="B1241" t="s">
        <v>7535</v>
      </c>
      <c r="C1241" t="s">
        <v>11200</v>
      </c>
      <c r="D1241" t="s">
        <v>13287</v>
      </c>
      <c r="E1241" t="str">
        <f>+VLOOKUP(A1241,[1]PFE4!$A$7:$F$5208,6,0)</f>
        <v>CARRERA 8  11 N  09</v>
      </c>
      <c r="F1241" s="17">
        <f>+VLOOKUP(A1241,[1]PFE4!$A$7:$G$5208,7,0)</f>
        <v>19001</v>
      </c>
      <c r="G1241">
        <v>8213562</v>
      </c>
      <c r="H1241">
        <v>4329</v>
      </c>
    </row>
    <row r="1242" spans="1:8" ht="15" customHeight="1" x14ac:dyDescent="0.25">
      <c r="A1242" t="s">
        <v>3486</v>
      </c>
      <c r="B1242" t="s">
        <v>7536</v>
      </c>
      <c r="C1242" t="s">
        <v>11201</v>
      </c>
      <c r="D1242" t="s">
        <v>13287</v>
      </c>
      <c r="E1242" t="str">
        <f>+VLOOKUP(A1242,[1]PFE4!$A$7:$F$5208,6,0)</f>
        <v>CARRERA 5  26  27</v>
      </c>
      <c r="F1242" s="17">
        <f>+VLOOKUP(A1242,[1]PFE4!$A$7:$G$5208,7,0)</f>
        <v>73001</v>
      </c>
      <c r="G1242">
        <v>8219990</v>
      </c>
      <c r="H1242">
        <v>4329</v>
      </c>
    </row>
    <row r="1243" spans="1:8" ht="15" customHeight="1" x14ac:dyDescent="0.25">
      <c r="A1243" t="s">
        <v>3487</v>
      </c>
      <c r="B1243" t="s">
        <v>7537</v>
      </c>
      <c r="C1243">
        <v>0</v>
      </c>
      <c r="D1243" t="s">
        <v>13287</v>
      </c>
      <c r="E1243">
        <v>0</v>
      </c>
      <c r="F1243" s="17">
        <v>11001</v>
      </c>
      <c r="G1243">
        <v>8222850</v>
      </c>
      <c r="H1243">
        <v>4329</v>
      </c>
    </row>
    <row r="1244" spans="1:8" ht="15" customHeight="1" x14ac:dyDescent="0.25">
      <c r="A1244" t="s">
        <v>3488</v>
      </c>
      <c r="B1244" t="s">
        <v>7538</v>
      </c>
      <c r="C1244" t="s">
        <v>11202</v>
      </c>
      <c r="D1244" t="s">
        <v>13287</v>
      </c>
      <c r="E1244" t="str">
        <f>+VLOOKUP(A1244,[1]PFE4!$A$7:$F$5208,6,0)</f>
        <v>CARRERA 24  47  16</v>
      </c>
      <c r="F1244" s="17">
        <f>+VLOOKUP(A1244,[1]PFE4!$A$7:$G$5208,7,0)</f>
        <v>11001</v>
      </c>
      <c r="G1244">
        <v>8223282</v>
      </c>
      <c r="H1244">
        <v>4329</v>
      </c>
    </row>
    <row r="1245" spans="1:8" ht="15" customHeight="1" x14ac:dyDescent="0.25">
      <c r="A1245" t="s">
        <v>3489</v>
      </c>
      <c r="B1245" t="s">
        <v>7539</v>
      </c>
      <c r="C1245" t="s">
        <v>11203</v>
      </c>
      <c r="D1245" t="s">
        <v>13287</v>
      </c>
      <c r="E1245" t="str">
        <f>+VLOOKUP(A1245,[1]PFE4!$A$7:$F$5208,6,0)</f>
        <v>CARRERA 19  11  98</v>
      </c>
      <c r="F1245" s="17">
        <f>+VLOOKUP(A1245,[1]PFE4!$A$7:$G$5208,7,0)</f>
        <v>66001</v>
      </c>
      <c r="G1245">
        <v>8236262</v>
      </c>
      <c r="H1245">
        <v>4329</v>
      </c>
    </row>
    <row r="1246" spans="1:8" ht="15" customHeight="1" x14ac:dyDescent="0.25">
      <c r="A1246" t="s">
        <v>3490</v>
      </c>
      <c r="B1246" t="s">
        <v>7540</v>
      </c>
      <c r="C1246" t="s">
        <v>11204</v>
      </c>
      <c r="D1246" t="s">
        <v>13287</v>
      </c>
      <c r="E1246" t="str">
        <f>+VLOOKUP(A1246,[1]PFE4!$A$7:$F$5208,6,0)</f>
        <v>CARRERA 20  77  19</v>
      </c>
      <c r="F1246" s="17">
        <f>+VLOOKUP(A1246,[1]PFE4!$A$7:$G$5208,7,0)</f>
        <v>11001</v>
      </c>
      <c r="G1246">
        <v>8271383</v>
      </c>
      <c r="H1246">
        <v>4329</v>
      </c>
    </row>
    <row r="1247" spans="1:8" ht="15" customHeight="1" x14ac:dyDescent="0.25">
      <c r="A1247" t="s">
        <v>3491</v>
      </c>
      <c r="B1247" t="s">
        <v>7541</v>
      </c>
      <c r="C1247" t="s">
        <v>11205</v>
      </c>
      <c r="D1247" t="s">
        <v>13287</v>
      </c>
      <c r="E1247" t="str">
        <f>+VLOOKUP(A1247,[1]PFE4!$A$7:$F$5208,6,0)</f>
        <v>CARRERA 44  22 SUR  61</v>
      </c>
      <c r="F1247" s="17" t="str">
        <f>+VLOOKUP(A1247,[1]PFE4!$A$7:$G$5208,7,0)</f>
        <v>05266</v>
      </c>
      <c r="G1247">
        <v>8279560</v>
      </c>
      <c r="H1247">
        <v>4329</v>
      </c>
    </row>
    <row r="1248" spans="1:8" ht="15" customHeight="1" x14ac:dyDescent="0.25">
      <c r="A1248" t="s">
        <v>3492</v>
      </c>
      <c r="B1248" t="s">
        <v>7542</v>
      </c>
      <c r="C1248" t="s">
        <v>10958</v>
      </c>
      <c r="D1248" t="s">
        <v>13287</v>
      </c>
      <c r="E1248" t="str">
        <f>+VLOOKUP(A1248,[1]PFE4!$A$7:$F$5208,6,0)</f>
        <v>CARRERA 34  78  16</v>
      </c>
      <c r="F1248" s="17" t="str">
        <f>+VLOOKUP(A1248,[1]PFE4!$A$7:$G$5208,7,0)</f>
        <v>05001</v>
      </c>
      <c r="G1248">
        <v>8279572</v>
      </c>
      <c r="H1248">
        <v>4329</v>
      </c>
    </row>
    <row r="1249" spans="1:8" ht="15" customHeight="1" x14ac:dyDescent="0.25">
      <c r="A1249" t="s">
        <v>3493</v>
      </c>
      <c r="B1249" t="s">
        <v>7543</v>
      </c>
      <c r="C1249">
        <v>3219664011</v>
      </c>
      <c r="D1249" t="s">
        <v>13287</v>
      </c>
      <c r="E1249" t="str">
        <f>+VLOOKUP(A1249,[1]PFE4!$A$7:$F$5208,6,0)</f>
        <v>AVENIDA BOLIVAR  1  189</v>
      </c>
      <c r="F1249" s="17">
        <f>+VLOOKUP(A1249,[1]PFE4!$A$7:$G$5208,7,0)</f>
        <v>63001</v>
      </c>
      <c r="G1249">
        <v>8302746</v>
      </c>
      <c r="H1249">
        <v>4329</v>
      </c>
    </row>
    <row r="1250" spans="1:8" ht="15" customHeight="1" x14ac:dyDescent="0.25">
      <c r="A1250" t="s">
        <v>3494</v>
      </c>
      <c r="B1250" t="s">
        <v>7544</v>
      </c>
      <c r="C1250" t="s">
        <v>11206</v>
      </c>
      <c r="D1250" t="s">
        <v>13287</v>
      </c>
      <c r="E1250" t="str">
        <f>+VLOOKUP(A1250,[1]PFE4!$A$7:$F$5208,6,0)</f>
        <v>CARRERA 45  23 SUR  15</v>
      </c>
      <c r="F1250" s="17" t="str">
        <f>+VLOOKUP(A1250,[1]PFE4!$A$7:$G$5208,7,0)</f>
        <v>05266</v>
      </c>
      <c r="G1250">
        <v>8303452</v>
      </c>
      <c r="H1250">
        <v>4329</v>
      </c>
    </row>
    <row r="1251" spans="1:8" ht="15" customHeight="1" x14ac:dyDescent="0.25">
      <c r="A1251" t="s">
        <v>3495</v>
      </c>
      <c r="B1251" t="s">
        <v>7545</v>
      </c>
      <c r="C1251" t="s">
        <v>11207</v>
      </c>
      <c r="D1251" t="s">
        <v>13287</v>
      </c>
      <c r="E1251" t="str">
        <f>+VLOOKUP(A1251,[1]PFE4!$A$7:$F$5208,6,0)</f>
        <v>CR 9 74 99</v>
      </c>
      <c r="F1251" s="17">
        <f>+VLOOKUP(A1251,[1]PFE4!$A$7:$G$5208,7,0)</f>
        <v>11001</v>
      </c>
      <c r="G1251">
        <v>8306329</v>
      </c>
      <c r="H1251">
        <v>4329</v>
      </c>
    </row>
    <row r="1252" spans="1:8" ht="15" customHeight="1" x14ac:dyDescent="0.25">
      <c r="A1252" t="s">
        <v>3496</v>
      </c>
      <c r="B1252" t="s">
        <v>7546</v>
      </c>
      <c r="C1252" t="s">
        <v>11208</v>
      </c>
      <c r="D1252" t="s">
        <v>13287</v>
      </c>
      <c r="E1252" t="str">
        <f>+VLOOKUP(A1252,[1]PFE4!$A$7:$F$5208,6,0)</f>
        <v>CR 21 A 15 20 SEC LOS ALMENDROS ARBOLEDA NEXT DEL AREA URBANA DEL MUNICIPIO DE DOSQUEBRADAS</v>
      </c>
      <c r="F1252" s="17">
        <f>+VLOOKUP(A1252,[1]PFE4!$A$7:$G$5208,7,0)</f>
        <v>66170</v>
      </c>
      <c r="G1252">
        <v>8309292</v>
      </c>
      <c r="H1252">
        <v>4329</v>
      </c>
    </row>
    <row r="1253" spans="1:8" ht="15" customHeight="1" x14ac:dyDescent="0.25">
      <c r="A1253" t="s">
        <v>3497</v>
      </c>
      <c r="B1253" t="s">
        <v>7547</v>
      </c>
      <c r="C1253" t="s">
        <v>10958</v>
      </c>
      <c r="D1253" t="s">
        <v>13287</v>
      </c>
      <c r="E1253" t="str">
        <f>+VLOOKUP(A1253,[1]PFE4!$A$7:$F$5208,6,0)</f>
        <v>CALLE 72  38  14</v>
      </c>
      <c r="F1253" s="17" t="str">
        <f>+VLOOKUP(A1253,[1]PFE4!$A$7:$G$5208,7,0)</f>
        <v>05001</v>
      </c>
      <c r="G1253">
        <v>8312351</v>
      </c>
      <c r="H1253">
        <v>4329</v>
      </c>
    </row>
    <row r="1254" spans="1:8" ht="15" customHeight="1" x14ac:dyDescent="0.25">
      <c r="A1254" t="s">
        <v>3498</v>
      </c>
      <c r="B1254" t="s">
        <v>7548</v>
      </c>
      <c r="C1254" t="s">
        <v>11209</v>
      </c>
      <c r="D1254" t="s">
        <v>13287</v>
      </c>
      <c r="E1254" t="str">
        <f>+VLOOKUP(A1254,[1]PFE4!$A$7:$F$5208,6,0)</f>
        <v>CALLE 107  19 A  44</v>
      </c>
      <c r="F1254" s="17">
        <f>+VLOOKUP(A1254,[1]PFE4!$A$7:$G$5208,7,0)</f>
        <v>11001</v>
      </c>
      <c r="G1254">
        <v>8312640</v>
      </c>
      <c r="H1254">
        <v>4329</v>
      </c>
    </row>
    <row r="1255" spans="1:8" ht="15" customHeight="1" x14ac:dyDescent="0.25">
      <c r="A1255" t="s">
        <v>3499</v>
      </c>
      <c r="B1255" t="s">
        <v>7549</v>
      </c>
      <c r="C1255" t="s">
        <v>11210</v>
      </c>
      <c r="D1255" t="s">
        <v>13287</v>
      </c>
      <c r="E1255" t="str">
        <f>+VLOOKUP(A1255,[1]PFE4!$A$7:$F$5208,6,0)</f>
        <v>CARRERA 37 A  8 A  38</v>
      </c>
      <c r="F1255" s="17" t="str">
        <f>+VLOOKUP(A1255,[1]PFE4!$A$7:$G$5208,7,0)</f>
        <v>05001</v>
      </c>
      <c r="G1255">
        <v>8320290</v>
      </c>
      <c r="H1255">
        <v>4329</v>
      </c>
    </row>
    <row r="1256" spans="1:8" ht="15" customHeight="1" x14ac:dyDescent="0.25">
      <c r="A1256" t="s">
        <v>3500</v>
      </c>
      <c r="B1256" t="s">
        <v>7550</v>
      </c>
      <c r="C1256" t="s">
        <v>11211</v>
      </c>
      <c r="D1256" t="s">
        <v>13287</v>
      </c>
      <c r="E1256" t="str">
        <f>+VLOOKUP(A1256,[1]PFE4!$A$7:$F$5208,6,0)</f>
        <v>CARRERA 23  51  111</v>
      </c>
      <c r="F1256" s="17">
        <f>+VLOOKUP(A1256,[1]PFE4!$A$7:$G$5208,7,0)</f>
        <v>17001</v>
      </c>
      <c r="G1256">
        <v>8320660</v>
      </c>
      <c r="H1256">
        <v>4329</v>
      </c>
    </row>
    <row r="1257" spans="1:8" ht="15" customHeight="1" x14ac:dyDescent="0.25">
      <c r="A1257" t="s">
        <v>3501</v>
      </c>
      <c r="B1257" t="s">
        <v>7551</v>
      </c>
      <c r="C1257" t="s">
        <v>11212</v>
      </c>
      <c r="D1257" t="s">
        <v>13287</v>
      </c>
      <c r="E1257" t="str">
        <f>+VLOOKUP(A1257,[1]PFE4!$A$7:$F$5208,6,0)</f>
        <v>CARRERA 25  65  140</v>
      </c>
      <c r="F1257" s="17">
        <f>+VLOOKUP(A1257,[1]PFE4!$A$7:$G$5208,7,0)</f>
        <v>11001</v>
      </c>
      <c r="G1257">
        <v>8325859</v>
      </c>
      <c r="H1257">
        <v>4329</v>
      </c>
    </row>
    <row r="1258" spans="1:8" ht="15" customHeight="1" x14ac:dyDescent="0.25">
      <c r="A1258" t="s">
        <v>3502</v>
      </c>
      <c r="B1258" t="s">
        <v>7552</v>
      </c>
      <c r="C1258" t="s">
        <v>11140</v>
      </c>
      <c r="D1258" t="s">
        <v>13287</v>
      </c>
      <c r="E1258" t="str">
        <f>+VLOOKUP(A1258,[1]PFE4!$A$7:$F$5208,6,0)</f>
        <v>CALLE 101  16  16</v>
      </c>
      <c r="F1258" s="17">
        <f>+VLOOKUP(A1258,[1]PFE4!$A$7:$G$5208,7,0)</f>
        <v>11001</v>
      </c>
      <c r="G1258">
        <v>8337979</v>
      </c>
      <c r="H1258">
        <v>4329</v>
      </c>
    </row>
    <row r="1259" spans="1:8" ht="15" customHeight="1" x14ac:dyDescent="0.25">
      <c r="A1259" t="s">
        <v>3503</v>
      </c>
      <c r="B1259" t="s">
        <v>7553</v>
      </c>
      <c r="C1259" t="s">
        <v>11213</v>
      </c>
      <c r="D1259" t="s">
        <v>13287</v>
      </c>
      <c r="E1259" t="str">
        <f>+VLOOKUP(A1259,[1]PFE4!$A$7:$F$5208,6,0)</f>
        <v>AV 10 56 58 CONJ MUNN APARTAMENTOS - LOS CORRALES SEC LA FLORESTA</v>
      </c>
      <c r="F1259" s="17">
        <f>+VLOOKUP(A1259,[1]PFE4!$A$7:$G$5208,7,0)</f>
        <v>54405</v>
      </c>
      <c r="G1259">
        <v>8338203</v>
      </c>
      <c r="H1259">
        <v>4329</v>
      </c>
    </row>
    <row r="1260" spans="1:8" ht="15" customHeight="1" x14ac:dyDescent="0.25">
      <c r="A1260" t="s">
        <v>3504</v>
      </c>
      <c r="B1260" t="s">
        <v>7554</v>
      </c>
      <c r="C1260" t="s">
        <v>11214</v>
      </c>
      <c r="D1260" t="s">
        <v>13287</v>
      </c>
      <c r="E1260" t="str">
        <f>+VLOOKUP(A1260,[1]PFE4!$A$7:$F$5208,6,0)</f>
        <v>CALLE 95  16  37</v>
      </c>
      <c r="F1260" s="17">
        <f>+VLOOKUP(A1260,[1]PFE4!$A$7:$G$5208,7,0)</f>
        <v>11001</v>
      </c>
      <c r="G1260">
        <v>8342631</v>
      </c>
      <c r="H1260">
        <v>4329</v>
      </c>
    </row>
    <row r="1261" spans="1:8" ht="15" customHeight="1" x14ac:dyDescent="0.25">
      <c r="A1261" t="s">
        <v>3505</v>
      </c>
      <c r="B1261" t="s">
        <v>7555</v>
      </c>
      <c r="C1261" t="s">
        <v>11215</v>
      </c>
      <c r="D1261" t="s">
        <v>13287</v>
      </c>
      <c r="E1261" t="str">
        <f>+VLOOKUP(A1261,[1]PFE4!$A$7:$F$5208,6,0)</f>
        <v>CARRERA 44  85  163</v>
      </c>
      <c r="F1261" s="17" t="str">
        <f>+VLOOKUP(A1261,[1]PFE4!$A$7:$G$5208,7,0)</f>
        <v>08001</v>
      </c>
      <c r="G1261">
        <v>8344250</v>
      </c>
      <c r="H1261">
        <v>4329</v>
      </c>
    </row>
    <row r="1262" spans="1:8" ht="15" customHeight="1" x14ac:dyDescent="0.25">
      <c r="A1262" t="s">
        <v>3506</v>
      </c>
      <c r="B1262" t="s">
        <v>7556</v>
      </c>
      <c r="C1262" t="s">
        <v>11216</v>
      </c>
      <c r="D1262" t="s">
        <v>13287</v>
      </c>
      <c r="E1262" t="str">
        <f>+VLOOKUP(A1262,[1]PFE4!$A$7:$F$5208,6,0)</f>
        <v>CL 59 Y 61 CR 93 Y 95 BRR CIUDAD MELENDEZ</v>
      </c>
      <c r="F1262" s="17">
        <f>+VLOOKUP(A1262,[1]PFE4!$A$7:$G$5208,7,0)</f>
        <v>76001</v>
      </c>
      <c r="G1262">
        <v>8349845</v>
      </c>
      <c r="H1262">
        <v>4329</v>
      </c>
    </row>
    <row r="1263" spans="1:8" ht="15" customHeight="1" x14ac:dyDescent="0.25">
      <c r="A1263" t="s">
        <v>3507</v>
      </c>
      <c r="B1263" t="s">
        <v>7557</v>
      </c>
      <c r="C1263" t="s">
        <v>11217</v>
      </c>
      <c r="D1263" t="s">
        <v>13287</v>
      </c>
      <c r="E1263" t="str">
        <f>+VLOOKUP(A1263,[1]PFE4!$A$7:$F$5208,6,0)</f>
        <v>CALLE 61 SUR  44  61</v>
      </c>
      <c r="F1263" s="17" t="str">
        <f>+VLOOKUP(A1263,[1]PFE4!$A$7:$G$5208,7,0)</f>
        <v>05631</v>
      </c>
      <c r="G1263">
        <v>8350422</v>
      </c>
      <c r="H1263">
        <v>4329</v>
      </c>
    </row>
    <row r="1264" spans="1:8" ht="15" customHeight="1" x14ac:dyDescent="0.25">
      <c r="A1264" t="s">
        <v>3508</v>
      </c>
      <c r="B1264" t="s">
        <v>7558</v>
      </c>
      <c r="C1264" t="s">
        <v>11218</v>
      </c>
      <c r="D1264" t="s">
        <v>13287</v>
      </c>
      <c r="E1264" t="str">
        <f>+VLOOKUP(A1264,[1]PFE4!$A$7:$F$5208,6,0)</f>
        <v>CARRERA 55  79  43 APARTAMENTO 9</v>
      </c>
      <c r="F1264" s="17" t="str">
        <f>+VLOOKUP(A1264,[1]PFE4!$A$7:$G$5208,7,0)</f>
        <v>08001</v>
      </c>
      <c r="G1264">
        <v>8358090</v>
      </c>
      <c r="H1264">
        <v>4329</v>
      </c>
    </row>
    <row r="1265" spans="1:8" ht="15" customHeight="1" x14ac:dyDescent="0.25">
      <c r="A1265" t="s">
        <v>3509</v>
      </c>
      <c r="B1265" t="s">
        <v>7559</v>
      </c>
      <c r="C1265" t="s">
        <v>11219</v>
      </c>
      <c r="D1265" t="s">
        <v>13287</v>
      </c>
      <c r="E1265" t="str">
        <f>+VLOOKUP(A1265,[1]PFE4!$A$7:$F$5208,6,0)</f>
        <v>CR 38 58 55</v>
      </c>
      <c r="F1265" s="17" t="str">
        <f>+VLOOKUP(A1265,[1]PFE4!$A$7:$G$5208,7,0)</f>
        <v>08001</v>
      </c>
      <c r="G1265">
        <v>8363733</v>
      </c>
      <c r="H1265">
        <v>4329</v>
      </c>
    </row>
    <row r="1266" spans="1:8" ht="15" customHeight="1" x14ac:dyDescent="0.25">
      <c r="A1266" t="s">
        <v>3510</v>
      </c>
      <c r="B1266" t="s">
        <v>7560</v>
      </c>
      <c r="C1266" t="s">
        <v>11220</v>
      </c>
      <c r="D1266" t="s">
        <v>13287</v>
      </c>
      <c r="E1266" t="str">
        <f>+VLOOKUP(A1266,[1]PFE4!$A$7:$F$5208,6,0)</f>
        <v>CALLE 118  20  58</v>
      </c>
      <c r="F1266" s="17">
        <f>+VLOOKUP(A1266,[1]PFE4!$A$7:$G$5208,7,0)</f>
        <v>11001</v>
      </c>
      <c r="G1266">
        <v>8366147</v>
      </c>
      <c r="H1266">
        <v>4329</v>
      </c>
    </row>
    <row r="1267" spans="1:8" ht="15" customHeight="1" x14ac:dyDescent="0.25">
      <c r="A1267" t="s">
        <v>3511</v>
      </c>
      <c r="B1267" t="s">
        <v>7561</v>
      </c>
      <c r="C1267" t="s">
        <v>11221</v>
      </c>
      <c r="D1267" t="s">
        <v>13287</v>
      </c>
      <c r="E1267" t="str">
        <f>+VLOOKUP(A1267,[1]PFE4!$A$7:$F$5208,6,0)</f>
        <v>CARRERA 3  17  58</v>
      </c>
      <c r="F1267" s="17">
        <f>+VLOOKUP(A1267,[1]PFE4!$A$7:$G$5208,7,0)</f>
        <v>73001</v>
      </c>
      <c r="G1267">
        <v>8366751</v>
      </c>
      <c r="H1267">
        <v>4329</v>
      </c>
    </row>
    <row r="1268" spans="1:8" ht="15" customHeight="1" x14ac:dyDescent="0.25">
      <c r="A1268" t="s">
        <v>3512</v>
      </c>
      <c r="B1268" t="s">
        <v>7562</v>
      </c>
      <c r="C1268" t="s">
        <v>11222</v>
      </c>
      <c r="D1268" t="s">
        <v>13287</v>
      </c>
      <c r="E1268" t="str">
        <f>+VLOOKUP(A1268,[1]PFE4!$A$7:$F$5208,6,0)</f>
        <v>CR 42H 84 33</v>
      </c>
      <c r="F1268" s="17" t="str">
        <f>+VLOOKUP(A1268,[1]PFE4!$A$7:$G$5208,7,0)</f>
        <v>08001</v>
      </c>
      <c r="G1268">
        <v>8370122</v>
      </c>
      <c r="H1268">
        <v>4329</v>
      </c>
    </row>
    <row r="1269" spans="1:8" ht="15" customHeight="1" x14ac:dyDescent="0.25">
      <c r="A1269" t="s">
        <v>3513</v>
      </c>
      <c r="B1269" t="s">
        <v>7563</v>
      </c>
      <c r="C1269" t="s">
        <v>11223</v>
      </c>
      <c r="D1269" t="s">
        <v>13287</v>
      </c>
      <c r="E1269" t="str">
        <f>+VLOOKUP(A1269,[1]PFE4!$A$7:$F$5208,6,0)</f>
        <v>CALLE 44 A  70  103</v>
      </c>
      <c r="F1269" s="17" t="str">
        <f>+VLOOKUP(A1269,[1]PFE4!$A$7:$G$5208,7,0)</f>
        <v>05001</v>
      </c>
      <c r="G1269">
        <v>8374476</v>
      </c>
      <c r="H1269">
        <v>4329</v>
      </c>
    </row>
    <row r="1270" spans="1:8" ht="15" customHeight="1" x14ac:dyDescent="0.25">
      <c r="A1270" t="s">
        <v>3514</v>
      </c>
      <c r="B1270" t="s">
        <v>7564</v>
      </c>
      <c r="C1270" t="s">
        <v>11224</v>
      </c>
      <c r="D1270" t="s">
        <v>13287</v>
      </c>
      <c r="E1270" t="str">
        <f>+VLOOKUP(A1270,[1]PFE4!$A$7:$F$5208,6,0)</f>
        <v>CALLE 17 A  121  21</v>
      </c>
      <c r="F1270" s="17">
        <f>+VLOOKUP(A1270,[1]PFE4!$A$7:$G$5208,7,0)</f>
        <v>76001</v>
      </c>
      <c r="G1270">
        <v>8378704</v>
      </c>
      <c r="H1270">
        <v>4329</v>
      </c>
    </row>
    <row r="1271" spans="1:8" ht="15" customHeight="1" x14ac:dyDescent="0.25">
      <c r="A1271" t="s">
        <v>3515</v>
      </c>
      <c r="B1271" t="s">
        <v>7407</v>
      </c>
      <c r="C1271" t="s">
        <v>11225</v>
      </c>
      <c r="D1271" t="s">
        <v>13287</v>
      </c>
      <c r="E1271" t="str">
        <f>+VLOOKUP(A1271,[1]PFE4!$A$7:$F$5208,6,0)</f>
        <v>CARRERA 16  102  51</v>
      </c>
      <c r="F1271" s="17">
        <f>+VLOOKUP(A1271,[1]PFE4!$A$7:$G$5208,7,0)</f>
        <v>11001</v>
      </c>
      <c r="G1271">
        <v>8383596</v>
      </c>
      <c r="H1271">
        <v>4329</v>
      </c>
    </row>
    <row r="1272" spans="1:8" ht="15" customHeight="1" x14ac:dyDescent="0.25">
      <c r="A1272" t="s">
        <v>3516</v>
      </c>
      <c r="B1272" t="s">
        <v>7565</v>
      </c>
      <c r="C1272" t="s">
        <v>11226</v>
      </c>
      <c r="D1272" t="s">
        <v>13287</v>
      </c>
      <c r="E1272" t="str">
        <f>+VLOOKUP(A1272,[1]PFE4!$A$7:$F$5208,6,0)</f>
        <v>CL 11 B 31 A 172</v>
      </c>
      <c r="F1272" s="17" t="str">
        <f>+VLOOKUP(A1272,[1]PFE4!$A$7:$G$5208,7,0)</f>
        <v>05001</v>
      </c>
      <c r="G1272">
        <v>8384023</v>
      </c>
      <c r="H1272">
        <v>4329</v>
      </c>
    </row>
    <row r="1273" spans="1:8" ht="15" customHeight="1" x14ac:dyDescent="0.25">
      <c r="A1273" t="s">
        <v>3517</v>
      </c>
      <c r="B1273" t="s">
        <v>7566</v>
      </c>
      <c r="C1273">
        <v>3219664011</v>
      </c>
      <c r="D1273" t="s">
        <v>13287</v>
      </c>
      <c r="E1273" t="str">
        <f>+VLOOKUP(A1273,[1]PFE4!$A$7:$F$5208,6,0)</f>
        <v>CR 41 16 B SUR 141</v>
      </c>
      <c r="F1273" s="17" t="str">
        <f>+VLOOKUP(A1273,[1]PFE4!$A$7:$G$5208,7,0)</f>
        <v>05001</v>
      </c>
      <c r="G1273">
        <v>8385144</v>
      </c>
      <c r="H1273">
        <v>4329</v>
      </c>
    </row>
    <row r="1274" spans="1:8" ht="15" customHeight="1" x14ac:dyDescent="0.25">
      <c r="A1274" t="s">
        <v>3518</v>
      </c>
      <c r="B1274" t="s">
        <v>7567</v>
      </c>
      <c r="C1274" t="s">
        <v>11227</v>
      </c>
      <c r="D1274" t="s">
        <v>13287</v>
      </c>
      <c r="E1274" t="str">
        <f>+VLOOKUP(A1274,[1]PFE4!$A$7:$F$5208,6,0)</f>
        <v>CARRERA 26  43 A  33</v>
      </c>
      <c r="F1274" s="17">
        <f>+VLOOKUP(A1274,[1]PFE4!$A$7:$G$5208,7,0)</f>
        <v>68081</v>
      </c>
      <c r="G1274">
        <v>8386089</v>
      </c>
      <c r="H1274">
        <v>4329</v>
      </c>
    </row>
    <row r="1275" spans="1:8" ht="15" customHeight="1" x14ac:dyDescent="0.25">
      <c r="A1275" t="s">
        <v>3519</v>
      </c>
      <c r="B1275" t="s">
        <v>7568</v>
      </c>
      <c r="C1275" t="s">
        <v>11228</v>
      </c>
      <c r="D1275" t="s">
        <v>13287</v>
      </c>
      <c r="E1275" t="str">
        <f>+VLOOKUP(A1275,[1]PFE4!$A$7:$F$5208,6,0)</f>
        <v>TANSVERSAL 34  72  146</v>
      </c>
      <c r="F1275" s="17" t="str">
        <f>+VLOOKUP(A1275,[1]PFE4!$A$7:$G$5208,7,0)</f>
        <v>05001</v>
      </c>
      <c r="G1275">
        <v>8393016</v>
      </c>
      <c r="H1275">
        <v>4329</v>
      </c>
    </row>
    <row r="1276" spans="1:8" ht="15" customHeight="1" x14ac:dyDescent="0.25">
      <c r="A1276" t="s">
        <v>3520</v>
      </c>
      <c r="B1276" t="s">
        <v>7569</v>
      </c>
      <c r="C1276" t="s">
        <v>11229</v>
      </c>
      <c r="D1276" t="s">
        <v>13287</v>
      </c>
      <c r="E1276" t="str">
        <f>+VLOOKUP(A1276,[1]PFE4!$A$7:$F$5208,6,0)</f>
        <v>CARRERA 56  2  157</v>
      </c>
      <c r="F1276" s="17">
        <f>+VLOOKUP(A1276,[1]PFE4!$A$7:$G$5208,7,0)</f>
        <v>76001</v>
      </c>
      <c r="G1276">
        <v>8401932</v>
      </c>
      <c r="H1276">
        <v>4329</v>
      </c>
    </row>
    <row r="1277" spans="1:8" ht="15" customHeight="1" x14ac:dyDescent="0.25">
      <c r="A1277" t="s">
        <v>3521</v>
      </c>
      <c r="B1277" t="s">
        <v>7570</v>
      </c>
      <c r="C1277" t="s">
        <v>11230</v>
      </c>
      <c r="D1277" t="s">
        <v>13287</v>
      </c>
      <c r="E1277" t="str">
        <f>+VLOOKUP(A1277,[1]PFE4!$A$7:$F$5208,6,0)</f>
        <v>CONJUNTO PEÑON DEL LAGO CASA 6 CONDOMINIO RUITOQUE</v>
      </c>
      <c r="F1277" s="17">
        <f>+VLOOKUP(A1277,[1]PFE4!$A$7:$G$5208,7,0)</f>
        <v>68001</v>
      </c>
      <c r="G1277">
        <v>8402547</v>
      </c>
      <c r="H1277">
        <v>4329</v>
      </c>
    </row>
    <row r="1278" spans="1:8" ht="15" customHeight="1" x14ac:dyDescent="0.25">
      <c r="A1278" t="s">
        <v>3522</v>
      </c>
      <c r="B1278" t="s">
        <v>7571</v>
      </c>
      <c r="C1278" t="s">
        <v>11231</v>
      </c>
      <c r="D1278" t="s">
        <v>13287</v>
      </c>
      <c r="E1278" t="str">
        <f>+VLOOKUP(A1278,[1]PFE4!$A$7:$F$5208,6,0)</f>
        <v>CALLE 163 B 46 54</v>
      </c>
      <c r="F1278" s="17">
        <f>+VLOOKUP(A1278,[1]PFE4!$A$7:$G$5208,7,0)</f>
        <v>11001</v>
      </c>
      <c r="G1278">
        <v>8409340</v>
      </c>
      <c r="H1278">
        <v>4329</v>
      </c>
    </row>
    <row r="1279" spans="1:8" ht="15" customHeight="1" x14ac:dyDescent="0.25">
      <c r="A1279" t="s">
        <v>3523</v>
      </c>
      <c r="B1279" t="s">
        <v>7572</v>
      </c>
      <c r="C1279">
        <v>3219664011</v>
      </c>
      <c r="D1279" t="s">
        <v>13287</v>
      </c>
      <c r="E1279" t="str">
        <f>+VLOOKUP(A1279,[1]PFE4!$A$7:$F$5208,6,0)</f>
        <v>CALLE 14  27  31 OFICINA 102</v>
      </c>
      <c r="F1279" s="17">
        <f>+VLOOKUP(A1279,[1]PFE4!$A$7:$G$5208,7,0)</f>
        <v>66001</v>
      </c>
      <c r="G1279">
        <v>8413518</v>
      </c>
      <c r="H1279">
        <v>4329</v>
      </c>
    </row>
    <row r="1280" spans="1:8" ht="15" customHeight="1" x14ac:dyDescent="0.25">
      <c r="A1280" t="s">
        <v>3524</v>
      </c>
      <c r="B1280" t="s">
        <v>7573</v>
      </c>
      <c r="C1280">
        <v>0</v>
      </c>
      <c r="D1280" t="s">
        <v>13287</v>
      </c>
      <c r="E1280">
        <v>0</v>
      </c>
      <c r="F1280" s="17">
        <v>11001</v>
      </c>
      <c r="G1280">
        <v>8416000</v>
      </c>
      <c r="H1280">
        <v>4329</v>
      </c>
    </row>
    <row r="1281" spans="1:8" ht="15" customHeight="1" x14ac:dyDescent="0.25">
      <c r="A1281" t="s">
        <v>3525</v>
      </c>
      <c r="B1281" t="s">
        <v>7574</v>
      </c>
      <c r="C1281" t="s">
        <v>11232</v>
      </c>
      <c r="D1281" t="s">
        <v>13287</v>
      </c>
      <c r="E1281" t="str">
        <f>+VLOOKUP(A1281,[1]PFE4!$A$7:$F$5208,6,0)</f>
        <v>CR 58 82 79</v>
      </c>
      <c r="F1281" s="17" t="str">
        <f>+VLOOKUP(A1281,[1]PFE4!$A$7:$G$5208,7,0)</f>
        <v>08001</v>
      </c>
      <c r="G1281">
        <v>8417150</v>
      </c>
      <c r="H1281">
        <v>4329</v>
      </c>
    </row>
    <row r="1282" spans="1:8" ht="15" customHeight="1" x14ac:dyDescent="0.25">
      <c r="A1282" t="s">
        <v>3526</v>
      </c>
      <c r="B1282" t="s">
        <v>7575</v>
      </c>
      <c r="C1282" t="s">
        <v>10664</v>
      </c>
      <c r="D1282" t="s">
        <v>13287</v>
      </c>
      <c r="E1282" t="str">
        <f>+VLOOKUP(A1282,[1]PFE4!$A$7:$F$5208,6,0)</f>
        <v>CARRERA 32 B  45 B  74</v>
      </c>
      <c r="F1282" s="17" t="str">
        <f>+VLOOKUP(A1282,[1]PFE4!$A$7:$G$5208,7,0)</f>
        <v>05266</v>
      </c>
      <c r="G1282">
        <v>8418934</v>
      </c>
      <c r="H1282">
        <v>4329</v>
      </c>
    </row>
    <row r="1283" spans="1:8" ht="15" customHeight="1" x14ac:dyDescent="0.25">
      <c r="A1283" t="s">
        <v>3527</v>
      </c>
      <c r="B1283" t="s">
        <v>7576</v>
      </c>
      <c r="C1283" t="s">
        <v>11233</v>
      </c>
      <c r="D1283" t="s">
        <v>13287</v>
      </c>
      <c r="E1283" t="str">
        <f>+VLOOKUP(A1283,[1]PFE4!$A$7:$F$5208,6,0)</f>
        <v>CR 42 18 B 100 106</v>
      </c>
      <c r="F1283" s="17" t="str">
        <f>+VLOOKUP(A1283,[1]PFE4!$A$7:$G$5208,7,0)</f>
        <v>05001</v>
      </c>
      <c r="G1283">
        <v>8420100</v>
      </c>
      <c r="H1283">
        <v>4329</v>
      </c>
    </row>
    <row r="1284" spans="1:8" ht="15" customHeight="1" x14ac:dyDescent="0.25">
      <c r="A1284" t="s">
        <v>3528</v>
      </c>
      <c r="B1284" t="s">
        <v>7577</v>
      </c>
      <c r="C1284" t="s">
        <v>11234</v>
      </c>
      <c r="D1284" t="s">
        <v>13287</v>
      </c>
      <c r="E1284" t="str">
        <f>+VLOOKUP(A1284,[1]PFE4!$A$7:$F$5208,6,0)</f>
        <v>CARRERA 15  85  29  OFICINA 402</v>
      </c>
      <c r="F1284" s="17">
        <f>+VLOOKUP(A1284,[1]PFE4!$A$7:$G$5208,7,0)</f>
        <v>11001</v>
      </c>
      <c r="G1284">
        <v>8429445</v>
      </c>
      <c r="H1284">
        <v>4329</v>
      </c>
    </row>
    <row r="1285" spans="1:8" ht="15" customHeight="1" x14ac:dyDescent="0.25">
      <c r="A1285" t="s">
        <v>3529</v>
      </c>
      <c r="B1285" t="s">
        <v>7578</v>
      </c>
      <c r="C1285" t="s">
        <v>11235</v>
      </c>
      <c r="D1285" t="s">
        <v>13287</v>
      </c>
      <c r="E1285" t="str">
        <f>+VLOOKUP(A1285,[1]PFE4!$A$7:$F$5208,6,0)</f>
        <v>cr 66 a 36 b 23-25</v>
      </c>
      <c r="F1285" s="17" t="str">
        <f>+VLOOKUP(A1285,[1]PFE4!$A$7:$G$5208,7,0)</f>
        <v>05001</v>
      </c>
      <c r="G1285">
        <v>8430996</v>
      </c>
      <c r="H1285">
        <v>4329</v>
      </c>
    </row>
    <row r="1286" spans="1:8" ht="15" customHeight="1" x14ac:dyDescent="0.25">
      <c r="A1286" t="s">
        <v>3530</v>
      </c>
      <c r="B1286" t="s">
        <v>7579</v>
      </c>
      <c r="C1286" t="s">
        <v>10882</v>
      </c>
      <c r="D1286" t="s">
        <v>13287</v>
      </c>
      <c r="E1286" t="str">
        <f>+VLOOKUP(A1286,[1]PFE4!$A$7:$F$5208,6,0)</f>
        <v>CL 79 42 91</v>
      </c>
      <c r="F1286" s="17" t="str">
        <f>+VLOOKUP(A1286,[1]PFE4!$A$7:$G$5208,7,0)</f>
        <v>08001</v>
      </c>
      <c r="G1286">
        <v>8431620</v>
      </c>
      <c r="H1286">
        <v>4329</v>
      </c>
    </row>
    <row r="1287" spans="1:8" ht="15" customHeight="1" x14ac:dyDescent="0.25">
      <c r="A1287" t="s">
        <v>3531</v>
      </c>
      <c r="B1287" t="s">
        <v>7580</v>
      </c>
      <c r="C1287" t="s">
        <v>11236</v>
      </c>
      <c r="D1287" t="s">
        <v>13287</v>
      </c>
      <c r="E1287" t="str">
        <f>+VLOOKUP(A1287,[1]PFE4!$A$7:$F$5208,6,0)</f>
        <v>CALLE 12  13  19  OFICINA 211</v>
      </c>
      <c r="F1287" s="17">
        <f>+VLOOKUP(A1287,[1]PFE4!$A$7:$G$5208,7,0)</f>
        <v>11001</v>
      </c>
      <c r="G1287">
        <v>8434903</v>
      </c>
      <c r="H1287">
        <v>4329</v>
      </c>
    </row>
    <row r="1288" spans="1:8" ht="15" customHeight="1" x14ac:dyDescent="0.25">
      <c r="A1288" t="s">
        <v>3532</v>
      </c>
      <c r="B1288" t="s">
        <v>7581</v>
      </c>
      <c r="C1288" t="s">
        <v>11237</v>
      </c>
      <c r="D1288" t="s">
        <v>13287</v>
      </c>
      <c r="E1288" t="str">
        <f>+VLOOKUP(A1288,[1]PFE4!$A$7:$F$5208,6,0)</f>
        <v>CARRERA 13  82  35</v>
      </c>
      <c r="F1288" s="17">
        <f>+VLOOKUP(A1288,[1]PFE4!$A$7:$G$5208,7,0)</f>
        <v>11001</v>
      </c>
      <c r="G1288">
        <v>8441721</v>
      </c>
      <c r="H1288">
        <v>4329</v>
      </c>
    </row>
    <row r="1289" spans="1:8" ht="15" customHeight="1" x14ac:dyDescent="0.25">
      <c r="A1289" t="s">
        <v>3533</v>
      </c>
      <c r="B1289" t="s">
        <v>7582</v>
      </c>
      <c r="C1289" t="s">
        <v>11238</v>
      </c>
      <c r="D1289" t="s">
        <v>13287</v>
      </c>
      <c r="E1289" t="str">
        <f>+VLOOKUP(A1289,[1]PFE4!$A$7:$F$5208,6,0)</f>
        <v>CALLE 103 A  19 A  63</v>
      </c>
      <c r="F1289" s="17">
        <f>+VLOOKUP(A1289,[1]PFE4!$A$7:$G$5208,7,0)</f>
        <v>11001</v>
      </c>
      <c r="G1289">
        <v>8448599</v>
      </c>
      <c r="H1289">
        <v>4329</v>
      </c>
    </row>
    <row r="1290" spans="1:8" ht="15" customHeight="1" x14ac:dyDescent="0.25">
      <c r="A1290" t="s">
        <v>3534</v>
      </c>
      <c r="B1290" t="s">
        <v>7583</v>
      </c>
      <c r="C1290" t="s">
        <v>11239</v>
      </c>
      <c r="D1290" t="s">
        <v>13287</v>
      </c>
      <c r="E1290" t="str">
        <f>+VLOOKUP(A1290,[1]PFE4!$A$7:$F$5208,6,0)</f>
        <v>AVENIDA 12 E  5 A  30</v>
      </c>
      <c r="F1290" s="17">
        <f>+VLOOKUP(A1290,[1]PFE4!$A$7:$G$5208,7,0)</f>
        <v>54001</v>
      </c>
      <c r="G1290">
        <v>8450839</v>
      </c>
      <c r="H1290">
        <v>4329</v>
      </c>
    </row>
    <row r="1291" spans="1:8" ht="15" customHeight="1" x14ac:dyDescent="0.25">
      <c r="A1291" t="s">
        <v>3535</v>
      </c>
      <c r="B1291" t="s">
        <v>7584</v>
      </c>
      <c r="C1291" t="s">
        <v>11240</v>
      </c>
      <c r="D1291" t="s">
        <v>13287</v>
      </c>
      <c r="E1291" t="str">
        <f>+VLOOKUP(A1291,[1]PFE4!$A$7:$F$5208,6,0)</f>
        <v>CALLE 49  28  59</v>
      </c>
      <c r="F1291" s="17">
        <f>+VLOOKUP(A1291,[1]PFE4!$A$7:$G$5208,7,0)</f>
        <v>68001</v>
      </c>
      <c r="G1291">
        <v>8463288</v>
      </c>
      <c r="H1291">
        <v>4329</v>
      </c>
    </row>
    <row r="1292" spans="1:8" ht="15" customHeight="1" x14ac:dyDescent="0.25">
      <c r="A1292" t="s">
        <v>3536</v>
      </c>
      <c r="B1292" t="s">
        <v>7585</v>
      </c>
      <c r="C1292" t="s">
        <v>11241</v>
      </c>
      <c r="D1292" t="s">
        <v>13287</v>
      </c>
      <c r="E1292" t="str">
        <f>+VLOOKUP(A1292,[1]PFE4!$A$7:$F$5208,6,0)</f>
        <v>CARRERA 64 B  91  139</v>
      </c>
      <c r="F1292" s="17" t="str">
        <f>+VLOOKUP(A1292,[1]PFE4!$A$7:$G$5208,7,0)</f>
        <v>08001</v>
      </c>
      <c r="G1292">
        <v>8463915</v>
      </c>
      <c r="H1292">
        <v>4329</v>
      </c>
    </row>
    <row r="1293" spans="1:8" ht="15" customHeight="1" x14ac:dyDescent="0.25">
      <c r="A1293" t="s">
        <v>3537</v>
      </c>
      <c r="B1293" t="s">
        <v>7586</v>
      </c>
      <c r="C1293" t="s">
        <v>11242</v>
      </c>
      <c r="D1293" t="s">
        <v>13287</v>
      </c>
      <c r="E1293" t="str">
        <f>+VLOOKUP(A1293,[1]PFE4!$A$7:$F$5208,6,0)</f>
        <v>CARRERA 53  45  62</v>
      </c>
      <c r="F1293" s="17" t="str">
        <f>+VLOOKUP(A1293,[1]PFE4!$A$7:$G$5208,7,0)</f>
        <v>05001</v>
      </c>
      <c r="G1293">
        <v>8473428</v>
      </c>
      <c r="H1293">
        <v>4329</v>
      </c>
    </row>
    <row r="1294" spans="1:8" ht="15" customHeight="1" x14ac:dyDescent="0.25">
      <c r="A1294" t="s">
        <v>3538</v>
      </c>
      <c r="B1294" t="s">
        <v>7587</v>
      </c>
      <c r="C1294" t="s">
        <v>11243</v>
      </c>
      <c r="D1294" t="s">
        <v>13287</v>
      </c>
      <c r="E1294" t="str">
        <f>+VLOOKUP(A1294,[1]PFE4!$A$7:$F$5208,6,0)</f>
        <v>CALLE 18</v>
      </c>
      <c r="F1294" s="17">
        <f>+VLOOKUP(A1294,[1]PFE4!$A$7:$G$5208,7,0)</f>
        <v>68001</v>
      </c>
      <c r="G1294">
        <v>8476470</v>
      </c>
      <c r="H1294">
        <v>4329</v>
      </c>
    </row>
    <row r="1295" spans="1:8" ht="15" customHeight="1" x14ac:dyDescent="0.25">
      <c r="A1295" t="s">
        <v>3539</v>
      </c>
      <c r="B1295" t="s">
        <v>7588</v>
      </c>
      <c r="C1295" t="s">
        <v>10819</v>
      </c>
      <c r="D1295" t="s">
        <v>13287</v>
      </c>
      <c r="E1295" t="str">
        <f>+VLOOKUP(A1295,[1]PFE4!$A$7:$F$5208,6,0)</f>
        <v>CL 26 CR 13 D 07</v>
      </c>
      <c r="F1295" s="17" t="str">
        <f>+VLOOKUP(A1295,[1]PFE4!$A$7:$G$5208,7,0)</f>
        <v>05376</v>
      </c>
      <c r="G1295">
        <v>8477280</v>
      </c>
      <c r="H1295">
        <v>4329</v>
      </c>
    </row>
    <row r="1296" spans="1:8" ht="15" customHeight="1" x14ac:dyDescent="0.25">
      <c r="A1296" t="s">
        <v>3540</v>
      </c>
      <c r="B1296" t="s">
        <v>7589</v>
      </c>
      <c r="C1296" t="s">
        <v>11244</v>
      </c>
      <c r="D1296" t="s">
        <v>13287</v>
      </c>
      <c r="E1296" t="str">
        <f>+VLOOKUP(A1296,[1]PFE4!$A$7:$F$5208,6,0)</f>
        <v>CALLE 140 C  94 D  98</v>
      </c>
      <c r="F1296" s="17">
        <f>+VLOOKUP(A1296,[1]PFE4!$A$7:$G$5208,7,0)</f>
        <v>11001</v>
      </c>
      <c r="G1296">
        <v>8480726</v>
      </c>
      <c r="H1296">
        <v>4329</v>
      </c>
    </row>
    <row r="1297" spans="1:8" ht="15" customHeight="1" x14ac:dyDescent="0.25">
      <c r="A1297" t="s">
        <v>3541</v>
      </c>
      <c r="B1297" t="s">
        <v>7590</v>
      </c>
      <c r="C1297">
        <v>0</v>
      </c>
      <c r="D1297" t="s">
        <v>13287</v>
      </c>
      <c r="E1297">
        <v>0</v>
      </c>
      <c r="F1297" s="17">
        <v>11001</v>
      </c>
      <c r="G1297">
        <v>8483973</v>
      </c>
      <c r="H1297">
        <v>4329</v>
      </c>
    </row>
    <row r="1298" spans="1:8" ht="15" customHeight="1" x14ac:dyDescent="0.25">
      <c r="A1298" t="s">
        <v>3542</v>
      </c>
      <c r="B1298" t="s">
        <v>7591</v>
      </c>
      <c r="C1298" t="s">
        <v>11245</v>
      </c>
      <c r="D1298" t="s">
        <v>13287</v>
      </c>
      <c r="E1298" t="str">
        <f>+VLOOKUP(A1298,[1]PFE4!$A$7:$F$5208,6,0)</f>
        <v>CARRERA 15  77  50  OFICINA 502</v>
      </c>
      <c r="F1298" s="17">
        <f>+VLOOKUP(A1298,[1]PFE4!$A$7:$G$5208,7,0)</f>
        <v>11001</v>
      </c>
      <c r="G1298">
        <v>8486895</v>
      </c>
      <c r="H1298">
        <v>4329</v>
      </c>
    </row>
    <row r="1299" spans="1:8" ht="15" customHeight="1" x14ac:dyDescent="0.25">
      <c r="A1299" t="s">
        <v>3543</v>
      </c>
      <c r="B1299" t="s">
        <v>7592</v>
      </c>
      <c r="C1299" t="s">
        <v>11246</v>
      </c>
      <c r="D1299" t="s">
        <v>13287</v>
      </c>
      <c r="E1299" t="str">
        <f>+VLOOKUP(A1299,[1]PFE4!$A$7:$F$5208,6,0)</f>
        <v>CARRERA 23  100  12</v>
      </c>
      <c r="F1299" s="17">
        <f>+VLOOKUP(A1299,[1]PFE4!$A$7:$G$5208,7,0)</f>
        <v>11001</v>
      </c>
      <c r="G1299">
        <v>8494456</v>
      </c>
      <c r="H1299">
        <v>4329</v>
      </c>
    </row>
    <row r="1300" spans="1:8" ht="15" customHeight="1" x14ac:dyDescent="0.25">
      <c r="A1300" t="s">
        <v>3544</v>
      </c>
      <c r="B1300" t="s">
        <v>7593</v>
      </c>
      <c r="C1300" t="s">
        <v>11247</v>
      </c>
      <c r="D1300" t="s">
        <v>13287</v>
      </c>
      <c r="E1300" t="str">
        <f>+VLOOKUP(A1300,[1]PFE4!$A$7:$F$5208,6,0)</f>
        <v>CARRERA 3  8  104</v>
      </c>
      <c r="F1300" s="17">
        <f>+VLOOKUP(A1300,[1]PFE4!$A$7:$G$5208,7,0)</f>
        <v>13001</v>
      </c>
      <c r="G1300">
        <v>8499600</v>
      </c>
      <c r="H1300">
        <v>4329</v>
      </c>
    </row>
    <row r="1301" spans="1:8" ht="15" customHeight="1" x14ac:dyDescent="0.25">
      <c r="A1301" t="s">
        <v>3545</v>
      </c>
      <c r="B1301" t="s">
        <v>7594</v>
      </c>
      <c r="C1301" t="s">
        <v>11248</v>
      </c>
      <c r="D1301" t="s">
        <v>13287</v>
      </c>
      <c r="E1301" t="str">
        <f>+VLOOKUP(A1301,[1]PFE4!$A$7:$F$5208,6,0)</f>
        <v>CL 37 24 54 BRR BOLIVAR CENTRO</v>
      </c>
      <c r="F1301" s="17">
        <f>+VLOOKUP(A1301,[1]PFE4!$A$7:$G$5208,7,0)</f>
        <v>68001</v>
      </c>
      <c r="G1301">
        <v>8507844</v>
      </c>
      <c r="H1301">
        <v>4329</v>
      </c>
    </row>
    <row r="1302" spans="1:8" ht="15" customHeight="1" x14ac:dyDescent="0.25">
      <c r="A1302" t="s">
        <v>3546</v>
      </c>
      <c r="B1302" t="s">
        <v>7595</v>
      </c>
      <c r="C1302" t="s">
        <v>11249</v>
      </c>
      <c r="D1302" t="s">
        <v>13287</v>
      </c>
      <c r="E1302" t="str">
        <f>+VLOOKUP(A1302,[1]PFE4!$A$7:$F$5208,6,0)</f>
        <v>CARRERA 40  6  79</v>
      </c>
      <c r="F1302" s="17">
        <f>+VLOOKUP(A1302,[1]PFE4!$A$7:$G$5208,7,0)</f>
        <v>11001</v>
      </c>
      <c r="G1302">
        <v>8510432</v>
      </c>
      <c r="H1302">
        <v>4329</v>
      </c>
    </row>
    <row r="1303" spans="1:8" ht="15" customHeight="1" x14ac:dyDescent="0.25">
      <c r="A1303" t="s">
        <v>3547</v>
      </c>
      <c r="B1303" t="s">
        <v>7596</v>
      </c>
      <c r="C1303" t="s">
        <v>11155</v>
      </c>
      <c r="D1303" t="s">
        <v>13287</v>
      </c>
      <c r="E1303" t="str">
        <f>+VLOOKUP(A1303,[1]PFE4!$A$7:$F$5208,6,0)</f>
        <v>CARRERA 50 102 A-31</v>
      </c>
      <c r="F1303" s="17">
        <f>+VLOOKUP(A1303,[1]PFE4!$A$7:$G$5208,7,0)</f>
        <v>11001</v>
      </c>
      <c r="G1303">
        <v>8515275</v>
      </c>
      <c r="H1303">
        <v>4329</v>
      </c>
    </row>
    <row r="1304" spans="1:8" ht="15" customHeight="1" x14ac:dyDescent="0.25">
      <c r="A1304" t="s">
        <v>3548</v>
      </c>
      <c r="B1304" t="s">
        <v>7597</v>
      </c>
      <c r="C1304" t="s">
        <v>11250</v>
      </c>
      <c r="D1304" t="s">
        <v>13287</v>
      </c>
      <c r="E1304" t="str">
        <f>+VLOOKUP(A1304,[1]PFE4!$A$7:$F$5208,6,0)</f>
        <v>CALLE 35  8  25</v>
      </c>
      <c r="F1304" s="17">
        <f>+VLOOKUP(A1304,[1]PFE4!$A$7:$G$5208,7,0)</f>
        <v>68001</v>
      </c>
      <c r="G1304">
        <v>8520521</v>
      </c>
      <c r="H1304">
        <v>4329</v>
      </c>
    </row>
    <row r="1305" spans="1:8" ht="15" customHeight="1" x14ac:dyDescent="0.25">
      <c r="A1305" t="s">
        <v>3549</v>
      </c>
      <c r="B1305" t="s">
        <v>7598</v>
      </c>
      <c r="C1305" t="s">
        <v>11251</v>
      </c>
      <c r="D1305" t="s">
        <v>13287</v>
      </c>
      <c r="E1305" t="str">
        <f>+VLOOKUP(A1305,[1]PFE4!$A$7:$F$5208,6,0)</f>
        <v>CARRERA 23 C  62  06  OFICINA 901</v>
      </c>
      <c r="F1305" s="17">
        <f>+VLOOKUP(A1305,[1]PFE4!$A$7:$G$5208,7,0)</f>
        <v>11001</v>
      </c>
      <c r="G1305">
        <v>8522775</v>
      </c>
      <c r="H1305">
        <v>4329</v>
      </c>
    </row>
    <row r="1306" spans="1:8" ht="15" customHeight="1" x14ac:dyDescent="0.25">
      <c r="A1306" t="s">
        <v>3550</v>
      </c>
      <c r="B1306" t="s">
        <v>7599</v>
      </c>
      <c r="C1306" t="s">
        <v>11252</v>
      </c>
      <c r="D1306" t="s">
        <v>13287</v>
      </c>
      <c r="E1306" t="str">
        <f>+VLOOKUP(A1306,[1]PFE4!$A$7:$F$5208,6,0)</f>
        <v>CARRERA 22 12 49</v>
      </c>
      <c r="F1306" s="17">
        <f>+VLOOKUP(A1306,[1]PFE4!$A$7:$G$5208,7,0)</f>
        <v>11001</v>
      </c>
      <c r="G1306">
        <v>8523078</v>
      </c>
      <c r="H1306">
        <v>4329</v>
      </c>
    </row>
    <row r="1307" spans="1:8" ht="15" customHeight="1" x14ac:dyDescent="0.25">
      <c r="A1307" t="s">
        <v>3551</v>
      </c>
      <c r="B1307" t="s">
        <v>7600</v>
      </c>
      <c r="C1307" t="s">
        <v>11253</v>
      </c>
      <c r="D1307" t="s">
        <v>13287</v>
      </c>
      <c r="E1307" t="str">
        <f>+VLOOKUP(A1307,[1]PFE4!$A$7:$F$5208,6,0)</f>
        <v>CL 118 21 05</v>
      </c>
      <c r="F1307" s="17">
        <f>+VLOOKUP(A1307,[1]PFE4!$A$7:$G$5208,7,0)</f>
        <v>11001</v>
      </c>
      <c r="G1307">
        <v>8528634</v>
      </c>
      <c r="H1307">
        <v>4329</v>
      </c>
    </row>
    <row r="1308" spans="1:8" ht="15" customHeight="1" x14ac:dyDescent="0.25">
      <c r="A1308" t="s">
        <v>3552</v>
      </c>
      <c r="B1308" t="s">
        <v>7601</v>
      </c>
      <c r="C1308" t="s">
        <v>11254</v>
      </c>
      <c r="D1308" t="s">
        <v>13287</v>
      </c>
      <c r="E1308" t="str">
        <f>+VLOOKUP(A1308,[1]PFE4!$A$7:$F$5208,6,0)</f>
        <v>CALLE 135  17 A  77</v>
      </c>
      <c r="F1308" s="17">
        <f>+VLOOKUP(A1308,[1]PFE4!$A$7:$G$5208,7,0)</f>
        <v>11001</v>
      </c>
      <c r="G1308">
        <v>8529912</v>
      </c>
      <c r="H1308">
        <v>4329</v>
      </c>
    </row>
    <row r="1309" spans="1:8" ht="15" customHeight="1" x14ac:dyDescent="0.25">
      <c r="A1309" t="s">
        <v>3553</v>
      </c>
      <c r="B1309" t="s">
        <v>7602</v>
      </c>
      <c r="C1309" t="s">
        <v>11255</v>
      </c>
      <c r="D1309" t="s">
        <v>13287</v>
      </c>
      <c r="E1309" t="str">
        <f>+VLOOKUP(A1309,[1]PFE4!$A$7:$F$5208,6,0)</f>
        <v>CARRERA 39  46  120</v>
      </c>
      <c r="F1309" s="17">
        <f>+VLOOKUP(A1309,[1]PFE4!$A$7:$G$5208,7,0)</f>
        <v>68001</v>
      </c>
      <c r="G1309">
        <v>8529966</v>
      </c>
      <c r="H1309">
        <v>4329</v>
      </c>
    </row>
    <row r="1310" spans="1:8" ht="15" customHeight="1" x14ac:dyDescent="0.25">
      <c r="A1310" t="s">
        <v>3554</v>
      </c>
      <c r="B1310" t="s">
        <v>7603</v>
      </c>
      <c r="C1310" t="s">
        <v>11021</v>
      </c>
      <c r="D1310" t="s">
        <v>13287</v>
      </c>
      <c r="E1310" t="str">
        <f>+VLOOKUP(A1310,[1]PFE4!$A$7:$F$5208,6,0)</f>
        <v>CALLE 32 E  80 A  42</v>
      </c>
      <c r="F1310" s="17" t="str">
        <f>+VLOOKUP(A1310,[1]PFE4!$A$7:$G$5208,7,0)</f>
        <v>05001</v>
      </c>
      <c r="G1310">
        <v>8530116</v>
      </c>
      <c r="H1310">
        <v>4329</v>
      </c>
    </row>
    <row r="1311" spans="1:8" ht="15" customHeight="1" x14ac:dyDescent="0.25">
      <c r="A1311" t="s">
        <v>3555</v>
      </c>
      <c r="B1311" t="s">
        <v>7604</v>
      </c>
      <c r="C1311" t="s">
        <v>11256</v>
      </c>
      <c r="D1311" t="s">
        <v>13287</v>
      </c>
      <c r="E1311" t="str">
        <f>+VLOOKUP(A1311,[1]PFE4!$A$7:$F$5208,6,0)</f>
        <v>CR 51 B 84 150 OF 3</v>
      </c>
      <c r="F1311" s="17" t="str">
        <f>+VLOOKUP(A1311,[1]PFE4!$A$7:$G$5208,7,0)</f>
        <v>08001</v>
      </c>
      <c r="G1311">
        <v>8532639</v>
      </c>
      <c r="H1311">
        <v>4329</v>
      </c>
    </row>
    <row r="1312" spans="1:8" ht="15" customHeight="1" x14ac:dyDescent="0.25">
      <c r="A1312" t="s">
        <v>3556</v>
      </c>
      <c r="B1312" t="s">
        <v>7605</v>
      </c>
      <c r="C1312" t="s">
        <v>10795</v>
      </c>
      <c r="D1312" t="s">
        <v>13287</v>
      </c>
      <c r="E1312" t="str">
        <f>+VLOOKUP(A1312,[1]PFE4!$A$7:$F$5208,6,0)</f>
        <v>TRANSVERSAL 13 B  128 A  65</v>
      </c>
      <c r="F1312" s="17">
        <f>+VLOOKUP(A1312,[1]PFE4!$A$7:$G$5208,7,0)</f>
        <v>11001</v>
      </c>
      <c r="G1312">
        <v>8532754</v>
      </c>
      <c r="H1312">
        <v>4329</v>
      </c>
    </row>
    <row r="1313" spans="1:8" ht="15" customHeight="1" x14ac:dyDescent="0.25">
      <c r="A1313" t="s">
        <v>3557</v>
      </c>
      <c r="B1313" t="s">
        <v>7606</v>
      </c>
      <c r="C1313">
        <v>3219664011</v>
      </c>
      <c r="D1313" t="s">
        <v>13287</v>
      </c>
      <c r="E1313" t="str">
        <f>+VLOOKUP(A1313,[1]PFE4!$A$7:$F$5208,6,0)</f>
        <v>CALLE 17  26  13</v>
      </c>
      <c r="F1313" s="17">
        <f>+VLOOKUP(A1313,[1]PFE4!$A$7:$G$5208,7,0)</f>
        <v>66001</v>
      </c>
      <c r="G1313">
        <v>8536712</v>
      </c>
      <c r="H1313">
        <v>4329</v>
      </c>
    </row>
    <row r="1314" spans="1:8" ht="15" customHeight="1" x14ac:dyDescent="0.25">
      <c r="A1314" t="s">
        <v>3558</v>
      </c>
      <c r="B1314" t="s">
        <v>7607</v>
      </c>
      <c r="C1314" t="s">
        <v>11257</v>
      </c>
      <c r="D1314" t="s">
        <v>13287</v>
      </c>
      <c r="E1314" t="str">
        <f>+VLOOKUP(A1314,[1]PFE4!$A$7:$F$5208,6,0)</f>
        <v>CARRERA 22 A  87  51</v>
      </c>
      <c r="F1314" s="17">
        <f>+VLOOKUP(A1314,[1]PFE4!$A$7:$G$5208,7,0)</f>
        <v>11001</v>
      </c>
      <c r="G1314">
        <v>8539685</v>
      </c>
      <c r="H1314">
        <v>4329</v>
      </c>
    </row>
    <row r="1315" spans="1:8" ht="15" customHeight="1" x14ac:dyDescent="0.25">
      <c r="A1315" t="s">
        <v>3559</v>
      </c>
      <c r="B1315" t="s">
        <v>7608</v>
      </c>
      <c r="C1315" t="s">
        <v>11258</v>
      </c>
      <c r="D1315" t="s">
        <v>13287</v>
      </c>
      <c r="E1315" t="str">
        <f>+VLOOKUP(A1315,[1]PFE4!$A$7:$F$5208,6,0)</f>
        <v>CALLE 2  1  03</v>
      </c>
      <c r="F1315" s="17">
        <f>+VLOOKUP(A1315,[1]PFE4!$A$7:$G$5208,7,0)</f>
        <v>11001</v>
      </c>
      <c r="G1315">
        <v>8539910</v>
      </c>
      <c r="H1315">
        <v>4329</v>
      </c>
    </row>
    <row r="1316" spans="1:8" ht="15" customHeight="1" x14ac:dyDescent="0.25">
      <c r="A1316" t="s">
        <v>3560</v>
      </c>
      <c r="B1316" t="s">
        <v>7609</v>
      </c>
      <c r="C1316" t="s">
        <v>11259</v>
      </c>
      <c r="D1316" t="s">
        <v>13287</v>
      </c>
      <c r="E1316" t="str">
        <f>+VLOOKUP(A1316,[1]PFE4!$A$7:$F$5208,6,0)</f>
        <v>CARRERA 14  127 B  90</v>
      </c>
      <c r="F1316" s="17">
        <f>+VLOOKUP(A1316,[1]PFE4!$A$7:$G$5208,7,0)</f>
        <v>11001</v>
      </c>
      <c r="G1316">
        <v>8549002</v>
      </c>
      <c r="H1316">
        <v>4329</v>
      </c>
    </row>
    <row r="1317" spans="1:8" ht="15" customHeight="1" x14ac:dyDescent="0.25">
      <c r="A1317" t="s">
        <v>3561</v>
      </c>
      <c r="B1317" t="s">
        <v>7610</v>
      </c>
      <c r="C1317" t="s">
        <v>11260</v>
      </c>
      <c r="D1317" t="s">
        <v>13287</v>
      </c>
      <c r="E1317" t="str">
        <f>+VLOOKUP(A1317,[1]PFE4!$A$7:$F$5208,6,0)</f>
        <v>AVENIDA 4N 17 - 43</v>
      </c>
      <c r="F1317" s="17">
        <f>+VLOOKUP(A1317,[1]PFE4!$A$7:$G$5208,7,0)</f>
        <v>76001</v>
      </c>
      <c r="G1317">
        <v>8556268</v>
      </c>
      <c r="H1317">
        <v>4329</v>
      </c>
    </row>
    <row r="1318" spans="1:8" ht="15" customHeight="1" x14ac:dyDescent="0.25">
      <c r="A1318" t="s">
        <v>3562</v>
      </c>
      <c r="B1318" t="s">
        <v>7611</v>
      </c>
      <c r="C1318" t="s">
        <v>11261</v>
      </c>
      <c r="D1318" t="s">
        <v>13287</v>
      </c>
      <c r="E1318" t="str">
        <f>+VLOOKUP(A1318,[1]PFE4!$A$7:$F$5208,6,0)</f>
        <v>calle 34 #25-38</v>
      </c>
      <c r="F1318" s="17">
        <f>+VLOOKUP(A1318,[1]PFE4!$A$7:$G$5208,7,0)</f>
        <v>68001</v>
      </c>
      <c r="G1318">
        <v>8556590</v>
      </c>
      <c r="H1318">
        <v>4329</v>
      </c>
    </row>
    <row r="1319" spans="1:8" ht="15" customHeight="1" x14ac:dyDescent="0.25">
      <c r="A1319" t="s">
        <v>3563</v>
      </c>
      <c r="B1319" t="s">
        <v>7612</v>
      </c>
      <c r="C1319" t="s">
        <v>11262</v>
      </c>
      <c r="D1319" t="s">
        <v>13287</v>
      </c>
      <c r="E1319" t="str">
        <f>+VLOOKUP(A1319,[1]PFE4!$A$7:$F$5208,6,0)</f>
        <v>CARRERA 9  50  54</v>
      </c>
      <c r="F1319" s="17">
        <f>+VLOOKUP(A1319,[1]PFE4!$A$7:$G$5208,7,0)</f>
        <v>11001</v>
      </c>
      <c r="G1319">
        <v>8557416</v>
      </c>
      <c r="H1319">
        <v>4329</v>
      </c>
    </row>
    <row r="1320" spans="1:8" ht="15" customHeight="1" x14ac:dyDescent="0.25">
      <c r="A1320" t="s">
        <v>3564</v>
      </c>
      <c r="B1320" t="s">
        <v>7613</v>
      </c>
      <c r="C1320" t="s">
        <v>11263</v>
      </c>
      <c r="D1320" t="s">
        <v>13287</v>
      </c>
      <c r="E1320" t="str">
        <f>+VLOOKUP(A1320,[1]PFE4!$A$7:$F$5208,6,0)</f>
        <v>CALLE 24  19 NORTE  24</v>
      </c>
      <c r="F1320" s="17">
        <f>+VLOOKUP(A1320,[1]PFE4!$A$7:$G$5208,7,0)</f>
        <v>63001</v>
      </c>
      <c r="G1320">
        <v>8560423</v>
      </c>
      <c r="H1320">
        <v>4329</v>
      </c>
    </row>
    <row r="1321" spans="1:8" ht="15" customHeight="1" x14ac:dyDescent="0.25">
      <c r="A1321" t="s">
        <v>3565</v>
      </c>
      <c r="B1321" t="s">
        <v>7614</v>
      </c>
      <c r="C1321" t="s">
        <v>11264</v>
      </c>
      <c r="D1321" t="s">
        <v>13287</v>
      </c>
      <c r="E1321" t="str">
        <f>+VLOOKUP(A1321,[1]PFE4!$A$7:$F$5208,6,0)</f>
        <v>CARRERA 66 A  36  15</v>
      </c>
      <c r="F1321" s="17" t="str">
        <f>+VLOOKUP(A1321,[1]PFE4!$A$7:$G$5208,7,0)</f>
        <v>05001</v>
      </c>
      <c r="G1321">
        <v>8566800</v>
      </c>
      <c r="H1321">
        <v>4329</v>
      </c>
    </row>
    <row r="1322" spans="1:8" ht="15" customHeight="1" x14ac:dyDescent="0.25">
      <c r="A1322" t="s">
        <v>3566</v>
      </c>
      <c r="B1322" t="s">
        <v>7615</v>
      </c>
      <c r="C1322" t="s">
        <v>10961</v>
      </c>
      <c r="D1322" t="s">
        <v>13287</v>
      </c>
      <c r="E1322" t="str">
        <f>+VLOOKUP(A1322,[1]PFE4!$A$7:$F$5208,6,0)</f>
        <v>CALLE 35  29  38</v>
      </c>
      <c r="F1322" s="17">
        <f>+VLOOKUP(A1322,[1]PFE4!$A$7:$G$5208,7,0)</f>
        <v>68001</v>
      </c>
      <c r="G1322">
        <v>8569140</v>
      </c>
      <c r="H1322">
        <v>4329</v>
      </c>
    </row>
    <row r="1323" spans="1:8" ht="15" customHeight="1" x14ac:dyDescent="0.25">
      <c r="A1323" t="s">
        <v>3567</v>
      </c>
      <c r="B1323" t="s">
        <v>7616</v>
      </c>
      <c r="C1323" t="s">
        <v>10850</v>
      </c>
      <c r="D1323" t="s">
        <v>13287</v>
      </c>
      <c r="E1323" t="str">
        <f>+VLOOKUP(A1323,[1]PFE4!$A$7:$F$5208,6,0)</f>
        <v>CARRERA 46 A  66 SUR  143</v>
      </c>
      <c r="F1323" s="17" t="str">
        <f>+VLOOKUP(A1323,[1]PFE4!$A$7:$G$5208,7,0)</f>
        <v>05631</v>
      </c>
      <c r="G1323">
        <v>8576376</v>
      </c>
      <c r="H1323">
        <v>4329</v>
      </c>
    </row>
    <row r="1324" spans="1:8" ht="15" customHeight="1" x14ac:dyDescent="0.25">
      <c r="A1324" t="s">
        <v>3568</v>
      </c>
      <c r="B1324" t="s">
        <v>7617</v>
      </c>
      <c r="C1324" t="s">
        <v>11265</v>
      </c>
      <c r="D1324" t="s">
        <v>13287</v>
      </c>
      <c r="E1324" t="str">
        <f>+VLOOKUP(A1324,[1]PFE4!$A$7:$F$5208,6,0)</f>
        <v>CALLE 104  21  05</v>
      </c>
      <c r="F1324" s="17">
        <f>+VLOOKUP(A1324,[1]PFE4!$A$7:$G$5208,7,0)</f>
        <v>11001</v>
      </c>
      <c r="G1324">
        <v>8578428</v>
      </c>
      <c r="H1324">
        <v>4329</v>
      </c>
    </row>
    <row r="1325" spans="1:8" ht="15" customHeight="1" x14ac:dyDescent="0.25">
      <c r="A1325" t="s">
        <v>3569</v>
      </c>
      <c r="B1325" t="s">
        <v>7618</v>
      </c>
      <c r="C1325" t="s">
        <v>10944</v>
      </c>
      <c r="D1325" t="s">
        <v>13287</v>
      </c>
      <c r="E1325" t="str">
        <f>+VLOOKUP(A1325,[1]PFE4!$A$7:$F$5208,6,0)</f>
        <v>CALLE 78  55  77</v>
      </c>
      <c r="F1325" s="17" t="str">
        <f>+VLOOKUP(A1325,[1]PFE4!$A$7:$G$5208,7,0)</f>
        <v>08001</v>
      </c>
      <c r="G1325">
        <v>8582530</v>
      </c>
      <c r="H1325">
        <v>4329</v>
      </c>
    </row>
    <row r="1326" spans="1:8" ht="15" customHeight="1" x14ac:dyDescent="0.25">
      <c r="A1326" t="s">
        <v>3570</v>
      </c>
      <c r="B1326" t="s">
        <v>7619</v>
      </c>
      <c r="C1326" t="s">
        <v>10463</v>
      </c>
      <c r="D1326" t="s">
        <v>13287</v>
      </c>
      <c r="E1326" t="str">
        <f>+VLOOKUP(A1326,[1]PFE4!$A$7:$F$5208,6,0)</f>
        <v>CARRERA 27 N° 27A-32</v>
      </c>
      <c r="F1326" s="17">
        <f>+VLOOKUP(A1326,[1]PFE4!$A$7:$G$5208,7,0)</f>
        <v>85001</v>
      </c>
      <c r="G1326">
        <v>8586708</v>
      </c>
      <c r="H1326">
        <v>4329</v>
      </c>
    </row>
    <row r="1327" spans="1:8" ht="15" customHeight="1" x14ac:dyDescent="0.25">
      <c r="A1327" t="s">
        <v>3571</v>
      </c>
      <c r="B1327" t="s">
        <v>7620</v>
      </c>
      <c r="C1327" t="s">
        <v>11266</v>
      </c>
      <c r="D1327" t="s">
        <v>13287</v>
      </c>
      <c r="E1327" t="str">
        <f>+VLOOKUP(A1327,[1]PFE4!$A$7:$F$5208,6,0)</f>
        <v>CALLE 74  72 A  100</v>
      </c>
      <c r="F1327" s="17" t="str">
        <f>+VLOOKUP(A1327,[1]PFE4!$A$7:$G$5208,7,0)</f>
        <v>05001</v>
      </c>
      <c r="G1327">
        <v>8593538</v>
      </c>
      <c r="H1327">
        <v>4329</v>
      </c>
    </row>
    <row r="1328" spans="1:8" ht="15" customHeight="1" x14ac:dyDescent="0.25">
      <c r="A1328" t="s">
        <v>3572</v>
      </c>
      <c r="B1328" t="s">
        <v>7621</v>
      </c>
      <c r="C1328" t="s">
        <v>11267</v>
      </c>
      <c r="D1328" t="s">
        <v>13287</v>
      </c>
      <c r="E1328" t="str">
        <f>+VLOOKUP(A1328,[1]PFE4!$A$7:$F$5208,6,0)</f>
        <v>CARRERA 17 A  116  57</v>
      </c>
      <c r="F1328" s="17">
        <f>+VLOOKUP(A1328,[1]PFE4!$A$7:$G$5208,7,0)</f>
        <v>11001</v>
      </c>
      <c r="G1328">
        <v>8598441</v>
      </c>
      <c r="H1328">
        <v>4329</v>
      </c>
    </row>
    <row r="1329" spans="1:8" ht="15" customHeight="1" x14ac:dyDescent="0.25">
      <c r="A1329" t="s">
        <v>3573</v>
      </c>
      <c r="B1329" t="s">
        <v>7622</v>
      </c>
      <c r="C1329" t="s">
        <v>11268</v>
      </c>
      <c r="D1329" t="s">
        <v>13287</v>
      </c>
      <c r="E1329" t="str">
        <f>+VLOOKUP(A1329,[1]PFE4!$A$7:$F$5208,6,0)</f>
        <v>CALLE 127 BIS  19  81</v>
      </c>
      <c r="F1329" s="17">
        <f>+VLOOKUP(A1329,[1]PFE4!$A$7:$G$5208,7,0)</f>
        <v>11001</v>
      </c>
      <c r="G1329">
        <v>8600340</v>
      </c>
      <c r="H1329">
        <v>4329</v>
      </c>
    </row>
    <row r="1330" spans="1:8" ht="15" customHeight="1" x14ac:dyDescent="0.25">
      <c r="A1330" t="s">
        <v>3574</v>
      </c>
      <c r="B1330" t="s">
        <v>7623</v>
      </c>
      <c r="C1330" t="s">
        <v>11269</v>
      </c>
      <c r="D1330" t="s">
        <v>13287</v>
      </c>
      <c r="E1330" t="str">
        <f>+VLOOKUP(A1330,[1]PFE4!$A$7:$F$5208,6,0)</f>
        <v>CARRERA 38  2 SUR  71</v>
      </c>
      <c r="F1330" s="17" t="str">
        <f>+VLOOKUP(A1330,[1]PFE4!$A$7:$G$5208,7,0)</f>
        <v>05001</v>
      </c>
      <c r="G1330">
        <v>8601570</v>
      </c>
      <c r="H1330">
        <v>4329</v>
      </c>
    </row>
    <row r="1331" spans="1:8" ht="15" customHeight="1" x14ac:dyDescent="0.25">
      <c r="A1331" t="s">
        <v>3575</v>
      </c>
      <c r="B1331" t="s">
        <v>7624</v>
      </c>
      <c r="C1331" t="s">
        <v>11008</v>
      </c>
      <c r="D1331" t="s">
        <v>13287</v>
      </c>
      <c r="E1331" t="str">
        <f>+VLOOKUP(A1331,[1]PFE4!$A$7:$F$5208,6,0)</f>
        <v>CL 49 27 A 34 BRR SOTOMAYOR</v>
      </c>
      <c r="F1331" s="17">
        <f>+VLOOKUP(A1331,[1]PFE4!$A$7:$G$5208,7,0)</f>
        <v>11001</v>
      </c>
      <c r="G1331">
        <v>8604586</v>
      </c>
      <c r="H1331">
        <v>4329</v>
      </c>
    </row>
    <row r="1332" spans="1:8" ht="15" customHeight="1" x14ac:dyDescent="0.25">
      <c r="A1332" t="s">
        <v>3576</v>
      </c>
      <c r="B1332" t="s">
        <v>7625</v>
      </c>
      <c r="C1332" t="s">
        <v>10411</v>
      </c>
      <c r="D1332" t="s">
        <v>13287</v>
      </c>
      <c r="E1332" t="str">
        <f>+VLOOKUP(A1332,[1]PFE4!$A$7:$F$5208,6,0)</f>
        <v>CARRERA 53  106  43</v>
      </c>
      <c r="F1332" s="17">
        <f>+VLOOKUP(A1332,[1]PFE4!$A$7:$G$5208,7,0)</f>
        <v>11001</v>
      </c>
      <c r="G1332">
        <v>8616806</v>
      </c>
      <c r="H1332">
        <v>4329</v>
      </c>
    </row>
    <row r="1333" spans="1:8" ht="15" customHeight="1" x14ac:dyDescent="0.25">
      <c r="A1333" t="s">
        <v>3577</v>
      </c>
      <c r="B1333" t="s">
        <v>7626</v>
      </c>
      <c r="C1333" t="s">
        <v>11270</v>
      </c>
      <c r="D1333" t="s">
        <v>13287</v>
      </c>
      <c r="E1333" t="str">
        <f>+VLOOKUP(A1333,[1]PFE4!$A$7:$F$5208,6,0)</f>
        <v>CALLE 18  2  57</v>
      </c>
      <c r="F1333" s="17">
        <f>+VLOOKUP(A1333,[1]PFE4!$A$7:$G$5208,7,0)</f>
        <v>11001</v>
      </c>
      <c r="G1333">
        <v>8618292</v>
      </c>
      <c r="H1333">
        <v>4329</v>
      </c>
    </row>
    <row r="1334" spans="1:8" ht="15" customHeight="1" x14ac:dyDescent="0.25">
      <c r="A1334" t="s">
        <v>3578</v>
      </c>
      <c r="B1334" t="s">
        <v>7627</v>
      </c>
      <c r="C1334" t="s">
        <v>10982</v>
      </c>
      <c r="D1334" t="s">
        <v>13287</v>
      </c>
      <c r="E1334" t="str">
        <f>+VLOOKUP(A1334,[1]PFE4!$A$7:$F$5208,6,0)</f>
        <v>CARRERA 14  33  26</v>
      </c>
      <c r="F1334" s="17">
        <f>+VLOOKUP(A1334,[1]PFE4!$A$7:$G$5208,7,0)</f>
        <v>68001</v>
      </c>
      <c r="G1334">
        <v>8618664</v>
      </c>
      <c r="H1334">
        <v>4329</v>
      </c>
    </row>
    <row r="1335" spans="1:8" ht="15" customHeight="1" x14ac:dyDescent="0.25">
      <c r="A1335" t="s">
        <v>3579</v>
      </c>
      <c r="B1335" t="s">
        <v>7628</v>
      </c>
      <c r="C1335">
        <v>3219664011</v>
      </c>
      <c r="D1335" t="s">
        <v>13287</v>
      </c>
      <c r="E1335" t="str">
        <f>+VLOOKUP(A1335,[1]PFE4!$A$7:$F$5208,6,0)</f>
        <v>BRR EL LAGO TRANSVERSAL 29 1 53</v>
      </c>
      <c r="F1335" s="17">
        <f>+VLOOKUP(A1335,[1]PFE4!$A$7:$G$5208,7,0)</f>
        <v>54498</v>
      </c>
      <c r="G1335">
        <v>8621978</v>
      </c>
      <c r="H1335">
        <v>4329</v>
      </c>
    </row>
    <row r="1336" spans="1:8" ht="15" customHeight="1" x14ac:dyDescent="0.25">
      <c r="A1336" t="s">
        <v>3580</v>
      </c>
      <c r="B1336" t="s">
        <v>7629</v>
      </c>
      <c r="C1336" t="s">
        <v>11271</v>
      </c>
      <c r="D1336" t="s">
        <v>13287</v>
      </c>
      <c r="E1336" t="str">
        <f>+VLOOKUP(A1336,[1]PFE4!$A$7:$F$5208,6,0)</f>
        <v>CARRERA 16  24  70</v>
      </c>
      <c r="F1336" s="17">
        <f>+VLOOKUP(A1336,[1]PFE4!$A$7:$G$5208,7,0)</f>
        <v>66170</v>
      </c>
      <c r="G1336">
        <v>8624820</v>
      </c>
      <c r="H1336">
        <v>4329</v>
      </c>
    </row>
    <row r="1337" spans="1:8" ht="15" customHeight="1" x14ac:dyDescent="0.25">
      <c r="A1337" t="s">
        <v>3581</v>
      </c>
      <c r="B1337" t="s">
        <v>7630</v>
      </c>
      <c r="C1337">
        <v>0</v>
      </c>
      <c r="D1337" t="s">
        <v>13287</v>
      </c>
      <c r="E1337">
        <v>0</v>
      </c>
      <c r="F1337" s="17">
        <v>11001</v>
      </c>
      <c r="G1337">
        <v>8630500</v>
      </c>
      <c r="H1337">
        <v>4329</v>
      </c>
    </row>
    <row r="1338" spans="1:8" ht="15" customHeight="1" x14ac:dyDescent="0.25">
      <c r="A1338" t="s">
        <v>3582</v>
      </c>
      <c r="B1338" t="s">
        <v>7631</v>
      </c>
      <c r="C1338" t="s">
        <v>11272</v>
      </c>
      <c r="D1338" t="s">
        <v>13287</v>
      </c>
      <c r="E1338" t="str">
        <f>+VLOOKUP(A1338,[1]PFE4!$A$7:$F$5208,6,0)</f>
        <v>CALLE 11  23  49</v>
      </c>
      <c r="F1338" s="17">
        <f>+VLOOKUP(A1338,[1]PFE4!$A$7:$G$5208,7,0)</f>
        <v>68001</v>
      </c>
      <c r="G1338">
        <v>8637408</v>
      </c>
      <c r="H1338">
        <v>4329</v>
      </c>
    </row>
    <row r="1339" spans="1:8" ht="15" customHeight="1" x14ac:dyDescent="0.25">
      <c r="A1339" t="s">
        <v>3583</v>
      </c>
      <c r="B1339" t="s">
        <v>7632</v>
      </c>
      <c r="C1339">
        <v>3219664011</v>
      </c>
      <c r="D1339" t="s">
        <v>13287</v>
      </c>
      <c r="E1339" t="str">
        <f>+VLOOKUP(A1339,[1]PFE4!$A$7:$F$5208,6,0)</f>
        <v>CARRERA 14  127  46</v>
      </c>
      <c r="F1339" s="17">
        <f>+VLOOKUP(A1339,[1]PFE4!$A$7:$G$5208,7,0)</f>
        <v>11001</v>
      </c>
      <c r="G1339">
        <v>8638873</v>
      </c>
      <c r="H1339">
        <v>4329</v>
      </c>
    </row>
    <row r="1340" spans="1:8" ht="15" customHeight="1" x14ac:dyDescent="0.25">
      <c r="A1340" t="s">
        <v>3584</v>
      </c>
      <c r="B1340" t="s">
        <v>7633</v>
      </c>
      <c r="C1340" t="s">
        <v>11273</v>
      </c>
      <c r="D1340" t="s">
        <v>13287</v>
      </c>
      <c r="E1340" t="str">
        <f>+VLOOKUP(A1340,[1]PFE4!$A$7:$F$5208,6,0)</f>
        <v>CARRERA 14 A  119  66</v>
      </c>
      <c r="F1340" s="17">
        <f>+VLOOKUP(A1340,[1]PFE4!$A$7:$G$5208,7,0)</f>
        <v>11001</v>
      </c>
      <c r="G1340">
        <v>8641392</v>
      </c>
      <c r="H1340">
        <v>4329</v>
      </c>
    </row>
    <row r="1341" spans="1:8" ht="15" customHeight="1" x14ac:dyDescent="0.25">
      <c r="A1341" t="s">
        <v>3585</v>
      </c>
      <c r="B1341" t="s">
        <v>7634</v>
      </c>
      <c r="C1341" t="s">
        <v>11274</v>
      </c>
      <c r="D1341" t="s">
        <v>13287</v>
      </c>
      <c r="E1341" t="str">
        <f>+VLOOKUP(A1341,[1]PFE4!$A$7:$F$5208,6,0)</f>
        <v xml:space="preserve"> CRA 108 # 14A - 40 ESQ</v>
      </c>
      <c r="F1341" s="17">
        <f>+VLOOKUP(A1341,[1]PFE4!$A$7:$G$5208,7,0)</f>
        <v>76001</v>
      </c>
      <c r="G1341">
        <v>8657973</v>
      </c>
      <c r="H1341">
        <v>4329</v>
      </c>
    </row>
    <row r="1342" spans="1:8" ht="15" customHeight="1" x14ac:dyDescent="0.25">
      <c r="A1342" t="s">
        <v>3586</v>
      </c>
      <c r="B1342" t="s">
        <v>7635</v>
      </c>
      <c r="C1342" t="s">
        <v>11275</v>
      </c>
      <c r="D1342" t="s">
        <v>13287</v>
      </c>
      <c r="E1342" t="str">
        <f>+VLOOKUP(A1342,[1]PFE4!$A$7:$F$5208,6,0)</f>
        <v>Marbella cra 3, edificio laguna 46 oficina 101</v>
      </c>
      <c r="F1342" s="17">
        <f>+VLOOKUP(A1342,[1]PFE4!$A$7:$G$5208,7,0)</f>
        <v>11001</v>
      </c>
      <c r="G1342">
        <v>8668890</v>
      </c>
      <c r="H1342">
        <v>4329</v>
      </c>
    </row>
    <row r="1343" spans="1:8" ht="15" customHeight="1" x14ac:dyDescent="0.25">
      <c r="A1343" t="s">
        <v>3587</v>
      </c>
      <c r="B1343" t="s">
        <v>7636</v>
      </c>
      <c r="C1343" t="s">
        <v>10403</v>
      </c>
      <c r="D1343" t="s">
        <v>13287</v>
      </c>
      <c r="E1343" t="str">
        <f>+VLOOKUP(A1343,[1]PFE4!$A$7:$F$5208,6,0)</f>
        <v>CALLE 100  11 B  67</v>
      </c>
      <c r="F1343" s="17">
        <f>+VLOOKUP(A1343,[1]PFE4!$A$7:$G$5208,7,0)</f>
        <v>11001</v>
      </c>
      <c r="G1343">
        <v>8671861</v>
      </c>
      <c r="H1343">
        <v>4329</v>
      </c>
    </row>
    <row r="1344" spans="1:8" ht="15" customHeight="1" x14ac:dyDescent="0.25">
      <c r="A1344" t="s">
        <v>3588</v>
      </c>
      <c r="B1344" t="s">
        <v>7637</v>
      </c>
      <c r="C1344" t="s">
        <v>11276</v>
      </c>
      <c r="D1344" t="s">
        <v>13287</v>
      </c>
      <c r="E1344" t="str">
        <f>+VLOOKUP(A1344,[1]PFE4!$A$7:$F$5208,6,0)</f>
        <v>CL 15 20  36</v>
      </c>
      <c r="F1344" s="17">
        <f>+VLOOKUP(A1344,[1]PFE4!$A$7:$G$5208,7,0)</f>
        <v>68001</v>
      </c>
      <c r="G1344">
        <v>8672008</v>
      </c>
      <c r="H1344">
        <v>4329</v>
      </c>
    </row>
    <row r="1345" spans="1:8" ht="15" customHeight="1" x14ac:dyDescent="0.25">
      <c r="A1345" t="s">
        <v>3589</v>
      </c>
      <c r="B1345" t="s">
        <v>7638</v>
      </c>
      <c r="C1345" t="s">
        <v>11277</v>
      </c>
      <c r="D1345" t="s">
        <v>13287</v>
      </c>
      <c r="E1345" t="str">
        <f>+VLOOKUP(A1345,[1]PFE4!$A$7:$F$5208,6,0)</f>
        <v>CALLE 23  15  21</v>
      </c>
      <c r="F1345" s="17">
        <f>+VLOOKUP(A1345,[1]PFE4!$A$7:$G$5208,7,0)</f>
        <v>11001</v>
      </c>
      <c r="G1345">
        <v>8673241</v>
      </c>
      <c r="H1345">
        <v>4329</v>
      </c>
    </row>
    <row r="1346" spans="1:8" ht="15" customHeight="1" x14ac:dyDescent="0.25">
      <c r="A1346" t="s">
        <v>3590</v>
      </c>
      <c r="B1346" t="s">
        <v>7639</v>
      </c>
      <c r="C1346" t="s">
        <v>11278</v>
      </c>
      <c r="D1346" t="s">
        <v>13287</v>
      </c>
      <c r="E1346" t="str">
        <f>+VLOOKUP(A1346,[1]PFE4!$A$7:$F$5208,6,0)</f>
        <v>CARRERA 17  103  43</v>
      </c>
      <c r="F1346" s="17">
        <f>+VLOOKUP(A1346,[1]PFE4!$A$7:$G$5208,7,0)</f>
        <v>11001</v>
      </c>
      <c r="G1346">
        <v>8677952</v>
      </c>
      <c r="H1346">
        <v>4329</v>
      </c>
    </row>
    <row r="1347" spans="1:8" ht="15" customHeight="1" x14ac:dyDescent="0.25">
      <c r="A1347" t="s">
        <v>3591</v>
      </c>
      <c r="B1347" t="s">
        <v>7640</v>
      </c>
      <c r="C1347" t="s">
        <v>11279</v>
      </c>
      <c r="D1347" t="s">
        <v>13287</v>
      </c>
      <c r="E1347" t="str">
        <f>+VLOOKUP(A1347,[1]PFE4!$A$7:$F$5208,6,0)</f>
        <v>CARRERA 41  42  64</v>
      </c>
      <c r="F1347" s="17">
        <f>+VLOOKUP(A1347,[1]PFE4!$A$7:$G$5208,7,0)</f>
        <v>68001</v>
      </c>
      <c r="G1347">
        <v>8679041</v>
      </c>
      <c r="H1347">
        <v>4329</v>
      </c>
    </row>
    <row r="1348" spans="1:8" ht="15" customHeight="1" x14ac:dyDescent="0.25">
      <c r="A1348" t="s">
        <v>3592</v>
      </c>
      <c r="B1348" t="s">
        <v>7641</v>
      </c>
      <c r="C1348" t="s">
        <v>11280</v>
      </c>
      <c r="D1348" t="s">
        <v>13287</v>
      </c>
      <c r="E1348" t="str">
        <f>+VLOOKUP(A1348,[1]PFE4!$A$7:$F$5208,6,0)</f>
        <v>CARRERA 5  6  13</v>
      </c>
      <c r="F1348" s="17">
        <f>+VLOOKUP(A1348,[1]PFE4!$A$7:$G$5208,7,0)</f>
        <v>13001</v>
      </c>
      <c r="G1348">
        <v>8680690</v>
      </c>
      <c r="H1348">
        <v>4329</v>
      </c>
    </row>
    <row r="1349" spans="1:8" ht="15" customHeight="1" x14ac:dyDescent="0.25">
      <c r="A1349" t="s">
        <v>3593</v>
      </c>
      <c r="B1349" t="s">
        <v>7642</v>
      </c>
      <c r="C1349" t="s">
        <v>11281</v>
      </c>
      <c r="D1349" t="s">
        <v>13287</v>
      </c>
      <c r="E1349" t="str">
        <f>+VLOOKUP(A1349,[1]PFE4!$A$7:$F$5208,6,0)</f>
        <v>CARRERA 77  39  60</v>
      </c>
      <c r="F1349" s="17" t="str">
        <f>+VLOOKUP(A1349,[1]PFE4!$A$7:$G$5208,7,0)</f>
        <v>05001</v>
      </c>
      <c r="G1349">
        <v>8687400</v>
      </c>
      <c r="H1349">
        <v>4329</v>
      </c>
    </row>
    <row r="1350" spans="1:8" ht="15" customHeight="1" x14ac:dyDescent="0.25">
      <c r="A1350" t="s">
        <v>3594</v>
      </c>
      <c r="B1350" t="s">
        <v>7643</v>
      </c>
      <c r="C1350" t="s">
        <v>11282</v>
      </c>
      <c r="D1350" t="s">
        <v>13287</v>
      </c>
      <c r="E1350" t="str">
        <f>+VLOOKUP(A1350,[1]PFE4!$A$7:$F$5208,6,0)</f>
        <v>CR 18 A 104 77</v>
      </c>
      <c r="F1350" s="17">
        <f>+VLOOKUP(A1350,[1]PFE4!$A$7:$G$5208,7,0)</f>
        <v>11001</v>
      </c>
      <c r="G1350">
        <v>8688777</v>
      </c>
      <c r="H1350">
        <v>4329</v>
      </c>
    </row>
    <row r="1351" spans="1:8" ht="15" customHeight="1" x14ac:dyDescent="0.25">
      <c r="A1351" t="s">
        <v>3595</v>
      </c>
      <c r="B1351" t="s">
        <v>7644</v>
      </c>
      <c r="C1351" t="s">
        <v>11283</v>
      </c>
      <c r="D1351" t="s">
        <v>13287</v>
      </c>
      <c r="E1351" t="str">
        <f>+VLOOKUP(A1351,[1]PFE4!$A$7:$F$5208,6,0)</f>
        <v>CALLE 56  52  37</v>
      </c>
      <c r="F1351" s="17" t="str">
        <f>+VLOOKUP(A1351,[1]PFE4!$A$7:$G$5208,7,0)</f>
        <v>05001</v>
      </c>
      <c r="G1351">
        <v>8690364</v>
      </c>
      <c r="H1351">
        <v>4329</v>
      </c>
    </row>
    <row r="1352" spans="1:8" ht="15" customHeight="1" x14ac:dyDescent="0.25">
      <c r="A1352" t="s">
        <v>3596</v>
      </c>
      <c r="B1352" t="s">
        <v>7645</v>
      </c>
      <c r="C1352" t="s">
        <v>11284</v>
      </c>
      <c r="D1352" t="s">
        <v>13287</v>
      </c>
      <c r="E1352" t="str">
        <f>+VLOOKUP(A1352,[1]PFE4!$A$7:$F$5208,6,0)</f>
        <v>CALLE 102 A  49 C  10</v>
      </c>
      <c r="F1352" s="17">
        <f>+VLOOKUP(A1352,[1]PFE4!$A$7:$G$5208,7,0)</f>
        <v>11001</v>
      </c>
      <c r="G1352">
        <v>8691084</v>
      </c>
      <c r="H1352">
        <v>4329</v>
      </c>
    </row>
    <row r="1353" spans="1:8" ht="15" customHeight="1" x14ac:dyDescent="0.25">
      <c r="A1353" t="s">
        <v>3597</v>
      </c>
      <c r="B1353" t="s">
        <v>7646</v>
      </c>
      <c r="C1353" t="s">
        <v>11285</v>
      </c>
      <c r="D1353" t="s">
        <v>13287</v>
      </c>
      <c r="E1353" t="str">
        <f>+VLOOKUP(A1353,[1]PFE4!$A$7:$F$5208,6,0)</f>
        <v>CALLE 140 A  15  26</v>
      </c>
      <c r="F1353" s="17">
        <f>+VLOOKUP(A1353,[1]PFE4!$A$7:$G$5208,7,0)</f>
        <v>11001</v>
      </c>
      <c r="G1353">
        <v>8698380</v>
      </c>
      <c r="H1353">
        <v>4329</v>
      </c>
    </row>
    <row r="1354" spans="1:8" ht="15" customHeight="1" x14ac:dyDescent="0.25">
      <c r="A1354" t="s">
        <v>3598</v>
      </c>
      <c r="B1354" t="s">
        <v>7647</v>
      </c>
      <c r="C1354" t="s">
        <v>11286</v>
      </c>
      <c r="D1354" t="s">
        <v>13287</v>
      </c>
      <c r="E1354" t="str">
        <f>+VLOOKUP(A1354,[1]PFE4!$A$7:$F$5208,6,0)</f>
        <v>CARRERA 23  51  67</v>
      </c>
      <c r="F1354" s="17">
        <f>+VLOOKUP(A1354,[1]PFE4!$A$7:$G$5208,7,0)</f>
        <v>11001</v>
      </c>
      <c r="G1354">
        <v>8700860</v>
      </c>
      <c r="H1354">
        <v>4329</v>
      </c>
    </row>
    <row r="1355" spans="1:8" ht="15" customHeight="1" x14ac:dyDescent="0.25">
      <c r="A1355" t="s">
        <v>3599</v>
      </c>
      <c r="B1355" t="s">
        <v>7648</v>
      </c>
      <c r="C1355">
        <v>0</v>
      </c>
      <c r="D1355" t="s">
        <v>13287</v>
      </c>
      <c r="E1355">
        <v>0</v>
      </c>
      <c r="F1355" s="17">
        <v>11001</v>
      </c>
      <c r="G1355">
        <v>8702000</v>
      </c>
      <c r="H1355">
        <v>4329</v>
      </c>
    </row>
    <row r="1356" spans="1:8" ht="15" customHeight="1" x14ac:dyDescent="0.25">
      <c r="A1356" t="s">
        <v>3600</v>
      </c>
      <c r="B1356" t="s">
        <v>7649</v>
      </c>
      <c r="C1356" t="s">
        <v>11287</v>
      </c>
      <c r="D1356" t="s">
        <v>13287</v>
      </c>
      <c r="E1356" t="str">
        <f>+VLOOKUP(A1356,[1]PFE4!$A$7:$F$5208,6,0)</f>
        <v>CARRERA 25  68  84</v>
      </c>
      <c r="F1356" s="17">
        <f>+VLOOKUP(A1356,[1]PFE4!$A$7:$G$5208,7,0)</f>
        <v>11001</v>
      </c>
      <c r="G1356">
        <v>8707644</v>
      </c>
      <c r="H1356">
        <v>4329</v>
      </c>
    </row>
    <row r="1357" spans="1:8" ht="15" customHeight="1" x14ac:dyDescent="0.25">
      <c r="A1357" t="s">
        <v>3601</v>
      </c>
      <c r="B1357" t="s">
        <v>7650</v>
      </c>
      <c r="C1357" t="s">
        <v>11288</v>
      </c>
      <c r="D1357" t="s">
        <v>13287</v>
      </c>
      <c r="E1357" t="str">
        <f>+VLOOKUP(A1357,[1]PFE4!$A$7:$F$5208,6,0)</f>
        <v>CALLE 86 A  13  57</v>
      </c>
      <c r="F1357" s="17">
        <f>+VLOOKUP(A1357,[1]PFE4!$A$7:$G$5208,7,0)</f>
        <v>11001</v>
      </c>
      <c r="G1357">
        <v>8708139</v>
      </c>
      <c r="H1357">
        <v>4329</v>
      </c>
    </row>
    <row r="1358" spans="1:8" ht="15" customHeight="1" x14ac:dyDescent="0.25">
      <c r="A1358" t="s">
        <v>3602</v>
      </c>
      <c r="B1358" t="s">
        <v>7651</v>
      </c>
      <c r="C1358" t="s">
        <v>11289</v>
      </c>
      <c r="D1358" t="s">
        <v>13287</v>
      </c>
      <c r="E1358" t="str">
        <f>+VLOOKUP(A1358,[1]PFE4!$A$7:$F$5208,6,0)</f>
        <v>CALLE 31  29  44</v>
      </c>
      <c r="F1358" s="17">
        <f>+VLOOKUP(A1358,[1]PFE4!$A$7:$G$5208,7,0)</f>
        <v>68001</v>
      </c>
      <c r="G1358">
        <v>8716916</v>
      </c>
      <c r="H1358">
        <v>4329</v>
      </c>
    </row>
    <row r="1359" spans="1:8" ht="15" customHeight="1" x14ac:dyDescent="0.25">
      <c r="A1359" t="s">
        <v>3603</v>
      </c>
      <c r="B1359" t="s">
        <v>7652</v>
      </c>
      <c r="C1359" t="s">
        <v>11290</v>
      </c>
      <c r="D1359" t="s">
        <v>13287</v>
      </c>
      <c r="E1359" t="str">
        <f>+VLOOKUP(A1359,[1]PFE4!$A$7:$F$5208,6,0)</f>
        <v>CALLE 125  18 A  21</v>
      </c>
      <c r="F1359" s="17">
        <f>+VLOOKUP(A1359,[1]PFE4!$A$7:$G$5208,7,0)</f>
        <v>11001</v>
      </c>
      <c r="G1359">
        <v>8718877</v>
      </c>
      <c r="H1359">
        <v>4329</v>
      </c>
    </row>
    <row r="1360" spans="1:8" ht="15" customHeight="1" x14ac:dyDescent="0.25">
      <c r="A1360" t="s">
        <v>3604</v>
      </c>
      <c r="B1360" t="s">
        <v>7653</v>
      </c>
      <c r="C1360" t="s">
        <v>11291</v>
      </c>
      <c r="D1360" t="s">
        <v>13287</v>
      </c>
      <c r="E1360" t="str">
        <f>+VLOOKUP(A1360,[1]PFE4!$A$7:$F$5208,6,0)</f>
        <v>CR 81 6A 51 IN 701</v>
      </c>
      <c r="F1360" s="17" t="str">
        <f>+VLOOKUP(A1360,[1]PFE4!$A$7:$G$5208,7,0)</f>
        <v>05001</v>
      </c>
      <c r="G1360">
        <v>8681552</v>
      </c>
      <c r="H1360">
        <v>4329</v>
      </c>
    </row>
    <row r="1361" spans="1:8" ht="15" customHeight="1" x14ac:dyDescent="0.25">
      <c r="A1361" t="s">
        <v>3605</v>
      </c>
      <c r="B1361" t="s">
        <v>7654</v>
      </c>
      <c r="C1361" t="s">
        <v>11292</v>
      </c>
      <c r="D1361" t="s">
        <v>13287</v>
      </c>
      <c r="E1361" t="str">
        <f>+VLOOKUP(A1361,[1]PFE4!$A$7:$F$5208,6,0)</f>
        <v>CALLE 122  23  27</v>
      </c>
      <c r="F1361" s="17">
        <f>+VLOOKUP(A1361,[1]PFE4!$A$7:$G$5208,7,0)</f>
        <v>11001</v>
      </c>
      <c r="G1361">
        <v>8724138</v>
      </c>
      <c r="H1361">
        <v>4329</v>
      </c>
    </row>
    <row r="1362" spans="1:8" ht="15" customHeight="1" x14ac:dyDescent="0.25">
      <c r="A1362" t="s">
        <v>3606</v>
      </c>
      <c r="B1362" t="s">
        <v>7655</v>
      </c>
      <c r="C1362">
        <v>0</v>
      </c>
      <c r="D1362" t="s">
        <v>13287</v>
      </c>
      <c r="E1362">
        <v>0</v>
      </c>
      <c r="F1362" s="17">
        <v>11001</v>
      </c>
      <c r="G1362">
        <v>193000000</v>
      </c>
      <c r="H1362">
        <v>4329</v>
      </c>
    </row>
    <row r="1363" spans="1:8" ht="15" customHeight="1" x14ac:dyDescent="0.25">
      <c r="A1363" t="s">
        <v>3607</v>
      </c>
      <c r="B1363" t="s">
        <v>7656</v>
      </c>
      <c r="C1363" t="s">
        <v>11293</v>
      </c>
      <c r="D1363" t="s">
        <v>13287</v>
      </c>
      <c r="E1363" t="str">
        <f>+VLOOKUP(A1363,[1]PFE4!$A$7:$F$5208,6,0)</f>
        <v>CARRERA 8  128  11</v>
      </c>
      <c r="F1363" s="17">
        <f>+VLOOKUP(A1363,[1]PFE4!$A$7:$G$5208,7,0)</f>
        <v>11001</v>
      </c>
      <c r="G1363">
        <v>8737488</v>
      </c>
      <c r="H1363">
        <v>4329</v>
      </c>
    </row>
    <row r="1364" spans="1:8" ht="15" customHeight="1" x14ac:dyDescent="0.25">
      <c r="A1364" t="s">
        <v>3608</v>
      </c>
      <c r="B1364" t="s">
        <v>7657</v>
      </c>
      <c r="C1364" t="s">
        <v>11294</v>
      </c>
      <c r="D1364" t="s">
        <v>13287</v>
      </c>
      <c r="E1364" t="str">
        <f>+VLOOKUP(A1364,[1]PFE4!$A$7:$F$5208,6,0)</f>
        <v>AV 9 A NORTE 10-15</v>
      </c>
      <c r="F1364" s="17">
        <f>+VLOOKUP(A1364,[1]PFE4!$A$7:$G$5208,7,0)</f>
        <v>76001</v>
      </c>
      <c r="G1364">
        <v>8739008</v>
      </c>
      <c r="H1364">
        <v>4329</v>
      </c>
    </row>
    <row r="1365" spans="1:8" ht="15" customHeight="1" x14ac:dyDescent="0.25">
      <c r="A1365" t="s">
        <v>3609</v>
      </c>
      <c r="B1365" t="s">
        <v>7658</v>
      </c>
      <c r="C1365" t="s">
        <v>11295</v>
      </c>
      <c r="D1365" t="s">
        <v>13287</v>
      </c>
      <c r="E1365" t="str">
        <f>+VLOOKUP(A1365,[1]PFE4!$A$7:$F$5208,6,0)</f>
        <v>CARRERA 13 113-21</v>
      </c>
      <c r="F1365" s="17">
        <f>+VLOOKUP(A1365,[1]PFE4!$A$7:$G$5208,7,0)</f>
        <v>11001</v>
      </c>
      <c r="G1365">
        <v>8742156</v>
      </c>
      <c r="H1365">
        <v>4329</v>
      </c>
    </row>
    <row r="1366" spans="1:8" ht="15" customHeight="1" x14ac:dyDescent="0.25">
      <c r="A1366" t="s">
        <v>3610</v>
      </c>
      <c r="B1366" t="s">
        <v>7659</v>
      </c>
      <c r="C1366" t="s">
        <v>11296</v>
      </c>
      <c r="D1366" t="s">
        <v>13287</v>
      </c>
      <c r="E1366" t="str">
        <f>+VLOOKUP(A1366,[1]PFE4!$A$7:$F$5208,6,0)</f>
        <v>GLORIETA AEROPUERTO JOSE MARIA CORDOVA</v>
      </c>
      <c r="F1366" s="17" t="str">
        <f>+VLOOKUP(A1366,[1]PFE4!$A$7:$G$5208,7,0)</f>
        <v>05615</v>
      </c>
      <c r="G1366">
        <v>8749479</v>
      </c>
      <c r="H1366">
        <v>4329</v>
      </c>
    </row>
    <row r="1367" spans="1:8" ht="15" customHeight="1" x14ac:dyDescent="0.25">
      <c r="A1367" t="s">
        <v>3611</v>
      </c>
      <c r="B1367" t="s">
        <v>7660</v>
      </c>
      <c r="C1367" t="s">
        <v>11297</v>
      </c>
      <c r="D1367" t="s">
        <v>13287</v>
      </c>
      <c r="E1367" t="str">
        <f>+VLOOKUP(A1367,[1]PFE4!$A$7:$F$5208,6,0)</f>
        <v>CL 11 3 35</v>
      </c>
      <c r="F1367" s="17">
        <f>+VLOOKUP(A1367,[1]PFE4!$A$7:$G$5208,7,0)</f>
        <v>85001</v>
      </c>
      <c r="G1367">
        <v>8760976</v>
      </c>
      <c r="H1367">
        <v>4329</v>
      </c>
    </row>
    <row r="1368" spans="1:8" ht="15" customHeight="1" x14ac:dyDescent="0.25">
      <c r="A1368" t="s">
        <v>3612</v>
      </c>
      <c r="B1368" t="s">
        <v>7661</v>
      </c>
      <c r="C1368" t="s">
        <v>11298</v>
      </c>
      <c r="D1368" t="s">
        <v>13287</v>
      </c>
      <c r="E1368" t="str">
        <f>+VLOOKUP(A1368,[1]PFE4!$A$7:$F$5208,6,0)</f>
        <v>CALLE 40  88  65</v>
      </c>
      <c r="F1368" s="17" t="str">
        <f>+VLOOKUP(A1368,[1]PFE4!$A$7:$G$5208,7,0)</f>
        <v>05001</v>
      </c>
      <c r="G1368">
        <v>8771606</v>
      </c>
      <c r="H1368">
        <v>4329</v>
      </c>
    </row>
    <row r="1369" spans="1:8" ht="15" customHeight="1" x14ac:dyDescent="0.25">
      <c r="A1369" t="s">
        <v>3613</v>
      </c>
      <c r="B1369" t="s">
        <v>7662</v>
      </c>
      <c r="C1369" t="s">
        <v>10728</v>
      </c>
      <c r="D1369" t="s">
        <v>13287</v>
      </c>
      <c r="E1369" t="str">
        <f>+VLOOKUP(A1369,[1]PFE4!$A$7:$F$5208,6,0)</f>
        <v>CALLE 15  13  56</v>
      </c>
      <c r="F1369" s="17">
        <f>+VLOOKUP(A1369,[1]PFE4!$A$7:$G$5208,7,0)</f>
        <v>15238</v>
      </c>
      <c r="G1369">
        <v>8774752</v>
      </c>
      <c r="H1369">
        <v>4329</v>
      </c>
    </row>
    <row r="1370" spans="1:8" ht="15" customHeight="1" x14ac:dyDescent="0.25">
      <c r="A1370" t="s">
        <v>3614</v>
      </c>
      <c r="B1370" t="s">
        <v>7663</v>
      </c>
      <c r="C1370" t="s">
        <v>11299</v>
      </c>
      <c r="D1370" t="s">
        <v>13287</v>
      </c>
      <c r="E1370" t="str">
        <f>+VLOOKUP(A1370,[1]PFE4!$A$7:$F$5208,6,0)</f>
        <v>CALLE 4  8  30</v>
      </c>
      <c r="F1370" s="17">
        <f>+VLOOKUP(A1370,[1]PFE4!$A$7:$G$5208,7,0)</f>
        <v>19001</v>
      </c>
      <c r="G1370">
        <v>8775544</v>
      </c>
      <c r="H1370">
        <v>4329</v>
      </c>
    </row>
    <row r="1371" spans="1:8" ht="15" customHeight="1" x14ac:dyDescent="0.25">
      <c r="A1371" t="s">
        <v>3615</v>
      </c>
      <c r="B1371" t="s">
        <v>7664</v>
      </c>
      <c r="C1371" t="s">
        <v>11300</v>
      </c>
      <c r="D1371" t="s">
        <v>13287</v>
      </c>
      <c r="E1371" t="str">
        <f>+VLOOKUP(A1371,[1]PFE4!$A$7:$F$5208,6,0)</f>
        <v>CALLE 21  22  42</v>
      </c>
      <c r="F1371" s="17">
        <f>+VLOOKUP(A1371,[1]PFE4!$A$7:$G$5208,7,0)</f>
        <v>17001</v>
      </c>
      <c r="G1371">
        <v>8778264</v>
      </c>
      <c r="H1371">
        <v>4329</v>
      </c>
    </row>
    <row r="1372" spans="1:8" ht="15" customHeight="1" x14ac:dyDescent="0.25">
      <c r="A1372" t="s">
        <v>3616</v>
      </c>
      <c r="B1372" t="s">
        <v>7665</v>
      </c>
      <c r="C1372" t="s">
        <v>11301</v>
      </c>
      <c r="D1372" t="s">
        <v>13287</v>
      </c>
      <c r="E1372" t="str">
        <f>+VLOOKUP(A1372,[1]PFE4!$A$7:$F$5208,6,0)</f>
        <v>CALLE 23 SUR  44  56</v>
      </c>
      <c r="F1372" s="17" t="str">
        <f>+VLOOKUP(A1372,[1]PFE4!$A$7:$G$5208,7,0)</f>
        <v>05266</v>
      </c>
      <c r="G1372">
        <v>8786496</v>
      </c>
      <c r="H1372">
        <v>4329</v>
      </c>
    </row>
    <row r="1373" spans="1:8" ht="15" customHeight="1" x14ac:dyDescent="0.25">
      <c r="A1373" t="s">
        <v>3617</v>
      </c>
      <c r="B1373" t="s">
        <v>7666</v>
      </c>
      <c r="C1373" t="s">
        <v>11302</v>
      </c>
      <c r="D1373" t="s">
        <v>13287</v>
      </c>
      <c r="E1373" t="str">
        <f>+VLOOKUP(A1373,[1]PFE4!$A$7:$F$5208,6,0)</f>
        <v>CALLE 93 B  13  44  PISO 5</v>
      </c>
      <c r="F1373" s="17">
        <f>+VLOOKUP(A1373,[1]PFE4!$A$7:$G$5208,7,0)</f>
        <v>11001</v>
      </c>
      <c r="G1373">
        <v>8789482</v>
      </c>
      <c r="H1373">
        <v>4329</v>
      </c>
    </row>
    <row r="1374" spans="1:8" ht="15" customHeight="1" x14ac:dyDescent="0.25">
      <c r="A1374" t="s">
        <v>3618</v>
      </c>
      <c r="B1374" t="s">
        <v>7667</v>
      </c>
      <c r="C1374" t="s">
        <v>11303</v>
      </c>
      <c r="D1374" t="s">
        <v>13287</v>
      </c>
      <c r="E1374" t="str">
        <f>+VLOOKUP(A1374,[1]PFE4!$A$7:$F$5208,6,0)</f>
        <v>CARRERA 17  8  26</v>
      </c>
      <c r="F1374" s="17">
        <f>+VLOOKUP(A1374,[1]PFE4!$A$7:$G$5208,7,0)</f>
        <v>11001</v>
      </c>
      <c r="G1374">
        <v>8795448</v>
      </c>
      <c r="H1374">
        <v>4329</v>
      </c>
    </row>
    <row r="1375" spans="1:8" ht="15" customHeight="1" x14ac:dyDescent="0.25">
      <c r="A1375" t="s">
        <v>3619</v>
      </c>
      <c r="B1375" t="s">
        <v>7668</v>
      </c>
      <c r="C1375" t="s">
        <v>11304</v>
      </c>
      <c r="D1375" t="s">
        <v>13287</v>
      </c>
      <c r="E1375" t="str">
        <f>+VLOOKUP(A1375,[1]PFE4!$A$7:$F$5208,6,0)</f>
        <v>CR 82 33 81  85  89</v>
      </c>
      <c r="F1375" s="17" t="str">
        <f>+VLOOKUP(A1375,[1]PFE4!$A$7:$G$5208,7,0)</f>
        <v>05001</v>
      </c>
      <c r="G1375">
        <v>8801196</v>
      </c>
      <c r="H1375">
        <v>4329</v>
      </c>
    </row>
    <row r="1376" spans="1:8" ht="15" customHeight="1" x14ac:dyDescent="0.25">
      <c r="A1376" t="s">
        <v>3620</v>
      </c>
      <c r="B1376" t="s">
        <v>7669</v>
      </c>
      <c r="C1376" t="s">
        <v>11305</v>
      </c>
      <c r="D1376" t="s">
        <v>13287</v>
      </c>
      <c r="E1376" t="str">
        <f>+VLOOKUP(A1376,[1]PFE4!$A$7:$F$5208,6,0)</f>
        <v>AV 3 57 70</v>
      </c>
      <c r="F1376" s="17">
        <f>+VLOOKUP(A1376,[1]PFE4!$A$7:$G$5208,7,0)</f>
        <v>54001</v>
      </c>
      <c r="G1376">
        <v>8802945</v>
      </c>
      <c r="H1376">
        <v>4329</v>
      </c>
    </row>
    <row r="1377" spans="1:8" ht="15" customHeight="1" x14ac:dyDescent="0.25">
      <c r="A1377" t="s">
        <v>3621</v>
      </c>
      <c r="B1377" t="s">
        <v>7670</v>
      </c>
      <c r="C1377">
        <v>0</v>
      </c>
      <c r="D1377" t="s">
        <v>13287</v>
      </c>
      <c r="E1377">
        <v>0</v>
      </c>
      <c r="F1377" s="17">
        <v>11001</v>
      </c>
      <c r="G1377">
        <v>8803400</v>
      </c>
      <c r="H1377">
        <v>4329</v>
      </c>
    </row>
    <row r="1378" spans="1:8" ht="15" customHeight="1" x14ac:dyDescent="0.25">
      <c r="A1378" t="s">
        <v>3622</v>
      </c>
      <c r="B1378" t="s">
        <v>7671</v>
      </c>
      <c r="C1378" t="s">
        <v>11306</v>
      </c>
      <c r="D1378" t="s">
        <v>13287</v>
      </c>
      <c r="E1378" t="str">
        <f>+VLOOKUP(A1378,[1]PFE4!$A$7:$F$5208,6,0)</f>
        <v>CALLE 19  DG 23  04</v>
      </c>
      <c r="F1378" s="17">
        <f>+VLOOKUP(A1378,[1]PFE4!$A$7:$G$5208,7,0)</f>
        <v>76001</v>
      </c>
      <c r="G1378">
        <v>8816358</v>
      </c>
      <c r="H1378">
        <v>4329</v>
      </c>
    </row>
    <row r="1379" spans="1:8" ht="15" customHeight="1" x14ac:dyDescent="0.25">
      <c r="A1379" t="s">
        <v>3623</v>
      </c>
      <c r="B1379" t="s">
        <v>7672</v>
      </c>
      <c r="C1379" t="s">
        <v>11307</v>
      </c>
      <c r="D1379" t="s">
        <v>13287</v>
      </c>
      <c r="E1379" t="str">
        <f>+VLOOKUP(A1379,[1]PFE4!$A$7:$F$5208,6,0)</f>
        <v>CARRERA 47  20 SUR  84</v>
      </c>
      <c r="F1379" s="17" t="str">
        <f>+VLOOKUP(A1379,[1]PFE4!$A$7:$G$5208,7,0)</f>
        <v>05001</v>
      </c>
      <c r="G1379">
        <v>8818243</v>
      </c>
      <c r="H1379">
        <v>4329</v>
      </c>
    </row>
    <row r="1380" spans="1:8" ht="15" customHeight="1" x14ac:dyDescent="0.25">
      <c r="A1380" t="s">
        <v>3624</v>
      </c>
      <c r="B1380" t="s">
        <v>7673</v>
      </c>
      <c r="C1380" t="s">
        <v>11308</v>
      </c>
      <c r="D1380" t="s">
        <v>13287</v>
      </c>
      <c r="E1380" t="str">
        <f>+VLOOKUP(A1380,[1]PFE4!$A$7:$F$5208,6,0)</f>
        <v>CL 89 A 15 22 OF 201</v>
      </c>
      <c r="F1380" s="17">
        <f>+VLOOKUP(A1380,[1]PFE4!$A$7:$G$5208,7,0)</f>
        <v>11001</v>
      </c>
      <c r="G1380">
        <v>8819206</v>
      </c>
      <c r="H1380">
        <v>4329</v>
      </c>
    </row>
    <row r="1381" spans="1:8" ht="15" customHeight="1" x14ac:dyDescent="0.25">
      <c r="A1381" t="s">
        <v>3625</v>
      </c>
      <c r="B1381" t="s">
        <v>7674</v>
      </c>
      <c r="C1381" t="s">
        <v>11309</v>
      </c>
      <c r="D1381" t="s">
        <v>13287</v>
      </c>
      <c r="E1381" t="str">
        <f>+VLOOKUP(A1381,[1]PFE4!$A$7:$F$5208,6,0)</f>
        <v>CALLE 8 A  37 A  43</v>
      </c>
      <c r="F1381" s="17">
        <f>+VLOOKUP(A1381,[1]PFE4!$A$7:$G$5208,7,0)</f>
        <v>11001</v>
      </c>
      <c r="G1381">
        <v>8830725</v>
      </c>
      <c r="H1381">
        <v>4329</v>
      </c>
    </row>
    <row r="1382" spans="1:8" ht="15" customHeight="1" x14ac:dyDescent="0.25">
      <c r="A1382" t="s">
        <v>3626</v>
      </c>
      <c r="B1382" t="s">
        <v>7675</v>
      </c>
      <c r="C1382">
        <v>3219664011</v>
      </c>
      <c r="D1382" t="s">
        <v>13287</v>
      </c>
      <c r="E1382" t="str">
        <f>+VLOOKUP(A1382,[1]PFE4!$A$7:$F$5208,6,0)</f>
        <v>CALLE 4  7  82  OFICINA 102</v>
      </c>
      <c r="F1382" s="17">
        <f>+VLOOKUP(A1382,[1]PFE4!$A$7:$G$5208,7,0)</f>
        <v>19001</v>
      </c>
      <c r="G1382">
        <v>8832140</v>
      </c>
      <c r="H1382">
        <v>4329</v>
      </c>
    </row>
    <row r="1383" spans="1:8" ht="15" customHeight="1" x14ac:dyDescent="0.25">
      <c r="A1383" t="s">
        <v>3627</v>
      </c>
      <c r="B1383" t="s">
        <v>7676</v>
      </c>
      <c r="C1383" t="s">
        <v>11310</v>
      </c>
      <c r="D1383" t="s">
        <v>13287</v>
      </c>
      <c r="E1383" t="str">
        <f>+VLOOKUP(A1383,[1]PFE4!$A$7:$F$5208,6,0)</f>
        <v>CALLE 19 A  88  24</v>
      </c>
      <c r="F1383" s="17">
        <f>+VLOOKUP(A1383,[1]PFE4!$A$7:$G$5208,7,0)</f>
        <v>11001</v>
      </c>
      <c r="G1383">
        <v>8832587</v>
      </c>
      <c r="H1383">
        <v>4329</v>
      </c>
    </row>
    <row r="1384" spans="1:8" ht="15" customHeight="1" x14ac:dyDescent="0.25">
      <c r="A1384" t="s">
        <v>3628</v>
      </c>
      <c r="B1384" t="s">
        <v>7677</v>
      </c>
      <c r="C1384" t="s">
        <v>11311</v>
      </c>
      <c r="D1384" t="s">
        <v>13287</v>
      </c>
      <c r="E1384" t="str">
        <f>+VLOOKUP(A1384,[1]PFE4!$A$7:$F$5208,6,0)</f>
        <v xml:space="preserve">CL 11 C 31 79 OF 301 ED LA MANIGUA
</v>
      </c>
      <c r="F1384" s="17" t="str">
        <f>+VLOOKUP(A1384,[1]PFE4!$A$7:$G$5208,7,0)</f>
        <v>05001</v>
      </c>
      <c r="G1384">
        <v>8838816</v>
      </c>
      <c r="H1384">
        <v>4329</v>
      </c>
    </row>
    <row r="1385" spans="1:8" ht="15" customHeight="1" x14ac:dyDescent="0.25">
      <c r="A1385" t="s">
        <v>3629</v>
      </c>
      <c r="B1385" t="s">
        <v>7678</v>
      </c>
      <c r="C1385" t="s">
        <v>11312</v>
      </c>
      <c r="D1385" t="s">
        <v>13287</v>
      </c>
      <c r="E1385" t="str">
        <f>+VLOOKUP(A1385,[1]PFE4!$A$7:$F$5208,6,0)</f>
        <v>CARRERA 36  112  25</v>
      </c>
      <c r="F1385" s="17">
        <f>+VLOOKUP(A1385,[1]PFE4!$A$7:$G$5208,7,0)</f>
        <v>68001</v>
      </c>
      <c r="G1385">
        <v>8841462</v>
      </c>
      <c r="H1385">
        <v>4329</v>
      </c>
    </row>
    <row r="1386" spans="1:8" ht="15" customHeight="1" x14ac:dyDescent="0.25">
      <c r="A1386" t="s">
        <v>3630</v>
      </c>
      <c r="B1386" t="s">
        <v>7679</v>
      </c>
      <c r="C1386" t="s">
        <v>11313</v>
      </c>
      <c r="D1386" t="s">
        <v>13287</v>
      </c>
      <c r="E1386" t="str">
        <f>+VLOOKUP(A1386,[1]PFE4!$A$7:$F$5208,6,0)</f>
        <v>CARRERA 18  70  20</v>
      </c>
      <c r="F1386" s="17">
        <f>+VLOOKUP(A1386,[1]PFE4!$A$7:$G$5208,7,0)</f>
        <v>11001</v>
      </c>
      <c r="G1386">
        <v>8843214</v>
      </c>
      <c r="H1386">
        <v>4329</v>
      </c>
    </row>
    <row r="1387" spans="1:8" ht="15" customHeight="1" x14ac:dyDescent="0.25">
      <c r="A1387" t="s">
        <v>3631</v>
      </c>
      <c r="B1387" t="s">
        <v>7680</v>
      </c>
      <c r="C1387" t="s">
        <v>11180</v>
      </c>
      <c r="D1387" t="s">
        <v>13287</v>
      </c>
      <c r="E1387" t="str">
        <f>+VLOOKUP(A1387,[1]PFE4!$A$7:$F$5208,6,0)</f>
        <v>CALLE 118  20  51</v>
      </c>
      <c r="F1387" s="17">
        <f>+VLOOKUP(A1387,[1]PFE4!$A$7:$G$5208,7,0)</f>
        <v>11001</v>
      </c>
      <c r="G1387">
        <v>8843893</v>
      </c>
      <c r="H1387">
        <v>4329</v>
      </c>
    </row>
    <row r="1388" spans="1:8" ht="15" customHeight="1" x14ac:dyDescent="0.25">
      <c r="A1388" t="s">
        <v>3632</v>
      </c>
      <c r="B1388" t="s">
        <v>7681</v>
      </c>
      <c r="C1388" t="s">
        <v>11314</v>
      </c>
      <c r="D1388" t="s">
        <v>13287</v>
      </c>
      <c r="E1388" t="str">
        <f>+VLOOKUP(A1388,[1]PFE4!$A$7:$F$5208,6,0)</f>
        <v>CARRERA 51 B  KILOMETRO 2  CARRETERA PUERTO COLOMBIA</v>
      </c>
      <c r="F1388" s="17" t="str">
        <f>+VLOOKUP(A1388,[1]PFE4!$A$7:$G$5208,7,0)</f>
        <v>08573</v>
      </c>
      <c r="G1388">
        <v>8848160</v>
      </c>
      <c r="H1388">
        <v>4329</v>
      </c>
    </row>
    <row r="1389" spans="1:8" ht="15" customHeight="1" x14ac:dyDescent="0.25">
      <c r="A1389" t="s">
        <v>3633</v>
      </c>
      <c r="B1389" t="s">
        <v>7682</v>
      </c>
      <c r="C1389" t="s">
        <v>11315</v>
      </c>
      <c r="D1389" t="s">
        <v>13287</v>
      </c>
      <c r="E1389" t="str">
        <f>+VLOOKUP(A1389,[1]PFE4!$A$7:$F$5208,6,0)</f>
        <v>CALLE 45 No. 21 - 125</v>
      </c>
      <c r="F1389" s="17" t="str">
        <f>+VLOOKUP(A1389,[1]PFE4!$A$7:$G$5208,7,0)</f>
        <v>08001</v>
      </c>
      <c r="G1389">
        <v>8859651</v>
      </c>
      <c r="H1389">
        <v>4329</v>
      </c>
    </row>
    <row r="1390" spans="1:8" ht="15" customHeight="1" x14ac:dyDescent="0.25">
      <c r="A1390" t="s">
        <v>3634</v>
      </c>
      <c r="B1390" t="s">
        <v>7683</v>
      </c>
      <c r="C1390" t="s">
        <v>11316</v>
      </c>
      <c r="D1390" t="s">
        <v>13287</v>
      </c>
      <c r="E1390" t="str">
        <f>+VLOOKUP(A1390,[1]PFE4!$A$7:$F$5208,6,0)</f>
        <v>CALLE 120  15 A  45</v>
      </c>
      <c r="F1390" s="17">
        <f>+VLOOKUP(A1390,[1]PFE4!$A$7:$G$5208,7,0)</f>
        <v>11001</v>
      </c>
      <c r="G1390">
        <v>8864216</v>
      </c>
      <c r="H1390">
        <v>4329</v>
      </c>
    </row>
    <row r="1391" spans="1:8" ht="15" customHeight="1" x14ac:dyDescent="0.25">
      <c r="A1391" t="s">
        <v>3635</v>
      </c>
      <c r="B1391" t="s">
        <v>7684</v>
      </c>
      <c r="C1391" t="s">
        <v>11317</v>
      </c>
      <c r="D1391" t="s">
        <v>13287</v>
      </c>
      <c r="E1391" t="str">
        <f>+VLOOKUP(A1391,[1]PFE4!$A$7:$F$5208,6,0)</f>
        <v>CALLE 125  18 A  05</v>
      </c>
      <c r="F1391" s="17">
        <f>+VLOOKUP(A1391,[1]PFE4!$A$7:$G$5208,7,0)</f>
        <v>11001</v>
      </c>
      <c r="G1391">
        <v>8869440</v>
      </c>
      <c r="H1391">
        <v>4329</v>
      </c>
    </row>
    <row r="1392" spans="1:8" ht="15" customHeight="1" x14ac:dyDescent="0.25">
      <c r="A1392" t="s">
        <v>3636</v>
      </c>
      <c r="B1392" t="s">
        <v>7685</v>
      </c>
      <c r="C1392" t="s">
        <v>11318</v>
      </c>
      <c r="D1392" t="s">
        <v>13287</v>
      </c>
      <c r="E1392" t="str">
        <f>+VLOOKUP(A1392,[1]PFE4!$A$7:$F$5208,6,0)</f>
        <v>CARRERA 39  5 A  91</v>
      </c>
      <c r="F1392" s="17">
        <f>+VLOOKUP(A1392,[1]PFE4!$A$7:$G$5208,7,0)</f>
        <v>76001</v>
      </c>
      <c r="G1392">
        <v>8869932</v>
      </c>
      <c r="H1392">
        <v>4329</v>
      </c>
    </row>
    <row r="1393" spans="1:8" ht="15" customHeight="1" x14ac:dyDescent="0.25">
      <c r="A1393" t="s">
        <v>3637</v>
      </c>
      <c r="B1393" t="s">
        <v>7686</v>
      </c>
      <c r="C1393" t="s">
        <v>11319</v>
      </c>
      <c r="D1393" t="s">
        <v>13287</v>
      </c>
      <c r="E1393" t="str">
        <f>+VLOOKUP(A1393,[1]PFE4!$A$7:$F$5208,6,0)</f>
        <v>CL 42 68 A 32</v>
      </c>
      <c r="F1393" s="17" t="str">
        <f>+VLOOKUP(A1393,[1]PFE4!$A$7:$G$5208,7,0)</f>
        <v>05001</v>
      </c>
      <c r="G1393">
        <v>8877932</v>
      </c>
      <c r="H1393">
        <v>4329</v>
      </c>
    </row>
    <row r="1394" spans="1:8" ht="15" customHeight="1" x14ac:dyDescent="0.25">
      <c r="A1394" t="s">
        <v>3638</v>
      </c>
      <c r="B1394" t="s">
        <v>7687</v>
      </c>
      <c r="C1394" t="s">
        <v>11320</v>
      </c>
      <c r="D1394" t="s">
        <v>13287</v>
      </c>
      <c r="E1394" t="str">
        <f>+VLOOKUP(A1394,[1]PFE4!$A$7:$F$5208,6,0)</f>
        <v>CARRERA 8  43  38</v>
      </c>
      <c r="F1394" s="17">
        <f>+VLOOKUP(A1394,[1]PFE4!$A$7:$G$5208,7,0)</f>
        <v>11001</v>
      </c>
      <c r="G1394">
        <v>8878000</v>
      </c>
      <c r="H1394">
        <v>4329</v>
      </c>
    </row>
    <row r="1395" spans="1:8" ht="15" customHeight="1" x14ac:dyDescent="0.25">
      <c r="A1395" t="s">
        <v>3639</v>
      </c>
      <c r="B1395" t="s">
        <v>7688</v>
      </c>
      <c r="C1395" t="s">
        <v>11321</v>
      </c>
      <c r="D1395" t="s">
        <v>13287</v>
      </c>
      <c r="E1395" t="str">
        <f>+VLOOKUP(A1395,[1]PFE4!$A$7:$F$5208,6,0)</f>
        <v>CARRERA 52  80  76</v>
      </c>
      <c r="F1395" s="17" t="str">
        <f>+VLOOKUP(A1395,[1]PFE4!$A$7:$G$5208,7,0)</f>
        <v>08001</v>
      </c>
      <c r="G1395">
        <v>8879003</v>
      </c>
      <c r="H1395">
        <v>4329</v>
      </c>
    </row>
    <row r="1396" spans="1:8" ht="15" customHeight="1" x14ac:dyDescent="0.25">
      <c r="A1396" t="s">
        <v>3640</v>
      </c>
      <c r="B1396" t="s">
        <v>7689</v>
      </c>
      <c r="C1396" t="s">
        <v>11322</v>
      </c>
      <c r="D1396" t="s">
        <v>13287</v>
      </c>
      <c r="E1396" t="str">
        <f>+VLOOKUP(A1396,[1]PFE4!$A$7:$F$5208,6,0)</f>
        <v>CALLE 93 B  9  72</v>
      </c>
      <c r="F1396" s="17">
        <f>+VLOOKUP(A1396,[1]PFE4!$A$7:$G$5208,7,0)</f>
        <v>11001</v>
      </c>
      <c r="G1396">
        <v>8880167</v>
      </c>
      <c r="H1396">
        <v>4329</v>
      </c>
    </row>
    <row r="1397" spans="1:8" ht="15" customHeight="1" x14ac:dyDescent="0.25">
      <c r="A1397" t="s">
        <v>3641</v>
      </c>
      <c r="B1397" t="s">
        <v>7690</v>
      </c>
      <c r="C1397" t="s">
        <v>11323</v>
      </c>
      <c r="D1397" t="s">
        <v>13287</v>
      </c>
      <c r="E1397" t="str">
        <f>+VLOOKUP(A1397,[1]PFE4!$A$7:$F$5208,6,0)</f>
        <v>CL 84 A 8 43</v>
      </c>
      <c r="F1397" s="17">
        <f>+VLOOKUP(A1397,[1]PFE4!$A$7:$G$5208,7,0)</f>
        <v>11001</v>
      </c>
      <c r="G1397">
        <v>8886296</v>
      </c>
      <c r="H1397">
        <v>4329</v>
      </c>
    </row>
    <row r="1398" spans="1:8" ht="15" customHeight="1" x14ac:dyDescent="0.25">
      <c r="A1398" t="s">
        <v>3642</v>
      </c>
      <c r="B1398" t="s">
        <v>7691</v>
      </c>
      <c r="C1398" t="s">
        <v>11152</v>
      </c>
      <c r="D1398" t="s">
        <v>13287</v>
      </c>
      <c r="E1398" t="str">
        <f>+VLOOKUP(A1398,[1]PFE4!$A$7:$F$5208,6,0)</f>
        <v>CALLE 127 A  7 C  63</v>
      </c>
      <c r="F1398" s="17">
        <f>+VLOOKUP(A1398,[1]PFE4!$A$7:$G$5208,7,0)</f>
        <v>11001</v>
      </c>
      <c r="G1398">
        <v>8886434</v>
      </c>
      <c r="H1398">
        <v>4329</v>
      </c>
    </row>
    <row r="1399" spans="1:8" ht="15" customHeight="1" x14ac:dyDescent="0.25">
      <c r="A1399" t="s">
        <v>3643</v>
      </c>
      <c r="B1399" t="s">
        <v>7692</v>
      </c>
      <c r="C1399" t="s">
        <v>11324</v>
      </c>
      <c r="D1399" t="s">
        <v>13287</v>
      </c>
      <c r="E1399" t="str">
        <f>+VLOOKUP(A1399,[1]PFE4!$A$7:$F$5208,6,0)</f>
        <v>CALLE 55  77 C  100</v>
      </c>
      <c r="F1399" s="17" t="str">
        <f>+VLOOKUP(A1399,[1]PFE4!$A$7:$G$5208,7,0)</f>
        <v>05001</v>
      </c>
      <c r="G1399">
        <v>8888596</v>
      </c>
      <c r="H1399">
        <v>4329</v>
      </c>
    </row>
    <row r="1400" spans="1:8" ht="15" customHeight="1" x14ac:dyDescent="0.25">
      <c r="A1400" t="s">
        <v>3644</v>
      </c>
      <c r="B1400" t="s">
        <v>7693</v>
      </c>
      <c r="C1400" t="s">
        <v>11325</v>
      </c>
      <c r="D1400" t="s">
        <v>13287</v>
      </c>
      <c r="E1400" t="str">
        <f>+VLOOKUP(A1400,[1]PFE4!$A$7:$F$5208,6,0)</f>
        <v>TRANSVERSAL 5A 45-69</v>
      </c>
      <c r="F1400" s="17" t="str">
        <f>+VLOOKUP(A1400,[1]PFE4!$A$7:$G$5208,7,0)</f>
        <v>05001</v>
      </c>
      <c r="G1400">
        <v>8894640</v>
      </c>
      <c r="H1400">
        <v>4329</v>
      </c>
    </row>
    <row r="1401" spans="1:8" ht="15" customHeight="1" x14ac:dyDescent="0.25">
      <c r="A1401" t="s">
        <v>3645</v>
      </c>
      <c r="B1401" t="s">
        <v>7694</v>
      </c>
      <c r="C1401" t="s">
        <v>11326</v>
      </c>
      <c r="D1401" t="s">
        <v>13287</v>
      </c>
      <c r="E1401" t="str">
        <f>+VLOOKUP(A1401,[1]PFE4!$A$7:$F$5208,6,0)</f>
        <v>CALLE 9  11  29</v>
      </c>
      <c r="F1401" s="17">
        <f>+VLOOKUP(A1401,[1]PFE4!$A$7:$G$5208,7,0)</f>
        <v>41001</v>
      </c>
      <c r="G1401">
        <v>8894743</v>
      </c>
      <c r="H1401">
        <v>4329</v>
      </c>
    </row>
    <row r="1402" spans="1:8" ht="15" customHeight="1" x14ac:dyDescent="0.25">
      <c r="A1402" t="s">
        <v>3646</v>
      </c>
      <c r="B1402" t="s">
        <v>7695</v>
      </c>
      <c r="C1402">
        <v>3219664011</v>
      </c>
      <c r="D1402" t="s">
        <v>13287</v>
      </c>
      <c r="E1402" t="str">
        <f>+VLOOKUP(A1402,[1]PFE4!$A$7:$F$5208,6,0)</f>
        <v>CARRERA 51  102 A  29</v>
      </c>
      <c r="F1402" s="17">
        <f>+VLOOKUP(A1402,[1]PFE4!$A$7:$G$5208,7,0)</f>
        <v>11001</v>
      </c>
      <c r="G1402">
        <v>8895032</v>
      </c>
      <c r="H1402">
        <v>4329</v>
      </c>
    </row>
    <row r="1403" spans="1:8" ht="15" customHeight="1" x14ac:dyDescent="0.25">
      <c r="A1403" t="s">
        <v>3647</v>
      </c>
      <c r="B1403" t="s">
        <v>7696</v>
      </c>
      <c r="C1403" t="s">
        <v>11327</v>
      </c>
      <c r="D1403" t="s">
        <v>13287</v>
      </c>
      <c r="E1403" t="str">
        <f>+VLOOKUP(A1403,[1]PFE4!$A$7:$F$5208,6,0)</f>
        <v>CALLE 11 B  101 B  30</v>
      </c>
      <c r="F1403" s="17">
        <f>+VLOOKUP(A1403,[1]PFE4!$A$7:$G$5208,7,0)</f>
        <v>76001</v>
      </c>
      <c r="G1403">
        <v>8895862</v>
      </c>
      <c r="H1403">
        <v>4329</v>
      </c>
    </row>
    <row r="1404" spans="1:8" ht="15" customHeight="1" x14ac:dyDescent="0.25">
      <c r="A1404" t="s">
        <v>3648</v>
      </c>
      <c r="B1404" t="s">
        <v>7697</v>
      </c>
      <c r="C1404" t="s">
        <v>11328</v>
      </c>
      <c r="D1404" t="s">
        <v>13287</v>
      </c>
      <c r="E1404" t="str">
        <f>+VLOOKUP(A1404,[1]PFE4!$A$7:$F$5208,6,0)</f>
        <v>CARRERA 17  116  73</v>
      </c>
      <c r="F1404" s="17">
        <f>+VLOOKUP(A1404,[1]PFE4!$A$7:$G$5208,7,0)</f>
        <v>11001</v>
      </c>
      <c r="G1404">
        <v>8897955</v>
      </c>
      <c r="H1404">
        <v>4329</v>
      </c>
    </row>
    <row r="1405" spans="1:8" ht="15" customHeight="1" x14ac:dyDescent="0.25">
      <c r="A1405" t="s">
        <v>3649</v>
      </c>
      <c r="B1405" t="s">
        <v>7698</v>
      </c>
      <c r="C1405" t="s">
        <v>11045</v>
      </c>
      <c r="D1405" t="s">
        <v>13287</v>
      </c>
      <c r="E1405" t="str">
        <f>+VLOOKUP(A1405,[1]PFE4!$A$7:$F$5208,6,0)</f>
        <v>CARRERA 8 A  69  11</v>
      </c>
      <c r="F1405" s="17">
        <f>+VLOOKUP(A1405,[1]PFE4!$A$7:$G$5208,7,0)</f>
        <v>11001</v>
      </c>
      <c r="G1405">
        <v>8904027</v>
      </c>
      <c r="H1405">
        <v>4329</v>
      </c>
    </row>
    <row r="1406" spans="1:8" ht="15" customHeight="1" x14ac:dyDescent="0.25">
      <c r="A1406" t="s">
        <v>3650</v>
      </c>
      <c r="B1406" t="s">
        <v>7699</v>
      </c>
      <c r="C1406" t="s">
        <v>11329</v>
      </c>
      <c r="D1406" t="s">
        <v>13287</v>
      </c>
      <c r="E1406" t="str">
        <f>+VLOOKUP(A1406,[1]PFE4!$A$7:$F$5208,6,0)</f>
        <v>CARRERA 18 B  145  08</v>
      </c>
      <c r="F1406" s="17">
        <f>+VLOOKUP(A1406,[1]PFE4!$A$7:$G$5208,7,0)</f>
        <v>11001</v>
      </c>
      <c r="G1406">
        <v>8905995</v>
      </c>
      <c r="H1406">
        <v>4329</v>
      </c>
    </row>
    <row r="1407" spans="1:8" ht="15" customHeight="1" x14ac:dyDescent="0.25">
      <c r="A1407" t="s">
        <v>3651</v>
      </c>
      <c r="B1407" t="s">
        <v>7700</v>
      </c>
      <c r="C1407" t="s">
        <v>11330</v>
      </c>
      <c r="D1407" t="s">
        <v>13287</v>
      </c>
      <c r="E1407" t="str">
        <f>+VLOOKUP(A1407,[1]PFE4!$A$7:$F$5208,6,0)</f>
        <v>CALLE 122  7 A  18</v>
      </c>
      <c r="F1407" s="17">
        <f>+VLOOKUP(A1407,[1]PFE4!$A$7:$G$5208,7,0)</f>
        <v>11001</v>
      </c>
      <c r="G1407">
        <v>8917860</v>
      </c>
      <c r="H1407">
        <v>4329</v>
      </c>
    </row>
    <row r="1408" spans="1:8" ht="15" customHeight="1" x14ac:dyDescent="0.25">
      <c r="A1408" t="s">
        <v>3652</v>
      </c>
      <c r="B1408" t="s">
        <v>7701</v>
      </c>
      <c r="C1408" t="s">
        <v>11331</v>
      </c>
      <c r="D1408" t="s">
        <v>13287</v>
      </c>
      <c r="E1408" t="str">
        <f>+VLOOKUP(A1408,[1]PFE4!$A$7:$F$5208,6,0)</f>
        <v>CARRERA 3  24  95</v>
      </c>
      <c r="F1408" s="17">
        <f>+VLOOKUP(A1408,[1]PFE4!$A$7:$G$5208,7,0)</f>
        <v>11001</v>
      </c>
      <c r="G1408">
        <v>8923780</v>
      </c>
      <c r="H1408">
        <v>4329</v>
      </c>
    </row>
    <row r="1409" spans="1:8" ht="15" customHeight="1" x14ac:dyDescent="0.25">
      <c r="A1409" t="s">
        <v>3653</v>
      </c>
      <c r="B1409" t="s">
        <v>7702</v>
      </c>
      <c r="C1409" t="s">
        <v>11332</v>
      </c>
      <c r="D1409" t="s">
        <v>13287</v>
      </c>
      <c r="E1409" t="str">
        <f>+VLOOKUP(A1409,[1]PFE4!$A$7:$F$5208,6,0)</f>
        <v>CALLE 46  35 A  06</v>
      </c>
      <c r="F1409" s="17">
        <f>+VLOOKUP(A1409,[1]PFE4!$A$7:$G$5208,7,0)</f>
        <v>11001</v>
      </c>
      <c r="G1409">
        <v>8929183</v>
      </c>
      <c r="H1409">
        <v>4329</v>
      </c>
    </row>
    <row r="1410" spans="1:8" ht="15" customHeight="1" x14ac:dyDescent="0.25">
      <c r="A1410" t="s">
        <v>3654</v>
      </c>
      <c r="B1410" t="s">
        <v>7703</v>
      </c>
      <c r="C1410" t="s">
        <v>11333</v>
      </c>
      <c r="D1410" t="s">
        <v>13287</v>
      </c>
      <c r="E1410" t="str">
        <f>+VLOOKUP(A1410,[1]PFE4!$A$7:$F$5208,6,0)</f>
        <v>CARRERA 20  22  41</v>
      </c>
      <c r="F1410" s="17">
        <f>+VLOOKUP(A1410,[1]PFE4!$A$7:$G$5208,7,0)</f>
        <v>68001</v>
      </c>
      <c r="G1410">
        <v>8930680</v>
      </c>
      <c r="H1410">
        <v>4329</v>
      </c>
    </row>
    <row r="1411" spans="1:8" ht="15" customHeight="1" x14ac:dyDescent="0.25">
      <c r="A1411" t="s">
        <v>3655</v>
      </c>
      <c r="B1411" t="s">
        <v>7704</v>
      </c>
      <c r="C1411" t="s">
        <v>11334</v>
      </c>
      <c r="D1411" t="s">
        <v>13287</v>
      </c>
      <c r="E1411" t="str">
        <f>+VLOOKUP(A1411,[1]PFE4!$A$7:$F$5208,6,0)</f>
        <v>TV 49 21 B 56</v>
      </c>
      <c r="F1411" s="17">
        <f>+VLOOKUP(A1411,[1]PFE4!$A$7:$G$5208,7,0)</f>
        <v>13001</v>
      </c>
      <c r="G1411">
        <v>8933468</v>
      </c>
      <c r="H1411">
        <v>4329</v>
      </c>
    </row>
    <row r="1412" spans="1:8" ht="15" customHeight="1" x14ac:dyDescent="0.25">
      <c r="A1412" t="s">
        <v>3656</v>
      </c>
      <c r="B1412" t="s">
        <v>7705</v>
      </c>
      <c r="C1412" t="s">
        <v>11335</v>
      </c>
      <c r="D1412" t="s">
        <v>13287</v>
      </c>
      <c r="E1412" t="str">
        <f>+VLOOKUP(A1412,[1]PFE4!$A$7:$F$5208,6,0)</f>
        <v>CARRERA 11  82  01 PISO 4</v>
      </c>
      <c r="F1412" s="17">
        <f>+VLOOKUP(A1412,[1]PFE4!$A$7:$G$5208,7,0)</f>
        <v>11001</v>
      </c>
      <c r="G1412">
        <v>8936279</v>
      </c>
      <c r="H1412">
        <v>4329</v>
      </c>
    </row>
    <row r="1413" spans="1:8" ht="15" customHeight="1" x14ac:dyDescent="0.25">
      <c r="A1413" t="s">
        <v>3657</v>
      </c>
      <c r="B1413" t="s">
        <v>7706</v>
      </c>
      <c r="C1413" t="s">
        <v>11336</v>
      </c>
      <c r="D1413" t="s">
        <v>13287</v>
      </c>
      <c r="E1413" t="str">
        <f>+VLOOKUP(A1413,[1]PFE4!$A$7:$F$5208,6,0)</f>
        <v>CARRERA 8  81 A  33</v>
      </c>
      <c r="F1413" s="17">
        <f>+VLOOKUP(A1413,[1]PFE4!$A$7:$G$5208,7,0)</f>
        <v>11001</v>
      </c>
      <c r="G1413">
        <v>8949099</v>
      </c>
      <c r="H1413">
        <v>4329</v>
      </c>
    </row>
    <row r="1414" spans="1:8" ht="15" customHeight="1" x14ac:dyDescent="0.25">
      <c r="A1414" t="s">
        <v>3658</v>
      </c>
      <c r="B1414" t="s">
        <v>7707</v>
      </c>
      <c r="C1414" t="s">
        <v>11337</v>
      </c>
      <c r="D1414" t="s">
        <v>13287</v>
      </c>
      <c r="E1414" t="str">
        <f>+VLOOKUP(A1414,[1]PFE4!$A$7:$F$5208,6,0)</f>
        <v>CALLE 35  66 A  27</v>
      </c>
      <c r="F1414" s="17" t="str">
        <f>+VLOOKUP(A1414,[1]PFE4!$A$7:$G$5208,7,0)</f>
        <v>05001</v>
      </c>
      <c r="G1414">
        <v>8949518</v>
      </c>
      <c r="H1414">
        <v>4329</v>
      </c>
    </row>
    <row r="1415" spans="1:8" ht="15" customHeight="1" x14ac:dyDescent="0.25">
      <c r="A1415" t="s">
        <v>3659</v>
      </c>
      <c r="B1415" t="s">
        <v>7708</v>
      </c>
      <c r="C1415" t="s">
        <v>11338</v>
      </c>
      <c r="D1415" t="s">
        <v>13287</v>
      </c>
      <c r="E1415" t="str">
        <f>+VLOOKUP(A1415,[1]PFE4!$A$7:$F$5208,6,0)</f>
        <v>CALLE 108  16  55</v>
      </c>
      <c r="F1415" s="17">
        <f>+VLOOKUP(A1415,[1]PFE4!$A$7:$G$5208,7,0)</f>
        <v>11001</v>
      </c>
      <c r="G1415">
        <v>8963720</v>
      </c>
      <c r="H1415">
        <v>4329</v>
      </c>
    </row>
    <row r="1416" spans="1:8" ht="15" customHeight="1" x14ac:dyDescent="0.25">
      <c r="A1416" t="s">
        <v>3660</v>
      </c>
      <c r="B1416" t="s">
        <v>7709</v>
      </c>
      <c r="C1416" t="s">
        <v>11339</v>
      </c>
      <c r="D1416" t="s">
        <v>13287</v>
      </c>
      <c r="E1416" t="str">
        <f>+VLOOKUP(A1416,[1]PFE4!$A$7:$F$5208,6,0)</f>
        <v>CALLE 10  15  23</v>
      </c>
      <c r="F1416" s="17">
        <f>+VLOOKUP(A1416,[1]PFE4!$A$7:$G$5208,7,0)</f>
        <v>63001</v>
      </c>
      <c r="G1416">
        <v>8972016</v>
      </c>
      <c r="H1416">
        <v>4329</v>
      </c>
    </row>
    <row r="1417" spans="1:8" ht="15" customHeight="1" x14ac:dyDescent="0.25">
      <c r="A1417" t="s">
        <v>3661</v>
      </c>
      <c r="B1417" t="s">
        <v>7710</v>
      </c>
      <c r="C1417" t="s">
        <v>11340</v>
      </c>
      <c r="D1417" t="s">
        <v>13287</v>
      </c>
      <c r="E1417" t="str">
        <f>+VLOOKUP(A1417,[1]PFE4!$A$7:$F$5208,6,0)</f>
        <v>CARRERA 32  16  70</v>
      </c>
      <c r="F1417" s="17" t="str">
        <f>+VLOOKUP(A1417,[1]PFE4!$A$7:$G$5208,7,0)</f>
        <v>05001</v>
      </c>
      <c r="G1417">
        <v>8972136</v>
      </c>
      <c r="H1417">
        <v>4329</v>
      </c>
    </row>
    <row r="1418" spans="1:8" ht="15" customHeight="1" x14ac:dyDescent="0.25">
      <c r="A1418" t="s">
        <v>3662</v>
      </c>
      <c r="B1418" t="s">
        <v>7711</v>
      </c>
      <c r="C1418" t="s">
        <v>11341</v>
      </c>
      <c r="D1418" t="s">
        <v>13287</v>
      </c>
      <c r="E1418" t="str">
        <f>+VLOOKUP(A1418,[1]PFE4!$A$7:$F$5208,6,0)</f>
        <v>CALLE 10 NORTE  7 N  52</v>
      </c>
      <c r="F1418" s="17">
        <f>+VLOOKUP(A1418,[1]PFE4!$A$7:$G$5208,7,0)</f>
        <v>76001</v>
      </c>
      <c r="G1418">
        <v>8987248</v>
      </c>
      <c r="H1418">
        <v>4329</v>
      </c>
    </row>
    <row r="1419" spans="1:8" ht="15" customHeight="1" x14ac:dyDescent="0.25">
      <c r="A1419" t="s">
        <v>3663</v>
      </c>
      <c r="B1419" t="s">
        <v>7712</v>
      </c>
      <c r="C1419" t="s">
        <v>11342</v>
      </c>
      <c r="D1419" t="s">
        <v>13287</v>
      </c>
      <c r="E1419" t="str">
        <f>+VLOOKUP(A1419,[1]PFE4!$A$7:$F$5208,6,0)</f>
        <v>CARRERA 9 94 A  - 32 OFC 402</v>
      </c>
      <c r="F1419" s="17">
        <f>+VLOOKUP(A1419,[1]PFE4!$A$7:$G$5208,7,0)</f>
        <v>11001</v>
      </c>
      <c r="G1419">
        <v>8990690</v>
      </c>
      <c r="H1419">
        <v>4329</v>
      </c>
    </row>
    <row r="1420" spans="1:8" ht="15" customHeight="1" x14ac:dyDescent="0.25">
      <c r="A1420" t="s">
        <v>3664</v>
      </c>
      <c r="B1420" t="s">
        <v>7713</v>
      </c>
      <c r="C1420" t="s">
        <v>11152</v>
      </c>
      <c r="D1420" t="s">
        <v>13287</v>
      </c>
      <c r="E1420" t="str">
        <f>+VLOOKUP(A1420,[1]PFE4!$A$7:$F$5208,6,0)</f>
        <v>CALLE 134  12 B  56</v>
      </c>
      <c r="F1420" s="17">
        <f>+VLOOKUP(A1420,[1]PFE4!$A$7:$G$5208,7,0)</f>
        <v>11001</v>
      </c>
      <c r="G1420">
        <v>8992325</v>
      </c>
      <c r="H1420">
        <v>4329</v>
      </c>
    </row>
    <row r="1421" spans="1:8" ht="15" customHeight="1" x14ac:dyDescent="0.25">
      <c r="A1421" t="s">
        <v>3665</v>
      </c>
      <c r="B1421" t="s">
        <v>7714</v>
      </c>
      <c r="C1421" t="s">
        <v>11343</v>
      </c>
      <c r="D1421" t="s">
        <v>13287</v>
      </c>
      <c r="E1421" t="str">
        <f>+VLOOKUP(A1421,[1]PFE4!$A$7:$F$5208,6,0)</f>
        <v>CALLE 91  25  16</v>
      </c>
      <c r="F1421" s="17">
        <f>+VLOOKUP(A1421,[1]PFE4!$A$7:$G$5208,7,0)</f>
        <v>68001</v>
      </c>
      <c r="G1421">
        <v>8994224</v>
      </c>
      <c r="H1421">
        <v>4329</v>
      </c>
    </row>
    <row r="1422" spans="1:8" ht="15" customHeight="1" x14ac:dyDescent="0.25">
      <c r="A1422" t="s">
        <v>3666</v>
      </c>
      <c r="B1422" t="s">
        <v>7715</v>
      </c>
      <c r="C1422">
        <v>3219664011</v>
      </c>
      <c r="D1422" t="s">
        <v>13287</v>
      </c>
      <c r="E1422" t="str">
        <f>+VLOOKUP(A1422,[1]PFE4!$A$7:$F$5208,6,0)</f>
        <v>CALLE 128  18  67</v>
      </c>
      <c r="F1422" s="17">
        <f>+VLOOKUP(A1422,[1]PFE4!$A$7:$G$5208,7,0)</f>
        <v>11001</v>
      </c>
      <c r="G1422">
        <v>8996502</v>
      </c>
      <c r="H1422">
        <v>4329</v>
      </c>
    </row>
    <row r="1423" spans="1:8" ht="15" customHeight="1" x14ac:dyDescent="0.25">
      <c r="A1423" t="s">
        <v>3667</v>
      </c>
      <c r="B1423" t="s">
        <v>7716</v>
      </c>
      <c r="C1423" t="s">
        <v>11344</v>
      </c>
      <c r="D1423" t="s">
        <v>13287</v>
      </c>
      <c r="E1423" t="str">
        <f>+VLOOKUP(A1423,[1]PFE4!$A$7:$F$5208,6,0)</f>
        <v>CALLE 64 NORTE  5 B  146</v>
      </c>
      <c r="F1423" s="17">
        <f>+VLOOKUP(A1423,[1]PFE4!$A$7:$G$5208,7,0)</f>
        <v>68001</v>
      </c>
      <c r="G1423">
        <v>9003858</v>
      </c>
      <c r="H1423">
        <v>4329</v>
      </c>
    </row>
    <row r="1424" spans="1:8" ht="15" customHeight="1" x14ac:dyDescent="0.25">
      <c r="A1424" t="s">
        <v>3668</v>
      </c>
      <c r="B1424" t="s">
        <v>7717</v>
      </c>
      <c r="C1424">
        <v>0</v>
      </c>
      <c r="D1424" t="s">
        <v>13287</v>
      </c>
      <c r="E1424">
        <v>0</v>
      </c>
      <c r="F1424" s="17">
        <v>11001</v>
      </c>
      <c r="G1424">
        <v>9005481</v>
      </c>
      <c r="H1424">
        <v>4329</v>
      </c>
    </row>
    <row r="1425" spans="1:8" ht="15" customHeight="1" x14ac:dyDescent="0.25">
      <c r="A1425" t="s">
        <v>3669</v>
      </c>
      <c r="B1425" t="s">
        <v>7718</v>
      </c>
      <c r="C1425">
        <v>3219664011</v>
      </c>
      <c r="D1425" t="s">
        <v>13287</v>
      </c>
      <c r="E1425" t="str">
        <f>+VLOOKUP(A1425,[1]PFE4!$A$7:$F$5208,6,0)</f>
        <v>CARRERA 14  18  56 LOCAL 41</v>
      </c>
      <c r="F1425" s="17">
        <f>+VLOOKUP(A1425,[1]PFE4!$A$7:$G$5208,7,0)</f>
        <v>63001</v>
      </c>
      <c r="G1425">
        <v>9007778</v>
      </c>
      <c r="H1425">
        <v>4329</v>
      </c>
    </row>
    <row r="1426" spans="1:8" ht="15" customHeight="1" x14ac:dyDescent="0.25">
      <c r="A1426" t="s">
        <v>3670</v>
      </c>
      <c r="B1426" t="s">
        <v>7719</v>
      </c>
      <c r="C1426" t="s">
        <v>11345</v>
      </c>
      <c r="D1426" t="s">
        <v>13287</v>
      </c>
      <c r="E1426" t="str">
        <f>+VLOOKUP(A1426,[1]PFE4!$A$7:$F$5208,6,0)</f>
        <v>TRANSVERSAL 19 A  95  96</v>
      </c>
      <c r="F1426" s="17">
        <f>+VLOOKUP(A1426,[1]PFE4!$A$7:$G$5208,7,0)</f>
        <v>11001</v>
      </c>
      <c r="G1426">
        <v>9009779</v>
      </c>
      <c r="H1426">
        <v>4329</v>
      </c>
    </row>
    <row r="1427" spans="1:8" ht="15" customHeight="1" x14ac:dyDescent="0.25">
      <c r="A1427" t="s">
        <v>3671</v>
      </c>
      <c r="B1427" t="s">
        <v>7720</v>
      </c>
      <c r="C1427" t="s">
        <v>11346</v>
      </c>
      <c r="D1427" t="s">
        <v>13287</v>
      </c>
      <c r="E1427" t="str">
        <f>+VLOOKUP(A1427,[1]PFE4!$A$7:$F$5208,6,0)</f>
        <v>CARRERA 22  44  69</v>
      </c>
      <c r="F1427" s="17">
        <f>+VLOOKUP(A1427,[1]PFE4!$A$7:$G$5208,7,0)</f>
        <v>17001</v>
      </c>
      <c r="G1427">
        <v>9011698</v>
      </c>
      <c r="H1427">
        <v>4329</v>
      </c>
    </row>
    <row r="1428" spans="1:8" ht="15" customHeight="1" x14ac:dyDescent="0.25">
      <c r="A1428" t="s">
        <v>3672</v>
      </c>
      <c r="B1428" t="s">
        <v>7721</v>
      </c>
      <c r="C1428" t="s">
        <v>11347</v>
      </c>
      <c r="D1428" t="s">
        <v>13287</v>
      </c>
      <c r="E1428" t="str">
        <f>+VLOOKUP(A1428,[1]PFE4!$A$7:$F$5208,6,0)</f>
        <v>CALLE 106  18 A  20</v>
      </c>
      <c r="F1428" s="17">
        <f>+VLOOKUP(A1428,[1]PFE4!$A$7:$G$5208,7,0)</f>
        <v>11001</v>
      </c>
      <c r="G1428">
        <v>9013367</v>
      </c>
      <c r="H1428">
        <v>4329</v>
      </c>
    </row>
    <row r="1429" spans="1:8" ht="15" customHeight="1" x14ac:dyDescent="0.25">
      <c r="A1429" t="s">
        <v>3673</v>
      </c>
      <c r="B1429" t="s">
        <v>7722</v>
      </c>
      <c r="C1429" t="s">
        <v>11348</v>
      </c>
      <c r="D1429" t="s">
        <v>13287</v>
      </c>
      <c r="E1429" t="str">
        <f>+VLOOKUP(A1429,[1]PFE4!$A$7:$F$5208,6,0)</f>
        <v>CALLE 2  22  175</v>
      </c>
      <c r="F1429" s="17">
        <f>+VLOOKUP(A1429,[1]PFE4!$A$7:$G$5208,7,0)</f>
        <v>11001</v>
      </c>
      <c r="G1429">
        <v>9015084</v>
      </c>
      <c r="H1429">
        <v>4329</v>
      </c>
    </row>
    <row r="1430" spans="1:8" ht="15" customHeight="1" x14ac:dyDescent="0.25">
      <c r="A1430" t="s">
        <v>3674</v>
      </c>
      <c r="B1430" t="s">
        <v>7723</v>
      </c>
      <c r="C1430" t="s">
        <v>11349</v>
      </c>
      <c r="D1430" t="s">
        <v>13287</v>
      </c>
      <c r="E1430" t="str">
        <f>+VLOOKUP(A1430,[1]PFE4!$A$7:$F$5208,6,0)</f>
        <v>CARRERA 25  65  260</v>
      </c>
      <c r="F1430" s="17">
        <f>+VLOOKUP(A1430,[1]PFE4!$A$7:$G$5208,7,0)</f>
        <v>17001</v>
      </c>
      <c r="G1430">
        <v>9019681</v>
      </c>
      <c r="H1430">
        <v>4329</v>
      </c>
    </row>
    <row r="1431" spans="1:8" ht="15" customHeight="1" x14ac:dyDescent="0.25">
      <c r="A1431" t="s">
        <v>3675</v>
      </c>
      <c r="B1431" t="s">
        <v>7724</v>
      </c>
      <c r="C1431" t="s">
        <v>11350</v>
      </c>
      <c r="D1431" t="s">
        <v>13287</v>
      </c>
      <c r="E1431" t="str">
        <f>+VLOOKUP(A1431,[1]PFE4!$A$7:$F$5208,6,0)</f>
        <v>CARRERA 7 B  29  83</v>
      </c>
      <c r="F1431" s="17">
        <f>+VLOOKUP(A1431,[1]PFE4!$A$7:$G$5208,7,0)</f>
        <v>47001</v>
      </c>
      <c r="G1431">
        <v>9024409</v>
      </c>
      <c r="H1431">
        <v>4329</v>
      </c>
    </row>
    <row r="1432" spans="1:8" ht="15" customHeight="1" x14ac:dyDescent="0.25">
      <c r="A1432" t="s">
        <v>3676</v>
      </c>
      <c r="B1432" t="s">
        <v>7725</v>
      </c>
      <c r="C1432" t="s">
        <v>11351</v>
      </c>
      <c r="D1432" t="s">
        <v>13287</v>
      </c>
      <c r="E1432" t="str">
        <f>+VLOOKUP(A1432,[1]PFE4!$A$7:$F$5208,6,0)</f>
        <v>CARRERA 39 A  42  83</v>
      </c>
      <c r="F1432" s="17">
        <f>+VLOOKUP(A1432,[1]PFE4!$A$7:$G$5208,7,0)</f>
        <v>68001</v>
      </c>
      <c r="G1432">
        <v>9034136</v>
      </c>
      <c r="H1432">
        <v>4329</v>
      </c>
    </row>
    <row r="1433" spans="1:8" ht="15" customHeight="1" x14ac:dyDescent="0.25">
      <c r="A1433" t="s">
        <v>3677</v>
      </c>
      <c r="B1433" t="s">
        <v>7726</v>
      </c>
      <c r="C1433" t="s">
        <v>11352</v>
      </c>
      <c r="D1433" t="s">
        <v>13287</v>
      </c>
      <c r="E1433" t="str">
        <f>+VLOOKUP(A1433,[1]PFE4!$A$7:$F$5208,6,0)</f>
        <v>CARRERA 2 B  66  09</v>
      </c>
      <c r="F1433" s="17">
        <f>+VLOOKUP(A1433,[1]PFE4!$A$7:$G$5208,7,0)</f>
        <v>11001</v>
      </c>
      <c r="G1433">
        <v>9037274</v>
      </c>
      <c r="H1433">
        <v>4329</v>
      </c>
    </row>
    <row r="1434" spans="1:8" ht="15" customHeight="1" x14ac:dyDescent="0.25">
      <c r="A1434" t="s">
        <v>3678</v>
      </c>
      <c r="B1434" t="s">
        <v>7727</v>
      </c>
      <c r="C1434" t="s">
        <v>11353</v>
      </c>
      <c r="D1434" t="s">
        <v>13287</v>
      </c>
      <c r="E1434" t="str">
        <f>+VLOOKUP(A1434,[1]PFE4!$A$7:$F$5208,6,0)</f>
        <v>CALLE 15 A  103  20</v>
      </c>
      <c r="F1434" s="17">
        <f>+VLOOKUP(A1434,[1]PFE4!$A$7:$G$5208,7,0)</f>
        <v>76001</v>
      </c>
      <c r="G1434">
        <v>9044036</v>
      </c>
      <c r="H1434">
        <v>4329</v>
      </c>
    </row>
    <row r="1435" spans="1:8" ht="15" customHeight="1" x14ac:dyDescent="0.25">
      <c r="A1435" t="s">
        <v>3679</v>
      </c>
      <c r="B1435" t="s">
        <v>7728</v>
      </c>
      <c r="C1435" t="s">
        <v>11354</v>
      </c>
      <c r="D1435" t="s">
        <v>13287</v>
      </c>
      <c r="E1435" t="str">
        <f>+VLOOKUP(A1435,[1]PFE4!$A$7:$F$5208,6,0)</f>
        <v>TV 1 83 51</v>
      </c>
      <c r="F1435" s="17">
        <f>+VLOOKUP(A1435,[1]PFE4!$A$7:$G$5208,7,0)</f>
        <v>11001</v>
      </c>
      <c r="G1435">
        <v>9044554</v>
      </c>
      <c r="H1435">
        <v>4329</v>
      </c>
    </row>
    <row r="1436" spans="1:8" ht="15" customHeight="1" x14ac:dyDescent="0.25">
      <c r="A1436" t="s">
        <v>3680</v>
      </c>
      <c r="B1436" t="s">
        <v>7729</v>
      </c>
      <c r="C1436" t="s">
        <v>11355</v>
      </c>
      <c r="D1436" t="s">
        <v>13287</v>
      </c>
      <c r="E1436" t="str">
        <f>+VLOOKUP(A1436,[1]PFE4!$A$7:$F$5208,6,0)</f>
        <v>CALLE 125  18 B  09</v>
      </c>
      <c r="F1436" s="17">
        <f>+VLOOKUP(A1436,[1]PFE4!$A$7:$G$5208,7,0)</f>
        <v>11001</v>
      </c>
      <c r="G1436">
        <v>9050166</v>
      </c>
      <c r="H1436">
        <v>4329</v>
      </c>
    </row>
    <row r="1437" spans="1:8" ht="15" customHeight="1" x14ac:dyDescent="0.25">
      <c r="A1437" t="s">
        <v>3681</v>
      </c>
      <c r="B1437" t="s">
        <v>7730</v>
      </c>
      <c r="C1437">
        <v>0</v>
      </c>
      <c r="D1437" t="s">
        <v>13287</v>
      </c>
      <c r="E1437">
        <v>0</v>
      </c>
      <c r="F1437" s="17">
        <v>11001</v>
      </c>
      <c r="G1437">
        <v>9061965</v>
      </c>
      <c r="H1437">
        <v>4329</v>
      </c>
    </row>
    <row r="1438" spans="1:8" ht="15" customHeight="1" x14ac:dyDescent="0.25">
      <c r="A1438" t="s">
        <v>3682</v>
      </c>
      <c r="B1438" t="s">
        <v>7731</v>
      </c>
      <c r="C1438">
        <v>3219664011</v>
      </c>
      <c r="D1438" t="s">
        <v>13287</v>
      </c>
      <c r="E1438" t="str">
        <f>+VLOOKUP(A1438,[1]PFE4!$A$7:$F$5208,6,0)</f>
        <v>CALLE 6  36 A  41</v>
      </c>
      <c r="F1438" s="17">
        <f>+VLOOKUP(A1438,[1]PFE4!$A$7:$G$5208,7,0)</f>
        <v>76001</v>
      </c>
      <c r="G1438">
        <v>9070192</v>
      </c>
      <c r="H1438">
        <v>4329</v>
      </c>
    </row>
    <row r="1439" spans="1:8" ht="15" customHeight="1" x14ac:dyDescent="0.25">
      <c r="A1439" t="s">
        <v>3683</v>
      </c>
      <c r="B1439" t="s">
        <v>7732</v>
      </c>
      <c r="C1439" t="s">
        <v>11356</v>
      </c>
      <c r="D1439" t="s">
        <v>13287</v>
      </c>
      <c r="E1439" t="str">
        <f>+VLOOKUP(A1439,[1]PFE4!$A$7:$F$5208,6,0)</f>
        <v>CALLE 97  47 A  21</v>
      </c>
      <c r="F1439" s="17">
        <f>+VLOOKUP(A1439,[1]PFE4!$A$7:$G$5208,7,0)</f>
        <v>11001</v>
      </c>
      <c r="G1439">
        <v>9071664</v>
      </c>
      <c r="H1439">
        <v>4329</v>
      </c>
    </row>
    <row r="1440" spans="1:8" ht="15" customHeight="1" x14ac:dyDescent="0.25">
      <c r="A1440" t="s">
        <v>3684</v>
      </c>
      <c r="B1440" t="s">
        <v>7733</v>
      </c>
      <c r="C1440" t="s">
        <v>10389</v>
      </c>
      <c r="D1440" t="s">
        <v>13287</v>
      </c>
      <c r="E1440" t="str">
        <f>+VLOOKUP(A1440,[1]PFE4!$A$7:$F$5208,6,0)</f>
        <v>CR 23 B 69 69 A</v>
      </c>
      <c r="F1440" s="17">
        <f>+VLOOKUP(A1440,[1]PFE4!$A$7:$G$5208,7,0)</f>
        <v>17001</v>
      </c>
      <c r="G1440">
        <v>9074920</v>
      </c>
      <c r="H1440">
        <v>4329</v>
      </c>
    </row>
    <row r="1441" spans="1:8" ht="15" customHeight="1" x14ac:dyDescent="0.25">
      <c r="A1441" t="s">
        <v>3685</v>
      </c>
      <c r="B1441" t="s">
        <v>7734</v>
      </c>
      <c r="C1441" t="s">
        <v>11357</v>
      </c>
      <c r="D1441" t="s">
        <v>13287</v>
      </c>
      <c r="E1441" t="str">
        <f>+VLOOKUP(A1441,[1]PFE4!$A$7:$F$5208,6,0)</f>
        <v>AVENIDA 4  18 N  53</v>
      </c>
      <c r="F1441" s="17">
        <f>+VLOOKUP(A1441,[1]PFE4!$A$7:$G$5208,7,0)</f>
        <v>54001</v>
      </c>
      <c r="G1441">
        <v>9075628</v>
      </c>
      <c r="H1441">
        <v>4329</v>
      </c>
    </row>
    <row r="1442" spans="1:8" ht="15" customHeight="1" x14ac:dyDescent="0.25">
      <c r="A1442" t="s">
        <v>3686</v>
      </c>
      <c r="B1442" t="s">
        <v>7735</v>
      </c>
      <c r="C1442" t="s">
        <v>11358</v>
      </c>
      <c r="D1442" t="s">
        <v>13287</v>
      </c>
      <c r="E1442" t="str">
        <f>+VLOOKUP(A1442,[1]PFE4!$A$7:$F$5208,6,0)</f>
        <v>CARRERA 47  19 SUR  64</v>
      </c>
      <c r="F1442" s="17" t="str">
        <f>+VLOOKUP(A1442,[1]PFE4!$A$7:$G$5208,7,0)</f>
        <v>05266</v>
      </c>
      <c r="G1442">
        <v>9064381</v>
      </c>
      <c r="H1442">
        <v>4329</v>
      </c>
    </row>
    <row r="1443" spans="1:8" ht="15" customHeight="1" x14ac:dyDescent="0.25">
      <c r="A1443" t="s">
        <v>3687</v>
      </c>
      <c r="B1443" t="s">
        <v>7736</v>
      </c>
      <c r="C1443" t="s">
        <v>11359</v>
      </c>
      <c r="D1443" t="s">
        <v>13287</v>
      </c>
      <c r="E1443" t="str">
        <f>+VLOOKUP(A1443,[1]PFE4!$A$7:$F$5208,6,0)</f>
        <v>CALLE 34  10  25</v>
      </c>
      <c r="F1443" s="17">
        <f>+VLOOKUP(A1443,[1]PFE4!$A$7:$G$5208,7,0)</f>
        <v>68001</v>
      </c>
      <c r="G1443">
        <v>9080761</v>
      </c>
      <c r="H1443">
        <v>4329</v>
      </c>
    </row>
    <row r="1444" spans="1:8" ht="15" customHeight="1" x14ac:dyDescent="0.25">
      <c r="A1444" t="s">
        <v>3688</v>
      </c>
      <c r="B1444" t="s">
        <v>7737</v>
      </c>
      <c r="C1444" t="s">
        <v>10879</v>
      </c>
      <c r="D1444" t="s">
        <v>13287</v>
      </c>
      <c r="E1444" t="str">
        <f>+VLOOKUP(A1444,[1]PFE4!$A$7:$F$5208,6,0)</f>
        <v>CALLE 105  19 A  42</v>
      </c>
      <c r="F1444" s="17">
        <f>+VLOOKUP(A1444,[1]PFE4!$A$7:$G$5208,7,0)</f>
        <v>11001</v>
      </c>
      <c r="G1444">
        <v>9081363</v>
      </c>
      <c r="H1444">
        <v>4329</v>
      </c>
    </row>
    <row r="1445" spans="1:8" ht="15" customHeight="1" x14ac:dyDescent="0.25">
      <c r="A1445" t="s">
        <v>3689</v>
      </c>
      <c r="B1445" t="s">
        <v>7738</v>
      </c>
      <c r="C1445" t="s">
        <v>11360</v>
      </c>
      <c r="D1445" t="s">
        <v>13287</v>
      </c>
      <c r="E1445" t="str">
        <f>+VLOOKUP(A1445,[1]PFE4!$A$7:$F$5208,6,0)</f>
        <v>CIR 5 N 66 B 24</v>
      </c>
      <c r="F1445" s="17" t="str">
        <f>+VLOOKUP(A1445,[1]PFE4!$A$7:$G$5208,7,0)</f>
        <v>05001</v>
      </c>
      <c r="G1445">
        <v>9082568</v>
      </c>
      <c r="H1445">
        <v>4329</v>
      </c>
    </row>
    <row r="1446" spans="1:8" ht="15" customHeight="1" x14ac:dyDescent="0.25">
      <c r="A1446" t="s">
        <v>3690</v>
      </c>
      <c r="B1446" t="s">
        <v>7739</v>
      </c>
      <c r="C1446" t="s">
        <v>11361</v>
      </c>
      <c r="D1446" t="s">
        <v>13287</v>
      </c>
      <c r="E1446" t="str">
        <f>+VLOOKUP(A1446,[1]PFE4!$A$7:$F$5208,6,0)</f>
        <v>CALLE 105  29  17</v>
      </c>
      <c r="F1446" s="17">
        <f>+VLOOKUP(A1446,[1]PFE4!$A$7:$G$5208,7,0)</f>
        <v>17001</v>
      </c>
      <c r="G1446">
        <v>9092112</v>
      </c>
      <c r="H1446">
        <v>4329</v>
      </c>
    </row>
    <row r="1447" spans="1:8" ht="15" customHeight="1" x14ac:dyDescent="0.25">
      <c r="A1447" t="s">
        <v>3691</v>
      </c>
      <c r="B1447" t="s">
        <v>7740</v>
      </c>
      <c r="C1447" t="s">
        <v>11362</v>
      </c>
      <c r="D1447" t="s">
        <v>13287</v>
      </c>
      <c r="E1447" t="str">
        <f>+VLOOKUP(A1447,[1]PFE4!$A$7:$F$5208,6,0)</f>
        <v>CALLE 138  11 B  16</v>
      </c>
      <c r="F1447" s="17">
        <f>+VLOOKUP(A1447,[1]PFE4!$A$7:$G$5208,7,0)</f>
        <v>11001</v>
      </c>
      <c r="G1447">
        <v>9096258</v>
      </c>
      <c r="H1447">
        <v>4329</v>
      </c>
    </row>
    <row r="1448" spans="1:8" ht="15" customHeight="1" x14ac:dyDescent="0.25">
      <c r="A1448" t="s">
        <v>3692</v>
      </c>
      <c r="B1448" t="s">
        <v>7741</v>
      </c>
      <c r="C1448" t="s">
        <v>11363</v>
      </c>
      <c r="D1448" t="s">
        <v>13287</v>
      </c>
      <c r="E1448" t="str">
        <f>+VLOOKUP(A1448,[1]PFE4!$A$7:$F$5208,6,0)</f>
        <v>CARRERA 71  52  23</v>
      </c>
      <c r="F1448" s="17" t="str">
        <f>+VLOOKUP(A1448,[1]PFE4!$A$7:$G$5208,7,0)</f>
        <v>05001</v>
      </c>
      <c r="G1448">
        <v>9097832</v>
      </c>
      <c r="H1448">
        <v>4329</v>
      </c>
    </row>
    <row r="1449" spans="1:8" ht="15" customHeight="1" x14ac:dyDescent="0.25">
      <c r="A1449" t="s">
        <v>3693</v>
      </c>
      <c r="B1449" t="s">
        <v>7742</v>
      </c>
      <c r="C1449" t="s">
        <v>10966</v>
      </c>
      <c r="D1449" t="s">
        <v>13287</v>
      </c>
      <c r="E1449" t="str">
        <f>+VLOOKUP(A1449,[1]PFE4!$A$7:$F$5208,6,0)</f>
        <v>CARRERA 7  121  20  OFICINA 259</v>
      </c>
      <c r="F1449" s="17">
        <f>+VLOOKUP(A1449,[1]PFE4!$A$7:$G$5208,7,0)</f>
        <v>11001</v>
      </c>
      <c r="G1449">
        <v>9100357</v>
      </c>
      <c r="H1449">
        <v>4329</v>
      </c>
    </row>
    <row r="1450" spans="1:8" ht="15" customHeight="1" x14ac:dyDescent="0.25">
      <c r="A1450" t="s">
        <v>3694</v>
      </c>
      <c r="B1450" t="s">
        <v>7743</v>
      </c>
      <c r="C1450" t="s">
        <v>11364</v>
      </c>
      <c r="D1450" t="s">
        <v>13287</v>
      </c>
      <c r="E1450" t="str">
        <f>+VLOOKUP(A1450,[1]PFE4!$A$7:$F$5208,6,0)</f>
        <v>CARRERA 36  1 SUR  15</v>
      </c>
      <c r="F1450" s="17" t="str">
        <f>+VLOOKUP(A1450,[1]PFE4!$A$7:$G$5208,7,0)</f>
        <v>05001</v>
      </c>
      <c r="G1450">
        <v>9110036</v>
      </c>
      <c r="H1450">
        <v>4329</v>
      </c>
    </row>
    <row r="1451" spans="1:8" ht="15" customHeight="1" x14ac:dyDescent="0.25">
      <c r="A1451" t="s">
        <v>3695</v>
      </c>
      <c r="B1451" t="s">
        <v>7744</v>
      </c>
      <c r="C1451" t="s">
        <v>11365</v>
      </c>
      <c r="D1451" t="s">
        <v>13287</v>
      </c>
      <c r="E1451" t="str">
        <f>+VLOOKUP(A1451,[1]PFE4!$A$7:$F$5208,6,0)</f>
        <v>CARRERA 81  49 A  30</v>
      </c>
      <c r="F1451" s="17" t="str">
        <f>+VLOOKUP(A1451,[1]PFE4!$A$7:$G$5208,7,0)</f>
        <v>05001</v>
      </c>
      <c r="G1451">
        <v>9128598</v>
      </c>
      <c r="H1451">
        <v>4329</v>
      </c>
    </row>
    <row r="1452" spans="1:8" ht="15" customHeight="1" x14ac:dyDescent="0.25">
      <c r="A1452" t="s">
        <v>3696</v>
      </c>
      <c r="B1452" t="s">
        <v>7745</v>
      </c>
      <c r="C1452" t="s">
        <v>11366</v>
      </c>
      <c r="D1452" t="s">
        <v>13287</v>
      </c>
      <c r="E1452" t="str">
        <f>+VLOOKUP(A1452,[1]PFE4!$A$7:$F$5208,6,0)</f>
        <v>BRR BOCAGRANDE CL 14 1 60</v>
      </c>
      <c r="F1452" s="17">
        <f>+VLOOKUP(A1452,[1]PFE4!$A$7:$G$5208,7,0)</f>
        <v>11001</v>
      </c>
      <c r="G1452">
        <v>9151056</v>
      </c>
      <c r="H1452">
        <v>4329</v>
      </c>
    </row>
    <row r="1453" spans="1:8" ht="15" customHeight="1" x14ac:dyDescent="0.25">
      <c r="A1453" t="s">
        <v>3697</v>
      </c>
      <c r="B1453" t="s">
        <v>7746</v>
      </c>
      <c r="C1453" t="s">
        <v>11367</v>
      </c>
      <c r="D1453" t="s">
        <v>13287</v>
      </c>
      <c r="E1453" t="str">
        <f>+VLOOKUP(A1453,[1]PFE4!$A$7:$F$5208,6,0)</f>
        <v>CALLE 101 19 A 60</v>
      </c>
      <c r="F1453" s="17">
        <f>+VLOOKUP(A1453,[1]PFE4!$A$7:$G$5208,7,0)</f>
        <v>11001</v>
      </c>
      <c r="G1453">
        <v>9151128</v>
      </c>
      <c r="H1453">
        <v>4329</v>
      </c>
    </row>
    <row r="1454" spans="1:8" ht="15" customHeight="1" x14ac:dyDescent="0.25">
      <c r="A1454" t="s">
        <v>3698</v>
      </c>
      <c r="B1454" t="s">
        <v>7747</v>
      </c>
      <c r="C1454" t="s">
        <v>11368</v>
      </c>
      <c r="D1454" t="s">
        <v>13287</v>
      </c>
      <c r="E1454" t="str">
        <f>+VLOOKUP(A1454,[1]PFE4!$A$7:$F$5208,6,0)</f>
        <v>CR 9 89 43</v>
      </c>
      <c r="F1454" s="17">
        <f>+VLOOKUP(A1454,[1]PFE4!$A$7:$G$5208,7,0)</f>
        <v>11001</v>
      </c>
      <c r="G1454">
        <v>9156928</v>
      </c>
      <c r="H1454">
        <v>4329</v>
      </c>
    </row>
    <row r="1455" spans="1:8" ht="15" customHeight="1" x14ac:dyDescent="0.25">
      <c r="A1455" t="s">
        <v>3699</v>
      </c>
      <c r="B1455" t="s">
        <v>7748</v>
      </c>
      <c r="C1455" t="s">
        <v>11369</v>
      </c>
      <c r="D1455" t="s">
        <v>13287</v>
      </c>
      <c r="E1455" t="str">
        <f>+VLOOKUP(A1455,[1]PFE4!$A$7:$F$5208,6,0)</f>
        <v>CALLE 75 A  20  42</v>
      </c>
      <c r="F1455" s="17">
        <f>+VLOOKUP(A1455,[1]PFE4!$A$7:$G$5208,7,0)</f>
        <v>17001</v>
      </c>
      <c r="G1455">
        <v>9164972</v>
      </c>
      <c r="H1455">
        <v>4329</v>
      </c>
    </row>
    <row r="1456" spans="1:8" ht="15" customHeight="1" x14ac:dyDescent="0.25">
      <c r="A1456" t="s">
        <v>3700</v>
      </c>
      <c r="B1456" t="s">
        <v>7749</v>
      </c>
      <c r="C1456">
        <v>0</v>
      </c>
      <c r="D1456" t="s">
        <v>13287</v>
      </c>
      <c r="E1456">
        <v>0</v>
      </c>
      <c r="F1456" s="17">
        <v>11001</v>
      </c>
      <c r="G1456">
        <v>9165744</v>
      </c>
      <c r="H1456">
        <v>4329</v>
      </c>
    </row>
    <row r="1457" spans="1:8" ht="15" customHeight="1" x14ac:dyDescent="0.25">
      <c r="A1457" t="s">
        <v>3701</v>
      </c>
      <c r="B1457" t="s">
        <v>7750</v>
      </c>
      <c r="C1457" t="s">
        <v>11370</v>
      </c>
      <c r="D1457" t="s">
        <v>13287</v>
      </c>
      <c r="E1457" t="str">
        <f>+VLOOKUP(A1457,[1]PFE4!$A$7:$F$5208,6,0)</f>
        <v>CR 1 A 5 59 SEC RODADERO</v>
      </c>
      <c r="F1457" s="17">
        <f>+VLOOKUP(A1457,[1]PFE4!$A$7:$G$5208,7,0)</f>
        <v>47001</v>
      </c>
      <c r="G1457">
        <v>9178519</v>
      </c>
      <c r="H1457">
        <v>4329</v>
      </c>
    </row>
    <row r="1458" spans="1:8" ht="15" customHeight="1" x14ac:dyDescent="0.25">
      <c r="A1458" t="s">
        <v>3702</v>
      </c>
      <c r="B1458" t="s">
        <v>7751</v>
      </c>
      <c r="C1458" t="s">
        <v>11371</v>
      </c>
      <c r="D1458" t="s">
        <v>13287</v>
      </c>
      <c r="E1458" t="str">
        <f>+VLOOKUP(A1458,[1]PFE4!$A$7:$F$5208,6,0)</f>
        <v>CARRERA 8 A  95  59</v>
      </c>
      <c r="F1458" s="17">
        <f>+VLOOKUP(A1458,[1]PFE4!$A$7:$G$5208,7,0)</f>
        <v>11001</v>
      </c>
      <c r="G1458">
        <v>9182571</v>
      </c>
      <c r="H1458">
        <v>4329</v>
      </c>
    </row>
    <row r="1459" spans="1:8" ht="15" customHeight="1" x14ac:dyDescent="0.25">
      <c r="A1459" t="s">
        <v>3703</v>
      </c>
      <c r="B1459" t="s">
        <v>7752</v>
      </c>
      <c r="C1459" t="s">
        <v>11372</v>
      </c>
      <c r="D1459" t="s">
        <v>13287</v>
      </c>
      <c r="E1459" t="str">
        <f>+VLOOKUP(A1459,[1]PFE4!$A$7:$F$5208,6,0)</f>
        <v>CARRERA 20  36  06  OFICINA 506</v>
      </c>
      <c r="F1459" s="17">
        <f>+VLOOKUP(A1459,[1]PFE4!$A$7:$G$5208,7,0)</f>
        <v>68001</v>
      </c>
      <c r="G1459">
        <v>9182772</v>
      </c>
      <c r="H1459">
        <v>4329</v>
      </c>
    </row>
    <row r="1460" spans="1:8" ht="15" customHeight="1" x14ac:dyDescent="0.25">
      <c r="A1460" t="s">
        <v>3704</v>
      </c>
      <c r="B1460" t="s">
        <v>7753</v>
      </c>
      <c r="C1460" t="s">
        <v>11373</v>
      </c>
      <c r="D1460" t="s">
        <v>13287</v>
      </c>
      <c r="E1460" t="str">
        <f>+VLOOKUP(A1460,[1]PFE4!$A$7:$F$5208,6,0)</f>
        <v>CL 81 B 64 65</v>
      </c>
      <c r="F1460" s="17" t="str">
        <f>+VLOOKUP(A1460,[1]PFE4!$A$7:$G$5208,7,0)</f>
        <v>08001</v>
      </c>
      <c r="G1460">
        <v>9185964</v>
      </c>
      <c r="H1460">
        <v>4329</v>
      </c>
    </row>
    <row r="1461" spans="1:8" ht="15" customHeight="1" x14ac:dyDescent="0.25">
      <c r="A1461" t="s">
        <v>3705</v>
      </c>
      <c r="B1461" t="s">
        <v>7754</v>
      </c>
      <c r="C1461" t="s">
        <v>11192</v>
      </c>
      <c r="D1461" t="s">
        <v>13287</v>
      </c>
      <c r="E1461" t="str">
        <f>+VLOOKUP(A1461,[1]PFE4!$A$7:$F$5208,6,0)</f>
        <v>CARRERA 38 A  46  47</v>
      </c>
      <c r="F1461" s="17">
        <f>+VLOOKUP(A1461,[1]PFE4!$A$7:$G$5208,7,0)</f>
        <v>68001</v>
      </c>
      <c r="G1461">
        <v>9203300</v>
      </c>
      <c r="H1461">
        <v>4329</v>
      </c>
    </row>
    <row r="1462" spans="1:8" ht="15" customHeight="1" x14ac:dyDescent="0.25">
      <c r="A1462" t="s">
        <v>3706</v>
      </c>
      <c r="B1462" t="s">
        <v>7755</v>
      </c>
      <c r="C1462" t="s">
        <v>11374</v>
      </c>
      <c r="D1462" t="s">
        <v>13287</v>
      </c>
      <c r="E1462" t="str">
        <f>+VLOOKUP(A1462,[1]PFE4!$A$7:$F$5208,6,0)</f>
        <v>CARRERA 23  65  11</v>
      </c>
      <c r="F1462" s="17">
        <f>+VLOOKUP(A1462,[1]PFE4!$A$7:$G$5208,7,0)</f>
        <v>17001</v>
      </c>
      <c r="G1462">
        <v>9208948</v>
      </c>
      <c r="H1462">
        <v>4329</v>
      </c>
    </row>
    <row r="1463" spans="1:8" ht="15" customHeight="1" x14ac:dyDescent="0.25">
      <c r="A1463" t="s">
        <v>3707</v>
      </c>
      <c r="B1463" t="s">
        <v>7756</v>
      </c>
      <c r="C1463" t="s">
        <v>11375</v>
      </c>
      <c r="D1463" t="s">
        <v>13287</v>
      </c>
      <c r="E1463" t="str">
        <f>+VLOOKUP(A1463,[1]PFE4!$A$7:$F$5208,6,0)</f>
        <v>CALLE 30 A  78  71</v>
      </c>
      <c r="F1463" s="17">
        <f>+VLOOKUP(A1463,[1]PFE4!$A$7:$G$5208,7,0)</f>
        <v>13001</v>
      </c>
      <c r="G1463">
        <v>9209670</v>
      </c>
      <c r="H1463">
        <v>4329</v>
      </c>
    </row>
    <row r="1464" spans="1:8" ht="15" customHeight="1" x14ac:dyDescent="0.25">
      <c r="A1464" t="s">
        <v>3708</v>
      </c>
      <c r="B1464" t="s">
        <v>7757</v>
      </c>
      <c r="C1464" t="s">
        <v>11376</v>
      </c>
      <c r="D1464" t="s">
        <v>13287</v>
      </c>
      <c r="E1464" t="str">
        <f>+VLOOKUP(A1464,[1]PFE4!$A$7:$F$5208,6,0)</f>
        <v>CL 75 SUR 45 78</v>
      </c>
      <c r="F1464" s="17" t="str">
        <f>+VLOOKUP(A1464,[1]PFE4!$A$7:$G$5208,7,0)</f>
        <v>05631</v>
      </c>
      <c r="G1464">
        <v>9210753</v>
      </c>
      <c r="H1464">
        <v>4329</v>
      </c>
    </row>
    <row r="1465" spans="1:8" ht="15" customHeight="1" x14ac:dyDescent="0.25">
      <c r="A1465" t="s">
        <v>3709</v>
      </c>
      <c r="B1465" t="s">
        <v>7758</v>
      </c>
      <c r="C1465" t="s">
        <v>11377</v>
      </c>
      <c r="D1465" t="s">
        <v>13287</v>
      </c>
      <c r="E1465" t="str">
        <f>+VLOOKUP(A1465,[1]PFE4!$A$7:$F$5208,6,0)</f>
        <v>CARRERA 52  76  235</v>
      </c>
      <c r="F1465" s="17" t="str">
        <f>+VLOOKUP(A1465,[1]PFE4!$A$7:$G$5208,7,0)</f>
        <v>08001</v>
      </c>
      <c r="G1465">
        <v>9210972</v>
      </c>
      <c r="H1465">
        <v>4329</v>
      </c>
    </row>
    <row r="1466" spans="1:8" ht="15" customHeight="1" x14ac:dyDescent="0.25">
      <c r="A1466" t="s">
        <v>3710</v>
      </c>
      <c r="B1466" t="s">
        <v>7759</v>
      </c>
      <c r="C1466" t="s">
        <v>11378</v>
      </c>
      <c r="D1466" t="s">
        <v>13287</v>
      </c>
      <c r="E1466" t="str">
        <f>+VLOOKUP(A1466,[1]PFE4!$A$7:$F$5208,6,0)</f>
        <v>CL 94 A 11 A 50</v>
      </c>
      <c r="F1466" s="17">
        <f>+VLOOKUP(A1466,[1]PFE4!$A$7:$G$5208,7,0)</f>
        <v>11001</v>
      </c>
      <c r="G1466">
        <v>9215193</v>
      </c>
      <c r="H1466">
        <v>4329</v>
      </c>
    </row>
    <row r="1467" spans="1:8" ht="15" customHeight="1" x14ac:dyDescent="0.25">
      <c r="A1467" t="s">
        <v>3711</v>
      </c>
      <c r="B1467" t="s">
        <v>7760</v>
      </c>
      <c r="C1467" t="s">
        <v>11379</v>
      </c>
      <c r="D1467" t="s">
        <v>13287</v>
      </c>
      <c r="E1467" t="str">
        <f>+VLOOKUP(A1467,[1]PFE4!$A$7:$F$5208,6,0)</f>
        <v>CALLE 19 NORTE  15  86</v>
      </c>
      <c r="F1467" s="17">
        <f>+VLOOKUP(A1467,[1]PFE4!$A$7:$G$5208,7,0)</f>
        <v>63001</v>
      </c>
      <c r="G1467">
        <v>9217316</v>
      </c>
      <c r="H1467">
        <v>4329</v>
      </c>
    </row>
    <row r="1468" spans="1:8" ht="15" customHeight="1" x14ac:dyDescent="0.25">
      <c r="A1468" t="s">
        <v>3712</v>
      </c>
      <c r="B1468" t="s">
        <v>7761</v>
      </c>
      <c r="C1468">
        <v>3219664011</v>
      </c>
      <c r="D1468" t="s">
        <v>13287</v>
      </c>
      <c r="E1468" t="str">
        <f>+VLOOKUP(A1468,[1]PFE4!$A$7:$F$5208,6,0)</f>
        <v>CRA 23 02-04</v>
      </c>
      <c r="F1468" s="17">
        <f>+VLOOKUP(A1468,[1]PFE4!$A$7:$G$5208,7,0)</f>
        <v>66001</v>
      </c>
      <c r="G1468">
        <v>9221824</v>
      </c>
      <c r="H1468">
        <v>4329</v>
      </c>
    </row>
    <row r="1469" spans="1:8" ht="15" customHeight="1" x14ac:dyDescent="0.25">
      <c r="A1469" t="s">
        <v>3713</v>
      </c>
      <c r="B1469" t="s">
        <v>7762</v>
      </c>
      <c r="C1469" t="s">
        <v>11380</v>
      </c>
      <c r="D1469" t="s">
        <v>13287</v>
      </c>
      <c r="E1469" t="str">
        <f>+VLOOKUP(A1469,[1]PFE4!$A$7:$F$5208,6,0)</f>
        <v>CARRERA 10  113  76</v>
      </c>
      <c r="F1469" s="17">
        <f>+VLOOKUP(A1469,[1]PFE4!$A$7:$G$5208,7,0)</f>
        <v>11001</v>
      </c>
      <c r="G1469">
        <v>9225562</v>
      </c>
      <c r="H1469">
        <v>4329</v>
      </c>
    </row>
    <row r="1470" spans="1:8" ht="15" customHeight="1" x14ac:dyDescent="0.25">
      <c r="A1470" t="s">
        <v>3714</v>
      </c>
      <c r="B1470" t="s">
        <v>7763</v>
      </c>
      <c r="C1470" t="s">
        <v>11381</v>
      </c>
      <c r="D1470" t="s">
        <v>13287</v>
      </c>
      <c r="E1470" t="str">
        <f>+VLOOKUP(A1470,[1]PFE4!$A$7:$F$5208,6,0)</f>
        <v>Carrera 78B # 120 A 56</v>
      </c>
      <c r="F1470" s="17">
        <f>+VLOOKUP(A1470,[1]PFE4!$A$7:$G$5208,7,0)</f>
        <v>11001</v>
      </c>
      <c r="G1470">
        <v>9228212</v>
      </c>
      <c r="H1470">
        <v>4329</v>
      </c>
    </row>
    <row r="1471" spans="1:8" ht="15" customHeight="1" x14ac:dyDescent="0.25">
      <c r="A1471" t="s">
        <v>3715</v>
      </c>
      <c r="B1471" t="s">
        <v>7764</v>
      </c>
      <c r="C1471" t="s">
        <v>11382</v>
      </c>
      <c r="D1471" t="s">
        <v>13287</v>
      </c>
      <c r="E1471" t="str">
        <f>+VLOOKUP(A1471,[1]PFE4!$A$7:$F$5208,6,0)</f>
        <v>CL 10 26 51</v>
      </c>
      <c r="F1471" s="17">
        <f>+VLOOKUP(A1471,[1]PFE4!$A$7:$G$5208,7,0)</f>
        <v>68001</v>
      </c>
      <c r="G1471">
        <v>9230796</v>
      </c>
      <c r="H1471">
        <v>4329</v>
      </c>
    </row>
    <row r="1472" spans="1:8" ht="15" customHeight="1" x14ac:dyDescent="0.25">
      <c r="A1472" t="s">
        <v>3716</v>
      </c>
      <c r="B1472" t="s">
        <v>7765</v>
      </c>
      <c r="C1472" t="s">
        <v>11383</v>
      </c>
      <c r="D1472" t="s">
        <v>13287</v>
      </c>
      <c r="E1472" t="str">
        <f>+VLOOKUP(A1472,[1]PFE4!$A$7:$F$5208,6,0)</f>
        <v>CALLE 72 A  00  53 ESTE</v>
      </c>
      <c r="F1472" s="17">
        <f>+VLOOKUP(A1472,[1]PFE4!$A$7:$G$5208,7,0)</f>
        <v>11001</v>
      </c>
      <c r="G1472">
        <v>9231098</v>
      </c>
      <c r="H1472">
        <v>4329</v>
      </c>
    </row>
    <row r="1473" spans="1:8" ht="15" customHeight="1" x14ac:dyDescent="0.25">
      <c r="A1473" t="s">
        <v>3717</v>
      </c>
      <c r="B1473" t="s">
        <v>7766</v>
      </c>
      <c r="C1473" t="s">
        <v>11384</v>
      </c>
      <c r="D1473" t="s">
        <v>13287</v>
      </c>
      <c r="E1473" t="str">
        <f>+VLOOKUP(A1473,[1]PFE4!$A$7:$F$5208,6,0)</f>
        <v>CARRERA 29  13  72</v>
      </c>
      <c r="F1473" s="17">
        <f>+VLOOKUP(A1473,[1]PFE4!$A$7:$G$5208,7,0)</f>
        <v>85001</v>
      </c>
      <c r="G1473">
        <v>9234519</v>
      </c>
      <c r="H1473">
        <v>4329</v>
      </c>
    </row>
    <row r="1474" spans="1:8" ht="15" customHeight="1" x14ac:dyDescent="0.25">
      <c r="A1474" t="s">
        <v>3718</v>
      </c>
      <c r="B1474" t="s">
        <v>7767</v>
      </c>
      <c r="C1474" t="s">
        <v>11385</v>
      </c>
      <c r="D1474" t="s">
        <v>13287</v>
      </c>
      <c r="E1474" t="str">
        <f>+VLOOKUP(A1474,[1]PFE4!$A$7:$F$5208,6,0)</f>
        <v>CARRERA 50  122  20</v>
      </c>
      <c r="F1474" s="17">
        <f>+VLOOKUP(A1474,[1]PFE4!$A$7:$G$5208,7,0)</f>
        <v>11001</v>
      </c>
      <c r="G1474">
        <v>9243560</v>
      </c>
      <c r="H1474">
        <v>4329</v>
      </c>
    </row>
    <row r="1475" spans="1:8" ht="15" customHeight="1" x14ac:dyDescent="0.25">
      <c r="A1475" t="s">
        <v>3719</v>
      </c>
      <c r="B1475" t="s">
        <v>7768</v>
      </c>
      <c r="C1475" t="s">
        <v>11386</v>
      </c>
      <c r="D1475" t="s">
        <v>13287</v>
      </c>
      <c r="E1475" t="str">
        <f>+VLOOKUP(A1475,[1]PFE4!$A$7:$F$5208,6,0)</f>
        <v>CARRERA 38  10 A  35</v>
      </c>
      <c r="F1475" s="17" t="str">
        <f>+VLOOKUP(A1475,[1]PFE4!$A$7:$G$5208,7,0)</f>
        <v>05001</v>
      </c>
      <c r="G1475">
        <v>9247284</v>
      </c>
      <c r="H1475">
        <v>4329</v>
      </c>
    </row>
    <row r="1476" spans="1:8" ht="15" customHeight="1" x14ac:dyDescent="0.25">
      <c r="A1476" t="s">
        <v>3720</v>
      </c>
      <c r="B1476" t="s">
        <v>7769</v>
      </c>
      <c r="C1476" t="s">
        <v>11387</v>
      </c>
      <c r="D1476" t="s">
        <v>13287</v>
      </c>
      <c r="E1476" t="str">
        <f>+VLOOKUP(A1476,[1]PFE4!$A$7:$F$5208,6,0)</f>
        <v>CALLE 39  23  81</v>
      </c>
      <c r="F1476" s="17">
        <f>+VLOOKUP(A1476,[1]PFE4!$A$7:$G$5208,7,0)</f>
        <v>68001</v>
      </c>
      <c r="G1476">
        <v>9257808</v>
      </c>
      <c r="H1476">
        <v>4329</v>
      </c>
    </row>
    <row r="1477" spans="1:8" ht="15" customHeight="1" x14ac:dyDescent="0.25">
      <c r="A1477" t="s">
        <v>3721</v>
      </c>
      <c r="B1477" t="s">
        <v>7770</v>
      </c>
      <c r="C1477" t="s">
        <v>11388</v>
      </c>
      <c r="D1477" t="s">
        <v>13287</v>
      </c>
      <c r="E1477" t="str">
        <f>+VLOOKUP(A1477,[1]PFE4!$A$7:$F$5208,6,0)</f>
        <v>CARRERA 18 A  143  61</v>
      </c>
      <c r="F1477" s="17">
        <f>+VLOOKUP(A1477,[1]PFE4!$A$7:$G$5208,7,0)</f>
        <v>11001</v>
      </c>
      <c r="G1477">
        <v>9263101</v>
      </c>
      <c r="H1477">
        <v>4329</v>
      </c>
    </row>
    <row r="1478" spans="1:8" ht="15" customHeight="1" x14ac:dyDescent="0.25">
      <c r="A1478" t="s">
        <v>3722</v>
      </c>
      <c r="B1478" t="s">
        <v>7771</v>
      </c>
      <c r="C1478" t="s">
        <v>11389</v>
      </c>
      <c r="D1478" t="s">
        <v>13287</v>
      </c>
      <c r="E1478" t="str">
        <f>+VLOOKUP(A1478,[1]PFE4!$A$7:$F$5208,6,0)</f>
        <v>AVENIDA DEL FERROCARRIL 29-200</v>
      </c>
      <c r="F1478" s="17">
        <f>+VLOOKUP(A1478,[1]PFE4!$A$7:$G$5208,7,0)</f>
        <v>47001</v>
      </c>
      <c r="G1478">
        <v>9264991</v>
      </c>
      <c r="H1478">
        <v>4329</v>
      </c>
    </row>
    <row r="1479" spans="1:8" ht="15" customHeight="1" x14ac:dyDescent="0.25">
      <c r="A1479" t="s">
        <v>3723</v>
      </c>
      <c r="B1479" t="s">
        <v>7772</v>
      </c>
      <c r="C1479" t="s">
        <v>11390</v>
      </c>
      <c r="D1479" t="s">
        <v>13287</v>
      </c>
      <c r="E1479" t="str">
        <f>+VLOOKUP(A1479,[1]PFE4!$A$7:$F$5208,6,0)</f>
        <v>CARRERA 18 C  118  22</v>
      </c>
      <c r="F1479" s="17">
        <f>+VLOOKUP(A1479,[1]PFE4!$A$7:$G$5208,7,0)</f>
        <v>11001</v>
      </c>
      <c r="G1479">
        <v>9266392</v>
      </c>
      <c r="H1479">
        <v>4329</v>
      </c>
    </row>
    <row r="1480" spans="1:8" ht="15" customHeight="1" x14ac:dyDescent="0.25">
      <c r="A1480" t="s">
        <v>3724</v>
      </c>
      <c r="B1480" t="s">
        <v>7773</v>
      </c>
      <c r="C1480" t="s">
        <v>11391</v>
      </c>
      <c r="D1480" t="s">
        <v>13287</v>
      </c>
      <c r="E1480" t="str">
        <f>+VLOOKUP(A1480,[1]PFE4!$A$7:$F$5208,6,0)</f>
        <v>CL 8 BIS 15 33</v>
      </c>
      <c r="F1480" s="17">
        <f>+VLOOKUP(A1480,[1]PFE4!$A$7:$G$5208,7,0)</f>
        <v>11001</v>
      </c>
      <c r="G1480">
        <v>9267587</v>
      </c>
      <c r="H1480">
        <v>4329</v>
      </c>
    </row>
    <row r="1481" spans="1:8" ht="15" customHeight="1" x14ac:dyDescent="0.25">
      <c r="A1481" t="s">
        <v>3725</v>
      </c>
      <c r="B1481" t="s">
        <v>7774</v>
      </c>
      <c r="C1481" t="s">
        <v>11392</v>
      </c>
      <c r="D1481" t="s">
        <v>13287</v>
      </c>
      <c r="E1481" t="str">
        <f>+VLOOKUP(A1481,[1]PFE4!$A$7:$F$5208,6,0)</f>
        <v>CALLE 75  13  51  OFICINA 501</v>
      </c>
      <c r="F1481" s="17">
        <f>+VLOOKUP(A1481,[1]PFE4!$A$7:$G$5208,7,0)</f>
        <v>11001</v>
      </c>
      <c r="G1481">
        <v>9282504</v>
      </c>
      <c r="H1481">
        <v>4329</v>
      </c>
    </row>
    <row r="1482" spans="1:8" ht="15" customHeight="1" x14ac:dyDescent="0.25">
      <c r="A1482" t="s">
        <v>3726</v>
      </c>
      <c r="B1482" t="s">
        <v>7775</v>
      </c>
      <c r="C1482">
        <v>3219664011</v>
      </c>
      <c r="D1482" t="s">
        <v>13287</v>
      </c>
      <c r="E1482" t="str">
        <f>+VLOOKUP(A1482,[1]PFE4!$A$7:$F$5208,6,0)</f>
        <v>CALLE 51  27 A  51</v>
      </c>
      <c r="F1482" s="17">
        <f>+VLOOKUP(A1482,[1]PFE4!$A$7:$G$5208,7,0)</f>
        <v>68001</v>
      </c>
      <c r="G1482">
        <v>9294637</v>
      </c>
      <c r="H1482">
        <v>4329</v>
      </c>
    </row>
    <row r="1483" spans="1:8" ht="15" customHeight="1" x14ac:dyDescent="0.25">
      <c r="A1483" t="s">
        <v>3727</v>
      </c>
      <c r="B1483" t="s">
        <v>7776</v>
      </c>
      <c r="C1483" t="s">
        <v>11393</v>
      </c>
      <c r="D1483" t="s">
        <v>13287</v>
      </c>
      <c r="E1483" t="str">
        <f>+VLOOKUP(A1483,[1]PFE4!$A$7:$F$5208,6,0)</f>
        <v>CARRERA 8  17 N  15</v>
      </c>
      <c r="F1483" s="17">
        <f>+VLOOKUP(A1483,[1]PFE4!$A$7:$G$5208,7,0)</f>
        <v>19001</v>
      </c>
      <c r="G1483">
        <v>9298772</v>
      </c>
      <c r="H1483">
        <v>4329</v>
      </c>
    </row>
    <row r="1484" spans="1:8" ht="15" customHeight="1" x14ac:dyDescent="0.25">
      <c r="A1484" t="s">
        <v>3728</v>
      </c>
      <c r="B1484" t="s">
        <v>7777</v>
      </c>
      <c r="C1484" t="s">
        <v>11394</v>
      </c>
      <c r="D1484" t="s">
        <v>13287</v>
      </c>
      <c r="E1484" t="str">
        <f>+VLOOKUP(A1484,[1]PFE4!$A$7:$F$5208,6,0)</f>
        <v>CL 13 N 29 36 BRR LA PRADERA</v>
      </c>
      <c r="F1484" s="17">
        <f>+VLOOKUP(A1484,[1]PFE4!$A$7:$G$5208,7,0)</f>
        <v>11001</v>
      </c>
      <c r="G1484">
        <v>9312408</v>
      </c>
      <c r="H1484">
        <v>4329</v>
      </c>
    </row>
    <row r="1485" spans="1:8" ht="15" customHeight="1" x14ac:dyDescent="0.25">
      <c r="A1485" t="s">
        <v>3729</v>
      </c>
      <c r="B1485" t="s">
        <v>7778</v>
      </c>
      <c r="C1485">
        <v>3219664011</v>
      </c>
      <c r="D1485" t="s">
        <v>13287</v>
      </c>
      <c r="E1485" t="str">
        <f>+VLOOKUP(A1485,[1]PFE4!$A$7:$F$5208,6,0)</f>
        <v>CARRERA 87  30  65</v>
      </c>
      <c r="F1485" s="17" t="str">
        <f>+VLOOKUP(A1485,[1]PFE4!$A$7:$G$5208,7,0)</f>
        <v>05001</v>
      </c>
      <c r="G1485">
        <v>9313356</v>
      </c>
      <c r="H1485">
        <v>4329</v>
      </c>
    </row>
    <row r="1486" spans="1:8" ht="15" customHeight="1" x14ac:dyDescent="0.25">
      <c r="A1486" t="s">
        <v>3730</v>
      </c>
      <c r="B1486" t="s">
        <v>7779</v>
      </c>
      <c r="C1486" t="s">
        <v>11395</v>
      </c>
      <c r="D1486" t="s">
        <v>13287</v>
      </c>
      <c r="E1486" t="str">
        <f>+VLOOKUP(A1486,[1]PFE4!$A$7:$F$5208,6,0)</f>
        <v>CARRERA 7 A  71  52  OFICINA 703</v>
      </c>
      <c r="F1486" s="17">
        <f>+VLOOKUP(A1486,[1]PFE4!$A$7:$G$5208,7,0)</f>
        <v>11001</v>
      </c>
      <c r="G1486">
        <v>9319784</v>
      </c>
      <c r="H1486">
        <v>4329</v>
      </c>
    </row>
    <row r="1487" spans="1:8" ht="15" customHeight="1" x14ac:dyDescent="0.25">
      <c r="A1487" t="s">
        <v>3731</v>
      </c>
      <c r="B1487" t="s">
        <v>7780</v>
      </c>
      <c r="C1487" t="s">
        <v>11396</v>
      </c>
      <c r="D1487" t="s">
        <v>13287</v>
      </c>
      <c r="E1487" t="str">
        <f>+VLOOKUP(A1487,[1]PFE4!$A$7:$F$5208,6,0)</f>
        <v>AVENIDA 4 NORTE  23 N  80</v>
      </c>
      <c r="F1487" s="17">
        <f>+VLOOKUP(A1487,[1]PFE4!$A$7:$G$5208,7,0)</f>
        <v>11001</v>
      </c>
      <c r="G1487">
        <v>9319788</v>
      </c>
      <c r="H1487">
        <v>4329</v>
      </c>
    </row>
    <row r="1488" spans="1:8" ht="15" customHeight="1" x14ac:dyDescent="0.25">
      <c r="A1488" t="s">
        <v>3732</v>
      </c>
      <c r="B1488" t="s">
        <v>7511</v>
      </c>
      <c r="C1488" t="s">
        <v>11397</v>
      </c>
      <c r="D1488" t="s">
        <v>13287</v>
      </c>
      <c r="E1488" t="str">
        <f>+VLOOKUP(A1488,[1]PFE4!$A$7:$F$5208,6,0)</f>
        <v>CARRERA 8  15  165</v>
      </c>
      <c r="F1488" s="17">
        <f>+VLOOKUP(A1488,[1]PFE4!$A$7:$G$5208,7,0)</f>
        <v>66170</v>
      </c>
      <c r="G1488">
        <v>9319882</v>
      </c>
      <c r="H1488">
        <v>4329</v>
      </c>
    </row>
    <row r="1489" spans="1:8" ht="15" customHeight="1" x14ac:dyDescent="0.25">
      <c r="A1489" t="s">
        <v>3733</v>
      </c>
      <c r="B1489" t="s">
        <v>7781</v>
      </c>
      <c r="C1489" t="s">
        <v>11398</v>
      </c>
      <c r="D1489" t="s">
        <v>13287</v>
      </c>
      <c r="E1489" t="str">
        <f>+VLOOKUP(A1489,[1]PFE4!$A$7:$F$5208,6,0)</f>
        <v>AVENIDA 15  106  32</v>
      </c>
      <c r="F1489" s="17">
        <f>+VLOOKUP(A1489,[1]PFE4!$A$7:$G$5208,7,0)</f>
        <v>11001</v>
      </c>
      <c r="G1489">
        <v>9321900</v>
      </c>
      <c r="H1489">
        <v>4329</v>
      </c>
    </row>
    <row r="1490" spans="1:8" ht="15" customHeight="1" x14ac:dyDescent="0.25">
      <c r="A1490" t="s">
        <v>3734</v>
      </c>
      <c r="B1490" t="s">
        <v>7782</v>
      </c>
      <c r="C1490" t="s">
        <v>11399</v>
      </c>
      <c r="D1490" t="s">
        <v>13287</v>
      </c>
      <c r="E1490" t="str">
        <f>+VLOOKUP(A1490,[1]PFE4!$A$7:$F$5208,6,0)</f>
        <v>CALLE 92  11 A  22</v>
      </c>
      <c r="F1490" s="17">
        <f>+VLOOKUP(A1490,[1]PFE4!$A$7:$G$5208,7,0)</f>
        <v>11001</v>
      </c>
      <c r="G1490">
        <v>9323633</v>
      </c>
      <c r="H1490">
        <v>4329</v>
      </c>
    </row>
    <row r="1491" spans="1:8" ht="15" customHeight="1" x14ac:dyDescent="0.25">
      <c r="A1491" t="s">
        <v>3735</v>
      </c>
      <c r="B1491" t="s">
        <v>7783</v>
      </c>
      <c r="C1491">
        <v>3219664011</v>
      </c>
      <c r="D1491" t="s">
        <v>13287</v>
      </c>
      <c r="E1491" t="str">
        <f>+VLOOKUP(A1491,[1]PFE4!$A$7:$F$5208,6,0)</f>
        <v>CL 24 2 66 OF 708 BRR BELLAVISTA</v>
      </c>
      <c r="F1491" s="17">
        <f>+VLOOKUP(A1491,[1]PFE4!$A$7:$G$5208,7,0)</f>
        <v>47001</v>
      </c>
      <c r="G1491">
        <v>9326395</v>
      </c>
      <c r="H1491">
        <v>4329</v>
      </c>
    </row>
    <row r="1492" spans="1:8" ht="15" customHeight="1" x14ac:dyDescent="0.25">
      <c r="A1492" t="s">
        <v>3736</v>
      </c>
      <c r="B1492" t="s">
        <v>7784</v>
      </c>
      <c r="C1492" t="s">
        <v>11400</v>
      </c>
      <c r="D1492" t="s">
        <v>13287</v>
      </c>
      <c r="E1492" t="str">
        <f>+VLOOKUP(A1492,[1]PFE4!$A$7:$F$5208,6,0)</f>
        <v>CALLE 66 BIS  4  17</v>
      </c>
      <c r="F1492" s="17">
        <f>+VLOOKUP(A1492,[1]PFE4!$A$7:$G$5208,7,0)</f>
        <v>11001</v>
      </c>
      <c r="G1492">
        <v>9331674</v>
      </c>
      <c r="H1492">
        <v>4329</v>
      </c>
    </row>
    <row r="1493" spans="1:8" ht="15" customHeight="1" x14ac:dyDescent="0.25">
      <c r="A1493" t="s">
        <v>3737</v>
      </c>
      <c r="B1493" t="s">
        <v>7785</v>
      </c>
      <c r="C1493">
        <v>3219664011</v>
      </c>
      <c r="D1493" t="s">
        <v>13287</v>
      </c>
      <c r="E1493" t="str">
        <f>+VLOOKUP(A1493,[1]PFE4!$A$7:$F$5208,6,0)</f>
        <v>CARRERA 8 A  96  21</v>
      </c>
      <c r="F1493" s="17">
        <f>+VLOOKUP(A1493,[1]PFE4!$A$7:$G$5208,7,0)</f>
        <v>11001</v>
      </c>
      <c r="G1493">
        <v>9332400</v>
      </c>
      <c r="H1493">
        <v>4329</v>
      </c>
    </row>
    <row r="1494" spans="1:8" ht="15" customHeight="1" x14ac:dyDescent="0.25">
      <c r="A1494" t="s">
        <v>3738</v>
      </c>
      <c r="B1494" t="s">
        <v>7786</v>
      </c>
      <c r="C1494" t="s">
        <v>11401</v>
      </c>
      <c r="D1494" t="s">
        <v>13287</v>
      </c>
      <c r="E1494" t="str">
        <f>+VLOOKUP(A1494,[1]PFE4!$A$7:$F$5208,6,0)</f>
        <v>CALLE 145 A  19  34</v>
      </c>
      <c r="F1494" s="17">
        <f>+VLOOKUP(A1494,[1]PFE4!$A$7:$G$5208,7,0)</f>
        <v>11001</v>
      </c>
      <c r="G1494">
        <v>9340895</v>
      </c>
      <c r="H1494">
        <v>4329</v>
      </c>
    </row>
    <row r="1495" spans="1:8" ht="15" customHeight="1" x14ac:dyDescent="0.25">
      <c r="A1495" t="s">
        <v>3739</v>
      </c>
      <c r="B1495" t="s">
        <v>7787</v>
      </c>
      <c r="C1495" t="s">
        <v>11402</v>
      </c>
      <c r="D1495" t="s">
        <v>13287</v>
      </c>
      <c r="E1495" t="str">
        <f>+VLOOKUP(A1495,[1]PFE4!$A$7:$F$5208,6,0)</f>
        <v>CR 56 CL 46 49 IN 1303</v>
      </c>
      <c r="F1495" s="17" t="str">
        <f>+VLOOKUP(A1495,[1]PFE4!$A$7:$G$5208,7,0)</f>
        <v>05001</v>
      </c>
      <c r="G1495">
        <v>9346260</v>
      </c>
      <c r="H1495">
        <v>4329</v>
      </c>
    </row>
    <row r="1496" spans="1:8" ht="15" customHeight="1" x14ac:dyDescent="0.25">
      <c r="A1496" t="s">
        <v>3740</v>
      </c>
      <c r="B1496" t="s">
        <v>7788</v>
      </c>
      <c r="C1496" t="s">
        <v>11403</v>
      </c>
      <c r="D1496" t="s">
        <v>13287</v>
      </c>
      <c r="E1496" t="str">
        <f>+VLOOKUP(A1496,[1]PFE4!$A$7:$F$5208,6,0)</f>
        <v>CL 32 48 45</v>
      </c>
      <c r="F1496" s="17" t="str">
        <f>+VLOOKUP(A1496,[1]PFE4!$A$7:$G$5208,7,0)</f>
        <v>05615</v>
      </c>
      <c r="G1496">
        <v>9347261</v>
      </c>
      <c r="H1496">
        <v>4329</v>
      </c>
    </row>
    <row r="1497" spans="1:8" ht="15" customHeight="1" x14ac:dyDescent="0.25">
      <c r="A1497" t="s">
        <v>3741</v>
      </c>
      <c r="B1497" t="s">
        <v>7789</v>
      </c>
      <c r="C1497" t="s">
        <v>11404</v>
      </c>
      <c r="D1497" t="s">
        <v>13287</v>
      </c>
      <c r="E1497" t="str">
        <f>+VLOOKUP(A1497,[1]PFE4!$A$7:$F$5208,6,0)</f>
        <v>CARRERA 42 H  80  167</v>
      </c>
      <c r="F1497" s="17" t="str">
        <f>+VLOOKUP(A1497,[1]PFE4!$A$7:$G$5208,7,0)</f>
        <v>08001</v>
      </c>
      <c r="G1497">
        <v>9350375</v>
      </c>
      <c r="H1497">
        <v>4329</v>
      </c>
    </row>
    <row r="1498" spans="1:8" ht="15" customHeight="1" x14ac:dyDescent="0.25">
      <c r="A1498" t="s">
        <v>3742</v>
      </c>
      <c r="B1498" t="s">
        <v>7790</v>
      </c>
      <c r="C1498" t="s">
        <v>11405</v>
      </c>
      <c r="D1498" t="s">
        <v>13287</v>
      </c>
      <c r="E1498" t="str">
        <f>+VLOOKUP(A1498,[1]PFE4!$A$7:$F$5208,6,0)</f>
        <v>CALLE 121  18 B  23</v>
      </c>
      <c r="F1498" s="17">
        <f>+VLOOKUP(A1498,[1]PFE4!$A$7:$G$5208,7,0)</f>
        <v>11001</v>
      </c>
      <c r="G1498">
        <v>9351606</v>
      </c>
      <c r="H1498">
        <v>4329</v>
      </c>
    </row>
    <row r="1499" spans="1:8" ht="15" customHeight="1" x14ac:dyDescent="0.25">
      <c r="A1499" t="s">
        <v>3743</v>
      </c>
      <c r="B1499" t="s">
        <v>7791</v>
      </c>
      <c r="C1499" t="s">
        <v>11406</v>
      </c>
      <c r="D1499" t="s">
        <v>13287</v>
      </c>
      <c r="E1499" t="str">
        <f>+VLOOKUP(A1499,[1]PFE4!$A$7:$F$5208,6,0)</f>
        <v>CALLE 93 11 26 42</v>
      </c>
      <c r="F1499" s="17">
        <f>+VLOOKUP(A1499,[1]PFE4!$A$7:$G$5208,7,0)</f>
        <v>11001</v>
      </c>
      <c r="G1499">
        <v>9353900</v>
      </c>
      <c r="H1499">
        <v>4329</v>
      </c>
    </row>
    <row r="1500" spans="1:8" ht="15" customHeight="1" x14ac:dyDescent="0.25">
      <c r="A1500" t="s">
        <v>3744</v>
      </c>
      <c r="B1500" t="s">
        <v>7792</v>
      </c>
      <c r="C1500" t="s">
        <v>11407</v>
      </c>
      <c r="D1500" t="s">
        <v>13287</v>
      </c>
      <c r="E1500" t="str">
        <f>+VLOOKUP(A1500,[1]PFE4!$A$7:$F$5208,6,0)</f>
        <v>CARRERA 3 A  51  24 OESTE</v>
      </c>
      <c r="F1500" s="17">
        <f>+VLOOKUP(A1500,[1]PFE4!$A$7:$G$5208,7,0)</f>
        <v>11001</v>
      </c>
      <c r="G1500">
        <v>9358539</v>
      </c>
      <c r="H1500">
        <v>4329</v>
      </c>
    </row>
    <row r="1501" spans="1:8" ht="15" customHeight="1" x14ac:dyDescent="0.25">
      <c r="A1501" t="s">
        <v>3745</v>
      </c>
      <c r="B1501" t="s">
        <v>7793</v>
      </c>
      <c r="C1501" t="s">
        <v>11408</v>
      </c>
      <c r="D1501" t="s">
        <v>13287</v>
      </c>
      <c r="E1501" t="str">
        <f>+VLOOKUP(A1501,[1]PFE4!$A$7:$F$5208,6,0)</f>
        <v>TV 5 86 33</v>
      </c>
      <c r="F1501" s="17">
        <f>+VLOOKUP(A1501,[1]PFE4!$A$7:$G$5208,7,0)</f>
        <v>11001</v>
      </c>
      <c r="G1501">
        <v>9366040</v>
      </c>
      <c r="H1501">
        <v>4329</v>
      </c>
    </row>
    <row r="1502" spans="1:8" ht="15" customHeight="1" x14ac:dyDescent="0.25">
      <c r="A1502" t="s">
        <v>3746</v>
      </c>
      <c r="B1502" t="s">
        <v>7794</v>
      </c>
      <c r="C1502" t="s">
        <v>11409</v>
      </c>
      <c r="D1502" t="s">
        <v>13287</v>
      </c>
      <c r="E1502" t="str">
        <f>+VLOOKUP(A1502,[1]PFE4!$A$7:$F$5208,6,0)</f>
        <v>CARRERA 30  9  45</v>
      </c>
      <c r="F1502" s="17">
        <f>+VLOOKUP(A1502,[1]PFE4!$A$7:$G$5208,7,0)</f>
        <v>76001</v>
      </c>
      <c r="G1502">
        <v>9378100</v>
      </c>
      <c r="H1502">
        <v>4329</v>
      </c>
    </row>
    <row r="1503" spans="1:8" ht="15" customHeight="1" x14ac:dyDescent="0.25">
      <c r="A1503" t="s">
        <v>3747</v>
      </c>
      <c r="B1503" t="s">
        <v>7795</v>
      </c>
      <c r="C1503" t="s">
        <v>11410</v>
      </c>
      <c r="D1503" t="s">
        <v>13287</v>
      </c>
      <c r="E1503" t="str">
        <f>+VLOOKUP(A1503,[1]PFE4!$A$7:$F$5208,6,0)</f>
        <v>CALLE 93  13  32</v>
      </c>
      <c r="F1503" s="17">
        <f>+VLOOKUP(A1503,[1]PFE4!$A$7:$G$5208,7,0)</f>
        <v>11001</v>
      </c>
      <c r="G1503">
        <v>9379056</v>
      </c>
      <c r="H1503">
        <v>4329</v>
      </c>
    </row>
    <row r="1504" spans="1:8" ht="15" customHeight="1" x14ac:dyDescent="0.25">
      <c r="A1504" t="s">
        <v>3748</v>
      </c>
      <c r="B1504" t="s">
        <v>7796</v>
      </c>
      <c r="C1504" t="s">
        <v>10389</v>
      </c>
      <c r="D1504" t="s">
        <v>13287</v>
      </c>
      <c r="E1504" t="str">
        <f>+VLOOKUP(A1504,[1]PFE4!$A$7:$F$5208,6,0)</f>
        <v>CALLE 65 B  42  70</v>
      </c>
      <c r="F1504" s="17">
        <f>+VLOOKUP(A1504,[1]PFE4!$A$7:$G$5208,7,0)</f>
        <v>17001</v>
      </c>
      <c r="G1504">
        <v>9379160</v>
      </c>
      <c r="H1504">
        <v>4329</v>
      </c>
    </row>
    <row r="1505" spans="1:8" ht="15" customHeight="1" x14ac:dyDescent="0.25">
      <c r="A1505" t="s">
        <v>3749</v>
      </c>
      <c r="B1505" t="s">
        <v>7797</v>
      </c>
      <c r="C1505" t="s">
        <v>11411</v>
      </c>
      <c r="D1505" t="s">
        <v>13287</v>
      </c>
      <c r="E1505" t="str">
        <f>+VLOOKUP(A1505,[1]PFE4!$A$7:$F$5208,6,0)</f>
        <v>CALLE 66  59  31</v>
      </c>
      <c r="F1505" s="17">
        <f>+VLOOKUP(A1505,[1]PFE4!$A$7:$G$5208,7,0)</f>
        <v>11001</v>
      </c>
      <c r="G1505">
        <v>9381115</v>
      </c>
      <c r="H1505">
        <v>4329</v>
      </c>
    </row>
    <row r="1506" spans="1:8" ht="15" customHeight="1" x14ac:dyDescent="0.25">
      <c r="A1506" t="s">
        <v>3750</v>
      </c>
      <c r="B1506" t="s">
        <v>7798</v>
      </c>
      <c r="C1506" t="s">
        <v>11412</v>
      </c>
      <c r="D1506" t="s">
        <v>13287</v>
      </c>
      <c r="E1506" t="str">
        <f>+VLOOKUP(A1506,[1]PFE4!$A$7:$F$5208,6,0)</f>
        <v>CL 27 13D 80</v>
      </c>
      <c r="F1506" s="17" t="str">
        <f>+VLOOKUP(A1506,[1]PFE4!$A$7:$G$5208,7,0)</f>
        <v>05376</v>
      </c>
      <c r="G1506">
        <v>9385272</v>
      </c>
      <c r="H1506">
        <v>4329</v>
      </c>
    </row>
    <row r="1507" spans="1:8" ht="15" customHeight="1" x14ac:dyDescent="0.25">
      <c r="A1507" t="s">
        <v>3751</v>
      </c>
      <c r="B1507" t="s">
        <v>7799</v>
      </c>
      <c r="C1507" t="s">
        <v>11413</v>
      </c>
      <c r="D1507" t="s">
        <v>13287</v>
      </c>
      <c r="E1507" t="str">
        <f>+VLOOKUP(A1507,[1]PFE4!$A$7:$F$5208,6,0)</f>
        <v>CARRERA 36  36  56</v>
      </c>
      <c r="F1507" s="17">
        <f>+VLOOKUP(A1507,[1]PFE4!$A$7:$G$5208,7,0)</f>
        <v>68001</v>
      </c>
      <c r="G1507">
        <v>9387300</v>
      </c>
      <c r="H1507">
        <v>4329</v>
      </c>
    </row>
    <row r="1508" spans="1:8" ht="15" customHeight="1" x14ac:dyDescent="0.25">
      <c r="A1508" t="s">
        <v>3752</v>
      </c>
      <c r="B1508" t="s">
        <v>7800</v>
      </c>
      <c r="C1508">
        <v>3219664011</v>
      </c>
      <c r="D1508" t="s">
        <v>13287</v>
      </c>
      <c r="E1508" t="str">
        <f>+VLOOKUP(A1508,[1]PFE4!$A$7:$F$5208,6,0)</f>
        <v>CARRERA 73 C  74 A  56</v>
      </c>
      <c r="F1508" s="17" t="str">
        <f>+VLOOKUP(A1508,[1]PFE4!$A$7:$G$5208,7,0)</f>
        <v>05001</v>
      </c>
      <c r="G1508">
        <v>9395900</v>
      </c>
      <c r="H1508">
        <v>4329</v>
      </c>
    </row>
    <row r="1509" spans="1:8" ht="15" customHeight="1" x14ac:dyDescent="0.25">
      <c r="A1509" t="s">
        <v>3753</v>
      </c>
      <c r="B1509" t="s">
        <v>7801</v>
      </c>
      <c r="C1509" t="s">
        <v>11414</v>
      </c>
      <c r="D1509" t="s">
        <v>13287</v>
      </c>
      <c r="E1509" t="str">
        <f>+VLOOKUP(A1509,[1]PFE4!$A$7:$F$5208,6,0)</f>
        <v>CALLE 59  42  26</v>
      </c>
      <c r="F1509" s="17" t="str">
        <f>+VLOOKUP(A1509,[1]PFE4!$A$7:$G$5208,7,0)</f>
        <v>05001</v>
      </c>
      <c r="G1509">
        <v>9406804</v>
      </c>
      <c r="H1509">
        <v>4329</v>
      </c>
    </row>
    <row r="1510" spans="1:8" ht="15" customHeight="1" x14ac:dyDescent="0.25">
      <c r="A1510" t="s">
        <v>3754</v>
      </c>
      <c r="B1510" t="s">
        <v>7802</v>
      </c>
      <c r="C1510" t="s">
        <v>11415</v>
      </c>
      <c r="D1510" t="s">
        <v>13287</v>
      </c>
      <c r="E1510" t="str">
        <f>+VLOOKUP(A1510,[1]PFE4!$A$7:$F$5208,6,0)</f>
        <v>CARRERA 103 B  152 C  64</v>
      </c>
      <c r="F1510" s="17">
        <f>+VLOOKUP(A1510,[1]PFE4!$A$7:$G$5208,7,0)</f>
        <v>11001</v>
      </c>
      <c r="G1510">
        <v>9409836</v>
      </c>
      <c r="H1510">
        <v>4329</v>
      </c>
    </row>
    <row r="1511" spans="1:8" ht="15" customHeight="1" x14ac:dyDescent="0.25">
      <c r="A1511" t="s">
        <v>3755</v>
      </c>
      <c r="B1511" t="s">
        <v>7803</v>
      </c>
      <c r="C1511" t="s">
        <v>11416</v>
      </c>
      <c r="D1511" t="s">
        <v>13287</v>
      </c>
      <c r="E1511" t="str">
        <f>+VLOOKUP(A1511,[1]PFE4!$A$7:$F$5208,6,0)</f>
        <v>CARRERA 4  25  47</v>
      </c>
      <c r="F1511" s="17" t="str">
        <f>+VLOOKUP(A1511,[1]PFE4!$A$7:$G$5208,7,0)</f>
        <v>08001</v>
      </c>
      <c r="G1511">
        <v>9421116</v>
      </c>
      <c r="H1511">
        <v>4329</v>
      </c>
    </row>
    <row r="1512" spans="1:8" ht="15" customHeight="1" x14ac:dyDescent="0.25">
      <c r="A1512" t="s">
        <v>3756</v>
      </c>
      <c r="B1512" t="s">
        <v>7804</v>
      </c>
      <c r="C1512" t="s">
        <v>11417</v>
      </c>
      <c r="D1512" t="s">
        <v>13287</v>
      </c>
      <c r="E1512" t="str">
        <f>+VLOOKUP(A1512,[1]PFE4!$A$7:$F$5208,6,0)</f>
        <v>CARRERA 14  127  10</v>
      </c>
      <c r="F1512" s="17">
        <f>+VLOOKUP(A1512,[1]PFE4!$A$7:$G$5208,7,0)</f>
        <v>11001</v>
      </c>
      <c r="G1512">
        <v>9434484</v>
      </c>
      <c r="H1512">
        <v>4329</v>
      </c>
    </row>
    <row r="1513" spans="1:8" ht="15" customHeight="1" x14ac:dyDescent="0.25">
      <c r="A1513" t="s">
        <v>3757</v>
      </c>
      <c r="B1513" t="s">
        <v>7805</v>
      </c>
      <c r="C1513" t="s">
        <v>11418</v>
      </c>
      <c r="D1513" t="s">
        <v>13287</v>
      </c>
      <c r="E1513" t="str">
        <f>+VLOOKUP(A1513,[1]PFE4!$A$7:$F$5208,6,0)</f>
        <v>CALLE 12 B  37  31</v>
      </c>
      <c r="F1513" s="17">
        <f>+VLOOKUP(A1513,[1]PFE4!$A$7:$G$5208,7,0)</f>
        <v>11001</v>
      </c>
      <c r="G1513">
        <v>9434786</v>
      </c>
      <c r="H1513">
        <v>4329</v>
      </c>
    </row>
    <row r="1514" spans="1:8" ht="15" customHeight="1" x14ac:dyDescent="0.25">
      <c r="A1514" t="s">
        <v>3758</v>
      </c>
      <c r="B1514" t="s">
        <v>7806</v>
      </c>
      <c r="C1514" t="s">
        <v>11419</v>
      </c>
      <c r="D1514" t="s">
        <v>13287</v>
      </c>
      <c r="E1514" t="str">
        <f>+VLOOKUP(A1514,[1]PFE4!$A$7:$F$5208,6,0)</f>
        <v>CL 48 BIS 90 92</v>
      </c>
      <c r="F1514" s="17">
        <f>+VLOOKUP(A1514,[1]PFE4!$A$7:$G$5208,7,0)</f>
        <v>76001</v>
      </c>
      <c r="G1514">
        <v>9435402</v>
      </c>
      <c r="H1514">
        <v>4329</v>
      </c>
    </row>
    <row r="1515" spans="1:8" ht="15" customHeight="1" x14ac:dyDescent="0.25">
      <c r="A1515" t="s">
        <v>3759</v>
      </c>
      <c r="B1515" t="s">
        <v>7807</v>
      </c>
      <c r="C1515" t="s">
        <v>11420</v>
      </c>
      <c r="D1515" t="s">
        <v>13287</v>
      </c>
      <c r="E1515" t="str">
        <f>+VLOOKUP(A1515,[1]PFE4!$A$7:$F$5208,6,0)</f>
        <v>DG 31 C 80 B 75</v>
      </c>
      <c r="F1515" s="17">
        <f>+VLOOKUP(A1515,[1]PFE4!$A$7:$G$5208,7,0)</f>
        <v>13001</v>
      </c>
      <c r="G1515">
        <v>9439572</v>
      </c>
      <c r="H1515">
        <v>4329</v>
      </c>
    </row>
    <row r="1516" spans="1:8" ht="15" customHeight="1" x14ac:dyDescent="0.25">
      <c r="A1516" t="s">
        <v>3760</v>
      </c>
      <c r="B1516" t="s">
        <v>7808</v>
      </c>
      <c r="C1516" t="s">
        <v>11421</v>
      </c>
      <c r="D1516" t="s">
        <v>13287</v>
      </c>
      <c r="E1516" t="str">
        <f>+VLOOKUP(A1516,[1]PFE4!$A$7:$F$5208,6,0)</f>
        <v>CALLE 79 B  42  440</v>
      </c>
      <c r="F1516" s="17" t="str">
        <f>+VLOOKUP(A1516,[1]PFE4!$A$7:$G$5208,7,0)</f>
        <v>08001</v>
      </c>
      <c r="G1516">
        <v>9441210</v>
      </c>
      <c r="H1516">
        <v>4329</v>
      </c>
    </row>
    <row r="1517" spans="1:8" ht="15" customHeight="1" x14ac:dyDescent="0.25">
      <c r="A1517" t="s">
        <v>3761</v>
      </c>
      <c r="B1517" t="s">
        <v>7809</v>
      </c>
      <c r="C1517" t="s">
        <v>11422</v>
      </c>
      <c r="D1517" t="s">
        <v>13287</v>
      </c>
      <c r="E1517" t="str">
        <f>+VLOOKUP(A1517,[1]PFE4!$A$7:$F$5208,6,0)</f>
        <v>CARRERA 12  79  32 OFICINA 703</v>
      </c>
      <c r="F1517" s="17">
        <f>+VLOOKUP(A1517,[1]PFE4!$A$7:$G$5208,7,0)</f>
        <v>11001</v>
      </c>
      <c r="G1517">
        <v>9458567</v>
      </c>
      <c r="H1517">
        <v>4329</v>
      </c>
    </row>
    <row r="1518" spans="1:8" ht="15" customHeight="1" x14ac:dyDescent="0.25">
      <c r="A1518" t="s">
        <v>3762</v>
      </c>
      <c r="B1518" t="s">
        <v>7810</v>
      </c>
      <c r="C1518" t="s">
        <v>11423</v>
      </c>
      <c r="D1518" t="s">
        <v>13287</v>
      </c>
      <c r="E1518" t="str">
        <f>+VLOOKUP(A1518,[1]PFE4!$A$7:$F$5208,6,0)</f>
        <v>CARRERA 5  10  63</v>
      </c>
      <c r="F1518" s="17">
        <f>+VLOOKUP(A1518,[1]PFE4!$A$7:$G$5208,7,0)</f>
        <v>73001</v>
      </c>
      <c r="G1518">
        <v>9473389</v>
      </c>
      <c r="H1518">
        <v>4329</v>
      </c>
    </row>
    <row r="1519" spans="1:8" ht="15" customHeight="1" x14ac:dyDescent="0.25">
      <c r="A1519" t="s">
        <v>3763</v>
      </c>
      <c r="B1519" t="s">
        <v>7811</v>
      </c>
      <c r="C1519" t="s">
        <v>11424</v>
      </c>
      <c r="D1519" t="s">
        <v>13287</v>
      </c>
      <c r="E1519" t="str">
        <f>+VLOOKUP(A1519,[1]PFE4!$A$7:$F$5208,6,0)</f>
        <v>CALLE 125  18 B  14</v>
      </c>
      <c r="F1519" s="17">
        <f>+VLOOKUP(A1519,[1]PFE4!$A$7:$G$5208,7,0)</f>
        <v>11001</v>
      </c>
      <c r="G1519">
        <v>9475840</v>
      </c>
      <c r="H1519">
        <v>4329</v>
      </c>
    </row>
    <row r="1520" spans="1:8" ht="15" customHeight="1" x14ac:dyDescent="0.25">
      <c r="A1520" t="s">
        <v>3764</v>
      </c>
      <c r="B1520" t="s">
        <v>7812</v>
      </c>
      <c r="C1520" t="s">
        <v>11425</v>
      </c>
      <c r="D1520" t="s">
        <v>13287</v>
      </c>
      <c r="E1520" t="str">
        <f>+VLOOKUP(A1520,[1]PFE4!$A$7:$F$5208,6,0)</f>
        <v>CALLE 120  9 B  81</v>
      </c>
      <c r="F1520" s="17">
        <f>+VLOOKUP(A1520,[1]PFE4!$A$7:$G$5208,7,0)</f>
        <v>11001</v>
      </c>
      <c r="G1520">
        <v>9496185</v>
      </c>
      <c r="H1520">
        <v>4329</v>
      </c>
    </row>
    <row r="1521" spans="1:8" ht="15" customHeight="1" x14ac:dyDescent="0.25">
      <c r="A1521" t="s">
        <v>3765</v>
      </c>
      <c r="B1521" t="s">
        <v>7813</v>
      </c>
      <c r="C1521" t="s">
        <v>11426</v>
      </c>
      <c r="D1521" t="s">
        <v>13287</v>
      </c>
      <c r="E1521" t="str">
        <f>+VLOOKUP(A1521,[1]PFE4!$A$7:$F$5208,6,0)</f>
        <v>CARRERA 13 A  111  49</v>
      </c>
      <c r="F1521" s="17">
        <f>+VLOOKUP(A1521,[1]PFE4!$A$7:$G$5208,7,0)</f>
        <v>11001</v>
      </c>
      <c r="G1521">
        <v>9512148</v>
      </c>
      <c r="H1521">
        <v>4329</v>
      </c>
    </row>
    <row r="1522" spans="1:8" ht="15" customHeight="1" x14ac:dyDescent="0.25">
      <c r="A1522" t="s">
        <v>3766</v>
      </c>
      <c r="B1522" t="s">
        <v>7814</v>
      </c>
      <c r="C1522" t="s">
        <v>11427</v>
      </c>
      <c r="D1522" t="s">
        <v>13287</v>
      </c>
      <c r="E1522" t="str">
        <f>+VLOOKUP(A1522,[1]PFE4!$A$7:$F$5208,6,0)</f>
        <v>TRANSVERSAL 23  93  30</v>
      </c>
      <c r="F1522" s="17">
        <f>+VLOOKUP(A1522,[1]PFE4!$A$7:$G$5208,7,0)</f>
        <v>11001</v>
      </c>
      <c r="G1522">
        <v>9515812</v>
      </c>
      <c r="H1522">
        <v>4329</v>
      </c>
    </row>
    <row r="1523" spans="1:8" ht="15" customHeight="1" x14ac:dyDescent="0.25">
      <c r="A1523" t="s">
        <v>3767</v>
      </c>
      <c r="B1523" t="s">
        <v>7815</v>
      </c>
      <c r="C1523" t="s">
        <v>11428</v>
      </c>
      <c r="D1523" t="s">
        <v>13287</v>
      </c>
      <c r="E1523" t="str">
        <f>+VLOOKUP(A1523,[1]PFE4!$A$7:$F$5208,6,0)</f>
        <v>CALLE 73  7  50  OFICINA 501</v>
      </c>
      <c r="F1523" s="17">
        <f>+VLOOKUP(A1523,[1]PFE4!$A$7:$G$5208,7,0)</f>
        <v>11001</v>
      </c>
      <c r="G1523">
        <v>9521999</v>
      </c>
      <c r="H1523">
        <v>4329</v>
      </c>
    </row>
    <row r="1524" spans="1:8" ht="15" customHeight="1" x14ac:dyDescent="0.25">
      <c r="A1524" t="s">
        <v>3768</v>
      </c>
      <c r="B1524" t="s">
        <v>7816</v>
      </c>
      <c r="C1524" t="s">
        <v>10961</v>
      </c>
      <c r="D1524" t="s">
        <v>13287</v>
      </c>
      <c r="E1524" t="str">
        <f>+VLOOKUP(A1524,[1]PFE4!$A$7:$F$5208,6,0)</f>
        <v>CL 32  28  51 BRR AURORA</v>
      </c>
      <c r="F1524" s="17">
        <f>+VLOOKUP(A1524,[1]PFE4!$A$7:$G$5208,7,0)</f>
        <v>68001</v>
      </c>
      <c r="G1524">
        <v>9523383</v>
      </c>
      <c r="H1524">
        <v>4329</v>
      </c>
    </row>
    <row r="1525" spans="1:8" ht="15" customHeight="1" x14ac:dyDescent="0.25">
      <c r="A1525" t="s">
        <v>3769</v>
      </c>
      <c r="B1525" t="s">
        <v>7817</v>
      </c>
      <c r="C1525" t="s">
        <v>11284</v>
      </c>
      <c r="D1525" t="s">
        <v>13287</v>
      </c>
      <c r="E1525" t="str">
        <f>+VLOOKUP(A1525,[1]PFE4!$A$7:$F$5208,6,0)</f>
        <v>CALLE 75  13  51  OFICINA 501</v>
      </c>
      <c r="F1525" s="17">
        <f>+VLOOKUP(A1525,[1]PFE4!$A$7:$G$5208,7,0)</f>
        <v>11001</v>
      </c>
      <c r="G1525">
        <v>9532518</v>
      </c>
      <c r="H1525">
        <v>4329</v>
      </c>
    </row>
    <row r="1526" spans="1:8" ht="15" customHeight="1" x14ac:dyDescent="0.25">
      <c r="A1526" t="s">
        <v>3770</v>
      </c>
      <c r="B1526" t="s">
        <v>7818</v>
      </c>
      <c r="C1526" t="s">
        <v>11429</v>
      </c>
      <c r="D1526" t="s">
        <v>13287</v>
      </c>
      <c r="E1526" t="str">
        <f>+VLOOKUP(A1526,[1]PFE4!$A$7:$F$5208,6,0)</f>
        <v>CALLE 20 N  5 A  16</v>
      </c>
      <c r="F1526" s="17">
        <f>+VLOOKUP(A1526,[1]PFE4!$A$7:$G$5208,7,0)</f>
        <v>76001</v>
      </c>
      <c r="G1526">
        <v>9539080</v>
      </c>
      <c r="H1526">
        <v>4329</v>
      </c>
    </row>
    <row r="1527" spans="1:8" ht="15" customHeight="1" x14ac:dyDescent="0.25">
      <c r="A1527" t="s">
        <v>3771</v>
      </c>
      <c r="B1527" t="s">
        <v>7819</v>
      </c>
      <c r="C1527" t="s">
        <v>11430</v>
      </c>
      <c r="D1527" t="s">
        <v>13287</v>
      </c>
      <c r="E1527" t="str">
        <f>+VLOOKUP(A1527,[1]PFE4!$A$7:$F$5208,6,0)</f>
        <v>CALLE 21 NORTE  9 N  50</v>
      </c>
      <c r="F1527" s="17">
        <f>+VLOOKUP(A1527,[1]PFE4!$A$7:$G$5208,7,0)</f>
        <v>11001</v>
      </c>
      <c r="G1527">
        <v>9547015</v>
      </c>
      <c r="H1527">
        <v>4329</v>
      </c>
    </row>
    <row r="1528" spans="1:8" ht="15" customHeight="1" x14ac:dyDescent="0.25">
      <c r="A1528" t="s">
        <v>3772</v>
      </c>
      <c r="B1528" t="s">
        <v>7820</v>
      </c>
      <c r="C1528" t="s">
        <v>11431</v>
      </c>
      <c r="D1528" t="s">
        <v>13287</v>
      </c>
      <c r="E1528" t="str">
        <f>+VLOOKUP(A1528,[1]PFE4!$A$7:$F$5208,6,0)</f>
        <v>CALLE 64  2  44</v>
      </c>
      <c r="F1528" s="17">
        <f>+VLOOKUP(A1528,[1]PFE4!$A$7:$G$5208,7,0)</f>
        <v>11001</v>
      </c>
      <c r="G1528">
        <v>9551146</v>
      </c>
      <c r="H1528">
        <v>4329</v>
      </c>
    </row>
    <row r="1529" spans="1:8" ht="15" customHeight="1" x14ac:dyDescent="0.25">
      <c r="A1529" t="s">
        <v>3773</v>
      </c>
      <c r="B1529" t="s">
        <v>7821</v>
      </c>
      <c r="C1529" t="s">
        <v>11432</v>
      </c>
      <c r="D1529" t="s">
        <v>13287</v>
      </c>
      <c r="E1529" t="str">
        <f>+VLOOKUP(A1529,[1]PFE4!$A$7:$F$5208,6,0)</f>
        <v>CARRERA 21 N 14 20 BARRIO ALAMOS</v>
      </c>
      <c r="F1529" s="17">
        <f>+VLOOKUP(A1529,[1]PFE4!$A$7:$G$5208,7,0)</f>
        <v>11001</v>
      </c>
      <c r="G1529">
        <v>9554236</v>
      </c>
      <c r="H1529">
        <v>4329</v>
      </c>
    </row>
    <row r="1530" spans="1:8" ht="15" customHeight="1" x14ac:dyDescent="0.25">
      <c r="A1530" t="s">
        <v>3774</v>
      </c>
      <c r="B1530" t="s">
        <v>7822</v>
      </c>
      <c r="C1530" t="s">
        <v>11433</v>
      </c>
      <c r="D1530" t="s">
        <v>13287</v>
      </c>
      <c r="E1530" t="str">
        <f>+VLOOKUP(A1530,[1]PFE4!$A$7:$F$5208,6,0)</f>
        <v>CALLE 71 B  100  11</v>
      </c>
      <c r="F1530" s="17">
        <f>+VLOOKUP(A1530,[1]PFE4!$A$7:$G$5208,7,0)</f>
        <v>11001</v>
      </c>
      <c r="G1530">
        <v>9555412</v>
      </c>
      <c r="H1530">
        <v>4329</v>
      </c>
    </row>
    <row r="1531" spans="1:8" ht="15" customHeight="1" x14ac:dyDescent="0.25">
      <c r="A1531" t="s">
        <v>3775</v>
      </c>
      <c r="B1531" t="s">
        <v>7823</v>
      </c>
      <c r="C1531" t="s">
        <v>11434</v>
      </c>
      <c r="D1531" t="s">
        <v>13287</v>
      </c>
      <c r="E1531" t="str">
        <f>+VLOOKUP(A1531,[1]PFE4!$A$7:$F$5208,6,0)</f>
        <v>CALLE 75  13  51</v>
      </c>
      <c r="F1531" s="17">
        <f>+VLOOKUP(A1531,[1]PFE4!$A$7:$G$5208,7,0)</f>
        <v>11001</v>
      </c>
      <c r="G1531">
        <v>9555625</v>
      </c>
      <c r="H1531">
        <v>4329</v>
      </c>
    </row>
    <row r="1532" spans="1:8" ht="15" customHeight="1" x14ac:dyDescent="0.25">
      <c r="A1532" t="s">
        <v>3776</v>
      </c>
      <c r="B1532" t="s">
        <v>7824</v>
      </c>
      <c r="C1532" t="s">
        <v>11435</v>
      </c>
      <c r="D1532" t="s">
        <v>13287</v>
      </c>
      <c r="E1532" t="str">
        <f>+VLOOKUP(A1532,[1]PFE4!$A$7:$F$5208,6,0)</f>
        <v>CARRERA 25 A  1 A SUR  45</v>
      </c>
      <c r="F1532" s="17" t="str">
        <f>+VLOOKUP(A1532,[1]PFE4!$A$7:$G$5208,7,0)</f>
        <v>05001</v>
      </c>
      <c r="G1532">
        <v>9566388</v>
      </c>
      <c r="H1532">
        <v>4329</v>
      </c>
    </row>
    <row r="1533" spans="1:8" ht="15" customHeight="1" x14ac:dyDescent="0.25">
      <c r="A1533" t="s">
        <v>3777</v>
      </c>
      <c r="B1533" t="s">
        <v>7825</v>
      </c>
      <c r="C1533" t="s">
        <v>11436</v>
      </c>
      <c r="D1533" t="s">
        <v>13287</v>
      </c>
      <c r="E1533" t="str">
        <f>+VLOOKUP(A1533,[1]PFE4!$A$7:$F$5208,6,0)</f>
        <v>CR 12 14 N 41</v>
      </c>
      <c r="F1533" s="17">
        <f>+VLOOKUP(A1533,[1]PFE4!$A$7:$G$5208,7,0)</f>
        <v>63001</v>
      </c>
      <c r="G1533">
        <v>9571200</v>
      </c>
      <c r="H1533">
        <v>4329</v>
      </c>
    </row>
    <row r="1534" spans="1:8" ht="15" customHeight="1" x14ac:dyDescent="0.25">
      <c r="A1534" t="s">
        <v>3778</v>
      </c>
      <c r="B1534" t="s">
        <v>7826</v>
      </c>
      <c r="C1534" t="s">
        <v>11437</v>
      </c>
      <c r="D1534" t="s">
        <v>13287</v>
      </c>
      <c r="E1534" t="str">
        <f>+VLOOKUP(A1534,[1]PFE4!$A$7:$F$5208,6,0)</f>
        <v>CL 135 7 41</v>
      </c>
      <c r="F1534" s="17">
        <f>+VLOOKUP(A1534,[1]PFE4!$A$7:$G$5208,7,0)</f>
        <v>11001</v>
      </c>
      <c r="G1534">
        <v>9574700</v>
      </c>
      <c r="H1534">
        <v>4329</v>
      </c>
    </row>
    <row r="1535" spans="1:8" ht="15" customHeight="1" x14ac:dyDescent="0.25">
      <c r="A1535" t="s">
        <v>3779</v>
      </c>
      <c r="B1535" t="s">
        <v>7827</v>
      </c>
      <c r="C1535" t="s">
        <v>11438</v>
      </c>
      <c r="D1535" t="s">
        <v>13287</v>
      </c>
      <c r="E1535" t="str">
        <f>+VLOOKUP(A1535,[1]PFE4!$A$7:$F$5208,6,0)</f>
        <v>CARRERA 5 ESTE  20  69  BODEGA 10</v>
      </c>
      <c r="F1535" s="17">
        <f>+VLOOKUP(A1535,[1]PFE4!$A$7:$G$5208,7,0)</f>
        <v>11001</v>
      </c>
      <c r="G1535">
        <v>9576353</v>
      </c>
      <c r="H1535">
        <v>4329</v>
      </c>
    </row>
    <row r="1536" spans="1:8" ht="15" customHeight="1" x14ac:dyDescent="0.25">
      <c r="A1536" t="s">
        <v>3780</v>
      </c>
      <c r="B1536" t="s">
        <v>7828</v>
      </c>
      <c r="C1536" t="s">
        <v>11439</v>
      </c>
      <c r="D1536" t="s">
        <v>13287</v>
      </c>
      <c r="E1536" t="str">
        <f>+VLOOKUP(A1536,[1]PFE4!$A$7:$F$5208,6,0)</f>
        <v>CARRERA 28  34  53</v>
      </c>
      <c r="F1536" s="17">
        <f>+VLOOKUP(A1536,[1]PFE4!$A$7:$G$5208,7,0)</f>
        <v>68001</v>
      </c>
      <c r="G1536">
        <v>9576533</v>
      </c>
      <c r="H1536">
        <v>4329</v>
      </c>
    </row>
    <row r="1537" spans="1:8" ht="15" customHeight="1" x14ac:dyDescent="0.25">
      <c r="A1537" t="s">
        <v>3781</v>
      </c>
      <c r="B1537" t="s">
        <v>7829</v>
      </c>
      <c r="C1537" t="s">
        <v>11440</v>
      </c>
      <c r="D1537" t="s">
        <v>13287</v>
      </c>
      <c r="E1537" t="str">
        <f>+VLOOKUP(A1537,[1]PFE4!$A$7:$F$5208,6,0)</f>
        <v>AVENIDA 40  35 A  19</v>
      </c>
      <c r="F1537" s="17">
        <f>+VLOOKUP(A1537,[1]PFE4!$A$7:$G$5208,7,0)</f>
        <v>50001</v>
      </c>
      <c r="G1537">
        <v>9582791</v>
      </c>
      <c r="H1537">
        <v>4329</v>
      </c>
    </row>
    <row r="1538" spans="1:8" ht="15" customHeight="1" x14ac:dyDescent="0.25">
      <c r="A1538" t="s">
        <v>3782</v>
      </c>
      <c r="B1538" t="s">
        <v>7830</v>
      </c>
      <c r="C1538" t="s">
        <v>11441</v>
      </c>
      <c r="D1538" t="s">
        <v>13287</v>
      </c>
      <c r="E1538" t="str">
        <f>+VLOOKUP(A1538,[1]PFE4!$A$7:$F$5208,6,0)</f>
        <v>CARRERA 27 A  48  94</v>
      </c>
      <c r="F1538" s="17">
        <f>+VLOOKUP(A1538,[1]PFE4!$A$7:$G$5208,7,0)</f>
        <v>68001</v>
      </c>
      <c r="G1538">
        <v>9583321</v>
      </c>
      <c r="H1538">
        <v>4329</v>
      </c>
    </row>
    <row r="1539" spans="1:8" ht="15" customHeight="1" x14ac:dyDescent="0.25">
      <c r="A1539" t="s">
        <v>3783</v>
      </c>
      <c r="B1539" t="s">
        <v>7831</v>
      </c>
      <c r="C1539" t="s">
        <v>10856</v>
      </c>
      <c r="D1539" t="s">
        <v>13287</v>
      </c>
      <c r="E1539" t="str">
        <f>+VLOOKUP(A1539,[1]PFE4!$A$7:$F$5208,6,0)</f>
        <v>CARRERA 10  93  42</v>
      </c>
      <c r="F1539" s="17">
        <f>+VLOOKUP(A1539,[1]PFE4!$A$7:$G$5208,7,0)</f>
        <v>11001</v>
      </c>
      <c r="G1539">
        <v>9585300</v>
      </c>
      <c r="H1539">
        <v>4329</v>
      </c>
    </row>
    <row r="1540" spans="1:8" ht="15" customHeight="1" x14ac:dyDescent="0.25">
      <c r="A1540" t="s">
        <v>3784</v>
      </c>
      <c r="B1540" t="s">
        <v>7832</v>
      </c>
      <c r="C1540" t="s">
        <v>11442</v>
      </c>
      <c r="D1540" t="s">
        <v>13287</v>
      </c>
      <c r="E1540" t="str">
        <f>+VLOOKUP(A1540,[1]PFE4!$A$7:$F$5208,6,0)</f>
        <v>CARRERA 46  23 SUR  26</v>
      </c>
      <c r="F1540" s="17" t="str">
        <f>+VLOOKUP(A1540,[1]PFE4!$A$7:$G$5208,7,0)</f>
        <v>05266</v>
      </c>
      <c r="G1540">
        <v>9588604</v>
      </c>
      <c r="H1540">
        <v>4329</v>
      </c>
    </row>
    <row r="1541" spans="1:8" ht="15" customHeight="1" x14ac:dyDescent="0.25">
      <c r="A1541" t="s">
        <v>3785</v>
      </c>
      <c r="B1541" t="s">
        <v>7833</v>
      </c>
      <c r="C1541" t="s">
        <v>11443</v>
      </c>
      <c r="D1541" t="s">
        <v>13287</v>
      </c>
      <c r="E1541" t="str">
        <f>+VLOOKUP(A1541,[1]PFE4!$A$7:$F$5208,6,0)</f>
        <v>CARRERA 29 C  10 C  100</v>
      </c>
      <c r="F1541" s="17">
        <f>+VLOOKUP(A1541,[1]PFE4!$A$7:$G$5208,7,0)</f>
        <v>11001</v>
      </c>
      <c r="G1541">
        <v>9595818</v>
      </c>
      <c r="H1541">
        <v>4329</v>
      </c>
    </row>
    <row r="1542" spans="1:8" ht="15" customHeight="1" x14ac:dyDescent="0.25">
      <c r="A1542" t="s">
        <v>3786</v>
      </c>
      <c r="B1542" t="s">
        <v>7834</v>
      </c>
      <c r="C1542" t="s">
        <v>11444</v>
      </c>
      <c r="D1542" t="s">
        <v>13287</v>
      </c>
      <c r="E1542" t="str">
        <f>+VLOOKUP(A1542,[1]PFE4!$A$7:$F$5208,6,0)</f>
        <v>CARRERA 20  86  21</v>
      </c>
      <c r="F1542" s="17">
        <f>+VLOOKUP(A1542,[1]PFE4!$A$7:$G$5208,7,0)</f>
        <v>11001</v>
      </c>
      <c r="G1542">
        <v>9598181</v>
      </c>
      <c r="H1542">
        <v>4329</v>
      </c>
    </row>
    <row r="1543" spans="1:8" ht="15" customHeight="1" x14ac:dyDescent="0.25">
      <c r="A1543" t="s">
        <v>3787</v>
      </c>
      <c r="B1543" t="s">
        <v>7835</v>
      </c>
      <c r="C1543" t="s">
        <v>11445</v>
      </c>
      <c r="D1543" t="s">
        <v>13287</v>
      </c>
      <c r="E1543" t="str">
        <f>+VLOOKUP(A1543,[1]PFE4!$A$7:$F$5208,6,0)</f>
        <v>CALLE 123  9 C  40</v>
      </c>
      <c r="F1543" s="17">
        <f>+VLOOKUP(A1543,[1]PFE4!$A$7:$G$5208,7,0)</f>
        <v>11001</v>
      </c>
      <c r="G1543">
        <v>9602040</v>
      </c>
      <c r="H1543">
        <v>4329</v>
      </c>
    </row>
    <row r="1544" spans="1:8" ht="15" customHeight="1" x14ac:dyDescent="0.25">
      <c r="A1544" t="s">
        <v>3788</v>
      </c>
      <c r="B1544" t="s">
        <v>7836</v>
      </c>
      <c r="C1544" t="s">
        <v>11446</v>
      </c>
      <c r="D1544" t="s">
        <v>13287</v>
      </c>
      <c r="E1544" t="str">
        <f>+VLOOKUP(A1544,[1]PFE4!$A$7:$F$5208,6,0)</f>
        <v>CARRERA 24  39  38</v>
      </c>
      <c r="F1544" s="17">
        <f>+VLOOKUP(A1544,[1]PFE4!$A$7:$G$5208,7,0)</f>
        <v>68001</v>
      </c>
      <c r="G1544">
        <v>9603652</v>
      </c>
      <c r="H1544">
        <v>4329</v>
      </c>
    </row>
    <row r="1545" spans="1:8" ht="15" customHeight="1" x14ac:dyDescent="0.25">
      <c r="A1545" t="s">
        <v>3789</v>
      </c>
      <c r="B1545" t="s">
        <v>7837</v>
      </c>
      <c r="C1545">
        <v>0</v>
      </c>
      <c r="D1545" t="s">
        <v>13287</v>
      </c>
      <c r="E1545">
        <v>0</v>
      </c>
      <c r="F1545" s="17">
        <v>11001</v>
      </c>
      <c r="G1545">
        <v>9620000</v>
      </c>
      <c r="H1545">
        <v>4329</v>
      </c>
    </row>
    <row r="1546" spans="1:8" ht="15" customHeight="1" x14ac:dyDescent="0.25">
      <c r="A1546" t="s">
        <v>3790</v>
      </c>
      <c r="B1546" t="s">
        <v>7838</v>
      </c>
      <c r="C1546" t="s">
        <v>10850</v>
      </c>
      <c r="D1546" t="s">
        <v>13287</v>
      </c>
      <c r="E1546" t="str">
        <f>+VLOOKUP(A1546,[1]PFE4!$A$7:$F$5208,6,0)</f>
        <v>CALLE 22 A SUR  46  34</v>
      </c>
      <c r="F1546" s="17" t="str">
        <f>+VLOOKUP(A1546,[1]PFE4!$A$7:$G$5208,7,0)</f>
        <v>05266</v>
      </c>
      <c r="G1546">
        <v>9628452</v>
      </c>
      <c r="H1546">
        <v>4329</v>
      </c>
    </row>
    <row r="1547" spans="1:8" ht="15" customHeight="1" x14ac:dyDescent="0.25">
      <c r="A1547" t="s">
        <v>3791</v>
      </c>
      <c r="B1547" t="s">
        <v>7839</v>
      </c>
      <c r="C1547" t="s">
        <v>11447</v>
      </c>
      <c r="D1547" t="s">
        <v>13287</v>
      </c>
      <c r="E1547" t="str">
        <f>+VLOOKUP(A1547,[1]PFE4!$A$7:$F$5208,6,0)</f>
        <v>CARRERA 8  97  62</v>
      </c>
      <c r="F1547" s="17">
        <f>+VLOOKUP(A1547,[1]PFE4!$A$7:$G$5208,7,0)</f>
        <v>11001</v>
      </c>
      <c r="G1547">
        <v>9640919</v>
      </c>
      <c r="H1547">
        <v>4329</v>
      </c>
    </row>
    <row r="1548" spans="1:8" ht="15" customHeight="1" x14ac:dyDescent="0.25">
      <c r="A1548" t="s">
        <v>3792</v>
      </c>
      <c r="B1548" t="s">
        <v>7840</v>
      </c>
      <c r="C1548" t="s">
        <v>11448</v>
      </c>
      <c r="D1548" t="s">
        <v>13287</v>
      </c>
      <c r="E1548" t="str">
        <f>+VLOOKUP(A1548,[1]PFE4!$A$7:$F$5208,6,0)</f>
        <v>CALLE 24  39 A  408</v>
      </c>
      <c r="F1548" s="17" t="str">
        <f>+VLOOKUP(A1548,[1]PFE4!$A$7:$G$5208,7,0)</f>
        <v>05001</v>
      </c>
      <c r="G1548">
        <v>9642284</v>
      </c>
      <c r="H1548">
        <v>4329</v>
      </c>
    </row>
    <row r="1549" spans="1:8" ht="15" customHeight="1" x14ac:dyDescent="0.25">
      <c r="A1549" t="s">
        <v>3793</v>
      </c>
      <c r="B1549" t="s">
        <v>7841</v>
      </c>
      <c r="C1549" t="s">
        <v>10852</v>
      </c>
      <c r="D1549" t="s">
        <v>13287</v>
      </c>
      <c r="E1549" t="str">
        <f>+VLOOKUP(A1549,[1]PFE4!$A$7:$F$5208,6,0)</f>
        <v>TV 23 94 50</v>
      </c>
      <c r="F1549" s="17">
        <f>+VLOOKUP(A1549,[1]PFE4!$A$7:$G$5208,7,0)</f>
        <v>11001</v>
      </c>
      <c r="G1549">
        <v>9642447</v>
      </c>
      <c r="H1549">
        <v>4329</v>
      </c>
    </row>
    <row r="1550" spans="1:8" ht="15" customHeight="1" x14ac:dyDescent="0.25">
      <c r="A1550" t="s">
        <v>3794</v>
      </c>
      <c r="B1550" t="s">
        <v>7842</v>
      </c>
      <c r="C1550" t="s">
        <v>11449</v>
      </c>
      <c r="D1550" t="s">
        <v>13287</v>
      </c>
      <c r="E1550" t="str">
        <f>+VLOOKUP(A1550,[1]PFE4!$A$7:$F$5208,6,0)</f>
        <v>CALLE 23 NORTE  15  21</v>
      </c>
      <c r="F1550" s="17">
        <f>+VLOOKUP(A1550,[1]PFE4!$A$7:$G$5208,7,0)</f>
        <v>63001</v>
      </c>
      <c r="G1550">
        <v>9643812</v>
      </c>
      <c r="H1550">
        <v>4329</v>
      </c>
    </row>
    <row r="1551" spans="1:8" ht="15" customHeight="1" x14ac:dyDescent="0.25">
      <c r="A1551" t="s">
        <v>3795</v>
      </c>
      <c r="B1551" t="s">
        <v>7843</v>
      </c>
      <c r="C1551" t="s">
        <v>11450</v>
      </c>
      <c r="D1551" t="s">
        <v>13287</v>
      </c>
      <c r="E1551" t="str">
        <f>+VLOOKUP(A1551,[1]PFE4!$A$7:$F$5208,6,0)</f>
        <v>AVENIDA CALLE 127  13 A  32</v>
      </c>
      <c r="F1551" s="17">
        <f>+VLOOKUP(A1551,[1]PFE4!$A$7:$G$5208,7,0)</f>
        <v>11001</v>
      </c>
      <c r="G1551">
        <v>9649352</v>
      </c>
      <c r="H1551">
        <v>4329</v>
      </c>
    </row>
    <row r="1552" spans="1:8" ht="15" customHeight="1" x14ac:dyDescent="0.25">
      <c r="A1552" t="s">
        <v>3796</v>
      </c>
      <c r="B1552" t="s">
        <v>7844</v>
      </c>
      <c r="C1552">
        <v>0</v>
      </c>
      <c r="D1552" t="s">
        <v>13287</v>
      </c>
      <c r="E1552">
        <v>0</v>
      </c>
      <c r="F1552" s="17">
        <v>11001</v>
      </c>
      <c r="G1552">
        <v>9660100</v>
      </c>
      <c r="H1552">
        <v>4329</v>
      </c>
    </row>
    <row r="1553" spans="1:8" ht="15" customHeight="1" x14ac:dyDescent="0.25">
      <c r="A1553" t="s">
        <v>3797</v>
      </c>
      <c r="B1553" t="s">
        <v>7845</v>
      </c>
      <c r="C1553" t="s">
        <v>10661</v>
      </c>
      <c r="D1553" t="s">
        <v>13287</v>
      </c>
      <c r="E1553" t="str">
        <f>+VLOOKUP(A1553,[1]PFE4!$A$7:$F$5208,6,0)</f>
        <v>CARRERA 20  101  26</v>
      </c>
      <c r="F1553" s="17">
        <f>+VLOOKUP(A1553,[1]PFE4!$A$7:$G$5208,7,0)</f>
        <v>11001</v>
      </c>
      <c r="G1553">
        <v>9673164</v>
      </c>
      <c r="H1553">
        <v>4329</v>
      </c>
    </row>
    <row r="1554" spans="1:8" ht="15" customHeight="1" x14ac:dyDescent="0.25">
      <c r="A1554" t="s">
        <v>3798</v>
      </c>
      <c r="B1554" t="s">
        <v>7846</v>
      </c>
      <c r="C1554" t="s">
        <v>11451</v>
      </c>
      <c r="D1554" t="s">
        <v>13287</v>
      </c>
      <c r="E1554" t="str">
        <f>+VLOOKUP(A1554,[1]PFE4!$A$7:$F$5208,6,0)</f>
        <v>CL 144 9 30</v>
      </c>
      <c r="F1554" s="17">
        <f>+VLOOKUP(A1554,[1]PFE4!$A$7:$G$5208,7,0)</f>
        <v>11001</v>
      </c>
      <c r="G1554">
        <v>9680000</v>
      </c>
      <c r="H1554">
        <v>4329</v>
      </c>
    </row>
    <row r="1555" spans="1:8" ht="15" customHeight="1" x14ac:dyDescent="0.25">
      <c r="A1555" t="s">
        <v>3799</v>
      </c>
      <c r="B1555" t="s">
        <v>7847</v>
      </c>
      <c r="C1555" t="s">
        <v>11452</v>
      </c>
      <c r="D1555" t="s">
        <v>13287</v>
      </c>
      <c r="E1555" t="str">
        <f>+VLOOKUP(A1555,[1]PFE4!$A$7:$F$5208,6,0)</f>
        <v>CALLE 58 8-05</v>
      </c>
      <c r="F1555" s="17">
        <f>+VLOOKUP(A1555,[1]PFE4!$A$7:$G$5208,7,0)</f>
        <v>76001</v>
      </c>
      <c r="G1555">
        <v>9709795</v>
      </c>
      <c r="H1555">
        <v>4329</v>
      </c>
    </row>
    <row r="1556" spans="1:8" ht="15" customHeight="1" x14ac:dyDescent="0.25">
      <c r="A1556" t="s">
        <v>3800</v>
      </c>
      <c r="B1556" t="s">
        <v>7848</v>
      </c>
      <c r="C1556" t="s">
        <v>11453</v>
      </c>
      <c r="D1556" t="s">
        <v>13287</v>
      </c>
      <c r="E1556" t="str">
        <f>+VLOOKUP(A1556,[1]PFE4!$A$7:$F$5208,6,0)</f>
        <v>CALLE 53  10  21</v>
      </c>
      <c r="F1556" s="17">
        <f>+VLOOKUP(A1556,[1]PFE4!$A$7:$G$5208,7,0)</f>
        <v>11001</v>
      </c>
      <c r="G1556">
        <v>9730006</v>
      </c>
      <c r="H1556">
        <v>4329</v>
      </c>
    </row>
    <row r="1557" spans="1:8" ht="15" customHeight="1" x14ac:dyDescent="0.25">
      <c r="A1557" t="s">
        <v>3801</v>
      </c>
      <c r="B1557" t="s">
        <v>7591</v>
      </c>
      <c r="C1557" t="s">
        <v>11454</v>
      </c>
      <c r="D1557" t="s">
        <v>13287</v>
      </c>
      <c r="E1557" t="str">
        <f>+VLOOKUP(A1557,[1]PFE4!$A$7:$F$5208,6,0)</f>
        <v>CL 57 G 10 A 43</v>
      </c>
      <c r="F1557" s="17">
        <f>+VLOOKUP(A1557,[1]PFE4!$A$7:$G$5208,7,0)</f>
        <v>17001</v>
      </c>
      <c r="G1557">
        <v>9735615</v>
      </c>
      <c r="H1557">
        <v>4329</v>
      </c>
    </row>
    <row r="1558" spans="1:8" ht="15" customHeight="1" x14ac:dyDescent="0.25">
      <c r="A1558" t="s">
        <v>3802</v>
      </c>
      <c r="B1558" t="s">
        <v>7849</v>
      </c>
      <c r="C1558" t="s">
        <v>10841</v>
      </c>
      <c r="D1558" t="s">
        <v>13287</v>
      </c>
      <c r="E1558" t="str">
        <f>+VLOOKUP(A1558,[1]PFE4!$A$7:$F$5208,6,0)</f>
        <v>CARRERA 19 A  120  32</v>
      </c>
      <c r="F1558" s="17">
        <f>+VLOOKUP(A1558,[1]PFE4!$A$7:$G$5208,7,0)</f>
        <v>11001</v>
      </c>
      <c r="G1558">
        <v>9735856</v>
      </c>
      <c r="H1558">
        <v>4329</v>
      </c>
    </row>
    <row r="1559" spans="1:8" ht="15" customHeight="1" x14ac:dyDescent="0.25">
      <c r="A1559" t="s">
        <v>3803</v>
      </c>
      <c r="B1559" t="s">
        <v>7850</v>
      </c>
      <c r="C1559" t="s">
        <v>11455</v>
      </c>
      <c r="D1559" t="s">
        <v>13287</v>
      </c>
      <c r="E1559" t="str">
        <f>+VLOOKUP(A1559,[1]PFE4!$A$7:$F$5208,6,0)</f>
        <v>CARRERA 42  18 B  31</v>
      </c>
      <c r="F1559" s="17" t="str">
        <f>+VLOOKUP(A1559,[1]PFE4!$A$7:$G$5208,7,0)</f>
        <v>05001</v>
      </c>
      <c r="G1559">
        <v>9740387</v>
      </c>
      <c r="H1559">
        <v>4329</v>
      </c>
    </row>
    <row r="1560" spans="1:8" ht="15" customHeight="1" x14ac:dyDescent="0.25">
      <c r="A1560" t="s">
        <v>3804</v>
      </c>
      <c r="B1560" t="s">
        <v>7851</v>
      </c>
      <c r="C1560" t="s">
        <v>11456</v>
      </c>
      <c r="D1560" t="s">
        <v>13287</v>
      </c>
      <c r="E1560" t="str">
        <f>+VLOOKUP(A1560,[1]PFE4!$A$7:$F$5208,6,0)</f>
        <v>CR 8 2 D NORTE 23 BRR LA CABAÑA</v>
      </c>
      <c r="F1560" s="17">
        <f>+VLOOKUP(A1560,[1]PFE4!$A$7:$G$5208,7,0)</f>
        <v>25290</v>
      </c>
      <c r="G1560">
        <v>9746700</v>
      </c>
      <c r="H1560">
        <v>4329</v>
      </c>
    </row>
    <row r="1561" spans="1:8" ht="15" customHeight="1" x14ac:dyDescent="0.25">
      <c r="A1561" t="s">
        <v>3805</v>
      </c>
      <c r="B1561" t="s">
        <v>7852</v>
      </c>
      <c r="C1561" t="s">
        <v>11457</v>
      </c>
      <c r="D1561" t="s">
        <v>13287</v>
      </c>
      <c r="E1561" t="str">
        <f>+VLOOKUP(A1561,[1]PFE4!$A$7:$F$5208,6,0)</f>
        <v xml:space="preserve">CR 13 A 12 55 ED POLANCO CHIPRE AP 502
</v>
      </c>
      <c r="F1561" s="17">
        <f>+VLOOKUP(A1561,[1]PFE4!$A$7:$G$5208,7,0)</f>
        <v>17001</v>
      </c>
      <c r="G1561">
        <v>9709481</v>
      </c>
      <c r="H1561">
        <v>4329</v>
      </c>
    </row>
    <row r="1562" spans="1:8" ht="15" customHeight="1" x14ac:dyDescent="0.25">
      <c r="A1562" t="s">
        <v>3806</v>
      </c>
      <c r="B1562" t="s">
        <v>7853</v>
      </c>
      <c r="C1562" t="s">
        <v>11458</v>
      </c>
      <c r="D1562" t="s">
        <v>13287</v>
      </c>
      <c r="E1562" t="str">
        <f>+VLOOKUP(A1562,[1]PFE4!$A$7:$F$5208,6,0)</f>
        <v>TRANSVERSAL 4  51 A  43</v>
      </c>
      <c r="F1562" s="17">
        <f>+VLOOKUP(A1562,[1]PFE4!$A$7:$G$5208,7,0)</f>
        <v>11001</v>
      </c>
      <c r="G1562">
        <v>9757753</v>
      </c>
      <c r="H1562">
        <v>4329</v>
      </c>
    </row>
    <row r="1563" spans="1:8" ht="15" customHeight="1" x14ac:dyDescent="0.25">
      <c r="A1563" t="s">
        <v>3807</v>
      </c>
      <c r="B1563" t="s">
        <v>7854</v>
      </c>
      <c r="C1563" t="s">
        <v>11459</v>
      </c>
      <c r="D1563" t="s">
        <v>13287</v>
      </c>
      <c r="E1563" t="str">
        <f>+VLOOKUP(A1563,[1]PFE4!$A$7:$F$5208,6,0)</f>
        <v>CARRERA 53  107  50</v>
      </c>
      <c r="F1563" s="17">
        <f>+VLOOKUP(A1563,[1]PFE4!$A$7:$G$5208,7,0)</f>
        <v>11001</v>
      </c>
      <c r="G1563">
        <v>9761253</v>
      </c>
      <c r="H1563">
        <v>4329</v>
      </c>
    </row>
    <row r="1564" spans="1:8" ht="15" customHeight="1" x14ac:dyDescent="0.25">
      <c r="A1564" t="s">
        <v>3808</v>
      </c>
      <c r="B1564" t="s">
        <v>7855</v>
      </c>
      <c r="C1564" t="s">
        <v>11045</v>
      </c>
      <c r="D1564" t="s">
        <v>13287</v>
      </c>
      <c r="E1564" t="str">
        <f>+VLOOKUP(A1564,[1]PFE4!$A$7:$F$5208,6,0)</f>
        <v>CARRERA 7 A  97  55</v>
      </c>
      <c r="F1564" s="17">
        <f>+VLOOKUP(A1564,[1]PFE4!$A$7:$G$5208,7,0)</f>
        <v>11001</v>
      </c>
      <c r="G1564">
        <v>9764728</v>
      </c>
      <c r="H1564">
        <v>4329</v>
      </c>
    </row>
    <row r="1565" spans="1:8" ht="15" customHeight="1" x14ac:dyDescent="0.25">
      <c r="A1565" t="s">
        <v>3809</v>
      </c>
      <c r="B1565" t="s">
        <v>7856</v>
      </c>
      <c r="C1565" t="s">
        <v>11460</v>
      </c>
      <c r="D1565" t="s">
        <v>13287</v>
      </c>
      <c r="E1565" t="str">
        <f>+VLOOKUP(A1565,[1]PFE4!$A$7:$F$5208,6,0)</f>
        <v>CALLE 15  16  25  OFICINA 204</v>
      </c>
      <c r="F1565" s="17">
        <f>+VLOOKUP(A1565,[1]PFE4!$A$7:$G$5208,7,0)</f>
        <v>15238</v>
      </c>
      <c r="G1565">
        <v>9768516</v>
      </c>
      <c r="H1565">
        <v>4329</v>
      </c>
    </row>
    <row r="1566" spans="1:8" ht="15" customHeight="1" x14ac:dyDescent="0.25">
      <c r="A1566" t="s">
        <v>3810</v>
      </c>
      <c r="B1566" t="s">
        <v>7857</v>
      </c>
      <c r="C1566" t="s">
        <v>11461</v>
      </c>
      <c r="D1566" t="s">
        <v>13287</v>
      </c>
      <c r="E1566" t="str">
        <f>+VLOOKUP(A1566,[1]PFE4!$A$7:$F$5208,6,0)</f>
        <v>CALLE 114  15 B  10</v>
      </c>
      <c r="F1566" s="17">
        <f>+VLOOKUP(A1566,[1]PFE4!$A$7:$G$5208,7,0)</f>
        <v>11001</v>
      </c>
      <c r="G1566">
        <v>9784727</v>
      </c>
      <c r="H1566">
        <v>4329</v>
      </c>
    </row>
    <row r="1567" spans="1:8" ht="15" customHeight="1" x14ac:dyDescent="0.25">
      <c r="A1567" t="s">
        <v>3811</v>
      </c>
      <c r="B1567" t="s">
        <v>7858</v>
      </c>
      <c r="C1567" t="s">
        <v>11462</v>
      </c>
      <c r="D1567" t="s">
        <v>13287</v>
      </c>
      <c r="E1567" t="str">
        <f>+VLOOKUP(A1567,[1]PFE4!$A$7:$F$5208,6,0)</f>
        <v>CARRERA 15  20  08</v>
      </c>
      <c r="F1567" s="17">
        <f>+VLOOKUP(A1567,[1]PFE4!$A$7:$G$5208,7,0)</f>
        <v>63001</v>
      </c>
      <c r="G1567">
        <v>9787512</v>
      </c>
      <c r="H1567">
        <v>4329</v>
      </c>
    </row>
    <row r="1568" spans="1:8" ht="15" customHeight="1" x14ac:dyDescent="0.25">
      <c r="A1568" t="s">
        <v>3812</v>
      </c>
      <c r="B1568" t="s">
        <v>7859</v>
      </c>
      <c r="C1568" t="s">
        <v>11463</v>
      </c>
      <c r="D1568" t="s">
        <v>13287</v>
      </c>
      <c r="E1568" t="str">
        <f>+VLOOKUP(A1568,[1]PFE4!$A$7:$F$5208,6,0)</f>
        <v>CALLE 85 N 12-55</v>
      </c>
      <c r="F1568" s="17">
        <f>+VLOOKUP(A1568,[1]PFE4!$A$7:$G$5208,7,0)</f>
        <v>11001</v>
      </c>
      <c r="G1568">
        <v>9787512</v>
      </c>
      <c r="H1568">
        <v>4329</v>
      </c>
    </row>
    <row r="1569" spans="1:8" ht="15" customHeight="1" x14ac:dyDescent="0.25">
      <c r="A1569" t="s">
        <v>3813</v>
      </c>
      <c r="B1569" t="s">
        <v>7860</v>
      </c>
      <c r="C1569" t="s">
        <v>10429</v>
      </c>
      <c r="D1569" t="s">
        <v>13287</v>
      </c>
      <c r="E1569" t="str">
        <f>+VLOOKUP(A1569,[1]PFE4!$A$7:$F$5208,6,0)</f>
        <v>CARRERA 4 A  66  24</v>
      </c>
      <c r="F1569" s="17">
        <f>+VLOOKUP(A1569,[1]PFE4!$A$7:$G$5208,7,0)</f>
        <v>11001</v>
      </c>
      <c r="G1569">
        <v>9794287</v>
      </c>
      <c r="H1569">
        <v>4329</v>
      </c>
    </row>
    <row r="1570" spans="1:8" ht="15" customHeight="1" x14ac:dyDescent="0.25">
      <c r="A1570" t="s">
        <v>3814</v>
      </c>
      <c r="B1570" t="s">
        <v>7861</v>
      </c>
      <c r="C1570" t="s">
        <v>11464</v>
      </c>
      <c r="D1570" t="s">
        <v>13287</v>
      </c>
      <c r="E1570" t="str">
        <f>+VLOOKUP(A1570,[1]PFE4!$A$7:$F$5208,6,0)</f>
        <v>CALLE 10  6 A  45</v>
      </c>
      <c r="F1570" s="17">
        <f>+VLOOKUP(A1570,[1]PFE4!$A$7:$G$5208,7,0)</f>
        <v>54001</v>
      </c>
      <c r="G1570">
        <v>9794616</v>
      </c>
      <c r="H1570">
        <v>4329</v>
      </c>
    </row>
    <row r="1571" spans="1:8" ht="15" customHeight="1" x14ac:dyDescent="0.25">
      <c r="A1571" t="s">
        <v>3815</v>
      </c>
      <c r="B1571" t="s">
        <v>7862</v>
      </c>
      <c r="C1571" t="s">
        <v>11465</v>
      </c>
      <c r="D1571" t="s">
        <v>13287</v>
      </c>
      <c r="E1571" t="str">
        <f>+VLOOKUP(A1571,[1]PFE4!$A$7:$F$5208,6,0)</f>
        <v>CALLE 112 16 69</v>
      </c>
      <c r="F1571" s="17">
        <f>+VLOOKUP(A1571,[1]PFE4!$A$7:$G$5208,7,0)</f>
        <v>11001</v>
      </c>
      <c r="G1571">
        <v>9799841</v>
      </c>
      <c r="H1571">
        <v>4329</v>
      </c>
    </row>
    <row r="1572" spans="1:8" ht="15" customHeight="1" x14ac:dyDescent="0.25">
      <c r="A1572" t="s">
        <v>3816</v>
      </c>
      <c r="B1572" t="s">
        <v>7863</v>
      </c>
      <c r="C1572" t="s">
        <v>11466</v>
      </c>
      <c r="D1572" t="s">
        <v>13287</v>
      </c>
      <c r="E1572" t="str">
        <f>+VLOOKUP(A1572,[1]PFE4!$A$7:$F$5208,6,0)</f>
        <v>CARRERA 28  13  26</v>
      </c>
      <c r="F1572" s="17">
        <f>+VLOOKUP(A1572,[1]PFE4!$A$7:$G$5208,7,0)</f>
        <v>68001</v>
      </c>
      <c r="G1572">
        <v>9801560</v>
      </c>
      <c r="H1572">
        <v>4329</v>
      </c>
    </row>
    <row r="1573" spans="1:8" ht="15" customHeight="1" x14ac:dyDescent="0.25">
      <c r="A1573" t="s">
        <v>3817</v>
      </c>
      <c r="B1573" t="s">
        <v>7864</v>
      </c>
      <c r="C1573" t="s">
        <v>11467</v>
      </c>
      <c r="D1573" t="s">
        <v>13287</v>
      </c>
      <c r="E1573" t="str">
        <f>+VLOOKUP(A1573,[1]PFE4!$A$7:$F$5208,6,0)</f>
        <v>CARRERA 20  116  37</v>
      </c>
      <c r="F1573" s="17">
        <f>+VLOOKUP(A1573,[1]PFE4!$A$7:$G$5208,7,0)</f>
        <v>11001</v>
      </c>
      <c r="G1573">
        <v>9802755</v>
      </c>
      <c r="H1573">
        <v>4329</v>
      </c>
    </row>
    <row r="1574" spans="1:8" ht="15" customHeight="1" x14ac:dyDescent="0.25">
      <c r="A1574" t="s">
        <v>3818</v>
      </c>
      <c r="B1574" t="s">
        <v>7865</v>
      </c>
      <c r="C1574" t="s">
        <v>11468</v>
      </c>
      <c r="D1574" t="s">
        <v>13287</v>
      </c>
      <c r="E1574" t="str">
        <f>+VLOOKUP(A1574,[1]PFE4!$A$7:$F$5208,6,0)</f>
        <v>CARRERA 5  81  15</v>
      </c>
      <c r="F1574" s="17">
        <f>+VLOOKUP(A1574,[1]PFE4!$A$7:$G$5208,7,0)</f>
        <v>11001</v>
      </c>
      <c r="G1574">
        <v>9813388</v>
      </c>
      <c r="H1574">
        <v>4329</v>
      </c>
    </row>
    <row r="1575" spans="1:8" ht="15" customHeight="1" x14ac:dyDescent="0.25">
      <c r="A1575" t="s">
        <v>3819</v>
      </c>
      <c r="B1575" t="s">
        <v>7866</v>
      </c>
      <c r="C1575" t="s">
        <v>11469</v>
      </c>
      <c r="D1575" t="s">
        <v>13287</v>
      </c>
      <c r="E1575" t="str">
        <f>+VLOOKUP(A1575,[1]PFE4!$A$7:$F$5208,6,0)</f>
        <v>CALLE 80N #7-215</v>
      </c>
      <c r="F1575" s="17">
        <f>+VLOOKUP(A1575,[1]PFE4!$A$7:$G$5208,7,0)</f>
        <v>19001</v>
      </c>
      <c r="G1575">
        <v>9817586</v>
      </c>
      <c r="H1575">
        <v>4329</v>
      </c>
    </row>
    <row r="1576" spans="1:8" ht="15" customHeight="1" x14ac:dyDescent="0.25">
      <c r="A1576" t="s">
        <v>3820</v>
      </c>
      <c r="B1576" t="s">
        <v>7867</v>
      </c>
      <c r="C1576" t="s">
        <v>11470</v>
      </c>
      <c r="D1576" t="s">
        <v>13287</v>
      </c>
      <c r="E1576" t="str">
        <f>+VLOOKUP(A1576,[1]PFE4!$A$7:$F$5208,6,0)</f>
        <v>CARRERA 25  30  17</v>
      </c>
      <c r="F1576" s="17">
        <f>+VLOOKUP(A1576,[1]PFE4!$A$7:$G$5208,7,0)</f>
        <v>68001</v>
      </c>
      <c r="G1576">
        <v>9818356</v>
      </c>
      <c r="H1576">
        <v>4329</v>
      </c>
    </row>
    <row r="1577" spans="1:8" ht="15" customHeight="1" x14ac:dyDescent="0.25">
      <c r="A1577" t="s">
        <v>3821</v>
      </c>
      <c r="B1577" t="s">
        <v>7868</v>
      </c>
      <c r="C1577" t="s">
        <v>10386</v>
      </c>
      <c r="D1577" t="s">
        <v>13287</v>
      </c>
      <c r="E1577" t="str">
        <f>+VLOOKUP(A1577,[1]PFE4!$A$7:$F$5208,6,0)</f>
        <v>DIAGONAL 29 34F SUR-21 APT 203</v>
      </c>
      <c r="F1577" s="17" t="str">
        <f>+VLOOKUP(A1577,[1]PFE4!$A$7:$G$5208,7,0)</f>
        <v>05266</v>
      </c>
      <c r="G1577">
        <v>9824256</v>
      </c>
      <c r="H1577">
        <v>4329</v>
      </c>
    </row>
    <row r="1578" spans="1:8" ht="15" customHeight="1" x14ac:dyDescent="0.25">
      <c r="A1578" t="s">
        <v>3822</v>
      </c>
      <c r="B1578" t="s">
        <v>7869</v>
      </c>
      <c r="C1578" t="s">
        <v>11392</v>
      </c>
      <c r="D1578" t="s">
        <v>13287</v>
      </c>
      <c r="E1578" t="str">
        <f>+VLOOKUP(A1578,[1]PFE4!$A$7:$F$5208,6,0)</f>
        <v>CALLE 105  15  87</v>
      </c>
      <c r="F1578" s="17">
        <f>+VLOOKUP(A1578,[1]PFE4!$A$7:$G$5208,7,0)</f>
        <v>11001</v>
      </c>
      <c r="G1578">
        <v>9825808</v>
      </c>
      <c r="H1578">
        <v>4329</v>
      </c>
    </row>
    <row r="1579" spans="1:8" ht="15" customHeight="1" x14ac:dyDescent="0.25">
      <c r="A1579" t="s">
        <v>3823</v>
      </c>
      <c r="B1579" t="s">
        <v>7870</v>
      </c>
      <c r="C1579" t="s">
        <v>11471</v>
      </c>
      <c r="D1579" t="s">
        <v>13287</v>
      </c>
      <c r="E1579" t="str">
        <f>+VLOOKUP(A1579,[1]PFE4!$A$7:$F$5208,6,0)</f>
        <v>CARRERA 14 A  127 A  81</v>
      </c>
      <c r="F1579" s="17">
        <f>+VLOOKUP(A1579,[1]PFE4!$A$7:$G$5208,7,0)</f>
        <v>11001</v>
      </c>
      <c r="G1579">
        <v>9830520</v>
      </c>
      <c r="H1579">
        <v>4329</v>
      </c>
    </row>
    <row r="1580" spans="1:8" ht="15" customHeight="1" x14ac:dyDescent="0.25">
      <c r="A1580" t="s">
        <v>3824</v>
      </c>
      <c r="B1580" t="s">
        <v>7871</v>
      </c>
      <c r="C1580" t="s">
        <v>11472</v>
      </c>
      <c r="D1580" t="s">
        <v>13287</v>
      </c>
      <c r="E1580" t="str">
        <f>+VLOOKUP(A1580,[1]PFE4!$A$7:$F$5208,6,0)</f>
        <v>CALLE 79  50  60</v>
      </c>
      <c r="F1580" s="17" t="str">
        <f>+VLOOKUP(A1580,[1]PFE4!$A$7:$G$5208,7,0)</f>
        <v>08001</v>
      </c>
      <c r="G1580">
        <v>9836093</v>
      </c>
      <c r="H1580">
        <v>4329</v>
      </c>
    </row>
    <row r="1581" spans="1:8" ht="15" customHeight="1" x14ac:dyDescent="0.25">
      <c r="A1581" t="s">
        <v>3825</v>
      </c>
      <c r="B1581" t="s">
        <v>7872</v>
      </c>
      <c r="C1581" t="s">
        <v>11473</v>
      </c>
      <c r="D1581" t="s">
        <v>13287</v>
      </c>
      <c r="E1581" t="str">
        <f>+VLOOKUP(A1581,[1]PFE4!$A$7:$F$5208,6,0)</f>
        <v>CALLE 118  20  10</v>
      </c>
      <c r="F1581" s="17">
        <f>+VLOOKUP(A1581,[1]PFE4!$A$7:$G$5208,7,0)</f>
        <v>11001</v>
      </c>
      <c r="G1581">
        <v>9845210</v>
      </c>
      <c r="H1581">
        <v>4329</v>
      </c>
    </row>
    <row r="1582" spans="1:8" ht="15" customHeight="1" x14ac:dyDescent="0.25">
      <c r="A1582" t="s">
        <v>3826</v>
      </c>
      <c r="B1582" t="s">
        <v>7873</v>
      </c>
      <c r="C1582" t="s">
        <v>11474</v>
      </c>
      <c r="D1582" t="s">
        <v>13287</v>
      </c>
      <c r="E1582" t="str">
        <f>+VLOOKUP(A1582,[1]PFE4!$A$7:$F$5208,6,0)</f>
        <v>CARRERA 69 B  18 A  10</v>
      </c>
      <c r="F1582" s="17">
        <f>+VLOOKUP(A1582,[1]PFE4!$A$7:$G$5208,7,0)</f>
        <v>11001</v>
      </c>
      <c r="G1582">
        <v>9851001</v>
      </c>
      <c r="H1582">
        <v>4329</v>
      </c>
    </row>
    <row r="1583" spans="1:8" ht="15" customHeight="1" x14ac:dyDescent="0.25">
      <c r="A1583" t="s">
        <v>3827</v>
      </c>
      <c r="B1583" t="s">
        <v>7874</v>
      </c>
      <c r="C1583" t="s">
        <v>11475</v>
      </c>
      <c r="D1583" t="s">
        <v>13287</v>
      </c>
      <c r="E1583" t="str">
        <f>+VLOOKUP(A1583,[1]PFE4!$A$7:$F$5208,6,0)</f>
        <v>TRANSVERSAL 51  69  81</v>
      </c>
      <c r="F1583" s="17" t="str">
        <f>+VLOOKUP(A1583,[1]PFE4!$A$7:$G$5208,7,0)</f>
        <v>05001</v>
      </c>
      <c r="G1583">
        <v>9858474</v>
      </c>
      <c r="H1583">
        <v>4329</v>
      </c>
    </row>
    <row r="1584" spans="1:8" ht="15" customHeight="1" x14ac:dyDescent="0.25">
      <c r="A1584" t="s">
        <v>3828</v>
      </c>
      <c r="B1584" t="s">
        <v>7875</v>
      </c>
      <c r="C1584" t="s">
        <v>11476</v>
      </c>
      <c r="D1584" t="s">
        <v>13287</v>
      </c>
      <c r="E1584" t="str">
        <f>+VLOOKUP(A1584,[1]PFE4!$A$7:$F$5208,6,0)</f>
        <v>CALLE 128 B  72  35</v>
      </c>
      <c r="F1584" s="17">
        <f>+VLOOKUP(A1584,[1]PFE4!$A$7:$G$5208,7,0)</f>
        <v>11001</v>
      </c>
      <c r="G1584">
        <v>9869282</v>
      </c>
      <c r="H1584">
        <v>4329</v>
      </c>
    </row>
    <row r="1585" spans="1:8" ht="15" customHeight="1" x14ac:dyDescent="0.25">
      <c r="A1585" t="s">
        <v>3829</v>
      </c>
      <c r="B1585" t="s">
        <v>7876</v>
      </c>
      <c r="C1585" t="s">
        <v>11477</v>
      </c>
      <c r="D1585" t="s">
        <v>13287</v>
      </c>
      <c r="E1585" t="str">
        <f>+VLOOKUP(A1585,[1]PFE4!$A$7:$F$5208,6,0)</f>
        <v>CARRERA 4  26  82</v>
      </c>
      <c r="F1585" s="17">
        <f>+VLOOKUP(A1585,[1]PFE4!$A$7:$G$5208,7,0)</f>
        <v>63001</v>
      </c>
      <c r="G1585">
        <v>9880100</v>
      </c>
      <c r="H1585">
        <v>4329</v>
      </c>
    </row>
    <row r="1586" spans="1:8" ht="15" customHeight="1" x14ac:dyDescent="0.25">
      <c r="A1586" t="s">
        <v>3830</v>
      </c>
      <c r="B1586" t="s">
        <v>7877</v>
      </c>
      <c r="C1586" t="s">
        <v>11478</v>
      </c>
      <c r="D1586" t="s">
        <v>13287</v>
      </c>
      <c r="E1586" t="str">
        <f>+VLOOKUP(A1586,[1]PFE4!$A$7:$F$5208,6,0)</f>
        <v>CARRERA 20 C  77  19</v>
      </c>
      <c r="F1586" s="17">
        <f>+VLOOKUP(A1586,[1]PFE4!$A$7:$G$5208,7,0)</f>
        <v>11001</v>
      </c>
      <c r="G1586">
        <v>9889558</v>
      </c>
      <c r="H1586">
        <v>4329</v>
      </c>
    </row>
    <row r="1587" spans="1:8" ht="15" customHeight="1" x14ac:dyDescent="0.25">
      <c r="A1587" t="s">
        <v>3831</v>
      </c>
      <c r="B1587" t="s">
        <v>7878</v>
      </c>
      <c r="C1587">
        <v>3219664011</v>
      </c>
      <c r="D1587" t="s">
        <v>13287</v>
      </c>
      <c r="E1587" t="str">
        <f>+VLOOKUP(A1587,[1]PFE4!$A$7:$F$5208,6,0)</f>
        <v>CR 19 A 100 57</v>
      </c>
      <c r="F1587" s="17">
        <f>+VLOOKUP(A1587,[1]PFE4!$A$7:$G$5208,7,0)</f>
        <v>11001</v>
      </c>
      <c r="G1587">
        <v>9890546</v>
      </c>
      <c r="H1587">
        <v>4329</v>
      </c>
    </row>
    <row r="1588" spans="1:8" ht="15" customHeight="1" x14ac:dyDescent="0.25">
      <c r="A1588" t="s">
        <v>3832</v>
      </c>
      <c r="B1588" t="s">
        <v>7879</v>
      </c>
      <c r="C1588" t="s">
        <v>11479</v>
      </c>
      <c r="D1588" t="s">
        <v>13287</v>
      </c>
      <c r="E1588" t="str">
        <f>+VLOOKUP(A1588,[1]PFE4!$A$7:$F$5208,6,0)</f>
        <v>CARRERA 19 16-77 BARRIO SAN FRANCISCO</v>
      </c>
      <c r="F1588" s="17">
        <f>+VLOOKUP(A1588,[1]PFE4!$A$7:$G$5208,7,0)</f>
        <v>68001</v>
      </c>
      <c r="G1588">
        <v>9902376</v>
      </c>
      <c r="H1588">
        <v>4329</v>
      </c>
    </row>
    <row r="1589" spans="1:8" ht="15" customHeight="1" x14ac:dyDescent="0.25">
      <c r="A1589" t="s">
        <v>3833</v>
      </c>
      <c r="B1589" t="s">
        <v>7880</v>
      </c>
      <c r="C1589" t="s">
        <v>11016</v>
      </c>
      <c r="D1589" t="s">
        <v>13287</v>
      </c>
      <c r="E1589" t="str">
        <f>+VLOOKUP(A1589,[1]PFE4!$A$7:$F$5208,6,0)</f>
        <v>CALLE 114 A  21  74</v>
      </c>
      <c r="F1589" s="17">
        <f>+VLOOKUP(A1589,[1]PFE4!$A$7:$G$5208,7,0)</f>
        <v>11001</v>
      </c>
      <c r="G1589">
        <v>9902467</v>
      </c>
      <c r="H1589">
        <v>4329</v>
      </c>
    </row>
    <row r="1590" spans="1:8" ht="15" customHeight="1" x14ac:dyDescent="0.25">
      <c r="A1590" t="s">
        <v>3834</v>
      </c>
      <c r="B1590" t="s">
        <v>7881</v>
      </c>
      <c r="C1590" t="s">
        <v>11480</v>
      </c>
      <c r="D1590" t="s">
        <v>13287</v>
      </c>
      <c r="E1590" t="str">
        <f>+VLOOKUP(A1590,[1]PFE4!$A$7:$F$5208,6,0)</f>
        <v>CALLE 44  35  41  APARTAMENTO 501</v>
      </c>
      <c r="F1590" s="17">
        <f>+VLOOKUP(A1590,[1]PFE4!$A$7:$G$5208,7,0)</f>
        <v>68001</v>
      </c>
      <c r="G1590">
        <v>9905095</v>
      </c>
      <c r="H1590">
        <v>4329</v>
      </c>
    </row>
    <row r="1591" spans="1:8" ht="15" customHeight="1" x14ac:dyDescent="0.25">
      <c r="A1591" t="s">
        <v>3835</v>
      </c>
      <c r="B1591" t="s">
        <v>7882</v>
      </c>
      <c r="C1591" t="s">
        <v>11481</v>
      </c>
      <c r="D1591" t="s">
        <v>13287</v>
      </c>
      <c r="E1591" t="str">
        <f>+VLOOKUP(A1591,[1]PFE4!$A$7:$F$5208,6,0)</f>
        <v>CARRERA 17  93 A  02  OFICINA 504</v>
      </c>
      <c r="F1591" s="17">
        <f>+VLOOKUP(A1591,[1]PFE4!$A$7:$G$5208,7,0)</f>
        <v>11001</v>
      </c>
      <c r="G1591">
        <v>9909044</v>
      </c>
      <c r="H1591">
        <v>4329</v>
      </c>
    </row>
    <row r="1592" spans="1:8" ht="15" customHeight="1" x14ac:dyDescent="0.25">
      <c r="A1592" t="s">
        <v>3836</v>
      </c>
      <c r="B1592" t="s">
        <v>7883</v>
      </c>
      <c r="C1592" t="s">
        <v>11482</v>
      </c>
      <c r="D1592" t="s">
        <v>13287</v>
      </c>
      <c r="E1592" t="str">
        <f>+VLOOKUP(A1592,[1]PFE4!$A$7:$F$5208,6,0)</f>
        <v>CARRERA 33  7  41</v>
      </c>
      <c r="F1592" s="17" t="str">
        <f>+VLOOKUP(A1592,[1]PFE4!$A$7:$G$5208,7,0)</f>
        <v>05001</v>
      </c>
      <c r="G1592">
        <v>9910476</v>
      </c>
      <c r="H1592">
        <v>4329</v>
      </c>
    </row>
    <row r="1593" spans="1:8" ht="15" customHeight="1" x14ac:dyDescent="0.25">
      <c r="A1593" t="s">
        <v>3837</v>
      </c>
      <c r="B1593" t="s">
        <v>7884</v>
      </c>
      <c r="C1593" t="s">
        <v>11483</v>
      </c>
      <c r="D1593" t="s">
        <v>13287</v>
      </c>
      <c r="E1593" t="str">
        <f>+VLOOKUP(A1593,[1]PFE4!$A$7:$F$5208,6,0)</f>
        <v>CARRERA 8  75  67</v>
      </c>
      <c r="F1593" s="17">
        <f>+VLOOKUP(A1593,[1]PFE4!$A$7:$G$5208,7,0)</f>
        <v>11001</v>
      </c>
      <c r="G1593">
        <v>9917542</v>
      </c>
      <c r="H1593">
        <v>4329</v>
      </c>
    </row>
    <row r="1594" spans="1:8" ht="15" customHeight="1" x14ac:dyDescent="0.25">
      <c r="A1594" t="s">
        <v>3838</v>
      </c>
      <c r="B1594" t="s">
        <v>7885</v>
      </c>
      <c r="C1594" t="s">
        <v>11484</v>
      </c>
      <c r="D1594" t="s">
        <v>13287</v>
      </c>
      <c r="E1594" t="str">
        <f>+VLOOKUP(A1594,[1]PFE4!$A$7:$F$5208,6,0)</f>
        <v>CARRERA 7  71  52  TORRE A OFICINA 703</v>
      </c>
      <c r="F1594" s="17">
        <f>+VLOOKUP(A1594,[1]PFE4!$A$7:$G$5208,7,0)</f>
        <v>11001</v>
      </c>
      <c r="G1594">
        <v>9935328</v>
      </c>
      <c r="H1594">
        <v>4329</v>
      </c>
    </row>
    <row r="1595" spans="1:8" ht="15" customHeight="1" x14ac:dyDescent="0.25">
      <c r="A1595" t="s">
        <v>3839</v>
      </c>
      <c r="B1595" t="s">
        <v>7886</v>
      </c>
      <c r="C1595" t="s">
        <v>11485</v>
      </c>
      <c r="D1595" t="s">
        <v>13287</v>
      </c>
      <c r="E1595" t="str">
        <f>+VLOOKUP(A1595,[1]PFE4!$A$7:$F$5208,6,0)</f>
        <v>CL 15 9 62</v>
      </c>
      <c r="F1595" s="17">
        <f>+VLOOKUP(A1595,[1]PFE4!$A$7:$G$5208,7,0)</f>
        <v>11001</v>
      </c>
      <c r="G1595">
        <v>9935775</v>
      </c>
      <c r="H1595">
        <v>4329</v>
      </c>
    </row>
    <row r="1596" spans="1:8" ht="15" customHeight="1" x14ac:dyDescent="0.25">
      <c r="A1596" t="s">
        <v>3840</v>
      </c>
      <c r="B1596" t="s">
        <v>7887</v>
      </c>
      <c r="C1596">
        <v>0</v>
      </c>
      <c r="D1596" t="s">
        <v>13287</v>
      </c>
      <c r="E1596">
        <v>0</v>
      </c>
      <c r="F1596" s="17">
        <v>11001</v>
      </c>
      <c r="G1596">
        <v>9940000</v>
      </c>
      <c r="H1596">
        <v>4329</v>
      </c>
    </row>
    <row r="1597" spans="1:8" ht="15" customHeight="1" x14ac:dyDescent="0.25">
      <c r="A1597" t="s">
        <v>3841</v>
      </c>
      <c r="B1597" t="s">
        <v>7888</v>
      </c>
      <c r="C1597" t="s">
        <v>11152</v>
      </c>
      <c r="D1597" t="s">
        <v>13287</v>
      </c>
      <c r="E1597" t="str">
        <f>+VLOOKUP(A1597,[1]PFE4!$A$7:$F$5208,6,0)</f>
        <v>CALLE 122  7 A  18  OFICINA 302</v>
      </c>
      <c r="F1597" s="17">
        <f>+VLOOKUP(A1597,[1]PFE4!$A$7:$G$5208,7,0)</f>
        <v>11001</v>
      </c>
      <c r="G1597">
        <v>9950292</v>
      </c>
      <c r="H1597">
        <v>4329</v>
      </c>
    </row>
    <row r="1598" spans="1:8" ht="15" customHeight="1" x14ac:dyDescent="0.25">
      <c r="A1598" t="s">
        <v>3842</v>
      </c>
      <c r="B1598" t="s">
        <v>7889</v>
      </c>
      <c r="C1598" t="s">
        <v>11486</v>
      </c>
      <c r="D1598" t="s">
        <v>13287</v>
      </c>
      <c r="E1598" t="str">
        <f>+VLOOKUP(A1598,[1]PFE4!$A$7:$F$5208,6,0)</f>
        <v>CARRERA 37  51  86</v>
      </c>
      <c r="F1598" s="17">
        <f>+VLOOKUP(A1598,[1]PFE4!$A$7:$G$5208,7,0)</f>
        <v>68001</v>
      </c>
      <c r="G1598">
        <v>9959780</v>
      </c>
      <c r="H1598">
        <v>4329</v>
      </c>
    </row>
    <row r="1599" spans="1:8" ht="15" customHeight="1" x14ac:dyDescent="0.25">
      <c r="A1599" t="s">
        <v>3843</v>
      </c>
      <c r="B1599" t="s">
        <v>7890</v>
      </c>
      <c r="C1599" t="s">
        <v>11487</v>
      </c>
      <c r="D1599" t="s">
        <v>13287</v>
      </c>
      <c r="E1599" t="str">
        <f>+VLOOKUP(A1599,[1]PFE4!$A$7:$F$5208,6,0)</f>
        <v>CALLE 30  18  24</v>
      </c>
      <c r="F1599" s="17">
        <f>+VLOOKUP(A1599,[1]PFE4!$A$7:$G$5208,7,0)</f>
        <v>11001</v>
      </c>
      <c r="G1599">
        <v>9966072</v>
      </c>
      <c r="H1599">
        <v>4329</v>
      </c>
    </row>
    <row r="1600" spans="1:8" ht="15" customHeight="1" x14ac:dyDescent="0.25">
      <c r="A1600" t="s">
        <v>3844</v>
      </c>
      <c r="B1600" t="s">
        <v>7891</v>
      </c>
      <c r="C1600" t="s">
        <v>11488</v>
      </c>
      <c r="D1600" t="s">
        <v>13287</v>
      </c>
      <c r="E1600" t="str">
        <f>+VLOOKUP(A1600,[1]PFE4!$A$7:$F$5208,6,0)</f>
        <v>CARRERA 11 A  12 NORTE  43</v>
      </c>
      <c r="F1600" s="17">
        <f>+VLOOKUP(A1600,[1]PFE4!$A$7:$G$5208,7,0)</f>
        <v>63001</v>
      </c>
      <c r="G1600">
        <v>9968364</v>
      </c>
      <c r="H1600">
        <v>4329</v>
      </c>
    </row>
    <row r="1601" spans="1:8" ht="15" customHeight="1" x14ac:dyDescent="0.25">
      <c r="A1601" t="s">
        <v>3845</v>
      </c>
      <c r="B1601" t="s">
        <v>7892</v>
      </c>
      <c r="C1601" t="s">
        <v>11489</v>
      </c>
      <c r="D1601" t="s">
        <v>13287</v>
      </c>
      <c r="E1601" t="str">
        <f>+VLOOKUP(A1601,[1]PFE4!$A$7:$F$5208,6,0)</f>
        <v>AV ALBERTO MENDOZA 89 94</v>
      </c>
      <c r="F1601" s="17">
        <f>+VLOOKUP(A1601,[1]PFE4!$A$7:$G$5208,7,0)</f>
        <v>17001</v>
      </c>
      <c r="G1601">
        <v>9968676</v>
      </c>
      <c r="H1601">
        <v>4329</v>
      </c>
    </row>
    <row r="1602" spans="1:8" ht="15" customHeight="1" x14ac:dyDescent="0.25">
      <c r="A1602" t="s">
        <v>3846</v>
      </c>
      <c r="B1602" t="s">
        <v>7893</v>
      </c>
      <c r="C1602" t="s">
        <v>10961</v>
      </c>
      <c r="D1602" t="s">
        <v>13287</v>
      </c>
      <c r="E1602" t="str">
        <f>+VLOOKUP(A1602,[1]PFE4!$A$7:$F$5208,6,0)</f>
        <v>CALLE 35  27  79</v>
      </c>
      <c r="F1602" s="17">
        <f>+VLOOKUP(A1602,[1]PFE4!$A$7:$G$5208,7,0)</f>
        <v>11001</v>
      </c>
      <c r="G1602">
        <v>9970246</v>
      </c>
      <c r="H1602">
        <v>4329</v>
      </c>
    </row>
    <row r="1603" spans="1:8" ht="15" customHeight="1" x14ac:dyDescent="0.25">
      <c r="A1603" t="s">
        <v>3847</v>
      </c>
      <c r="B1603" t="s">
        <v>7894</v>
      </c>
      <c r="C1603">
        <v>3219664011</v>
      </c>
      <c r="D1603" t="s">
        <v>13287</v>
      </c>
      <c r="E1603" t="str">
        <f>+VLOOKUP(A1603,[1]PFE4!$A$7:$F$5208,6,0)</f>
        <v>CALLE 18  20  74</v>
      </c>
      <c r="F1603" s="17" t="str">
        <f>+VLOOKUP(A1603,[1]PFE4!$A$7:$G$5208,7,0)</f>
        <v>05376</v>
      </c>
      <c r="G1603">
        <v>9971334</v>
      </c>
      <c r="H1603">
        <v>4329</v>
      </c>
    </row>
    <row r="1604" spans="1:8" ht="15" customHeight="1" x14ac:dyDescent="0.25">
      <c r="A1604" t="s">
        <v>3848</v>
      </c>
      <c r="B1604" t="s">
        <v>7592</v>
      </c>
      <c r="C1604" t="s">
        <v>11490</v>
      </c>
      <c r="D1604" t="s">
        <v>13287</v>
      </c>
      <c r="E1604" t="str">
        <f>+VLOOKUP(A1604,[1]PFE4!$A$7:$F$5208,6,0)</f>
        <v>CALLE 114 A  21  88</v>
      </c>
      <c r="F1604" s="17">
        <f>+VLOOKUP(A1604,[1]PFE4!$A$7:$G$5208,7,0)</f>
        <v>11001</v>
      </c>
      <c r="G1604">
        <v>9990047</v>
      </c>
      <c r="H1604">
        <v>4329</v>
      </c>
    </row>
    <row r="1605" spans="1:8" ht="15" customHeight="1" x14ac:dyDescent="0.25">
      <c r="A1605" t="s">
        <v>3849</v>
      </c>
      <c r="B1605" t="s">
        <v>7895</v>
      </c>
      <c r="C1605" t="s">
        <v>11491</v>
      </c>
      <c r="D1605" t="s">
        <v>13287</v>
      </c>
      <c r="E1605" t="str">
        <f>+VLOOKUP(A1605,[1]PFE4!$A$7:$F$5208,6,0)</f>
        <v>CARRERA 3  74 A  41</v>
      </c>
      <c r="F1605" s="17">
        <f>+VLOOKUP(A1605,[1]PFE4!$A$7:$G$5208,7,0)</f>
        <v>11001</v>
      </c>
      <c r="G1605">
        <v>10004232</v>
      </c>
      <c r="H1605">
        <v>4329</v>
      </c>
    </row>
    <row r="1606" spans="1:8" ht="15" customHeight="1" x14ac:dyDescent="0.25">
      <c r="A1606" t="s">
        <v>3850</v>
      </c>
      <c r="B1606" t="s">
        <v>7896</v>
      </c>
      <c r="C1606" t="s">
        <v>11465</v>
      </c>
      <c r="D1606" t="s">
        <v>13287</v>
      </c>
      <c r="E1606" t="str">
        <f>+VLOOKUP(A1606,[1]PFE4!$A$7:$F$5208,6,0)</f>
        <v>CALLE 134 A  9 A  09</v>
      </c>
      <c r="F1606" s="17">
        <f>+VLOOKUP(A1606,[1]PFE4!$A$7:$G$5208,7,0)</f>
        <v>11001</v>
      </c>
      <c r="G1606">
        <v>10022236</v>
      </c>
      <c r="H1606">
        <v>4329</v>
      </c>
    </row>
    <row r="1607" spans="1:8" ht="15" customHeight="1" x14ac:dyDescent="0.25">
      <c r="A1607" t="s">
        <v>3851</v>
      </c>
      <c r="B1607" t="s">
        <v>7897</v>
      </c>
      <c r="C1607" t="s">
        <v>11492</v>
      </c>
      <c r="D1607" t="s">
        <v>13287</v>
      </c>
      <c r="E1607" t="str">
        <f>+VLOOKUP(A1607,[1]PFE4!$A$7:$F$5208,6,0)</f>
        <v>CARRERA 29  17  59</v>
      </c>
      <c r="F1607" s="17">
        <f>+VLOOKUP(A1607,[1]PFE4!$A$7:$G$5208,7,0)</f>
        <v>11001</v>
      </c>
      <c r="G1607">
        <v>10023327</v>
      </c>
      <c r="H1607">
        <v>4329</v>
      </c>
    </row>
    <row r="1608" spans="1:8" ht="15" customHeight="1" x14ac:dyDescent="0.25">
      <c r="A1608" t="s">
        <v>3852</v>
      </c>
      <c r="B1608" t="s">
        <v>7898</v>
      </c>
      <c r="C1608" t="s">
        <v>11493</v>
      </c>
      <c r="D1608" t="s">
        <v>13287</v>
      </c>
      <c r="E1608" t="str">
        <f>+VLOOKUP(A1608,[1]PFE4!$A$7:$F$5208,6,0)</f>
        <v>CR 79 20 26</v>
      </c>
      <c r="F1608" s="17">
        <f>+VLOOKUP(A1608,[1]PFE4!$A$7:$G$5208,7,0)</f>
        <v>11001</v>
      </c>
      <c r="G1608">
        <v>10024000</v>
      </c>
      <c r="H1608">
        <v>4329</v>
      </c>
    </row>
    <row r="1609" spans="1:8" ht="15" customHeight="1" x14ac:dyDescent="0.25">
      <c r="A1609" t="s">
        <v>3853</v>
      </c>
      <c r="B1609" t="s">
        <v>7899</v>
      </c>
      <c r="C1609" t="s">
        <v>11475</v>
      </c>
      <c r="D1609" t="s">
        <v>13287</v>
      </c>
      <c r="E1609" t="str">
        <f>+VLOOKUP(A1609,[1]PFE4!$A$7:$F$5208,6,0)</f>
        <v>DIAGONAL 81 B  76  119</v>
      </c>
      <c r="F1609" s="17" t="str">
        <f>+VLOOKUP(A1609,[1]PFE4!$A$7:$G$5208,7,0)</f>
        <v>05001</v>
      </c>
      <c r="G1609">
        <v>10042560</v>
      </c>
      <c r="H1609">
        <v>4329</v>
      </c>
    </row>
    <row r="1610" spans="1:8" ht="15" customHeight="1" x14ac:dyDescent="0.25">
      <c r="A1610" t="s">
        <v>3854</v>
      </c>
      <c r="B1610" t="s">
        <v>7900</v>
      </c>
      <c r="C1610" t="s">
        <v>10731</v>
      </c>
      <c r="D1610" t="s">
        <v>13287</v>
      </c>
      <c r="E1610" t="str">
        <f>+VLOOKUP(A1610,[1]PFE4!$A$7:$F$5208,6,0)</f>
        <v>CARRERA 14  116  45</v>
      </c>
      <c r="F1610" s="17">
        <f>+VLOOKUP(A1610,[1]PFE4!$A$7:$G$5208,7,0)</f>
        <v>11001</v>
      </c>
      <c r="G1610">
        <v>10043768</v>
      </c>
      <c r="H1610">
        <v>4329</v>
      </c>
    </row>
    <row r="1611" spans="1:8" ht="15" customHeight="1" x14ac:dyDescent="0.25">
      <c r="A1611" t="s">
        <v>3855</v>
      </c>
      <c r="B1611" t="s">
        <v>7901</v>
      </c>
      <c r="C1611" t="s">
        <v>11494</v>
      </c>
      <c r="D1611" t="s">
        <v>13287</v>
      </c>
      <c r="E1611" t="str">
        <f>+VLOOKUP(A1611,[1]PFE4!$A$7:$F$5208,6,0)</f>
        <v>CARRERA 8 A No. 16 - 71 OFI. 203</v>
      </c>
      <c r="F1611" s="17">
        <f>+VLOOKUP(A1611,[1]PFE4!$A$7:$G$5208,7,0)</f>
        <v>66001</v>
      </c>
      <c r="G1611">
        <v>10044119</v>
      </c>
      <c r="H1611">
        <v>4329</v>
      </c>
    </row>
    <row r="1612" spans="1:8" ht="15" customHeight="1" x14ac:dyDescent="0.25">
      <c r="A1612" t="s">
        <v>3856</v>
      </c>
      <c r="B1612" t="s">
        <v>7902</v>
      </c>
      <c r="C1612" t="s">
        <v>11427</v>
      </c>
      <c r="D1612" t="s">
        <v>13287</v>
      </c>
      <c r="E1612" t="str">
        <f>+VLOOKUP(A1612,[1]PFE4!$A$7:$F$5208,6,0)</f>
        <v>CARRERA 13  93 B  51</v>
      </c>
      <c r="F1612" s="17">
        <f>+VLOOKUP(A1612,[1]PFE4!$A$7:$G$5208,7,0)</f>
        <v>11001</v>
      </c>
      <c r="G1612">
        <v>10044816</v>
      </c>
      <c r="H1612">
        <v>4329</v>
      </c>
    </row>
    <row r="1613" spans="1:8" ht="15" customHeight="1" x14ac:dyDescent="0.25">
      <c r="A1613" t="s">
        <v>3857</v>
      </c>
      <c r="B1613" t="s">
        <v>7903</v>
      </c>
      <c r="C1613" t="s">
        <v>11495</v>
      </c>
      <c r="D1613" t="s">
        <v>13287</v>
      </c>
      <c r="E1613" t="str">
        <f>+VLOOKUP(A1613,[1]PFE4!$A$7:$F$5208,6,0)</f>
        <v>DIAGONAL 91  4 B  75</v>
      </c>
      <c r="F1613" s="17">
        <f>+VLOOKUP(A1613,[1]PFE4!$A$7:$G$5208,7,0)</f>
        <v>11001</v>
      </c>
      <c r="G1613">
        <v>10049012</v>
      </c>
      <c r="H1613">
        <v>4329</v>
      </c>
    </row>
    <row r="1614" spans="1:8" ht="15" customHeight="1" x14ac:dyDescent="0.25">
      <c r="A1614" t="s">
        <v>3858</v>
      </c>
      <c r="B1614" t="s">
        <v>7904</v>
      </c>
      <c r="C1614" t="s">
        <v>11496</v>
      </c>
      <c r="D1614" t="s">
        <v>13287</v>
      </c>
      <c r="E1614" t="str">
        <f>+VLOOKUP(A1614,[1]PFE4!$A$7:$F$5208,6,0)</f>
        <v>CALLE 49  27 A  61</v>
      </c>
      <c r="F1614" s="17">
        <f>+VLOOKUP(A1614,[1]PFE4!$A$7:$G$5208,7,0)</f>
        <v>68001</v>
      </c>
      <c r="G1614">
        <v>10052088</v>
      </c>
      <c r="H1614">
        <v>4329</v>
      </c>
    </row>
    <row r="1615" spans="1:8" ht="15" customHeight="1" x14ac:dyDescent="0.25">
      <c r="A1615" t="s">
        <v>3859</v>
      </c>
      <c r="B1615" t="s">
        <v>7905</v>
      </c>
      <c r="C1615" t="s">
        <v>11497</v>
      </c>
      <c r="D1615" t="s">
        <v>13287</v>
      </c>
      <c r="E1615" t="str">
        <f>+VLOOKUP(A1615,[1]PFE4!$A$7:$F$5208,6,0)</f>
        <v>CARRERA 1  68  27</v>
      </c>
      <c r="F1615" s="17">
        <f>+VLOOKUP(A1615,[1]PFE4!$A$7:$G$5208,7,0)</f>
        <v>11001</v>
      </c>
      <c r="G1615">
        <v>10053360</v>
      </c>
      <c r="H1615">
        <v>4329</v>
      </c>
    </row>
    <row r="1616" spans="1:8" ht="15" customHeight="1" x14ac:dyDescent="0.25">
      <c r="A1616" t="s">
        <v>3860</v>
      </c>
      <c r="B1616" t="s">
        <v>7906</v>
      </c>
      <c r="C1616" t="s">
        <v>11222</v>
      </c>
      <c r="D1616" t="s">
        <v>13287</v>
      </c>
      <c r="E1616" t="str">
        <f>+VLOOKUP(A1616,[1]PFE4!$A$7:$F$5208,6,0)</f>
        <v>CARRERA 58  94  21</v>
      </c>
      <c r="F1616" s="17" t="str">
        <f>+VLOOKUP(A1616,[1]PFE4!$A$7:$G$5208,7,0)</f>
        <v>08001</v>
      </c>
      <c r="G1616">
        <v>10055644</v>
      </c>
      <c r="H1616">
        <v>4329</v>
      </c>
    </row>
    <row r="1617" spans="1:8" ht="15" customHeight="1" x14ac:dyDescent="0.25">
      <c r="A1617" t="s">
        <v>3861</v>
      </c>
      <c r="B1617" t="s">
        <v>7907</v>
      </c>
      <c r="C1617" t="s">
        <v>11498</v>
      </c>
      <c r="D1617" t="s">
        <v>13287</v>
      </c>
      <c r="E1617" t="str">
        <f>+VLOOKUP(A1617,[1]PFE4!$A$7:$F$5208,6,0)</f>
        <v>CARRERA 17 A  106  09</v>
      </c>
      <c r="F1617" s="17">
        <f>+VLOOKUP(A1617,[1]PFE4!$A$7:$G$5208,7,0)</f>
        <v>11001</v>
      </c>
      <c r="G1617">
        <v>10066275</v>
      </c>
      <c r="H1617">
        <v>4329</v>
      </c>
    </row>
    <row r="1618" spans="1:8" ht="15" customHeight="1" x14ac:dyDescent="0.25">
      <c r="A1618" t="s">
        <v>3862</v>
      </c>
      <c r="B1618" t="s">
        <v>7908</v>
      </c>
      <c r="C1618" t="s">
        <v>11499</v>
      </c>
      <c r="D1618" t="s">
        <v>13287</v>
      </c>
      <c r="E1618" t="str">
        <f>+VLOOKUP(A1618,[1]PFE4!$A$7:$F$5208,6,0)</f>
        <v>BRR CENTRO CR 6 32 62</v>
      </c>
      <c r="F1618" s="17">
        <f>+VLOOKUP(A1618,[1]PFE4!$A$7:$G$5208,7,0)</f>
        <v>13001</v>
      </c>
      <c r="G1618">
        <v>10067462</v>
      </c>
      <c r="H1618">
        <v>4329</v>
      </c>
    </row>
    <row r="1619" spans="1:8" ht="15" customHeight="1" x14ac:dyDescent="0.25">
      <c r="A1619" t="s">
        <v>3863</v>
      </c>
      <c r="B1619" t="s">
        <v>7909</v>
      </c>
      <c r="C1619" t="s">
        <v>11500</v>
      </c>
      <c r="D1619" t="s">
        <v>13287</v>
      </c>
      <c r="E1619" t="str">
        <f>+VLOOKUP(A1619,[1]PFE4!$A$7:$F$5208,6,0)</f>
        <v>CRA 72 BIS 24 C 00</v>
      </c>
      <c r="F1619" s="17">
        <f>+VLOOKUP(A1619,[1]PFE4!$A$7:$G$5208,7,0)</f>
        <v>11001</v>
      </c>
      <c r="G1619">
        <v>10070931</v>
      </c>
      <c r="H1619">
        <v>4329</v>
      </c>
    </row>
    <row r="1620" spans="1:8" ht="15" customHeight="1" x14ac:dyDescent="0.25">
      <c r="A1620" t="s">
        <v>3864</v>
      </c>
      <c r="B1620" t="s">
        <v>7910</v>
      </c>
      <c r="C1620" t="s">
        <v>11501</v>
      </c>
      <c r="D1620" t="s">
        <v>13287</v>
      </c>
      <c r="E1620" t="str">
        <f>+VLOOKUP(A1620,[1]PFE4!$A$7:$F$5208,6,0)</f>
        <v>CALLE 49  27 A  28</v>
      </c>
      <c r="F1620" s="17">
        <f>+VLOOKUP(A1620,[1]PFE4!$A$7:$G$5208,7,0)</f>
        <v>68001</v>
      </c>
      <c r="G1620">
        <v>10072181</v>
      </c>
      <c r="H1620">
        <v>4329</v>
      </c>
    </row>
    <row r="1621" spans="1:8" ht="15" customHeight="1" x14ac:dyDescent="0.25">
      <c r="A1621" t="s">
        <v>3865</v>
      </c>
      <c r="B1621" t="s">
        <v>7911</v>
      </c>
      <c r="C1621" t="s">
        <v>11502</v>
      </c>
      <c r="D1621" t="s">
        <v>13287</v>
      </c>
      <c r="E1621" t="str">
        <f>+VLOOKUP(A1621,[1]PFE4!$A$7:$F$5208,6,0)</f>
        <v>CALLE 133  1  112</v>
      </c>
      <c r="F1621" s="17">
        <f>+VLOOKUP(A1621,[1]PFE4!$A$7:$G$5208,7,0)</f>
        <v>47001</v>
      </c>
      <c r="G1621">
        <v>10081828</v>
      </c>
      <c r="H1621">
        <v>4329</v>
      </c>
    </row>
    <row r="1622" spans="1:8" ht="15" customHeight="1" x14ac:dyDescent="0.25">
      <c r="A1622" t="s">
        <v>3866</v>
      </c>
      <c r="B1622" t="s">
        <v>7912</v>
      </c>
      <c r="C1622" t="s">
        <v>11503</v>
      </c>
      <c r="D1622" t="s">
        <v>13287</v>
      </c>
      <c r="E1622" t="str">
        <f>+VLOOKUP(A1622,[1]PFE4!$A$7:$F$5208,6,0)</f>
        <v>CALLE 30  8 B  108</v>
      </c>
      <c r="F1622" s="17">
        <f>+VLOOKUP(A1622,[1]PFE4!$A$7:$G$5208,7,0)</f>
        <v>13001</v>
      </c>
      <c r="G1622">
        <v>10102784</v>
      </c>
      <c r="H1622">
        <v>4329</v>
      </c>
    </row>
    <row r="1623" spans="1:8" ht="15" customHeight="1" x14ac:dyDescent="0.25">
      <c r="A1623" t="s">
        <v>3867</v>
      </c>
      <c r="B1623" t="s">
        <v>7913</v>
      </c>
      <c r="C1623" t="s">
        <v>11504</v>
      </c>
      <c r="D1623" t="s">
        <v>13287</v>
      </c>
      <c r="E1623" t="str">
        <f>+VLOOKUP(A1623,[1]PFE4!$A$7:$F$5208,6,0)</f>
        <v>CALLE 97  16  50</v>
      </c>
      <c r="F1623" s="17">
        <f>+VLOOKUP(A1623,[1]PFE4!$A$7:$G$5208,7,0)</f>
        <v>11001</v>
      </c>
      <c r="G1623">
        <v>10108145</v>
      </c>
      <c r="H1623">
        <v>4329</v>
      </c>
    </row>
    <row r="1624" spans="1:8" ht="15" customHeight="1" x14ac:dyDescent="0.25">
      <c r="A1624" t="s">
        <v>3868</v>
      </c>
      <c r="B1624" t="s">
        <v>7914</v>
      </c>
      <c r="C1624" t="s">
        <v>11225</v>
      </c>
      <c r="D1624" t="s">
        <v>13287</v>
      </c>
      <c r="E1624" t="str">
        <f>+VLOOKUP(A1624,[1]PFE4!$A$7:$F$5208,6,0)</f>
        <v>CARRERA 20  107  74</v>
      </c>
      <c r="F1624" s="17">
        <f>+VLOOKUP(A1624,[1]PFE4!$A$7:$G$5208,7,0)</f>
        <v>11001</v>
      </c>
      <c r="G1624">
        <v>10112842</v>
      </c>
      <c r="H1624">
        <v>4329</v>
      </c>
    </row>
    <row r="1625" spans="1:8" ht="15" customHeight="1" x14ac:dyDescent="0.25">
      <c r="A1625" t="s">
        <v>3869</v>
      </c>
      <c r="B1625" t="s">
        <v>7915</v>
      </c>
      <c r="C1625" t="s">
        <v>11505</v>
      </c>
      <c r="D1625" t="s">
        <v>13287</v>
      </c>
      <c r="E1625" t="str">
        <f>+VLOOKUP(A1625,[1]PFE4!$A$7:$F$5208,6,0)</f>
        <v>CARRERA 11 A  93  94</v>
      </c>
      <c r="F1625" s="17">
        <f>+VLOOKUP(A1625,[1]PFE4!$A$7:$G$5208,7,0)</f>
        <v>11001</v>
      </c>
      <c r="G1625">
        <v>10113212</v>
      </c>
      <c r="H1625">
        <v>4329</v>
      </c>
    </row>
    <row r="1626" spans="1:8" ht="15" customHeight="1" x14ac:dyDescent="0.25">
      <c r="A1626" t="s">
        <v>3870</v>
      </c>
      <c r="B1626" t="s">
        <v>7916</v>
      </c>
      <c r="C1626" t="s">
        <v>11506</v>
      </c>
      <c r="D1626" t="s">
        <v>13287</v>
      </c>
      <c r="E1626" t="str">
        <f>+VLOOKUP(A1626,[1]PFE4!$A$7:$F$5208,6,0)</f>
        <v>CARRERA 7 B BIS  132  11</v>
      </c>
      <c r="F1626" s="17">
        <f>+VLOOKUP(A1626,[1]PFE4!$A$7:$G$5208,7,0)</f>
        <v>11001</v>
      </c>
      <c r="G1626">
        <v>10113781</v>
      </c>
      <c r="H1626">
        <v>4329</v>
      </c>
    </row>
    <row r="1627" spans="1:8" ht="15" customHeight="1" x14ac:dyDescent="0.25">
      <c r="A1627" t="s">
        <v>3871</v>
      </c>
      <c r="B1627" t="s">
        <v>7917</v>
      </c>
      <c r="C1627" t="s">
        <v>11507</v>
      </c>
      <c r="D1627" t="s">
        <v>13287</v>
      </c>
      <c r="E1627" t="str">
        <f>+VLOOKUP(A1627,[1]PFE4!$A$7:$F$5208,6,0)</f>
        <v>CALLE 6  43 C  12</v>
      </c>
      <c r="F1627" s="17" t="str">
        <f>+VLOOKUP(A1627,[1]PFE4!$A$7:$G$5208,7,0)</f>
        <v>05001</v>
      </c>
      <c r="G1627">
        <v>10116141</v>
      </c>
      <c r="H1627">
        <v>4329</v>
      </c>
    </row>
    <row r="1628" spans="1:8" ht="15" customHeight="1" x14ac:dyDescent="0.25">
      <c r="A1628" t="s">
        <v>3872</v>
      </c>
      <c r="B1628" t="s">
        <v>7918</v>
      </c>
      <c r="C1628" t="s">
        <v>11508</v>
      </c>
      <c r="D1628" t="s">
        <v>13287</v>
      </c>
      <c r="E1628" t="str">
        <f>+VLOOKUP(A1628,[1]PFE4!$A$7:$F$5208,6,0)</f>
        <v>CARRERA 20  51 A  16</v>
      </c>
      <c r="F1628" s="17">
        <f>+VLOOKUP(A1628,[1]PFE4!$A$7:$G$5208,7,0)</f>
        <v>68001</v>
      </c>
      <c r="G1628">
        <v>10121738</v>
      </c>
      <c r="H1628">
        <v>4329</v>
      </c>
    </row>
    <row r="1629" spans="1:8" ht="15" customHeight="1" x14ac:dyDescent="0.25">
      <c r="A1629" t="s">
        <v>3873</v>
      </c>
      <c r="B1629" t="s">
        <v>7919</v>
      </c>
      <c r="C1629" t="s">
        <v>11509</v>
      </c>
      <c r="D1629" t="s">
        <v>13287</v>
      </c>
      <c r="E1629" t="str">
        <f>+VLOOKUP(A1629,[1]PFE4!$A$7:$F$5208,6,0)</f>
        <v>AEROPUERTO EL DORADO TERMINAL DE CARGA 2</v>
      </c>
      <c r="F1629" s="17">
        <f>+VLOOKUP(A1629,[1]PFE4!$A$7:$G$5208,7,0)</f>
        <v>11001</v>
      </c>
      <c r="G1629">
        <v>10124620</v>
      </c>
      <c r="H1629">
        <v>4329</v>
      </c>
    </row>
    <row r="1630" spans="1:8" ht="15" customHeight="1" x14ac:dyDescent="0.25">
      <c r="A1630" t="s">
        <v>3874</v>
      </c>
      <c r="B1630" t="s">
        <v>7920</v>
      </c>
      <c r="C1630" t="s">
        <v>11510</v>
      </c>
      <c r="D1630" t="s">
        <v>13287</v>
      </c>
      <c r="E1630" t="str">
        <f>+VLOOKUP(A1630,[1]PFE4!$A$7:$F$5208,6,0)</f>
        <v>CALLE 30  41  26</v>
      </c>
      <c r="F1630" s="17">
        <f>+VLOOKUP(A1630,[1]PFE4!$A$7:$G$5208,7,0)</f>
        <v>11001</v>
      </c>
      <c r="G1630">
        <v>10126032</v>
      </c>
      <c r="H1630">
        <v>4329</v>
      </c>
    </row>
    <row r="1631" spans="1:8" ht="15" customHeight="1" x14ac:dyDescent="0.25">
      <c r="A1631" t="s">
        <v>3875</v>
      </c>
      <c r="B1631" t="s">
        <v>7921</v>
      </c>
      <c r="C1631" t="s">
        <v>11511</v>
      </c>
      <c r="D1631" t="s">
        <v>13287</v>
      </c>
      <c r="E1631" t="str">
        <f>+VLOOKUP(A1631,[1]PFE4!$A$7:$F$5208,6,0)</f>
        <v>CARRERA 9  99  02 PISO 6</v>
      </c>
      <c r="F1631" s="17">
        <f>+VLOOKUP(A1631,[1]PFE4!$A$7:$G$5208,7,0)</f>
        <v>11001</v>
      </c>
      <c r="G1631">
        <v>10142643</v>
      </c>
      <c r="H1631">
        <v>4329</v>
      </c>
    </row>
    <row r="1632" spans="1:8" ht="15" customHeight="1" x14ac:dyDescent="0.25">
      <c r="A1632" t="s">
        <v>3876</v>
      </c>
      <c r="B1632" t="s">
        <v>7922</v>
      </c>
      <c r="C1632" t="s">
        <v>11512</v>
      </c>
      <c r="D1632" t="s">
        <v>13287</v>
      </c>
      <c r="E1632" t="str">
        <f>+VLOOKUP(A1632,[1]PFE4!$A$7:$F$5208,6,0)</f>
        <v>CALLE 38  18  60</v>
      </c>
      <c r="F1632" s="17">
        <f>+VLOOKUP(A1632,[1]PFE4!$A$7:$G$5208,7,0)</f>
        <v>68001</v>
      </c>
      <c r="G1632">
        <v>10154064</v>
      </c>
      <c r="H1632">
        <v>4329</v>
      </c>
    </row>
    <row r="1633" spans="1:8" ht="15" customHeight="1" x14ac:dyDescent="0.25">
      <c r="A1633" t="s">
        <v>3877</v>
      </c>
      <c r="B1633" t="s">
        <v>7923</v>
      </c>
      <c r="C1633" t="s">
        <v>11513</v>
      </c>
      <c r="D1633" t="s">
        <v>13287</v>
      </c>
      <c r="E1633" t="str">
        <f>+VLOOKUP(A1633,[1]PFE4!$A$7:$F$5208,6,0)</f>
        <v>CALLE 29  22  70</v>
      </c>
      <c r="F1633" s="17">
        <f>+VLOOKUP(A1633,[1]PFE4!$A$7:$G$5208,7,0)</f>
        <v>11001</v>
      </c>
      <c r="G1633">
        <v>10161984</v>
      </c>
      <c r="H1633">
        <v>4329</v>
      </c>
    </row>
    <row r="1634" spans="1:8" ht="15" customHeight="1" x14ac:dyDescent="0.25">
      <c r="A1634" t="s">
        <v>3878</v>
      </c>
      <c r="B1634" t="s">
        <v>7924</v>
      </c>
      <c r="C1634" t="s">
        <v>11514</v>
      </c>
      <c r="D1634" t="s">
        <v>13287</v>
      </c>
      <c r="E1634" t="str">
        <f>+VLOOKUP(A1634,[1]PFE4!$A$7:$F$5208,6,0)</f>
        <v>CALLE 98  17  52</v>
      </c>
      <c r="F1634" s="17">
        <f>+VLOOKUP(A1634,[1]PFE4!$A$7:$G$5208,7,0)</f>
        <v>11001</v>
      </c>
      <c r="G1634">
        <v>10173769</v>
      </c>
      <c r="H1634">
        <v>4329</v>
      </c>
    </row>
    <row r="1635" spans="1:8" ht="15" customHeight="1" x14ac:dyDescent="0.25">
      <c r="A1635" t="s">
        <v>3879</v>
      </c>
      <c r="B1635" t="s">
        <v>7925</v>
      </c>
      <c r="C1635">
        <v>0</v>
      </c>
      <c r="D1635" t="s">
        <v>13287</v>
      </c>
      <c r="E1635">
        <v>0</v>
      </c>
      <c r="F1635" s="17">
        <v>11001</v>
      </c>
      <c r="G1635">
        <v>10176000</v>
      </c>
      <c r="H1635">
        <v>4329</v>
      </c>
    </row>
    <row r="1636" spans="1:8" ht="15" customHeight="1" x14ac:dyDescent="0.25">
      <c r="A1636" t="s">
        <v>3880</v>
      </c>
      <c r="B1636" t="s">
        <v>7926</v>
      </c>
      <c r="C1636" t="s">
        <v>11515</v>
      </c>
      <c r="D1636" t="s">
        <v>13287</v>
      </c>
      <c r="E1636" t="str">
        <f>+VLOOKUP(A1636,[1]PFE4!$A$7:$F$5208,6,0)</f>
        <v>CARRERA 57  91  82</v>
      </c>
      <c r="F1636" s="17" t="str">
        <f>+VLOOKUP(A1636,[1]PFE4!$A$7:$G$5208,7,0)</f>
        <v>08001</v>
      </c>
      <c r="G1636">
        <v>10176299</v>
      </c>
      <c r="H1636">
        <v>4329</v>
      </c>
    </row>
    <row r="1637" spans="1:8" ht="15" customHeight="1" x14ac:dyDescent="0.25">
      <c r="A1637" t="s">
        <v>3881</v>
      </c>
      <c r="B1637" t="s">
        <v>7927</v>
      </c>
      <c r="C1637" t="s">
        <v>11516</v>
      </c>
      <c r="D1637" t="s">
        <v>13287</v>
      </c>
      <c r="E1637" t="str">
        <f>+VLOOKUP(A1637,[1]PFE4!$A$7:$F$5208,6,0)</f>
        <v>AVENIDA LA TOMA  7  44</v>
      </c>
      <c r="F1637" s="17">
        <f>+VLOOKUP(A1637,[1]PFE4!$A$7:$G$5208,7,0)</f>
        <v>41001</v>
      </c>
      <c r="G1637">
        <v>10179759</v>
      </c>
      <c r="H1637">
        <v>4329</v>
      </c>
    </row>
    <row r="1638" spans="1:8" ht="15" customHeight="1" x14ac:dyDescent="0.25">
      <c r="A1638" t="s">
        <v>3882</v>
      </c>
      <c r="B1638" t="s">
        <v>7928</v>
      </c>
      <c r="C1638" t="s">
        <v>11517</v>
      </c>
      <c r="D1638" t="s">
        <v>13287</v>
      </c>
      <c r="E1638" t="str">
        <f>+VLOOKUP(A1638,[1]PFE4!$A$7:$F$5208,6,0)</f>
        <v>CARRERA 19  92  37</v>
      </c>
      <c r="F1638" s="17">
        <f>+VLOOKUP(A1638,[1]PFE4!$A$7:$G$5208,7,0)</f>
        <v>11001</v>
      </c>
      <c r="G1638">
        <v>10185402</v>
      </c>
      <c r="H1638">
        <v>4329</v>
      </c>
    </row>
    <row r="1639" spans="1:8" ht="15" customHeight="1" x14ac:dyDescent="0.25">
      <c r="A1639" t="s">
        <v>3883</v>
      </c>
      <c r="B1639" t="s">
        <v>7929</v>
      </c>
      <c r="C1639" t="s">
        <v>11518</v>
      </c>
      <c r="D1639" t="s">
        <v>13287</v>
      </c>
      <c r="E1639" t="str">
        <f>+VLOOKUP(A1639,[1]PFE4!$A$7:$F$5208,6,0)</f>
        <v>CALLE 106  49 E  45</v>
      </c>
      <c r="F1639" s="17" t="str">
        <f>+VLOOKUP(A1639,[1]PFE4!$A$7:$G$5208,7,0)</f>
        <v>08001</v>
      </c>
      <c r="G1639">
        <v>10190100</v>
      </c>
      <c r="H1639">
        <v>4329</v>
      </c>
    </row>
    <row r="1640" spans="1:8" ht="15" customHeight="1" x14ac:dyDescent="0.25">
      <c r="A1640" t="s">
        <v>3884</v>
      </c>
      <c r="B1640" t="s">
        <v>7930</v>
      </c>
      <c r="C1640" t="s">
        <v>11519</v>
      </c>
      <c r="D1640" t="s">
        <v>13287</v>
      </c>
      <c r="E1640" t="str">
        <f>+VLOOKUP(A1640,[1]PFE4!$A$7:$F$5208,6,0)</f>
        <v>CR 1 ESTE 78 73</v>
      </c>
      <c r="F1640" s="17">
        <f>+VLOOKUP(A1640,[1]PFE4!$A$7:$G$5208,7,0)</f>
        <v>11001</v>
      </c>
      <c r="G1640">
        <v>10203456</v>
      </c>
      <c r="H1640">
        <v>4329</v>
      </c>
    </row>
    <row r="1641" spans="1:8" ht="15" customHeight="1" x14ac:dyDescent="0.25">
      <c r="A1641" t="s">
        <v>3885</v>
      </c>
      <c r="B1641" t="s">
        <v>7931</v>
      </c>
      <c r="C1641" t="s">
        <v>11520</v>
      </c>
      <c r="D1641" t="s">
        <v>13287</v>
      </c>
      <c r="E1641" t="str">
        <f>+VLOOKUP(A1641,[1]PFE4!$A$7:$F$5208,6,0)</f>
        <v>CALLE 14  2 E  21</v>
      </c>
      <c r="F1641" s="17">
        <f>+VLOOKUP(A1641,[1]PFE4!$A$7:$G$5208,7,0)</f>
        <v>11001</v>
      </c>
      <c r="G1641">
        <v>10207044</v>
      </c>
      <c r="H1641">
        <v>4329</v>
      </c>
    </row>
    <row r="1642" spans="1:8" ht="15" customHeight="1" x14ac:dyDescent="0.25">
      <c r="A1642" t="s">
        <v>3886</v>
      </c>
      <c r="B1642" t="s">
        <v>7932</v>
      </c>
      <c r="C1642" t="s">
        <v>11521</v>
      </c>
      <c r="D1642" t="s">
        <v>13287</v>
      </c>
      <c r="E1642" t="str">
        <f>+VLOOKUP(A1642,[1]PFE4!$A$7:$F$5208,6,0)</f>
        <v>CALLE 67 A  30  41</v>
      </c>
      <c r="F1642" s="17">
        <f>+VLOOKUP(A1642,[1]PFE4!$A$7:$G$5208,7,0)</f>
        <v>11001</v>
      </c>
      <c r="G1642">
        <v>10208604</v>
      </c>
      <c r="H1642">
        <v>4329</v>
      </c>
    </row>
    <row r="1643" spans="1:8" ht="15" customHeight="1" x14ac:dyDescent="0.25">
      <c r="A1643" t="s">
        <v>3887</v>
      </c>
      <c r="B1643" t="s">
        <v>7933</v>
      </c>
      <c r="C1643" t="s">
        <v>11522</v>
      </c>
      <c r="D1643" t="s">
        <v>13287</v>
      </c>
      <c r="E1643" t="str">
        <f>+VLOOKUP(A1643,[1]PFE4!$A$7:$F$5208,6,0)</f>
        <v>CALLE 16  6  67</v>
      </c>
      <c r="F1643" s="17">
        <f>+VLOOKUP(A1643,[1]PFE4!$A$7:$G$5208,7,0)</f>
        <v>66001</v>
      </c>
      <c r="G1643">
        <v>10212000</v>
      </c>
      <c r="H1643">
        <v>4329</v>
      </c>
    </row>
    <row r="1644" spans="1:8" ht="15" customHeight="1" x14ac:dyDescent="0.25">
      <c r="A1644" t="s">
        <v>3888</v>
      </c>
      <c r="B1644" t="s">
        <v>7934</v>
      </c>
      <c r="C1644" t="s">
        <v>10994</v>
      </c>
      <c r="D1644" t="s">
        <v>13287</v>
      </c>
      <c r="E1644" t="str">
        <f>+VLOOKUP(A1644,[1]PFE4!$A$7:$F$5208,6,0)</f>
        <v>CALLE 95  21  34</v>
      </c>
      <c r="F1644" s="17">
        <f>+VLOOKUP(A1644,[1]PFE4!$A$7:$G$5208,7,0)</f>
        <v>11001</v>
      </c>
      <c r="G1644">
        <v>10212111</v>
      </c>
      <c r="H1644">
        <v>4329</v>
      </c>
    </row>
    <row r="1645" spans="1:8" ht="15" customHeight="1" x14ac:dyDescent="0.25">
      <c r="A1645" t="s">
        <v>3889</v>
      </c>
      <c r="B1645" t="s">
        <v>7935</v>
      </c>
      <c r="C1645" t="s">
        <v>11523</v>
      </c>
      <c r="D1645" t="s">
        <v>13287</v>
      </c>
      <c r="E1645" t="str">
        <f>+VLOOKUP(A1645,[1]PFE4!$A$7:$F$5208,6,0)</f>
        <v>KILOMETRO 17 ALTO DE LAS PALMAS GLORIETA SANCHO PANZA</v>
      </c>
      <c r="F1645" s="17" t="str">
        <f>+VLOOKUP(A1645,[1]PFE4!$A$7:$G$5208,7,0)</f>
        <v>05266</v>
      </c>
      <c r="G1645">
        <v>10216812</v>
      </c>
      <c r="H1645">
        <v>4329</v>
      </c>
    </row>
    <row r="1646" spans="1:8" ht="15" customHeight="1" x14ac:dyDescent="0.25">
      <c r="A1646" t="s">
        <v>3890</v>
      </c>
      <c r="B1646" t="s">
        <v>7936</v>
      </c>
      <c r="C1646" t="s">
        <v>11524</v>
      </c>
      <c r="D1646" t="s">
        <v>13287</v>
      </c>
      <c r="E1646" t="str">
        <f>+VLOOKUP(A1646,[1]PFE4!$A$7:$F$5208,6,0)</f>
        <v>CARRERA 3  4  10</v>
      </c>
      <c r="F1646" s="17">
        <f>+VLOOKUP(A1646,[1]PFE4!$A$7:$G$5208,7,0)</f>
        <v>11001</v>
      </c>
      <c r="G1646">
        <v>10227743</v>
      </c>
      <c r="H1646">
        <v>4329</v>
      </c>
    </row>
    <row r="1647" spans="1:8" ht="15" customHeight="1" x14ac:dyDescent="0.25">
      <c r="A1647" t="s">
        <v>3891</v>
      </c>
      <c r="B1647" t="s">
        <v>7937</v>
      </c>
      <c r="C1647" t="s">
        <v>11525</v>
      </c>
      <c r="D1647" t="s">
        <v>13287</v>
      </c>
      <c r="E1647" t="str">
        <f>+VLOOKUP(A1647,[1]PFE4!$A$7:$F$5208,6,0)</f>
        <v>CARRERA 40  10  35</v>
      </c>
      <c r="F1647" s="17" t="str">
        <f>+VLOOKUP(A1647,[1]PFE4!$A$7:$G$5208,7,0)</f>
        <v>05001</v>
      </c>
      <c r="G1647">
        <v>10228860</v>
      </c>
      <c r="H1647">
        <v>4329</v>
      </c>
    </row>
    <row r="1648" spans="1:8" ht="15" customHeight="1" x14ac:dyDescent="0.25">
      <c r="A1648" t="s">
        <v>3892</v>
      </c>
      <c r="B1648" t="s">
        <v>7938</v>
      </c>
      <c r="C1648" t="s">
        <v>11526</v>
      </c>
      <c r="D1648" t="s">
        <v>13287</v>
      </c>
      <c r="E1648" t="str">
        <f>+VLOOKUP(A1648,[1]PFE4!$A$7:$F$5208,6,0)</f>
        <v>CARRERA 58  75  158  OFICINA 501</v>
      </c>
      <c r="F1648" s="17" t="str">
        <f>+VLOOKUP(A1648,[1]PFE4!$A$7:$G$5208,7,0)</f>
        <v>08001</v>
      </c>
      <c r="G1648">
        <v>10255176</v>
      </c>
      <c r="H1648">
        <v>4329</v>
      </c>
    </row>
    <row r="1649" spans="1:8" ht="15" customHeight="1" x14ac:dyDescent="0.25">
      <c r="A1649" t="s">
        <v>3893</v>
      </c>
      <c r="B1649" t="s">
        <v>7939</v>
      </c>
      <c r="C1649" t="s">
        <v>11431</v>
      </c>
      <c r="D1649" t="s">
        <v>13287</v>
      </c>
      <c r="E1649" t="str">
        <f>+VLOOKUP(A1649,[1]PFE4!$A$7:$F$5208,6,0)</f>
        <v>DIAGONAL 46 A  16  26</v>
      </c>
      <c r="F1649" s="17">
        <f>+VLOOKUP(A1649,[1]PFE4!$A$7:$G$5208,7,0)</f>
        <v>11001</v>
      </c>
      <c r="G1649">
        <v>10255496</v>
      </c>
      <c r="H1649">
        <v>4329</v>
      </c>
    </row>
    <row r="1650" spans="1:8" ht="15" customHeight="1" x14ac:dyDescent="0.25">
      <c r="A1650" t="s">
        <v>3894</v>
      </c>
      <c r="B1650" t="s">
        <v>7940</v>
      </c>
      <c r="C1650" t="s">
        <v>11527</v>
      </c>
      <c r="D1650" t="s">
        <v>13287</v>
      </c>
      <c r="E1650" t="str">
        <f>+VLOOKUP(A1650,[1]PFE4!$A$7:$F$5208,6,0)</f>
        <v>CARRERA 46  18  90</v>
      </c>
      <c r="F1650" s="17">
        <f>+VLOOKUP(A1650,[1]PFE4!$A$7:$G$5208,7,0)</f>
        <v>11001</v>
      </c>
      <c r="G1650">
        <v>10264065</v>
      </c>
      <c r="H1650">
        <v>4329</v>
      </c>
    </row>
    <row r="1651" spans="1:8" ht="15" customHeight="1" x14ac:dyDescent="0.25">
      <c r="A1651" t="s">
        <v>3895</v>
      </c>
      <c r="B1651" t="s">
        <v>7941</v>
      </c>
      <c r="C1651">
        <v>0</v>
      </c>
      <c r="D1651" t="s">
        <v>13287</v>
      </c>
      <c r="E1651">
        <v>0</v>
      </c>
      <c r="F1651" s="17">
        <v>11001</v>
      </c>
      <c r="G1651">
        <v>10266100</v>
      </c>
      <c r="H1651">
        <v>4329</v>
      </c>
    </row>
    <row r="1652" spans="1:8" ht="15" customHeight="1" x14ac:dyDescent="0.25">
      <c r="A1652" t="s">
        <v>3896</v>
      </c>
      <c r="B1652" t="s">
        <v>7942</v>
      </c>
      <c r="C1652" t="s">
        <v>11528</v>
      </c>
      <c r="D1652" t="s">
        <v>13287</v>
      </c>
      <c r="E1652" t="str">
        <f>+VLOOKUP(A1652,[1]PFE4!$A$7:$F$5208,6,0)</f>
        <v>CARRERA 55  29  31  LOCAL 302</v>
      </c>
      <c r="F1652" s="17" t="str">
        <f>+VLOOKUP(A1652,[1]PFE4!$A$7:$G$5208,7,0)</f>
        <v>05001</v>
      </c>
      <c r="G1652">
        <v>10271467</v>
      </c>
      <c r="H1652">
        <v>4329</v>
      </c>
    </row>
    <row r="1653" spans="1:8" ht="15" customHeight="1" x14ac:dyDescent="0.25">
      <c r="A1653" t="s">
        <v>3897</v>
      </c>
      <c r="B1653" t="s">
        <v>7943</v>
      </c>
      <c r="C1653" t="s">
        <v>11529</v>
      </c>
      <c r="D1653" t="s">
        <v>13287</v>
      </c>
      <c r="E1653" t="str">
        <f>+VLOOKUP(A1653,[1]PFE4!$A$7:$F$5208,6,0)</f>
        <v>CARRERA 78  34 A  80</v>
      </c>
      <c r="F1653" s="17" t="str">
        <f>+VLOOKUP(A1653,[1]PFE4!$A$7:$G$5208,7,0)</f>
        <v>05001</v>
      </c>
      <c r="G1653">
        <v>10277168</v>
      </c>
      <c r="H1653">
        <v>4329</v>
      </c>
    </row>
    <row r="1654" spans="1:8" ht="15" customHeight="1" x14ac:dyDescent="0.25">
      <c r="A1654" t="s">
        <v>3898</v>
      </c>
      <c r="B1654" t="s">
        <v>7944</v>
      </c>
      <c r="C1654" t="s">
        <v>11530</v>
      </c>
      <c r="D1654" t="s">
        <v>13287</v>
      </c>
      <c r="E1654" t="str">
        <f>+VLOOKUP(A1654,[1]PFE4!$A$7:$F$5208,6,0)</f>
        <v>CALLE 51  23  62</v>
      </c>
      <c r="F1654" s="17">
        <f>+VLOOKUP(A1654,[1]PFE4!$A$7:$G$5208,7,0)</f>
        <v>68001</v>
      </c>
      <c r="G1654">
        <v>10282424</v>
      </c>
      <c r="H1654">
        <v>4329</v>
      </c>
    </row>
    <row r="1655" spans="1:8" ht="15" customHeight="1" x14ac:dyDescent="0.25">
      <c r="A1655" t="s">
        <v>3899</v>
      </c>
      <c r="B1655" t="s">
        <v>7945</v>
      </c>
      <c r="C1655" t="s">
        <v>11531</v>
      </c>
      <c r="D1655" t="s">
        <v>13287</v>
      </c>
      <c r="E1655" t="str">
        <f>+VLOOKUP(A1655,[1]PFE4!$A$7:$F$5208,6,0)</f>
        <v>CALLE 50  15  45</v>
      </c>
      <c r="F1655" s="17">
        <f>+VLOOKUP(A1655,[1]PFE4!$A$7:$G$5208,7,0)</f>
        <v>11001</v>
      </c>
      <c r="G1655">
        <v>10293756</v>
      </c>
      <c r="H1655">
        <v>4329</v>
      </c>
    </row>
    <row r="1656" spans="1:8" ht="15" customHeight="1" x14ac:dyDescent="0.25">
      <c r="A1656" t="s">
        <v>3900</v>
      </c>
      <c r="B1656" t="s">
        <v>7946</v>
      </c>
      <c r="C1656" t="s">
        <v>11532</v>
      </c>
      <c r="D1656" t="s">
        <v>13287</v>
      </c>
      <c r="E1656" t="str">
        <f>+VLOOKUP(A1656,[1]PFE4!$A$7:$F$5208,6,0)</f>
        <v>CARRERA 44  23 SUR  31</v>
      </c>
      <c r="F1656" s="17" t="str">
        <f>+VLOOKUP(A1656,[1]PFE4!$A$7:$G$5208,7,0)</f>
        <v>05266</v>
      </c>
      <c r="G1656">
        <v>10298668</v>
      </c>
      <c r="H1656">
        <v>4329</v>
      </c>
    </row>
    <row r="1657" spans="1:8" ht="15" customHeight="1" x14ac:dyDescent="0.25">
      <c r="A1657" t="s">
        <v>3901</v>
      </c>
      <c r="B1657" t="s">
        <v>7947</v>
      </c>
      <c r="C1657" t="s">
        <v>11533</v>
      </c>
      <c r="D1657" t="s">
        <v>13287</v>
      </c>
      <c r="E1657" t="str">
        <f>+VLOOKUP(A1657,[1]PFE4!$A$7:$F$5208,6,0)</f>
        <v>CALLE 33  26  25</v>
      </c>
      <c r="F1657" s="17">
        <f>+VLOOKUP(A1657,[1]PFE4!$A$7:$G$5208,7,0)</f>
        <v>68001</v>
      </c>
      <c r="G1657">
        <v>10298884</v>
      </c>
      <c r="H1657">
        <v>4329</v>
      </c>
    </row>
    <row r="1658" spans="1:8" ht="15" customHeight="1" x14ac:dyDescent="0.25">
      <c r="A1658" t="s">
        <v>3902</v>
      </c>
      <c r="B1658" t="s">
        <v>7948</v>
      </c>
      <c r="C1658">
        <v>3219664011</v>
      </c>
      <c r="D1658" t="s">
        <v>13287</v>
      </c>
      <c r="E1658" t="str">
        <f>+VLOOKUP(A1658,[1]PFE4!$A$7:$F$5208,6,0)</f>
        <v>CARRERA 8 A  69  11</v>
      </c>
      <c r="F1658" s="17">
        <f>+VLOOKUP(A1658,[1]PFE4!$A$7:$G$5208,7,0)</f>
        <v>11001</v>
      </c>
      <c r="G1658">
        <v>10307250</v>
      </c>
      <c r="H1658">
        <v>4329</v>
      </c>
    </row>
    <row r="1659" spans="1:8" ht="15" customHeight="1" x14ac:dyDescent="0.25">
      <c r="A1659" t="s">
        <v>3903</v>
      </c>
      <c r="B1659" t="s">
        <v>7949</v>
      </c>
      <c r="C1659" t="s">
        <v>11534</v>
      </c>
      <c r="D1659" t="s">
        <v>13287</v>
      </c>
      <c r="E1659" t="str">
        <f>+VLOOKUP(A1659,[1]PFE4!$A$7:$F$5208,6,0)</f>
        <v>CALLE 17 N  11  70</v>
      </c>
      <c r="F1659" s="17">
        <f>+VLOOKUP(A1659,[1]PFE4!$A$7:$G$5208,7,0)</f>
        <v>11001</v>
      </c>
      <c r="G1659">
        <v>10318790</v>
      </c>
      <c r="H1659">
        <v>4329</v>
      </c>
    </row>
    <row r="1660" spans="1:8" ht="15" customHeight="1" x14ac:dyDescent="0.25">
      <c r="A1660" t="s">
        <v>3904</v>
      </c>
      <c r="B1660" t="s">
        <v>7950</v>
      </c>
      <c r="C1660" t="s">
        <v>11535</v>
      </c>
      <c r="D1660" t="s">
        <v>13287</v>
      </c>
      <c r="E1660" t="str">
        <f>+VLOOKUP(A1660,[1]PFE4!$A$7:$F$5208,6,0)</f>
        <v>CARRERA 28  27 SUR  39</v>
      </c>
      <c r="F1660" s="17" t="str">
        <f>+VLOOKUP(A1660,[1]PFE4!$A$7:$G$5208,7,0)</f>
        <v>05266</v>
      </c>
      <c r="G1660">
        <v>10322437</v>
      </c>
      <c r="H1660">
        <v>4329</v>
      </c>
    </row>
    <row r="1661" spans="1:8" ht="15" customHeight="1" x14ac:dyDescent="0.25">
      <c r="A1661" t="s">
        <v>3905</v>
      </c>
      <c r="B1661" t="s">
        <v>7951</v>
      </c>
      <c r="C1661" t="s">
        <v>11536</v>
      </c>
      <c r="D1661" t="s">
        <v>13287</v>
      </c>
      <c r="E1661" t="str">
        <f>+VLOOKUP(A1661,[1]PFE4!$A$7:$F$5208,6,0)</f>
        <v>CR 43 D 11 A 10</v>
      </c>
      <c r="F1661" s="17" t="str">
        <f>+VLOOKUP(A1661,[1]PFE4!$A$7:$G$5208,7,0)</f>
        <v>05001</v>
      </c>
      <c r="G1661">
        <v>10326100</v>
      </c>
      <c r="H1661">
        <v>4329</v>
      </c>
    </row>
    <row r="1662" spans="1:8" ht="15" customHeight="1" x14ac:dyDescent="0.25">
      <c r="A1662" t="s">
        <v>3906</v>
      </c>
      <c r="B1662" t="s">
        <v>7952</v>
      </c>
      <c r="C1662" t="s">
        <v>11537</v>
      </c>
      <c r="D1662" t="s">
        <v>13287</v>
      </c>
      <c r="E1662" t="str">
        <f>+VLOOKUP(A1662,[1]PFE4!$A$7:$F$5208,6,0)</f>
        <v>CARRERA 4 No. 78 - 04</v>
      </c>
      <c r="F1662" s="17">
        <f>+VLOOKUP(A1662,[1]PFE4!$A$7:$G$5208,7,0)</f>
        <v>11001</v>
      </c>
      <c r="G1662">
        <v>10356061</v>
      </c>
      <c r="H1662">
        <v>4329</v>
      </c>
    </row>
    <row r="1663" spans="1:8" ht="15" customHeight="1" x14ac:dyDescent="0.25">
      <c r="A1663" t="s">
        <v>3907</v>
      </c>
      <c r="B1663" t="s">
        <v>7953</v>
      </c>
      <c r="C1663" t="s">
        <v>11538</v>
      </c>
      <c r="D1663" t="s">
        <v>13287</v>
      </c>
      <c r="E1663" t="str">
        <f>+VLOOKUP(A1663,[1]PFE4!$A$7:$F$5208,6,0)</f>
        <v>AVENIDA 19  26 N  69</v>
      </c>
      <c r="F1663" s="17">
        <f>+VLOOKUP(A1663,[1]PFE4!$A$7:$G$5208,7,0)</f>
        <v>63001</v>
      </c>
      <c r="G1663">
        <v>10356564</v>
      </c>
      <c r="H1663">
        <v>4329</v>
      </c>
    </row>
    <row r="1664" spans="1:8" ht="15" customHeight="1" x14ac:dyDescent="0.25">
      <c r="A1664" t="s">
        <v>3908</v>
      </c>
      <c r="B1664" t="s">
        <v>7954</v>
      </c>
      <c r="C1664">
        <v>3219664011</v>
      </c>
      <c r="D1664" t="s">
        <v>13287</v>
      </c>
      <c r="E1664" t="str">
        <f>+VLOOKUP(A1664,[1]PFE4!$A$7:$F$5208,6,0)</f>
        <v>CALLE SARGENTO MAYOR 6-87</v>
      </c>
      <c r="F1664" s="17">
        <f>+VLOOKUP(A1664,[1]PFE4!$A$7:$G$5208,7,0)</f>
        <v>11001</v>
      </c>
      <c r="G1664">
        <v>10360336</v>
      </c>
      <c r="H1664">
        <v>4329</v>
      </c>
    </row>
    <row r="1665" spans="1:8" ht="15" customHeight="1" x14ac:dyDescent="0.25">
      <c r="A1665" t="s">
        <v>3909</v>
      </c>
      <c r="B1665" t="s">
        <v>7955</v>
      </c>
      <c r="C1665" t="s">
        <v>11539</v>
      </c>
      <c r="D1665" t="s">
        <v>13287</v>
      </c>
      <c r="E1665" t="str">
        <f>+VLOOKUP(A1665,[1]PFE4!$A$7:$F$5208,6,0)</f>
        <v>CALLE 96  9  69</v>
      </c>
      <c r="F1665" s="17">
        <f>+VLOOKUP(A1665,[1]PFE4!$A$7:$G$5208,7,0)</f>
        <v>11001</v>
      </c>
      <c r="G1665">
        <v>10374408</v>
      </c>
      <c r="H1665">
        <v>4329</v>
      </c>
    </row>
    <row r="1666" spans="1:8" ht="15" customHeight="1" x14ac:dyDescent="0.25">
      <c r="A1666" t="s">
        <v>3910</v>
      </c>
      <c r="B1666" t="s">
        <v>7956</v>
      </c>
      <c r="C1666" t="s">
        <v>11540</v>
      </c>
      <c r="D1666" t="s">
        <v>13287</v>
      </c>
      <c r="E1666" t="str">
        <f>+VLOOKUP(A1666,[1]PFE4!$A$7:$F$5208,6,0)</f>
        <v>CALLE 22  8  52</v>
      </c>
      <c r="F1666" s="17">
        <f>+VLOOKUP(A1666,[1]PFE4!$A$7:$G$5208,7,0)</f>
        <v>66001</v>
      </c>
      <c r="G1666">
        <v>10378981</v>
      </c>
      <c r="H1666">
        <v>4329</v>
      </c>
    </row>
    <row r="1667" spans="1:8" ht="15" customHeight="1" x14ac:dyDescent="0.25">
      <c r="A1667" t="s">
        <v>3911</v>
      </c>
      <c r="B1667" t="s">
        <v>7957</v>
      </c>
      <c r="C1667" t="s">
        <v>11541</v>
      </c>
      <c r="D1667" t="s">
        <v>13287</v>
      </c>
      <c r="E1667" t="str">
        <f>+VLOOKUP(A1667,[1]PFE4!$A$7:$F$5208,6,0)</f>
        <v>CR 58 90 108</v>
      </c>
      <c r="F1667" s="17" t="str">
        <f>+VLOOKUP(A1667,[1]PFE4!$A$7:$G$5208,7,0)</f>
        <v>08001</v>
      </c>
      <c r="G1667">
        <v>10379516</v>
      </c>
      <c r="H1667">
        <v>4329</v>
      </c>
    </row>
    <row r="1668" spans="1:8" ht="15" customHeight="1" x14ac:dyDescent="0.25">
      <c r="A1668" t="s">
        <v>3912</v>
      </c>
      <c r="B1668" t="s">
        <v>7958</v>
      </c>
      <c r="C1668" t="s">
        <v>11425</v>
      </c>
      <c r="D1668" t="s">
        <v>13287</v>
      </c>
      <c r="E1668" t="str">
        <f>+VLOOKUP(A1668,[1]PFE4!$A$7:$F$5208,6,0)</f>
        <v>CALLE 106  14 B  35</v>
      </c>
      <c r="F1668" s="17">
        <f>+VLOOKUP(A1668,[1]PFE4!$A$7:$G$5208,7,0)</f>
        <v>11001</v>
      </c>
      <c r="G1668">
        <v>10385052</v>
      </c>
      <c r="H1668">
        <v>4329</v>
      </c>
    </row>
    <row r="1669" spans="1:8" ht="15" customHeight="1" x14ac:dyDescent="0.25">
      <c r="A1669" t="s">
        <v>3913</v>
      </c>
      <c r="B1669" t="s">
        <v>7959</v>
      </c>
      <c r="C1669" t="s">
        <v>11542</v>
      </c>
      <c r="D1669" t="s">
        <v>13287</v>
      </c>
      <c r="E1669" t="str">
        <f>+VLOOKUP(A1669,[1]PFE4!$A$7:$F$5208,6,0)</f>
        <v>CALLE 75  13  51  OFICINA 501</v>
      </c>
      <c r="F1669" s="17">
        <f>+VLOOKUP(A1669,[1]PFE4!$A$7:$G$5208,7,0)</f>
        <v>11001</v>
      </c>
      <c r="G1669">
        <v>10386647</v>
      </c>
      <c r="H1669">
        <v>4329</v>
      </c>
    </row>
    <row r="1670" spans="1:8" ht="15" customHeight="1" x14ac:dyDescent="0.25">
      <c r="A1670" t="s">
        <v>3914</v>
      </c>
      <c r="B1670" t="s">
        <v>7960</v>
      </c>
      <c r="C1670" t="s">
        <v>11543</v>
      </c>
      <c r="D1670" t="s">
        <v>13287</v>
      </c>
      <c r="E1670" t="str">
        <f>+VLOOKUP(A1670,[1]PFE4!$A$7:$F$5208,6,0)</f>
        <v>CR 20 134 38</v>
      </c>
      <c r="F1670" s="17">
        <f>+VLOOKUP(A1670,[1]PFE4!$A$7:$G$5208,7,0)</f>
        <v>11001</v>
      </c>
      <c r="G1670">
        <v>10400760</v>
      </c>
      <c r="H1670">
        <v>4329</v>
      </c>
    </row>
    <row r="1671" spans="1:8" ht="15" customHeight="1" x14ac:dyDescent="0.25">
      <c r="A1671" t="s">
        <v>3915</v>
      </c>
      <c r="B1671" t="s">
        <v>7961</v>
      </c>
      <c r="C1671" t="s">
        <v>11544</v>
      </c>
      <c r="D1671" t="s">
        <v>13287</v>
      </c>
      <c r="E1671" t="str">
        <f>+VLOOKUP(A1671,[1]PFE4!$A$7:$F$5208,6,0)</f>
        <v>CR 13 16 85 LC 216</v>
      </c>
      <c r="F1671" s="17">
        <f>+VLOOKUP(A1671,[1]PFE4!$A$7:$G$5208,7,0)</f>
        <v>11001</v>
      </c>
      <c r="G1671">
        <v>10401905</v>
      </c>
      <c r="H1671">
        <v>4329</v>
      </c>
    </row>
    <row r="1672" spans="1:8" ht="15" customHeight="1" x14ac:dyDescent="0.25">
      <c r="A1672" t="s">
        <v>3916</v>
      </c>
      <c r="B1672" t="s">
        <v>7962</v>
      </c>
      <c r="C1672" t="s">
        <v>11545</v>
      </c>
      <c r="D1672" t="s">
        <v>13287</v>
      </c>
      <c r="E1672" t="str">
        <f>+VLOOKUP(A1672,[1]PFE4!$A$7:$F$5208,6,0)</f>
        <v>CR 4   75   37</v>
      </c>
      <c r="F1672" s="17">
        <f>+VLOOKUP(A1672,[1]PFE4!$A$7:$G$5208,7,0)</f>
        <v>11001</v>
      </c>
      <c r="G1672">
        <v>10411174</v>
      </c>
      <c r="H1672">
        <v>4329</v>
      </c>
    </row>
    <row r="1673" spans="1:8" ht="15" customHeight="1" x14ac:dyDescent="0.25">
      <c r="A1673" t="s">
        <v>3917</v>
      </c>
      <c r="B1673" t="s">
        <v>7963</v>
      </c>
      <c r="C1673" t="s">
        <v>11546</v>
      </c>
      <c r="D1673" t="s">
        <v>13287</v>
      </c>
      <c r="E1673" t="str">
        <f>+VLOOKUP(A1673,[1]PFE4!$A$7:$F$5208,6,0)</f>
        <v>CARRERA 5 ESTE  109 A  42</v>
      </c>
      <c r="F1673" s="17">
        <f>+VLOOKUP(A1673,[1]PFE4!$A$7:$G$5208,7,0)</f>
        <v>11001</v>
      </c>
      <c r="G1673">
        <v>10436514</v>
      </c>
      <c r="H1673">
        <v>4329</v>
      </c>
    </row>
    <row r="1674" spans="1:8" ht="15" customHeight="1" x14ac:dyDescent="0.25">
      <c r="A1674" t="s">
        <v>3918</v>
      </c>
      <c r="B1674" t="s">
        <v>7591</v>
      </c>
      <c r="C1674" t="s">
        <v>11547</v>
      </c>
      <c r="D1674" t="s">
        <v>13287</v>
      </c>
      <c r="E1674" t="str">
        <f>+VLOOKUP(A1674,[1]PFE4!$A$7:$F$5208,6,0)</f>
        <v>CARRERA 45 A  123  34</v>
      </c>
      <c r="F1674" s="17">
        <f>+VLOOKUP(A1674,[1]PFE4!$A$7:$G$5208,7,0)</f>
        <v>11001</v>
      </c>
      <c r="G1674">
        <v>10443401</v>
      </c>
      <c r="H1674">
        <v>4329</v>
      </c>
    </row>
    <row r="1675" spans="1:8" ht="15" customHeight="1" x14ac:dyDescent="0.25">
      <c r="A1675" t="s">
        <v>3919</v>
      </c>
      <c r="B1675" t="s">
        <v>7964</v>
      </c>
      <c r="C1675" t="s">
        <v>11548</v>
      </c>
      <c r="D1675" t="s">
        <v>13287</v>
      </c>
      <c r="E1675" t="str">
        <f>+VLOOKUP(A1675,[1]PFE4!$A$7:$F$5208,6,0)</f>
        <v>CARRERA 36 A N. 54-69</v>
      </c>
      <c r="F1675" s="17">
        <f>+VLOOKUP(A1675,[1]PFE4!$A$7:$G$5208,7,0)</f>
        <v>11001</v>
      </c>
      <c r="G1675">
        <v>10448400</v>
      </c>
      <c r="H1675">
        <v>4329</v>
      </c>
    </row>
    <row r="1676" spans="1:8" ht="15" customHeight="1" x14ac:dyDescent="0.25">
      <c r="A1676" t="s">
        <v>3920</v>
      </c>
      <c r="B1676" t="s">
        <v>7965</v>
      </c>
      <c r="C1676" t="s">
        <v>11549</v>
      </c>
      <c r="D1676" t="s">
        <v>13287</v>
      </c>
      <c r="E1676" t="str">
        <f>+VLOOKUP(A1676,[1]PFE4!$A$7:$F$5208,6,0)</f>
        <v>CR 9A # 91- 10 BOGOTA, D.C.</v>
      </c>
      <c r="F1676" s="17">
        <f>+VLOOKUP(A1676,[1]PFE4!$A$7:$G$5208,7,0)</f>
        <v>11001</v>
      </c>
      <c r="G1676">
        <v>10457667</v>
      </c>
      <c r="H1676">
        <v>4329</v>
      </c>
    </row>
    <row r="1677" spans="1:8" ht="15" customHeight="1" x14ac:dyDescent="0.25">
      <c r="A1677" t="s">
        <v>3921</v>
      </c>
      <c r="B1677" t="s">
        <v>7966</v>
      </c>
      <c r="C1677" t="s">
        <v>11550</v>
      </c>
      <c r="D1677" t="s">
        <v>13287</v>
      </c>
      <c r="E1677" t="str">
        <f>+VLOOKUP(A1677,[1]PFE4!$A$7:$F$5208,6,0)</f>
        <v>CALLE 79 B  42  494</v>
      </c>
      <c r="F1677" s="17" t="str">
        <f>+VLOOKUP(A1677,[1]PFE4!$A$7:$G$5208,7,0)</f>
        <v>08001</v>
      </c>
      <c r="G1677">
        <v>10462882</v>
      </c>
      <c r="H1677">
        <v>4329</v>
      </c>
    </row>
    <row r="1678" spans="1:8" ht="15" customHeight="1" x14ac:dyDescent="0.25">
      <c r="A1678" t="s">
        <v>3922</v>
      </c>
      <c r="B1678" t="s">
        <v>7967</v>
      </c>
      <c r="C1678" t="s">
        <v>11551</v>
      </c>
      <c r="D1678" t="s">
        <v>13287</v>
      </c>
      <c r="E1678" t="str">
        <f>+VLOOKUP(A1678,[1]PFE4!$A$7:$F$5208,6,0)</f>
        <v>CALLE 103 A  16  70</v>
      </c>
      <c r="F1678" s="17">
        <f>+VLOOKUP(A1678,[1]PFE4!$A$7:$G$5208,7,0)</f>
        <v>11001</v>
      </c>
      <c r="G1678">
        <v>10462965</v>
      </c>
      <c r="H1678">
        <v>4329</v>
      </c>
    </row>
    <row r="1679" spans="1:8" ht="15" customHeight="1" x14ac:dyDescent="0.25">
      <c r="A1679" t="s">
        <v>3923</v>
      </c>
      <c r="B1679" t="s">
        <v>7968</v>
      </c>
      <c r="C1679" t="s">
        <v>11552</v>
      </c>
      <c r="D1679" t="s">
        <v>13287</v>
      </c>
      <c r="E1679" t="str">
        <f>+VLOOKUP(A1679,[1]PFE4!$A$7:$F$5208,6,0)</f>
        <v>CARRERA 3  8  129</v>
      </c>
      <c r="F1679" s="17">
        <f>+VLOOKUP(A1679,[1]PFE4!$A$7:$G$5208,7,0)</f>
        <v>13001</v>
      </c>
      <c r="G1679">
        <v>10472592</v>
      </c>
      <c r="H1679">
        <v>4329</v>
      </c>
    </row>
    <row r="1680" spans="1:8" ht="15" customHeight="1" x14ac:dyDescent="0.25">
      <c r="A1680" t="s">
        <v>3924</v>
      </c>
      <c r="B1680" t="s">
        <v>7969</v>
      </c>
      <c r="C1680" t="s">
        <v>11553</v>
      </c>
      <c r="D1680" t="s">
        <v>13287</v>
      </c>
      <c r="E1680" t="str">
        <f>+VLOOKUP(A1680,[1]PFE4!$A$7:$F$5208,6,0)</f>
        <v>CARRERA 9 N 8-53</v>
      </c>
      <c r="F1680" s="17">
        <f>+VLOOKUP(A1680,[1]PFE4!$A$7:$G$5208,7,0)</f>
        <v>68679</v>
      </c>
      <c r="G1680">
        <v>10483062</v>
      </c>
      <c r="H1680">
        <v>4329</v>
      </c>
    </row>
    <row r="1681" spans="1:8" ht="15" customHeight="1" x14ac:dyDescent="0.25">
      <c r="A1681" t="s">
        <v>3925</v>
      </c>
      <c r="B1681" t="s">
        <v>7970</v>
      </c>
      <c r="C1681" t="s">
        <v>11554</v>
      </c>
      <c r="D1681" t="s">
        <v>13287</v>
      </c>
      <c r="E1681" t="str">
        <f>+VLOOKUP(A1681,[1]PFE4!$A$7:$F$5208,6,0)</f>
        <v>CALLE 46 C  3  10</v>
      </c>
      <c r="F1681" s="17">
        <f>+VLOOKUP(A1681,[1]PFE4!$A$7:$G$5208,7,0)</f>
        <v>13001</v>
      </c>
      <c r="G1681">
        <v>10483824</v>
      </c>
      <c r="H1681">
        <v>4329</v>
      </c>
    </row>
    <row r="1682" spans="1:8" ht="15" customHeight="1" x14ac:dyDescent="0.25">
      <c r="A1682" t="s">
        <v>3926</v>
      </c>
      <c r="B1682" t="s">
        <v>7971</v>
      </c>
      <c r="C1682">
        <v>0</v>
      </c>
      <c r="D1682" t="s">
        <v>13287</v>
      </c>
      <c r="E1682">
        <v>0</v>
      </c>
      <c r="F1682" s="17">
        <v>11001</v>
      </c>
      <c r="G1682">
        <v>10496600</v>
      </c>
      <c r="H1682">
        <v>4329</v>
      </c>
    </row>
    <row r="1683" spans="1:8" ht="15" customHeight="1" x14ac:dyDescent="0.25">
      <c r="A1683" t="s">
        <v>3927</v>
      </c>
      <c r="B1683" t="s">
        <v>7972</v>
      </c>
      <c r="C1683" t="s">
        <v>11555</v>
      </c>
      <c r="D1683" t="s">
        <v>13287</v>
      </c>
      <c r="E1683" t="str">
        <f>+VLOOKUP(A1683,[1]PFE4!$A$7:$F$5208,6,0)</f>
        <v>CALLE 79 B  8  11  PISO 4</v>
      </c>
      <c r="F1683" s="17">
        <f>+VLOOKUP(A1683,[1]PFE4!$A$7:$G$5208,7,0)</f>
        <v>11001</v>
      </c>
      <c r="G1683">
        <v>10499940</v>
      </c>
      <c r="H1683">
        <v>4329</v>
      </c>
    </row>
    <row r="1684" spans="1:8" ht="15" customHeight="1" x14ac:dyDescent="0.25">
      <c r="A1684" t="s">
        <v>3928</v>
      </c>
      <c r="B1684" t="s">
        <v>7973</v>
      </c>
      <c r="C1684" t="s">
        <v>11556</v>
      </c>
      <c r="D1684" t="s">
        <v>13287</v>
      </c>
      <c r="E1684" t="str">
        <f>+VLOOKUP(A1684,[1]PFE4!$A$7:$F$5208,6,0)</f>
        <v>CALLE 120  15 A  78</v>
      </c>
      <c r="F1684" s="17">
        <f>+VLOOKUP(A1684,[1]PFE4!$A$7:$G$5208,7,0)</f>
        <v>11001</v>
      </c>
      <c r="G1684">
        <v>10500108</v>
      </c>
      <c r="H1684">
        <v>4329</v>
      </c>
    </row>
    <row r="1685" spans="1:8" ht="15" customHeight="1" x14ac:dyDescent="0.25">
      <c r="A1685" t="s">
        <v>3929</v>
      </c>
      <c r="B1685" t="s">
        <v>7974</v>
      </c>
      <c r="C1685" t="s">
        <v>11557</v>
      </c>
      <c r="D1685" t="s">
        <v>13287</v>
      </c>
      <c r="E1685" t="str">
        <f>+VLOOKUP(A1685,[1]PFE4!$A$7:$F$5208,6,0)</f>
        <v>CALLE 23  37  25</v>
      </c>
      <c r="F1685" s="17">
        <f>+VLOOKUP(A1685,[1]PFE4!$A$7:$G$5208,7,0)</f>
        <v>63001</v>
      </c>
      <c r="G1685">
        <v>10532500</v>
      </c>
      <c r="H1685">
        <v>4329</v>
      </c>
    </row>
    <row r="1686" spans="1:8" ht="15" customHeight="1" x14ac:dyDescent="0.25">
      <c r="A1686" t="s">
        <v>3930</v>
      </c>
      <c r="B1686" t="s">
        <v>7975</v>
      </c>
      <c r="C1686">
        <v>3219664011</v>
      </c>
      <c r="D1686" t="s">
        <v>13287</v>
      </c>
      <c r="E1686" t="str">
        <f>+VLOOKUP(A1686,[1]PFE4!$A$7:$F$5208,6,0)</f>
        <v>CARRERA 8  13  97  PISO 3</v>
      </c>
      <c r="F1686" s="17">
        <f>+VLOOKUP(A1686,[1]PFE4!$A$7:$G$5208,7,0)</f>
        <v>76001</v>
      </c>
      <c r="G1686">
        <v>10534052</v>
      </c>
      <c r="H1686">
        <v>4329</v>
      </c>
    </row>
    <row r="1687" spans="1:8" ht="15" customHeight="1" x14ac:dyDescent="0.25">
      <c r="A1687" t="s">
        <v>3931</v>
      </c>
      <c r="B1687" t="s">
        <v>7976</v>
      </c>
      <c r="C1687" t="s">
        <v>11311</v>
      </c>
      <c r="D1687" t="s">
        <v>13287</v>
      </c>
      <c r="E1687" t="str">
        <f>+VLOOKUP(A1687,[1]PFE4!$A$7:$F$5208,6,0)</f>
        <v>CALLE 11C 31-79</v>
      </c>
      <c r="F1687" s="17" t="str">
        <f>+VLOOKUP(A1687,[1]PFE4!$A$7:$G$5208,7,0)</f>
        <v>05001</v>
      </c>
      <c r="G1687">
        <v>10538364</v>
      </c>
      <c r="H1687">
        <v>4329</v>
      </c>
    </row>
    <row r="1688" spans="1:8" ht="15" customHeight="1" x14ac:dyDescent="0.25">
      <c r="A1688" t="s">
        <v>3932</v>
      </c>
      <c r="B1688" t="s">
        <v>7977</v>
      </c>
      <c r="C1688" t="s">
        <v>11558</v>
      </c>
      <c r="D1688" t="s">
        <v>13287</v>
      </c>
      <c r="E1688" t="str">
        <f>+VLOOKUP(A1688,[1]PFE4!$A$7:$F$5208,6,0)</f>
        <v>CL 2 1 C 00 PA UNO</v>
      </c>
      <c r="F1688" s="17">
        <f>+VLOOKUP(A1688,[1]PFE4!$A$7:$G$5208,7,0)</f>
        <v>25175</v>
      </c>
      <c r="G1688">
        <v>10542780</v>
      </c>
      <c r="H1688">
        <v>4329</v>
      </c>
    </row>
    <row r="1689" spans="1:8" ht="15" customHeight="1" x14ac:dyDescent="0.25">
      <c r="A1689" t="s">
        <v>3933</v>
      </c>
      <c r="B1689" t="s">
        <v>7978</v>
      </c>
      <c r="C1689" t="s">
        <v>11559</v>
      </c>
      <c r="D1689" t="s">
        <v>13287</v>
      </c>
      <c r="E1689" t="str">
        <f>+VLOOKUP(A1689,[1]PFE4!$A$7:$F$5208,6,0)</f>
        <v>CL 146 15 22</v>
      </c>
      <c r="F1689" s="17">
        <f>+VLOOKUP(A1689,[1]PFE4!$A$7:$G$5208,7,0)</f>
        <v>11001</v>
      </c>
      <c r="G1689">
        <v>10562734</v>
      </c>
      <c r="H1689">
        <v>4329</v>
      </c>
    </row>
    <row r="1690" spans="1:8" ht="15" customHeight="1" x14ac:dyDescent="0.25">
      <c r="A1690" t="s">
        <v>3934</v>
      </c>
      <c r="B1690" t="s">
        <v>7979</v>
      </c>
      <c r="C1690" t="s">
        <v>11560</v>
      </c>
      <c r="D1690" t="s">
        <v>13287</v>
      </c>
      <c r="E1690" t="str">
        <f>+VLOOKUP(A1690,[1]PFE4!$A$7:$F$5208,6,0)</f>
        <v>CARRERA 15  2  87</v>
      </c>
      <c r="F1690" s="17">
        <f>+VLOOKUP(A1690,[1]PFE4!$A$7:$G$5208,7,0)</f>
        <v>68547</v>
      </c>
      <c r="G1690">
        <v>10564004</v>
      </c>
      <c r="H1690">
        <v>4329</v>
      </c>
    </row>
    <row r="1691" spans="1:8" ht="15" customHeight="1" x14ac:dyDescent="0.25">
      <c r="A1691" t="s">
        <v>3935</v>
      </c>
      <c r="B1691" t="s">
        <v>7980</v>
      </c>
      <c r="C1691">
        <v>0</v>
      </c>
      <c r="D1691" t="s">
        <v>13287</v>
      </c>
      <c r="E1691">
        <v>0</v>
      </c>
      <c r="F1691" s="17">
        <v>11001</v>
      </c>
      <c r="G1691">
        <v>10566720</v>
      </c>
      <c r="H1691">
        <v>4329</v>
      </c>
    </row>
    <row r="1692" spans="1:8" ht="15" customHeight="1" x14ac:dyDescent="0.25">
      <c r="A1692" t="s">
        <v>3936</v>
      </c>
      <c r="B1692" t="s">
        <v>7981</v>
      </c>
      <c r="C1692" t="s">
        <v>11561</v>
      </c>
      <c r="D1692" t="s">
        <v>13287</v>
      </c>
      <c r="E1692" t="str">
        <f>+VLOOKUP(A1692,[1]PFE4!$A$7:$F$5208,6,0)</f>
        <v>CALLE 69 SUR  46  145</v>
      </c>
      <c r="F1692" s="17" t="str">
        <f>+VLOOKUP(A1692,[1]PFE4!$A$7:$G$5208,7,0)</f>
        <v>05631</v>
      </c>
      <c r="G1692">
        <v>10566931</v>
      </c>
      <c r="H1692">
        <v>4329</v>
      </c>
    </row>
    <row r="1693" spans="1:8" ht="15" customHeight="1" x14ac:dyDescent="0.25">
      <c r="A1693" t="s">
        <v>3937</v>
      </c>
      <c r="B1693" t="s">
        <v>7982</v>
      </c>
      <c r="C1693" t="s">
        <v>11562</v>
      </c>
      <c r="D1693" t="s">
        <v>13287</v>
      </c>
      <c r="E1693" t="str">
        <f>+VLOOKUP(A1693,[1]PFE4!$A$7:$F$5208,6,0)</f>
        <v>CL 14 A   2 E   85</v>
      </c>
      <c r="F1693" s="17">
        <f>+VLOOKUP(A1693,[1]PFE4!$A$7:$G$5208,7,0)</f>
        <v>54001</v>
      </c>
      <c r="G1693">
        <v>10572772</v>
      </c>
      <c r="H1693">
        <v>4329</v>
      </c>
    </row>
    <row r="1694" spans="1:8" ht="15" customHeight="1" x14ac:dyDescent="0.25">
      <c r="A1694" t="s">
        <v>3938</v>
      </c>
      <c r="B1694" t="s">
        <v>7983</v>
      </c>
      <c r="C1694" t="s">
        <v>11563</v>
      </c>
      <c r="D1694" t="s">
        <v>13287</v>
      </c>
      <c r="E1694" t="str">
        <f>+VLOOKUP(A1694,[1]PFE4!$A$7:$F$5208,6,0)</f>
        <v>AVENIDA CARRERA 9  147  46</v>
      </c>
      <c r="F1694" s="17">
        <f>+VLOOKUP(A1694,[1]PFE4!$A$7:$G$5208,7,0)</f>
        <v>11001</v>
      </c>
      <c r="G1694">
        <v>10576655</v>
      </c>
      <c r="H1694">
        <v>4329</v>
      </c>
    </row>
    <row r="1695" spans="1:8" ht="15" customHeight="1" x14ac:dyDescent="0.25">
      <c r="A1695" t="s">
        <v>3939</v>
      </c>
      <c r="B1695" t="s">
        <v>7984</v>
      </c>
      <c r="C1695" t="s">
        <v>11564</v>
      </c>
      <c r="D1695" t="s">
        <v>13287</v>
      </c>
      <c r="E1695" t="str">
        <f>+VLOOKUP(A1695,[1]PFE4!$A$7:$F$5208,6,0)</f>
        <v>CARRERA 17 A  127 A  19</v>
      </c>
      <c r="F1695" s="17">
        <f>+VLOOKUP(A1695,[1]PFE4!$A$7:$G$5208,7,0)</f>
        <v>11001</v>
      </c>
      <c r="G1695">
        <v>10577104</v>
      </c>
      <c r="H1695">
        <v>4329</v>
      </c>
    </row>
    <row r="1696" spans="1:8" ht="15" customHeight="1" x14ac:dyDescent="0.25">
      <c r="A1696" t="s">
        <v>3940</v>
      </c>
      <c r="B1696" t="s">
        <v>7985</v>
      </c>
      <c r="C1696" t="s">
        <v>11565</v>
      </c>
      <c r="D1696" t="s">
        <v>13287</v>
      </c>
      <c r="E1696" t="str">
        <f>+VLOOKUP(A1696,[1]PFE4!$A$7:$F$5208,6,0)</f>
        <v>CARRERA 20 C  77  19</v>
      </c>
      <c r="F1696" s="17">
        <f>+VLOOKUP(A1696,[1]PFE4!$A$7:$G$5208,7,0)</f>
        <v>11001</v>
      </c>
      <c r="G1696">
        <v>10578732</v>
      </c>
      <c r="H1696">
        <v>4329</v>
      </c>
    </row>
    <row r="1697" spans="1:8" ht="15" customHeight="1" x14ac:dyDescent="0.25">
      <c r="A1697" t="s">
        <v>3941</v>
      </c>
      <c r="B1697" t="s">
        <v>7986</v>
      </c>
      <c r="C1697" t="s">
        <v>11566</v>
      </c>
      <c r="D1697" t="s">
        <v>13287</v>
      </c>
      <c r="E1697" t="str">
        <f>+VLOOKUP(A1697,[1]PFE4!$A$7:$F$5208,6,0)</f>
        <v>TRANSVERSAL 1 A  76  17</v>
      </c>
      <c r="F1697" s="17">
        <f>+VLOOKUP(A1697,[1]PFE4!$A$7:$G$5208,7,0)</f>
        <v>11001</v>
      </c>
      <c r="G1697">
        <v>10585654</v>
      </c>
      <c r="H1697">
        <v>4329</v>
      </c>
    </row>
    <row r="1698" spans="1:8" ht="15" customHeight="1" x14ac:dyDescent="0.25">
      <c r="A1698" t="s">
        <v>3942</v>
      </c>
      <c r="B1698" t="s">
        <v>7987</v>
      </c>
      <c r="C1698" t="s">
        <v>11567</v>
      </c>
      <c r="D1698" t="s">
        <v>13287</v>
      </c>
      <c r="E1698" t="str">
        <f>+VLOOKUP(A1698,[1]PFE4!$A$7:$F$5208,6,0)</f>
        <v>CALLE 200  13  200</v>
      </c>
      <c r="F1698" s="17">
        <f>+VLOOKUP(A1698,[1]PFE4!$A$7:$G$5208,7,0)</f>
        <v>68276</v>
      </c>
      <c r="G1698">
        <v>10599276</v>
      </c>
      <c r="H1698">
        <v>4329</v>
      </c>
    </row>
    <row r="1699" spans="1:8" ht="15" customHeight="1" x14ac:dyDescent="0.25">
      <c r="A1699" t="s">
        <v>3943</v>
      </c>
      <c r="B1699" t="s">
        <v>7988</v>
      </c>
      <c r="C1699" t="s">
        <v>11568</v>
      </c>
      <c r="D1699" t="s">
        <v>13287</v>
      </c>
      <c r="E1699" t="str">
        <f>+VLOOKUP(A1699,[1]PFE4!$A$7:$F$5208,6,0)</f>
        <v>CARRERA 16 D  11 C  41</v>
      </c>
      <c r="F1699" s="17">
        <f>+VLOOKUP(A1699,[1]PFE4!$A$7:$G$5208,7,0)</f>
        <v>47001</v>
      </c>
      <c r="G1699">
        <v>10611600</v>
      </c>
      <c r="H1699">
        <v>4329</v>
      </c>
    </row>
    <row r="1700" spans="1:8" ht="15" customHeight="1" x14ac:dyDescent="0.25">
      <c r="A1700" t="s">
        <v>3944</v>
      </c>
      <c r="B1700" t="s">
        <v>7989</v>
      </c>
      <c r="C1700">
        <v>3219664011</v>
      </c>
      <c r="D1700" t="s">
        <v>13287</v>
      </c>
      <c r="E1700" t="str">
        <f>+VLOOKUP(A1700,[1]PFE4!$A$7:$F$5208,6,0)</f>
        <v>CALLE 7 SUR 42 70 ED FORUM OFC. 209</v>
      </c>
      <c r="F1700" s="17" t="str">
        <f>+VLOOKUP(A1700,[1]PFE4!$A$7:$G$5208,7,0)</f>
        <v>05001</v>
      </c>
      <c r="G1700">
        <v>10617996</v>
      </c>
      <c r="H1700">
        <v>4329</v>
      </c>
    </row>
    <row r="1701" spans="1:8" ht="15" customHeight="1" x14ac:dyDescent="0.25">
      <c r="A1701" t="s">
        <v>3945</v>
      </c>
      <c r="B1701" t="s">
        <v>7990</v>
      </c>
      <c r="C1701">
        <v>3219664011</v>
      </c>
      <c r="D1701" t="s">
        <v>13287</v>
      </c>
      <c r="E1701" t="str">
        <f>+VLOOKUP(A1701,[1]PFE4!$A$7:$F$5208,6,0)</f>
        <v>CARRERA 76  150  26</v>
      </c>
      <c r="F1701" s="17">
        <f>+VLOOKUP(A1701,[1]PFE4!$A$7:$G$5208,7,0)</f>
        <v>25175</v>
      </c>
      <c r="G1701">
        <v>10626071</v>
      </c>
      <c r="H1701">
        <v>4329</v>
      </c>
    </row>
    <row r="1702" spans="1:8" ht="15" customHeight="1" x14ac:dyDescent="0.25">
      <c r="A1702" t="s">
        <v>3946</v>
      </c>
      <c r="B1702" t="s">
        <v>7991</v>
      </c>
      <c r="C1702" t="s">
        <v>11569</v>
      </c>
      <c r="D1702" t="s">
        <v>13287</v>
      </c>
      <c r="E1702" t="str">
        <f>+VLOOKUP(A1702,[1]PFE4!$A$7:$F$5208,6,0)</f>
        <v>CARRERA 12  6  07</v>
      </c>
      <c r="F1702" s="17">
        <f>+VLOOKUP(A1702,[1]PFE4!$A$7:$G$5208,7,0)</f>
        <v>11001</v>
      </c>
      <c r="G1702">
        <v>10631193</v>
      </c>
      <c r="H1702">
        <v>4329</v>
      </c>
    </row>
    <row r="1703" spans="1:8" ht="15" customHeight="1" x14ac:dyDescent="0.25">
      <c r="A1703" t="s">
        <v>3947</v>
      </c>
      <c r="B1703" t="s">
        <v>7992</v>
      </c>
      <c r="C1703" t="s">
        <v>11570</v>
      </c>
      <c r="D1703" t="s">
        <v>13287</v>
      </c>
      <c r="E1703" t="str">
        <f>+VLOOKUP(A1703,[1]PFE4!$A$7:$F$5208,6,0)</f>
        <v>CL 7  29   55</v>
      </c>
      <c r="F1703" s="17">
        <f>+VLOOKUP(A1703,[1]PFE4!$A$7:$G$5208,7,0)</f>
        <v>76001</v>
      </c>
      <c r="G1703">
        <v>10631247</v>
      </c>
      <c r="H1703">
        <v>4329</v>
      </c>
    </row>
    <row r="1704" spans="1:8" ht="15" customHeight="1" x14ac:dyDescent="0.25">
      <c r="A1704" t="s">
        <v>3948</v>
      </c>
      <c r="B1704" t="s">
        <v>7993</v>
      </c>
      <c r="C1704" t="s">
        <v>11571</v>
      </c>
      <c r="D1704" t="s">
        <v>13287</v>
      </c>
      <c r="E1704" t="str">
        <f>+VLOOKUP(A1704,[1]PFE4!$A$7:$F$5208,6,0)</f>
        <v>CARRERA 53 59 - 236</v>
      </c>
      <c r="F1704" s="17" t="str">
        <f>+VLOOKUP(A1704,[1]PFE4!$A$7:$G$5208,7,0)</f>
        <v>08001</v>
      </c>
      <c r="G1704">
        <v>10642152</v>
      </c>
      <c r="H1704">
        <v>4329</v>
      </c>
    </row>
    <row r="1705" spans="1:8" ht="15" customHeight="1" x14ac:dyDescent="0.25">
      <c r="A1705" t="s">
        <v>3949</v>
      </c>
      <c r="B1705" t="s">
        <v>7994</v>
      </c>
      <c r="C1705" t="s">
        <v>11572</v>
      </c>
      <c r="D1705" t="s">
        <v>13287</v>
      </c>
      <c r="E1705" t="str">
        <f>+VLOOKUP(A1705,[1]PFE4!$A$7:$F$5208,6,0)</f>
        <v>CARRERA 23  48  113</v>
      </c>
      <c r="F1705" s="17">
        <f>+VLOOKUP(A1705,[1]PFE4!$A$7:$G$5208,7,0)</f>
        <v>17001</v>
      </c>
      <c r="G1705">
        <v>10647571</v>
      </c>
      <c r="H1705">
        <v>4329</v>
      </c>
    </row>
    <row r="1706" spans="1:8" ht="15" customHeight="1" x14ac:dyDescent="0.25">
      <c r="A1706" t="s">
        <v>3950</v>
      </c>
      <c r="B1706" t="s">
        <v>7995</v>
      </c>
      <c r="C1706" t="s">
        <v>11573</v>
      </c>
      <c r="D1706" t="s">
        <v>13287</v>
      </c>
      <c r="E1706" t="str">
        <f>+VLOOKUP(A1706,[1]PFE4!$A$7:$F$5208,6,0)</f>
        <v>CR 27 19 53</v>
      </c>
      <c r="F1706" s="17" t="str">
        <f>+VLOOKUP(A1706,[1]PFE4!$A$7:$G$5208,7,0)</f>
        <v>05440</v>
      </c>
      <c r="G1706">
        <v>10648800</v>
      </c>
      <c r="H1706">
        <v>4329</v>
      </c>
    </row>
    <row r="1707" spans="1:8" ht="15" customHeight="1" x14ac:dyDescent="0.25">
      <c r="A1707" t="s">
        <v>3951</v>
      </c>
      <c r="B1707" t="s">
        <v>7996</v>
      </c>
      <c r="C1707" t="s">
        <v>11574</v>
      </c>
      <c r="D1707" t="s">
        <v>13287</v>
      </c>
      <c r="E1707" t="str">
        <f>+VLOOKUP(A1707,[1]PFE4!$A$7:$F$5208,6,0)</f>
        <v>CALLE 223  52  47</v>
      </c>
      <c r="F1707" s="17">
        <f>+VLOOKUP(A1707,[1]PFE4!$A$7:$G$5208,7,0)</f>
        <v>11001</v>
      </c>
      <c r="G1707">
        <v>10662742</v>
      </c>
      <c r="H1707">
        <v>4329</v>
      </c>
    </row>
    <row r="1708" spans="1:8" ht="15" customHeight="1" x14ac:dyDescent="0.25">
      <c r="A1708" t="s">
        <v>3952</v>
      </c>
      <c r="B1708" t="s">
        <v>7997</v>
      </c>
      <c r="C1708" t="s">
        <v>11575</v>
      </c>
      <c r="D1708" t="s">
        <v>13287</v>
      </c>
      <c r="E1708" t="str">
        <f>+VLOOKUP(A1708,[1]PFE4!$A$7:$F$5208,6,0)</f>
        <v>CARRERA 7 F  145  88</v>
      </c>
      <c r="F1708" s="17">
        <f>+VLOOKUP(A1708,[1]PFE4!$A$7:$G$5208,7,0)</f>
        <v>11001</v>
      </c>
      <c r="G1708">
        <v>10677056</v>
      </c>
      <c r="H1708">
        <v>4329</v>
      </c>
    </row>
    <row r="1709" spans="1:8" ht="15" customHeight="1" x14ac:dyDescent="0.25">
      <c r="A1709" t="s">
        <v>3953</v>
      </c>
      <c r="B1709" t="s">
        <v>7998</v>
      </c>
      <c r="C1709" t="s">
        <v>11576</v>
      </c>
      <c r="D1709" t="s">
        <v>13287</v>
      </c>
      <c r="E1709" t="str">
        <f>+VLOOKUP(A1709,[1]PFE4!$A$7:$F$5208,6,0)</f>
        <v>CARRERA 20 C  77  19</v>
      </c>
      <c r="F1709" s="17">
        <f>+VLOOKUP(A1709,[1]PFE4!$A$7:$G$5208,7,0)</f>
        <v>11001</v>
      </c>
      <c r="G1709">
        <v>10683288</v>
      </c>
      <c r="H1709">
        <v>4329</v>
      </c>
    </row>
    <row r="1710" spans="1:8" ht="15" customHeight="1" x14ac:dyDescent="0.25">
      <c r="A1710" t="s">
        <v>3954</v>
      </c>
      <c r="B1710" t="s">
        <v>7999</v>
      </c>
      <c r="C1710" t="s">
        <v>11577</v>
      </c>
      <c r="D1710" t="s">
        <v>13287</v>
      </c>
      <c r="E1710" t="str">
        <f>+VLOOKUP(A1710,[1]PFE4!$A$7:$F$5208,6,0)</f>
        <v>CARRERA 13 A  28  38  PISO 2</v>
      </c>
      <c r="F1710" s="17">
        <f>+VLOOKUP(A1710,[1]PFE4!$A$7:$G$5208,7,0)</f>
        <v>11001</v>
      </c>
      <c r="G1710">
        <v>10684880</v>
      </c>
      <c r="H1710">
        <v>4329</v>
      </c>
    </row>
    <row r="1711" spans="1:8" ht="15" customHeight="1" x14ac:dyDescent="0.25">
      <c r="A1711" t="s">
        <v>3955</v>
      </c>
      <c r="B1711" t="s">
        <v>8000</v>
      </c>
      <c r="C1711" t="s">
        <v>11578</v>
      </c>
      <c r="D1711" t="s">
        <v>13287</v>
      </c>
      <c r="E1711" t="str">
        <f>+VLOOKUP(A1711,[1]PFE4!$A$7:$F$5208,6,0)</f>
        <v>CR 24 17 10</v>
      </c>
      <c r="F1711" s="17">
        <f>+VLOOKUP(A1711,[1]PFE4!$A$7:$G$5208,7,0)</f>
        <v>47001</v>
      </c>
      <c r="G1711">
        <v>10690885</v>
      </c>
      <c r="H1711">
        <v>4329</v>
      </c>
    </row>
    <row r="1712" spans="1:8" ht="15" customHeight="1" x14ac:dyDescent="0.25">
      <c r="A1712" t="s">
        <v>3956</v>
      </c>
      <c r="B1712" t="s">
        <v>8001</v>
      </c>
      <c r="C1712" t="s">
        <v>10516</v>
      </c>
      <c r="D1712" t="s">
        <v>13287</v>
      </c>
      <c r="E1712" t="str">
        <f>+VLOOKUP(A1712,[1]PFE4!$A$7:$F$5208,6,0)</f>
        <v>CARRERA 11 A  94 A  31</v>
      </c>
      <c r="F1712" s="17">
        <f>+VLOOKUP(A1712,[1]PFE4!$A$7:$G$5208,7,0)</f>
        <v>11001</v>
      </c>
      <c r="G1712">
        <v>10702944</v>
      </c>
      <c r="H1712">
        <v>4329</v>
      </c>
    </row>
    <row r="1713" spans="1:8" ht="15" customHeight="1" x14ac:dyDescent="0.25">
      <c r="A1713" t="s">
        <v>3957</v>
      </c>
      <c r="B1713" t="s">
        <v>8002</v>
      </c>
      <c r="C1713" t="s">
        <v>11579</v>
      </c>
      <c r="D1713" t="s">
        <v>13287</v>
      </c>
      <c r="E1713" t="str">
        <f>+VLOOKUP(A1713,[1]PFE4!$A$7:$F$5208,6,0)</f>
        <v>CALLE 26 4-100</v>
      </c>
      <c r="F1713" s="17">
        <f>+VLOOKUP(A1713,[1]PFE4!$A$7:$G$5208,7,0)</f>
        <v>47001</v>
      </c>
      <c r="G1713">
        <v>10707106</v>
      </c>
      <c r="H1713">
        <v>4329</v>
      </c>
    </row>
    <row r="1714" spans="1:8" ht="15" customHeight="1" x14ac:dyDescent="0.25">
      <c r="A1714" t="s">
        <v>3958</v>
      </c>
      <c r="B1714" t="s">
        <v>8003</v>
      </c>
      <c r="C1714" t="s">
        <v>11580</v>
      </c>
      <c r="D1714" t="s">
        <v>13287</v>
      </c>
      <c r="E1714" t="str">
        <f>+VLOOKUP(A1714,[1]PFE4!$A$7:$F$5208,6,0)</f>
        <v>CARRERA 47 A  98  45</v>
      </c>
      <c r="F1714" s="17">
        <f>+VLOOKUP(A1714,[1]PFE4!$A$7:$G$5208,7,0)</f>
        <v>11001</v>
      </c>
      <c r="G1714">
        <v>10715823</v>
      </c>
      <c r="H1714">
        <v>4329</v>
      </c>
    </row>
    <row r="1715" spans="1:8" ht="15" customHeight="1" x14ac:dyDescent="0.25">
      <c r="A1715" t="s">
        <v>3959</v>
      </c>
      <c r="B1715" t="s">
        <v>8004</v>
      </c>
      <c r="C1715" t="s">
        <v>11581</v>
      </c>
      <c r="D1715" t="s">
        <v>13287</v>
      </c>
      <c r="E1715" t="str">
        <f>+VLOOKUP(A1715,[1]PFE4!$A$7:$F$5208,6,0)</f>
        <v>CARRERA 7  147  02</v>
      </c>
      <c r="F1715" s="17">
        <f>+VLOOKUP(A1715,[1]PFE4!$A$7:$G$5208,7,0)</f>
        <v>11001</v>
      </c>
      <c r="G1715">
        <v>10719276</v>
      </c>
      <c r="H1715">
        <v>4329</v>
      </c>
    </row>
    <row r="1716" spans="1:8" ht="15" customHeight="1" x14ac:dyDescent="0.25">
      <c r="A1716" t="s">
        <v>3960</v>
      </c>
      <c r="B1716" t="s">
        <v>8005</v>
      </c>
      <c r="C1716" t="s">
        <v>11582</v>
      </c>
      <c r="D1716" t="s">
        <v>13287</v>
      </c>
      <c r="E1716" t="str">
        <f>+VLOOKUP(A1716,[1]PFE4!$A$7:$F$5208,6,0)</f>
        <v>CALLE 74 A  73  30</v>
      </c>
      <c r="F1716" s="17" t="str">
        <f>+VLOOKUP(A1716,[1]PFE4!$A$7:$G$5208,7,0)</f>
        <v>05001</v>
      </c>
      <c r="G1716">
        <v>10733118</v>
      </c>
      <c r="H1716">
        <v>4329</v>
      </c>
    </row>
    <row r="1717" spans="1:8" ht="15" customHeight="1" x14ac:dyDescent="0.25">
      <c r="A1717" t="s">
        <v>3961</v>
      </c>
      <c r="B1717" t="s">
        <v>8006</v>
      </c>
      <c r="C1717" t="s">
        <v>11583</v>
      </c>
      <c r="D1717" t="s">
        <v>13287</v>
      </c>
      <c r="E1717" t="str">
        <f>+VLOOKUP(A1717,[1]PFE4!$A$7:$F$5208,6,0)</f>
        <v>DG 30A 15C SUR 148</v>
      </c>
      <c r="F1717" s="17" t="str">
        <f>+VLOOKUP(A1717,[1]PFE4!$A$7:$G$5208,7,0)</f>
        <v>05001</v>
      </c>
      <c r="G1717">
        <v>10765368</v>
      </c>
      <c r="H1717">
        <v>4329</v>
      </c>
    </row>
    <row r="1718" spans="1:8" ht="15" customHeight="1" x14ac:dyDescent="0.25">
      <c r="A1718" t="s">
        <v>3962</v>
      </c>
      <c r="B1718" t="s">
        <v>8007</v>
      </c>
      <c r="C1718" t="s">
        <v>11267</v>
      </c>
      <c r="D1718" t="s">
        <v>13287</v>
      </c>
      <c r="E1718" t="str">
        <f>+VLOOKUP(A1718,[1]PFE4!$A$7:$F$5208,6,0)</f>
        <v>CALLE 125  30  67</v>
      </c>
      <c r="F1718" s="17">
        <f>+VLOOKUP(A1718,[1]PFE4!$A$7:$G$5208,7,0)</f>
        <v>11001</v>
      </c>
      <c r="G1718">
        <v>10766668</v>
      </c>
      <c r="H1718">
        <v>4329</v>
      </c>
    </row>
    <row r="1719" spans="1:8" ht="15" customHeight="1" x14ac:dyDescent="0.25">
      <c r="A1719" t="s">
        <v>3963</v>
      </c>
      <c r="B1719" t="s">
        <v>8008</v>
      </c>
      <c r="C1719" t="s">
        <v>11584</v>
      </c>
      <c r="D1719" t="s">
        <v>13287</v>
      </c>
      <c r="E1719" t="str">
        <f>+VLOOKUP(A1719,[1]PFE4!$A$7:$F$5208,6,0)</f>
        <v>CARRERA 7  53  48  OFICINA 502</v>
      </c>
      <c r="F1719" s="17">
        <f>+VLOOKUP(A1719,[1]PFE4!$A$7:$G$5208,7,0)</f>
        <v>11001</v>
      </c>
      <c r="G1719">
        <v>10772034</v>
      </c>
      <c r="H1719">
        <v>4329</v>
      </c>
    </row>
    <row r="1720" spans="1:8" ht="15" customHeight="1" x14ac:dyDescent="0.25">
      <c r="A1720" t="s">
        <v>3964</v>
      </c>
      <c r="B1720" t="s">
        <v>8009</v>
      </c>
      <c r="C1720" t="s">
        <v>11585</v>
      </c>
      <c r="D1720" t="s">
        <v>13287</v>
      </c>
      <c r="E1720" t="str">
        <f>+VLOOKUP(A1720,[1]PFE4!$A$7:$F$5208,6,0)</f>
        <v>CALLE 17 C SUR  44  38</v>
      </c>
      <c r="F1720" s="17" t="str">
        <f>+VLOOKUP(A1720,[1]PFE4!$A$7:$G$5208,7,0)</f>
        <v>05001</v>
      </c>
      <c r="G1720">
        <v>10792172</v>
      </c>
      <c r="H1720">
        <v>4329</v>
      </c>
    </row>
    <row r="1721" spans="1:8" ht="15" customHeight="1" x14ac:dyDescent="0.25">
      <c r="A1721" t="s">
        <v>3965</v>
      </c>
      <c r="B1721" t="s">
        <v>8010</v>
      </c>
      <c r="C1721" t="s">
        <v>11586</v>
      </c>
      <c r="D1721" t="s">
        <v>13287</v>
      </c>
      <c r="E1721" t="str">
        <f>+VLOOKUP(A1721,[1]PFE4!$A$7:$F$5208,6,0)</f>
        <v>CALLE 65 10-99</v>
      </c>
      <c r="F1721" s="17">
        <f>+VLOOKUP(A1721,[1]PFE4!$A$7:$G$5208,7,0)</f>
        <v>23001</v>
      </c>
      <c r="G1721">
        <v>10820310</v>
      </c>
      <c r="H1721">
        <v>4329</v>
      </c>
    </row>
    <row r="1722" spans="1:8" ht="15" customHeight="1" x14ac:dyDescent="0.25">
      <c r="A1722" t="s">
        <v>3966</v>
      </c>
      <c r="B1722" t="s">
        <v>8011</v>
      </c>
      <c r="C1722" t="s">
        <v>11587</v>
      </c>
      <c r="D1722" t="s">
        <v>13287</v>
      </c>
      <c r="E1722" t="str">
        <f>+VLOOKUP(A1722,[1]PFE4!$A$7:$F$5208,6,0)</f>
        <v>CR 8 79 17</v>
      </c>
      <c r="F1722" s="17">
        <f>+VLOOKUP(A1722,[1]PFE4!$A$7:$G$5208,7,0)</f>
        <v>11001</v>
      </c>
      <c r="G1722">
        <v>10822378</v>
      </c>
      <c r="H1722">
        <v>4329</v>
      </c>
    </row>
    <row r="1723" spans="1:8" ht="15" customHeight="1" x14ac:dyDescent="0.25">
      <c r="A1723" t="s">
        <v>3967</v>
      </c>
      <c r="B1723" t="s">
        <v>8012</v>
      </c>
      <c r="C1723" t="s">
        <v>11588</v>
      </c>
      <c r="D1723" t="s">
        <v>13287</v>
      </c>
      <c r="E1723" t="str">
        <f>+VLOOKUP(A1723,[1]PFE4!$A$7:$F$5208,6,0)</f>
        <v>CALLE 72  9  55</v>
      </c>
      <c r="F1723" s="17">
        <f>+VLOOKUP(A1723,[1]PFE4!$A$7:$G$5208,7,0)</f>
        <v>11001</v>
      </c>
      <c r="G1723">
        <v>10829478</v>
      </c>
      <c r="H1723">
        <v>4329</v>
      </c>
    </row>
    <row r="1724" spans="1:8" ht="15" customHeight="1" x14ac:dyDescent="0.25">
      <c r="A1724" t="s">
        <v>3968</v>
      </c>
      <c r="B1724" t="s">
        <v>8013</v>
      </c>
      <c r="C1724" t="s">
        <v>11589</v>
      </c>
      <c r="D1724" t="s">
        <v>13287</v>
      </c>
      <c r="E1724" t="str">
        <f>+VLOOKUP(A1724,[1]PFE4!$A$7:$F$5208,6,0)</f>
        <v>CRA 6 18A 130</v>
      </c>
      <c r="F1724" s="17">
        <f>+VLOOKUP(A1724,[1]PFE4!$A$7:$G$5208,7,0)</f>
        <v>52001</v>
      </c>
      <c r="G1724">
        <v>10830648</v>
      </c>
      <c r="H1724">
        <v>4329</v>
      </c>
    </row>
    <row r="1725" spans="1:8" ht="15" customHeight="1" x14ac:dyDescent="0.25">
      <c r="A1725" t="s">
        <v>3969</v>
      </c>
      <c r="B1725" t="s">
        <v>8014</v>
      </c>
      <c r="C1725" t="s">
        <v>11590</v>
      </c>
      <c r="D1725" t="s">
        <v>13287</v>
      </c>
      <c r="E1725" t="str">
        <f>+VLOOKUP(A1725,[1]PFE4!$A$7:$F$5208,6,0)</f>
        <v>TRANSVERSAL 2 A  68  54</v>
      </c>
      <c r="F1725" s="17">
        <f>+VLOOKUP(A1725,[1]PFE4!$A$7:$G$5208,7,0)</f>
        <v>11001</v>
      </c>
      <c r="G1725">
        <v>10834112</v>
      </c>
      <c r="H1725">
        <v>4329</v>
      </c>
    </row>
    <row r="1726" spans="1:8" ht="15" customHeight="1" x14ac:dyDescent="0.25">
      <c r="A1726" t="s">
        <v>3970</v>
      </c>
      <c r="B1726" t="s">
        <v>8015</v>
      </c>
      <c r="C1726" t="s">
        <v>11591</v>
      </c>
      <c r="D1726" t="s">
        <v>13287</v>
      </c>
      <c r="E1726" t="str">
        <f>+VLOOKUP(A1726,[1]PFE4!$A$7:$F$5208,6,0)</f>
        <v>CL 77 67 37 P 3</v>
      </c>
      <c r="F1726" s="17" t="str">
        <f>+VLOOKUP(A1726,[1]PFE4!$A$7:$G$5208,7,0)</f>
        <v>08758</v>
      </c>
      <c r="G1726">
        <v>10834542</v>
      </c>
      <c r="H1726">
        <v>4329</v>
      </c>
    </row>
    <row r="1727" spans="1:8" ht="15" customHeight="1" x14ac:dyDescent="0.25">
      <c r="A1727" t="s">
        <v>3971</v>
      </c>
      <c r="B1727" t="s">
        <v>8016</v>
      </c>
      <c r="C1727" t="s">
        <v>11592</v>
      </c>
      <c r="D1727" t="s">
        <v>13287</v>
      </c>
      <c r="E1727" t="str">
        <f>+VLOOKUP(A1727,[1]PFE4!$A$7:$F$5208,6,0)</f>
        <v>CARRERA 22  110  36</v>
      </c>
      <c r="F1727" s="17">
        <f>+VLOOKUP(A1727,[1]PFE4!$A$7:$G$5208,7,0)</f>
        <v>11001</v>
      </c>
      <c r="G1727">
        <v>10731648</v>
      </c>
      <c r="H1727">
        <v>4329</v>
      </c>
    </row>
    <row r="1728" spans="1:8" ht="15" customHeight="1" x14ac:dyDescent="0.25">
      <c r="A1728" t="s">
        <v>3972</v>
      </c>
      <c r="B1728" t="s">
        <v>8017</v>
      </c>
      <c r="C1728" t="s">
        <v>11593</v>
      </c>
      <c r="D1728" t="s">
        <v>13287</v>
      </c>
      <c r="E1728" t="str">
        <f>+VLOOKUP(A1728,[1]PFE4!$A$7:$F$5208,6,0)</f>
        <v>AVENIDA DEL FERROCARRIL  29  200</v>
      </c>
      <c r="F1728" s="17">
        <f>+VLOOKUP(A1728,[1]PFE4!$A$7:$G$5208,7,0)</f>
        <v>47001</v>
      </c>
      <c r="G1728">
        <v>10889076</v>
      </c>
      <c r="H1728">
        <v>4329</v>
      </c>
    </row>
    <row r="1729" spans="1:8" ht="15" customHeight="1" x14ac:dyDescent="0.25">
      <c r="A1729" t="s">
        <v>3973</v>
      </c>
      <c r="B1729" t="s">
        <v>8018</v>
      </c>
      <c r="C1729">
        <v>3219664011</v>
      </c>
      <c r="D1729" t="s">
        <v>13287</v>
      </c>
      <c r="E1729" t="str">
        <f>+VLOOKUP(A1729,[1]PFE4!$A$7:$F$5208,6,0)</f>
        <v>CALLE 116  15  64</v>
      </c>
      <c r="F1729" s="17">
        <f>+VLOOKUP(A1729,[1]PFE4!$A$7:$G$5208,7,0)</f>
        <v>11001</v>
      </c>
      <c r="G1729">
        <v>10905147</v>
      </c>
      <c r="H1729">
        <v>4329</v>
      </c>
    </row>
    <row r="1730" spans="1:8" ht="15" customHeight="1" x14ac:dyDescent="0.25">
      <c r="A1730" t="s">
        <v>3974</v>
      </c>
      <c r="B1730" t="s">
        <v>8019</v>
      </c>
      <c r="C1730">
        <v>0</v>
      </c>
      <c r="D1730" t="s">
        <v>13287</v>
      </c>
      <c r="E1730">
        <v>0</v>
      </c>
      <c r="F1730" s="17">
        <v>11001</v>
      </c>
      <c r="G1730">
        <v>10911600</v>
      </c>
      <c r="H1730">
        <v>4329</v>
      </c>
    </row>
    <row r="1731" spans="1:8" ht="15" customHeight="1" x14ac:dyDescent="0.25">
      <c r="A1731" t="s">
        <v>3975</v>
      </c>
      <c r="B1731" t="s">
        <v>8020</v>
      </c>
      <c r="C1731" t="s">
        <v>11594</v>
      </c>
      <c r="D1731" t="s">
        <v>13287</v>
      </c>
      <c r="E1731" t="str">
        <f>+VLOOKUP(A1731,[1]PFE4!$A$7:$F$5208,6,0)</f>
        <v>CARRERA 30  29  59</v>
      </c>
      <c r="F1731" s="17" t="str">
        <f>+VLOOKUP(A1731,[1]PFE4!$A$7:$G$5208,7,0)</f>
        <v>05237</v>
      </c>
      <c r="G1731">
        <v>10913760</v>
      </c>
      <c r="H1731">
        <v>4329</v>
      </c>
    </row>
    <row r="1732" spans="1:8" ht="15" customHeight="1" x14ac:dyDescent="0.25">
      <c r="A1732" t="s">
        <v>3976</v>
      </c>
      <c r="B1732" t="s">
        <v>8021</v>
      </c>
      <c r="C1732" t="s">
        <v>11595</v>
      </c>
      <c r="D1732" t="s">
        <v>13287</v>
      </c>
      <c r="E1732" t="str">
        <f>+VLOOKUP(A1732,[1]PFE4!$A$7:$F$5208,6,0)</f>
        <v>CALLE 32  4  45</v>
      </c>
      <c r="F1732" s="17">
        <f>+VLOOKUP(A1732,[1]PFE4!$A$7:$G$5208,7,0)</f>
        <v>11001</v>
      </c>
      <c r="G1732">
        <v>10920287</v>
      </c>
      <c r="H1732">
        <v>4329</v>
      </c>
    </row>
    <row r="1733" spans="1:8" ht="15" customHeight="1" x14ac:dyDescent="0.25">
      <c r="A1733" t="s">
        <v>3977</v>
      </c>
      <c r="B1733" t="s">
        <v>8022</v>
      </c>
      <c r="C1733" t="s">
        <v>11596</v>
      </c>
      <c r="D1733" t="s">
        <v>13287</v>
      </c>
      <c r="E1733" t="str">
        <f>+VLOOKUP(A1733,[1]PFE4!$A$7:$F$5208,6,0)</f>
        <v>CARRERA 16 A  79  95  OFICINA 303</v>
      </c>
      <c r="F1733" s="17">
        <f>+VLOOKUP(A1733,[1]PFE4!$A$7:$G$5208,7,0)</f>
        <v>11001</v>
      </c>
      <c r="G1733">
        <v>10948993</v>
      </c>
      <c r="H1733">
        <v>4329</v>
      </c>
    </row>
    <row r="1734" spans="1:8" ht="15" customHeight="1" x14ac:dyDescent="0.25">
      <c r="A1734" t="s">
        <v>3978</v>
      </c>
      <c r="B1734" t="s">
        <v>8023</v>
      </c>
      <c r="C1734" t="s">
        <v>11597</v>
      </c>
      <c r="D1734" t="s">
        <v>13287</v>
      </c>
      <c r="E1734" t="str">
        <f>+VLOOKUP(A1734,[1]PFE4!$A$7:$F$5208,6,0)</f>
        <v>CALLE 58  45 D  36</v>
      </c>
      <c r="F1734" s="17" t="str">
        <f>+VLOOKUP(A1734,[1]PFE4!$A$7:$G$5208,7,0)</f>
        <v>05001</v>
      </c>
      <c r="G1734">
        <v>10968132</v>
      </c>
      <c r="H1734">
        <v>4329</v>
      </c>
    </row>
    <row r="1735" spans="1:8" ht="15" customHeight="1" x14ac:dyDescent="0.25">
      <c r="A1735" t="s">
        <v>3979</v>
      </c>
      <c r="B1735" t="s">
        <v>8024</v>
      </c>
      <c r="C1735" t="s">
        <v>11598</v>
      </c>
      <c r="D1735" t="s">
        <v>13287</v>
      </c>
      <c r="E1735" t="str">
        <f>+VLOOKUP(A1735,[1]PFE4!$A$7:$F$5208,6,0)</f>
        <v>AK 2 9 40</v>
      </c>
      <c r="F1735" s="17">
        <f>+VLOOKUP(A1735,[1]PFE4!$A$7:$G$5208,7,0)</f>
        <v>25377</v>
      </c>
      <c r="G1735">
        <v>10979162</v>
      </c>
      <c r="H1735">
        <v>4329</v>
      </c>
    </row>
    <row r="1736" spans="1:8" ht="15" customHeight="1" x14ac:dyDescent="0.25">
      <c r="A1736" t="s">
        <v>3980</v>
      </c>
      <c r="B1736" t="s">
        <v>8025</v>
      </c>
      <c r="C1736" t="s">
        <v>11599</v>
      </c>
      <c r="D1736" t="s">
        <v>13287</v>
      </c>
      <c r="E1736" t="str">
        <f>+VLOOKUP(A1736,[1]PFE4!$A$7:$F$5208,6,0)</f>
        <v>CL 66 1 N 20</v>
      </c>
      <c r="F1736" s="17">
        <f>+VLOOKUP(A1736,[1]PFE4!$A$7:$G$5208,7,0)</f>
        <v>11001</v>
      </c>
      <c r="G1736">
        <v>10986573</v>
      </c>
      <c r="H1736">
        <v>4329</v>
      </c>
    </row>
    <row r="1737" spans="1:8" ht="15" customHeight="1" x14ac:dyDescent="0.25">
      <c r="A1737" t="s">
        <v>3981</v>
      </c>
      <c r="B1737" t="s">
        <v>8026</v>
      </c>
      <c r="C1737" t="s">
        <v>11505</v>
      </c>
      <c r="D1737" t="s">
        <v>13287</v>
      </c>
      <c r="E1737" t="str">
        <f>+VLOOKUP(A1737,[1]PFE4!$A$7:$F$5208,6,0)</f>
        <v>CALLE 75  13  51</v>
      </c>
      <c r="F1737" s="17">
        <f>+VLOOKUP(A1737,[1]PFE4!$A$7:$G$5208,7,0)</f>
        <v>11001</v>
      </c>
      <c r="G1737">
        <v>10994328</v>
      </c>
      <c r="H1737">
        <v>4329</v>
      </c>
    </row>
    <row r="1738" spans="1:8" ht="15" customHeight="1" x14ac:dyDescent="0.25">
      <c r="A1738" t="s">
        <v>3982</v>
      </c>
      <c r="B1738" t="s">
        <v>8027</v>
      </c>
      <c r="C1738" t="s">
        <v>11600</v>
      </c>
      <c r="D1738" t="s">
        <v>13287</v>
      </c>
      <c r="E1738" t="str">
        <f>+VLOOKUP(A1738,[1]PFE4!$A$7:$F$5208,6,0)</f>
        <v>CRA 3  12 40</v>
      </c>
      <c r="F1738" s="17">
        <f>+VLOOKUP(A1738,[1]PFE4!$A$7:$G$5208,7,0)</f>
        <v>11001</v>
      </c>
      <c r="G1738">
        <v>11000000</v>
      </c>
      <c r="H1738">
        <v>4329</v>
      </c>
    </row>
    <row r="1739" spans="1:8" ht="15" customHeight="1" x14ac:dyDescent="0.25">
      <c r="A1739" t="s">
        <v>3983</v>
      </c>
      <c r="B1739" t="s">
        <v>8028</v>
      </c>
      <c r="C1739">
        <v>0</v>
      </c>
      <c r="D1739" t="s">
        <v>13287</v>
      </c>
      <c r="E1739">
        <v>0</v>
      </c>
      <c r="F1739" s="17">
        <v>11001</v>
      </c>
      <c r="G1739">
        <v>11002300</v>
      </c>
      <c r="H1739">
        <v>4329</v>
      </c>
    </row>
    <row r="1740" spans="1:8" ht="15" customHeight="1" x14ac:dyDescent="0.25">
      <c r="A1740" t="s">
        <v>3984</v>
      </c>
      <c r="B1740" t="s">
        <v>8029</v>
      </c>
      <c r="C1740" t="s">
        <v>11601</v>
      </c>
      <c r="D1740" t="s">
        <v>13287</v>
      </c>
      <c r="E1740" t="str">
        <f>+VLOOKUP(A1740,[1]PFE4!$A$7:$F$5208,6,0)</f>
        <v>CARRERA 29 C  10 C  100</v>
      </c>
      <c r="F1740" s="17" t="str">
        <f>+VLOOKUP(A1740,[1]PFE4!$A$7:$G$5208,7,0)</f>
        <v>05001</v>
      </c>
      <c r="G1740">
        <v>11010067</v>
      </c>
      <c r="H1740">
        <v>4329</v>
      </c>
    </row>
    <row r="1741" spans="1:8" ht="15" customHeight="1" x14ac:dyDescent="0.25">
      <c r="A1741" t="s">
        <v>3985</v>
      </c>
      <c r="B1741" t="s">
        <v>8030</v>
      </c>
      <c r="C1741" t="s">
        <v>10851</v>
      </c>
      <c r="D1741" t="s">
        <v>13287</v>
      </c>
      <c r="E1741" t="str">
        <f>+VLOOKUP(A1741,[1]PFE4!$A$7:$F$5208,6,0)</f>
        <v>CALLE 34 NORTE  9  76</v>
      </c>
      <c r="F1741" s="17">
        <f>+VLOOKUP(A1741,[1]PFE4!$A$7:$G$5208,7,0)</f>
        <v>11001</v>
      </c>
      <c r="G1741">
        <v>11018560</v>
      </c>
      <c r="H1741">
        <v>4329</v>
      </c>
    </row>
    <row r="1742" spans="1:8" ht="15" customHeight="1" x14ac:dyDescent="0.25">
      <c r="A1742" t="s">
        <v>3986</v>
      </c>
      <c r="B1742" t="s">
        <v>8031</v>
      </c>
      <c r="C1742" t="s">
        <v>11600</v>
      </c>
      <c r="D1742" t="s">
        <v>13287</v>
      </c>
      <c r="E1742" t="str">
        <f>+VLOOKUP(A1742,[1]PFE4!$A$7:$F$5208,6,0)</f>
        <v>CL 71  17 - 24 ED MIRADOR DE LA SUIZA</v>
      </c>
      <c r="F1742" s="17">
        <f>+VLOOKUP(A1742,[1]PFE4!$A$7:$G$5208,7,0)</f>
        <v>17001</v>
      </c>
      <c r="G1742">
        <v>11020986</v>
      </c>
      <c r="H1742">
        <v>4329</v>
      </c>
    </row>
    <row r="1743" spans="1:8" ht="15" customHeight="1" x14ac:dyDescent="0.25">
      <c r="A1743" t="s">
        <v>3987</v>
      </c>
      <c r="B1743" t="s">
        <v>8032</v>
      </c>
      <c r="C1743" t="s">
        <v>11602</v>
      </c>
      <c r="D1743" t="s">
        <v>13287</v>
      </c>
      <c r="E1743" t="str">
        <f>+VLOOKUP(A1743,[1]PFE4!$A$7:$F$5208,6,0)</f>
        <v>AVENIDA 68  43  67 SUR</v>
      </c>
      <c r="F1743" s="17">
        <f>+VLOOKUP(A1743,[1]PFE4!$A$7:$G$5208,7,0)</f>
        <v>47001</v>
      </c>
      <c r="G1743">
        <v>11022434</v>
      </c>
      <c r="H1743">
        <v>4329</v>
      </c>
    </row>
    <row r="1744" spans="1:8" ht="15" customHeight="1" x14ac:dyDescent="0.25">
      <c r="A1744" t="s">
        <v>3988</v>
      </c>
      <c r="B1744" t="s">
        <v>8033</v>
      </c>
      <c r="C1744" t="s">
        <v>11603</v>
      </c>
      <c r="D1744" t="s">
        <v>13287</v>
      </c>
      <c r="E1744" t="str">
        <f>+VLOOKUP(A1744,[1]PFE4!$A$7:$F$5208,6,0)</f>
        <v>CR 50 52 54</v>
      </c>
      <c r="F1744" s="17" t="str">
        <f>+VLOOKUP(A1744,[1]PFE4!$A$7:$G$5208,7,0)</f>
        <v>05088</v>
      </c>
      <c r="G1744">
        <v>11022723</v>
      </c>
      <c r="H1744">
        <v>4329</v>
      </c>
    </row>
    <row r="1745" spans="1:8" ht="15" customHeight="1" x14ac:dyDescent="0.25">
      <c r="A1745" t="s">
        <v>3989</v>
      </c>
      <c r="B1745" t="s">
        <v>8034</v>
      </c>
      <c r="C1745" t="s">
        <v>11604</v>
      </c>
      <c r="D1745" t="s">
        <v>13287</v>
      </c>
      <c r="E1745" t="str">
        <f>+VLOOKUP(A1745,[1]PFE4!$A$7:$F$5208,6,0)</f>
        <v>CALLE 12  3  59</v>
      </c>
      <c r="F1745" s="17">
        <f>+VLOOKUP(A1745,[1]PFE4!$A$7:$G$5208,7,0)</f>
        <v>54874</v>
      </c>
      <c r="G1745">
        <v>11023592</v>
      </c>
      <c r="H1745">
        <v>4329</v>
      </c>
    </row>
    <row r="1746" spans="1:8" ht="15" customHeight="1" x14ac:dyDescent="0.25">
      <c r="A1746" t="s">
        <v>3990</v>
      </c>
      <c r="B1746" t="s">
        <v>8035</v>
      </c>
      <c r="C1746" t="s">
        <v>11605</v>
      </c>
      <c r="D1746" t="s">
        <v>13287</v>
      </c>
      <c r="E1746" t="str">
        <f>+VLOOKUP(A1746,[1]PFE4!$A$7:$F$5208,6,0)</f>
        <v>CR 4  18 N  46  BRR  LA ESTANCIA</v>
      </c>
      <c r="F1746" s="17">
        <f>+VLOOKUP(A1746,[1]PFE4!$A$7:$G$5208,7,0)</f>
        <v>19001</v>
      </c>
      <c r="G1746">
        <v>11028084</v>
      </c>
      <c r="H1746">
        <v>4329</v>
      </c>
    </row>
    <row r="1747" spans="1:8" ht="15" customHeight="1" x14ac:dyDescent="0.25">
      <c r="A1747" t="s">
        <v>3991</v>
      </c>
      <c r="B1747" t="s">
        <v>8036</v>
      </c>
      <c r="C1747">
        <v>6016108161</v>
      </c>
      <c r="D1747" t="s">
        <v>13287</v>
      </c>
      <c r="E1747" t="str">
        <f>+VLOOKUP(A1747,[1]PFE4!$A$7:$F$5208,6,0)</f>
        <v>Carrera 13 # 26A - 43</v>
      </c>
      <c r="F1747" s="17">
        <f>+VLOOKUP(A1747,[1]PFE4!$A$7:$G$5208,7,0)</f>
        <v>11001</v>
      </c>
      <c r="G1747">
        <v>11034742</v>
      </c>
      <c r="H1747">
        <v>4329</v>
      </c>
    </row>
    <row r="1748" spans="1:8" ht="15" customHeight="1" x14ac:dyDescent="0.25">
      <c r="A1748" t="s">
        <v>3992</v>
      </c>
      <c r="B1748" t="s">
        <v>8037</v>
      </c>
      <c r="C1748">
        <v>0</v>
      </c>
      <c r="D1748" t="s">
        <v>13287</v>
      </c>
      <c r="E1748">
        <v>0</v>
      </c>
      <c r="F1748" s="17">
        <v>11001</v>
      </c>
      <c r="G1748">
        <v>11040000</v>
      </c>
      <c r="H1748">
        <v>4329</v>
      </c>
    </row>
    <row r="1749" spans="1:8" ht="15" customHeight="1" x14ac:dyDescent="0.25">
      <c r="A1749" t="s">
        <v>3993</v>
      </c>
      <c r="B1749" t="s">
        <v>8038</v>
      </c>
      <c r="C1749" t="s">
        <v>10850</v>
      </c>
      <c r="D1749" t="s">
        <v>13287</v>
      </c>
      <c r="E1749" t="str">
        <f>+VLOOKUP(A1749,[1]PFE4!$A$7:$F$5208,6,0)</f>
        <v>CALLE 14  40 A  95</v>
      </c>
      <c r="F1749" s="17" t="str">
        <f>+VLOOKUP(A1749,[1]PFE4!$A$7:$G$5208,7,0)</f>
        <v>05001</v>
      </c>
      <c r="G1749">
        <v>11064234</v>
      </c>
      <c r="H1749">
        <v>4329</v>
      </c>
    </row>
    <row r="1750" spans="1:8" ht="15" customHeight="1" x14ac:dyDescent="0.25">
      <c r="A1750" t="s">
        <v>3994</v>
      </c>
      <c r="B1750" t="s">
        <v>8039</v>
      </c>
      <c r="C1750" t="s">
        <v>10871</v>
      </c>
      <c r="D1750" t="s">
        <v>13287</v>
      </c>
      <c r="E1750" t="str">
        <f>+VLOOKUP(A1750,[1]PFE4!$A$7:$F$5208,6,0)</f>
        <v>CALLE 32 A SUR  28  21</v>
      </c>
      <c r="F1750" s="17" t="str">
        <f>+VLOOKUP(A1750,[1]PFE4!$A$7:$G$5208,7,0)</f>
        <v>05266</v>
      </c>
      <c r="G1750">
        <v>11071836</v>
      </c>
      <c r="H1750">
        <v>4329</v>
      </c>
    </row>
    <row r="1751" spans="1:8" ht="15" customHeight="1" x14ac:dyDescent="0.25">
      <c r="A1751" t="s">
        <v>3995</v>
      </c>
      <c r="B1751" t="s">
        <v>8040</v>
      </c>
      <c r="C1751" t="s">
        <v>11606</v>
      </c>
      <c r="D1751" t="s">
        <v>13287</v>
      </c>
      <c r="E1751" t="str">
        <f>+VLOOKUP(A1751,[1]PFE4!$A$7:$F$5208,6,0)</f>
        <v>CL 107 50 69</v>
      </c>
      <c r="F1751" s="17" t="str">
        <f>+VLOOKUP(A1751,[1]PFE4!$A$7:$G$5208,7,0)</f>
        <v>08001</v>
      </c>
      <c r="G1751">
        <v>11074270</v>
      </c>
      <c r="H1751">
        <v>4329</v>
      </c>
    </row>
    <row r="1752" spans="1:8" ht="15" customHeight="1" x14ac:dyDescent="0.25">
      <c r="A1752" t="s">
        <v>3996</v>
      </c>
      <c r="B1752" t="s">
        <v>8041</v>
      </c>
      <c r="C1752" t="s">
        <v>11607</v>
      </c>
      <c r="D1752" t="s">
        <v>13287</v>
      </c>
      <c r="E1752" t="str">
        <f>+VLOOKUP(A1752,[1]PFE4!$A$7:$F$5208,6,0)</f>
        <v>CARRERA 56  68  203</v>
      </c>
      <c r="F1752" s="17" t="str">
        <f>+VLOOKUP(A1752,[1]PFE4!$A$7:$G$5208,7,0)</f>
        <v>08001</v>
      </c>
      <c r="G1752">
        <v>11078841</v>
      </c>
      <c r="H1752">
        <v>4329</v>
      </c>
    </row>
    <row r="1753" spans="1:8" ht="15" customHeight="1" x14ac:dyDescent="0.25">
      <c r="A1753" t="s">
        <v>3997</v>
      </c>
      <c r="B1753" t="s">
        <v>8042</v>
      </c>
      <c r="C1753" t="s">
        <v>11608</v>
      </c>
      <c r="D1753" t="s">
        <v>13287</v>
      </c>
      <c r="E1753" t="str">
        <f>+VLOOKUP(A1753,[1]PFE4!$A$7:$F$5208,6,0)</f>
        <v>CARRERA 16 A  86 A  02  OFICINA 104</v>
      </c>
      <c r="F1753" s="17">
        <f>+VLOOKUP(A1753,[1]PFE4!$A$7:$G$5208,7,0)</f>
        <v>11001</v>
      </c>
      <c r="G1753">
        <v>11081589</v>
      </c>
      <c r="H1753">
        <v>4329</v>
      </c>
    </row>
    <row r="1754" spans="1:8" ht="15" customHeight="1" x14ac:dyDescent="0.25">
      <c r="A1754" t="s">
        <v>3998</v>
      </c>
      <c r="B1754" t="s">
        <v>8043</v>
      </c>
      <c r="C1754" t="s">
        <v>11609</v>
      </c>
      <c r="D1754" t="s">
        <v>13287</v>
      </c>
      <c r="E1754" t="str">
        <f>+VLOOKUP(A1754,[1]PFE4!$A$7:$F$5208,6,0)</f>
        <v>CARRERA 15  95  51</v>
      </c>
      <c r="F1754" s="17">
        <f>+VLOOKUP(A1754,[1]PFE4!$A$7:$G$5208,7,0)</f>
        <v>11001</v>
      </c>
      <c r="G1754">
        <v>11085640</v>
      </c>
      <c r="H1754">
        <v>4329</v>
      </c>
    </row>
    <row r="1755" spans="1:8" ht="15" customHeight="1" x14ac:dyDescent="0.25">
      <c r="A1755" t="s">
        <v>3999</v>
      </c>
      <c r="B1755" t="s">
        <v>8044</v>
      </c>
      <c r="C1755" t="s">
        <v>10544</v>
      </c>
      <c r="D1755" t="s">
        <v>13287</v>
      </c>
      <c r="E1755" t="str">
        <f>+VLOOKUP(A1755,[1]PFE4!$A$7:$F$5208,6,0)</f>
        <v>CALLE 93 A  11  07  OFICINA 302</v>
      </c>
      <c r="F1755" s="17">
        <f>+VLOOKUP(A1755,[1]PFE4!$A$7:$G$5208,7,0)</f>
        <v>11001</v>
      </c>
      <c r="G1755">
        <v>11089480</v>
      </c>
      <c r="H1755">
        <v>4329</v>
      </c>
    </row>
    <row r="1756" spans="1:8" ht="15" customHeight="1" x14ac:dyDescent="0.25">
      <c r="A1756" t="s">
        <v>4000</v>
      </c>
      <c r="B1756" t="s">
        <v>8045</v>
      </c>
      <c r="C1756" t="s">
        <v>11610</v>
      </c>
      <c r="D1756" t="s">
        <v>13287</v>
      </c>
      <c r="E1756" t="str">
        <f>+VLOOKUP(A1756,[1]PFE4!$A$7:$F$5208,6,0)</f>
        <v>CALLE 6  1  54</v>
      </c>
      <c r="F1756" s="17">
        <f>+VLOOKUP(A1756,[1]PFE4!$A$7:$G$5208,7,0)</f>
        <v>11001</v>
      </c>
      <c r="G1756">
        <v>11098836</v>
      </c>
      <c r="H1756">
        <v>4329</v>
      </c>
    </row>
    <row r="1757" spans="1:8" ht="15" customHeight="1" x14ac:dyDescent="0.25">
      <c r="A1757" t="s">
        <v>4001</v>
      </c>
      <c r="B1757" t="s">
        <v>8046</v>
      </c>
      <c r="C1757">
        <v>0</v>
      </c>
      <c r="D1757" t="s">
        <v>13287</v>
      </c>
      <c r="E1757">
        <v>0</v>
      </c>
      <c r="F1757" s="17">
        <v>11001</v>
      </c>
      <c r="G1757">
        <v>11103100</v>
      </c>
      <c r="H1757">
        <v>4329</v>
      </c>
    </row>
    <row r="1758" spans="1:8" ht="15" customHeight="1" x14ac:dyDescent="0.25">
      <c r="A1758" t="s">
        <v>4002</v>
      </c>
      <c r="B1758" t="s">
        <v>8047</v>
      </c>
      <c r="C1758" t="s">
        <v>11611</v>
      </c>
      <c r="D1758" t="s">
        <v>13287</v>
      </c>
      <c r="E1758" t="str">
        <f>+VLOOKUP(A1758,[1]PFE4!$A$7:$F$5208,6,0)</f>
        <v>BRR BOCAGRANDE CR 3 7 61</v>
      </c>
      <c r="F1758" s="17">
        <f>+VLOOKUP(A1758,[1]PFE4!$A$7:$G$5208,7,0)</f>
        <v>13001</v>
      </c>
      <c r="G1758">
        <v>11117282</v>
      </c>
      <c r="H1758">
        <v>4329</v>
      </c>
    </row>
    <row r="1759" spans="1:8" ht="15" customHeight="1" x14ac:dyDescent="0.25">
      <c r="A1759" t="s">
        <v>4003</v>
      </c>
      <c r="B1759" t="s">
        <v>8048</v>
      </c>
      <c r="C1759" t="s">
        <v>11612</v>
      </c>
      <c r="D1759" t="s">
        <v>13287</v>
      </c>
      <c r="E1759" t="str">
        <f>+VLOOKUP(A1759,[1]PFE4!$A$7:$F$5208,6,0)</f>
        <v>CARRERA 21  10  08 PISO 2</v>
      </c>
      <c r="F1759" s="17">
        <f>+VLOOKUP(A1759,[1]PFE4!$A$7:$G$5208,7,0)</f>
        <v>11001</v>
      </c>
      <c r="G1759">
        <v>11131570</v>
      </c>
      <c r="H1759">
        <v>4329</v>
      </c>
    </row>
    <row r="1760" spans="1:8" ht="15" customHeight="1" x14ac:dyDescent="0.25">
      <c r="A1760" t="s">
        <v>4004</v>
      </c>
      <c r="B1760" t="s">
        <v>8049</v>
      </c>
      <c r="C1760" t="s">
        <v>11613</v>
      </c>
      <c r="D1760" t="s">
        <v>13287</v>
      </c>
      <c r="E1760" t="str">
        <f>+VLOOKUP(A1760,[1]PFE4!$A$7:$F$5208,6,0)</f>
        <v>CALLE 87  19 B  27</v>
      </c>
      <c r="F1760" s="17">
        <f>+VLOOKUP(A1760,[1]PFE4!$A$7:$G$5208,7,0)</f>
        <v>11001</v>
      </c>
      <c r="G1760">
        <v>11170437</v>
      </c>
      <c r="H1760">
        <v>4329</v>
      </c>
    </row>
    <row r="1761" spans="1:8" ht="15" customHeight="1" x14ac:dyDescent="0.25">
      <c r="A1761" t="s">
        <v>4005</v>
      </c>
      <c r="B1761" t="s">
        <v>8050</v>
      </c>
      <c r="C1761" t="s">
        <v>11614</v>
      </c>
      <c r="D1761" t="s">
        <v>13287</v>
      </c>
      <c r="E1761" t="str">
        <f>+VLOOKUP(A1761,[1]PFE4!$A$7:$F$5208,6,0)</f>
        <v>CALLE 127 A  28  36</v>
      </c>
      <c r="F1761" s="17">
        <f>+VLOOKUP(A1761,[1]PFE4!$A$7:$G$5208,7,0)</f>
        <v>11001</v>
      </c>
      <c r="G1761">
        <v>11177216</v>
      </c>
      <c r="H1761">
        <v>4329</v>
      </c>
    </row>
    <row r="1762" spans="1:8" ht="15" customHeight="1" x14ac:dyDescent="0.25">
      <c r="A1762" t="s">
        <v>4006</v>
      </c>
      <c r="B1762" t="s">
        <v>8051</v>
      </c>
      <c r="C1762" t="s">
        <v>11123</v>
      </c>
      <c r="D1762" t="s">
        <v>13287</v>
      </c>
      <c r="E1762" t="str">
        <f>+VLOOKUP(A1762,[1]PFE4!$A$7:$F$5208,6,0)</f>
        <v>CALLE 7 A  11 E  67 APARTAMENTO 1</v>
      </c>
      <c r="F1762" s="17">
        <f>+VLOOKUP(A1762,[1]PFE4!$A$7:$G$5208,7,0)</f>
        <v>54001</v>
      </c>
      <c r="G1762">
        <v>11180915</v>
      </c>
      <c r="H1762">
        <v>4329</v>
      </c>
    </row>
    <row r="1763" spans="1:8" ht="15" customHeight="1" x14ac:dyDescent="0.25">
      <c r="A1763" t="s">
        <v>4007</v>
      </c>
      <c r="B1763" t="s">
        <v>8052</v>
      </c>
      <c r="C1763" t="s">
        <v>11615</v>
      </c>
      <c r="D1763" t="s">
        <v>13287</v>
      </c>
      <c r="E1763" t="str">
        <f>+VLOOKUP(A1763,[1]PFE4!$A$7:$F$5208,6,0)</f>
        <v>CALLE 75  3  15</v>
      </c>
      <c r="F1763" s="17">
        <f>+VLOOKUP(A1763,[1]PFE4!$A$7:$G$5208,7,0)</f>
        <v>11001</v>
      </c>
      <c r="G1763">
        <v>11192820</v>
      </c>
      <c r="H1763">
        <v>4329</v>
      </c>
    </row>
    <row r="1764" spans="1:8" ht="15" customHeight="1" x14ac:dyDescent="0.25">
      <c r="A1764" t="s">
        <v>4008</v>
      </c>
      <c r="B1764" t="s">
        <v>8053</v>
      </c>
      <c r="C1764" t="s">
        <v>11616</v>
      </c>
      <c r="D1764" t="s">
        <v>13287</v>
      </c>
      <c r="E1764" t="str">
        <f>+VLOOKUP(A1764,[1]PFE4!$A$7:$F$5208,6,0)</f>
        <v>CARRERA 27  46  60</v>
      </c>
      <c r="F1764" s="17">
        <f>+VLOOKUP(A1764,[1]PFE4!$A$7:$G$5208,7,0)</f>
        <v>11001</v>
      </c>
      <c r="G1764">
        <v>11213160</v>
      </c>
      <c r="H1764">
        <v>4329</v>
      </c>
    </row>
    <row r="1765" spans="1:8" ht="15" customHeight="1" x14ac:dyDescent="0.25">
      <c r="A1765" t="s">
        <v>4009</v>
      </c>
      <c r="B1765" t="s">
        <v>8054</v>
      </c>
      <c r="C1765" t="s">
        <v>11617</v>
      </c>
      <c r="D1765" t="s">
        <v>13287</v>
      </c>
      <c r="E1765" t="str">
        <f>+VLOOKUP(A1765,[1]PFE4!$A$7:$F$5208,6,0)</f>
        <v>CL 51 17 02 BRR COLOMBIA</v>
      </c>
      <c r="F1765" s="17">
        <f>+VLOOKUP(A1765,[1]PFE4!$A$7:$G$5208,7,0)</f>
        <v>11001</v>
      </c>
      <c r="G1765">
        <v>11220156</v>
      </c>
      <c r="H1765">
        <v>4329</v>
      </c>
    </row>
    <row r="1766" spans="1:8" ht="15" customHeight="1" x14ac:dyDescent="0.25">
      <c r="A1766" t="s">
        <v>4010</v>
      </c>
      <c r="B1766" t="s">
        <v>8055</v>
      </c>
      <c r="C1766" t="s">
        <v>11618</v>
      </c>
      <c r="D1766" t="s">
        <v>13287</v>
      </c>
      <c r="E1766" t="str">
        <f>+VLOOKUP(A1766,[1]PFE4!$A$7:$F$5208,6,0)</f>
        <v>CARRERA 52  76  235</v>
      </c>
      <c r="F1766" s="17" t="str">
        <f>+VLOOKUP(A1766,[1]PFE4!$A$7:$G$5208,7,0)</f>
        <v>08001</v>
      </c>
      <c r="G1766">
        <v>11229284</v>
      </c>
      <c r="H1766">
        <v>4329</v>
      </c>
    </row>
    <row r="1767" spans="1:8" ht="15" customHeight="1" x14ac:dyDescent="0.25">
      <c r="A1767" t="s">
        <v>4011</v>
      </c>
      <c r="B1767" t="s">
        <v>8056</v>
      </c>
      <c r="C1767" t="s">
        <v>11619</v>
      </c>
      <c r="D1767" t="s">
        <v>13287</v>
      </c>
      <c r="E1767" t="str">
        <f>+VLOOKUP(A1767,[1]PFE4!$A$7:$F$5208,6,0)</f>
        <v>CL 35 58 10 CA 28</v>
      </c>
      <c r="F1767" s="17" t="str">
        <f>+VLOOKUP(A1767,[1]PFE4!$A$7:$G$5208,7,0)</f>
        <v>05308</v>
      </c>
      <c r="G1767">
        <v>11237892</v>
      </c>
      <c r="H1767">
        <v>4329</v>
      </c>
    </row>
    <row r="1768" spans="1:8" ht="15" customHeight="1" x14ac:dyDescent="0.25">
      <c r="A1768" t="s">
        <v>4012</v>
      </c>
      <c r="B1768" t="s">
        <v>8057</v>
      </c>
      <c r="C1768" t="s">
        <v>11620</v>
      </c>
      <c r="D1768" t="s">
        <v>13287</v>
      </c>
      <c r="E1768" t="str">
        <f>+VLOOKUP(A1768,[1]PFE4!$A$7:$F$5208,6,0)</f>
        <v>CALLE 18 NORTE  5  34</v>
      </c>
      <c r="F1768" s="17">
        <f>+VLOOKUP(A1768,[1]PFE4!$A$7:$G$5208,7,0)</f>
        <v>76001</v>
      </c>
      <c r="G1768">
        <v>11251740</v>
      </c>
      <c r="H1768">
        <v>4329</v>
      </c>
    </row>
    <row r="1769" spans="1:8" ht="15" customHeight="1" x14ac:dyDescent="0.25">
      <c r="A1769" t="s">
        <v>4013</v>
      </c>
      <c r="B1769" t="s">
        <v>8058</v>
      </c>
      <c r="C1769" t="s">
        <v>11621</v>
      </c>
      <c r="D1769" t="s">
        <v>13287</v>
      </c>
      <c r="E1769" t="str">
        <f>+VLOOKUP(A1769,[1]PFE4!$A$7:$F$5208,6,0)</f>
        <v>CARRERA 16  4 B  15</v>
      </c>
      <c r="F1769" s="17">
        <f>+VLOOKUP(A1769,[1]PFE4!$A$7:$G$5208,7,0)</f>
        <v>66001</v>
      </c>
      <c r="G1769">
        <v>11282915</v>
      </c>
      <c r="H1769">
        <v>4329</v>
      </c>
    </row>
    <row r="1770" spans="1:8" ht="15" customHeight="1" x14ac:dyDescent="0.25">
      <c r="A1770" t="s">
        <v>4014</v>
      </c>
      <c r="B1770" t="s">
        <v>8059</v>
      </c>
      <c r="C1770" t="s">
        <v>11622</v>
      </c>
      <c r="D1770" t="s">
        <v>13287</v>
      </c>
      <c r="E1770" t="str">
        <f>+VLOOKUP(A1770,[1]PFE4!$A$7:$F$5208,6,0)</f>
        <v>CALLE 54  23  25</v>
      </c>
      <c r="F1770" s="17">
        <f>+VLOOKUP(A1770,[1]PFE4!$A$7:$G$5208,7,0)</f>
        <v>17001</v>
      </c>
      <c r="G1770">
        <v>11290800</v>
      </c>
      <c r="H1770">
        <v>4329</v>
      </c>
    </row>
    <row r="1771" spans="1:8" ht="15" customHeight="1" x14ac:dyDescent="0.25">
      <c r="A1771" t="s">
        <v>4015</v>
      </c>
      <c r="B1771" t="s">
        <v>8060</v>
      </c>
      <c r="C1771" t="s">
        <v>11623</v>
      </c>
      <c r="D1771" t="s">
        <v>13287</v>
      </c>
      <c r="E1771" t="str">
        <f>+VLOOKUP(A1771,[1]PFE4!$A$7:$F$5208,6,0)</f>
        <v>CARRERA 19  85  38</v>
      </c>
      <c r="F1771" s="17">
        <f>+VLOOKUP(A1771,[1]PFE4!$A$7:$G$5208,7,0)</f>
        <v>11001</v>
      </c>
      <c r="G1771">
        <v>11310933</v>
      </c>
      <c r="H1771">
        <v>4329</v>
      </c>
    </row>
    <row r="1772" spans="1:8" ht="15" customHeight="1" x14ac:dyDescent="0.25">
      <c r="A1772" t="s">
        <v>4016</v>
      </c>
      <c r="B1772" t="s">
        <v>8061</v>
      </c>
      <c r="C1772" t="s">
        <v>11624</v>
      </c>
      <c r="D1772" t="s">
        <v>13287</v>
      </c>
      <c r="E1772" t="str">
        <f>+VLOOKUP(A1772,[1]PFE4!$A$7:$F$5208,6,0)</f>
        <v>CALLE 23 N. 7 - 78</v>
      </c>
      <c r="F1772" s="17">
        <f>+VLOOKUP(A1772,[1]PFE4!$A$7:$G$5208,7,0)</f>
        <v>11001</v>
      </c>
      <c r="G1772">
        <v>11311906</v>
      </c>
      <c r="H1772">
        <v>4329</v>
      </c>
    </row>
    <row r="1773" spans="1:8" ht="15" customHeight="1" x14ac:dyDescent="0.25">
      <c r="A1773" t="s">
        <v>4017</v>
      </c>
      <c r="B1773" t="s">
        <v>8062</v>
      </c>
      <c r="C1773" t="s">
        <v>11625</v>
      </c>
      <c r="D1773" t="s">
        <v>13287</v>
      </c>
      <c r="E1773" t="str">
        <f>+VLOOKUP(A1773,[1]PFE4!$A$7:$F$5208,6,0)</f>
        <v>CR 12 93 37</v>
      </c>
      <c r="F1773" s="17">
        <f>+VLOOKUP(A1773,[1]PFE4!$A$7:$G$5208,7,0)</f>
        <v>11001</v>
      </c>
      <c r="G1773">
        <v>11332880</v>
      </c>
      <c r="H1773">
        <v>4329</v>
      </c>
    </row>
    <row r="1774" spans="1:8" ht="15" customHeight="1" x14ac:dyDescent="0.25">
      <c r="A1774" t="s">
        <v>4018</v>
      </c>
      <c r="B1774" t="s">
        <v>8063</v>
      </c>
      <c r="C1774" t="s">
        <v>11392</v>
      </c>
      <c r="D1774" t="s">
        <v>13287</v>
      </c>
      <c r="E1774" t="str">
        <f>+VLOOKUP(A1774,[1]PFE4!$A$7:$F$5208,6,0)</f>
        <v>CARRERA 9 A  97  46</v>
      </c>
      <c r="F1774" s="17">
        <f>+VLOOKUP(A1774,[1]PFE4!$A$7:$G$5208,7,0)</f>
        <v>11001</v>
      </c>
      <c r="G1774">
        <v>11338962</v>
      </c>
      <c r="H1774">
        <v>4329</v>
      </c>
    </row>
    <row r="1775" spans="1:8" ht="15" customHeight="1" x14ac:dyDescent="0.25">
      <c r="A1775" t="s">
        <v>4019</v>
      </c>
      <c r="B1775" t="s">
        <v>8064</v>
      </c>
      <c r="C1775" t="s">
        <v>11626</v>
      </c>
      <c r="D1775" t="s">
        <v>13287</v>
      </c>
      <c r="E1775" t="str">
        <f>+VLOOKUP(A1775,[1]PFE4!$A$7:$F$5208,6,0)</f>
        <v>CR 42 H 87 169</v>
      </c>
      <c r="F1775" s="17" t="str">
        <f>+VLOOKUP(A1775,[1]PFE4!$A$7:$G$5208,7,0)</f>
        <v>08001</v>
      </c>
      <c r="G1775">
        <v>11345960</v>
      </c>
      <c r="H1775">
        <v>4329</v>
      </c>
    </row>
    <row r="1776" spans="1:8" ht="15" customHeight="1" x14ac:dyDescent="0.25">
      <c r="A1776" t="s">
        <v>4020</v>
      </c>
      <c r="B1776" t="s">
        <v>8065</v>
      </c>
      <c r="C1776">
        <v>3219664011</v>
      </c>
      <c r="D1776" t="s">
        <v>13287</v>
      </c>
      <c r="E1776" t="str">
        <f>+VLOOKUP(A1776,[1]PFE4!$A$7:$F$5208,6,0)</f>
        <v>CALLE 36  20  28  OFICINA 207</v>
      </c>
      <c r="F1776" s="17">
        <f>+VLOOKUP(A1776,[1]PFE4!$A$7:$G$5208,7,0)</f>
        <v>11001</v>
      </c>
      <c r="G1776">
        <v>11366061</v>
      </c>
      <c r="H1776">
        <v>4329</v>
      </c>
    </row>
    <row r="1777" spans="1:8" ht="15" customHeight="1" x14ac:dyDescent="0.25">
      <c r="A1777" t="s">
        <v>4021</v>
      </c>
      <c r="B1777" t="s">
        <v>8066</v>
      </c>
      <c r="C1777" t="s">
        <v>11627</v>
      </c>
      <c r="D1777" t="s">
        <v>13287</v>
      </c>
      <c r="E1777" t="str">
        <f>+VLOOKUP(A1777,[1]PFE4!$A$7:$F$5208,6,0)</f>
        <v>CALLE DE BOUQUET  23  57</v>
      </c>
      <c r="F1777" s="17">
        <f>+VLOOKUP(A1777,[1]PFE4!$A$7:$G$5208,7,0)</f>
        <v>13001</v>
      </c>
      <c r="G1777">
        <v>11395394</v>
      </c>
      <c r="H1777">
        <v>4329</v>
      </c>
    </row>
    <row r="1778" spans="1:8" ht="15" customHeight="1" x14ac:dyDescent="0.25">
      <c r="A1778" t="s">
        <v>4022</v>
      </c>
      <c r="B1778" t="s">
        <v>8067</v>
      </c>
      <c r="C1778" t="s">
        <v>11628</v>
      </c>
      <c r="D1778" t="s">
        <v>13287</v>
      </c>
      <c r="E1778" t="str">
        <f>+VLOOKUP(A1778,[1]PFE4!$A$7:$F$5208,6,0)</f>
        <v>CARRERA 6  11  87</v>
      </c>
      <c r="F1778" s="17">
        <f>+VLOOKUP(A1778,[1]PFE4!$A$7:$G$5208,7,0)</f>
        <v>11001</v>
      </c>
      <c r="G1778">
        <v>11411300</v>
      </c>
      <c r="H1778">
        <v>4329</v>
      </c>
    </row>
    <row r="1779" spans="1:8" ht="15" customHeight="1" x14ac:dyDescent="0.25">
      <c r="A1779" t="s">
        <v>4023</v>
      </c>
      <c r="B1779" t="s">
        <v>8068</v>
      </c>
      <c r="C1779" t="s">
        <v>11629</v>
      </c>
      <c r="D1779" t="s">
        <v>13287</v>
      </c>
      <c r="E1779" t="str">
        <f>+VLOOKUP(A1779,[1]PFE4!$A$7:$F$5208,6,0)</f>
        <v>CALLE 78  57  135</v>
      </c>
      <c r="F1779" s="17" t="str">
        <f>+VLOOKUP(A1779,[1]PFE4!$A$7:$G$5208,7,0)</f>
        <v>08001</v>
      </c>
      <c r="G1779">
        <v>11454215</v>
      </c>
      <c r="H1779">
        <v>4329</v>
      </c>
    </row>
    <row r="1780" spans="1:8" ht="15" customHeight="1" x14ac:dyDescent="0.25">
      <c r="A1780" t="s">
        <v>4024</v>
      </c>
      <c r="B1780" t="s">
        <v>8069</v>
      </c>
      <c r="C1780" t="s">
        <v>11630</v>
      </c>
      <c r="D1780" t="s">
        <v>13287</v>
      </c>
      <c r="E1780" t="str">
        <f>+VLOOKUP(A1780,[1]PFE4!$A$7:$F$5208,6,0)</f>
        <v>CALLE 72 A  00  20 ESTE</v>
      </c>
      <c r="F1780" s="17">
        <f>+VLOOKUP(A1780,[1]PFE4!$A$7:$G$5208,7,0)</f>
        <v>11001</v>
      </c>
      <c r="G1780">
        <v>11470761</v>
      </c>
      <c r="H1780">
        <v>4329</v>
      </c>
    </row>
    <row r="1781" spans="1:8" ht="15" customHeight="1" x14ac:dyDescent="0.25">
      <c r="A1781" t="s">
        <v>4025</v>
      </c>
      <c r="B1781" t="s">
        <v>8070</v>
      </c>
      <c r="C1781" t="s">
        <v>11631</v>
      </c>
      <c r="D1781" t="s">
        <v>13287</v>
      </c>
      <c r="E1781" t="str">
        <f>+VLOOKUP(A1781,[1]PFE4!$A$7:$F$5208,6,0)</f>
        <v>CARRERA 21  10  08  LOCAL 74</v>
      </c>
      <c r="F1781" s="17">
        <f>+VLOOKUP(A1781,[1]PFE4!$A$7:$G$5208,7,0)</f>
        <v>11001</v>
      </c>
      <c r="G1781">
        <v>11474805</v>
      </c>
      <c r="H1781">
        <v>4329</v>
      </c>
    </row>
    <row r="1782" spans="1:8" ht="15" customHeight="1" x14ac:dyDescent="0.25">
      <c r="A1782" t="s">
        <v>4026</v>
      </c>
      <c r="B1782" t="s">
        <v>8071</v>
      </c>
      <c r="C1782" t="s">
        <v>11632</v>
      </c>
      <c r="D1782" t="s">
        <v>13287</v>
      </c>
      <c r="E1782" t="str">
        <f>+VLOOKUP(A1782,[1]PFE4!$A$7:$F$5208,6,0)</f>
        <v>CR 90 139 50</v>
      </c>
      <c r="F1782" s="17">
        <f>+VLOOKUP(A1782,[1]PFE4!$A$7:$G$5208,7,0)</f>
        <v>11001</v>
      </c>
      <c r="G1782">
        <v>11480668</v>
      </c>
      <c r="H1782">
        <v>4329</v>
      </c>
    </row>
    <row r="1783" spans="1:8" ht="15" customHeight="1" x14ac:dyDescent="0.25">
      <c r="A1783" t="s">
        <v>4027</v>
      </c>
      <c r="B1783" t="s">
        <v>8072</v>
      </c>
      <c r="C1783" t="s">
        <v>11633</v>
      </c>
      <c r="D1783" t="s">
        <v>13287</v>
      </c>
      <c r="E1783" t="str">
        <f>+VLOOKUP(A1783,[1]PFE4!$A$7:$F$5208,6,0)</f>
        <v>CARRERA 15  2 N  10</v>
      </c>
      <c r="F1783" s="17">
        <f>+VLOOKUP(A1783,[1]PFE4!$A$7:$G$5208,7,0)</f>
        <v>63001</v>
      </c>
      <c r="G1783">
        <v>11485572</v>
      </c>
      <c r="H1783">
        <v>4329</v>
      </c>
    </row>
    <row r="1784" spans="1:8" ht="15" customHeight="1" x14ac:dyDescent="0.25">
      <c r="A1784" t="s">
        <v>4028</v>
      </c>
      <c r="B1784" t="s">
        <v>8073</v>
      </c>
      <c r="C1784" t="s">
        <v>11634</v>
      </c>
      <c r="D1784" t="s">
        <v>13287</v>
      </c>
      <c r="E1784" t="str">
        <f>+VLOOKUP(A1784,[1]PFE4!$A$7:$F$5208,6,0)</f>
        <v>CARRERA 1 A  75  54</v>
      </c>
      <c r="F1784" s="17">
        <f>+VLOOKUP(A1784,[1]PFE4!$A$7:$G$5208,7,0)</f>
        <v>11001</v>
      </c>
      <c r="G1784">
        <v>11485691</v>
      </c>
      <c r="H1784">
        <v>4329</v>
      </c>
    </row>
    <row r="1785" spans="1:8" ht="15" customHeight="1" x14ac:dyDescent="0.25">
      <c r="A1785" t="s">
        <v>4029</v>
      </c>
      <c r="B1785" t="s">
        <v>8074</v>
      </c>
      <c r="C1785" t="s">
        <v>11635</v>
      </c>
      <c r="D1785" t="s">
        <v>13287</v>
      </c>
      <c r="E1785" t="str">
        <f>+VLOOKUP(A1785,[1]PFE4!$A$7:$F$5208,6,0)</f>
        <v>CARRERA 43B 90-23</v>
      </c>
      <c r="F1785" s="17" t="str">
        <f>+VLOOKUP(A1785,[1]PFE4!$A$7:$G$5208,7,0)</f>
        <v>08001</v>
      </c>
      <c r="G1785">
        <v>11497386</v>
      </c>
      <c r="H1785">
        <v>4329</v>
      </c>
    </row>
    <row r="1786" spans="1:8" ht="15" customHeight="1" x14ac:dyDescent="0.25">
      <c r="A1786" t="s">
        <v>4030</v>
      </c>
      <c r="B1786" t="s">
        <v>8075</v>
      </c>
      <c r="C1786" t="s">
        <v>11636</v>
      </c>
      <c r="D1786" t="s">
        <v>13287</v>
      </c>
      <c r="E1786" t="str">
        <f>+VLOOKUP(A1786,[1]PFE4!$A$7:$F$5208,6,0)</f>
        <v>CL 33 6 09</v>
      </c>
      <c r="F1786" s="17">
        <f>+VLOOKUP(A1786,[1]PFE4!$A$7:$G$5208,7,0)</f>
        <v>11001</v>
      </c>
      <c r="G1786">
        <v>11504672</v>
      </c>
      <c r="H1786">
        <v>4329</v>
      </c>
    </row>
    <row r="1787" spans="1:8" ht="15" customHeight="1" x14ac:dyDescent="0.25">
      <c r="A1787" t="s">
        <v>4031</v>
      </c>
      <c r="B1787" t="s">
        <v>8076</v>
      </c>
      <c r="C1787">
        <v>0</v>
      </c>
      <c r="D1787" t="s">
        <v>13287</v>
      </c>
      <c r="E1787">
        <v>0</v>
      </c>
      <c r="F1787" s="17">
        <v>11001</v>
      </c>
      <c r="G1787">
        <v>11508775</v>
      </c>
      <c r="H1787">
        <v>4329</v>
      </c>
    </row>
    <row r="1788" spans="1:8" ht="15" customHeight="1" x14ac:dyDescent="0.25">
      <c r="A1788" t="s">
        <v>4032</v>
      </c>
      <c r="B1788" t="s">
        <v>8077</v>
      </c>
      <c r="C1788" t="s">
        <v>11637</v>
      </c>
      <c r="D1788" t="s">
        <v>13287</v>
      </c>
      <c r="E1788" t="str">
        <f>+VLOOKUP(A1788,[1]PFE4!$A$7:$F$5208,6,0)</f>
        <v>CARRERA 45 No 93-95</v>
      </c>
      <c r="F1788" s="17">
        <f>+VLOOKUP(A1788,[1]PFE4!$A$7:$G$5208,7,0)</f>
        <v>11001</v>
      </c>
      <c r="G1788">
        <v>11514212</v>
      </c>
      <c r="H1788">
        <v>4329</v>
      </c>
    </row>
    <row r="1789" spans="1:8" ht="15" customHeight="1" x14ac:dyDescent="0.25">
      <c r="A1789" t="s">
        <v>4033</v>
      </c>
      <c r="B1789" t="s">
        <v>8078</v>
      </c>
      <c r="C1789" t="s">
        <v>11638</v>
      </c>
      <c r="D1789" t="s">
        <v>13287</v>
      </c>
      <c r="E1789" t="str">
        <f>+VLOOKUP(A1789,[1]PFE4!$A$7:$F$5208,6,0)</f>
        <v>CARRERA 57  84  155</v>
      </c>
      <c r="F1789" s="17" t="str">
        <f>+VLOOKUP(A1789,[1]PFE4!$A$7:$G$5208,7,0)</f>
        <v>08001</v>
      </c>
      <c r="G1789">
        <v>11515148</v>
      </c>
      <c r="H1789">
        <v>4329</v>
      </c>
    </row>
    <row r="1790" spans="1:8" ht="15" customHeight="1" x14ac:dyDescent="0.25">
      <c r="A1790" t="s">
        <v>4034</v>
      </c>
      <c r="B1790" t="s">
        <v>8079</v>
      </c>
      <c r="C1790" t="s">
        <v>11639</v>
      </c>
      <c r="D1790" t="s">
        <v>13287</v>
      </c>
      <c r="E1790" t="str">
        <f>+VLOOKUP(A1790,[1]PFE4!$A$7:$F$5208,6,0)</f>
        <v>CL 11B 4D 34</v>
      </c>
      <c r="F1790" s="17">
        <f>+VLOOKUP(A1790,[1]PFE4!$A$7:$G$5208,7,0)</f>
        <v>17001</v>
      </c>
      <c r="G1790">
        <v>11520672</v>
      </c>
      <c r="H1790">
        <v>4329</v>
      </c>
    </row>
    <row r="1791" spans="1:8" ht="15" customHeight="1" x14ac:dyDescent="0.25">
      <c r="A1791" t="s">
        <v>4035</v>
      </c>
      <c r="B1791" t="s">
        <v>8080</v>
      </c>
      <c r="C1791" t="s">
        <v>11640</v>
      </c>
      <c r="D1791" t="s">
        <v>13287</v>
      </c>
      <c r="E1791" t="str">
        <f>+VLOOKUP(A1791,[1]PFE4!$A$7:$F$5208,6,0)</f>
        <v>CALLE 11  30 A  170</v>
      </c>
      <c r="F1791" s="17" t="str">
        <f>+VLOOKUP(A1791,[1]PFE4!$A$7:$G$5208,7,0)</f>
        <v>05001</v>
      </c>
      <c r="G1791">
        <v>11544744</v>
      </c>
      <c r="H1791">
        <v>4329</v>
      </c>
    </row>
    <row r="1792" spans="1:8" ht="15" customHeight="1" x14ac:dyDescent="0.25">
      <c r="A1792" t="s">
        <v>4036</v>
      </c>
      <c r="B1792" t="s">
        <v>8081</v>
      </c>
      <c r="C1792" t="s">
        <v>11641</v>
      </c>
      <c r="D1792" t="s">
        <v>13287</v>
      </c>
      <c r="E1792" t="str">
        <f>+VLOOKUP(A1792,[1]PFE4!$A$7:$F$5208,6,0)</f>
        <v>CALLE 4 N  13  77</v>
      </c>
      <c r="F1792" s="17">
        <f>+VLOOKUP(A1792,[1]PFE4!$A$7:$G$5208,7,0)</f>
        <v>63001</v>
      </c>
      <c r="G1792">
        <v>11575698</v>
      </c>
      <c r="H1792">
        <v>4329</v>
      </c>
    </row>
    <row r="1793" spans="1:8" ht="15" customHeight="1" x14ac:dyDescent="0.25">
      <c r="A1793" t="s">
        <v>4037</v>
      </c>
      <c r="B1793" t="s">
        <v>8082</v>
      </c>
      <c r="C1793" t="s">
        <v>11642</v>
      </c>
      <c r="D1793" t="s">
        <v>13287</v>
      </c>
      <c r="E1793" t="str">
        <f>+VLOOKUP(A1793,[1]PFE4!$A$7:$F$5208,6,0)</f>
        <v>CL 9 30 48</v>
      </c>
      <c r="F1793" s="17" t="str">
        <f>+VLOOKUP(A1793,[1]PFE4!$A$7:$G$5208,7,0)</f>
        <v>05001</v>
      </c>
      <c r="G1793">
        <v>11582928</v>
      </c>
      <c r="H1793">
        <v>4329</v>
      </c>
    </row>
    <row r="1794" spans="1:8" ht="15" customHeight="1" x14ac:dyDescent="0.25">
      <c r="A1794" t="s">
        <v>4038</v>
      </c>
      <c r="B1794" t="s">
        <v>8083</v>
      </c>
      <c r="C1794" t="s">
        <v>11643</v>
      </c>
      <c r="D1794" t="s">
        <v>13287</v>
      </c>
      <c r="E1794" t="str">
        <f>+VLOOKUP(A1794,[1]PFE4!$A$7:$F$5208,6,0)</f>
        <v>CARRERA 11 A  117  50</v>
      </c>
      <c r="F1794" s="17">
        <f>+VLOOKUP(A1794,[1]PFE4!$A$7:$G$5208,7,0)</f>
        <v>11001</v>
      </c>
      <c r="G1794">
        <v>11587237</v>
      </c>
      <c r="H1794">
        <v>4329</v>
      </c>
    </row>
    <row r="1795" spans="1:8" ht="15" customHeight="1" x14ac:dyDescent="0.25">
      <c r="A1795" t="s">
        <v>4039</v>
      </c>
      <c r="B1795" t="s">
        <v>8084</v>
      </c>
      <c r="C1795" t="s">
        <v>11379</v>
      </c>
      <c r="D1795" t="s">
        <v>13287</v>
      </c>
      <c r="E1795" t="str">
        <f>+VLOOKUP(A1795,[1]PFE4!$A$7:$F$5208,6,0)</f>
        <v>CARRERA 13  8 NORTE  40</v>
      </c>
      <c r="F1795" s="17">
        <f>+VLOOKUP(A1795,[1]PFE4!$A$7:$G$5208,7,0)</f>
        <v>11001</v>
      </c>
      <c r="G1795">
        <v>11596946</v>
      </c>
      <c r="H1795">
        <v>4329</v>
      </c>
    </row>
    <row r="1796" spans="1:8" ht="15" customHeight="1" x14ac:dyDescent="0.25">
      <c r="A1796" t="s">
        <v>4040</v>
      </c>
      <c r="B1796" t="s">
        <v>8085</v>
      </c>
      <c r="C1796" t="s">
        <v>11644</v>
      </c>
      <c r="D1796" t="s">
        <v>13287</v>
      </c>
      <c r="E1796" t="str">
        <f>+VLOOKUP(A1796,[1]PFE4!$A$7:$F$5208,6,0)</f>
        <v>CL 64 G 88 A 88</v>
      </c>
      <c r="F1796" s="17">
        <f>+VLOOKUP(A1796,[1]PFE4!$A$7:$G$5208,7,0)</f>
        <v>11001</v>
      </c>
      <c r="G1796">
        <v>11598076</v>
      </c>
      <c r="H1796">
        <v>4329</v>
      </c>
    </row>
    <row r="1797" spans="1:8" ht="15" customHeight="1" x14ac:dyDescent="0.25">
      <c r="A1797" t="s">
        <v>4041</v>
      </c>
      <c r="B1797" t="s">
        <v>8086</v>
      </c>
      <c r="C1797" t="s">
        <v>11645</v>
      </c>
      <c r="D1797" t="s">
        <v>13287</v>
      </c>
      <c r="E1797" t="str">
        <f>+VLOOKUP(A1797,[1]PFE4!$A$7:$F$5208,6,0)</f>
        <v>CARRERA 20  36  06 OFICINA 506</v>
      </c>
      <c r="F1797" s="17">
        <f>+VLOOKUP(A1797,[1]PFE4!$A$7:$G$5208,7,0)</f>
        <v>68276</v>
      </c>
      <c r="G1797">
        <v>11607684</v>
      </c>
      <c r="H1797">
        <v>4329</v>
      </c>
    </row>
    <row r="1798" spans="1:8" ht="15" customHeight="1" x14ac:dyDescent="0.25">
      <c r="A1798" t="s">
        <v>4042</v>
      </c>
      <c r="B1798" t="s">
        <v>8087</v>
      </c>
      <c r="C1798" t="s">
        <v>11281</v>
      </c>
      <c r="D1798" t="s">
        <v>13287</v>
      </c>
      <c r="E1798" t="str">
        <f>+VLOOKUP(A1798,[1]PFE4!$A$7:$F$5208,6,0)</f>
        <v>CARRERA 78  45 F F  12</v>
      </c>
      <c r="F1798" s="17" t="str">
        <f>+VLOOKUP(A1798,[1]PFE4!$A$7:$G$5208,7,0)</f>
        <v>05001</v>
      </c>
      <c r="G1798">
        <v>11613328</v>
      </c>
      <c r="H1798">
        <v>4329</v>
      </c>
    </row>
    <row r="1799" spans="1:8" ht="15" customHeight="1" x14ac:dyDescent="0.25">
      <c r="A1799" t="s">
        <v>4043</v>
      </c>
      <c r="B1799" t="s">
        <v>8088</v>
      </c>
      <c r="C1799" t="s">
        <v>11646</v>
      </c>
      <c r="D1799" t="s">
        <v>13287</v>
      </c>
      <c r="E1799" t="str">
        <f>+VLOOKUP(A1799,[1]PFE4!$A$7:$F$5208,6,0)</f>
        <v>CALLE 163 A  21  68</v>
      </c>
      <c r="F1799" s="17">
        <f>+VLOOKUP(A1799,[1]PFE4!$A$7:$G$5208,7,0)</f>
        <v>11001</v>
      </c>
      <c r="G1799">
        <v>11617672</v>
      </c>
      <c r="H1799">
        <v>4329</v>
      </c>
    </row>
    <row r="1800" spans="1:8" ht="15" customHeight="1" x14ac:dyDescent="0.25">
      <c r="A1800" t="s">
        <v>4044</v>
      </c>
      <c r="B1800" t="s">
        <v>8089</v>
      </c>
      <c r="C1800" t="s">
        <v>11647</v>
      </c>
      <c r="D1800" t="s">
        <v>13287</v>
      </c>
      <c r="E1800" t="str">
        <f>+VLOOKUP(A1800,[1]PFE4!$A$7:$F$5208,6,0)</f>
        <v>CR 11 29 171 BRR GETSEMANI</v>
      </c>
      <c r="F1800" s="17">
        <f>+VLOOKUP(A1800,[1]PFE4!$A$7:$G$5208,7,0)</f>
        <v>13001</v>
      </c>
      <c r="G1800">
        <v>11659636</v>
      </c>
      <c r="H1800">
        <v>4329</v>
      </c>
    </row>
    <row r="1801" spans="1:8" ht="15" customHeight="1" x14ac:dyDescent="0.25">
      <c r="A1801" t="s">
        <v>4045</v>
      </c>
      <c r="B1801" t="s">
        <v>8090</v>
      </c>
      <c r="C1801" t="s">
        <v>11648</v>
      </c>
      <c r="D1801" t="s">
        <v>13287</v>
      </c>
      <c r="E1801" t="str">
        <f>+VLOOKUP(A1801,[1]PFE4!$A$7:$F$5208,6,0)</f>
        <v>CL 29 B 1 173 SEC BELLAVISTA</v>
      </c>
      <c r="F1801" s="17">
        <f>+VLOOKUP(A1801,[1]PFE4!$A$7:$G$5208,7,0)</f>
        <v>47001</v>
      </c>
      <c r="G1801">
        <v>11660000</v>
      </c>
      <c r="H1801">
        <v>4329</v>
      </c>
    </row>
    <row r="1802" spans="1:8" ht="15" customHeight="1" x14ac:dyDescent="0.25">
      <c r="A1802" t="s">
        <v>4046</v>
      </c>
      <c r="B1802" t="s">
        <v>8091</v>
      </c>
      <c r="C1802" t="s">
        <v>11152</v>
      </c>
      <c r="D1802" t="s">
        <v>13287</v>
      </c>
      <c r="E1802" t="str">
        <f>+VLOOKUP(A1802,[1]PFE4!$A$7:$F$5208,6,0)</f>
        <v>CARRERA 8  91  47</v>
      </c>
      <c r="F1802" s="17">
        <f>+VLOOKUP(A1802,[1]PFE4!$A$7:$G$5208,7,0)</f>
        <v>11001</v>
      </c>
      <c r="G1802">
        <v>11661268</v>
      </c>
      <c r="H1802">
        <v>4329</v>
      </c>
    </row>
    <row r="1803" spans="1:8" ht="15" customHeight="1" x14ac:dyDescent="0.25">
      <c r="A1803" t="s">
        <v>4047</v>
      </c>
      <c r="B1803" t="s">
        <v>8092</v>
      </c>
      <c r="C1803" t="s">
        <v>11649</v>
      </c>
      <c r="D1803" t="s">
        <v>13287</v>
      </c>
      <c r="E1803" t="str">
        <f>+VLOOKUP(A1803,[1]PFE4!$A$7:$F$5208,6,0)</f>
        <v>CL 127A BIS 15 31</v>
      </c>
      <c r="F1803" s="17">
        <f>+VLOOKUP(A1803,[1]PFE4!$A$7:$G$5208,7,0)</f>
        <v>11001</v>
      </c>
      <c r="G1803">
        <v>11668189</v>
      </c>
      <c r="H1803">
        <v>4329</v>
      </c>
    </row>
    <row r="1804" spans="1:8" ht="15" customHeight="1" x14ac:dyDescent="0.25">
      <c r="A1804" t="s">
        <v>4048</v>
      </c>
      <c r="B1804" t="s">
        <v>8093</v>
      </c>
      <c r="C1804" t="s">
        <v>11650</v>
      </c>
      <c r="D1804" t="s">
        <v>13287</v>
      </c>
      <c r="E1804" t="str">
        <f>+VLOOKUP(A1804,[1]PFE4!$A$7:$F$5208,6,0)</f>
        <v>CL 3 B SUR 29 C 146 AP 403</v>
      </c>
      <c r="F1804" s="17" t="str">
        <f>+VLOOKUP(A1804,[1]PFE4!$A$7:$G$5208,7,0)</f>
        <v>05360</v>
      </c>
      <c r="G1804">
        <v>11674330</v>
      </c>
      <c r="H1804">
        <v>4329</v>
      </c>
    </row>
    <row r="1805" spans="1:8" ht="15" customHeight="1" x14ac:dyDescent="0.25">
      <c r="A1805" t="s">
        <v>4049</v>
      </c>
      <c r="B1805" t="s">
        <v>8094</v>
      </c>
      <c r="C1805" t="s">
        <v>11651</v>
      </c>
      <c r="D1805" t="s">
        <v>13287</v>
      </c>
      <c r="E1805" t="str">
        <f>+VLOOKUP(A1805,[1]PFE4!$A$7:$F$5208,6,0)</f>
        <v>CALLE 22A 24A-54</v>
      </c>
      <c r="F1805" s="17">
        <f>+VLOOKUP(A1805,[1]PFE4!$A$7:$G$5208,7,0)</f>
        <v>11001</v>
      </c>
      <c r="G1805">
        <v>11703717</v>
      </c>
      <c r="H1805">
        <v>4329</v>
      </c>
    </row>
    <row r="1806" spans="1:8" ht="15" customHeight="1" x14ac:dyDescent="0.25">
      <c r="A1806" t="s">
        <v>4050</v>
      </c>
      <c r="B1806" t="s">
        <v>8095</v>
      </c>
      <c r="C1806" t="s">
        <v>11652</v>
      </c>
      <c r="D1806" t="s">
        <v>13287</v>
      </c>
      <c r="E1806" t="str">
        <f>+VLOOKUP(A1806,[1]PFE4!$A$7:$F$5208,6,0)</f>
        <v>AVENIDA 2  47  44</v>
      </c>
      <c r="F1806" s="17">
        <f>+VLOOKUP(A1806,[1]PFE4!$A$7:$G$5208,7,0)</f>
        <v>68001</v>
      </c>
      <c r="G1806">
        <v>11704170</v>
      </c>
      <c r="H1806">
        <v>4329</v>
      </c>
    </row>
    <row r="1807" spans="1:8" ht="15" customHeight="1" x14ac:dyDescent="0.25">
      <c r="A1807" t="s">
        <v>4051</v>
      </c>
      <c r="B1807" t="s">
        <v>8096</v>
      </c>
      <c r="C1807" t="s">
        <v>11653</v>
      </c>
      <c r="D1807" t="s">
        <v>13287</v>
      </c>
      <c r="E1807" t="str">
        <f>+VLOOKUP(A1807,[1]PFE4!$A$7:$F$5208,6,0)</f>
        <v>CARRERA 24  82  51</v>
      </c>
      <c r="F1807" s="17">
        <f>+VLOOKUP(A1807,[1]PFE4!$A$7:$G$5208,7,0)</f>
        <v>11001</v>
      </c>
      <c r="G1807">
        <v>11712210</v>
      </c>
      <c r="H1807">
        <v>4329</v>
      </c>
    </row>
    <row r="1808" spans="1:8" ht="15" customHeight="1" x14ac:dyDescent="0.25">
      <c r="A1808" t="s">
        <v>4052</v>
      </c>
      <c r="B1808" t="s">
        <v>8097</v>
      </c>
      <c r="C1808" t="s">
        <v>11654</v>
      </c>
      <c r="D1808" t="s">
        <v>13287</v>
      </c>
      <c r="E1808" t="str">
        <f>+VLOOKUP(A1808,[1]PFE4!$A$7:$F$5208,6,0)</f>
        <v>CALLE 98  10  32</v>
      </c>
      <c r="F1808" s="17">
        <f>+VLOOKUP(A1808,[1]PFE4!$A$7:$G$5208,7,0)</f>
        <v>11001</v>
      </c>
      <c r="G1808">
        <v>11726400</v>
      </c>
      <c r="H1808">
        <v>4329</v>
      </c>
    </row>
    <row r="1809" spans="1:8" ht="15" customHeight="1" x14ac:dyDescent="0.25">
      <c r="A1809" t="s">
        <v>4053</v>
      </c>
      <c r="B1809" t="s">
        <v>8098</v>
      </c>
      <c r="C1809" t="s">
        <v>11655</v>
      </c>
      <c r="D1809" t="s">
        <v>13287</v>
      </c>
      <c r="E1809" t="str">
        <f>+VLOOKUP(A1809,[1]PFE4!$A$7:$F$5208,6,0)</f>
        <v>CALLE 94  11 A  83</v>
      </c>
      <c r="F1809" s="17">
        <f>+VLOOKUP(A1809,[1]PFE4!$A$7:$G$5208,7,0)</f>
        <v>11001</v>
      </c>
      <c r="G1809">
        <v>11730953</v>
      </c>
      <c r="H1809">
        <v>4329</v>
      </c>
    </row>
    <row r="1810" spans="1:8" ht="15" customHeight="1" x14ac:dyDescent="0.25">
      <c r="A1810" t="s">
        <v>4054</v>
      </c>
      <c r="B1810" t="s">
        <v>8099</v>
      </c>
      <c r="C1810" t="s">
        <v>11656</v>
      </c>
      <c r="D1810" t="s">
        <v>13287</v>
      </c>
      <c r="E1810" t="str">
        <f>+VLOOKUP(A1810,[1]PFE4!$A$7:$F$5208,6,0)</f>
        <v>CARRERA 40  46  104</v>
      </c>
      <c r="F1810" s="17">
        <f>+VLOOKUP(A1810,[1]PFE4!$A$7:$G$5208,7,0)</f>
        <v>68001</v>
      </c>
      <c r="G1810">
        <v>11731325</v>
      </c>
      <c r="H1810">
        <v>4329</v>
      </c>
    </row>
    <row r="1811" spans="1:8" ht="15" customHeight="1" x14ac:dyDescent="0.25">
      <c r="A1811" t="s">
        <v>4055</v>
      </c>
      <c r="B1811" t="s">
        <v>8100</v>
      </c>
      <c r="C1811" t="s">
        <v>11657</v>
      </c>
      <c r="D1811" t="s">
        <v>13287</v>
      </c>
      <c r="E1811" t="str">
        <f>+VLOOKUP(A1811,[1]PFE4!$A$7:$F$5208,6,0)</f>
        <v>CALLE 73 No. 11 - 66</v>
      </c>
      <c r="F1811" s="17">
        <f>+VLOOKUP(A1811,[1]PFE4!$A$7:$G$5208,7,0)</f>
        <v>11001</v>
      </c>
      <c r="G1811">
        <v>11736400</v>
      </c>
      <c r="H1811">
        <v>4329</v>
      </c>
    </row>
    <row r="1812" spans="1:8" ht="15" customHeight="1" x14ac:dyDescent="0.25">
      <c r="A1812" t="s">
        <v>4056</v>
      </c>
      <c r="B1812" t="s">
        <v>8101</v>
      </c>
      <c r="C1812" t="s">
        <v>11658</v>
      </c>
      <c r="D1812" t="s">
        <v>13287</v>
      </c>
      <c r="E1812" t="str">
        <f>+VLOOKUP(A1812,[1]PFE4!$A$7:$F$5208,6,0)</f>
        <v>CALLE 12  27  64</v>
      </c>
      <c r="F1812" s="17">
        <f>+VLOOKUP(A1812,[1]PFE4!$A$7:$G$5208,7,0)</f>
        <v>66001</v>
      </c>
      <c r="G1812">
        <v>11749752</v>
      </c>
      <c r="H1812">
        <v>4329</v>
      </c>
    </row>
    <row r="1813" spans="1:8" ht="15" customHeight="1" x14ac:dyDescent="0.25">
      <c r="A1813" t="s">
        <v>4057</v>
      </c>
      <c r="B1813" t="s">
        <v>8102</v>
      </c>
      <c r="C1813" t="s">
        <v>11659</v>
      </c>
      <c r="D1813" t="s">
        <v>13287</v>
      </c>
      <c r="E1813" t="str">
        <f>+VLOOKUP(A1813,[1]PFE4!$A$7:$F$5208,6,0)</f>
        <v>CARRERA 20  34  22</v>
      </c>
      <c r="F1813" s="17">
        <f>+VLOOKUP(A1813,[1]PFE4!$A$7:$G$5208,7,0)</f>
        <v>68001</v>
      </c>
      <c r="G1813">
        <v>11753699</v>
      </c>
      <c r="H1813">
        <v>4329</v>
      </c>
    </row>
    <row r="1814" spans="1:8" ht="15" customHeight="1" x14ac:dyDescent="0.25">
      <c r="A1814" t="s">
        <v>4058</v>
      </c>
      <c r="B1814" t="s">
        <v>8103</v>
      </c>
      <c r="C1814" t="s">
        <v>11660</v>
      </c>
      <c r="D1814" t="s">
        <v>13287</v>
      </c>
      <c r="E1814" t="str">
        <f>+VLOOKUP(A1814,[1]PFE4!$A$7:$F$5208,6,0)</f>
        <v>CARRERA 19 A  86 A  70</v>
      </c>
      <c r="F1814" s="17">
        <f>+VLOOKUP(A1814,[1]PFE4!$A$7:$G$5208,7,0)</f>
        <v>11001</v>
      </c>
      <c r="G1814">
        <v>11757238</v>
      </c>
      <c r="H1814">
        <v>4329</v>
      </c>
    </row>
    <row r="1815" spans="1:8" ht="15" customHeight="1" x14ac:dyDescent="0.25">
      <c r="A1815" t="s">
        <v>4059</v>
      </c>
      <c r="B1815" t="s">
        <v>8104</v>
      </c>
      <c r="C1815" t="s">
        <v>11661</v>
      </c>
      <c r="D1815" t="s">
        <v>13287</v>
      </c>
      <c r="E1815" t="str">
        <f>+VLOOKUP(A1815,[1]PFE4!$A$7:$F$5208,6,0)</f>
        <v>CALLE 81  64  29</v>
      </c>
      <c r="F1815" s="17" t="str">
        <f>+VLOOKUP(A1815,[1]PFE4!$A$7:$G$5208,7,0)</f>
        <v>08001</v>
      </c>
      <c r="G1815">
        <v>11791690</v>
      </c>
      <c r="H1815">
        <v>4329</v>
      </c>
    </row>
    <row r="1816" spans="1:8" ht="15" customHeight="1" x14ac:dyDescent="0.25">
      <c r="A1816" t="s">
        <v>4060</v>
      </c>
      <c r="B1816" t="s">
        <v>8105</v>
      </c>
      <c r="C1816" t="s">
        <v>11662</v>
      </c>
      <c r="D1816" t="s">
        <v>13287</v>
      </c>
      <c r="E1816" t="str">
        <f>+VLOOKUP(A1816,[1]PFE4!$A$7:$F$5208,6,0)</f>
        <v>CARRERA 1  1  04</v>
      </c>
      <c r="F1816" s="17">
        <f>+VLOOKUP(A1816,[1]PFE4!$A$7:$G$5208,7,0)</f>
        <v>47001</v>
      </c>
      <c r="G1816">
        <v>11806078</v>
      </c>
      <c r="H1816">
        <v>4329</v>
      </c>
    </row>
    <row r="1817" spans="1:8" ht="15" customHeight="1" x14ac:dyDescent="0.25">
      <c r="A1817" t="s">
        <v>4061</v>
      </c>
      <c r="B1817" t="s">
        <v>8106</v>
      </c>
      <c r="C1817" t="s">
        <v>11663</v>
      </c>
      <c r="D1817" t="s">
        <v>13287</v>
      </c>
      <c r="E1817" t="str">
        <f>+VLOOKUP(A1817,[1]PFE4!$A$7:$F$5208,6,0)</f>
        <v>CARRERA 20  109  15</v>
      </c>
      <c r="F1817" s="17">
        <f>+VLOOKUP(A1817,[1]PFE4!$A$7:$G$5208,7,0)</f>
        <v>11001</v>
      </c>
      <c r="G1817">
        <v>11830392</v>
      </c>
      <c r="H1817">
        <v>4329</v>
      </c>
    </row>
    <row r="1818" spans="1:8" ht="15" customHeight="1" x14ac:dyDescent="0.25">
      <c r="A1818" t="s">
        <v>4062</v>
      </c>
      <c r="B1818" t="s">
        <v>8107</v>
      </c>
      <c r="C1818" t="s">
        <v>11664</v>
      </c>
      <c r="D1818" t="s">
        <v>13287</v>
      </c>
      <c r="E1818" t="str">
        <f>+VLOOKUP(A1818,[1]PFE4!$A$7:$F$5208,6,0)</f>
        <v>CR 24 16 44 50 52</v>
      </c>
      <c r="F1818" s="17">
        <f>+VLOOKUP(A1818,[1]PFE4!$A$7:$G$5208,7,0)</f>
        <v>11001</v>
      </c>
      <c r="G1818">
        <v>11831941</v>
      </c>
      <c r="H1818">
        <v>4329</v>
      </c>
    </row>
    <row r="1819" spans="1:8" ht="15" customHeight="1" x14ac:dyDescent="0.25">
      <c r="A1819" t="s">
        <v>4063</v>
      </c>
      <c r="B1819" t="s">
        <v>8108</v>
      </c>
      <c r="C1819" t="s">
        <v>11665</v>
      </c>
      <c r="D1819" t="s">
        <v>13287</v>
      </c>
      <c r="E1819" t="str">
        <f>+VLOOKUP(A1819,[1]PFE4!$A$7:$F$5208,6,0)</f>
        <v>ZN RURAL DEL CORR JOSE MARIA CORDOVA VDA YARUMAL</v>
      </c>
      <c r="F1819" s="17" t="str">
        <f>+VLOOKUP(A1819,[1]PFE4!$A$7:$G$5208,7,0)</f>
        <v>05615</v>
      </c>
      <c r="G1819">
        <v>11832000</v>
      </c>
      <c r="H1819">
        <v>4329</v>
      </c>
    </row>
    <row r="1820" spans="1:8" ht="15" customHeight="1" x14ac:dyDescent="0.25">
      <c r="A1820" t="s">
        <v>4064</v>
      </c>
      <c r="B1820" t="s">
        <v>8109</v>
      </c>
      <c r="C1820" t="s">
        <v>11666</v>
      </c>
      <c r="D1820" t="s">
        <v>13287</v>
      </c>
      <c r="E1820" t="str">
        <f>+VLOOKUP(A1820,[1]PFE4!$A$7:$F$5208,6,0)</f>
        <v>CARRERA 10  14  33  PISO 17</v>
      </c>
      <c r="F1820" s="17">
        <f>+VLOOKUP(A1820,[1]PFE4!$A$7:$G$5208,7,0)</f>
        <v>11001</v>
      </c>
      <c r="G1820">
        <v>11835600</v>
      </c>
      <c r="H1820">
        <v>4329</v>
      </c>
    </row>
    <row r="1821" spans="1:8" ht="15" customHeight="1" x14ac:dyDescent="0.25">
      <c r="A1821" t="s">
        <v>4065</v>
      </c>
      <c r="B1821" t="s">
        <v>8110</v>
      </c>
      <c r="C1821" t="s">
        <v>11667</v>
      </c>
      <c r="D1821" t="s">
        <v>13287</v>
      </c>
      <c r="E1821" t="str">
        <f>+VLOOKUP(A1821,[1]PFE4!$A$7:$F$5208,6,0)</f>
        <v>CARRERA 11  94 A  25</v>
      </c>
      <c r="F1821" s="17">
        <f>+VLOOKUP(A1821,[1]PFE4!$A$7:$G$5208,7,0)</f>
        <v>11001</v>
      </c>
      <c r="G1821">
        <v>11848546</v>
      </c>
      <c r="H1821">
        <v>4329</v>
      </c>
    </row>
    <row r="1822" spans="1:8" ht="15" customHeight="1" x14ac:dyDescent="0.25">
      <c r="A1822" t="s">
        <v>4066</v>
      </c>
      <c r="B1822" t="s">
        <v>8111</v>
      </c>
      <c r="C1822" t="s">
        <v>11074</v>
      </c>
      <c r="D1822" t="s">
        <v>13287</v>
      </c>
      <c r="E1822" t="str">
        <f>+VLOOKUP(A1822,[1]PFE4!$A$7:$F$5208,6,0)</f>
        <v>CL 5 F 30 116 120 126</v>
      </c>
      <c r="F1822" s="17" t="str">
        <f>+VLOOKUP(A1822,[1]PFE4!$A$7:$G$5208,7,0)</f>
        <v>05001</v>
      </c>
      <c r="G1822">
        <v>11851796</v>
      </c>
      <c r="H1822">
        <v>4329</v>
      </c>
    </row>
    <row r="1823" spans="1:8" ht="15" customHeight="1" x14ac:dyDescent="0.25">
      <c r="A1823" t="s">
        <v>4067</v>
      </c>
      <c r="B1823" t="s">
        <v>8112</v>
      </c>
      <c r="C1823" t="s">
        <v>11668</v>
      </c>
      <c r="D1823" t="s">
        <v>13287</v>
      </c>
      <c r="E1823" t="str">
        <f>+VLOOKUP(A1823,[1]PFE4!$A$7:$F$5208,6,0)</f>
        <v>CARRERA 2  26  02 SUR</v>
      </c>
      <c r="F1823" s="17">
        <f>+VLOOKUP(A1823,[1]PFE4!$A$7:$G$5208,7,0)</f>
        <v>41001</v>
      </c>
      <c r="G1823">
        <v>11869360</v>
      </c>
      <c r="H1823">
        <v>4329</v>
      </c>
    </row>
    <row r="1824" spans="1:8" ht="15" customHeight="1" x14ac:dyDescent="0.25">
      <c r="A1824" t="s">
        <v>4068</v>
      </c>
      <c r="B1824" t="s">
        <v>8113</v>
      </c>
      <c r="C1824">
        <v>3219664011</v>
      </c>
      <c r="D1824" t="s">
        <v>13287</v>
      </c>
      <c r="E1824" t="str">
        <f>+VLOOKUP(A1824,[1]PFE4!$A$7:$F$5208,6,0)</f>
        <v>CL 20 3 06 SEC RODADERO</v>
      </c>
      <c r="F1824" s="17">
        <f>+VLOOKUP(A1824,[1]PFE4!$A$7:$G$5208,7,0)</f>
        <v>47001</v>
      </c>
      <c r="G1824">
        <v>11873000</v>
      </c>
      <c r="H1824">
        <v>4329</v>
      </c>
    </row>
    <row r="1825" spans="1:8" ht="15" customHeight="1" x14ac:dyDescent="0.25">
      <c r="A1825" t="s">
        <v>4069</v>
      </c>
      <c r="B1825" t="s">
        <v>8114</v>
      </c>
      <c r="C1825" t="s">
        <v>11669</v>
      </c>
      <c r="D1825" t="s">
        <v>13287</v>
      </c>
      <c r="E1825" t="str">
        <f>+VLOOKUP(A1825,[1]PFE4!$A$7:$F$5208,6,0)</f>
        <v>CL 28 8 37</v>
      </c>
      <c r="F1825" s="17">
        <f>+VLOOKUP(A1825,[1]PFE4!$A$7:$G$5208,7,0)</f>
        <v>47001</v>
      </c>
      <c r="G1825">
        <v>11887300</v>
      </c>
      <c r="H1825">
        <v>4329</v>
      </c>
    </row>
    <row r="1826" spans="1:8" ht="15" customHeight="1" x14ac:dyDescent="0.25">
      <c r="A1826" t="s">
        <v>4070</v>
      </c>
      <c r="B1826" t="s">
        <v>8115</v>
      </c>
      <c r="C1826" t="s">
        <v>11670</v>
      </c>
      <c r="D1826" t="s">
        <v>13287</v>
      </c>
      <c r="E1826" t="str">
        <f>+VLOOKUP(A1826,[1]PFE4!$A$7:$F$5208,6,0)</f>
        <v>CARRERA 57 79-138</v>
      </c>
      <c r="F1826" s="17" t="str">
        <f>+VLOOKUP(A1826,[1]PFE4!$A$7:$G$5208,7,0)</f>
        <v>08001</v>
      </c>
      <c r="G1826">
        <v>11907629</v>
      </c>
      <c r="H1826">
        <v>4329</v>
      </c>
    </row>
    <row r="1827" spans="1:8" ht="15" customHeight="1" x14ac:dyDescent="0.25">
      <c r="A1827" t="s">
        <v>4071</v>
      </c>
      <c r="B1827" t="s">
        <v>8116</v>
      </c>
      <c r="C1827" t="s">
        <v>11541</v>
      </c>
      <c r="D1827" t="s">
        <v>13287</v>
      </c>
      <c r="E1827" t="str">
        <f>+VLOOKUP(A1827,[1]PFE4!$A$7:$F$5208,6,0)</f>
        <v>CALLE 99 C 65 107</v>
      </c>
      <c r="F1827" s="17" t="str">
        <f>+VLOOKUP(A1827,[1]PFE4!$A$7:$G$5208,7,0)</f>
        <v>08001</v>
      </c>
      <c r="G1827">
        <v>11920336</v>
      </c>
      <c r="H1827">
        <v>4329</v>
      </c>
    </row>
    <row r="1828" spans="1:8" ht="15" customHeight="1" x14ac:dyDescent="0.25">
      <c r="A1828" t="s">
        <v>4072</v>
      </c>
      <c r="B1828" t="s">
        <v>8117</v>
      </c>
      <c r="C1828" t="s">
        <v>11671</v>
      </c>
      <c r="D1828" t="s">
        <v>13287</v>
      </c>
      <c r="E1828" t="str">
        <f>+VLOOKUP(A1828,[1]PFE4!$A$7:$F$5208,6,0)</f>
        <v>CARRERA 51  84  149</v>
      </c>
      <c r="F1828" s="17" t="str">
        <f>+VLOOKUP(A1828,[1]PFE4!$A$7:$G$5208,7,0)</f>
        <v>08001</v>
      </c>
      <c r="G1828">
        <v>11941352</v>
      </c>
      <c r="H1828">
        <v>4329</v>
      </c>
    </row>
    <row r="1829" spans="1:8" ht="15" customHeight="1" x14ac:dyDescent="0.25">
      <c r="A1829" t="s">
        <v>4073</v>
      </c>
      <c r="B1829" t="s">
        <v>8118</v>
      </c>
      <c r="C1829">
        <v>0</v>
      </c>
      <c r="D1829" t="s">
        <v>13287</v>
      </c>
      <c r="E1829">
        <v>0</v>
      </c>
      <c r="F1829" s="17">
        <v>11001</v>
      </c>
      <c r="G1829">
        <v>11958600</v>
      </c>
      <c r="H1829">
        <v>4329</v>
      </c>
    </row>
    <row r="1830" spans="1:8" ht="15" customHeight="1" x14ac:dyDescent="0.25">
      <c r="A1830" t="s">
        <v>4074</v>
      </c>
      <c r="B1830" t="s">
        <v>8119</v>
      </c>
      <c r="C1830">
        <v>0</v>
      </c>
      <c r="D1830" t="s">
        <v>13287</v>
      </c>
      <c r="E1830">
        <v>0</v>
      </c>
      <c r="F1830" s="17">
        <v>11001</v>
      </c>
      <c r="G1830">
        <v>11966500</v>
      </c>
      <c r="H1830">
        <v>4329</v>
      </c>
    </row>
    <row r="1831" spans="1:8" ht="15" customHeight="1" x14ac:dyDescent="0.25">
      <c r="A1831" t="s">
        <v>4075</v>
      </c>
      <c r="B1831" t="s">
        <v>8120</v>
      </c>
      <c r="C1831" t="s">
        <v>11572</v>
      </c>
      <c r="D1831" t="s">
        <v>13287</v>
      </c>
      <c r="E1831" t="str">
        <f>+VLOOKUP(A1831,[1]PFE4!$A$7:$F$5208,6,0)</f>
        <v>CL 13 4 32</v>
      </c>
      <c r="F1831" s="17">
        <f>+VLOOKUP(A1831,[1]PFE4!$A$7:$G$5208,7,0)</f>
        <v>11001</v>
      </c>
      <c r="G1831">
        <v>11969484</v>
      </c>
      <c r="H1831">
        <v>4329</v>
      </c>
    </row>
    <row r="1832" spans="1:8" ht="15" customHeight="1" x14ac:dyDescent="0.25">
      <c r="A1832" t="s">
        <v>4076</v>
      </c>
      <c r="B1832" t="s">
        <v>8121</v>
      </c>
      <c r="C1832" t="s">
        <v>11672</v>
      </c>
      <c r="D1832" t="s">
        <v>13287</v>
      </c>
      <c r="E1832" t="str">
        <f>+VLOOKUP(A1832,[1]PFE4!$A$7:$F$5208,6,0)</f>
        <v>CALLE 2  14  131</v>
      </c>
      <c r="F1832" s="17">
        <f>+VLOOKUP(A1832,[1]PFE4!$A$7:$G$5208,7,0)</f>
        <v>63001</v>
      </c>
      <c r="G1832">
        <v>11977335</v>
      </c>
      <c r="H1832">
        <v>4329</v>
      </c>
    </row>
    <row r="1833" spans="1:8" ht="15" customHeight="1" x14ac:dyDescent="0.25">
      <c r="A1833" t="s">
        <v>4077</v>
      </c>
      <c r="B1833" t="s">
        <v>8122</v>
      </c>
      <c r="C1833" t="s">
        <v>11673</v>
      </c>
      <c r="D1833" t="s">
        <v>13287</v>
      </c>
      <c r="E1833" t="str">
        <f>+VLOOKUP(A1833,[1]PFE4!$A$7:$F$5208,6,0)</f>
        <v>CALLE 10  12 BIS  11</v>
      </c>
      <c r="F1833" s="17">
        <f>+VLOOKUP(A1833,[1]PFE4!$A$7:$G$5208,7,0)</f>
        <v>66001</v>
      </c>
      <c r="G1833">
        <v>11982828</v>
      </c>
      <c r="H1833">
        <v>4329</v>
      </c>
    </row>
    <row r="1834" spans="1:8" ht="15" customHeight="1" x14ac:dyDescent="0.25">
      <c r="A1834" t="s">
        <v>4078</v>
      </c>
      <c r="B1834" t="s">
        <v>8123</v>
      </c>
      <c r="C1834" t="s">
        <v>11674</v>
      </c>
      <c r="D1834" t="s">
        <v>13287</v>
      </c>
      <c r="E1834" t="str">
        <f>+VLOOKUP(A1834,[1]PFE4!$A$7:$F$5208,6,0)</f>
        <v>CALLE 74  14  09</v>
      </c>
      <c r="F1834" s="17">
        <f>+VLOOKUP(A1834,[1]PFE4!$A$7:$G$5208,7,0)</f>
        <v>11001</v>
      </c>
      <c r="G1834">
        <v>11983660</v>
      </c>
      <c r="H1834">
        <v>4329</v>
      </c>
    </row>
    <row r="1835" spans="1:8" ht="15" customHeight="1" x14ac:dyDescent="0.25">
      <c r="A1835" t="s">
        <v>4079</v>
      </c>
      <c r="B1835" t="s">
        <v>8124</v>
      </c>
      <c r="C1835" t="s">
        <v>11675</v>
      </c>
      <c r="D1835" t="s">
        <v>13287</v>
      </c>
      <c r="E1835" t="str">
        <f>+VLOOKUP(A1835,[1]PFE4!$A$7:$F$5208,6,0)</f>
        <v>CALLE 19  5  13</v>
      </c>
      <c r="F1835" s="17">
        <f>+VLOOKUP(A1835,[1]PFE4!$A$7:$G$5208,7,0)</f>
        <v>66001</v>
      </c>
      <c r="G1835">
        <v>11991100</v>
      </c>
      <c r="H1835">
        <v>4329</v>
      </c>
    </row>
    <row r="1836" spans="1:8" ht="15" customHeight="1" x14ac:dyDescent="0.25">
      <c r="A1836" t="s">
        <v>4080</v>
      </c>
      <c r="B1836" t="s">
        <v>8125</v>
      </c>
      <c r="C1836">
        <v>0</v>
      </c>
      <c r="D1836" t="s">
        <v>13287</v>
      </c>
      <c r="E1836">
        <v>0</v>
      </c>
      <c r="F1836" s="17">
        <v>11001</v>
      </c>
      <c r="G1836">
        <v>12000000</v>
      </c>
      <c r="H1836">
        <v>4329</v>
      </c>
    </row>
    <row r="1837" spans="1:8" ht="15" customHeight="1" x14ac:dyDescent="0.25">
      <c r="A1837" t="s">
        <v>4081</v>
      </c>
      <c r="B1837" t="s">
        <v>8126</v>
      </c>
      <c r="C1837" t="s">
        <v>11676</v>
      </c>
      <c r="D1837" t="s">
        <v>13287</v>
      </c>
      <c r="E1837" t="str">
        <f>+VLOOKUP(A1837,[1]PFE4!$A$7:$F$5208,6,0)</f>
        <v>CR 49 103 B 05</v>
      </c>
      <c r="F1837" s="17">
        <f>+VLOOKUP(A1837,[1]PFE4!$A$7:$G$5208,7,0)</f>
        <v>11001</v>
      </c>
      <c r="G1837">
        <v>12000000</v>
      </c>
      <c r="H1837">
        <v>4329</v>
      </c>
    </row>
    <row r="1838" spans="1:8" ht="15" customHeight="1" x14ac:dyDescent="0.25">
      <c r="A1838" t="s">
        <v>4082</v>
      </c>
      <c r="B1838" t="s">
        <v>8127</v>
      </c>
      <c r="C1838" t="s">
        <v>11677</v>
      </c>
      <c r="D1838" t="s">
        <v>13287</v>
      </c>
      <c r="E1838" t="str">
        <f>+VLOOKUP(A1838,[1]PFE4!$A$7:$F$5208,6,0)</f>
        <v>CALLE 65  80 A  28</v>
      </c>
      <c r="F1838" s="17" t="str">
        <f>+VLOOKUP(A1838,[1]PFE4!$A$7:$G$5208,7,0)</f>
        <v>05001</v>
      </c>
      <c r="G1838">
        <v>12014060</v>
      </c>
      <c r="H1838">
        <v>4329</v>
      </c>
    </row>
    <row r="1839" spans="1:8" ht="15" customHeight="1" x14ac:dyDescent="0.25">
      <c r="A1839" t="s">
        <v>4083</v>
      </c>
      <c r="B1839" t="s">
        <v>8128</v>
      </c>
      <c r="C1839" t="s">
        <v>11678</v>
      </c>
      <c r="D1839" t="s">
        <v>13287</v>
      </c>
      <c r="E1839" t="str">
        <f>+VLOOKUP(A1839,[1]PFE4!$A$7:$F$5208,6,0)</f>
        <v>CL 74 A 1 107 SEC LAGOS DEL DULCINO</v>
      </c>
      <c r="F1839" s="17">
        <f>+VLOOKUP(A1839,[1]PFE4!$A$7:$G$5208,7,0)</f>
        <v>11001</v>
      </c>
      <c r="G1839">
        <v>12034112</v>
      </c>
      <c r="H1839">
        <v>4329</v>
      </c>
    </row>
    <row r="1840" spans="1:8" ht="15" customHeight="1" x14ac:dyDescent="0.25">
      <c r="A1840" t="s">
        <v>4084</v>
      </c>
      <c r="B1840" t="s">
        <v>8129</v>
      </c>
      <c r="C1840" t="s">
        <v>11679</v>
      </c>
      <c r="D1840" t="s">
        <v>13287</v>
      </c>
      <c r="E1840" t="str">
        <f>+VLOOKUP(A1840,[1]PFE4!$A$7:$F$5208,6,0)</f>
        <v>CALLE 11  12  76</v>
      </c>
      <c r="F1840" s="17">
        <f>+VLOOKUP(A1840,[1]PFE4!$A$7:$G$5208,7,0)</f>
        <v>11001</v>
      </c>
      <c r="G1840">
        <v>12049347</v>
      </c>
      <c r="H1840">
        <v>4329</v>
      </c>
    </row>
    <row r="1841" spans="1:8" ht="15" customHeight="1" x14ac:dyDescent="0.25">
      <c r="A1841" t="s">
        <v>4085</v>
      </c>
      <c r="B1841" t="s">
        <v>8130</v>
      </c>
      <c r="C1841" t="s">
        <v>11680</v>
      </c>
      <c r="D1841" t="s">
        <v>13287</v>
      </c>
      <c r="E1841" t="str">
        <f>+VLOOKUP(A1841,[1]PFE4!$A$7:$F$5208,6,0)</f>
        <v>TRANSVERSAL 2 A  68  50</v>
      </c>
      <c r="F1841" s="17">
        <f>+VLOOKUP(A1841,[1]PFE4!$A$7:$G$5208,7,0)</f>
        <v>11001</v>
      </c>
      <c r="G1841">
        <v>12052763</v>
      </c>
      <c r="H1841">
        <v>4329</v>
      </c>
    </row>
    <row r="1842" spans="1:8" ht="15" customHeight="1" x14ac:dyDescent="0.25">
      <c r="A1842" t="s">
        <v>4086</v>
      </c>
      <c r="B1842" t="s">
        <v>8131</v>
      </c>
      <c r="C1842" t="s">
        <v>11681</v>
      </c>
      <c r="D1842" t="s">
        <v>13287</v>
      </c>
      <c r="E1842" t="str">
        <f>+VLOOKUP(A1842,[1]PFE4!$A$7:$F$5208,6,0)</f>
        <v>CLL 43 5 175</v>
      </c>
      <c r="F1842" s="17">
        <f>+VLOOKUP(A1842,[1]PFE4!$A$7:$G$5208,7,0)</f>
        <v>17001</v>
      </c>
      <c r="G1842">
        <v>12054696</v>
      </c>
      <c r="H1842">
        <v>4329</v>
      </c>
    </row>
    <row r="1843" spans="1:8" ht="15" customHeight="1" x14ac:dyDescent="0.25">
      <c r="A1843" t="s">
        <v>4087</v>
      </c>
      <c r="B1843" t="s">
        <v>8132</v>
      </c>
      <c r="C1843" t="s">
        <v>11682</v>
      </c>
      <c r="D1843" t="s">
        <v>13287</v>
      </c>
      <c r="E1843" t="str">
        <f>+VLOOKUP(A1843,[1]PFE4!$A$7:$F$5208,6,0)</f>
        <v>AVENIDA 19  120  22</v>
      </c>
      <c r="F1843" s="17">
        <f>+VLOOKUP(A1843,[1]PFE4!$A$7:$G$5208,7,0)</f>
        <v>11001</v>
      </c>
      <c r="G1843">
        <v>12090618</v>
      </c>
      <c r="H1843">
        <v>4329</v>
      </c>
    </row>
    <row r="1844" spans="1:8" ht="15" customHeight="1" x14ac:dyDescent="0.25">
      <c r="A1844" t="s">
        <v>4088</v>
      </c>
      <c r="B1844" t="s">
        <v>8133</v>
      </c>
      <c r="C1844" t="s">
        <v>11683</v>
      </c>
      <c r="D1844" t="s">
        <v>13287</v>
      </c>
      <c r="E1844" t="str">
        <f>+VLOOKUP(A1844,[1]PFE4!$A$7:$F$5208,6,0)</f>
        <v>VDA LLANOGRANDE</v>
      </c>
      <c r="F1844" s="17" t="str">
        <f>+VLOOKUP(A1844,[1]PFE4!$A$7:$G$5208,7,0)</f>
        <v>05615</v>
      </c>
      <c r="G1844">
        <v>12107376</v>
      </c>
      <c r="H1844">
        <v>4329</v>
      </c>
    </row>
    <row r="1845" spans="1:8" ht="15" customHeight="1" x14ac:dyDescent="0.25">
      <c r="A1845" t="s">
        <v>4089</v>
      </c>
      <c r="B1845" t="s">
        <v>8134</v>
      </c>
      <c r="C1845" t="s">
        <v>11684</v>
      </c>
      <c r="D1845" t="s">
        <v>13287</v>
      </c>
      <c r="E1845" t="str">
        <f>+VLOOKUP(A1845,[1]PFE4!$A$7:$F$5208,6,0)</f>
        <v>CALLE 93 B  18  45  OFICINA 305</v>
      </c>
      <c r="F1845" s="17">
        <f>+VLOOKUP(A1845,[1]PFE4!$A$7:$G$5208,7,0)</f>
        <v>11001</v>
      </c>
      <c r="G1845">
        <v>12111144</v>
      </c>
      <c r="H1845">
        <v>4329</v>
      </c>
    </row>
    <row r="1846" spans="1:8" ht="15" customHeight="1" x14ac:dyDescent="0.25">
      <c r="A1846" t="s">
        <v>4090</v>
      </c>
      <c r="B1846" t="s">
        <v>8135</v>
      </c>
      <c r="C1846" t="s">
        <v>11540</v>
      </c>
      <c r="D1846" t="s">
        <v>13287</v>
      </c>
      <c r="E1846" t="str">
        <f>+VLOOKUP(A1846,[1]PFE4!$A$7:$F$5208,6,0)</f>
        <v>CARRERA 16  20 A  41</v>
      </c>
      <c r="F1846" s="17">
        <f>+VLOOKUP(A1846,[1]PFE4!$A$7:$G$5208,7,0)</f>
        <v>11001</v>
      </c>
      <c r="G1846">
        <v>12118152</v>
      </c>
      <c r="H1846">
        <v>4329</v>
      </c>
    </row>
    <row r="1847" spans="1:8" ht="15" customHeight="1" x14ac:dyDescent="0.25">
      <c r="A1847" t="s">
        <v>4091</v>
      </c>
      <c r="B1847" t="s">
        <v>8136</v>
      </c>
      <c r="C1847" t="s">
        <v>11685</v>
      </c>
      <c r="D1847" t="s">
        <v>13287</v>
      </c>
      <c r="E1847" t="str">
        <f>+VLOOKUP(A1847,[1]PFE4!$A$7:$F$5208,6,0)</f>
        <v>CARRERA 30  7 A  167</v>
      </c>
      <c r="F1847" s="17" t="str">
        <f>+VLOOKUP(A1847,[1]PFE4!$A$7:$G$5208,7,0)</f>
        <v>05001</v>
      </c>
      <c r="G1847">
        <v>12125220</v>
      </c>
      <c r="H1847">
        <v>4329</v>
      </c>
    </row>
    <row r="1848" spans="1:8" ht="15" customHeight="1" x14ac:dyDescent="0.25">
      <c r="A1848" t="s">
        <v>4092</v>
      </c>
      <c r="B1848" t="s">
        <v>8137</v>
      </c>
      <c r="C1848" t="s">
        <v>11686</v>
      </c>
      <c r="D1848" t="s">
        <v>13287</v>
      </c>
      <c r="E1848" t="str">
        <f>+VLOOKUP(A1848,[1]PFE4!$A$7:$F$5208,6,0)</f>
        <v>CARRERA 18 A  137  48</v>
      </c>
      <c r="F1848" s="17">
        <f>+VLOOKUP(A1848,[1]PFE4!$A$7:$G$5208,7,0)</f>
        <v>11001</v>
      </c>
      <c r="G1848">
        <v>12130356</v>
      </c>
      <c r="H1848">
        <v>4329</v>
      </c>
    </row>
    <row r="1849" spans="1:8" ht="15" customHeight="1" x14ac:dyDescent="0.25">
      <c r="A1849" t="s">
        <v>4093</v>
      </c>
      <c r="B1849" t="s">
        <v>8138</v>
      </c>
      <c r="C1849" t="s">
        <v>11687</v>
      </c>
      <c r="D1849" t="s">
        <v>13287</v>
      </c>
      <c r="E1849" t="str">
        <f>+VLOOKUP(A1849,[1]PFE4!$A$7:$F$5208,6,0)</f>
        <v>CALLE 86 A  11 A  62</v>
      </c>
      <c r="F1849" s="17">
        <f>+VLOOKUP(A1849,[1]PFE4!$A$7:$G$5208,7,0)</f>
        <v>11001</v>
      </c>
      <c r="G1849">
        <v>12157186</v>
      </c>
      <c r="H1849">
        <v>4329</v>
      </c>
    </row>
    <row r="1850" spans="1:8" ht="15" customHeight="1" x14ac:dyDescent="0.25">
      <c r="A1850" t="s">
        <v>4094</v>
      </c>
      <c r="B1850" t="s">
        <v>8139</v>
      </c>
      <c r="C1850" t="s">
        <v>11688</v>
      </c>
      <c r="D1850" t="s">
        <v>13287</v>
      </c>
      <c r="E1850" t="str">
        <f>+VLOOKUP(A1850,[1]PFE4!$A$7:$F$5208,6,0)</f>
        <v>CARRERA 71  85  32</v>
      </c>
      <c r="F1850" s="17" t="str">
        <f>+VLOOKUP(A1850,[1]PFE4!$A$7:$G$5208,7,0)</f>
        <v>08001</v>
      </c>
      <c r="G1850">
        <v>12159350</v>
      </c>
      <c r="H1850">
        <v>4329</v>
      </c>
    </row>
    <row r="1851" spans="1:8" ht="15" customHeight="1" x14ac:dyDescent="0.25">
      <c r="A1851" t="s">
        <v>4095</v>
      </c>
      <c r="B1851" t="s">
        <v>8140</v>
      </c>
      <c r="C1851" t="s">
        <v>11689</v>
      </c>
      <c r="D1851" t="s">
        <v>13287</v>
      </c>
      <c r="E1851" t="str">
        <f>+VLOOKUP(A1851,[1]PFE4!$A$7:$F$5208,6,0)</f>
        <v>CALLE 18  5  27</v>
      </c>
      <c r="F1851" s="17">
        <f>+VLOOKUP(A1851,[1]PFE4!$A$7:$G$5208,7,0)</f>
        <v>66001</v>
      </c>
      <c r="G1851">
        <v>12160751</v>
      </c>
      <c r="H1851">
        <v>4329</v>
      </c>
    </row>
    <row r="1852" spans="1:8" ht="15" customHeight="1" x14ac:dyDescent="0.25">
      <c r="A1852" t="s">
        <v>4096</v>
      </c>
      <c r="B1852" t="s">
        <v>8141</v>
      </c>
      <c r="C1852" t="s">
        <v>11690</v>
      </c>
      <c r="D1852" t="s">
        <v>13287</v>
      </c>
      <c r="E1852" t="str">
        <f>+VLOOKUP(A1852,[1]PFE4!$A$7:$F$5208,6,0)</f>
        <v>CALLE 91 8 58 BARRIO CHICO</v>
      </c>
      <c r="F1852" s="17">
        <f>+VLOOKUP(A1852,[1]PFE4!$A$7:$G$5208,7,0)</f>
        <v>11001</v>
      </c>
      <c r="G1852">
        <v>12166114</v>
      </c>
      <c r="H1852">
        <v>4329</v>
      </c>
    </row>
    <row r="1853" spans="1:8" ht="15" customHeight="1" x14ac:dyDescent="0.25">
      <c r="A1853" t="s">
        <v>4097</v>
      </c>
      <c r="B1853" t="s">
        <v>8142</v>
      </c>
      <c r="C1853" t="s">
        <v>11186</v>
      </c>
      <c r="D1853" t="s">
        <v>13287</v>
      </c>
      <c r="E1853" t="str">
        <f>+VLOOKUP(A1853,[1]PFE4!$A$7:$F$5208,6,0)</f>
        <v>CARRERA 73 C  74  50</v>
      </c>
      <c r="F1853" s="17" t="str">
        <f>+VLOOKUP(A1853,[1]PFE4!$A$7:$G$5208,7,0)</f>
        <v>05001</v>
      </c>
      <c r="G1853">
        <v>12175728</v>
      </c>
      <c r="H1853">
        <v>4329</v>
      </c>
    </row>
    <row r="1854" spans="1:8" ht="15" customHeight="1" x14ac:dyDescent="0.25">
      <c r="A1854" t="s">
        <v>4098</v>
      </c>
      <c r="B1854" t="s">
        <v>8143</v>
      </c>
      <c r="C1854" t="s">
        <v>11691</v>
      </c>
      <c r="D1854" t="s">
        <v>13287</v>
      </c>
      <c r="E1854" t="str">
        <f>+VLOOKUP(A1854,[1]PFE4!$A$7:$F$5208,6,0)</f>
        <v>CARRERA 9 A  14  55</v>
      </c>
      <c r="F1854" s="17">
        <f>+VLOOKUP(A1854,[1]PFE4!$A$7:$G$5208,7,0)</f>
        <v>11001</v>
      </c>
      <c r="G1854">
        <v>12198079</v>
      </c>
      <c r="H1854">
        <v>4329</v>
      </c>
    </row>
    <row r="1855" spans="1:8" ht="15" customHeight="1" x14ac:dyDescent="0.25">
      <c r="A1855" t="s">
        <v>4099</v>
      </c>
      <c r="B1855" t="s">
        <v>8144</v>
      </c>
      <c r="C1855" t="s">
        <v>11692</v>
      </c>
      <c r="D1855" t="s">
        <v>13287</v>
      </c>
      <c r="E1855" t="str">
        <f>+VLOOKUP(A1855,[1]PFE4!$A$7:$F$5208,6,0)</f>
        <v>VDA FONQUETA</v>
      </c>
      <c r="F1855" s="17">
        <f>+VLOOKUP(A1855,[1]PFE4!$A$7:$G$5208,7,0)</f>
        <v>25175</v>
      </c>
      <c r="G1855">
        <v>12202863</v>
      </c>
      <c r="H1855">
        <v>4329</v>
      </c>
    </row>
    <row r="1856" spans="1:8" ht="15" customHeight="1" x14ac:dyDescent="0.25">
      <c r="A1856" t="s">
        <v>4100</v>
      </c>
      <c r="B1856" t="s">
        <v>8145</v>
      </c>
      <c r="C1856" t="s">
        <v>11693</v>
      </c>
      <c r="D1856" t="s">
        <v>13287</v>
      </c>
      <c r="E1856" t="str">
        <f>+VLOOKUP(A1856,[1]PFE4!$A$7:$F$5208,6,0)</f>
        <v>CALLE 19 SUR  45  57</v>
      </c>
      <c r="F1856" s="17" t="str">
        <f>+VLOOKUP(A1856,[1]PFE4!$A$7:$G$5208,7,0)</f>
        <v>05001</v>
      </c>
      <c r="G1856">
        <v>12203642</v>
      </c>
      <c r="H1856">
        <v>4329</v>
      </c>
    </row>
    <row r="1857" spans="1:8" ht="15" customHeight="1" x14ac:dyDescent="0.25">
      <c r="A1857" t="s">
        <v>4101</v>
      </c>
      <c r="B1857" t="s">
        <v>8146</v>
      </c>
      <c r="C1857" t="s">
        <v>11694</v>
      </c>
      <c r="D1857" t="s">
        <v>13287</v>
      </c>
      <c r="E1857" t="str">
        <f>+VLOOKUP(A1857,[1]PFE4!$A$7:$F$5208,6,0)</f>
        <v>CRA 4 22 31 Y 22 43 BRR LA CEIBA</v>
      </c>
      <c r="F1857" s="17">
        <f>+VLOOKUP(A1857,[1]PFE4!$A$7:$G$5208,7,0)</f>
        <v>17174</v>
      </c>
      <c r="G1857">
        <v>12223904</v>
      </c>
      <c r="H1857">
        <v>4329</v>
      </c>
    </row>
    <row r="1858" spans="1:8" ht="15" customHeight="1" x14ac:dyDescent="0.25">
      <c r="A1858" t="s">
        <v>4102</v>
      </c>
      <c r="B1858" t="s">
        <v>8147</v>
      </c>
      <c r="C1858" t="s">
        <v>11695</v>
      </c>
      <c r="D1858" t="s">
        <v>13287</v>
      </c>
      <c r="E1858" t="str">
        <f>+VLOOKUP(A1858,[1]PFE4!$A$7:$F$5208,6,0)</f>
        <v>CARRERA 15  21 N  45</v>
      </c>
      <c r="F1858" s="17">
        <f>+VLOOKUP(A1858,[1]PFE4!$A$7:$G$5208,7,0)</f>
        <v>63001</v>
      </c>
      <c r="G1858">
        <v>12229592</v>
      </c>
      <c r="H1858">
        <v>4329</v>
      </c>
    </row>
    <row r="1859" spans="1:8" ht="15" customHeight="1" x14ac:dyDescent="0.25">
      <c r="A1859" t="s">
        <v>4103</v>
      </c>
      <c r="B1859" t="s">
        <v>8148</v>
      </c>
      <c r="C1859" t="s">
        <v>10755</v>
      </c>
      <c r="D1859" t="s">
        <v>13287</v>
      </c>
      <c r="E1859" t="str">
        <f>+VLOOKUP(A1859,[1]PFE4!$A$7:$F$5208,6,0)</f>
        <v>CARRERA 19 B  83  02</v>
      </c>
      <c r="F1859" s="17">
        <f>+VLOOKUP(A1859,[1]PFE4!$A$7:$G$5208,7,0)</f>
        <v>11001</v>
      </c>
      <c r="G1859">
        <v>12229723</v>
      </c>
      <c r="H1859">
        <v>4329</v>
      </c>
    </row>
    <row r="1860" spans="1:8" ht="15" customHeight="1" x14ac:dyDescent="0.25">
      <c r="A1860" t="s">
        <v>4104</v>
      </c>
      <c r="B1860" t="s">
        <v>8149</v>
      </c>
      <c r="C1860" t="s">
        <v>11696</v>
      </c>
      <c r="D1860" t="s">
        <v>13287</v>
      </c>
      <c r="E1860" t="str">
        <f>+VLOOKUP(A1860,[1]PFE4!$A$7:$F$5208,6,0)</f>
        <v>CALLE 106 A  19 A  64</v>
      </c>
      <c r="F1860" s="17">
        <f>+VLOOKUP(A1860,[1]PFE4!$A$7:$G$5208,7,0)</f>
        <v>11001</v>
      </c>
      <c r="G1860">
        <v>12284638</v>
      </c>
      <c r="H1860">
        <v>4329</v>
      </c>
    </row>
    <row r="1861" spans="1:8" ht="15" customHeight="1" x14ac:dyDescent="0.25">
      <c r="A1861" t="s">
        <v>4105</v>
      </c>
      <c r="B1861" t="s">
        <v>8150</v>
      </c>
      <c r="C1861" t="s">
        <v>11697</v>
      </c>
      <c r="D1861" t="s">
        <v>13287</v>
      </c>
      <c r="E1861" t="str">
        <f>+VLOOKUP(A1861,[1]PFE4!$A$7:$F$5208,6,0)</f>
        <v>AVENIDA 5 OESTE  5  70</v>
      </c>
      <c r="F1861" s="17">
        <f>+VLOOKUP(A1861,[1]PFE4!$A$7:$G$5208,7,0)</f>
        <v>76001</v>
      </c>
      <c r="G1861">
        <v>12333300</v>
      </c>
      <c r="H1861">
        <v>4329</v>
      </c>
    </row>
    <row r="1862" spans="1:8" ht="15" customHeight="1" x14ac:dyDescent="0.25">
      <c r="A1862" t="s">
        <v>4106</v>
      </c>
      <c r="B1862" t="s">
        <v>8151</v>
      </c>
      <c r="C1862" t="s">
        <v>11698</v>
      </c>
      <c r="D1862" t="s">
        <v>13287</v>
      </c>
      <c r="E1862" t="str">
        <f>+VLOOKUP(A1862,[1]PFE4!$A$7:$F$5208,6,0)</f>
        <v>CALLE 94 A  18  33</v>
      </c>
      <c r="F1862" s="17">
        <f>+VLOOKUP(A1862,[1]PFE4!$A$7:$G$5208,7,0)</f>
        <v>11001</v>
      </c>
      <c r="G1862">
        <v>12367316</v>
      </c>
      <c r="H1862">
        <v>4329</v>
      </c>
    </row>
    <row r="1863" spans="1:8" ht="15" customHeight="1" x14ac:dyDescent="0.25">
      <c r="A1863" t="s">
        <v>4107</v>
      </c>
      <c r="B1863" t="s">
        <v>8152</v>
      </c>
      <c r="C1863" t="s">
        <v>11699</v>
      </c>
      <c r="D1863" t="s">
        <v>13287</v>
      </c>
      <c r="E1863" t="str">
        <f>+VLOOKUP(A1863,[1]PFE4!$A$7:$F$5208,6,0)</f>
        <v>CR 21 B 55 25 BRR LA LEONORA</v>
      </c>
      <c r="F1863" s="17">
        <f>+VLOOKUP(A1863,[1]PFE4!$A$7:$G$5208,7,0)</f>
        <v>17001</v>
      </c>
      <c r="G1863">
        <v>12374700</v>
      </c>
      <c r="H1863">
        <v>4329</v>
      </c>
    </row>
    <row r="1864" spans="1:8" ht="15" customHeight="1" x14ac:dyDescent="0.25">
      <c r="A1864" t="s">
        <v>4108</v>
      </c>
      <c r="B1864" t="s">
        <v>8153</v>
      </c>
      <c r="C1864" t="s">
        <v>11700</v>
      </c>
      <c r="D1864" t="s">
        <v>13287</v>
      </c>
      <c r="E1864" t="str">
        <f>+VLOOKUP(A1864,[1]PFE4!$A$7:$F$5208,6,0)</f>
        <v>CARRERA 12  96  23</v>
      </c>
      <c r="F1864" s="17">
        <f>+VLOOKUP(A1864,[1]PFE4!$A$7:$G$5208,7,0)</f>
        <v>11001</v>
      </c>
      <c r="G1864">
        <v>12382428</v>
      </c>
      <c r="H1864">
        <v>4329</v>
      </c>
    </row>
    <row r="1865" spans="1:8" ht="15" customHeight="1" x14ac:dyDescent="0.25">
      <c r="A1865" t="s">
        <v>4109</v>
      </c>
      <c r="B1865" t="s">
        <v>8154</v>
      </c>
      <c r="C1865" t="s">
        <v>4109</v>
      </c>
      <c r="D1865" t="s">
        <v>13287</v>
      </c>
      <c r="E1865" t="str">
        <f>+VLOOKUP(A1865,[1]PFE4!$A$7:$F$5208,6,0)</f>
        <v>CL 71 1 03 ESTE BRR ROSALES</v>
      </c>
      <c r="F1865" s="17">
        <f>+VLOOKUP(A1865,[1]PFE4!$A$7:$G$5208,7,0)</f>
        <v>11001</v>
      </c>
      <c r="G1865">
        <v>12396358</v>
      </c>
      <c r="H1865">
        <v>4329</v>
      </c>
    </row>
    <row r="1866" spans="1:8" ht="15" customHeight="1" x14ac:dyDescent="0.25">
      <c r="A1866" t="s">
        <v>4110</v>
      </c>
      <c r="B1866" t="s">
        <v>8155</v>
      </c>
      <c r="C1866" t="s">
        <v>11701</v>
      </c>
      <c r="D1866" t="s">
        <v>13287</v>
      </c>
      <c r="E1866" t="str">
        <f>+VLOOKUP(A1866,[1]PFE4!$A$7:$F$5208,6,0)</f>
        <v>TRANSVERSAL 22 BIS  59  29</v>
      </c>
      <c r="F1866" s="17" t="str">
        <f>+VLOOKUP(A1866,[1]PFE4!$A$7:$G$5208,7,0)</f>
        <v>05615</v>
      </c>
      <c r="G1866">
        <v>12408808</v>
      </c>
      <c r="H1866">
        <v>4329</v>
      </c>
    </row>
    <row r="1867" spans="1:8" ht="15" customHeight="1" x14ac:dyDescent="0.25">
      <c r="A1867" t="s">
        <v>4111</v>
      </c>
      <c r="B1867" t="s">
        <v>8156</v>
      </c>
      <c r="C1867" t="s">
        <v>11702</v>
      </c>
      <c r="D1867" t="s">
        <v>13287</v>
      </c>
      <c r="E1867" t="str">
        <f>+VLOOKUP(A1867,[1]PFE4!$A$7:$F$5208,6,0)</f>
        <v>CARRERA 39  48  39</v>
      </c>
      <c r="F1867" s="17">
        <f>+VLOOKUP(A1867,[1]PFE4!$A$7:$G$5208,7,0)</f>
        <v>68001</v>
      </c>
      <c r="G1867">
        <v>12413516</v>
      </c>
      <c r="H1867">
        <v>4329</v>
      </c>
    </row>
    <row r="1868" spans="1:8" ht="15" customHeight="1" x14ac:dyDescent="0.25">
      <c r="A1868" t="s">
        <v>4112</v>
      </c>
      <c r="B1868" t="s">
        <v>8157</v>
      </c>
      <c r="C1868" t="s">
        <v>11703</v>
      </c>
      <c r="D1868" t="s">
        <v>13287</v>
      </c>
      <c r="E1868" t="str">
        <f>+VLOOKUP(A1868,[1]PFE4!$A$7:$F$5208,6,0)</f>
        <v>CALLE 24  18 E  53</v>
      </c>
      <c r="F1868" s="17">
        <f>+VLOOKUP(A1868,[1]PFE4!$A$7:$G$5208,7,0)</f>
        <v>54001</v>
      </c>
      <c r="G1868">
        <v>12428740</v>
      </c>
      <c r="H1868">
        <v>4329</v>
      </c>
    </row>
    <row r="1869" spans="1:8" ht="15" customHeight="1" x14ac:dyDescent="0.25">
      <c r="A1869" t="s">
        <v>4113</v>
      </c>
      <c r="B1869" t="s">
        <v>8158</v>
      </c>
      <c r="C1869" t="s">
        <v>11704</v>
      </c>
      <c r="D1869" t="s">
        <v>13287</v>
      </c>
      <c r="E1869" t="str">
        <f>+VLOOKUP(A1869,[1]PFE4!$A$7:$F$5208,6,0)</f>
        <v>CARRERA 30  87  62</v>
      </c>
      <c r="F1869" s="17">
        <f>+VLOOKUP(A1869,[1]PFE4!$A$7:$G$5208,7,0)</f>
        <v>11001</v>
      </c>
      <c r="G1869">
        <v>12429496</v>
      </c>
      <c r="H1869">
        <v>4329</v>
      </c>
    </row>
    <row r="1870" spans="1:8" ht="15" customHeight="1" x14ac:dyDescent="0.25">
      <c r="A1870" t="s">
        <v>4114</v>
      </c>
      <c r="B1870" t="s">
        <v>8159</v>
      </c>
      <c r="C1870" t="s">
        <v>11705</v>
      </c>
      <c r="D1870" t="s">
        <v>13287</v>
      </c>
      <c r="E1870" t="str">
        <f>+VLOOKUP(A1870,[1]PFE4!$A$7:$F$5208,6,0)</f>
        <v>CALLE 129  7 B  41</v>
      </c>
      <c r="F1870" s="17">
        <f>+VLOOKUP(A1870,[1]PFE4!$A$7:$G$5208,7,0)</f>
        <v>11001</v>
      </c>
      <c r="G1870">
        <v>12438684</v>
      </c>
      <c r="H1870">
        <v>4329</v>
      </c>
    </row>
    <row r="1871" spans="1:8" ht="15" customHeight="1" x14ac:dyDescent="0.25">
      <c r="A1871" t="s">
        <v>4115</v>
      </c>
      <c r="B1871" t="s">
        <v>8160</v>
      </c>
      <c r="C1871" t="s">
        <v>11706</v>
      </c>
      <c r="D1871" t="s">
        <v>13287</v>
      </c>
      <c r="E1871" t="str">
        <f>+VLOOKUP(A1871,[1]PFE4!$A$7:$F$5208,6,0)</f>
        <v>CRA 19 C 86 A - 67</v>
      </c>
      <c r="F1871" s="17">
        <f>+VLOOKUP(A1871,[1]PFE4!$A$7:$G$5208,7,0)</f>
        <v>11001</v>
      </c>
      <c r="G1871">
        <v>12439600</v>
      </c>
      <c r="H1871">
        <v>4329</v>
      </c>
    </row>
    <row r="1872" spans="1:8" ht="15" customHeight="1" x14ac:dyDescent="0.25">
      <c r="A1872" t="s">
        <v>4116</v>
      </c>
      <c r="B1872" t="s">
        <v>8161</v>
      </c>
      <c r="C1872" t="s">
        <v>11707</v>
      </c>
      <c r="D1872" t="s">
        <v>13287</v>
      </c>
      <c r="E1872" t="str">
        <f>+VLOOKUP(A1872,[1]PFE4!$A$7:$F$5208,6,0)</f>
        <v>CALLE 84  57  40</v>
      </c>
      <c r="F1872" s="17" t="str">
        <f>+VLOOKUP(A1872,[1]PFE4!$A$7:$G$5208,7,0)</f>
        <v>08001</v>
      </c>
      <c r="G1872">
        <v>12449800</v>
      </c>
      <c r="H1872">
        <v>4329</v>
      </c>
    </row>
    <row r="1873" spans="1:8" ht="15" customHeight="1" x14ac:dyDescent="0.25">
      <c r="A1873" t="s">
        <v>4117</v>
      </c>
      <c r="B1873" t="s">
        <v>8162</v>
      </c>
      <c r="C1873" t="s">
        <v>11708</v>
      </c>
      <c r="D1873" t="s">
        <v>13287</v>
      </c>
      <c r="E1873" t="str">
        <f>+VLOOKUP(A1873,[1]PFE4!$A$7:$F$5208,6,0)</f>
        <v>CALLE 90  15  17 OFICINA 302</v>
      </c>
      <c r="F1873" s="17">
        <f>+VLOOKUP(A1873,[1]PFE4!$A$7:$G$5208,7,0)</f>
        <v>11001</v>
      </c>
      <c r="G1873">
        <v>12474340</v>
      </c>
      <c r="H1873">
        <v>4329</v>
      </c>
    </row>
    <row r="1874" spans="1:8" ht="15" customHeight="1" x14ac:dyDescent="0.25">
      <c r="A1874" t="s">
        <v>4118</v>
      </c>
      <c r="B1874" t="s">
        <v>8163</v>
      </c>
      <c r="C1874" t="s">
        <v>11709</v>
      </c>
      <c r="D1874" t="s">
        <v>13287</v>
      </c>
      <c r="E1874" t="str">
        <f>+VLOOKUP(A1874,[1]PFE4!$A$7:$F$5208,6,0)</f>
        <v>CARRERA 15 E  105  90</v>
      </c>
      <c r="F1874" s="17">
        <f>+VLOOKUP(A1874,[1]PFE4!$A$7:$G$5208,7,0)</f>
        <v>11001</v>
      </c>
      <c r="G1874">
        <v>12495992</v>
      </c>
      <c r="H1874">
        <v>4329</v>
      </c>
    </row>
    <row r="1875" spans="1:8" ht="15" customHeight="1" x14ac:dyDescent="0.25">
      <c r="A1875" t="s">
        <v>4119</v>
      </c>
      <c r="B1875" t="s">
        <v>8164</v>
      </c>
      <c r="C1875" t="s">
        <v>11710</v>
      </c>
      <c r="D1875" t="s">
        <v>13287</v>
      </c>
      <c r="E1875" t="str">
        <f>+VLOOKUP(A1875,[1]PFE4!$A$7:$F$5208,6,0)</f>
        <v>CARRERA 45  85  154</v>
      </c>
      <c r="F1875" s="17" t="str">
        <f>+VLOOKUP(A1875,[1]PFE4!$A$7:$G$5208,7,0)</f>
        <v>08001</v>
      </c>
      <c r="G1875">
        <v>12497537</v>
      </c>
      <c r="H1875">
        <v>4329</v>
      </c>
    </row>
    <row r="1876" spans="1:8" ht="15" customHeight="1" x14ac:dyDescent="0.25">
      <c r="A1876" t="s">
        <v>4120</v>
      </c>
      <c r="B1876" t="s">
        <v>8165</v>
      </c>
      <c r="C1876" t="s">
        <v>11711</v>
      </c>
      <c r="D1876" t="s">
        <v>13287</v>
      </c>
      <c r="E1876" t="str">
        <f>+VLOOKUP(A1876,[1]PFE4!$A$7:$F$5208,6,0)</f>
        <v>CARRERA 6  131  46</v>
      </c>
      <c r="F1876" s="17">
        <f>+VLOOKUP(A1876,[1]PFE4!$A$7:$G$5208,7,0)</f>
        <v>11001</v>
      </c>
      <c r="G1876">
        <v>12501500</v>
      </c>
      <c r="H1876">
        <v>4329</v>
      </c>
    </row>
    <row r="1877" spans="1:8" ht="15" customHeight="1" x14ac:dyDescent="0.25">
      <c r="A1877" t="s">
        <v>4121</v>
      </c>
      <c r="B1877" t="s">
        <v>8166</v>
      </c>
      <c r="C1877">
        <v>0</v>
      </c>
      <c r="D1877" t="s">
        <v>13287</v>
      </c>
      <c r="E1877">
        <v>0</v>
      </c>
      <c r="F1877" s="17">
        <v>11001</v>
      </c>
      <c r="G1877">
        <v>12549724</v>
      </c>
      <c r="H1877">
        <v>4329</v>
      </c>
    </row>
    <row r="1878" spans="1:8" ht="15" customHeight="1" x14ac:dyDescent="0.25">
      <c r="A1878" t="s">
        <v>4122</v>
      </c>
      <c r="B1878" t="s">
        <v>8167</v>
      </c>
      <c r="C1878" t="s">
        <v>11712</v>
      </c>
      <c r="D1878" t="s">
        <v>13287</v>
      </c>
      <c r="E1878" t="str">
        <f>+VLOOKUP(A1878,[1]PFE4!$A$7:$F$5208,6,0)</f>
        <v>CR 18 7 34 38 BRR COMUNEROS</v>
      </c>
      <c r="F1878" s="17">
        <f>+VLOOKUP(A1878,[1]PFE4!$A$7:$G$5208,7,0)</f>
        <v>68001</v>
      </c>
      <c r="G1878">
        <v>12556024</v>
      </c>
      <c r="H1878">
        <v>4329</v>
      </c>
    </row>
    <row r="1879" spans="1:8" ht="15" customHeight="1" x14ac:dyDescent="0.25">
      <c r="A1879" t="s">
        <v>4123</v>
      </c>
      <c r="B1879" t="s">
        <v>8168</v>
      </c>
      <c r="C1879" t="s">
        <v>11713</v>
      </c>
      <c r="D1879" t="s">
        <v>13287</v>
      </c>
      <c r="E1879" t="str">
        <f>+VLOOKUP(A1879,[1]PFE4!$A$7:$F$5208,6,0)</f>
        <v>CL 3 SUR 36 10</v>
      </c>
      <c r="F1879" s="17" t="str">
        <f>+VLOOKUP(A1879,[1]PFE4!$A$7:$G$5208,7,0)</f>
        <v>08001</v>
      </c>
      <c r="G1879">
        <v>12566800</v>
      </c>
      <c r="H1879">
        <v>4329</v>
      </c>
    </row>
    <row r="1880" spans="1:8" ht="15" customHeight="1" x14ac:dyDescent="0.25">
      <c r="A1880" t="s">
        <v>4124</v>
      </c>
      <c r="B1880" t="s">
        <v>8169</v>
      </c>
      <c r="C1880" t="s">
        <v>11714</v>
      </c>
      <c r="D1880" t="s">
        <v>13287</v>
      </c>
      <c r="E1880" t="str">
        <f>+VLOOKUP(A1880,[1]PFE4!$A$7:$F$5208,6,0)</f>
        <v>CR 59 96 153</v>
      </c>
      <c r="F1880" s="17" t="str">
        <f>+VLOOKUP(A1880,[1]PFE4!$A$7:$G$5208,7,0)</f>
        <v>08001</v>
      </c>
      <c r="G1880">
        <v>12567182</v>
      </c>
      <c r="H1880">
        <v>4329</v>
      </c>
    </row>
    <row r="1881" spans="1:8" ht="15" customHeight="1" x14ac:dyDescent="0.25">
      <c r="A1881" t="s">
        <v>4125</v>
      </c>
      <c r="B1881" t="s">
        <v>8170</v>
      </c>
      <c r="C1881" t="s">
        <v>11715</v>
      </c>
      <c r="D1881" t="s">
        <v>13287</v>
      </c>
      <c r="E1881" t="str">
        <f>+VLOOKUP(A1881,[1]PFE4!$A$7:$F$5208,6,0)</f>
        <v>CARRERA 20 BIS  65 A  101</v>
      </c>
      <c r="F1881" s="17">
        <f>+VLOOKUP(A1881,[1]PFE4!$A$7:$G$5208,7,0)</f>
        <v>11001</v>
      </c>
      <c r="G1881">
        <v>12573334</v>
      </c>
      <c r="H1881">
        <v>4329</v>
      </c>
    </row>
    <row r="1882" spans="1:8" ht="15" customHeight="1" x14ac:dyDescent="0.25">
      <c r="A1882" t="s">
        <v>4126</v>
      </c>
      <c r="B1882" t="s">
        <v>8171</v>
      </c>
      <c r="C1882" t="s">
        <v>11716</v>
      </c>
      <c r="D1882" t="s">
        <v>13287</v>
      </c>
      <c r="E1882" t="str">
        <f>+VLOOKUP(A1882,[1]PFE4!$A$7:$F$5208,6,0)</f>
        <v>CALLE 120 A  7  65</v>
      </c>
      <c r="F1882" s="17">
        <f>+VLOOKUP(A1882,[1]PFE4!$A$7:$G$5208,7,0)</f>
        <v>11001</v>
      </c>
      <c r="G1882">
        <v>12576540</v>
      </c>
      <c r="H1882">
        <v>4329</v>
      </c>
    </row>
    <row r="1883" spans="1:8" ht="15" customHeight="1" x14ac:dyDescent="0.25">
      <c r="A1883" t="s">
        <v>4127</v>
      </c>
      <c r="B1883" t="s">
        <v>8172</v>
      </c>
      <c r="C1883" t="s">
        <v>11717</v>
      </c>
      <c r="D1883" t="s">
        <v>13287</v>
      </c>
      <c r="E1883" t="str">
        <f>+VLOOKUP(A1883,[1]PFE4!$A$7:$F$5208,6,0)</f>
        <v>CALLE 72  1  10</v>
      </c>
      <c r="F1883" s="17">
        <f>+VLOOKUP(A1883,[1]PFE4!$A$7:$G$5208,7,0)</f>
        <v>11001</v>
      </c>
      <c r="G1883">
        <v>12576888</v>
      </c>
      <c r="H1883">
        <v>4329</v>
      </c>
    </row>
    <row r="1884" spans="1:8" ht="15" customHeight="1" x14ac:dyDescent="0.25">
      <c r="A1884" t="s">
        <v>4128</v>
      </c>
      <c r="B1884" t="s">
        <v>8173</v>
      </c>
      <c r="C1884" t="s">
        <v>11718</v>
      </c>
      <c r="D1884" t="s">
        <v>13287</v>
      </c>
      <c r="E1884" t="str">
        <f>+VLOOKUP(A1884,[1]PFE4!$A$7:$F$5208,6,0)</f>
        <v>CARRERA 64D 86-141</v>
      </c>
      <c r="F1884" s="17" t="str">
        <f>+VLOOKUP(A1884,[1]PFE4!$A$7:$G$5208,7,0)</f>
        <v>08001</v>
      </c>
      <c r="G1884">
        <v>12591128</v>
      </c>
      <c r="H1884">
        <v>4329</v>
      </c>
    </row>
    <row r="1885" spans="1:8" ht="15" customHeight="1" x14ac:dyDescent="0.25">
      <c r="A1885" t="s">
        <v>4129</v>
      </c>
      <c r="B1885" t="s">
        <v>8174</v>
      </c>
      <c r="C1885" t="s">
        <v>11719</v>
      </c>
      <c r="D1885" t="s">
        <v>13287</v>
      </c>
      <c r="E1885" t="str">
        <f>+VLOOKUP(A1885,[1]PFE4!$A$7:$F$5208,6,0)</f>
        <v>CL 17 A SUR 44 214</v>
      </c>
      <c r="F1885" s="17" t="str">
        <f>+VLOOKUP(A1885,[1]PFE4!$A$7:$G$5208,7,0)</f>
        <v>05266</v>
      </c>
      <c r="G1885">
        <v>12596964</v>
      </c>
      <c r="H1885">
        <v>4329</v>
      </c>
    </row>
    <row r="1886" spans="1:8" ht="15" customHeight="1" x14ac:dyDescent="0.25">
      <c r="A1886" t="s">
        <v>4130</v>
      </c>
      <c r="B1886" t="s">
        <v>8175</v>
      </c>
      <c r="C1886" t="s">
        <v>10656</v>
      </c>
      <c r="D1886" t="s">
        <v>13287</v>
      </c>
      <c r="E1886" t="str">
        <f>+VLOOKUP(A1886,[1]PFE4!$A$7:$F$5208,6,0)</f>
        <v>CALLE 104  21  72</v>
      </c>
      <c r="F1886" s="17">
        <f>+VLOOKUP(A1886,[1]PFE4!$A$7:$G$5208,7,0)</f>
        <v>11001</v>
      </c>
      <c r="G1886">
        <v>12597573</v>
      </c>
      <c r="H1886">
        <v>4329</v>
      </c>
    </row>
    <row r="1887" spans="1:8" ht="15" customHeight="1" x14ac:dyDescent="0.25">
      <c r="A1887" t="s">
        <v>4131</v>
      </c>
      <c r="B1887" t="s">
        <v>8176</v>
      </c>
      <c r="C1887">
        <v>0</v>
      </c>
      <c r="D1887" t="s">
        <v>13287</v>
      </c>
      <c r="E1887">
        <v>0</v>
      </c>
      <c r="F1887" s="17">
        <v>11001</v>
      </c>
      <c r="G1887">
        <v>12600000</v>
      </c>
      <c r="H1887">
        <v>4329</v>
      </c>
    </row>
    <row r="1888" spans="1:8" ht="15" customHeight="1" x14ac:dyDescent="0.25">
      <c r="A1888" t="s">
        <v>4132</v>
      </c>
      <c r="B1888" t="s">
        <v>8177</v>
      </c>
      <c r="C1888" t="s">
        <v>11720</v>
      </c>
      <c r="D1888" t="s">
        <v>13287</v>
      </c>
      <c r="E1888" t="str">
        <f>+VLOOKUP(A1888,[1]PFE4!$A$7:$F$5208,6,0)</f>
        <v>CALLE 127 D  21  80</v>
      </c>
      <c r="F1888" s="17">
        <f>+VLOOKUP(A1888,[1]PFE4!$A$7:$G$5208,7,0)</f>
        <v>11001</v>
      </c>
      <c r="G1888">
        <v>12631904</v>
      </c>
      <c r="H1888">
        <v>4329</v>
      </c>
    </row>
    <row r="1889" spans="1:8" ht="15" customHeight="1" x14ac:dyDescent="0.25">
      <c r="A1889" t="s">
        <v>4133</v>
      </c>
      <c r="B1889" t="s">
        <v>8178</v>
      </c>
      <c r="C1889" t="s">
        <v>11721</v>
      </c>
      <c r="D1889" t="s">
        <v>13287</v>
      </c>
      <c r="E1889" t="str">
        <f>+VLOOKUP(A1889,[1]PFE4!$A$7:$F$5208,6,0)</f>
        <v>CL 75 45 16</v>
      </c>
      <c r="F1889" s="17" t="str">
        <f>+VLOOKUP(A1889,[1]PFE4!$A$7:$G$5208,7,0)</f>
        <v>08001</v>
      </c>
      <c r="G1889">
        <v>12633886</v>
      </c>
      <c r="H1889">
        <v>4329</v>
      </c>
    </row>
    <row r="1890" spans="1:8" ht="15" customHeight="1" x14ac:dyDescent="0.25">
      <c r="A1890" t="s">
        <v>4134</v>
      </c>
      <c r="B1890" t="s">
        <v>8179</v>
      </c>
      <c r="C1890">
        <v>0</v>
      </c>
      <c r="D1890" t="s">
        <v>13287</v>
      </c>
      <c r="E1890">
        <v>0</v>
      </c>
      <c r="F1890" s="17">
        <v>11001</v>
      </c>
      <c r="G1890">
        <v>12640000</v>
      </c>
      <c r="H1890">
        <v>4329</v>
      </c>
    </row>
    <row r="1891" spans="1:8" ht="15" customHeight="1" x14ac:dyDescent="0.25">
      <c r="A1891" t="s">
        <v>4135</v>
      </c>
      <c r="B1891" t="s">
        <v>8180</v>
      </c>
      <c r="C1891" t="s">
        <v>11338</v>
      </c>
      <c r="D1891" t="s">
        <v>13287</v>
      </c>
      <c r="E1891" t="str">
        <f>+VLOOKUP(A1891,[1]PFE4!$A$7:$F$5208,6,0)</f>
        <v>CARRERA 15  79  84  OFICINA 303</v>
      </c>
      <c r="F1891" s="17">
        <f>+VLOOKUP(A1891,[1]PFE4!$A$7:$G$5208,7,0)</f>
        <v>11001</v>
      </c>
      <c r="G1891">
        <v>12651698</v>
      </c>
      <c r="H1891">
        <v>4329</v>
      </c>
    </row>
    <row r="1892" spans="1:8" ht="15" customHeight="1" x14ac:dyDescent="0.25">
      <c r="A1892" t="s">
        <v>4136</v>
      </c>
      <c r="B1892" t="s">
        <v>8181</v>
      </c>
      <c r="C1892" t="s">
        <v>11722</v>
      </c>
      <c r="D1892" t="s">
        <v>13287</v>
      </c>
      <c r="E1892" t="str">
        <f>+VLOOKUP(A1892,[1]PFE4!$A$7:$F$5208,6,0)</f>
        <v>CARRERA 20  29 B  127</v>
      </c>
      <c r="F1892" s="17">
        <f>+VLOOKUP(A1892,[1]PFE4!$A$7:$G$5208,7,0)</f>
        <v>11001</v>
      </c>
      <c r="G1892">
        <v>12658488</v>
      </c>
      <c r="H1892">
        <v>4329</v>
      </c>
    </row>
    <row r="1893" spans="1:8" ht="15" customHeight="1" x14ac:dyDescent="0.25">
      <c r="A1893" t="s">
        <v>4137</v>
      </c>
      <c r="B1893" t="s">
        <v>8182</v>
      </c>
      <c r="C1893" t="s">
        <v>11723</v>
      </c>
      <c r="D1893" t="s">
        <v>13287</v>
      </c>
      <c r="E1893" t="str">
        <f>+VLOOKUP(A1893,[1]PFE4!$A$7:$F$5208,6,0)</f>
        <v>CALLE 37  16  02</v>
      </c>
      <c r="F1893" s="17">
        <f>+VLOOKUP(A1893,[1]PFE4!$A$7:$G$5208,7,0)</f>
        <v>11001</v>
      </c>
      <c r="G1893">
        <v>12661100</v>
      </c>
      <c r="H1893">
        <v>4329</v>
      </c>
    </row>
    <row r="1894" spans="1:8" ht="15" customHeight="1" x14ac:dyDescent="0.25">
      <c r="A1894" t="s">
        <v>4138</v>
      </c>
      <c r="B1894" t="s">
        <v>8183</v>
      </c>
      <c r="C1894" t="s">
        <v>11724</v>
      </c>
      <c r="D1894" t="s">
        <v>13287</v>
      </c>
      <c r="E1894" t="str">
        <f>+VLOOKUP(A1894,[1]PFE4!$A$7:$F$5208,6,0)</f>
        <v>CL 124 20 33</v>
      </c>
      <c r="F1894" s="17">
        <f>+VLOOKUP(A1894,[1]PFE4!$A$7:$G$5208,7,0)</f>
        <v>11001</v>
      </c>
      <c r="G1894">
        <v>12661914</v>
      </c>
      <c r="H1894">
        <v>4329</v>
      </c>
    </row>
    <row r="1895" spans="1:8" ht="15" customHeight="1" x14ac:dyDescent="0.25">
      <c r="A1895" t="s">
        <v>4139</v>
      </c>
      <c r="B1895" t="s">
        <v>8184</v>
      </c>
      <c r="C1895" t="s">
        <v>11725</v>
      </c>
      <c r="D1895" t="s">
        <v>13287</v>
      </c>
      <c r="E1895" t="str">
        <f>+VLOOKUP(A1895,[1]PFE4!$A$7:$F$5208,6,0)</f>
        <v>DG 72 1 52</v>
      </c>
      <c r="F1895" s="17">
        <f>+VLOOKUP(A1895,[1]PFE4!$A$7:$G$5208,7,0)</f>
        <v>11001</v>
      </c>
      <c r="G1895">
        <v>12663384</v>
      </c>
      <c r="H1895">
        <v>4329</v>
      </c>
    </row>
    <row r="1896" spans="1:8" ht="15" customHeight="1" x14ac:dyDescent="0.25">
      <c r="A1896" t="s">
        <v>4140</v>
      </c>
      <c r="B1896" t="s">
        <v>8185</v>
      </c>
      <c r="C1896" t="s">
        <v>11726</v>
      </c>
      <c r="D1896" t="s">
        <v>13287</v>
      </c>
      <c r="E1896" t="str">
        <f>+VLOOKUP(A1896,[1]PFE4!$A$7:$F$5208,6,0)</f>
        <v>CARRERA 13  26  13</v>
      </c>
      <c r="F1896" s="17">
        <f>+VLOOKUP(A1896,[1]PFE4!$A$7:$G$5208,7,0)</f>
        <v>63001</v>
      </c>
      <c r="G1896">
        <v>12677384</v>
      </c>
      <c r="H1896">
        <v>4329</v>
      </c>
    </row>
    <row r="1897" spans="1:8" ht="15" customHeight="1" x14ac:dyDescent="0.25">
      <c r="A1897" t="s">
        <v>4141</v>
      </c>
      <c r="B1897" t="s">
        <v>8186</v>
      </c>
      <c r="C1897" t="s">
        <v>11727</v>
      </c>
      <c r="D1897" t="s">
        <v>13287</v>
      </c>
      <c r="E1897" t="str">
        <f>+VLOOKUP(A1897,[1]PFE4!$A$7:$F$5208,6,0)</f>
        <v>CL 58 Y 59 CR 98 C Y 98 F</v>
      </c>
      <c r="F1897" s="17">
        <f>+VLOOKUP(A1897,[1]PFE4!$A$7:$G$5208,7,0)</f>
        <v>11001</v>
      </c>
      <c r="G1897">
        <v>12688800</v>
      </c>
      <c r="H1897">
        <v>4329</v>
      </c>
    </row>
    <row r="1898" spans="1:8" ht="15" customHeight="1" x14ac:dyDescent="0.25">
      <c r="A1898" t="s">
        <v>4142</v>
      </c>
      <c r="B1898" t="s">
        <v>8187</v>
      </c>
      <c r="C1898" t="s">
        <v>11728</v>
      </c>
      <c r="D1898" t="s">
        <v>13287</v>
      </c>
      <c r="E1898" t="str">
        <f>+VLOOKUP(A1898,[1]PFE4!$A$7:$F$5208,6,0)</f>
        <v>CARRERA 15  143  07</v>
      </c>
      <c r="F1898" s="17">
        <f>+VLOOKUP(A1898,[1]PFE4!$A$7:$G$5208,7,0)</f>
        <v>11001</v>
      </c>
      <c r="G1898">
        <v>12694528</v>
      </c>
      <c r="H1898">
        <v>4329</v>
      </c>
    </row>
    <row r="1899" spans="1:8" ht="15" customHeight="1" x14ac:dyDescent="0.25">
      <c r="A1899" t="s">
        <v>4143</v>
      </c>
      <c r="B1899" t="s">
        <v>8188</v>
      </c>
      <c r="C1899" t="s">
        <v>11729</v>
      </c>
      <c r="D1899" t="s">
        <v>13287</v>
      </c>
      <c r="E1899" t="str">
        <f>+VLOOKUP(A1899,[1]PFE4!$A$7:$F$5208,6,0)</f>
        <v>CALLE 93  19  66</v>
      </c>
      <c r="F1899" s="17">
        <f>+VLOOKUP(A1899,[1]PFE4!$A$7:$G$5208,7,0)</f>
        <v>11001</v>
      </c>
      <c r="G1899">
        <v>12750848</v>
      </c>
      <c r="H1899">
        <v>4329</v>
      </c>
    </row>
    <row r="1900" spans="1:8" ht="15" customHeight="1" x14ac:dyDescent="0.25">
      <c r="A1900" t="s">
        <v>4144</v>
      </c>
      <c r="B1900" t="s">
        <v>8189</v>
      </c>
      <c r="C1900" t="s">
        <v>11730</v>
      </c>
      <c r="D1900" t="s">
        <v>13287</v>
      </c>
      <c r="E1900" t="str">
        <f>+VLOOKUP(A1900,[1]PFE4!$A$7:$F$5208,6,0)</f>
        <v>Conjunto san maria de las lomas, lote 5 vía al cerro de oro, construcción torre 360</v>
      </c>
      <c r="F1900" s="17">
        <f>+VLOOKUP(A1900,[1]PFE4!$A$7:$G$5208,7,0)</f>
        <v>11001</v>
      </c>
      <c r="G1900">
        <v>12754926</v>
      </c>
      <c r="H1900">
        <v>4329</v>
      </c>
    </row>
    <row r="1901" spans="1:8" ht="15" customHeight="1" x14ac:dyDescent="0.25">
      <c r="A1901" t="s">
        <v>4145</v>
      </c>
      <c r="B1901" t="s">
        <v>8190</v>
      </c>
      <c r="C1901" t="s">
        <v>11731</v>
      </c>
      <c r="D1901" t="s">
        <v>13287</v>
      </c>
      <c r="E1901" t="str">
        <f>+VLOOKUP(A1901,[1]PFE4!$A$7:$F$5208,6,0)</f>
        <v>CALLE 10  15 B  40</v>
      </c>
      <c r="F1901" s="17">
        <f>+VLOOKUP(A1901,[1]PFE4!$A$7:$G$5208,7,0)</f>
        <v>11001</v>
      </c>
      <c r="G1901">
        <v>12760000</v>
      </c>
      <c r="H1901">
        <v>4329</v>
      </c>
    </row>
    <row r="1902" spans="1:8" ht="15" customHeight="1" x14ac:dyDescent="0.25">
      <c r="A1902" t="s">
        <v>4146</v>
      </c>
      <c r="B1902" t="s">
        <v>8191</v>
      </c>
      <c r="C1902">
        <v>0</v>
      </c>
      <c r="D1902" t="s">
        <v>13287</v>
      </c>
      <c r="E1902">
        <v>0</v>
      </c>
      <c r="F1902" s="17">
        <v>11001</v>
      </c>
      <c r="G1902">
        <v>12771147</v>
      </c>
      <c r="H1902">
        <v>4329</v>
      </c>
    </row>
    <row r="1903" spans="1:8" ht="15" customHeight="1" x14ac:dyDescent="0.25">
      <c r="A1903" t="s">
        <v>4147</v>
      </c>
      <c r="B1903" t="s">
        <v>8192</v>
      </c>
      <c r="C1903" t="s">
        <v>11392</v>
      </c>
      <c r="D1903" t="s">
        <v>13287</v>
      </c>
      <c r="E1903" t="str">
        <f>+VLOOKUP(A1903,[1]PFE4!$A$7:$F$5208,6,0)</f>
        <v>CARRERA 1 A ESTE  78  06</v>
      </c>
      <c r="F1903" s="17">
        <f>+VLOOKUP(A1903,[1]PFE4!$A$7:$G$5208,7,0)</f>
        <v>11001</v>
      </c>
      <c r="G1903">
        <v>12779512</v>
      </c>
      <c r="H1903">
        <v>4329</v>
      </c>
    </row>
    <row r="1904" spans="1:8" ht="15" customHeight="1" x14ac:dyDescent="0.25">
      <c r="A1904" t="s">
        <v>4148</v>
      </c>
      <c r="B1904" t="s">
        <v>8193</v>
      </c>
      <c r="C1904" t="s">
        <v>11732</v>
      </c>
      <c r="D1904" t="s">
        <v>13287</v>
      </c>
      <c r="E1904" t="str">
        <f>+VLOOKUP(A1904,[1]PFE4!$A$7:$F$5208,6,0)</f>
        <v>CARRERA 26 A  51  37</v>
      </c>
      <c r="F1904" s="17">
        <f>+VLOOKUP(A1904,[1]PFE4!$A$7:$G$5208,7,0)</f>
        <v>68001</v>
      </c>
      <c r="G1904">
        <v>12811048</v>
      </c>
      <c r="H1904">
        <v>4329</v>
      </c>
    </row>
    <row r="1905" spans="1:8" ht="15" customHeight="1" x14ac:dyDescent="0.25">
      <c r="A1905" t="s">
        <v>4149</v>
      </c>
      <c r="B1905" t="s">
        <v>8194</v>
      </c>
      <c r="C1905" t="s">
        <v>11733</v>
      </c>
      <c r="D1905" t="s">
        <v>13287</v>
      </c>
      <c r="E1905" t="str">
        <f>+VLOOKUP(A1905,[1]PFE4!$A$7:$F$5208,6,0)</f>
        <v>CALLE 108  17  11</v>
      </c>
      <c r="F1905" s="17">
        <f>+VLOOKUP(A1905,[1]PFE4!$A$7:$G$5208,7,0)</f>
        <v>11001</v>
      </c>
      <c r="G1905">
        <v>12820067</v>
      </c>
      <c r="H1905">
        <v>4329</v>
      </c>
    </row>
    <row r="1906" spans="1:8" ht="15" customHeight="1" x14ac:dyDescent="0.25">
      <c r="A1906" t="s">
        <v>4150</v>
      </c>
      <c r="B1906" t="s">
        <v>8195</v>
      </c>
      <c r="C1906" t="s">
        <v>11734</v>
      </c>
      <c r="D1906" t="s">
        <v>13287</v>
      </c>
      <c r="E1906" t="str">
        <f>+VLOOKUP(A1906,[1]PFE4!$A$7:$F$5208,6,0)</f>
        <v>CARRERA 28  54  28</v>
      </c>
      <c r="F1906" s="17">
        <f>+VLOOKUP(A1906,[1]PFE4!$A$7:$G$5208,7,0)</f>
        <v>11001</v>
      </c>
      <c r="G1906">
        <v>12839372</v>
      </c>
      <c r="H1906">
        <v>4329</v>
      </c>
    </row>
    <row r="1907" spans="1:8" ht="15" customHeight="1" x14ac:dyDescent="0.25">
      <c r="A1907" t="s">
        <v>4151</v>
      </c>
      <c r="B1907" t="s">
        <v>8196</v>
      </c>
      <c r="C1907">
        <v>0</v>
      </c>
      <c r="D1907" t="s">
        <v>13287</v>
      </c>
      <c r="E1907">
        <v>0</v>
      </c>
      <c r="F1907" s="17">
        <v>11001</v>
      </c>
      <c r="G1907">
        <v>12841400</v>
      </c>
      <c r="H1907">
        <v>4329</v>
      </c>
    </row>
    <row r="1908" spans="1:8" ht="15" customHeight="1" x14ac:dyDescent="0.25">
      <c r="A1908" t="s">
        <v>4152</v>
      </c>
      <c r="B1908" t="s">
        <v>8197</v>
      </c>
      <c r="C1908" t="s">
        <v>11735</v>
      </c>
      <c r="D1908" t="s">
        <v>13287</v>
      </c>
      <c r="E1908" t="str">
        <f>+VLOOKUP(A1908,[1]PFE4!$A$7:$F$5208,6,0)</f>
        <v>CR 11 69 42</v>
      </c>
      <c r="F1908" s="17">
        <f>+VLOOKUP(A1908,[1]PFE4!$A$7:$G$5208,7,0)</f>
        <v>17001</v>
      </c>
      <c r="G1908">
        <v>12863606</v>
      </c>
      <c r="H1908">
        <v>4329</v>
      </c>
    </row>
    <row r="1909" spans="1:8" ht="15" customHeight="1" x14ac:dyDescent="0.25">
      <c r="A1909" t="s">
        <v>4153</v>
      </c>
      <c r="B1909" t="s">
        <v>8198</v>
      </c>
      <c r="C1909" t="s">
        <v>11736</v>
      </c>
      <c r="D1909" t="s">
        <v>13287</v>
      </c>
      <c r="E1909" t="str">
        <f>+VLOOKUP(A1909,[1]PFE4!$A$7:$F$5208,6,0)</f>
        <v>CL 75 41 D 54</v>
      </c>
      <c r="F1909" s="17" t="str">
        <f>+VLOOKUP(A1909,[1]PFE4!$A$7:$G$5208,7,0)</f>
        <v>08001</v>
      </c>
      <c r="G1909">
        <v>12866720</v>
      </c>
      <c r="H1909">
        <v>4329</v>
      </c>
    </row>
    <row r="1910" spans="1:8" ht="15" customHeight="1" x14ac:dyDescent="0.25">
      <c r="A1910" t="s">
        <v>4154</v>
      </c>
      <c r="B1910" t="s">
        <v>8199</v>
      </c>
      <c r="C1910" t="s">
        <v>11737</v>
      </c>
      <c r="D1910" t="s">
        <v>13287</v>
      </c>
      <c r="E1910" t="str">
        <f>+VLOOKUP(A1910,[1]PFE4!$A$7:$F$5208,6,0)</f>
        <v>CL 20 B SUR 27 207</v>
      </c>
      <c r="F1910" s="17" t="str">
        <f>+VLOOKUP(A1910,[1]PFE4!$A$7:$G$5208,7,0)</f>
        <v>05001</v>
      </c>
      <c r="G1910">
        <v>12823848</v>
      </c>
      <c r="H1910">
        <v>4329</v>
      </c>
    </row>
    <row r="1911" spans="1:8" ht="15" customHeight="1" x14ac:dyDescent="0.25">
      <c r="A1911" t="s">
        <v>4155</v>
      </c>
      <c r="B1911" t="s">
        <v>8200</v>
      </c>
      <c r="C1911" t="s">
        <v>11738</v>
      </c>
      <c r="D1911" t="s">
        <v>13287</v>
      </c>
      <c r="E1911" t="str">
        <f>+VLOOKUP(A1911,[1]PFE4!$A$7:$F$5208,6,0)</f>
        <v>BARRIO PIE DE LA POPA  CL 3  0 21 51</v>
      </c>
      <c r="F1911" s="17">
        <f>+VLOOKUP(A1911,[1]PFE4!$A$7:$G$5208,7,0)</f>
        <v>63001</v>
      </c>
      <c r="G1911">
        <v>12883862</v>
      </c>
      <c r="H1911">
        <v>4329</v>
      </c>
    </row>
    <row r="1912" spans="1:8" ht="15" customHeight="1" x14ac:dyDescent="0.25">
      <c r="A1912" t="s">
        <v>4156</v>
      </c>
      <c r="B1912" t="s">
        <v>8201</v>
      </c>
      <c r="C1912" t="s">
        <v>11739</v>
      </c>
      <c r="D1912" t="s">
        <v>13287</v>
      </c>
      <c r="E1912" t="str">
        <f>+VLOOKUP(A1912,[1]PFE4!$A$7:$F$5208,6,0)</f>
        <v>TRANSVERSAL 60  100  90</v>
      </c>
      <c r="F1912" s="17">
        <f>+VLOOKUP(A1912,[1]PFE4!$A$7:$G$5208,7,0)</f>
        <v>11001</v>
      </c>
      <c r="G1912">
        <v>12890680</v>
      </c>
      <c r="H1912">
        <v>4329</v>
      </c>
    </row>
    <row r="1913" spans="1:8" ht="15" customHeight="1" x14ac:dyDescent="0.25">
      <c r="A1913" t="s">
        <v>4157</v>
      </c>
      <c r="B1913" t="s">
        <v>8202</v>
      </c>
      <c r="C1913" t="s">
        <v>11166</v>
      </c>
      <c r="D1913" t="s">
        <v>13287</v>
      </c>
      <c r="E1913" t="str">
        <f>+VLOOKUP(A1913,[1]PFE4!$A$7:$F$5208,6,0)</f>
        <v>CL 144 19A 16</v>
      </c>
      <c r="F1913" s="17">
        <f>+VLOOKUP(A1913,[1]PFE4!$A$7:$G$5208,7,0)</f>
        <v>11001</v>
      </c>
      <c r="G1913">
        <v>12892882</v>
      </c>
      <c r="H1913">
        <v>4329</v>
      </c>
    </row>
    <row r="1914" spans="1:8" ht="15" customHeight="1" x14ac:dyDescent="0.25">
      <c r="A1914" t="s">
        <v>4158</v>
      </c>
      <c r="B1914" t="s">
        <v>8203</v>
      </c>
      <c r="C1914" t="s">
        <v>11676</v>
      </c>
      <c r="D1914" t="s">
        <v>13287</v>
      </c>
      <c r="E1914" t="str">
        <f>+VLOOKUP(A1914,[1]PFE4!$A$7:$F$5208,6,0)</f>
        <v>CALLE 108 A  17 A  86</v>
      </c>
      <c r="F1914" s="17">
        <f>+VLOOKUP(A1914,[1]PFE4!$A$7:$G$5208,7,0)</f>
        <v>11001</v>
      </c>
      <c r="G1914">
        <v>12893983</v>
      </c>
      <c r="H1914">
        <v>4329</v>
      </c>
    </row>
    <row r="1915" spans="1:8" ht="15" customHeight="1" x14ac:dyDescent="0.25">
      <c r="A1915" t="s">
        <v>4159</v>
      </c>
      <c r="B1915" t="s">
        <v>8204</v>
      </c>
      <c r="C1915" t="s">
        <v>11740</v>
      </c>
      <c r="D1915" t="s">
        <v>13287</v>
      </c>
      <c r="E1915" t="str">
        <f>+VLOOKUP(A1915,[1]PFE4!$A$7:$F$5208,6,0)</f>
        <v>DG 75 N° 2 - 84</v>
      </c>
      <c r="F1915" s="17">
        <f>+VLOOKUP(A1915,[1]PFE4!$A$7:$G$5208,7,0)</f>
        <v>11001</v>
      </c>
      <c r="G1915">
        <v>12897341</v>
      </c>
      <c r="H1915">
        <v>4329</v>
      </c>
    </row>
    <row r="1916" spans="1:8" ht="15" customHeight="1" x14ac:dyDescent="0.25">
      <c r="A1916" t="s">
        <v>4160</v>
      </c>
      <c r="B1916" t="s">
        <v>8205</v>
      </c>
      <c r="C1916" t="s">
        <v>11741</v>
      </c>
      <c r="D1916" t="s">
        <v>13287</v>
      </c>
      <c r="E1916" t="str">
        <f>+VLOOKUP(A1916,[1]PFE4!$A$7:$F$5208,6,0)</f>
        <v>CALLE 60 SUR  83 A  11</v>
      </c>
      <c r="F1916" s="17">
        <f>+VLOOKUP(A1916,[1]PFE4!$A$7:$G$5208,7,0)</f>
        <v>11001</v>
      </c>
      <c r="G1916">
        <v>12911556</v>
      </c>
      <c r="H1916">
        <v>4329</v>
      </c>
    </row>
    <row r="1917" spans="1:8" ht="15" customHeight="1" x14ac:dyDescent="0.25">
      <c r="A1917" t="s">
        <v>4161</v>
      </c>
      <c r="B1917" t="s">
        <v>8206</v>
      </c>
      <c r="C1917" t="s">
        <v>11742</v>
      </c>
      <c r="D1917" t="s">
        <v>13287</v>
      </c>
      <c r="E1917" t="str">
        <f>+VLOOKUP(A1917,[1]PFE4!$A$7:$F$5208,6,0)</f>
        <v>CARRERA 22  34  18</v>
      </c>
      <c r="F1917" s="17">
        <f>+VLOOKUP(A1917,[1]PFE4!$A$7:$G$5208,7,0)</f>
        <v>68001</v>
      </c>
      <c r="G1917">
        <v>12943704</v>
      </c>
      <c r="H1917">
        <v>4329</v>
      </c>
    </row>
    <row r="1918" spans="1:8" ht="15" customHeight="1" x14ac:dyDescent="0.25">
      <c r="A1918" t="s">
        <v>4162</v>
      </c>
      <c r="B1918" t="s">
        <v>8207</v>
      </c>
      <c r="C1918" t="s">
        <v>11743</v>
      </c>
      <c r="D1918" t="s">
        <v>13287</v>
      </c>
      <c r="E1918" t="str">
        <f>+VLOOKUP(A1918,[1]PFE4!$A$7:$F$5208,6,0)</f>
        <v>CARRERA 56  84  90</v>
      </c>
      <c r="F1918" s="17" t="str">
        <f>+VLOOKUP(A1918,[1]PFE4!$A$7:$G$5208,7,0)</f>
        <v>08001</v>
      </c>
      <c r="G1918">
        <v>12948357</v>
      </c>
      <c r="H1918">
        <v>4329</v>
      </c>
    </row>
    <row r="1919" spans="1:8" ht="15" customHeight="1" x14ac:dyDescent="0.25">
      <c r="A1919" t="s">
        <v>4163</v>
      </c>
      <c r="B1919" t="s">
        <v>8208</v>
      </c>
      <c r="C1919">
        <v>3219664011</v>
      </c>
      <c r="D1919" t="s">
        <v>13287</v>
      </c>
      <c r="E1919" t="str">
        <f>+VLOOKUP(A1919,[1]PFE4!$A$7:$F$5208,6,0)</f>
        <v>CARRERA 56  81  98</v>
      </c>
      <c r="F1919" s="17">
        <f>+VLOOKUP(A1919,[1]PFE4!$A$7:$G$5208,7,0)</f>
        <v>11001</v>
      </c>
      <c r="G1919">
        <v>12955012</v>
      </c>
      <c r="H1919">
        <v>4329</v>
      </c>
    </row>
    <row r="1920" spans="1:8" ht="15" customHeight="1" x14ac:dyDescent="0.25">
      <c r="A1920" t="s">
        <v>4164</v>
      </c>
      <c r="B1920" t="s">
        <v>8209</v>
      </c>
      <c r="C1920" t="s">
        <v>11744</v>
      </c>
      <c r="D1920" t="s">
        <v>13287</v>
      </c>
      <c r="E1920" t="str">
        <f>+VLOOKUP(A1920,[1]PFE4!$A$7:$F$5208,6,0)</f>
        <v>KILOMETRO 3,5 COSTADO SUR AUTOPISTA MEDELLIN</v>
      </c>
      <c r="F1920" s="17">
        <f>+VLOOKUP(A1920,[1]PFE4!$A$7:$G$5208,7,0)</f>
        <v>25214</v>
      </c>
      <c r="G1920">
        <v>12959069</v>
      </c>
      <c r="H1920">
        <v>4329</v>
      </c>
    </row>
    <row r="1921" spans="1:8" ht="15" customHeight="1" x14ac:dyDescent="0.25">
      <c r="A1921" t="s">
        <v>4165</v>
      </c>
      <c r="B1921" t="s">
        <v>8210</v>
      </c>
      <c r="C1921" t="s">
        <v>11745</v>
      </c>
      <c r="D1921" t="s">
        <v>13287</v>
      </c>
      <c r="E1921" t="str">
        <f>+VLOOKUP(A1921,[1]PFE4!$A$7:$F$5208,6,0)</f>
        <v>CALLE 22 D  86  21</v>
      </c>
      <c r="F1921" s="17">
        <f>+VLOOKUP(A1921,[1]PFE4!$A$7:$G$5208,7,0)</f>
        <v>11001</v>
      </c>
      <c r="G1921">
        <v>12976788</v>
      </c>
      <c r="H1921">
        <v>4329</v>
      </c>
    </row>
    <row r="1922" spans="1:8" ht="15" customHeight="1" x14ac:dyDescent="0.25">
      <c r="A1922" t="s">
        <v>4166</v>
      </c>
      <c r="B1922" t="s">
        <v>8211</v>
      </c>
      <c r="C1922" t="s">
        <v>11746</v>
      </c>
      <c r="D1922" t="s">
        <v>13287</v>
      </c>
      <c r="E1922" t="str">
        <f>+VLOOKUP(A1922,[1]PFE4!$A$7:$F$5208,6,0)</f>
        <v xml:space="preserve">CR 36 D 12 OESTE 203
</v>
      </c>
      <c r="F1922" s="17">
        <f>+VLOOKUP(A1922,[1]PFE4!$A$7:$G$5208,7,0)</f>
        <v>76001</v>
      </c>
      <c r="G1922">
        <v>12629232</v>
      </c>
      <c r="H1922">
        <v>4329</v>
      </c>
    </row>
    <row r="1923" spans="1:8" ht="15" customHeight="1" x14ac:dyDescent="0.25">
      <c r="A1923" t="s">
        <v>4167</v>
      </c>
      <c r="B1923" t="s">
        <v>8212</v>
      </c>
      <c r="C1923" t="s">
        <v>11747</v>
      </c>
      <c r="D1923" t="s">
        <v>13287</v>
      </c>
      <c r="E1923" t="str">
        <f>+VLOOKUP(A1923,[1]PFE4!$A$7:$F$5208,6,0)</f>
        <v>CR 31 A 25 25</v>
      </c>
      <c r="F1923" s="17">
        <f>+VLOOKUP(A1923,[1]PFE4!$A$7:$G$5208,7,0)</f>
        <v>11001</v>
      </c>
      <c r="G1923">
        <v>13022090</v>
      </c>
      <c r="H1923">
        <v>4329</v>
      </c>
    </row>
    <row r="1924" spans="1:8" ht="15" customHeight="1" x14ac:dyDescent="0.25">
      <c r="A1924" t="s">
        <v>4168</v>
      </c>
      <c r="B1924" t="s">
        <v>8213</v>
      </c>
      <c r="C1924" t="s">
        <v>11748</v>
      </c>
      <c r="D1924" t="s">
        <v>13287</v>
      </c>
      <c r="E1924" t="str">
        <f>+VLOOKUP(A1924,[1]PFE4!$A$7:$F$5208,6,0)</f>
        <v>CALLE 106  50  11</v>
      </c>
      <c r="F1924" s="17" t="str">
        <f>+VLOOKUP(A1924,[1]PFE4!$A$7:$G$5208,7,0)</f>
        <v>08001</v>
      </c>
      <c r="G1924">
        <v>13039888</v>
      </c>
      <c r="H1924">
        <v>4329</v>
      </c>
    </row>
    <row r="1925" spans="1:8" ht="15" customHeight="1" x14ac:dyDescent="0.25">
      <c r="A1925" t="s">
        <v>4169</v>
      </c>
      <c r="B1925" t="s">
        <v>8214</v>
      </c>
      <c r="C1925" t="s">
        <v>11749</v>
      </c>
      <c r="D1925" t="s">
        <v>13287</v>
      </c>
      <c r="E1925" t="str">
        <f>+VLOOKUP(A1925,[1]PFE4!$A$7:$F$5208,6,0)</f>
        <v>CARRERA 11  93  92</v>
      </c>
      <c r="F1925" s="17">
        <f>+VLOOKUP(A1925,[1]PFE4!$A$7:$G$5208,7,0)</f>
        <v>11001</v>
      </c>
      <c r="G1925">
        <v>13061686</v>
      </c>
      <c r="H1925">
        <v>4329</v>
      </c>
    </row>
    <row r="1926" spans="1:8" ht="15" customHeight="1" x14ac:dyDescent="0.25">
      <c r="A1926" t="s">
        <v>4170</v>
      </c>
      <c r="B1926" t="s">
        <v>8215</v>
      </c>
      <c r="C1926" t="s">
        <v>11750</v>
      </c>
      <c r="D1926" t="s">
        <v>13287</v>
      </c>
      <c r="E1926" t="str">
        <f>+VLOOKUP(A1926,[1]PFE4!$A$7:$F$5208,6,0)</f>
        <v>CARRERA 26  31  58</v>
      </c>
      <c r="F1926" s="17">
        <f>+VLOOKUP(A1926,[1]PFE4!$A$7:$G$5208,7,0)</f>
        <v>11001</v>
      </c>
      <c r="G1926">
        <v>13064728</v>
      </c>
      <c r="H1926">
        <v>4329</v>
      </c>
    </row>
    <row r="1927" spans="1:8" ht="15" customHeight="1" x14ac:dyDescent="0.25">
      <c r="A1927" t="s">
        <v>4171</v>
      </c>
      <c r="B1927" t="s">
        <v>8216</v>
      </c>
      <c r="C1927" t="s">
        <v>11751</v>
      </c>
      <c r="D1927" t="s">
        <v>13287</v>
      </c>
      <c r="E1927" t="str">
        <f>+VLOOKUP(A1927,[1]PFE4!$A$7:$F$5208,6,0)</f>
        <v>CARRERA 22  120  69</v>
      </c>
      <c r="F1927" s="17">
        <f>+VLOOKUP(A1927,[1]PFE4!$A$7:$G$5208,7,0)</f>
        <v>11001</v>
      </c>
      <c r="G1927">
        <v>13064808</v>
      </c>
      <c r="H1927">
        <v>4329</v>
      </c>
    </row>
    <row r="1928" spans="1:8" ht="15" customHeight="1" x14ac:dyDescent="0.25">
      <c r="A1928" t="s">
        <v>4172</v>
      </c>
      <c r="B1928" t="s">
        <v>8217</v>
      </c>
      <c r="C1928" t="s">
        <v>11752</v>
      </c>
      <c r="D1928" t="s">
        <v>13287</v>
      </c>
      <c r="E1928" t="str">
        <f>+VLOOKUP(A1928,[1]PFE4!$A$7:$F$5208,6,0)</f>
        <v>CLL 110 A 7C 76</v>
      </c>
      <c r="F1928" s="17">
        <f>+VLOOKUP(A1928,[1]PFE4!$A$7:$G$5208,7,0)</f>
        <v>11001</v>
      </c>
      <c r="G1928">
        <v>13076874</v>
      </c>
      <c r="H1928">
        <v>4329</v>
      </c>
    </row>
    <row r="1929" spans="1:8" ht="15" customHeight="1" x14ac:dyDescent="0.25">
      <c r="A1929" t="s">
        <v>4173</v>
      </c>
      <c r="B1929" t="s">
        <v>8218</v>
      </c>
      <c r="C1929" t="s">
        <v>11753</v>
      </c>
      <c r="D1929" t="s">
        <v>13287</v>
      </c>
      <c r="E1929" t="str">
        <f>+VLOOKUP(A1929,[1]PFE4!$A$7:$F$5208,6,0)</f>
        <v>CALLE 169 A  62  87</v>
      </c>
      <c r="F1929" s="17">
        <f>+VLOOKUP(A1929,[1]PFE4!$A$7:$G$5208,7,0)</f>
        <v>11001</v>
      </c>
      <c r="G1929">
        <v>13096648</v>
      </c>
      <c r="H1929">
        <v>4329</v>
      </c>
    </row>
    <row r="1930" spans="1:8" ht="15" customHeight="1" x14ac:dyDescent="0.25">
      <c r="A1930" t="s">
        <v>4174</v>
      </c>
      <c r="B1930" t="s">
        <v>8219</v>
      </c>
      <c r="C1930" t="s">
        <v>10795</v>
      </c>
      <c r="D1930" t="s">
        <v>13287</v>
      </c>
      <c r="E1930" t="str">
        <f>+VLOOKUP(A1930,[1]PFE4!$A$7:$F$5208,6,0)</f>
        <v>CARRERA 14  127 A  48</v>
      </c>
      <c r="F1930" s="17">
        <f>+VLOOKUP(A1930,[1]PFE4!$A$7:$G$5208,7,0)</f>
        <v>11001</v>
      </c>
      <c r="G1930">
        <v>13107548</v>
      </c>
      <c r="H1930">
        <v>4329</v>
      </c>
    </row>
    <row r="1931" spans="1:8" ht="15" customHeight="1" x14ac:dyDescent="0.25">
      <c r="A1931" t="s">
        <v>4175</v>
      </c>
      <c r="B1931" t="s">
        <v>8220</v>
      </c>
      <c r="C1931" t="s">
        <v>11754</v>
      </c>
      <c r="D1931" t="s">
        <v>13287</v>
      </c>
      <c r="E1931" t="str">
        <f>+VLOOKUP(A1931,[1]PFE4!$A$7:$F$5208,6,0)</f>
        <v>CRA 22B 1 239</v>
      </c>
      <c r="F1931" s="17">
        <f>+VLOOKUP(A1931,[1]PFE4!$A$7:$G$5208,7,0)</f>
        <v>20001</v>
      </c>
      <c r="G1931">
        <v>13109310</v>
      </c>
      <c r="H1931">
        <v>4329</v>
      </c>
    </row>
    <row r="1932" spans="1:8" ht="15" customHeight="1" x14ac:dyDescent="0.25">
      <c r="A1932" t="s">
        <v>4176</v>
      </c>
      <c r="B1932" t="s">
        <v>8221</v>
      </c>
      <c r="C1932" t="s">
        <v>11755</v>
      </c>
      <c r="D1932" t="s">
        <v>13287</v>
      </c>
      <c r="E1932" t="str">
        <f>+VLOOKUP(A1932,[1]PFE4!$A$7:$F$5208,6,0)</f>
        <v>CL 9 6 260 BRR PRADOS DEL ESTE</v>
      </c>
      <c r="F1932" s="17">
        <f>+VLOOKUP(A1932,[1]PFE4!$A$7:$G$5208,7,0)</f>
        <v>54001</v>
      </c>
      <c r="G1932">
        <v>13121078</v>
      </c>
      <c r="H1932">
        <v>4329</v>
      </c>
    </row>
    <row r="1933" spans="1:8" ht="15" customHeight="1" x14ac:dyDescent="0.25">
      <c r="A1933" t="s">
        <v>4177</v>
      </c>
      <c r="B1933" t="s">
        <v>8222</v>
      </c>
      <c r="C1933" t="s">
        <v>11756</v>
      </c>
      <c r="D1933" t="s">
        <v>13287</v>
      </c>
      <c r="E1933" t="str">
        <f>+VLOOKUP(A1933,[1]PFE4!$A$7:$F$5208,6,0)</f>
        <v>TRANSVERSAL 22 A  60  37</v>
      </c>
      <c r="F1933" s="17">
        <f>+VLOOKUP(A1933,[1]PFE4!$A$7:$G$5208,7,0)</f>
        <v>11001</v>
      </c>
      <c r="G1933">
        <v>13130808</v>
      </c>
      <c r="H1933">
        <v>4329</v>
      </c>
    </row>
    <row r="1934" spans="1:8" ht="15" customHeight="1" x14ac:dyDescent="0.25">
      <c r="A1934" t="s">
        <v>4178</v>
      </c>
      <c r="B1934" t="s">
        <v>8223</v>
      </c>
      <c r="C1934" t="s">
        <v>10544</v>
      </c>
      <c r="D1934" t="s">
        <v>13287</v>
      </c>
      <c r="E1934" t="str">
        <f>+VLOOKUP(A1934,[1]PFE4!$A$7:$F$5208,6,0)</f>
        <v>CALLE 93 A  11  07  OFICINA 302</v>
      </c>
      <c r="F1934" s="17">
        <f>+VLOOKUP(A1934,[1]PFE4!$A$7:$G$5208,7,0)</f>
        <v>11001</v>
      </c>
      <c r="G1934">
        <v>13143775</v>
      </c>
      <c r="H1934">
        <v>4329</v>
      </c>
    </row>
    <row r="1935" spans="1:8" ht="15" customHeight="1" x14ac:dyDescent="0.25">
      <c r="A1935" t="s">
        <v>4179</v>
      </c>
      <c r="B1935" t="s">
        <v>8224</v>
      </c>
      <c r="C1935" t="s">
        <v>11757</v>
      </c>
      <c r="D1935" t="s">
        <v>13287</v>
      </c>
      <c r="E1935" t="str">
        <f>+VLOOKUP(A1935,[1]PFE4!$A$7:$F$5208,6,0)</f>
        <v>CARRERA 25  35  45</v>
      </c>
      <c r="F1935" s="17">
        <f>+VLOOKUP(A1935,[1]PFE4!$A$7:$G$5208,7,0)</f>
        <v>68001</v>
      </c>
      <c r="G1935">
        <v>13155986</v>
      </c>
      <c r="H1935">
        <v>4329</v>
      </c>
    </row>
    <row r="1936" spans="1:8" ht="15" customHeight="1" x14ac:dyDescent="0.25">
      <c r="A1936" t="s">
        <v>4180</v>
      </c>
      <c r="B1936" t="s">
        <v>8225</v>
      </c>
      <c r="C1936" t="s">
        <v>11758</v>
      </c>
      <c r="D1936" t="s">
        <v>13287</v>
      </c>
      <c r="E1936" t="str">
        <f>+VLOOKUP(A1936,[1]PFE4!$A$7:$F$5208,6,0)</f>
        <v>CALLE 31  6 BIS  32  OFICINA 504</v>
      </c>
      <c r="F1936" s="17">
        <f>+VLOOKUP(A1936,[1]PFE4!$A$7:$G$5208,7,0)</f>
        <v>76001</v>
      </c>
      <c r="G1936">
        <v>13162603</v>
      </c>
      <c r="H1936">
        <v>4329</v>
      </c>
    </row>
    <row r="1937" spans="1:8" ht="15" customHeight="1" x14ac:dyDescent="0.25">
      <c r="A1937" t="s">
        <v>4181</v>
      </c>
      <c r="B1937" t="s">
        <v>8226</v>
      </c>
      <c r="C1937" t="s">
        <v>11759</v>
      </c>
      <c r="D1937" t="s">
        <v>13287</v>
      </c>
      <c r="E1937" t="str">
        <f>+VLOOKUP(A1937,[1]PFE4!$A$7:$F$5208,6,0)</f>
        <v>CARRERA 12  90  19  PISO 4</v>
      </c>
      <c r="F1937" s="17">
        <f>+VLOOKUP(A1937,[1]PFE4!$A$7:$G$5208,7,0)</f>
        <v>11001</v>
      </c>
      <c r="G1937">
        <v>13162656</v>
      </c>
      <c r="H1937">
        <v>4329</v>
      </c>
    </row>
    <row r="1938" spans="1:8" ht="15" customHeight="1" x14ac:dyDescent="0.25">
      <c r="A1938" t="s">
        <v>4182</v>
      </c>
      <c r="B1938" t="s">
        <v>8227</v>
      </c>
      <c r="C1938" t="s">
        <v>11760</v>
      </c>
      <c r="D1938" t="s">
        <v>13287</v>
      </c>
      <c r="E1938" t="str">
        <f>+VLOOKUP(A1938,[1]PFE4!$A$7:$F$5208,6,0)</f>
        <v>CALLE 146  12  72</v>
      </c>
      <c r="F1938" s="17">
        <f>+VLOOKUP(A1938,[1]PFE4!$A$7:$G$5208,7,0)</f>
        <v>11001</v>
      </c>
      <c r="G1938">
        <v>13198128</v>
      </c>
      <c r="H1938">
        <v>4329</v>
      </c>
    </row>
    <row r="1939" spans="1:8" ht="15" customHeight="1" x14ac:dyDescent="0.25">
      <c r="A1939" t="s">
        <v>4183</v>
      </c>
      <c r="B1939" t="s">
        <v>8228</v>
      </c>
      <c r="C1939">
        <v>3219664011</v>
      </c>
      <c r="D1939" t="s">
        <v>13287</v>
      </c>
      <c r="E1939" t="str">
        <f>+VLOOKUP(A1939,[1]PFE4!$A$7:$F$5208,6,0)</f>
        <v>CALLE 57 21 15</v>
      </c>
      <c r="F1939" s="17">
        <f>+VLOOKUP(A1939,[1]PFE4!$A$7:$G$5208,7,0)</f>
        <v>17001</v>
      </c>
      <c r="G1939">
        <v>13232699</v>
      </c>
      <c r="H1939">
        <v>4329</v>
      </c>
    </row>
    <row r="1940" spans="1:8" ht="15" customHeight="1" x14ac:dyDescent="0.25">
      <c r="A1940" t="s">
        <v>4184</v>
      </c>
      <c r="B1940" t="s">
        <v>8229</v>
      </c>
      <c r="C1940" t="s">
        <v>11761</v>
      </c>
      <c r="D1940" t="s">
        <v>13287</v>
      </c>
      <c r="E1940" t="str">
        <f>+VLOOKUP(A1940,[1]PFE4!$A$7:$F$5208,6,0)</f>
        <v>CARRERA 8 A No. 12 - 87 - 141</v>
      </c>
      <c r="F1940" s="17">
        <f>+VLOOKUP(A1940,[1]PFE4!$A$7:$G$5208,7,0)</f>
        <v>68276</v>
      </c>
      <c r="G1940">
        <v>13240800</v>
      </c>
      <c r="H1940">
        <v>4329</v>
      </c>
    </row>
    <row r="1941" spans="1:8" ht="15" customHeight="1" x14ac:dyDescent="0.25">
      <c r="A1941" t="s">
        <v>4185</v>
      </c>
      <c r="B1941" t="s">
        <v>8230</v>
      </c>
      <c r="C1941" t="s">
        <v>11762</v>
      </c>
      <c r="D1941" t="s">
        <v>13287</v>
      </c>
      <c r="E1941" t="str">
        <f>+VLOOKUP(A1941,[1]PFE4!$A$7:$F$5208,6,0)</f>
        <v>CALLE 23  4 N  50</v>
      </c>
      <c r="F1941" s="17">
        <f>+VLOOKUP(A1941,[1]PFE4!$A$7:$G$5208,7,0)</f>
        <v>11001</v>
      </c>
      <c r="G1941">
        <v>13250900</v>
      </c>
      <c r="H1941">
        <v>4329</v>
      </c>
    </row>
    <row r="1942" spans="1:8" ht="15" customHeight="1" x14ac:dyDescent="0.25">
      <c r="A1942" t="s">
        <v>4186</v>
      </c>
      <c r="B1942" t="s">
        <v>8231</v>
      </c>
      <c r="C1942" t="s">
        <v>10450</v>
      </c>
      <c r="D1942" t="s">
        <v>13287</v>
      </c>
      <c r="E1942" t="str">
        <f>+VLOOKUP(A1942,[1]PFE4!$A$7:$F$5208,6,0)</f>
        <v>CARRERA 7 D  127 C  63</v>
      </c>
      <c r="F1942" s="17">
        <f>+VLOOKUP(A1942,[1]PFE4!$A$7:$G$5208,7,0)</f>
        <v>11001</v>
      </c>
      <c r="G1942">
        <v>13266762</v>
      </c>
      <c r="H1942">
        <v>4329</v>
      </c>
    </row>
    <row r="1943" spans="1:8" ht="15" customHeight="1" x14ac:dyDescent="0.25">
      <c r="A1943" t="s">
        <v>4187</v>
      </c>
      <c r="B1943" t="s">
        <v>8232</v>
      </c>
      <c r="C1943" t="s">
        <v>11763</v>
      </c>
      <c r="D1943" t="s">
        <v>13287</v>
      </c>
      <c r="E1943" t="str">
        <f>+VLOOKUP(A1943,[1]PFE4!$A$7:$F$5208,6,0)</f>
        <v>CARRERA 32 30-13</v>
      </c>
      <c r="F1943" s="17">
        <f>+VLOOKUP(A1943,[1]PFE4!$A$7:$G$5208,7,0)</f>
        <v>11001</v>
      </c>
      <c r="G1943">
        <v>13267223</v>
      </c>
      <c r="H1943">
        <v>4329</v>
      </c>
    </row>
    <row r="1944" spans="1:8" ht="15" customHeight="1" x14ac:dyDescent="0.25">
      <c r="A1944" t="s">
        <v>4188</v>
      </c>
      <c r="B1944" t="s">
        <v>8233</v>
      </c>
      <c r="C1944" t="s">
        <v>11764</v>
      </c>
      <c r="D1944" t="s">
        <v>13287</v>
      </c>
      <c r="E1944" t="str">
        <f>+VLOOKUP(A1944,[1]PFE4!$A$7:$F$5208,6,0)</f>
        <v>CARRERA 11  119  31</v>
      </c>
      <c r="F1944" s="17">
        <f>+VLOOKUP(A1944,[1]PFE4!$A$7:$G$5208,7,0)</f>
        <v>11001</v>
      </c>
      <c r="G1944">
        <v>13278012</v>
      </c>
      <c r="H1944">
        <v>4329</v>
      </c>
    </row>
    <row r="1945" spans="1:8" ht="15" customHeight="1" x14ac:dyDescent="0.25">
      <c r="A1945" t="s">
        <v>4189</v>
      </c>
      <c r="B1945" t="s">
        <v>8234</v>
      </c>
      <c r="C1945" t="s">
        <v>11765</v>
      </c>
      <c r="D1945" t="s">
        <v>13287</v>
      </c>
      <c r="E1945" t="str">
        <f>+VLOOKUP(A1945,[1]PFE4!$A$7:$F$5208,6,0)</f>
        <v>CLL 42 A 9 74</v>
      </c>
      <c r="F1945" s="17">
        <f>+VLOOKUP(A1945,[1]PFE4!$A$7:$G$5208,7,0)</f>
        <v>11001</v>
      </c>
      <c r="G1945">
        <v>13281487</v>
      </c>
      <c r="H1945">
        <v>4329</v>
      </c>
    </row>
    <row r="1946" spans="1:8" ht="15" customHeight="1" x14ac:dyDescent="0.25">
      <c r="A1946" t="s">
        <v>4190</v>
      </c>
      <c r="B1946" t="s">
        <v>8235</v>
      </c>
      <c r="C1946" t="s">
        <v>11766</v>
      </c>
      <c r="D1946" t="s">
        <v>13287</v>
      </c>
      <c r="E1946" t="str">
        <f>+VLOOKUP(A1946,[1]PFE4!$A$7:$F$5208,6,0)</f>
        <v>CR 23 59 70</v>
      </c>
      <c r="F1946" s="17">
        <f>+VLOOKUP(A1946,[1]PFE4!$A$7:$G$5208,7,0)</f>
        <v>17001</v>
      </c>
      <c r="G1946">
        <v>13287024</v>
      </c>
      <c r="H1946">
        <v>4329</v>
      </c>
    </row>
    <row r="1947" spans="1:8" ht="15" customHeight="1" x14ac:dyDescent="0.25">
      <c r="A1947" t="s">
        <v>4191</v>
      </c>
      <c r="B1947" t="s">
        <v>8236</v>
      </c>
      <c r="C1947" t="s">
        <v>11767</v>
      </c>
      <c r="D1947" t="s">
        <v>13287</v>
      </c>
      <c r="E1947" t="str">
        <f>+VLOOKUP(A1947,[1]PFE4!$A$7:$F$5208,6,0)</f>
        <v>CL 104 B 45A 12</v>
      </c>
      <c r="F1947" s="17">
        <f>+VLOOKUP(A1947,[1]PFE4!$A$7:$G$5208,7,0)</f>
        <v>11001</v>
      </c>
      <c r="G1947">
        <v>13304576</v>
      </c>
      <c r="H1947">
        <v>4329</v>
      </c>
    </row>
    <row r="1948" spans="1:8" ht="15" customHeight="1" x14ac:dyDescent="0.25">
      <c r="A1948" t="s">
        <v>4192</v>
      </c>
      <c r="B1948" t="s">
        <v>8237</v>
      </c>
      <c r="C1948" t="s">
        <v>11768</v>
      </c>
      <c r="D1948" t="s">
        <v>13287</v>
      </c>
      <c r="E1948" t="str">
        <f>+VLOOKUP(A1948,[1]PFE4!$A$7:$F$5208,6,0)</f>
        <v>CL 8 31 177</v>
      </c>
      <c r="F1948" s="17">
        <f>+VLOOKUP(A1948,[1]PFE4!$A$7:$G$5208,7,0)</f>
        <v>66170</v>
      </c>
      <c r="G1948">
        <v>13320000</v>
      </c>
      <c r="H1948">
        <v>4329</v>
      </c>
    </row>
    <row r="1949" spans="1:8" ht="15" customHeight="1" x14ac:dyDescent="0.25">
      <c r="A1949" t="s">
        <v>4193</v>
      </c>
      <c r="B1949" t="s">
        <v>8238</v>
      </c>
      <c r="C1949" t="s">
        <v>11769</v>
      </c>
      <c r="D1949" t="s">
        <v>13287</v>
      </c>
      <c r="E1949" t="str">
        <f>+VLOOKUP(A1949,[1]PFE4!$A$7:$F$5208,6,0)</f>
        <v>CARRERA 47 D  86 D  25</v>
      </c>
      <c r="F1949" s="17" t="str">
        <f>+VLOOKUP(A1949,[1]PFE4!$A$7:$G$5208,7,0)</f>
        <v>05001</v>
      </c>
      <c r="G1949">
        <v>13346668</v>
      </c>
      <c r="H1949">
        <v>4329</v>
      </c>
    </row>
    <row r="1950" spans="1:8" ht="15" customHeight="1" x14ac:dyDescent="0.25">
      <c r="A1950" t="s">
        <v>4194</v>
      </c>
      <c r="B1950" t="s">
        <v>8239</v>
      </c>
      <c r="C1950" t="s">
        <v>11770</v>
      </c>
      <c r="D1950" t="s">
        <v>13287</v>
      </c>
      <c r="E1950" t="str">
        <f>+VLOOKUP(A1950,[1]PFE4!$A$7:$F$5208,6,0)</f>
        <v>CL 122 9 G 105 BRR CARIBE VERDE</v>
      </c>
      <c r="F1950" s="17" t="str">
        <f>+VLOOKUP(A1950,[1]PFE4!$A$7:$G$5208,7,0)</f>
        <v>08001</v>
      </c>
      <c r="G1950">
        <v>13351124</v>
      </c>
      <c r="H1950">
        <v>4329</v>
      </c>
    </row>
    <row r="1951" spans="1:8" ht="15" customHeight="1" x14ac:dyDescent="0.25">
      <c r="A1951" t="s">
        <v>4195</v>
      </c>
      <c r="B1951" t="s">
        <v>8240</v>
      </c>
      <c r="C1951" t="s">
        <v>11771</v>
      </c>
      <c r="D1951" t="s">
        <v>13287</v>
      </c>
      <c r="E1951" t="str">
        <f>+VLOOKUP(A1951,[1]PFE4!$A$7:$F$5208,6,0)</f>
        <v>CL 68 49 50</v>
      </c>
      <c r="F1951" s="17" t="str">
        <f>+VLOOKUP(A1951,[1]PFE4!$A$7:$G$5208,7,0)</f>
        <v>08001</v>
      </c>
      <c r="G1951">
        <v>13384200</v>
      </c>
      <c r="H1951">
        <v>4329</v>
      </c>
    </row>
    <row r="1952" spans="1:8" ht="15" customHeight="1" x14ac:dyDescent="0.25">
      <c r="A1952" t="s">
        <v>4196</v>
      </c>
      <c r="B1952" t="s">
        <v>8241</v>
      </c>
      <c r="C1952" t="s">
        <v>11772</v>
      </c>
      <c r="D1952" t="s">
        <v>13287</v>
      </c>
      <c r="E1952" t="str">
        <f>+VLOOKUP(A1952,[1]PFE4!$A$7:$F$5208,6,0)</f>
        <v>CL 16 19 D 28 BRR LAS FLORES</v>
      </c>
      <c r="F1952" s="17">
        <f>+VLOOKUP(A1952,[1]PFE4!$A$7:$G$5208,7,0)</f>
        <v>20001</v>
      </c>
      <c r="G1952">
        <v>13391740</v>
      </c>
      <c r="H1952">
        <v>4329</v>
      </c>
    </row>
    <row r="1953" spans="1:8" ht="15" customHeight="1" x14ac:dyDescent="0.25">
      <c r="A1953" t="s">
        <v>4197</v>
      </c>
      <c r="B1953" t="s">
        <v>8242</v>
      </c>
      <c r="C1953">
        <v>0</v>
      </c>
      <c r="D1953" t="s">
        <v>13287</v>
      </c>
      <c r="E1953">
        <v>0</v>
      </c>
      <c r="F1953" s="17">
        <v>11001</v>
      </c>
      <c r="G1953">
        <v>13413720</v>
      </c>
      <c r="H1953">
        <v>4329</v>
      </c>
    </row>
    <row r="1954" spans="1:8" ht="15" customHeight="1" x14ac:dyDescent="0.25">
      <c r="A1954" t="s">
        <v>4198</v>
      </c>
      <c r="B1954" t="s">
        <v>8243</v>
      </c>
      <c r="C1954" t="s">
        <v>11773</v>
      </c>
      <c r="D1954" t="s">
        <v>13287</v>
      </c>
      <c r="E1954" t="str">
        <f>+VLOOKUP(A1954,[1]PFE4!$A$7:$F$5208,6,0)</f>
        <v>CARRERA 99 A  70  97</v>
      </c>
      <c r="F1954" s="17">
        <f>+VLOOKUP(A1954,[1]PFE4!$A$7:$G$5208,7,0)</f>
        <v>11001</v>
      </c>
      <c r="G1954">
        <v>13431714</v>
      </c>
      <c r="H1954">
        <v>4329</v>
      </c>
    </row>
    <row r="1955" spans="1:8" ht="15" customHeight="1" x14ac:dyDescent="0.25">
      <c r="A1955" t="s">
        <v>4199</v>
      </c>
      <c r="B1955" t="s">
        <v>8244</v>
      </c>
      <c r="C1955" t="s">
        <v>11774</v>
      </c>
      <c r="D1955" t="s">
        <v>13287</v>
      </c>
      <c r="E1955" t="str">
        <f>+VLOOKUP(A1955,[1]PFE4!$A$7:$F$5208,6,0)</f>
        <v>CL 59 14 A 82</v>
      </c>
      <c r="F1955" s="17">
        <f>+VLOOKUP(A1955,[1]PFE4!$A$7:$G$5208,7,0)</f>
        <v>11001</v>
      </c>
      <c r="G1955">
        <v>13461632</v>
      </c>
      <c r="H1955">
        <v>4329</v>
      </c>
    </row>
    <row r="1956" spans="1:8" ht="15" customHeight="1" x14ac:dyDescent="0.25">
      <c r="A1956" t="s">
        <v>4200</v>
      </c>
      <c r="B1956" t="s">
        <v>8245</v>
      </c>
      <c r="C1956">
        <v>0</v>
      </c>
      <c r="D1956" t="s">
        <v>13287</v>
      </c>
      <c r="E1956">
        <v>0</v>
      </c>
      <c r="F1956" s="17">
        <v>11001</v>
      </c>
      <c r="G1956">
        <v>13477836</v>
      </c>
      <c r="H1956">
        <v>4329</v>
      </c>
    </row>
    <row r="1957" spans="1:8" ht="15" customHeight="1" x14ac:dyDescent="0.25">
      <c r="A1957" t="s">
        <v>4201</v>
      </c>
      <c r="B1957" t="s">
        <v>6702</v>
      </c>
      <c r="C1957" t="s">
        <v>11775</v>
      </c>
      <c r="D1957" t="s">
        <v>13287</v>
      </c>
      <c r="E1957" t="str">
        <f>+VLOOKUP(A1957,[1]PFE4!$A$7:$F$5208,6,0)</f>
        <v>CARRERA 14  23  15</v>
      </c>
      <c r="F1957" s="17">
        <f>+VLOOKUP(A1957,[1]PFE4!$A$7:$G$5208,7,0)</f>
        <v>63001</v>
      </c>
      <c r="G1957">
        <v>13489794</v>
      </c>
      <c r="H1957">
        <v>4329</v>
      </c>
    </row>
    <row r="1958" spans="1:8" ht="15" customHeight="1" x14ac:dyDescent="0.25">
      <c r="A1958" t="s">
        <v>4202</v>
      </c>
      <c r="B1958" t="s">
        <v>8246</v>
      </c>
      <c r="C1958" t="s">
        <v>11776</v>
      </c>
      <c r="D1958" t="s">
        <v>13287</v>
      </c>
      <c r="E1958" t="str">
        <f>+VLOOKUP(A1958,[1]PFE4!$A$7:$F$5208,6,0)</f>
        <v>CL 94 A 13 72</v>
      </c>
      <c r="F1958" s="17">
        <f>+VLOOKUP(A1958,[1]PFE4!$A$7:$G$5208,7,0)</f>
        <v>11001</v>
      </c>
      <c r="G1958">
        <v>13502189</v>
      </c>
      <c r="H1958">
        <v>4329</v>
      </c>
    </row>
    <row r="1959" spans="1:8" ht="15" customHeight="1" x14ac:dyDescent="0.25">
      <c r="A1959" t="s">
        <v>4203</v>
      </c>
      <c r="B1959" t="s">
        <v>8247</v>
      </c>
      <c r="C1959" t="s">
        <v>11777</v>
      </c>
      <c r="D1959" t="s">
        <v>13287</v>
      </c>
      <c r="E1959" t="str">
        <f>+VLOOKUP(A1959,[1]PFE4!$A$7:$F$5208,6,0)</f>
        <v>CARRERA 15  14  58</v>
      </c>
      <c r="F1959" s="17">
        <f>+VLOOKUP(A1959,[1]PFE4!$A$7:$G$5208,7,0)</f>
        <v>11001</v>
      </c>
      <c r="G1959">
        <v>13504077</v>
      </c>
      <c r="H1959">
        <v>4329</v>
      </c>
    </row>
    <row r="1960" spans="1:8" ht="15" customHeight="1" x14ac:dyDescent="0.25">
      <c r="A1960" t="s">
        <v>4204</v>
      </c>
      <c r="B1960" t="s">
        <v>8248</v>
      </c>
      <c r="C1960">
        <v>0</v>
      </c>
      <c r="D1960" t="s">
        <v>13287</v>
      </c>
      <c r="E1960">
        <v>0</v>
      </c>
      <c r="F1960" s="17">
        <v>11001</v>
      </c>
      <c r="G1960">
        <v>13519400</v>
      </c>
      <c r="H1960">
        <v>4329</v>
      </c>
    </row>
    <row r="1961" spans="1:8" ht="15" customHeight="1" x14ac:dyDescent="0.25">
      <c r="A1961" t="s">
        <v>4205</v>
      </c>
      <c r="B1961" t="s">
        <v>8249</v>
      </c>
      <c r="C1961" t="s">
        <v>11778</v>
      </c>
      <c r="D1961" t="s">
        <v>13287</v>
      </c>
      <c r="E1961" t="str">
        <f>+VLOOKUP(A1961,[1]PFE4!$A$7:$F$5208,6,0)</f>
        <v>CALLE 12  10  10  OFICINA 804</v>
      </c>
      <c r="F1961" s="17">
        <f>+VLOOKUP(A1961,[1]PFE4!$A$7:$G$5208,7,0)</f>
        <v>11001</v>
      </c>
      <c r="G1961">
        <v>13536936</v>
      </c>
      <c r="H1961">
        <v>4329</v>
      </c>
    </row>
    <row r="1962" spans="1:8" ht="15" customHeight="1" x14ac:dyDescent="0.25">
      <c r="A1962" t="s">
        <v>4206</v>
      </c>
      <c r="B1962" t="s">
        <v>8250</v>
      </c>
      <c r="C1962" t="s">
        <v>11325</v>
      </c>
      <c r="D1962" t="s">
        <v>13287</v>
      </c>
      <c r="E1962" t="str">
        <f>+VLOOKUP(A1962,[1]PFE4!$A$7:$F$5208,6,0)</f>
        <v>CALLE 20  27  162</v>
      </c>
      <c r="F1962" s="17" t="str">
        <f>+VLOOKUP(A1962,[1]PFE4!$A$7:$G$5208,7,0)</f>
        <v>05376</v>
      </c>
      <c r="G1962">
        <v>13555341</v>
      </c>
      <c r="H1962">
        <v>4329</v>
      </c>
    </row>
    <row r="1963" spans="1:8" ht="15" customHeight="1" x14ac:dyDescent="0.25">
      <c r="A1963" t="s">
        <v>4207</v>
      </c>
      <c r="B1963" t="s">
        <v>8251</v>
      </c>
      <c r="C1963">
        <v>0</v>
      </c>
      <c r="D1963" t="s">
        <v>13287</v>
      </c>
      <c r="E1963">
        <v>0</v>
      </c>
      <c r="F1963" s="17">
        <v>11001</v>
      </c>
      <c r="G1963">
        <v>13559700</v>
      </c>
      <c r="H1963">
        <v>4329</v>
      </c>
    </row>
    <row r="1964" spans="1:8" ht="15" customHeight="1" x14ac:dyDescent="0.25">
      <c r="A1964" t="s">
        <v>4208</v>
      </c>
      <c r="B1964" t="s">
        <v>8252</v>
      </c>
      <c r="C1964" t="s">
        <v>11779</v>
      </c>
      <c r="D1964" t="s">
        <v>13287</v>
      </c>
      <c r="E1964" t="str">
        <f>+VLOOKUP(A1964,[1]PFE4!$A$7:$F$5208,6,0)</f>
        <v>CR 17 10 104</v>
      </c>
      <c r="F1964" s="17" t="str">
        <f>+VLOOKUP(A1964,[1]PFE4!$A$7:$G$5208,7,0)</f>
        <v>05376</v>
      </c>
      <c r="G1964">
        <v>13562428</v>
      </c>
      <c r="H1964">
        <v>4329</v>
      </c>
    </row>
    <row r="1965" spans="1:8" ht="15" customHeight="1" x14ac:dyDescent="0.25">
      <c r="A1965" t="s">
        <v>4209</v>
      </c>
      <c r="B1965" t="s">
        <v>8253</v>
      </c>
      <c r="C1965" t="s">
        <v>11780</v>
      </c>
      <c r="D1965" t="s">
        <v>13287</v>
      </c>
      <c r="E1965" t="str">
        <f>+VLOOKUP(A1965,[1]PFE4!$A$7:$F$5208,6,0)</f>
        <v>CARRERA 14  127 B  98</v>
      </c>
      <c r="F1965" s="17">
        <f>+VLOOKUP(A1965,[1]PFE4!$A$7:$G$5208,7,0)</f>
        <v>11001</v>
      </c>
      <c r="G1965">
        <v>13584792</v>
      </c>
      <c r="H1965">
        <v>4329</v>
      </c>
    </row>
    <row r="1966" spans="1:8" ht="15" customHeight="1" x14ac:dyDescent="0.25">
      <c r="A1966" t="s">
        <v>4210</v>
      </c>
      <c r="B1966" t="s">
        <v>8254</v>
      </c>
      <c r="C1966" t="s">
        <v>11781</v>
      </c>
      <c r="D1966" t="s">
        <v>13287</v>
      </c>
      <c r="E1966" t="str">
        <f>+VLOOKUP(A1966,[1]PFE4!$A$7:$F$5208,6,0)</f>
        <v>BRR LA CONCEPCION CRA 71 C 31 B 108</v>
      </c>
      <c r="F1966" s="17">
        <f>+VLOOKUP(A1966,[1]PFE4!$A$7:$G$5208,7,0)</f>
        <v>13001</v>
      </c>
      <c r="G1966">
        <v>13676928</v>
      </c>
      <c r="H1966">
        <v>4329</v>
      </c>
    </row>
    <row r="1967" spans="1:8" ht="15" customHeight="1" x14ac:dyDescent="0.25">
      <c r="A1967" t="s">
        <v>4211</v>
      </c>
      <c r="B1967" t="s">
        <v>8255</v>
      </c>
      <c r="C1967" t="s">
        <v>11782</v>
      </c>
      <c r="D1967" t="s">
        <v>13287</v>
      </c>
      <c r="E1967" t="str">
        <f>+VLOOKUP(A1967,[1]PFE4!$A$7:$F$5208,6,0)</f>
        <v>CALLE 87  49 C  24</v>
      </c>
      <c r="F1967" s="17" t="str">
        <f>+VLOOKUP(A1967,[1]PFE4!$A$7:$G$5208,7,0)</f>
        <v>08001</v>
      </c>
      <c r="G1967">
        <v>13690313</v>
      </c>
      <c r="H1967">
        <v>4329</v>
      </c>
    </row>
    <row r="1968" spans="1:8" ht="15" customHeight="1" x14ac:dyDescent="0.25">
      <c r="A1968" t="s">
        <v>4212</v>
      </c>
      <c r="B1968" t="s">
        <v>8256</v>
      </c>
      <c r="C1968" t="s">
        <v>11783</v>
      </c>
      <c r="D1968" t="s">
        <v>13287</v>
      </c>
      <c r="E1968" t="str">
        <f>+VLOOKUP(A1968,[1]PFE4!$A$7:$F$5208,6,0)</f>
        <v>CALLE 93 BIS  20  46</v>
      </c>
      <c r="F1968" s="17">
        <f>+VLOOKUP(A1968,[1]PFE4!$A$7:$G$5208,7,0)</f>
        <v>11001</v>
      </c>
      <c r="G1968">
        <v>13696648</v>
      </c>
      <c r="H1968">
        <v>4329</v>
      </c>
    </row>
    <row r="1969" spans="1:8" ht="15" customHeight="1" x14ac:dyDescent="0.25">
      <c r="A1969" t="s">
        <v>4213</v>
      </c>
      <c r="B1969" t="s">
        <v>8257</v>
      </c>
      <c r="C1969" t="s">
        <v>11784</v>
      </c>
      <c r="D1969" t="s">
        <v>13287</v>
      </c>
      <c r="E1969" t="str">
        <f>+VLOOKUP(A1969,[1]PFE4!$A$7:$F$5208,6,0)</f>
        <v>CALLE 23 SUR  42 B  86</v>
      </c>
      <c r="F1969" s="17" t="str">
        <f>+VLOOKUP(A1969,[1]PFE4!$A$7:$G$5208,7,0)</f>
        <v>05266</v>
      </c>
      <c r="G1969">
        <v>13724112</v>
      </c>
      <c r="H1969">
        <v>4329</v>
      </c>
    </row>
    <row r="1970" spans="1:8" ht="15" customHeight="1" x14ac:dyDescent="0.25">
      <c r="A1970" t="s">
        <v>4214</v>
      </c>
      <c r="B1970" t="s">
        <v>8258</v>
      </c>
      <c r="C1970" t="s">
        <v>11785</v>
      </c>
      <c r="D1970" t="s">
        <v>13287</v>
      </c>
      <c r="E1970" t="str">
        <f>+VLOOKUP(A1970,[1]PFE4!$A$7:$F$5208,6,0)</f>
        <v>CARRERA 41  73 B  38</v>
      </c>
      <c r="F1970" s="17" t="str">
        <f>+VLOOKUP(A1970,[1]PFE4!$A$7:$G$5208,7,0)</f>
        <v>08001</v>
      </c>
      <c r="G1970">
        <v>13734703</v>
      </c>
      <c r="H1970">
        <v>4329</v>
      </c>
    </row>
    <row r="1971" spans="1:8" ht="15" customHeight="1" x14ac:dyDescent="0.25">
      <c r="A1971" t="s">
        <v>4215</v>
      </c>
      <c r="B1971" t="s">
        <v>8259</v>
      </c>
      <c r="C1971" t="s">
        <v>11786</v>
      </c>
      <c r="D1971" t="s">
        <v>13287</v>
      </c>
      <c r="E1971" t="str">
        <f>+VLOOKUP(A1971,[1]PFE4!$A$7:$F$5208,6,0)</f>
        <v>CALLE 54  10  66</v>
      </c>
      <c r="F1971" s="17">
        <f>+VLOOKUP(A1971,[1]PFE4!$A$7:$G$5208,7,0)</f>
        <v>11001</v>
      </c>
      <c r="G1971">
        <v>13744384</v>
      </c>
      <c r="H1971">
        <v>4329</v>
      </c>
    </row>
    <row r="1972" spans="1:8" ht="15" customHeight="1" x14ac:dyDescent="0.25">
      <c r="A1972" t="s">
        <v>4216</v>
      </c>
      <c r="B1972" t="s">
        <v>8260</v>
      </c>
      <c r="C1972" t="s">
        <v>11787</v>
      </c>
      <c r="D1972" t="s">
        <v>13287</v>
      </c>
      <c r="E1972" t="str">
        <f>+VLOOKUP(A1972,[1]PFE4!$A$7:$F$5208,6,0)</f>
        <v>CARRERA 28  47  20</v>
      </c>
      <c r="F1972" s="17">
        <f>+VLOOKUP(A1972,[1]PFE4!$A$7:$G$5208,7,0)</f>
        <v>50001</v>
      </c>
      <c r="G1972">
        <v>13745710</v>
      </c>
      <c r="H1972">
        <v>4329</v>
      </c>
    </row>
    <row r="1973" spans="1:8" ht="15" customHeight="1" x14ac:dyDescent="0.25">
      <c r="A1973" t="s">
        <v>4217</v>
      </c>
      <c r="B1973" t="s">
        <v>8261</v>
      </c>
      <c r="C1973" t="s">
        <v>11788</v>
      </c>
      <c r="D1973" t="s">
        <v>13287</v>
      </c>
      <c r="E1973" t="str">
        <f>+VLOOKUP(A1973,[1]PFE4!$A$7:$F$5208,6,0)</f>
        <v>CARRERA 4  4  81</v>
      </c>
      <c r="F1973" s="17">
        <f>+VLOOKUP(A1973,[1]PFE4!$A$7:$G$5208,7,0)</f>
        <v>13001</v>
      </c>
      <c r="G1973">
        <v>13769392</v>
      </c>
      <c r="H1973">
        <v>4329</v>
      </c>
    </row>
    <row r="1974" spans="1:8" ht="15" customHeight="1" x14ac:dyDescent="0.25">
      <c r="A1974" t="s">
        <v>4218</v>
      </c>
      <c r="B1974" t="s">
        <v>8262</v>
      </c>
      <c r="C1974" t="s">
        <v>11789</v>
      </c>
      <c r="D1974" t="s">
        <v>13287</v>
      </c>
      <c r="E1974" t="str">
        <f>+VLOOKUP(A1974,[1]PFE4!$A$7:$F$5208,6,0)</f>
        <v>CARRERA 8 #64a - 31</v>
      </c>
      <c r="F1974" s="17">
        <f>+VLOOKUP(A1974,[1]PFE4!$A$7:$G$5208,7,0)</f>
        <v>23001</v>
      </c>
      <c r="G1974">
        <v>13771196</v>
      </c>
      <c r="H1974">
        <v>4329</v>
      </c>
    </row>
    <row r="1975" spans="1:8" ht="15" customHeight="1" x14ac:dyDescent="0.25">
      <c r="A1975" t="s">
        <v>4219</v>
      </c>
      <c r="B1975" t="s">
        <v>8263</v>
      </c>
      <c r="C1975" t="s">
        <v>11790</v>
      </c>
      <c r="D1975" t="s">
        <v>13287</v>
      </c>
      <c r="E1975" t="str">
        <f>+VLOOKUP(A1975,[1]PFE4!$A$7:$F$5208,6,0)</f>
        <v>CL 51 51 27</v>
      </c>
      <c r="F1975" s="17">
        <f>+VLOOKUP(A1975,[1]PFE4!$A$7:$G$5208,7,0)</f>
        <v>68001</v>
      </c>
      <c r="G1975">
        <v>13782766</v>
      </c>
      <c r="H1975">
        <v>4329</v>
      </c>
    </row>
    <row r="1976" spans="1:8" ht="15" customHeight="1" x14ac:dyDescent="0.25">
      <c r="A1976" t="s">
        <v>4220</v>
      </c>
      <c r="B1976" t="s">
        <v>8264</v>
      </c>
      <c r="C1976" t="s">
        <v>11791</v>
      </c>
      <c r="D1976" t="s">
        <v>13287</v>
      </c>
      <c r="E1976" t="str">
        <f>+VLOOKUP(A1976,[1]PFE4!$A$7:$F$5208,6,0)</f>
        <v>CALLE 10 A NORTE  19  34</v>
      </c>
      <c r="F1976" s="17">
        <f>+VLOOKUP(A1976,[1]PFE4!$A$7:$G$5208,7,0)</f>
        <v>63001</v>
      </c>
      <c r="G1976">
        <v>13788048</v>
      </c>
      <c r="H1976">
        <v>4329</v>
      </c>
    </row>
    <row r="1977" spans="1:8" ht="15" customHeight="1" x14ac:dyDescent="0.25">
      <c r="A1977" t="s">
        <v>4221</v>
      </c>
      <c r="B1977" t="s">
        <v>8265</v>
      </c>
      <c r="C1977" t="s">
        <v>11152</v>
      </c>
      <c r="D1977" t="s">
        <v>13287</v>
      </c>
      <c r="E1977" t="str">
        <f>+VLOOKUP(A1977,[1]PFE4!$A$7:$F$5208,6,0)</f>
        <v>CARRERA 17 A  105  43</v>
      </c>
      <c r="F1977" s="17">
        <f>+VLOOKUP(A1977,[1]PFE4!$A$7:$G$5208,7,0)</f>
        <v>11001</v>
      </c>
      <c r="G1977">
        <v>13791243</v>
      </c>
      <c r="H1977">
        <v>4329</v>
      </c>
    </row>
    <row r="1978" spans="1:8" ht="15" customHeight="1" x14ac:dyDescent="0.25">
      <c r="A1978" t="s">
        <v>4222</v>
      </c>
      <c r="B1978" t="s">
        <v>8266</v>
      </c>
      <c r="C1978" t="s">
        <v>11792</v>
      </c>
      <c r="D1978" t="s">
        <v>13287</v>
      </c>
      <c r="E1978" t="str">
        <f>+VLOOKUP(A1978,[1]PFE4!$A$7:$F$5208,6,0)</f>
        <v>CARRERA 6 B  131  40</v>
      </c>
      <c r="F1978" s="17">
        <f>+VLOOKUP(A1978,[1]PFE4!$A$7:$G$5208,7,0)</f>
        <v>11001</v>
      </c>
      <c r="G1978">
        <v>13809353</v>
      </c>
      <c r="H1978">
        <v>4329</v>
      </c>
    </row>
    <row r="1979" spans="1:8" ht="15" customHeight="1" x14ac:dyDescent="0.25">
      <c r="A1979" t="s">
        <v>4223</v>
      </c>
      <c r="B1979" t="s">
        <v>8267</v>
      </c>
      <c r="C1979" t="s">
        <v>11793</v>
      </c>
      <c r="D1979" t="s">
        <v>13287</v>
      </c>
      <c r="E1979" t="str">
        <f>+VLOOKUP(A1979,[1]PFE4!$A$7:$F$5208,6,0)</f>
        <v>CR 19 C 19 B 4 52 BRR SAN PEDRO</v>
      </c>
      <c r="F1979" s="17">
        <f>+VLOOKUP(A1979,[1]PFE4!$A$7:$G$5208,7,0)</f>
        <v>11001</v>
      </c>
      <c r="G1979">
        <v>13843264</v>
      </c>
      <c r="H1979">
        <v>4329</v>
      </c>
    </row>
    <row r="1980" spans="1:8" ht="15" customHeight="1" x14ac:dyDescent="0.25">
      <c r="A1980" t="s">
        <v>4224</v>
      </c>
      <c r="B1980" t="s">
        <v>8268</v>
      </c>
      <c r="C1980" t="s">
        <v>11794</v>
      </c>
      <c r="D1980" t="s">
        <v>13287</v>
      </c>
      <c r="E1980" t="str">
        <f>+VLOOKUP(A1980,[1]PFE4!$A$7:$F$5208,6,0)</f>
        <v>CARRERA 101  11  55</v>
      </c>
      <c r="F1980" s="17">
        <f>+VLOOKUP(A1980,[1]PFE4!$A$7:$G$5208,7,0)</f>
        <v>11001</v>
      </c>
      <c r="G1980">
        <v>13853334</v>
      </c>
      <c r="H1980">
        <v>4329</v>
      </c>
    </row>
    <row r="1981" spans="1:8" ht="15" customHeight="1" x14ac:dyDescent="0.25">
      <c r="A1981" t="s">
        <v>4225</v>
      </c>
      <c r="B1981" t="s">
        <v>8269</v>
      </c>
      <c r="C1981" t="s">
        <v>11795</v>
      </c>
      <c r="D1981" t="s">
        <v>13287</v>
      </c>
      <c r="E1981" t="str">
        <f>+VLOOKUP(A1981,[1]PFE4!$A$7:$F$5208,6,0)</f>
        <v>CARRERA 46 67 49</v>
      </c>
      <c r="F1981" s="17" t="str">
        <f>+VLOOKUP(A1981,[1]PFE4!$A$7:$G$5208,7,0)</f>
        <v>08001</v>
      </c>
      <c r="G1981">
        <v>13860000</v>
      </c>
      <c r="H1981">
        <v>4329</v>
      </c>
    </row>
    <row r="1982" spans="1:8" ht="15" customHeight="1" x14ac:dyDescent="0.25">
      <c r="A1982" t="s">
        <v>4226</v>
      </c>
      <c r="B1982" t="s">
        <v>8270</v>
      </c>
      <c r="C1982" t="s">
        <v>11796</v>
      </c>
      <c r="D1982" t="s">
        <v>13287</v>
      </c>
      <c r="E1982" t="str">
        <f>+VLOOKUP(A1982,[1]PFE4!$A$7:$F$5208,6,0)</f>
        <v>CARRERA 18  20 A  32</v>
      </c>
      <c r="F1982" s="17">
        <f>+VLOOKUP(A1982,[1]PFE4!$A$7:$G$5208,7,0)</f>
        <v>85001</v>
      </c>
      <c r="G1982">
        <v>13875882</v>
      </c>
      <c r="H1982">
        <v>4329</v>
      </c>
    </row>
    <row r="1983" spans="1:8" ht="15" customHeight="1" x14ac:dyDescent="0.25">
      <c r="A1983" t="s">
        <v>4227</v>
      </c>
      <c r="B1983" t="s">
        <v>8271</v>
      </c>
      <c r="C1983" t="s">
        <v>11797</v>
      </c>
      <c r="D1983" t="s">
        <v>13287</v>
      </c>
      <c r="E1983" t="str">
        <f>+VLOOKUP(A1983,[1]PFE4!$A$7:$F$5208,6,0)</f>
        <v>CARRERA 10  93 A  65</v>
      </c>
      <c r="F1983" s="17">
        <f>+VLOOKUP(A1983,[1]PFE4!$A$7:$G$5208,7,0)</f>
        <v>11001</v>
      </c>
      <c r="G1983">
        <v>13878315</v>
      </c>
      <c r="H1983">
        <v>4329</v>
      </c>
    </row>
    <row r="1984" spans="1:8" ht="15" customHeight="1" x14ac:dyDescent="0.25">
      <c r="A1984" t="s">
        <v>4228</v>
      </c>
      <c r="B1984" t="s">
        <v>8272</v>
      </c>
      <c r="C1984">
        <v>0</v>
      </c>
      <c r="D1984" t="s">
        <v>13287</v>
      </c>
      <c r="E1984">
        <v>0</v>
      </c>
      <c r="F1984" s="17">
        <v>11001</v>
      </c>
      <c r="G1984">
        <v>13893770</v>
      </c>
      <c r="H1984">
        <v>4329</v>
      </c>
    </row>
    <row r="1985" spans="1:8" ht="15" customHeight="1" x14ac:dyDescent="0.25">
      <c r="A1985" t="s">
        <v>4229</v>
      </c>
      <c r="B1985" t="s">
        <v>8273</v>
      </c>
      <c r="C1985" t="s">
        <v>11798</v>
      </c>
      <c r="D1985" t="s">
        <v>13287</v>
      </c>
      <c r="E1985" t="str">
        <f>+VLOOKUP(A1985,[1]PFE4!$A$7:$F$5208,6,0)</f>
        <v>AVENIDA CIRCUNVALAR  82  30</v>
      </c>
      <c r="F1985" s="17">
        <f>+VLOOKUP(A1985,[1]PFE4!$A$7:$G$5208,7,0)</f>
        <v>11001</v>
      </c>
      <c r="G1985">
        <v>13905600</v>
      </c>
      <c r="H1985">
        <v>4329</v>
      </c>
    </row>
    <row r="1986" spans="1:8" ht="15" customHeight="1" x14ac:dyDescent="0.25">
      <c r="A1986" t="s">
        <v>4230</v>
      </c>
      <c r="B1986" t="s">
        <v>8274</v>
      </c>
      <c r="C1986" t="s">
        <v>11799</v>
      </c>
      <c r="D1986" t="s">
        <v>13287</v>
      </c>
      <c r="E1986" t="str">
        <f>+VLOOKUP(A1986,[1]PFE4!$A$7:$F$5208,6,0)</f>
        <v>CR 35 10 B 85</v>
      </c>
      <c r="F1986" s="17" t="str">
        <f>+VLOOKUP(A1986,[1]PFE4!$A$7:$G$5208,7,0)</f>
        <v>05266</v>
      </c>
      <c r="G1986">
        <v>13920000</v>
      </c>
      <c r="H1986">
        <v>4329</v>
      </c>
    </row>
    <row r="1987" spans="1:8" ht="15" customHeight="1" x14ac:dyDescent="0.25">
      <c r="A1987" t="s">
        <v>4231</v>
      </c>
      <c r="B1987" t="s">
        <v>8275</v>
      </c>
      <c r="C1987" t="s">
        <v>11800</v>
      </c>
      <c r="D1987" t="s">
        <v>13287</v>
      </c>
      <c r="E1987" t="str">
        <f>+VLOOKUP(A1987,[1]PFE4!$A$7:$F$5208,6,0)</f>
        <v>CALLE 146  13  91</v>
      </c>
      <c r="F1987" s="17">
        <f>+VLOOKUP(A1987,[1]PFE4!$A$7:$G$5208,7,0)</f>
        <v>11001</v>
      </c>
      <c r="G1987">
        <v>13923202</v>
      </c>
      <c r="H1987">
        <v>4329</v>
      </c>
    </row>
    <row r="1988" spans="1:8" ht="15" customHeight="1" x14ac:dyDescent="0.25">
      <c r="A1988" t="s">
        <v>4232</v>
      </c>
      <c r="B1988" t="s">
        <v>8276</v>
      </c>
      <c r="C1988" t="s">
        <v>11801</v>
      </c>
      <c r="D1988" t="s">
        <v>13287</v>
      </c>
      <c r="E1988" t="str">
        <f>+VLOOKUP(A1988,[1]PFE4!$A$7:$F$5208,6,0)</f>
        <v>CR 65 52 B SUR 58 CORR DE SAN ANTONIO DE PRADO</v>
      </c>
      <c r="F1988" s="17" t="str">
        <f>+VLOOKUP(A1988,[1]PFE4!$A$7:$G$5208,7,0)</f>
        <v>05001</v>
      </c>
      <c r="G1988">
        <v>13954340</v>
      </c>
      <c r="H1988">
        <v>4329</v>
      </c>
    </row>
    <row r="1989" spans="1:8" ht="15" customHeight="1" x14ac:dyDescent="0.25">
      <c r="A1989" t="s">
        <v>4233</v>
      </c>
      <c r="B1989" t="s">
        <v>8277</v>
      </c>
      <c r="C1989" t="s">
        <v>10832</v>
      </c>
      <c r="D1989" t="s">
        <v>13287</v>
      </c>
      <c r="E1989" t="str">
        <f>+VLOOKUP(A1989,[1]PFE4!$A$7:$F$5208,6,0)</f>
        <v>CL 110 15 36</v>
      </c>
      <c r="F1989" s="17">
        <f>+VLOOKUP(A1989,[1]PFE4!$A$7:$G$5208,7,0)</f>
        <v>11001</v>
      </c>
      <c r="G1989">
        <v>13964560</v>
      </c>
      <c r="H1989">
        <v>4329</v>
      </c>
    </row>
    <row r="1990" spans="1:8" ht="15" customHeight="1" x14ac:dyDescent="0.25">
      <c r="A1990" t="s">
        <v>4234</v>
      </c>
      <c r="B1990" t="s">
        <v>8278</v>
      </c>
      <c r="C1990" t="s">
        <v>11802</v>
      </c>
      <c r="D1990" t="s">
        <v>13287</v>
      </c>
      <c r="E1990" t="str">
        <f>+VLOOKUP(A1990,[1]PFE4!$A$7:$F$5208,6,0)</f>
        <v>CARRERA 2 A  66  52</v>
      </c>
      <c r="F1990" s="17">
        <f>+VLOOKUP(A1990,[1]PFE4!$A$7:$G$5208,7,0)</f>
        <v>11001</v>
      </c>
      <c r="G1990">
        <v>13987908</v>
      </c>
      <c r="H1990">
        <v>4329</v>
      </c>
    </row>
    <row r="1991" spans="1:8" ht="15" customHeight="1" x14ac:dyDescent="0.25">
      <c r="A1991" t="s">
        <v>4235</v>
      </c>
      <c r="B1991" t="s">
        <v>8279</v>
      </c>
      <c r="C1991" t="s">
        <v>11803</v>
      </c>
      <c r="D1991" t="s">
        <v>13287</v>
      </c>
      <c r="E1991" t="str">
        <f>+VLOOKUP(A1991,[1]PFE4!$A$7:$F$5208,6,0)</f>
        <v>CL 127 A 53 A 45 OF 1101</v>
      </c>
      <c r="F1991" s="17">
        <f>+VLOOKUP(A1991,[1]PFE4!$A$7:$G$5208,7,0)</f>
        <v>11001</v>
      </c>
      <c r="G1991">
        <v>14000000</v>
      </c>
      <c r="H1991">
        <v>4329</v>
      </c>
    </row>
    <row r="1992" spans="1:8" ht="15" customHeight="1" x14ac:dyDescent="0.25">
      <c r="A1992" t="s">
        <v>4236</v>
      </c>
      <c r="B1992" t="s">
        <v>8280</v>
      </c>
      <c r="C1992" t="s">
        <v>11804</v>
      </c>
      <c r="D1992" t="s">
        <v>13287</v>
      </c>
      <c r="E1992" t="str">
        <f>+VLOOKUP(A1992,[1]PFE4!$A$7:$F$5208,6,0)</f>
        <v>CARRERA 7 B Bis  132  11</v>
      </c>
      <c r="F1992" s="17">
        <f>+VLOOKUP(A1992,[1]PFE4!$A$7:$G$5208,7,0)</f>
        <v>11001</v>
      </c>
      <c r="G1992">
        <v>14017908</v>
      </c>
      <c r="H1992">
        <v>4329</v>
      </c>
    </row>
    <row r="1993" spans="1:8" ht="15" customHeight="1" x14ac:dyDescent="0.25">
      <c r="A1993" t="s">
        <v>4237</v>
      </c>
      <c r="B1993" t="s">
        <v>8281</v>
      </c>
      <c r="C1993">
        <v>0</v>
      </c>
      <c r="D1993" t="s">
        <v>13287</v>
      </c>
      <c r="E1993">
        <v>0</v>
      </c>
      <c r="F1993" s="17">
        <v>11001</v>
      </c>
      <c r="G1993">
        <v>14020705</v>
      </c>
      <c r="H1993">
        <v>4329</v>
      </c>
    </row>
    <row r="1994" spans="1:8" ht="15" customHeight="1" x14ac:dyDescent="0.25">
      <c r="A1994" t="s">
        <v>4238</v>
      </c>
      <c r="B1994" t="s">
        <v>8282</v>
      </c>
      <c r="C1994" t="s">
        <v>10505</v>
      </c>
      <c r="D1994" t="s">
        <v>13287</v>
      </c>
      <c r="E1994" t="str">
        <f>+VLOOKUP(A1994,[1]PFE4!$A$7:$F$5208,6,0)</f>
        <v>CALLE 32 C  29  61</v>
      </c>
      <c r="F1994" s="17" t="str">
        <f>+VLOOKUP(A1994,[1]PFE4!$A$7:$G$5208,7,0)</f>
        <v>05001</v>
      </c>
      <c r="G1994">
        <v>14034866</v>
      </c>
      <c r="H1994">
        <v>4329</v>
      </c>
    </row>
    <row r="1995" spans="1:8" ht="15" customHeight="1" x14ac:dyDescent="0.25">
      <c r="A1995" t="s">
        <v>4239</v>
      </c>
      <c r="B1995" t="s">
        <v>8283</v>
      </c>
      <c r="C1995" t="s">
        <v>11805</v>
      </c>
      <c r="D1995" t="s">
        <v>13287</v>
      </c>
      <c r="E1995" t="str">
        <f>+VLOOKUP(A1995,[1]PFE4!$A$7:$F$5208,6,0)</f>
        <v>CALLE 43 C SUR  40 B  80</v>
      </c>
      <c r="F1995" s="17" t="str">
        <f>+VLOOKUP(A1995,[1]PFE4!$A$7:$G$5208,7,0)</f>
        <v>05266</v>
      </c>
      <c r="G1995">
        <v>14053508</v>
      </c>
      <c r="H1995">
        <v>4329</v>
      </c>
    </row>
    <row r="1996" spans="1:8" ht="15" customHeight="1" x14ac:dyDescent="0.25">
      <c r="A1996" t="s">
        <v>4240</v>
      </c>
      <c r="B1996" t="s">
        <v>8284</v>
      </c>
      <c r="C1996" t="s">
        <v>11806</v>
      </c>
      <c r="D1996" t="s">
        <v>13287</v>
      </c>
      <c r="E1996" t="str">
        <f>+VLOOKUP(A1996,[1]PFE4!$A$7:$F$5208,6,0)</f>
        <v>CARRERA 18  125  61</v>
      </c>
      <c r="F1996" s="17">
        <f>+VLOOKUP(A1996,[1]PFE4!$A$7:$G$5208,7,0)</f>
        <v>76001</v>
      </c>
      <c r="G1996">
        <v>14120430</v>
      </c>
      <c r="H1996">
        <v>4329</v>
      </c>
    </row>
    <row r="1997" spans="1:8" ht="15" customHeight="1" x14ac:dyDescent="0.25">
      <c r="A1997" t="s">
        <v>4241</v>
      </c>
      <c r="B1997" t="s">
        <v>8285</v>
      </c>
      <c r="C1997" t="s">
        <v>11807</v>
      </c>
      <c r="D1997" t="s">
        <v>13287</v>
      </c>
      <c r="E1997" t="str">
        <f>+VLOOKUP(A1997,[1]PFE4!$A$7:$F$5208,6,0)</f>
        <v>CALLE 13  4  25</v>
      </c>
      <c r="F1997" s="17">
        <f>+VLOOKUP(A1997,[1]PFE4!$A$7:$G$5208,7,0)</f>
        <v>76001</v>
      </c>
      <c r="G1997">
        <v>14128776</v>
      </c>
      <c r="H1997">
        <v>4329</v>
      </c>
    </row>
    <row r="1998" spans="1:8" ht="15" customHeight="1" x14ac:dyDescent="0.25">
      <c r="A1998" t="s">
        <v>4242</v>
      </c>
      <c r="B1998" t="s">
        <v>8286</v>
      </c>
      <c r="C1998" t="s">
        <v>11808</v>
      </c>
      <c r="D1998" t="s">
        <v>13287</v>
      </c>
      <c r="E1998" t="str">
        <f>+VLOOKUP(A1998,[1]PFE4!$A$7:$F$5208,6,0)</f>
        <v>CARRERA 5  31  114</v>
      </c>
      <c r="F1998" s="17">
        <f>+VLOOKUP(A1998,[1]PFE4!$A$7:$G$5208,7,0)</f>
        <v>73001</v>
      </c>
      <c r="G1998">
        <v>14133977</v>
      </c>
      <c r="H1998">
        <v>4329</v>
      </c>
    </row>
    <row r="1999" spans="1:8" ht="15" customHeight="1" x14ac:dyDescent="0.25">
      <c r="A1999" t="s">
        <v>4243</v>
      </c>
      <c r="B1999" t="s">
        <v>8287</v>
      </c>
      <c r="C1999" t="s">
        <v>11809</v>
      </c>
      <c r="D1999" t="s">
        <v>13287</v>
      </c>
      <c r="E1999" t="str">
        <f>+VLOOKUP(A1999,[1]PFE4!$A$7:$F$5208,6,0)</f>
        <v>CALLE 71 B  100  11</v>
      </c>
      <c r="F1999" s="17">
        <f>+VLOOKUP(A1999,[1]PFE4!$A$7:$G$5208,7,0)</f>
        <v>11001</v>
      </c>
      <c r="G1999">
        <v>14144928</v>
      </c>
      <c r="H1999">
        <v>4329</v>
      </c>
    </row>
    <row r="2000" spans="1:8" ht="15" customHeight="1" x14ac:dyDescent="0.25">
      <c r="A2000" t="s">
        <v>4244</v>
      </c>
      <c r="B2000" t="s">
        <v>8288</v>
      </c>
      <c r="C2000" t="s">
        <v>11810</v>
      </c>
      <c r="D2000" t="s">
        <v>13287</v>
      </c>
      <c r="E2000" t="str">
        <f>+VLOOKUP(A2000,[1]PFE4!$A$7:$F$5208,6,0)</f>
        <v>CL 33 8 129 P 1</v>
      </c>
      <c r="F2000" s="17">
        <f>+VLOOKUP(A2000,[1]PFE4!$A$7:$G$5208,7,0)</f>
        <v>11001</v>
      </c>
      <c r="G2000">
        <v>14145520</v>
      </c>
      <c r="H2000">
        <v>4329</v>
      </c>
    </row>
    <row r="2001" spans="1:8" ht="15" customHeight="1" x14ac:dyDescent="0.25">
      <c r="A2001" t="s">
        <v>4245</v>
      </c>
      <c r="B2001" t="s">
        <v>8289</v>
      </c>
      <c r="C2001" t="s">
        <v>11811</v>
      </c>
      <c r="D2001" t="s">
        <v>13287</v>
      </c>
      <c r="E2001" t="str">
        <f>+VLOOKUP(A2001,[1]PFE4!$A$7:$F$5208,6,0)</f>
        <v>CALLE 85 48-01 BL.6 LC 17</v>
      </c>
      <c r="F2001" s="17" t="str">
        <f>+VLOOKUP(A2001,[1]PFE4!$A$7:$G$5208,7,0)</f>
        <v>05308</v>
      </c>
      <c r="G2001">
        <v>14155879</v>
      </c>
      <c r="H2001">
        <v>4329</v>
      </c>
    </row>
    <row r="2002" spans="1:8" ht="15" customHeight="1" x14ac:dyDescent="0.25">
      <c r="A2002" t="s">
        <v>4246</v>
      </c>
      <c r="B2002" t="s">
        <v>8290</v>
      </c>
      <c r="C2002" t="s">
        <v>11812</v>
      </c>
      <c r="D2002" t="s">
        <v>13287</v>
      </c>
      <c r="E2002" t="str">
        <f>+VLOOKUP(A2002,[1]PFE4!$A$7:$F$5208,6,0)</f>
        <v>CARRERA 2 OESTE  11  05</v>
      </c>
      <c r="F2002" s="17">
        <f>+VLOOKUP(A2002,[1]PFE4!$A$7:$G$5208,7,0)</f>
        <v>76001</v>
      </c>
      <c r="G2002">
        <v>14172304</v>
      </c>
      <c r="H2002">
        <v>4329</v>
      </c>
    </row>
    <row r="2003" spans="1:8" ht="15" customHeight="1" x14ac:dyDescent="0.25">
      <c r="A2003" t="s">
        <v>4247</v>
      </c>
      <c r="B2003" t="s">
        <v>8291</v>
      </c>
      <c r="C2003" t="s">
        <v>11264</v>
      </c>
      <c r="D2003" t="s">
        <v>13287</v>
      </c>
      <c r="E2003" t="str">
        <f>+VLOOKUP(A2003,[1]PFE4!$A$7:$F$5208,6,0)</f>
        <v>CARRERA 42  23 SUR  126</v>
      </c>
      <c r="F2003" s="17" t="str">
        <f>+VLOOKUP(A2003,[1]PFE4!$A$7:$G$5208,7,0)</f>
        <v>05266</v>
      </c>
      <c r="G2003">
        <v>14194180</v>
      </c>
      <c r="H2003">
        <v>4329</v>
      </c>
    </row>
    <row r="2004" spans="1:8" ht="15" customHeight="1" x14ac:dyDescent="0.25">
      <c r="A2004" t="s">
        <v>4248</v>
      </c>
      <c r="B2004" t="s">
        <v>8292</v>
      </c>
      <c r="C2004" t="s">
        <v>11813</v>
      </c>
      <c r="D2004" t="s">
        <v>13287</v>
      </c>
      <c r="E2004" t="str">
        <f>+VLOOKUP(A2004,[1]PFE4!$A$7:$F$5208,6,0)</f>
        <v>CR 36 D CL 43 SUR 180</v>
      </c>
      <c r="F2004" s="17" t="str">
        <f>+VLOOKUP(A2004,[1]PFE4!$A$7:$G$5208,7,0)</f>
        <v>05266</v>
      </c>
      <c r="G2004">
        <v>14214472</v>
      </c>
      <c r="H2004">
        <v>4329</v>
      </c>
    </row>
    <row r="2005" spans="1:8" ht="15" customHeight="1" x14ac:dyDescent="0.25">
      <c r="A2005" t="s">
        <v>4249</v>
      </c>
      <c r="B2005" t="s">
        <v>8293</v>
      </c>
      <c r="C2005" t="s">
        <v>11814</v>
      </c>
      <c r="D2005" t="s">
        <v>13287</v>
      </c>
      <c r="E2005" t="str">
        <f>+VLOOKUP(A2005,[1]PFE4!$A$7:$F$5208,6,0)</f>
        <v>CALLE 33 A  76  38</v>
      </c>
      <c r="F2005" s="17" t="str">
        <f>+VLOOKUP(A2005,[1]PFE4!$A$7:$G$5208,7,0)</f>
        <v>05001</v>
      </c>
      <c r="G2005">
        <v>14244120</v>
      </c>
      <c r="H2005">
        <v>4329</v>
      </c>
    </row>
    <row r="2006" spans="1:8" ht="15" customHeight="1" x14ac:dyDescent="0.25">
      <c r="A2006" t="s">
        <v>4250</v>
      </c>
      <c r="B2006" t="s">
        <v>8294</v>
      </c>
      <c r="C2006" t="s">
        <v>11815</v>
      </c>
      <c r="D2006" t="s">
        <v>13287</v>
      </c>
      <c r="E2006" t="str">
        <f>+VLOOKUP(A2006,[1]PFE4!$A$7:$F$5208,6,0)</f>
        <v>CALLE 18  0  43</v>
      </c>
      <c r="F2006" s="17">
        <f>+VLOOKUP(A2006,[1]PFE4!$A$7:$G$5208,7,0)</f>
        <v>54001</v>
      </c>
      <c r="G2006">
        <v>14256294</v>
      </c>
      <c r="H2006">
        <v>4329</v>
      </c>
    </row>
    <row r="2007" spans="1:8" ht="15" customHeight="1" x14ac:dyDescent="0.25">
      <c r="A2007" t="s">
        <v>4251</v>
      </c>
      <c r="B2007" t="s">
        <v>8295</v>
      </c>
      <c r="C2007" t="s">
        <v>11816</v>
      </c>
      <c r="D2007" t="s">
        <v>13287</v>
      </c>
      <c r="E2007" t="str">
        <f>+VLOOKUP(A2007,[1]PFE4!$A$7:$F$5208,6,0)</f>
        <v>CARRERA 17  106  51</v>
      </c>
      <c r="F2007" s="17">
        <f>+VLOOKUP(A2007,[1]PFE4!$A$7:$G$5208,7,0)</f>
        <v>11001</v>
      </c>
      <c r="G2007">
        <v>14286312</v>
      </c>
      <c r="H2007">
        <v>4329</v>
      </c>
    </row>
    <row r="2008" spans="1:8" ht="15" customHeight="1" x14ac:dyDescent="0.25">
      <c r="A2008" t="s">
        <v>4252</v>
      </c>
      <c r="B2008" t="s">
        <v>8296</v>
      </c>
      <c r="C2008" t="s">
        <v>11817</v>
      </c>
      <c r="D2008" t="s">
        <v>13287</v>
      </c>
      <c r="E2008" t="str">
        <f>+VLOOKUP(A2008,[1]PFE4!$A$7:$F$5208,6,0)</f>
        <v>CALLE 57  13  48 OFICINA 402</v>
      </c>
      <c r="F2008" s="17">
        <f>+VLOOKUP(A2008,[1]PFE4!$A$7:$G$5208,7,0)</f>
        <v>11001</v>
      </c>
      <c r="G2008">
        <v>14288223</v>
      </c>
      <c r="H2008">
        <v>4329</v>
      </c>
    </row>
    <row r="2009" spans="1:8" ht="15" customHeight="1" x14ac:dyDescent="0.25">
      <c r="A2009" t="s">
        <v>4253</v>
      </c>
      <c r="B2009" t="s">
        <v>8297</v>
      </c>
      <c r="C2009" t="s">
        <v>11818</v>
      </c>
      <c r="D2009" t="s">
        <v>13287</v>
      </c>
      <c r="E2009" t="str">
        <f>+VLOOKUP(A2009,[1]PFE4!$A$7:$F$5208,6,0)</f>
        <v>CARRERA 52  79  110</v>
      </c>
      <c r="F2009" s="17" t="str">
        <f>+VLOOKUP(A2009,[1]PFE4!$A$7:$G$5208,7,0)</f>
        <v>08001</v>
      </c>
      <c r="G2009">
        <v>14329713</v>
      </c>
      <c r="H2009">
        <v>4329</v>
      </c>
    </row>
    <row r="2010" spans="1:8" ht="15" customHeight="1" x14ac:dyDescent="0.25">
      <c r="A2010" t="s">
        <v>4254</v>
      </c>
      <c r="B2010" t="s">
        <v>8298</v>
      </c>
      <c r="C2010" t="s">
        <v>11819</v>
      </c>
      <c r="D2010" t="s">
        <v>13287</v>
      </c>
      <c r="E2010" t="str">
        <f>+VLOOKUP(A2010,[1]PFE4!$A$7:$F$5208,6,0)</f>
        <v>CL 9 C BIS 68 G 85</v>
      </c>
      <c r="F2010" s="17">
        <f>+VLOOKUP(A2010,[1]PFE4!$A$7:$G$5208,7,0)</f>
        <v>11001</v>
      </c>
      <c r="G2010">
        <v>14343908</v>
      </c>
      <c r="H2010">
        <v>4329</v>
      </c>
    </row>
    <row r="2011" spans="1:8" ht="15" customHeight="1" x14ac:dyDescent="0.25">
      <c r="A2011" t="s">
        <v>4255</v>
      </c>
      <c r="B2011" t="s">
        <v>8299</v>
      </c>
      <c r="C2011" t="s">
        <v>11820</v>
      </c>
      <c r="D2011" t="s">
        <v>13287</v>
      </c>
      <c r="E2011" t="str">
        <f>+VLOOKUP(A2011,[1]PFE4!$A$7:$F$5208,6,0)</f>
        <v>CR 3 11 32 OF 338 ED EDMOND ZACCOUR PH</v>
      </c>
      <c r="F2011" s="17">
        <f>+VLOOKUP(A2011,[1]PFE4!$A$7:$G$5208,7,0)</f>
        <v>11001</v>
      </c>
      <c r="G2011">
        <v>14347770</v>
      </c>
      <c r="H2011">
        <v>4329</v>
      </c>
    </row>
    <row r="2012" spans="1:8" ht="15" customHeight="1" x14ac:dyDescent="0.25">
      <c r="A2012" t="s">
        <v>4256</v>
      </c>
      <c r="B2012" t="s">
        <v>8300</v>
      </c>
      <c r="C2012" t="s">
        <v>11821</v>
      </c>
      <c r="D2012" t="s">
        <v>13287</v>
      </c>
      <c r="E2012" t="str">
        <f>+VLOOKUP(A2012,[1]PFE4!$A$7:$F$5208,6,0)</f>
        <v>CARRERA 17  122  58</v>
      </c>
      <c r="F2012" s="17">
        <f>+VLOOKUP(A2012,[1]PFE4!$A$7:$G$5208,7,0)</f>
        <v>11001</v>
      </c>
      <c r="G2012">
        <v>14349512</v>
      </c>
      <c r="H2012">
        <v>4329</v>
      </c>
    </row>
    <row r="2013" spans="1:8" ht="15" customHeight="1" x14ac:dyDescent="0.25">
      <c r="A2013" t="s">
        <v>4257</v>
      </c>
      <c r="B2013" t="s">
        <v>8301</v>
      </c>
      <c r="C2013" t="s">
        <v>11514</v>
      </c>
      <c r="D2013" t="s">
        <v>13287</v>
      </c>
      <c r="E2013" t="str">
        <f>+VLOOKUP(A2013,[1]PFE4!$A$7:$F$5208,6,0)</f>
        <v>CARRERA 15  97  60</v>
      </c>
      <c r="F2013" s="17">
        <f>+VLOOKUP(A2013,[1]PFE4!$A$7:$G$5208,7,0)</f>
        <v>11001</v>
      </c>
      <c r="G2013">
        <v>14361565</v>
      </c>
      <c r="H2013">
        <v>4329</v>
      </c>
    </row>
    <row r="2014" spans="1:8" ht="15" customHeight="1" x14ac:dyDescent="0.25">
      <c r="A2014" t="s">
        <v>4258</v>
      </c>
      <c r="B2014" t="s">
        <v>8302</v>
      </c>
      <c r="C2014" t="s">
        <v>11822</v>
      </c>
      <c r="D2014" t="s">
        <v>13287</v>
      </c>
      <c r="E2014" t="str">
        <f>+VLOOKUP(A2014,[1]PFE4!$A$7:$F$5208,6,0)</f>
        <v>CARRERA 15  135  25</v>
      </c>
      <c r="F2014" s="17">
        <f>+VLOOKUP(A2014,[1]PFE4!$A$7:$G$5208,7,0)</f>
        <v>11001</v>
      </c>
      <c r="G2014">
        <v>14367386</v>
      </c>
      <c r="H2014">
        <v>4329</v>
      </c>
    </row>
    <row r="2015" spans="1:8" ht="15" customHeight="1" x14ac:dyDescent="0.25">
      <c r="A2015" t="s">
        <v>4259</v>
      </c>
      <c r="B2015" t="s">
        <v>8303</v>
      </c>
      <c r="C2015" t="s">
        <v>11823</v>
      </c>
      <c r="D2015" t="s">
        <v>13287</v>
      </c>
      <c r="E2015" t="str">
        <f>+VLOOKUP(A2015,[1]PFE4!$A$7:$F$5208,6,0)</f>
        <v>CR 14 93B 15</v>
      </c>
      <c r="F2015" s="17">
        <f>+VLOOKUP(A2015,[1]PFE4!$A$7:$G$5208,7,0)</f>
        <v>11001</v>
      </c>
      <c r="G2015">
        <v>14383834</v>
      </c>
      <c r="H2015">
        <v>4329</v>
      </c>
    </row>
    <row r="2016" spans="1:8" ht="15" customHeight="1" x14ac:dyDescent="0.25">
      <c r="A2016" t="s">
        <v>4260</v>
      </c>
      <c r="B2016" t="s">
        <v>8304</v>
      </c>
      <c r="C2016" t="s">
        <v>11824</v>
      </c>
      <c r="D2016" t="s">
        <v>13287</v>
      </c>
      <c r="E2016" t="str">
        <f>+VLOOKUP(A2016,[1]PFE4!$A$7:$F$5208,6,0)</f>
        <v>CALLE 6  3  20</v>
      </c>
      <c r="F2016" s="17">
        <f>+VLOOKUP(A2016,[1]PFE4!$A$7:$G$5208,7,0)</f>
        <v>47001</v>
      </c>
      <c r="G2016">
        <v>14388080</v>
      </c>
      <c r="H2016">
        <v>4329</v>
      </c>
    </row>
    <row r="2017" spans="1:8" ht="15" customHeight="1" x14ac:dyDescent="0.25">
      <c r="A2017" t="s">
        <v>4261</v>
      </c>
      <c r="B2017" t="s">
        <v>8305</v>
      </c>
      <c r="C2017" t="s">
        <v>11825</v>
      </c>
      <c r="D2017" t="s">
        <v>13287</v>
      </c>
      <c r="E2017" t="str">
        <f>+VLOOKUP(A2017,[1]PFE4!$A$7:$F$5208,6,0)</f>
        <v>CR 18 2 A 46 BRR SAN FRANCISCO</v>
      </c>
      <c r="F2017" s="17">
        <f>+VLOOKUP(A2017,[1]PFE4!$A$7:$G$5208,7,0)</f>
        <v>68547</v>
      </c>
      <c r="G2017">
        <v>14391202</v>
      </c>
      <c r="H2017">
        <v>4329</v>
      </c>
    </row>
    <row r="2018" spans="1:8" ht="15" customHeight="1" x14ac:dyDescent="0.25">
      <c r="A2018" t="s">
        <v>4262</v>
      </c>
      <c r="B2018" t="s">
        <v>8306</v>
      </c>
      <c r="C2018" t="s">
        <v>11826</v>
      </c>
      <c r="D2018" t="s">
        <v>13287</v>
      </c>
      <c r="E2018" t="str">
        <f>+VLOOKUP(A2018,[1]PFE4!$A$7:$F$5208,6,0)</f>
        <v>CARRERA 28  45  45</v>
      </c>
      <c r="F2018" s="17">
        <f>+VLOOKUP(A2018,[1]PFE4!$A$7:$G$5208,7,0)</f>
        <v>68001</v>
      </c>
      <c r="G2018">
        <v>14403007</v>
      </c>
      <c r="H2018">
        <v>4329</v>
      </c>
    </row>
    <row r="2019" spans="1:8" ht="15" customHeight="1" x14ac:dyDescent="0.25">
      <c r="A2019" t="s">
        <v>4263</v>
      </c>
      <c r="B2019" t="s">
        <v>8307</v>
      </c>
      <c r="C2019">
        <v>0</v>
      </c>
      <c r="D2019" t="s">
        <v>13287</v>
      </c>
      <c r="E2019">
        <v>0</v>
      </c>
      <c r="F2019" s="17">
        <v>11001</v>
      </c>
      <c r="G2019">
        <v>14436546</v>
      </c>
      <c r="H2019">
        <v>4329</v>
      </c>
    </row>
    <row r="2020" spans="1:8" ht="15" customHeight="1" x14ac:dyDescent="0.25">
      <c r="A2020" t="s">
        <v>4264</v>
      </c>
      <c r="B2020" t="s">
        <v>8308</v>
      </c>
      <c r="C2020" t="s">
        <v>11827</v>
      </c>
      <c r="D2020" t="s">
        <v>13287</v>
      </c>
      <c r="E2020" t="str">
        <f>+VLOOKUP(A2020,[1]PFE4!$A$7:$F$5208,6,0)</f>
        <v>CALLE 35  27  99</v>
      </c>
      <c r="F2020" s="17">
        <f>+VLOOKUP(A2020,[1]PFE4!$A$7:$G$5208,7,0)</f>
        <v>68001</v>
      </c>
      <c r="G2020">
        <v>14471152</v>
      </c>
      <c r="H2020">
        <v>4329</v>
      </c>
    </row>
    <row r="2021" spans="1:8" ht="15" customHeight="1" x14ac:dyDescent="0.25">
      <c r="A2021" t="s">
        <v>4265</v>
      </c>
      <c r="B2021" t="s">
        <v>8309</v>
      </c>
      <c r="C2021" t="s">
        <v>10613</v>
      </c>
      <c r="D2021" t="s">
        <v>13287</v>
      </c>
      <c r="E2021" t="str">
        <f>+VLOOKUP(A2021,[1]PFE4!$A$7:$F$5208,6,0)</f>
        <v>CL 5 121 B 56</v>
      </c>
      <c r="F2021" s="17">
        <f>+VLOOKUP(A2021,[1]PFE4!$A$7:$G$5208,7,0)</f>
        <v>76001</v>
      </c>
      <c r="G2021">
        <v>14483026</v>
      </c>
      <c r="H2021">
        <v>4329</v>
      </c>
    </row>
    <row r="2022" spans="1:8" ht="15" customHeight="1" x14ac:dyDescent="0.25">
      <c r="A2022" t="s">
        <v>4266</v>
      </c>
      <c r="B2022" t="s">
        <v>8310</v>
      </c>
      <c r="C2022" t="s">
        <v>11828</v>
      </c>
      <c r="D2022" t="s">
        <v>13287</v>
      </c>
      <c r="E2022" t="str">
        <f>+VLOOKUP(A2022,[1]PFE4!$A$7:$F$5208,6,0)</f>
        <v>CARRERA 28  47  03</v>
      </c>
      <c r="F2022" s="17">
        <f>+VLOOKUP(A2022,[1]PFE4!$A$7:$G$5208,7,0)</f>
        <v>68001</v>
      </c>
      <c r="G2022">
        <v>14497610</v>
      </c>
      <c r="H2022">
        <v>4329</v>
      </c>
    </row>
    <row r="2023" spans="1:8" ht="15" customHeight="1" x14ac:dyDescent="0.25">
      <c r="A2023" t="s">
        <v>4267</v>
      </c>
      <c r="B2023" t="s">
        <v>8311</v>
      </c>
      <c r="C2023" t="s">
        <v>11829</v>
      </c>
      <c r="D2023" t="s">
        <v>13287</v>
      </c>
      <c r="E2023" t="str">
        <f>+VLOOKUP(A2023,[1]PFE4!$A$7:$F$5208,6,0)</f>
        <v>CARRERA 42 26-18</v>
      </c>
      <c r="F2023" s="17" t="str">
        <f>+VLOOKUP(A2023,[1]PFE4!$A$7:$G$5208,7,0)</f>
        <v>08520</v>
      </c>
      <c r="G2023">
        <v>14498560</v>
      </c>
      <c r="H2023">
        <v>4329</v>
      </c>
    </row>
    <row r="2024" spans="1:8" ht="15" customHeight="1" x14ac:dyDescent="0.25">
      <c r="A2024" t="s">
        <v>4268</v>
      </c>
      <c r="B2024" t="s">
        <v>8312</v>
      </c>
      <c r="C2024" t="s">
        <v>11830</v>
      </c>
      <c r="D2024" t="s">
        <v>13287</v>
      </c>
      <c r="E2024" t="str">
        <f>+VLOOKUP(A2024,[1]PFE4!$A$7:$F$5208,6,0)</f>
        <v>CARRERA 5 SUR  83  200</v>
      </c>
      <c r="F2024" s="17">
        <f>+VLOOKUP(A2024,[1]PFE4!$A$7:$G$5208,7,0)</f>
        <v>73001</v>
      </c>
      <c r="G2024">
        <v>14532816</v>
      </c>
      <c r="H2024">
        <v>4329</v>
      </c>
    </row>
    <row r="2025" spans="1:8" ht="15" customHeight="1" x14ac:dyDescent="0.25">
      <c r="A2025" t="s">
        <v>4269</v>
      </c>
      <c r="B2025" t="s">
        <v>8313</v>
      </c>
      <c r="C2025" t="s">
        <v>11831</v>
      </c>
      <c r="D2025" t="s">
        <v>13287</v>
      </c>
      <c r="E2025" t="str">
        <f>+VLOOKUP(A2025,[1]PFE4!$A$7:$F$5208,6,0)</f>
        <v>CALLE 84  46  25</v>
      </c>
      <c r="F2025" s="17" t="str">
        <f>+VLOOKUP(A2025,[1]PFE4!$A$7:$G$5208,7,0)</f>
        <v>08001</v>
      </c>
      <c r="G2025">
        <v>14541960</v>
      </c>
      <c r="H2025">
        <v>4329</v>
      </c>
    </row>
    <row r="2026" spans="1:8" ht="15" customHeight="1" x14ac:dyDescent="0.25">
      <c r="A2026" t="s">
        <v>4270</v>
      </c>
      <c r="B2026" t="s">
        <v>8314</v>
      </c>
      <c r="C2026" t="s">
        <v>11832</v>
      </c>
      <c r="D2026" t="s">
        <v>13287</v>
      </c>
      <c r="E2026" t="str">
        <f>+VLOOKUP(A2026,[1]PFE4!$A$7:$F$5208,6,0)</f>
        <v>CALLE 8 NORTE  3  170</v>
      </c>
      <c r="F2026" s="17">
        <f>+VLOOKUP(A2026,[1]PFE4!$A$7:$G$5208,7,0)</f>
        <v>68547</v>
      </c>
      <c r="G2026">
        <v>14543836</v>
      </c>
      <c r="H2026">
        <v>4329</v>
      </c>
    </row>
    <row r="2027" spans="1:8" ht="15" customHeight="1" x14ac:dyDescent="0.25">
      <c r="A2027" t="s">
        <v>4271</v>
      </c>
      <c r="B2027" t="s">
        <v>8315</v>
      </c>
      <c r="C2027" t="s">
        <v>11833</v>
      </c>
      <c r="D2027" t="s">
        <v>13287</v>
      </c>
      <c r="E2027" t="str">
        <f>+VLOOKUP(A2027,[1]PFE4!$A$7:$F$5208,6,0)</f>
        <v>CR 30 2 C 118 CORREDOR UNIVERSITARIO CORR SABANILLA</v>
      </c>
      <c r="F2027" s="17" t="str">
        <f>+VLOOKUP(A2027,[1]PFE4!$A$7:$G$5208,7,0)</f>
        <v>08573</v>
      </c>
      <c r="G2027">
        <v>14552400</v>
      </c>
      <c r="H2027">
        <v>4329</v>
      </c>
    </row>
    <row r="2028" spans="1:8" ht="15" customHeight="1" x14ac:dyDescent="0.25">
      <c r="A2028" t="s">
        <v>4272</v>
      </c>
      <c r="B2028" t="s">
        <v>8316</v>
      </c>
      <c r="C2028" t="s">
        <v>11834</v>
      </c>
      <c r="D2028" t="s">
        <v>13287</v>
      </c>
      <c r="E2028" t="str">
        <f>+VLOOKUP(A2028,[1]PFE4!$A$7:$F$5208,6,0)</f>
        <v>CALLE 145  15  31</v>
      </c>
      <c r="F2028" s="17">
        <f>+VLOOKUP(A2028,[1]PFE4!$A$7:$G$5208,7,0)</f>
        <v>11001</v>
      </c>
      <c r="G2028">
        <v>14556600</v>
      </c>
      <c r="H2028">
        <v>4329</v>
      </c>
    </row>
    <row r="2029" spans="1:8" ht="15" customHeight="1" x14ac:dyDescent="0.25">
      <c r="A2029" t="s">
        <v>4273</v>
      </c>
      <c r="B2029" t="s">
        <v>8317</v>
      </c>
      <c r="C2029" t="s">
        <v>11835</v>
      </c>
      <c r="D2029" t="s">
        <v>13287</v>
      </c>
      <c r="E2029" t="str">
        <f>+VLOOKUP(A2029,[1]PFE4!$A$7:$F$5208,6,0)</f>
        <v>CR 38 51 59</v>
      </c>
      <c r="F2029" s="17">
        <f>+VLOOKUP(A2029,[1]PFE4!$A$7:$G$5208,7,0)</f>
        <v>11001</v>
      </c>
      <c r="G2029">
        <v>14562060</v>
      </c>
      <c r="H2029">
        <v>4329</v>
      </c>
    </row>
    <row r="2030" spans="1:8" ht="15" customHeight="1" x14ac:dyDescent="0.25">
      <c r="A2030" t="s">
        <v>4274</v>
      </c>
      <c r="B2030" t="s">
        <v>8318</v>
      </c>
      <c r="C2030" t="s">
        <v>11836</v>
      </c>
      <c r="D2030" t="s">
        <v>13287</v>
      </c>
      <c r="E2030" t="str">
        <f>+VLOOKUP(A2030,[1]PFE4!$A$7:$F$5208,6,0)</f>
        <v>CARRERA 69  97  129</v>
      </c>
      <c r="F2030" s="17" t="str">
        <f>+VLOOKUP(A2030,[1]PFE4!$A$7:$G$5208,7,0)</f>
        <v>05001</v>
      </c>
      <c r="G2030">
        <v>14568992</v>
      </c>
      <c r="H2030">
        <v>4329</v>
      </c>
    </row>
    <row r="2031" spans="1:8" ht="15" customHeight="1" x14ac:dyDescent="0.25">
      <c r="A2031" t="s">
        <v>4275</v>
      </c>
      <c r="B2031" t="s">
        <v>8319</v>
      </c>
      <c r="C2031" t="s">
        <v>11837</v>
      </c>
      <c r="D2031" t="s">
        <v>13287</v>
      </c>
      <c r="E2031" t="str">
        <f>+VLOOKUP(A2031,[1]PFE4!$A$7:$F$5208,6,0)</f>
        <v>CARRERA 50  58 A  78</v>
      </c>
      <c r="F2031" s="17">
        <f>+VLOOKUP(A2031,[1]PFE4!$A$7:$G$5208,7,0)</f>
        <v>11001</v>
      </c>
      <c r="G2031">
        <v>14610816</v>
      </c>
      <c r="H2031">
        <v>4329</v>
      </c>
    </row>
    <row r="2032" spans="1:8" ht="15" customHeight="1" x14ac:dyDescent="0.25">
      <c r="A2032" t="s">
        <v>4276</v>
      </c>
      <c r="B2032" t="s">
        <v>8320</v>
      </c>
      <c r="C2032" t="s">
        <v>11838</v>
      </c>
      <c r="D2032" t="s">
        <v>13287</v>
      </c>
      <c r="E2032" t="str">
        <f>+VLOOKUP(A2032,[1]PFE4!$A$7:$F$5208,6,0)</f>
        <v>CALLE 17  5  57</v>
      </c>
      <c r="F2032" s="17">
        <f>+VLOOKUP(A2032,[1]PFE4!$A$7:$G$5208,7,0)</f>
        <v>11001</v>
      </c>
      <c r="G2032">
        <v>14612684</v>
      </c>
      <c r="H2032">
        <v>4329</v>
      </c>
    </row>
    <row r="2033" spans="1:8" ht="15" customHeight="1" x14ac:dyDescent="0.25">
      <c r="A2033" t="s">
        <v>4277</v>
      </c>
      <c r="B2033" t="s">
        <v>8321</v>
      </c>
      <c r="C2033" t="s">
        <v>11512</v>
      </c>
      <c r="D2033" t="s">
        <v>13287</v>
      </c>
      <c r="E2033" t="str">
        <f>+VLOOKUP(A2033,[1]PFE4!$A$7:$F$5208,6,0)</f>
        <v>CRA 22 34 38 BR ANTONIA SANTOS</v>
      </c>
      <c r="F2033" s="17">
        <f>+VLOOKUP(A2033,[1]PFE4!$A$7:$G$5208,7,0)</f>
        <v>68001</v>
      </c>
      <c r="G2033">
        <v>14616512</v>
      </c>
      <c r="H2033">
        <v>4329</v>
      </c>
    </row>
    <row r="2034" spans="1:8" ht="15" customHeight="1" x14ac:dyDescent="0.25">
      <c r="A2034" t="s">
        <v>4278</v>
      </c>
      <c r="B2034" t="s">
        <v>8322</v>
      </c>
      <c r="C2034" t="s">
        <v>11839</v>
      </c>
      <c r="D2034" t="s">
        <v>13287</v>
      </c>
      <c r="E2034" t="str">
        <f>+VLOOKUP(A2034,[1]PFE4!$A$7:$F$5208,6,0)</f>
        <v>AVENIDA 3  22  83</v>
      </c>
      <c r="F2034" s="17">
        <f>+VLOOKUP(A2034,[1]PFE4!$A$7:$G$5208,7,0)</f>
        <v>11001</v>
      </c>
      <c r="G2034">
        <v>14655940</v>
      </c>
      <c r="H2034">
        <v>4329</v>
      </c>
    </row>
    <row r="2035" spans="1:8" ht="15" customHeight="1" x14ac:dyDescent="0.25">
      <c r="A2035" t="s">
        <v>4279</v>
      </c>
      <c r="B2035" t="s">
        <v>8323</v>
      </c>
      <c r="C2035" t="s">
        <v>11840</v>
      </c>
      <c r="D2035" t="s">
        <v>13287</v>
      </c>
      <c r="E2035" t="str">
        <f>+VLOOKUP(A2035,[1]PFE4!$A$7:$F$5208,6,0)</f>
        <v>Cra 41 No. 10-37</v>
      </c>
      <c r="F2035" s="17" t="str">
        <f>+VLOOKUP(A2035,[1]PFE4!$A$7:$G$5208,7,0)</f>
        <v>05001</v>
      </c>
      <c r="G2035">
        <v>14657310</v>
      </c>
      <c r="H2035">
        <v>4329</v>
      </c>
    </row>
    <row r="2036" spans="1:8" ht="15" customHeight="1" x14ac:dyDescent="0.25">
      <c r="A2036" t="s">
        <v>4280</v>
      </c>
      <c r="B2036" t="s">
        <v>8324</v>
      </c>
      <c r="C2036" t="s">
        <v>11841</v>
      </c>
      <c r="D2036" t="s">
        <v>13287</v>
      </c>
      <c r="E2036" t="str">
        <f>+VLOOKUP(A2036,[1]PFE4!$A$7:$F$5208,6,0)</f>
        <v>CARRERA 72  13 A  81</v>
      </c>
      <c r="F2036" s="17">
        <f>+VLOOKUP(A2036,[1]PFE4!$A$7:$G$5208,7,0)</f>
        <v>11001</v>
      </c>
      <c r="G2036">
        <v>14658786</v>
      </c>
      <c r="H2036">
        <v>4329</v>
      </c>
    </row>
    <row r="2037" spans="1:8" ht="15" customHeight="1" x14ac:dyDescent="0.25">
      <c r="A2037" t="s">
        <v>4281</v>
      </c>
      <c r="B2037" t="s">
        <v>8325</v>
      </c>
      <c r="C2037" t="s">
        <v>11842</v>
      </c>
      <c r="D2037" t="s">
        <v>13287</v>
      </c>
      <c r="E2037" t="str">
        <f>+VLOOKUP(A2037,[1]PFE4!$A$7:$F$5208,6,0)</f>
        <v>DIAGONAL 31  54  215</v>
      </c>
      <c r="F2037" s="17">
        <f>+VLOOKUP(A2037,[1]PFE4!$A$7:$G$5208,7,0)</f>
        <v>13001</v>
      </c>
      <c r="G2037">
        <v>14678239</v>
      </c>
      <c r="H2037">
        <v>4329</v>
      </c>
    </row>
    <row r="2038" spans="1:8" ht="15" customHeight="1" x14ac:dyDescent="0.25">
      <c r="A2038" t="s">
        <v>4282</v>
      </c>
      <c r="B2038" t="s">
        <v>8326</v>
      </c>
      <c r="C2038" t="s">
        <v>11843</v>
      </c>
      <c r="D2038" t="s">
        <v>13287</v>
      </c>
      <c r="E2038" t="str">
        <f>+VLOOKUP(A2038,[1]PFE4!$A$7:$F$5208,6,0)</f>
        <v>AVENIDA 5  1 A  32</v>
      </c>
      <c r="F2038" s="17">
        <f>+VLOOKUP(A2038,[1]PFE4!$A$7:$G$5208,7,0)</f>
        <v>54001</v>
      </c>
      <c r="G2038">
        <v>14693800</v>
      </c>
      <c r="H2038">
        <v>4329</v>
      </c>
    </row>
    <row r="2039" spans="1:8" ht="15" customHeight="1" x14ac:dyDescent="0.25">
      <c r="A2039" t="s">
        <v>4283</v>
      </c>
      <c r="B2039" t="s">
        <v>8327</v>
      </c>
      <c r="C2039" t="s">
        <v>11844</v>
      </c>
      <c r="D2039" t="s">
        <v>13287</v>
      </c>
      <c r="E2039" t="str">
        <f>+VLOOKUP(A2039,[1]PFE4!$A$7:$F$5208,6,0)</f>
        <v>CR 30 4 A 31 33 37 45</v>
      </c>
      <c r="F2039" s="17" t="str">
        <f>+VLOOKUP(A2039,[1]PFE4!$A$7:$G$5208,7,0)</f>
        <v>05001</v>
      </c>
      <c r="G2039">
        <v>14696688</v>
      </c>
      <c r="H2039">
        <v>4329</v>
      </c>
    </row>
    <row r="2040" spans="1:8" ht="15" customHeight="1" x14ac:dyDescent="0.25">
      <c r="A2040" t="s">
        <v>4284</v>
      </c>
      <c r="B2040" t="s">
        <v>8328</v>
      </c>
      <c r="C2040" t="s">
        <v>11787</v>
      </c>
      <c r="D2040" t="s">
        <v>13287</v>
      </c>
      <c r="E2040" t="str">
        <f>+VLOOKUP(A2040,[1]PFE4!$A$7:$F$5208,6,0)</f>
        <v>CALLE 48  28  55</v>
      </c>
      <c r="F2040" s="17">
        <f>+VLOOKUP(A2040,[1]PFE4!$A$7:$G$5208,7,0)</f>
        <v>50001</v>
      </c>
      <c r="G2040">
        <v>14712240</v>
      </c>
      <c r="H2040">
        <v>4329</v>
      </c>
    </row>
    <row r="2041" spans="1:8" ht="15" customHeight="1" x14ac:dyDescent="0.25">
      <c r="A2041" t="s">
        <v>4285</v>
      </c>
      <c r="B2041" t="s">
        <v>8329</v>
      </c>
      <c r="C2041" t="s">
        <v>11845</v>
      </c>
      <c r="D2041" t="s">
        <v>13287</v>
      </c>
      <c r="E2041" t="str">
        <f>+VLOOKUP(A2041,[1]PFE4!$A$7:$F$5208,6,0)</f>
        <v>CL 50 13 50</v>
      </c>
      <c r="F2041" s="17">
        <f>+VLOOKUP(A2041,[1]PFE4!$A$7:$G$5208,7,0)</f>
        <v>11001</v>
      </c>
      <c r="G2041">
        <v>14727900</v>
      </c>
      <c r="H2041">
        <v>4329</v>
      </c>
    </row>
    <row r="2042" spans="1:8" ht="15" customHeight="1" x14ac:dyDescent="0.25">
      <c r="A2042" t="s">
        <v>4286</v>
      </c>
      <c r="B2042" t="s">
        <v>8330</v>
      </c>
      <c r="C2042" t="s">
        <v>11846</v>
      </c>
      <c r="D2042" t="s">
        <v>13287</v>
      </c>
      <c r="E2042" t="str">
        <f>+VLOOKUP(A2042,[1]PFE4!$A$7:$F$5208,6,0)</f>
        <v>CALLE 82  34  100</v>
      </c>
      <c r="F2042" s="17">
        <f>+VLOOKUP(A2042,[1]PFE4!$A$7:$G$5208,7,0)</f>
        <v>66001</v>
      </c>
      <c r="G2042">
        <v>14729426</v>
      </c>
      <c r="H2042">
        <v>4329</v>
      </c>
    </row>
    <row r="2043" spans="1:8" ht="15" customHeight="1" x14ac:dyDescent="0.25">
      <c r="A2043" t="s">
        <v>4287</v>
      </c>
      <c r="B2043" t="s">
        <v>8331</v>
      </c>
      <c r="C2043" t="s">
        <v>11847</v>
      </c>
      <c r="D2043" t="s">
        <v>13287</v>
      </c>
      <c r="E2043" t="str">
        <f>+VLOOKUP(A2043,[1]PFE4!$A$7:$F$5208,6,0)</f>
        <v>CARRERA 17  124  31</v>
      </c>
      <c r="F2043" s="17">
        <f>+VLOOKUP(A2043,[1]PFE4!$A$7:$G$5208,7,0)</f>
        <v>11001</v>
      </c>
      <c r="G2043">
        <v>14729898</v>
      </c>
      <c r="H2043">
        <v>4329</v>
      </c>
    </row>
    <row r="2044" spans="1:8" ht="15" customHeight="1" x14ac:dyDescent="0.25">
      <c r="A2044" t="s">
        <v>4288</v>
      </c>
      <c r="B2044" t="s">
        <v>8332</v>
      </c>
      <c r="C2044" t="s">
        <v>11848</v>
      </c>
      <c r="D2044" t="s">
        <v>13287</v>
      </c>
      <c r="E2044" t="str">
        <f>+VLOOKUP(A2044,[1]PFE4!$A$7:$F$5208,6,0)</f>
        <v>DIAGONAL 36  34  147</v>
      </c>
      <c r="F2044" s="17">
        <f>+VLOOKUP(A2044,[1]PFE4!$A$7:$G$5208,7,0)</f>
        <v>68276</v>
      </c>
      <c r="G2044">
        <v>14731080</v>
      </c>
      <c r="H2044">
        <v>4329</v>
      </c>
    </row>
    <row r="2045" spans="1:8" ht="15" customHeight="1" x14ac:dyDescent="0.25">
      <c r="A2045" t="s">
        <v>4289</v>
      </c>
      <c r="B2045" t="s">
        <v>8333</v>
      </c>
      <c r="C2045" t="s">
        <v>11849</v>
      </c>
      <c r="D2045" t="s">
        <v>13287</v>
      </c>
      <c r="E2045" t="str">
        <f>+VLOOKUP(A2045,[1]PFE4!$A$7:$F$5208,6,0)</f>
        <v>CARRERA 26 CALLE 23 14</v>
      </c>
      <c r="F2045" s="17" t="str">
        <f>+VLOOKUP(A2045,[1]PFE4!$A$7:$G$5208,7,0)</f>
        <v>05148</v>
      </c>
      <c r="G2045">
        <v>14743662</v>
      </c>
      <c r="H2045">
        <v>4329</v>
      </c>
    </row>
    <row r="2046" spans="1:8" ht="15" customHeight="1" x14ac:dyDescent="0.25">
      <c r="A2046" t="s">
        <v>4290</v>
      </c>
      <c r="B2046" t="s">
        <v>8334</v>
      </c>
      <c r="C2046" t="s">
        <v>11074</v>
      </c>
      <c r="D2046" t="s">
        <v>13287</v>
      </c>
      <c r="E2046" t="str">
        <f>+VLOOKUP(A2046,[1]PFE4!$A$7:$F$5208,6,0)</f>
        <v>CR 41 16 B SUR 19 45 63</v>
      </c>
      <c r="F2046" s="17" t="str">
        <f>+VLOOKUP(A2046,[1]PFE4!$A$7:$G$5208,7,0)</f>
        <v>05001</v>
      </c>
      <c r="G2046">
        <v>14748988</v>
      </c>
      <c r="H2046">
        <v>4329</v>
      </c>
    </row>
    <row r="2047" spans="1:8" ht="15" customHeight="1" x14ac:dyDescent="0.25">
      <c r="A2047" t="s">
        <v>4291</v>
      </c>
      <c r="B2047" t="s">
        <v>8335</v>
      </c>
      <c r="C2047">
        <v>0</v>
      </c>
      <c r="D2047" t="s">
        <v>13287</v>
      </c>
      <c r="E2047">
        <v>0</v>
      </c>
      <c r="F2047" s="17">
        <v>11001</v>
      </c>
      <c r="G2047">
        <v>14751000</v>
      </c>
      <c r="H2047">
        <v>4329</v>
      </c>
    </row>
    <row r="2048" spans="1:8" ht="15" customHeight="1" x14ac:dyDescent="0.25">
      <c r="A2048" t="s">
        <v>4292</v>
      </c>
      <c r="B2048" t="s">
        <v>8336</v>
      </c>
      <c r="C2048" t="s">
        <v>11850</v>
      </c>
      <c r="D2048" t="s">
        <v>13287</v>
      </c>
      <c r="E2048" t="str">
        <f>+VLOOKUP(A2048,[1]PFE4!$A$7:$F$5208,6,0)</f>
        <v>CALLE 69  24  100</v>
      </c>
      <c r="F2048" s="17">
        <f>+VLOOKUP(A2048,[1]PFE4!$A$7:$G$5208,7,0)</f>
        <v>11001</v>
      </c>
      <c r="G2048">
        <v>14763196</v>
      </c>
      <c r="H2048">
        <v>4329</v>
      </c>
    </row>
    <row r="2049" spans="1:8" ht="15" customHeight="1" x14ac:dyDescent="0.25">
      <c r="A2049" t="s">
        <v>4293</v>
      </c>
      <c r="B2049" t="s">
        <v>8337</v>
      </c>
      <c r="C2049">
        <v>0</v>
      </c>
      <c r="D2049" t="s">
        <v>13287</v>
      </c>
      <c r="E2049">
        <v>0</v>
      </c>
      <c r="F2049" s="17">
        <v>11001</v>
      </c>
      <c r="G2049">
        <v>14763792</v>
      </c>
      <c r="H2049">
        <v>4329</v>
      </c>
    </row>
    <row r="2050" spans="1:8" ht="15" customHeight="1" x14ac:dyDescent="0.25">
      <c r="A2050" t="s">
        <v>4294</v>
      </c>
      <c r="B2050" t="s">
        <v>8338</v>
      </c>
      <c r="C2050" t="s">
        <v>11851</v>
      </c>
      <c r="D2050" t="s">
        <v>13287</v>
      </c>
      <c r="E2050" t="str">
        <f>+VLOOKUP(A2050,[1]PFE4!$A$7:$F$5208,6,0)</f>
        <v>CALLE 74  10  33</v>
      </c>
      <c r="F2050" s="17">
        <f>+VLOOKUP(A2050,[1]PFE4!$A$7:$G$5208,7,0)</f>
        <v>11001</v>
      </c>
      <c r="G2050">
        <v>14766988</v>
      </c>
      <c r="H2050">
        <v>4329</v>
      </c>
    </row>
    <row r="2051" spans="1:8" ht="15" customHeight="1" x14ac:dyDescent="0.25">
      <c r="A2051" t="s">
        <v>4295</v>
      </c>
      <c r="B2051" t="s">
        <v>8339</v>
      </c>
      <c r="C2051" t="s">
        <v>11852</v>
      </c>
      <c r="D2051" t="s">
        <v>13287</v>
      </c>
      <c r="E2051" t="str">
        <f>+VLOOKUP(A2051,[1]PFE4!$A$7:$F$5208,6,0)</f>
        <v>CARRERA 52 76-112 C.C. ATLANTIC CENTER</v>
      </c>
      <c r="F2051" s="17">
        <f>+VLOOKUP(A2051,[1]PFE4!$A$7:$G$5208,7,0)</f>
        <v>11001</v>
      </c>
      <c r="G2051">
        <v>14767978</v>
      </c>
      <c r="H2051">
        <v>4329</v>
      </c>
    </row>
    <row r="2052" spans="1:8" ht="15" customHeight="1" x14ac:dyDescent="0.25">
      <c r="A2052" t="s">
        <v>4296</v>
      </c>
      <c r="B2052" t="s">
        <v>8340</v>
      </c>
      <c r="C2052" t="s">
        <v>11853</v>
      </c>
      <c r="D2052" t="s">
        <v>13287</v>
      </c>
      <c r="E2052" t="str">
        <f>+VLOOKUP(A2052,[1]PFE4!$A$7:$F$5208,6,0)</f>
        <v>CL 19 B 36 26</v>
      </c>
      <c r="F2052" s="17">
        <f>+VLOOKUP(A2052,[1]PFE4!$A$7:$G$5208,7,0)</f>
        <v>11001</v>
      </c>
      <c r="G2052">
        <v>14794150</v>
      </c>
      <c r="H2052">
        <v>4329</v>
      </c>
    </row>
    <row r="2053" spans="1:8" ht="15" customHeight="1" x14ac:dyDescent="0.25">
      <c r="A2053" t="s">
        <v>4297</v>
      </c>
      <c r="B2053" t="s">
        <v>8341</v>
      </c>
      <c r="C2053" t="s">
        <v>11854</v>
      </c>
      <c r="D2053" t="s">
        <v>13287</v>
      </c>
      <c r="E2053" t="str">
        <f>+VLOOKUP(A2053,[1]PFE4!$A$7:$F$5208,6,0)</f>
        <v>CALLE 3 SUR  14  26</v>
      </c>
      <c r="F2053" s="17">
        <f>+VLOOKUP(A2053,[1]PFE4!$A$7:$G$5208,7,0)</f>
        <v>11001</v>
      </c>
      <c r="G2053">
        <v>14799534</v>
      </c>
      <c r="H2053">
        <v>4329</v>
      </c>
    </row>
    <row r="2054" spans="1:8" ht="15" customHeight="1" x14ac:dyDescent="0.25">
      <c r="A2054" t="s">
        <v>4298</v>
      </c>
      <c r="B2054" t="s">
        <v>8342</v>
      </c>
      <c r="C2054" t="s">
        <v>11855</v>
      </c>
      <c r="D2054" t="s">
        <v>13287</v>
      </c>
      <c r="E2054" t="str">
        <f>+VLOOKUP(A2054,[1]PFE4!$A$7:$F$5208,6,0)</f>
        <v>CALLE 119  20 A  26</v>
      </c>
      <c r="F2054" s="17">
        <f>+VLOOKUP(A2054,[1]PFE4!$A$7:$G$5208,7,0)</f>
        <v>11001</v>
      </c>
      <c r="G2054">
        <v>14800812</v>
      </c>
      <c r="H2054">
        <v>4329</v>
      </c>
    </row>
    <row r="2055" spans="1:8" ht="15" customHeight="1" x14ac:dyDescent="0.25">
      <c r="A2055" t="s">
        <v>4299</v>
      </c>
      <c r="B2055" t="s">
        <v>8343</v>
      </c>
      <c r="C2055" t="s">
        <v>11425</v>
      </c>
      <c r="D2055" t="s">
        <v>13287</v>
      </c>
      <c r="E2055" t="str">
        <f>+VLOOKUP(A2055,[1]PFE4!$A$7:$F$5208,6,0)</f>
        <v>CALLE 125  11 B  94 TORRE 11</v>
      </c>
      <c r="F2055" s="17">
        <f>+VLOOKUP(A2055,[1]PFE4!$A$7:$G$5208,7,0)</f>
        <v>11001</v>
      </c>
      <c r="G2055">
        <v>14802117</v>
      </c>
      <c r="H2055">
        <v>4329</v>
      </c>
    </row>
    <row r="2056" spans="1:8" ht="15" customHeight="1" x14ac:dyDescent="0.25">
      <c r="A2056" t="s">
        <v>4300</v>
      </c>
      <c r="B2056" t="s">
        <v>8344</v>
      </c>
      <c r="C2056" t="s">
        <v>11856</v>
      </c>
      <c r="D2056" t="s">
        <v>13287</v>
      </c>
      <c r="E2056" t="str">
        <f>+VLOOKUP(A2056,[1]PFE4!$A$7:$F$5208,6,0)</f>
        <v>CALLE 93  19  25</v>
      </c>
      <c r="F2056" s="17">
        <f>+VLOOKUP(A2056,[1]PFE4!$A$7:$G$5208,7,0)</f>
        <v>68001</v>
      </c>
      <c r="G2056">
        <v>14821799</v>
      </c>
      <c r="H2056">
        <v>4329</v>
      </c>
    </row>
    <row r="2057" spans="1:8" ht="15" customHeight="1" x14ac:dyDescent="0.25">
      <c r="A2057" t="s">
        <v>4301</v>
      </c>
      <c r="B2057" t="s">
        <v>8345</v>
      </c>
      <c r="C2057" t="s">
        <v>11857</v>
      </c>
      <c r="D2057" t="s">
        <v>13287</v>
      </c>
      <c r="E2057" t="str">
        <f>+VLOOKUP(A2057,[1]PFE4!$A$7:$F$5208,6,0)</f>
        <v>CALLE 118  19  09 OFICINA 404</v>
      </c>
      <c r="F2057" s="17">
        <f>+VLOOKUP(A2057,[1]PFE4!$A$7:$G$5208,7,0)</f>
        <v>20001</v>
      </c>
      <c r="G2057">
        <v>14828922</v>
      </c>
      <c r="H2057">
        <v>4329</v>
      </c>
    </row>
    <row r="2058" spans="1:8" ht="15" customHeight="1" x14ac:dyDescent="0.25">
      <c r="A2058" t="s">
        <v>4302</v>
      </c>
      <c r="B2058" t="s">
        <v>8346</v>
      </c>
      <c r="C2058" t="s">
        <v>11858</v>
      </c>
      <c r="D2058" t="s">
        <v>13287</v>
      </c>
      <c r="E2058" t="str">
        <f>+VLOOKUP(A2058,[1]PFE4!$A$7:$F$5208,6,0)</f>
        <v>CR 123 A 77B 86</v>
      </c>
      <c r="F2058" s="17">
        <f>+VLOOKUP(A2058,[1]PFE4!$A$7:$G$5208,7,0)</f>
        <v>11001</v>
      </c>
      <c r="G2058">
        <v>14834280</v>
      </c>
      <c r="H2058">
        <v>4329</v>
      </c>
    </row>
    <row r="2059" spans="1:8" ht="15" customHeight="1" x14ac:dyDescent="0.25">
      <c r="A2059" t="s">
        <v>4303</v>
      </c>
      <c r="B2059" t="s">
        <v>8347</v>
      </c>
      <c r="C2059" t="s">
        <v>11859</v>
      </c>
      <c r="D2059" t="s">
        <v>13287</v>
      </c>
      <c r="E2059" t="str">
        <f>+VLOOKUP(A2059,[1]PFE4!$A$7:$F$5208,6,0)</f>
        <v>CR 1B 3 41 BRR LA FRANCIA</v>
      </c>
      <c r="F2059" s="17">
        <f>+VLOOKUP(A2059,[1]PFE4!$A$7:$G$5208,7,0)</f>
        <v>17001</v>
      </c>
      <c r="G2059">
        <v>14857920</v>
      </c>
      <c r="H2059">
        <v>4329</v>
      </c>
    </row>
    <row r="2060" spans="1:8" ht="15" customHeight="1" x14ac:dyDescent="0.25">
      <c r="A2060" t="s">
        <v>4304</v>
      </c>
      <c r="B2060" t="s">
        <v>8348</v>
      </c>
      <c r="C2060" t="s">
        <v>11860</v>
      </c>
      <c r="D2060" t="s">
        <v>13287</v>
      </c>
      <c r="E2060" t="str">
        <f>+VLOOKUP(A2060,[1]PFE4!$A$7:$F$5208,6,0)</f>
        <v>CR 3 4 53 SUR</v>
      </c>
      <c r="F2060" s="17">
        <f>+VLOOKUP(A2060,[1]PFE4!$A$7:$G$5208,7,0)</f>
        <v>25377</v>
      </c>
      <c r="G2060">
        <v>14872334</v>
      </c>
      <c r="H2060">
        <v>4329</v>
      </c>
    </row>
    <row r="2061" spans="1:8" ht="15" customHeight="1" x14ac:dyDescent="0.25">
      <c r="A2061" t="s">
        <v>4305</v>
      </c>
      <c r="B2061" t="s">
        <v>8349</v>
      </c>
      <c r="C2061" t="s">
        <v>11861</v>
      </c>
      <c r="D2061" t="s">
        <v>13287</v>
      </c>
      <c r="E2061" t="str">
        <f>+VLOOKUP(A2061,[1]PFE4!$A$7:$F$5208,6,0)</f>
        <v>CALLE 134  20  54</v>
      </c>
      <c r="F2061" s="17">
        <f>+VLOOKUP(A2061,[1]PFE4!$A$7:$G$5208,7,0)</f>
        <v>11001</v>
      </c>
      <c r="G2061">
        <v>14874233</v>
      </c>
      <c r="H2061">
        <v>4329</v>
      </c>
    </row>
    <row r="2062" spans="1:8" ht="15" customHeight="1" x14ac:dyDescent="0.25">
      <c r="A2062" t="s">
        <v>4306</v>
      </c>
      <c r="B2062" t="s">
        <v>8350</v>
      </c>
      <c r="C2062" t="s">
        <v>11862</v>
      </c>
      <c r="D2062" t="s">
        <v>13287</v>
      </c>
      <c r="E2062" t="str">
        <f>+VLOOKUP(A2062,[1]PFE4!$A$7:$F$5208,6,0)</f>
        <v>CALLE 11  5  49</v>
      </c>
      <c r="F2062" s="17">
        <f>+VLOOKUP(A2062,[1]PFE4!$A$7:$G$5208,7,0)</f>
        <v>54001</v>
      </c>
      <c r="G2062">
        <v>14892062</v>
      </c>
      <c r="H2062">
        <v>4329</v>
      </c>
    </row>
    <row r="2063" spans="1:8" ht="15" customHeight="1" x14ac:dyDescent="0.25">
      <c r="A2063" t="s">
        <v>4307</v>
      </c>
      <c r="B2063" t="s">
        <v>8351</v>
      </c>
      <c r="C2063" t="s">
        <v>11863</v>
      </c>
      <c r="D2063" t="s">
        <v>13287</v>
      </c>
      <c r="E2063" t="str">
        <f>+VLOOKUP(A2063,[1]PFE4!$A$7:$F$5208,6,0)</f>
        <v>Carrera 21F # 2A-30</v>
      </c>
      <c r="F2063" s="17">
        <f>+VLOOKUP(A2063,[1]PFE4!$A$7:$G$5208,7,0)</f>
        <v>11001</v>
      </c>
      <c r="G2063">
        <v>14895540</v>
      </c>
      <c r="H2063">
        <v>4329</v>
      </c>
    </row>
    <row r="2064" spans="1:8" ht="15" customHeight="1" x14ac:dyDescent="0.25">
      <c r="A2064" t="s">
        <v>4308</v>
      </c>
      <c r="B2064" t="s">
        <v>8352</v>
      </c>
      <c r="C2064" t="s">
        <v>11864</v>
      </c>
      <c r="D2064" t="s">
        <v>13287</v>
      </c>
      <c r="E2064" t="str">
        <f>+VLOOKUP(A2064,[1]PFE4!$A$7:$F$5208,6,0)</f>
        <v>CL 122 09 207</v>
      </c>
      <c r="F2064" s="17" t="str">
        <f>+VLOOKUP(A2064,[1]PFE4!$A$7:$G$5208,7,0)</f>
        <v>08001</v>
      </c>
      <c r="G2064">
        <v>14915600</v>
      </c>
      <c r="H2064">
        <v>4329</v>
      </c>
    </row>
    <row r="2065" spans="1:8" ht="15" customHeight="1" x14ac:dyDescent="0.25">
      <c r="A2065" t="s">
        <v>4309</v>
      </c>
      <c r="B2065" t="s">
        <v>8353</v>
      </c>
      <c r="C2065">
        <v>3219664011</v>
      </c>
      <c r="D2065" t="s">
        <v>13287</v>
      </c>
      <c r="E2065" t="str">
        <f>+VLOOKUP(A2065,[1]PFE4!$A$7:$F$5208,6,0)</f>
        <v>CARRERA 56 A  148  87</v>
      </c>
      <c r="F2065" s="17">
        <f>+VLOOKUP(A2065,[1]PFE4!$A$7:$G$5208,7,0)</f>
        <v>11001</v>
      </c>
      <c r="G2065">
        <v>14920336</v>
      </c>
      <c r="H2065">
        <v>4329</v>
      </c>
    </row>
    <row r="2066" spans="1:8" ht="15" customHeight="1" x14ac:dyDescent="0.25">
      <c r="A2066" t="s">
        <v>4310</v>
      </c>
      <c r="B2066" t="s">
        <v>8354</v>
      </c>
      <c r="C2066" t="s">
        <v>11865</v>
      </c>
      <c r="D2066" t="s">
        <v>13287</v>
      </c>
      <c r="E2066" t="str">
        <f>+VLOOKUP(A2066,[1]PFE4!$A$7:$F$5208,6,0)</f>
        <v>CL 17 15 44</v>
      </c>
      <c r="F2066" s="17">
        <f>+VLOOKUP(A2066,[1]PFE4!$A$7:$G$5208,7,0)</f>
        <v>15238</v>
      </c>
      <c r="G2066">
        <v>14949369</v>
      </c>
      <c r="H2066">
        <v>4329</v>
      </c>
    </row>
    <row r="2067" spans="1:8" ht="15" customHeight="1" x14ac:dyDescent="0.25">
      <c r="A2067" t="s">
        <v>4311</v>
      </c>
      <c r="B2067" t="s">
        <v>8355</v>
      </c>
      <c r="C2067" t="s">
        <v>11866</v>
      </c>
      <c r="D2067" t="s">
        <v>13287</v>
      </c>
      <c r="E2067" t="str">
        <f>+VLOOKUP(A2067,[1]PFE4!$A$7:$F$5208,6,0)</f>
        <v>CALLE 95  47  25</v>
      </c>
      <c r="F2067" s="17" t="str">
        <f>+VLOOKUP(A2067,[1]PFE4!$A$7:$G$5208,7,0)</f>
        <v>08001</v>
      </c>
      <c r="G2067">
        <v>14957404</v>
      </c>
      <c r="H2067">
        <v>4329</v>
      </c>
    </row>
    <row r="2068" spans="1:8" ht="15" customHeight="1" x14ac:dyDescent="0.25">
      <c r="A2068" t="s">
        <v>4312</v>
      </c>
      <c r="B2068" t="s">
        <v>8356</v>
      </c>
      <c r="C2068" t="s">
        <v>11070</v>
      </c>
      <c r="D2068" t="s">
        <v>13287</v>
      </c>
      <c r="E2068" t="str">
        <f>+VLOOKUP(A2068,[1]PFE4!$A$7:$F$5208,6,0)</f>
        <v>CALLE 22  1  102</v>
      </c>
      <c r="F2068" s="17">
        <f>+VLOOKUP(A2068,[1]PFE4!$A$7:$G$5208,7,0)</f>
        <v>47001</v>
      </c>
      <c r="G2068">
        <v>14960000</v>
      </c>
      <c r="H2068">
        <v>4329</v>
      </c>
    </row>
    <row r="2069" spans="1:8" ht="15" customHeight="1" x14ac:dyDescent="0.25">
      <c r="A2069" t="s">
        <v>4313</v>
      </c>
      <c r="B2069" t="s">
        <v>8357</v>
      </c>
      <c r="C2069" t="s">
        <v>11867</v>
      </c>
      <c r="D2069" t="s">
        <v>13287</v>
      </c>
      <c r="E2069" t="str">
        <f>+VLOOKUP(A2069,[1]PFE4!$A$7:$F$5208,6,0)</f>
        <v>CR 24 33 A 30</v>
      </c>
      <c r="F2069" s="17">
        <f>+VLOOKUP(A2069,[1]PFE4!$A$7:$G$5208,7,0)</f>
        <v>68001</v>
      </c>
      <c r="G2069">
        <v>14961941</v>
      </c>
      <c r="H2069">
        <v>4329</v>
      </c>
    </row>
    <row r="2070" spans="1:8" ht="15" customHeight="1" x14ac:dyDescent="0.25">
      <c r="A2070" t="s">
        <v>4314</v>
      </c>
      <c r="B2070" t="s">
        <v>8358</v>
      </c>
      <c r="C2070" t="s">
        <v>10729</v>
      </c>
      <c r="D2070" t="s">
        <v>13287</v>
      </c>
      <c r="E2070" t="str">
        <f>+VLOOKUP(A2070,[1]PFE4!$A$7:$F$5208,6,0)</f>
        <v>CL 44 28 80 ED TORRES DEL PALMAR - BRR SOTOMAYOR</v>
      </c>
      <c r="F2070" s="17">
        <f>+VLOOKUP(A2070,[1]PFE4!$A$7:$G$5208,7,0)</f>
        <v>68001</v>
      </c>
      <c r="G2070">
        <v>14993288</v>
      </c>
      <c r="H2070">
        <v>4329</v>
      </c>
    </row>
    <row r="2071" spans="1:8" ht="15" customHeight="1" x14ac:dyDescent="0.25">
      <c r="A2071" t="s">
        <v>4315</v>
      </c>
      <c r="B2071" t="s">
        <v>8359</v>
      </c>
      <c r="C2071" t="s">
        <v>11868</v>
      </c>
      <c r="D2071" t="s">
        <v>13287</v>
      </c>
      <c r="E2071" t="str">
        <f>+VLOOKUP(A2071,[1]PFE4!$A$7:$F$5208,6,0)</f>
        <v>CARRERA 4  60 A  60</v>
      </c>
      <c r="F2071" s="17">
        <f>+VLOOKUP(A2071,[1]PFE4!$A$7:$G$5208,7,0)</f>
        <v>11001</v>
      </c>
      <c r="G2071">
        <v>14993426</v>
      </c>
      <c r="H2071">
        <v>4329</v>
      </c>
    </row>
    <row r="2072" spans="1:8" ht="15" customHeight="1" x14ac:dyDescent="0.25">
      <c r="A2072" t="s">
        <v>4316</v>
      </c>
      <c r="B2072" t="s">
        <v>8360</v>
      </c>
      <c r="C2072" t="s">
        <v>11869</v>
      </c>
      <c r="D2072" t="s">
        <v>13287</v>
      </c>
      <c r="E2072" t="str">
        <f>+VLOOKUP(A2072,[1]PFE4!$A$7:$F$5208,6,0)</f>
        <v>BRR DANIEL LEMAITRE CL 70 15 B 47</v>
      </c>
      <c r="F2072" s="17">
        <f>+VLOOKUP(A2072,[1]PFE4!$A$7:$G$5208,7,0)</f>
        <v>13001</v>
      </c>
      <c r="G2072">
        <v>14995348</v>
      </c>
      <c r="H2072">
        <v>4329</v>
      </c>
    </row>
    <row r="2073" spans="1:8" ht="15" customHeight="1" x14ac:dyDescent="0.25">
      <c r="A2073" t="s">
        <v>4317</v>
      </c>
      <c r="B2073" t="s">
        <v>8361</v>
      </c>
      <c r="C2073" t="s">
        <v>11870</v>
      </c>
      <c r="D2073" t="s">
        <v>13287</v>
      </c>
      <c r="E2073" t="str">
        <f>+VLOOKUP(A2073,[1]PFE4!$A$7:$F$5208,6,0)</f>
        <v>CARRERA 20  151  10</v>
      </c>
      <c r="F2073" s="17">
        <f>+VLOOKUP(A2073,[1]PFE4!$A$7:$G$5208,7,0)</f>
        <v>11001</v>
      </c>
      <c r="G2073">
        <v>15004336</v>
      </c>
      <c r="H2073">
        <v>4329</v>
      </c>
    </row>
    <row r="2074" spans="1:8" ht="15" customHeight="1" x14ac:dyDescent="0.25">
      <c r="A2074" t="s">
        <v>4318</v>
      </c>
      <c r="B2074" t="s">
        <v>8362</v>
      </c>
      <c r="C2074" t="s">
        <v>11871</v>
      </c>
      <c r="D2074" t="s">
        <v>13287</v>
      </c>
      <c r="E2074" t="str">
        <f>+VLOOKUP(A2074,[1]PFE4!$A$7:$F$5208,6,0)</f>
        <v>CL 4138 95 105</v>
      </c>
      <c r="F2074" s="17">
        <f>+VLOOKUP(A2074,[1]PFE4!$A$7:$G$5208,7,0)</f>
        <v>68001</v>
      </c>
      <c r="G2074">
        <v>15016869</v>
      </c>
      <c r="H2074">
        <v>4329</v>
      </c>
    </row>
    <row r="2075" spans="1:8" ht="15" customHeight="1" x14ac:dyDescent="0.25">
      <c r="A2075" t="s">
        <v>4319</v>
      </c>
      <c r="B2075" t="s">
        <v>8363</v>
      </c>
      <c r="C2075" t="s">
        <v>11872</v>
      </c>
      <c r="D2075" t="s">
        <v>13287</v>
      </c>
      <c r="E2075" t="str">
        <f>+VLOOKUP(A2075,[1]PFE4!$A$7:$F$5208,6,0)</f>
        <v>CARRERA 19 A  118  84</v>
      </c>
      <c r="F2075" s="17">
        <f>+VLOOKUP(A2075,[1]PFE4!$A$7:$G$5208,7,0)</f>
        <v>11001</v>
      </c>
      <c r="G2075">
        <v>15026564</v>
      </c>
      <c r="H2075">
        <v>4329</v>
      </c>
    </row>
    <row r="2076" spans="1:8" ht="15" customHeight="1" x14ac:dyDescent="0.25">
      <c r="A2076" t="s">
        <v>4320</v>
      </c>
      <c r="B2076" t="s">
        <v>8364</v>
      </c>
      <c r="C2076" t="s">
        <v>11873</v>
      </c>
      <c r="D2076" t="s">
        <v>13287</v>
      </c>
      <c r="E2076" t="str">
        <f>+VLOOKUP(A2076,[1]PFE4!$A$7:$F$5208,6,0)</f>
        <v>CARRERA 11  86  53  PISO 12</v>
      </c>
      <c r="F2076" s="17">
        <f>+VLOOKUP(A2076,[1]PFE4!$A$7:$G$5208,7,0)</f>
        <v>11001</v>
      </c>
      <c r="G2076">
        <v>15037316</v>
      </c>
      <c r="H2076">
        <v>4329</v>
      </c>
    </row>
    <row r="2077" spans="1:8" ht="15" customHeight="1" x14ac:dyDescent="0.25">
      <c r="A2077" t="s">
        <v>4321</v>
      </c>
      <c r="B2077" t="s">
        <v>8365</v>
      </c>
      <c r="C2077">
        <v>0</v>
      </c>
      <c r="D2077" t="s">
        <v>13287</v>
      </c>
      <c r="E2077">
        <v>0</v>
      </c>
      <c r="F2077" s="17">
        <v>11001</v>
      </c>
      <c r="G2077">
        <v>15046752</v>
      </c>
      <c r="H2077">
        <v>4329</v>
      </c>
    </row>
    <row r="2078" spans="1:8" ht="15" customHeight="1" x14ac:dyDescent="0.25">
      <c r="A2078" t="s">
        <v>4322</v>
      </c>
      <c r="B2078" t="s">
        <v>8366</v>
      </c>
      <c r="C2078" t="s">
        <v>11874</v>
      </c>
      <c r="D2078" t="s">
        <v>13287</v>
      </c>
      <c r="E2078" t="str">
        <f>+VLOOKUP(A2078,[1]PFE4!$A$7:$F$5208,6,0)</f>
        <v>CL 7 No. 39-43</v>
      </c>
      <c r="F2078" s="17" t="str">
        <f>+VLOOKUP(A2078,[1]PFE4!$A$7:$G$5208,7,0)</f>
        <v>05001</v>
      </c>
      <c r="G2078">
        <v>14291718</v>
      </c>
      <c r="H2078">
        <v>4329</v>
      </c>
    </row>
    <row r="2079" spans="1:8" ht="15" customHeight="1" x14ac:dyDescent="0.25">
      <c r="A2079" t="s">
        <v>4322</v>
      </c>
      <c r="B2079" t="s">
        <v>8366</v>
      </c>
      <c r="C2079" t="s">
        <v>11874</v>
      </c>
      <c r="D2079" t="s">
        <v>13287</v>
      </c>
      <c r="E2079" t="str">
        <f>+VLOOKUP(A2079,[1]PFE4!$A$7:$F$5208,6,0)</f>
        <v>CL 7 No. 39-43</v>
      </c>
      <c r="F2079" s="17" t="str">
        <f>+VLOOKUP(A2079,[1]PFE4!$A$7:$G$5208,7,0)</f>
        <v>05001</v>
      </c>
      <c r="G2079">
        <v>758520</v>
      </c>
      <c r="H2079">
        <v>4329</v>
      </c>
    </row>
    <row r="2080" spans="1:8" ht="15" customHeight="1" x14ac:dyDescent="0.25">
      <c r="A2080" t="s">
        <v>4323</v>
      </c>
      <c r="B2080" t="s">
        <v>8367</v>
      </c>
      <c r="C2080" t="s">
        <v>11875</v>
      </c>
      <c r="D2080" t="s">
        <v>13287</v>
      </c>
      <c r="E2080" t="str">
        <f>+VLOOKUP(A2080,[1]PFE4!$A$7:$F$5208,6,0)</f>
        <v>CALLE 78 B  120  92</v>
      </c>
      <c r="F2080" s="17">
        <f>+VLOOKUP(A2080,[1]PFE4!$A$7:$G$5208,7,0)</f>
        <v>11001</v>
      </c>
      <c r="G2080">
        <v>15069359</v>
      </c>
      <c r="H2080">
        <v>4329</v>
      </c>
    </row>
    <row r="2081" spans="1:8" ht="15" customHeight="1" x14ac:dyDescent="0.25">
      <c r="A2081" t="s">
        <v>4324</v>
      </c>
      <c r="B2081" t="s">
        <v>8368</v>
      </c>
      <c r="C2081" t="s">
        <v>11876</v>
      </c>
      <c r="D2081" t="s">
        <v>13287</v>
      </c>
      <c r="E2081" t="str">
        <f>+VLOOKUP(A2081,[1]PFE4!$A$7:$F$5208,6,0)</f>
        <v>CARRERA 18  3 N  28</v>
      </c>
      <c r="F2081" s="17">
        <f>+VLOOKUP(A2081,[1]PFE4!$A$7:$G$5208,7,0)</f>
        <v>63001</v>
      </c>
      <c r="G2081">
        <v>15082664</v>
      </c>
      <c r="H2081">
        <v>4329</v>
      </c>
    </row>
    <row r="2082" spans="1:8" ht="15" customHeight="1" x14ac:dyDescent="0.25">
      <c r="A2082" t="s">
        <v>4325</v>
      </c>
      <c r="B2082" t="s">
        <v>8369</v>
      </c>
      <c r="C2082">
        <v>3219664011</v>
      </c>
      <c r="D2082" t="s">
        <v>13287</v>
      </c>
      <c r="E2082" t="str">
        <f>+VLOOKUP(A2082,[1]PFE4!$A$7:$F$5208,6,0)</f>
        <v>CARRERA 7  1 D  35</v>
      </c>
      <c r="F2082" s="17">
        <f>+VLOOKUP(A2082,[1]PFE4!$A$7:$G$5208,7,0)</f>
        <v>68547</v>
      </c>
      <c r="G2082">
        <v>15106056</v>
      </c>
      <c r="H2082">
        <v>4329</v>
      </c>
    </row>
    <row r="2083" spans="1:8" ht="15" customHeight="1" x14ac:dyDescent="0.25">
      <c r="A2083" t="s">
        <v>4326</v>
      </c>
      <c r="B2083" t="s">
        <v>7407</v>
      </c>
      <c r="C2083" t="s">
        <v>11877</v>
      </c>
      <c r="D2083" t="s">
        <v>13287</v>
      </c>
      <c r="E2083" t="str">
        <f>+VLOOKUP(A2083,[1]PFE4!$A$7:$F$5208,6,0)</f>
        <v>AVENIDA 19  32 N  100</v>
      </c>
      <c r="F2083" s="17">
        <f>+VLOOKUP(A2083,[1]PFE4!$A$7:$G$5208,7,0)</f>
        <v>11001</v>
      </c>
      <c r="G2083">
        <v>15114298</v>
      </c>
      <c r="H2083">
        <v>4329</v>
      </c>
    </row>
    <row r="2084" spans="1:8" ht="15" customHeight="1" x14ac:dyDescent="0.25">
      <c r="A2084" t="s">
        <v>4327</v>
      </c>
      <c r="B2084" t="s">
        <v>8370</v>
      </c>
      <c r="C2084" t="s">
        <v>11878</v>
      </c>
      <c r="D2084" t="s">
        <v>13287</v>
      </c>
      <c r="E2084" t="str">
        <f>+VLOOKUP(A2084,[1]PFE4!$A$7:$F$5208,6,0)</f>
        <v>CALLE 40  1 A  71 ESTE</v>
      </c>
      <c r="F2084" s="17">
        <f>+VLOOKUP(A2084,[1]PFE4!$A$7:$G$5208,7,0)</f>
        <v>15001</v>
      </c>
      <c r="G2084">
        <v>15115590</v>
      </c>
      <c r="H2084">
        <v>4329</v>
      </c>
    </row>
    <row r="2085" spans="1:8" ht="15" customHeight="1" x14ac:dyDescent="0.25">
      <c r="A2085" t="s">
        <v>4328</v>
      </c>
      <c r="B2085" t="s">
        <v>8371</v>
      </c>
      <c r="C2085" t="s">
        <v>11879</v>
      </c>
      <c r="D2085" t="s">
        <v>13287</v>
      </c>
      <c r="E2085" t="str">
        <f>+VLOOKUP(A2085,[1]PFE4!$A$7:$F$5208,6,0)</f>
        <v>CALLE 79  9  66</v>
      </c>
      <c r="F2085" s="17">
        <f>+VLOOKUP(A2085,[1]PFE4!$A$7:$G$5208,7,0)</f>
        <v>11001</v>
      </c>
      <c r="G2085">
        <v>15163332</v>
      </c>
      <c r="H2085">
        <v>4329</v>
      </c>
    </row>
    <row r="2086" spans="1:8" ht="15" customHeight="1" x14ac:dyDescent="0.25">
      <c r="A2086" t="s">
        <v>4329</v>
      </c>
      <c r="B2086" t="s">
        <v>8372</v>
      </c>
      <c r="C2086" t="s">
        <v>11880</v>
      </c>
      <c r="D2086" t="s">
        <v>13287</v>
      </c>
      <c r="E2086" t="str">
        <f>+VLOOKUP(A2086,[1]PFE4!$A$7:$F$5208,6,0)</f>
        <v>CARRERA 7 A  84  15</v>
      </c>
      <c r="F2086" s="17">
        <f>+VLOOKUP(A2086,[1]PFE4!$A$7:$G$5208,7,0)</f>
        <v>11001</v>
      </c>
      <c r="G2086">
        <v>15175913</v>
      </c>
      <c r="H2086">
        <v>4329</v>
      </c>
    </row>
    <row r="2087" spans="1:8" ht="15" customHeight="1" x14ac:dyDescent="0.25">
      <c r="A2087" t="s">
        <v>4330</v>
      </c>
      <c r="B2087" t="s">
        <v>8373</v>
      </c>
      <c r="C2087" t="s">
        <v>11881</v>
      </c>
      <c r="D2087" t="s">
        <v>13287</v>
      </c>
      <c r="E2087" t="str">
        <f>+VLOOKUP(A2087,[1]PFE4!$A$7:$F$5208,6,0)</f>
        <v>CL 14 2 27 ED NAVIO TOWER BRR SAN LUIS</v>
      </c>
      <c r="F2087" s="17">
        <f>+VLOOKUP(A2087,[1]PFE4!$A$7:$G$5208,7,0)</f>
        <v>54001</v>
      </c>
      <c r="G2087">
        <v>15179940</v>
      </c>
      <c r="H2087">
        <v>4329</v>
      </c>
    </row>
    <row r="2088" spans="1:8" ht="15" customHeight="1" x14ac:dyDescent="0.25">
      <c r="A2088" t="s">
        <v>4331</v>
      </c>
      <c r="B2088" t="s">
        <v>8374</v>
      </c>
      <c r="C2088" t="s">
        <v>11077</v>
      </c>
      <c r="D2088" t="s">
        <v>13287</v>
      </c>
      <c r="E2088" t="str">
        <f>+VLOOKUP(A2088,[1]PFE4!$A$7:$F$5208,6,0)</f>
        <v>CALLE 29 SUR  46 A  02</v>
      </c>
      <c r="F2088" s="17" t="str">
        <f>+VLOOKUP(A2088,[1]PFE4!$A$7:$G$5208,7,0)</f>
        <v>05266</v>
      </c>
      <c r="G2088">
        <v>15192828</v>
      </c>
      <c r="H2088">
        <v>4329</v>
      </c>
    </row>
    <row r="2089" spans="1:8" ht="15" customHeight="1" x14ac:dyDescent="0.25">
      <c r="A2089" t="s">
        <v>4332</v>
      </c>
      <c r="B2089" t="s">
        <v>8375</v>
      </c>
      <c r="C2089" t="s">
        <v>11882</v>
      </c>
      <c r="D2089" t="s">
        <v>13287</v>
      </c>
      <c r="E2089" t="str">
        <f>+VLOOKUP(A2089,[1]PFE4!$A$7:$F$5208,6,0)</f>
        <v>CARRERA 15  4  50</v>
      </c>
      <c r="F2089" s="17">
        <f>+VLOOKUP(A2089,[1]PFE4!$A$7:$G$5208,7,0)</f>
        <v>66001</v>
      </c>
      <c r="G2089">
        <v>15196896</v>
      </c>
      <c r="H2089">
        <v>4329</v>
      </c>
    </row>
    <row r="2090" spans="1:8" ht="15" customHeight="1" x14ac:dyDescent="0.25">
      <c r="A2090" t="s">
        <v>4333</v>
      </c>
      <c r="B2090" t="s">
        <v>8376</v>
      </c>
      <c r="C2090">
        <v>0</v>
      </c>
      <c r="D2090" t="s">
        <v>13287</v>
      </c>
      <c r="E2090">
        <v>0</v>
      </c>
      <c r="F2090" s="17">
        <v>11001</v>
      </c>
      <c r="G2090">
        <v>15200000</v>
      </c>
      <c r="H2090">
        <v>4329</v>
      </c>
    </row>
    <row r="2091" spans="1:8" ht="15" customHeight="1" x14ac:dyDescent="0.25">
      <c r="A2091" t="s">
        <v>4334</v>
      </c>
      <c r="B2091" t="s">
        <v>8377</v>
      </c>
      <c r="C2091" t="s">
        <v>11883</v>
      </c>
      <c r="D2091" t="s">
        <v>13287</v>
      </c>
      <c r="E2091" t="str">
        <f>+VLOOKUP(A2091,[1]PFE4!$A$7:$F$5208,6,0)</f>
        <v>CR 19 C 90 59</v>
      </c>
      <c r="F2091" s="17">
        <f>+VLOOKUP(A2091,[1]PFE4!$A$7:$G$5208,7,0)</f>
        <v>11001</v>
      </c>
      <c r="G2091">
        <v>15221300</v>
      </c>
      <c r="H2091">
        <v>4329</v>
      </c>
    </row>
    <row r="2092" spans="1:8" ht="15" customHeight="1" x14ac:dyDescent="0.25">
      <c r="A2092" t="s">
        <v>4335</v>
      </c>
      <c r="B2092" t="s">
        <v>8378</v>
      </c>
      <c r="C2092" t="s">
        <v>11884</v>
      </c>
      <c r="D2092" t="s">
        <v>13287</v>
      </c>
      <c r="E2092" t="str">
        <f>+VLOOKUP(A2092,[1]PFE4!$A$7:$F$5208,6,0)</f>
        <v>CR 49 99 23</v>
      </c>
      <c r="F2092" s="17">
        <f>+VLOOKUP(A2092,[1]PFE4!$A$7:$G$5208,7,0)</f>
        <v>11001</v>
      </c>
      <c r="G2092">
        <v>15262843</v>
      </c>
      <c r="H2092">
        <v>4329</v>
      </c>
    </row>
    <row r="2093" spans="1:8" ht="15" customHeight="1" x14ac:dyDescent="0.25">
      <c r="A2093" t="s">
        <v>4336</v>
      </c>
      <c r="B2093" t="s">
        <v>8379</v>
      </c>
      <c r="C2093" t="s">
        <v>10966</v>
      </c>
      <c r="D2093" t="s">
        <v>13287</v>
      </c>
      <c r="E2093" t="str">
        <f>+VLOOKUP(A2093,[1]PFE4!$A$7:$F$5208,6,0)</f>
        <v>CALLE 74  5  30</v>
      </c>
      <c r="F2093" s="17">
        <f>+VLOOKUP(A2093,[1]PFE4!$A$7:$G$5208,7,0)</f>
        <v>11001</v>
      </c>
      <c r="G2093">
        <v>15264144</v>
      </c>
      <c r="H2093">
        <v>4329</v>
      </c>
    </row>
    <row r="2094" spans="1:8" ht="15" customHeight="1" x14ac:dyDescent="0.25">
      <c r="A2094" t="s">
        <v>4337</v>
      </c>
      <c r="B2094" t="s">
        <v>8380</v>
      </c>
      <c r="C2094" t="s">
        <v>11885</v>
      </c>
      <c r="D2094" t="s">
        <v>13287</v>
      </c>
      <c r="E2094" t="str">
        <f>+VLOOKUP(A2094,[1]PFE4!$A$7:$F$5208,6,0)</f>
        <v>CARRERA 4 ESTE  17  50</v>
      </c>
      <c r="F2094" s="17">
        <f>+VLOOKUP(A2094,[1]PFE4!$A$7:$G$5208,7,0)</f>
        <v>11001</v>
      </c>
      <c r="G2094">
        <v>15265800</v>
      </c>
      <c r="H2094">
        <v>4329</v>
      </c>
    </row>
    <row r="2095" spans="1:8" ht="15" customHeight="1" x14ac:dyDescent="0.25">
      <c r="A2095" t="s">
        <v>4338</v>
      </c>
      <c r="B2095" t="s">
        <v>8381</v>
      </c>
      <c r="C2095" t="s">
        <v>11886</v>
      </c>
      <c r="D2095" t="s">
        <v>13287</v>
      </c>
      <c r="E2095" t="str">
        <f>+VLOOKUP(A2095,[1]PFE4!$A$7:$F$5208,6,0)</f>
        <v>CALLE 145  6  82</v>
      </c>
      <c r="F2095" s="17">
        <f>+VLOOKUP(A2095,[1]PFE4!$A$7:$G$5208,7,0)</f>
        <v>11001</v>
      </c>
      <c r="G2095">
        <v>15307552</v>
      </c>
      <c r="H2095">
        <v>4329</v>
      </c>
    </row>
    <row r="2096" spans="1:8" ht="15" customHeight="1" x14ac:dyDescent="0.25">
      <c r="A2096" t="s">
        <v>4339</v>
      </c>
      <c r="B2096" t="s">
        <v>8382</v>
      </c>
      <c r="C2096" t="s">
        <v>11887</v>
      </c>
      <c r="D2096" t="s">
        <v>13287</v>
      </c>
      <c r="E2096" t="str">
        <f>+VLOOKUP(A2096,[1]PFE4!$A$7:$F$5208,6,0)</f>
        <v>CR 39 48 110</v>
      </c>
      <c r="F2096" s="17">
        <f>+VLOOKUP(A2096,[1]PFE4!$A$7:$G$5208,7,0)</f>
        <v>68001</v>
      </c>
      <c r="G2096">
        <v>15315544</v>
      </c>
      <c r="H2096">
        <v>4329</v>
      </c>
    </row>
    <row r="2097" spans="1:8" ht="15" customHeight="1" x14ac:dyDescent="0.25">
      <c r="A2097" t="s">
        <v>4340</v>
      </c>
      <c r="B2097" t="s">
        <v>8383</v>
      </c>
      <c r="C2097" t="s">
        <v>11888</v>
      </c>
      <c r="D2097" t="s">
        <v>13287</v>
      </c>
      <c r="E2097" t="str">
        <f>+VLOOKUP(A2097,[1]PFE4!$A$7:$F$5208,6,0)</f>
        <v>CL 127 A 13 A 21</v>
      </c>
      <c r="F2097" s="17">
        <f>+VLOOKUP(A2097,[1]PFE4!$A$7:$G$5208,7,0)</f>
        <v>11001</v>
      </c>
      <c r="G2097">
        <v>15334308</v>
      </c>
      <c r="H2097">
        <v>4329</v>
      </c>
    </row>
    <row r="2098" spans="1:8" ht="15" customHeight="1" x14ac:dyDescent="0.25">
      <c r="A2098" t="s">
        <v>4341</v>
      </c>
      <c r="B2098" t="s">
        <v>8384</v>
      </c>
      <c r="C2098" t="s">
        <v>11889</v>
      </c>
      <c r="D2098" t="s">
        <v>13287</v>
      </c>
      <c r="E2098" t="str">
        <f>+VLOOKUP(A2098,[1]PFE4!$A$7:$F$5208,6,0)</f>
        <v>CARRERA 2 ESTE 21A 56 CHIA</v>
      </c>
      <c r="F2098" s="17">
        <f>+VLOOKUP(A2098,[1]PFE4!$A$7:$G$5208,7,0)</f>
        <v>25175</v>
      </c>
      <c r="G2098">
        <v>15338521</v>
      </c>
      <c r="H2098">
        <v>4329</v>
      </c>
    </row>
    <row r="2099" spans="1:8" ht="15" customHeight="1" x14ac:dyDescent="0.25">
      <c r="A2099" t="s">
        <v>4342</v>
      </c>
      <c r="B2099" t="s">
        <v>8385</v>
      </c>
      <c r="C2099" t="s">
        <v>11890</v>
      </c>
      <c r="D2099" t="s">
        <v>13287</v>
      </c>
      <c r="E2099" t="str">
        <f>+VLOOKUP(A2099,[1]PFE4!$A$7:$F$5208,6,0)</f>
        <v>CALLE 125  18  28</v>
      </c>
      <c r="F2099" s="17">
        <f>+VLOOKUP(A2099,[1]PFE4!$A$7:$G$5208,7,0)</f>
        <v>11001</v>
      </c>
      <c r="G2099">
        <v>15339984</v>
      </c>
      <c r="H2099">
        <v>4329</v>
      </c>
    </row>
    <row r="2100" spans="1:8" ht="15" customHeight="1" x14ac:dyDescent="0.25">
      <c r="A2100" t="s">
        <v>4343</v>
      </c>
      <c r="B2100" t="s">
        <v>8386</v>
      </c>
      <c r="C2100" t="s">
        <v>11875</v>
      </c>
      <c r="D2100" t="s">
        <v>13287</v>
      </c>
      <c r="E2100" t="str">
        <f>+VLOOKUP(A2100,[1]PFE4!$A$7:$F$5208,6,0)</f>
        <v>CARRERA 120  77  60</v>
      </c>
      <c r="F2100" s="17">
        <f>+VLOOKUP(A2100,[1]PFE4!$A$7:$G$5208,7,0)</f>
        <v>11001</v>
      </c>
      <c r="G2100">
        <v>15375762</v>
      </c>
      <c r="H2100">
        <v>4329</v>
      </c>
    </row>
    <row r="2101" spans="1:8" ht="15" customHeight="1" x14ac:dyDescent="0.25">
      <c r="A2101" t="s">
        <v>4344</v>
      </c>
      <c r="B2101" t="s">
        <v>8387</v>
      </c>
      <c r="C2101" t="s">
        <v>11891</v>
      </c>
      <c r="D2101" t="s">
        <v>13287</v>
      </c>
      <c r="E2101" t="str">
        <f>+VLOOKUP(A2101,[1]PFE4!$A$7:$F$5208,6,0)</f>
        <v>CARRERA 65 B  84  145</v>
      </c>
      <c r="F2101" s="17" t="str">
        <f>+VLOOKUP(A2101,[1]PFE4!$A$7:$G$5208,7,0)</f>
        <v>08001</v>
      </c>
      <c r="G2101">
        <v>15391218</v>
      </c>
      <c r="H2101">
        <v>4329</v>
      </c>
    </row>
    <row r="2102" spans="1:8" ht="15" customHeight="1" x14ac:dyDescent="0.25">
      <c r="A2102" t="s">
        <v>4345</v>
      </c>
      <c r="B2102" t="s">
        <v>8388</v>
      </c>
      <c r="C2102" t="s">
        <v>11792</v>
      </c>
      <c r="D2102" t="s">
        <v>13287</v>
      </c>
      <c r="E2102" t="str">
        <f>+VLOOKUP(A2102,[1]PFE4!$A$7:$F$5208,6,0)</f>
        <v>CALLE 131  6  24</v>
      </c>
      <c r="F2102" s="17">
        <f>+VLOOKUP(A2102,[1]PFE4!$A$7:$G$5208,7,0)</f>
        <v>11001</v>
      </c>
      <c r="G2102">
        <v>15456915</v>
      </c>
      <c r="H2102">
        <v>4329</v>
      </c>
    </row>
    <row r="2103" spans="1:8" ht="15" customHeight="1" x14ac:dyDescent="0.25">
      <c r="A2103" t="s">
        <v>4346</v>
      </c>
      <c r="B2103" t="s">
        <v>8389</v>
      </c>
      <c r="C2103" t="s">
        <v>11892</v>
      </c>
      <c r="D2103" t="s">
        <v>13287</v>
      </c>
      <c r="E2103" t="str">
        <f>+VLOOKUP(A2103,[1]PFE4!$A$7:$F$5208,6,0)</f>
        <v>CALLE 54  10  46</v>
      </c>
      <c r="F2103" s="17">
        <f>+VLOOKUP(A2103,[1]PFE4!$A$7:$G$5208,7,0)</f>
        <v>11001</v>
      </c>
      <c r="G2103">
        <v>15458447</v>
      </c>
      <c r="H2103">
        <v>4329</v>
      </c>
    </row>
    <row r="2104" spans="1:8" ht="15" customHeight="1" x14ac:dyDescent="0.25">
      <c r="A2104" t="s">
        <v>4347</v>
      </c>
      <c r="B2104" t="s">
        <v>8390</v>
      </c>
      <c r="C2104" t="s">
        <v>11893</v>
      </c>
      <c r="D2104" t="s">
        <v>13287</v>
      </c>
      <c r="E2104" t="str">
        <f>+VLOOKUP(A2104,[1]PFE4!$A$7:$F$5208,6,0)</f>
        <v>CL 33 A 81 81</v>
      </c>
      <c r="F2104" s="17" t="str">
        <f>+VLOOKUP(A2104,[1]PFE4!$A$7:$G$5208,7,0)</f>
        <v>05001</v>
      </c>
      <c r="G2104">
        <v>15499400</v>
      </c>
      <c r="H2104">
        <v>4329</v>
      </c>
    </row>
    <row r="2105" spans="1:8" ht="15" customHeight="1" x14ac:dyDescent="0.25">
      <c r="A2105" t="s">
        <v>4348</v>
      </c>
      <c r="B2105" t="s">
        <v>8391</v>
      </c>
      <c r="C2105" t="s">
        <v>11894</v>
      </c>
      <c r="D2105" t="s">
        <v>13287</v>
      </c>
      <c r="E2105" t="str">
        <f>+VLOOKUP(A2105,[1]PFE4!$A$7:$F$5208,6,0)</f>
        <v>CARRERA 12  20  63 PISO 4</v>
      </c>
      <c r="F2105" s="17">
        <f>+VLOOKUP(A2105,[1]PFE4!$A$7:$G$5208,7,0)</f>
        <v>63001</v>
      </c>
      <c r="G2105">
        <v>15506395</v>
      </c>
      <c r="H2105">
        <v>4329</v>
      </c>
    </row>
    <row r="2106" spans="1:8" ht="15" customHeight="1" x14ac:dyDescent="0.25">
      <c r="A2106" t="s">
        <v>4349</v>
      </c>
      <c r="B2106" t="s">
        <v>8392</v>
      </c>
      <c r="C2106" t="s">
        <v>10389</v>
      </c>
      <c r="D2106" t="s">
        <v>13287</v>
      </c>
      <c r="E2106" t="str">
        <f>+VLOOKUP(A2106,[1]PFE4!$A$7:$F$5208,6,0)</f>
        <v>CALLE 54  34  32</v>
      </c>
      <c r="F2106" s="17">
        <f>+VLOOKUP(A2106,[1]PFE4!$A$7:$G$5208,7,0)</f>
        <v>17001</v>
      </c>
      <c r="G2106">
        <v>15507188</v>
      </c>
      <c r="H2106">
        <v>4329</v>
      </c>
    </row>
    <row r="2107" spans="1:8" ht="15" customHeight="1" x14ac:dyDescent="0.25">
      <c r="A2107" t="s">
        <v>4350</v>
      </c>
      <c r="B2107" t="s">
        <v>8393</v>
      </c>
      <c r="C2107" t="s">
        <v>11895</v>
      </c>
      <c r="D2107" t="s">
        <v>13287</v>
      </c>
      <c r="E2107" t="str">
        <f>+VLOOKUP(A2107,[1]PFE4!$A$7:$F$5208,6,0)</f>
        <v>CL 146 13 70</v>
      </c>
      <c r="F2107" s="17">
        <f>+VLOOKUP(A2107,[1]PFE4!$A$7:$G$5208,7,0)</f>
        <v>11001</v>
      </c>
      <c r="G2107">
        <v>15509538</v>
      </c>
      <c r="H2107">
        <v>4329</v>
      </c>
    </row>
    <row r="2108" spans="1:8" ht="15" customHeight="1" x14ac:dyDescent="0.25">
      <c r="A2108" t="s">
        <v>4351</v>
      </c>
      <c r="B2108" t="s">
        <v>8394</v>
      </c>
      <c r="C2108" t="s">
        <v>11896</v>
      </c>
      <c r="D2108" t="s">
        <v>13287</v>
      </c>
      <c r="E2108" t="str">
        <f>+VLOOKUP(A2108,[1]PFE4!$A$7:$F$5208,6,0)</f>
        <v>AVENIDA 8 A C  70  25</v>
      </c>
      <c r="F2108" s="17">
        <f>+VLOOKUP(A2108,[1]PFE4!$A$7:$G$5208,7,0)</f>
        <v>11001</v>
      </c>
      <c r="G2108">
        <v>15511068</v>
      </c>
      <c r="H2108">
        <v>4329</v>
      </c>
    </row>
    <row r="2109" spans="1:8" ht="15" customHeight="1" x14ac:dyDescent="0.25">
      <c r="A2109" t="s">
        <v>4352</v>
      </c>
      <c r="B2109" t="s">
        <v>8395</v>
      </c>
      <c r="C2109" t="s">
        <v>11897</v>
      </c>
      <c r="D2109" t="s">
        <v>13287</v>
      </c>
      <c r="E2109" t="str">
        <f>+VLOOKUP(A2109,[1]PFE4!$A$7:$F$5208,6,0)</f>
        <v>CALLE 6  10 E  30</v>
      </c>
      <c r="F2109" s="17">
        <f>+VLOOKUP(A2109,[1]PFE4!$A$7:$G$5208,7,0)</f>
        <v>11001</v>
      </c>
      <c r="G2109">
        <v>15514826</v>
      </c>
      <c r="H2109">
        <v>4329</v>
      </c>
    </row>
    <row r="2110" spans="1:8" ht="15" customHeight="1" x14ac:dyDescent="0.25">
      <c r="A2110" t="s">
        <v>4353</v>
      </c>
      <c r="B2110" t="s">
        <v>8396</v>
      </c>
      <c r="C2110" t="s">
        <v>11898</v>
      </c>
      <c r="D2110" t="s">
        <v>13287</v>
      </c>
      <c r="E2110" t="str">
        <f>+VLOOKUP(A2110,[1]PFE4!$A$7:$F$5208,6,0)</f>
        <v>CARRERA 52  79  276</v>
      </c>
      <c r="F2110" s="17" t="str">
        <f>+VLOOKUP(A2110,[1]PFE4!$A$7:$G$5208,7,0)</f>
        <v>08001</v>
      </c>
      <c r="G2110">
        <v>15522126</v>
      </c>
      <c r="H2110">
        <v>4329</v>
      </c>
    </row>
    <row r="2111" spans="1:8" ht="15" customHeight="1" x14ac:dyDescent="0.25">
      <c r="A2111" t="s">
        <v>4354</v>
      </c>
      <c r="B2111" t="s">
        <v>8397</v>
      </c>
      <c r="C2111" t="s">
        <v>11181</v>
      </c>
      <c r="D2111" t="s">
        <v>13287</v>
      </c>
      <c r="E2111" t="str">
        <f>+VLOOKUP(A2111,[1]PFE4!$A$7:$F$5208,6,0)</f>
        <v>CL 29 18 B 18</v>
      </c>
      <c r="F2111" s="17">
        <f>+VLOOKUP(A2111,[1]PFE4!$A$7:$G$5208,7,0)</f>
        <v>11001</v>
      </c>
      <c r="G2111">
        <v>15527536</v>
      </c>
      <c r="H2111">
        <v>4329</v>
      </c>
    </row>
    <row r="2112" spans="1:8" ht="15" customHeight="1" x14ac:dyDescent="0.25">
      <c r="A2112" t="s">
        <v>4355</v>
      </c>
      <c r="B2112" t="s">
        <v>8398</v>
      </c>
      <c r="C2112" t="s">
        <v>11899</v>
      </c>
      <c r="D2112" t="s">
        <v>13287</v>
      </c>
      <c r="E2112" t="str">
        <f>+VLOOKUP(A2112,[1]PFE4!$A$7:$F$5208,6,0)</f>
        <v>TV 25 1 92</v>
      </c>
      <c r="F2112" s="17">
        <f>+VLOOKUP(A2112,[1]PFE4!$A$7:$G$5208,7,0)</f>
        <v>68276</v>
      </c>
      <c r="G2112">
        <v>15529200</v>
      </c>
      <c r="H2112">
        <v>4329</v>
      </c>
    </row>
    <row r="2113" spans="1:8" ht="15" customHeight="1" x14ac:dyDescent="0.25">
      <c r="A2113" t="s">
        <v>4356</v>
      </c>
      <c r="B2113" t="s">
        <v>8399</v>
      </c>
      <c r="C2113" t="s">
        <v>11152</v>
      </c>
      <c r="D2113" t="s">
        <v>13287</v>
      </c>
      <c r="E2113" t="str">
        <f>+VLOOKUP(A2113,[1]PFE4!$A$7:$F$5208,6,0)</f>
        <v>CARRERA 79 C  129  51</v>
      </c>
      <c r="F2113" s="17">
        <f>+VLOOKUP(A2113,[1]PFE4!$A$7:$G$5208,7,0)</f>
        <v>11001</v>
      </c>
      <c r="G2113">
        <v>15535113</v>
      </c>
      <c r="H2113">
        <v>4329</v>
      </c>
    </row>
    <row r="2114" spans="1:8" ht="15" customHeight="1" x14ac:dyDescent="0.25">
      <c r="A2114" t="s">
        <v>4357</v>
      </c>
      <c r="B2114" t="s">
        <v>8400</v>
      </c>
      <c r="C2114" t="s">
        <v>11900</v>
      </c>
      <c r="D2114" t="s">
        <v>13287</v>
      </c>
      <c r="E2114" t="str">
        <f>+VLOOKUP(A2114,[1]PFE4!$A$7:$F$5208,6,0)</f>
        <v>CARRERA 37  1  82</v>
      </c>
      <c r="F2114" s="17">
        <f>+VLOOKUP(A2114,[1]PFE4!$A$7:$G$5208,7,0)</f>
        <v>11001</v>
      </c>
      <c r="G2114">
        <v>15537954</v>
      </c>
      <c r="H2114">
        <v>4329</v>
      </c>
    </row>
    <row r="2115" spans="1:8" ht="15" customHeight="1" x14ac:dyDescent="0.25">
      <c r="A2115" t="s">
        <v>4358</v>
      </c>
      <c r="B2115" t="s">
        <v>8401</v>
      </c>
      <c r="C2115" t="s">
        <v>11901</v>
      </c>
      <c r="D2115" t="s">
        <v>13287</v>
      </c>
      <c r="E2115" t="str">
        <f>+VLOOKUP(A2115,[1]PFE4!$A$7:$F$5208,6,0)</f>
        <v>CARRERA 9  19  20</v>
      </c>
      <c r="F2115" s="17">
        <f>+VLOOKUP(A2115,[1]PFE4!$A$7:$G$5208,7,0)</f>
        <v>11001</v>
      </c>
      <c r="G2115">
        <v>15566808</v>
      </c>
      <c r="H2115">
        <v>4329</v>
      </c>
    </row>
    <row r="2116" spans="1:8" ht="15" customHeight="1" x14ac:dyDescent="0.25">
      <c r="A2116" t="s">
        <v>4359</v>
      </c>
      <c r="B2116" t="s">
        <v>8402</v>
      </c>
      <c r="C2116" t="s">
        <v>11902</v>
      </c>
      <c r="D2116" t="s">
        <v>13287</v>
      </c>
      <c r="E2116" t="str">
        <f>+VLOOKUP(A2116,[1]PFE4!$A$7:$F$5208,6,0)</f>
        <v>CL 90 44 38</v>
      </c>
      <c r="F2116" s="17" t="str">
        <f>+VLOOKUP(A2116,[1]PFE4!$A$7:$G$5208,7,0)</f>
        <v>08573</v>
      </c>
      <c r="G2116">
        <v>15600000</v>
      </c>
      <c r="H2116">
        <v>4329</v>
      </c>
    </row>
    <row r="2117" spans="1:8" ht="15" customHeight="1" x14ac:dyDescent="0.25">
      <c r="A2117" t="s">
        <v>4360</v>
      </c>
      <c r="B2117" t="s">
        <v>8403</v>
      </c>
      <c r="C2117" t="s">
        <v>11903</v>
      </c>
      <c r="D2117" t="s">
        <v>13287</v>
      </c>
      <c r="E2117" t="str">
        <f>+VLOOKUP(A2117,[1]PFE4!$A$7:$F$5208,6,0)</f>
        <v>CALLE 74  72 A  44</v>
      </c>
      <c r="F2117" s="17" t="str">
        <f>+VLOOKUP(A2117,[1]PFE4!$A$7:$G$5208,7,0)</f>
        <v>05001</v>
      </c>
      <c r="G2117">
        <v>15614280</v>
      </c>
      <c r="H2117">
        <v>4329</v>
      </c>
    </row>
    <row r="2118" spans="1:8" ht="15" customHeight="1" x14ac:dyDescent="0.25">
      <c r="A2118" t="s">
        <v>4361</v>
      </c>
      <c r="B2118" t="s">
        <v>8404</v>
      </c>
      <c r="C2118" t="s">
        <v>11904</v>
      </c>
      <c r="D2118" t="s">
        <v>13287</v>
      </c>
      <c r="E2118" t="str">
        <f>+VLOOKUP(A2118,[1]PFE4!$A$7:$F$5208,6,0)</f>
        <v>CL 64 A 2 107 ET IV BRR EL RECREO</v>
      </c>
      <c r="F2118" s="17">
        <f>+VLOOKUP(A2118,[1]PFE4!$A$7:$G$5208,7,0)</f>
        <v>23001</v>
      </c>
      <c r="G2118">
        <v>15615845</v>
      </c>
      <c r="H2118">
        <v>4329</v>
      </c>
    </row>
    <row r="2119" spans="1:8" ht="15" customHeight="1" x14ac:dyDescent="0.25">
      <c r="A2119" t="s">
        <v>4362</v>
      </c>
      <c r="B2119" t="s">
        <v>8405</v>
      </c>
      <c r="C2119" t="s">
        <v>11905</v>
      </c>
      <c r="D2119" t="s">
        <v>13287</v>
      </c>
      <c r="E2119" t="str">
        <f>+VLOOKUP(A2119,[1]PFE4!$A$7:$F$5208,6,0)</f>
        <v>AUTOPISTA NORTE  106  30</v>
      </c>
      <c r="F2119" s="17">
        <f>+VLOOKUP(A2119,[1]PFE4!$A$7:$G$5208,7,0)</f>
        <v>11001</v>
      </c>
      <c r="G2119">
        <v>15645143</v>
      </c>
      <c r="H2119">
        <v>4329</v>
      </c>
    </row>
    <row r="2120" spans="1:8" ht="15" customHeight="1" x14ac:dyDescent="0.25">
      <c r="A2120" t="s">
        <v>4363</v>
      </c>
      <c r="B2120" t="s">
        <v>8406</v>
      </c>
      <c r="C2120" t="s">
        <v>11906</v>
      </c>
      <c r="D2120" t="s">
        <v>13287</v>
      </c>
      <c r="E2120" t="str">
        <f>+VLOOKUP(A2120,[1]PFE4!$A$7:$F$5208,6,0)</f>
        <v>CARRERA 8  72  04</v>
      </c>
      <c r="F2120" s="17">
        <f>+VLOOKUP(A2120,[1]PFE4!$A$7:$G$5208,7,0)</f>
        <v>17001</v>
      </c>
      <c r="G2120">
        <v>15680082</v>
      </c>
      <c r="H2120">
        <v>4329</v>
      </c>
    </row>
    <row r="2121" spans="1:8" ht="15" customHeight="1" x14ac:dyDescent="0.25">
      <c r="A2121" t="s">
        <v>4364</v>
      </c>
      <c r="B2121" t="s">
        <v>8407</v>
      </c>
      <c r="C2121" t="s">
        <v>11907</v>
      </c>
      <c r="D2121" t="s">
        <v>13287</v>
      </c>
      <c r="E2121" t="str">
        <f>+VLOOKUP(A2121,[1]PFE4!$A$7:$F$5208,6,0)</f>
        <v>AVENIDA 5  NORTE 21 N  22 24</v>
      </c>
      <c r="F2121" s="17">
        <f>+VLOOKUP(A2121,[1]PFE4!$A$7:$G$5208,7,0)</f>
        <v>11001</v>
      </c>
      <c r="G2121">
        <v>15690460</v>
      </c>
      <c r="H2121">
        <v>4329</v>
      </c>
    </row>
    <row r="2122" spans="1:8" ht="15" customHeight="1" x14ac:dyDescent="0.25">
      <c r="A2122" t="s">
        <v>4365</v>
      </c>
      <c r="B2122" t="s">
        <v>8408</v>
      </c>
      <c r="C2122" t="s">
        <v>11908</v>
      </c>
      <c r="D2122" t="s">
        <v>13287</v>
      </c>
      <c r="E2122" t="str">
        <f>+VLOOKUP(A2122,[1]PFE4!$A$7:$F$5208,6,0)</f>
        <v>CARRERA 27 A  40  48</v>
      </c>
      <c r="F2122" s="17">
        <f>+VLOOKUP(A2122,[1]PFE4!$A$7:$G$5208,7,0)</f>
        <v>68001</v>
      </c>
      <c r="G2122">
        <v>15699896</v>
      </c>
      <c r="H2122">
        <v>4329</v>
      </c>
    </row>
    <row r="2123" spans="1:8" ht="15" customHeight="1" x14ac:dyDescent="0.25">
      <c r="A2123" t="s">
        <v>4366</v>
      </c>
      <c r="B2123" t="s">
        <v>8409</v>
      </c>
      <c r="C2123" t="s">
        <v>11909</v>
      </c>
      <c r="D2123" t="s">
        <v>13287</v>
      </c>
      <c r="E2123" t="str">
        <f>+VLOOKUP(A2123,[1]PFE4!$A$7:$F$5208,6,0)</f>
        <v>AVENIDA 30 DE AGOSTO 74 05</v>
      </c>
      <c r="F2123" s="17">
        <f>+VLOOKUP(A2123,[1]PFE4!$A$7:$G$5208,7,0)</f>
        <v>11001</v>
      </c>
      <c r="G2123">
        <v>15714776</v>
      </c>
      <c r="H2123">
        <v>4329</v>
      </c>
    </row>
    <row r="2124" spans="1:8" ht="15" customHeight="1" x14ac:dyDescent="0.25">
      <c r="A2124" t="s">
        <v>4367</v>
      </c>
      <c r="B2124" t="s">
        <v>8410</v>
      </c>
      <c r="C2124" t="s">
        <v>11910</v>
      </c>
      <c r="D2124" t="s">
        <v>13287</v>
      </c>
      <c r="E2124" t="str">
        <f>+VLOOKUP(A2124,[1]PFE4!$A$7:$F$5208,6,0)</f>
        <v>CR 55 A 28 A 231</v>
      </c>
      <c r="F2124" s="17" t="str">
        <f>+VLOOKUP(A2124,[1]PFE4!$A$7:$G$5208,7,0)</f>
        <v>05615</v>
      </c>
      <c r="G2124">
        <v>15719016</v>
      </c>
      <c r="H2124">
        <v>4329</v>
      </c>
    </row>
    <row r="2125" spans="1:8" ht="15" customHeight="1" x14ac:dyDescent="0.25">
      <c r="A2125" t="s">
        <v>4368</v>
      </c>
      <c r="B2125" t="s">
        <v>8411</v>
      </c>
      <c r="C2125" t="s">
        <v>11911</v>
      </c>
      <c r="D2125" t="s">
        <v>13287</v>
      </c>
      <c r="E2125" t="str">
        <f>+VLOOKUP(A2125,[1]PFE4!$A$7:$F$5208,6,0)</f>
        <v>CALLE 30 No. 55 B - 78</v>
      </c>
      <c r="F2125" s="17" t="str">
        <f>+VLOOKUP(A2125,[1]PFE4!$A$7:$G$5208,7,0)</f>
        <v>05615</v>
      </c>
      <c r="G2125">
        <v>15719016</v>
      </c>
      <c r="H2125">
        <v>4329</v>
      </c>
    </row>
    <row r="2126" spans="1:8" ht="15" customHeight="1" x14ac:dyDescent="0.25">
      <c r="A2126" t="s">
        <v>4369</v>
      </c>
      <c r="B2126" t="s">
        <v>8412</v>
      </c>
      <c r="C2126" t="s">
        <v>11912</v>
      </c>
      <c r="D2126" t="s">
        <v>13287</v>
      </c>
      <c r="E2126" t="str">
        <f>+VLOOKUP(A2126,[1]PFE4!$A$7:$F$5208,6,0)</f>
        <v>CR 51 79 85</v>
      </c>
      <c r="F2126" s="17" t="str">
        <f>+VLOOKUP(A2126,[1]PFE4!$A$7:$G$5208,7,0)</f>
        <v>08001</v>
      </c>
      <c r="G2126">
        <v>15724020</v>
      </c>
      <c r="H2126">
        <v>4329</v>
      </c>
    </row>
    <row r="2127" spans="1:8" ht="15" customHeight="1" x14ac:dyDescent="0.25">
      <c r="A2127" t="s">
        <v>4370</v>
      </c>
      <c r="B2127" t="s">
        <v>8413</v>
      </c>
      <c r="C2127" t="s">
        <v>11913</v>
      </c>
      <c r="D2127" t="s">
        <v>13287</v>
      </c>
      <c r="E2127" t="str">
        <f>+VLOOKUP(A2127,[1]PFE4!$A$7:$F$5208,6,0)</f>
        <v>CR 15 88 21 OF 602</v>
      </c>
      <c r="F2127" s="17">
        <f>+VLOOKUP(A2127,[1]PFE4!$A$7:$G$5208,7,0)</f>
        <v>13001</v>
      </c>
      <c r="G2127">
        <v>15727776</v>
      </c>
      <c r="H2127">
        <v>4329</v>
      </c>
    </row>
    <row r="2128" spans="1:8" ht="15" customHeight="1" x14ac:dyDescent="0.25">
      <c r="A2128" t="s">
        <v>4371</v>
      </c>
      <c r="B2128" t="s">
        <v>8414</v>
      </c>
      <c r="C2128" t="s">
        <v>11665</v>
      </c>
      <c r="D2128" t="s">
        <v>13287</v>
      </c>
      <c r="E2128" t="str">
        <f>+VLOOKUP(A2128,[1]PFE4!$A$7:$F$5208,6,0)</f>
        <v>CR 21 14 35</v>
      </c>
      <c r="F2128" s="17" t="str">
        <f>+VLOOKUP(A2128,[1]PFE4!$A$7:$G$5208,7,0)</f>
        <v>05607</v>
      </c>
      <c r="G2128">
        <v>15734200</v>
      </c>
      <c r="H2128">
        <v>4329</v>
      </c>
    </row>
    <row r="2129" spans="1:8" ht="15" customHeight="1" x14ac:dyDescent="0.25">
      <c r="A2129" t="s">
        <v>4372</v>
      </c>
      <c r="B2129" t="s">
        <v>8415</v>
      </c>
      <c r="C2129" t="s">
        <v>11914</v>
      </c>
      <c r="D2129" t="s">
        <v>13287</v>
      </c>
      <c r="E2129" t="str">
        <f>+VLOOKUP(A2129,[1]PFE4!$A$7:$F$5208,6,0)</f>
        <v>CR 34 B CR 50 A 45</v>
      </c>
      <c r="F2129" s="17" t="str">
        <f>+VLOOKUP(A2129,[1]PFE4!$A$7:$G$5208,7,0)</f>
        <v>05360</v>
      </c>
      <c r="G2129">
        <v>15760336</v>
      </c>
      <c r="H2129">
        <v>4329</v>
      </c>
    </row>
    <row r="2130" spans="1:8" ht="15" customHeight="1" x14ac:dyDescent="0.25">
      <c r="A2130" t="s">
        <v>4373</v>
      </c>
      <c r="B2130" t="s">
        <v>8416</v>
      </c>
      <c r="C2130" t="s">
        <v>11915</v>
      </c>
      <c r="D2130" t="s">
        <v>13287</v>
      </c>
      <c r="E2130" t="str">
        <f>+VLOOKUP(A2130,[1]PFE4!$A$7:$F$5208,6,0)</f>
        <v>CALLE 28 17-51</v>
      </c>
      <c r="F2130" s="17" t="str">
        <f>+VLOOKUP(A2130,[1]PFE4!$A$7:$G$5208,7,0)</f>
        <v>05607</v>
      </c>
      <c r="G2130">
        <v>15768716</v>
      </c>
      <c r="H2130">
        <v>4329</v>
      </c>
    </row>
    <row r="2131" spans="1:8" ht="15" customHeight="1" x14ac:dyDescent="0.25">
      <c r="A2131" t="s">
        <v>4374</v>
      </c>
      <c r="B2131" t="s">
        <v>8417</v>
      </c>
      <c r="C2131" t="s">
        <v>11916</v>
      </c>
      <c r="D2131" t="s">
        <v>13287</v>
      </c>
      <c r="E2131" t="str">
        <f>+VLOOKUP(A2131,[1]PFE4!$A$7:$F$5208,6,0)</f>
        <v>CALLE 151  9  26</v>
      </c>
      <c r="F2131" s="17">
        <f>+VLOOKUP(A2131,[1]PFE4!$A$7:$G$5208,7,0)</f>
        <v>11001</v>
      </c>
      <c r="G2131">
        <v>15801388</v>
      </c>
      <c r="H2131">
        <v>4329</v>
      </c>
    </row>
    <row r="2132" spans="1:8" ht="15" customHeight="1" x14ac:dyDescent="0.25">
      <c r="A2132" t="s">
        <v>4375</v>
      </c>
      <c r="B2132" t="s">
        <v>8418</v>
      </c>
      <c r="C2132" t="s">
        <v>11917</v>
      </c>
      <c r="D2132" t="s">
        <v>13287</v>
      </c>
      <c r="E2132" t="str">
        <f>+VLOOKUP(A2132,[1]PFE4!$A$7:$F$5208,6,0)</f>
        <v>CARRERA 19B 85-63</v>
      </c>
      <c r="F2132" s="17">
        <f>+VLOOKUP(A2132,[1]PFE4!$A$7:$G$5208,7,0)</f>
        <v>11001</v>
      </c>
      <c r="G2132">
        <v>15811208</v>
      </c>
      <c r="H2132">
        <v>4329</v>
      </c>
    </row>
    <row r="2133" spans="1:8" ht="15" customHeight="1" x14ac:dyDescent="0.25">
      <c r="A2133" t="s">
        <v>4376</v>
      </c>
      <c r="B2133" t="s">
        <v>8419</v>
      </c>
      <c r="C2133">
        <v>0</v>
      </c>
      <c r="D2133" t="s">
        <v>13287</v>
      </c>
      <c r="E2133">
        <v>0</v>
      </c>
      <c r="F2133" s="17">
        <v>11001</v>
      </c>
      <c r="G2133">
        <v>15814000</v>
      </c>
      <c r="H2133">
        <v>4329</v>
      </c>
    </row>
    <row r="2134" spans="1:8" ht="15" customHeight="1" x14ac:dyDescent="0.25">
      <c r="A2134" t="s">
        <v>4377</v>
      </c>
      <c r="B2134" t="s">
        <v>8420</v>
      </c>
      <c r="C2134" t="s">
        <v>11500</v>
      </c>
      <c r="D2134" t="s">
        <v>13287</v>
      </c>
      <c r="E2134" t="str">
        <f>+VLOOKUP(A2134,[1]PFE4!$A$7:$F$5208,6,0)</f>
        <v>CALLE 119  11 B  40</v>
      </c>
      <c r="F2134" s="17">
        <f>+VLOOKUP(A2134,[1]PFE4!$A$7:$G$5208,7,0)</f>
        <v>11001</v>
      </c>
      <c r="G2134">
        <v>15824240</v>
      </c>
      <c r="H2134">
        <v>4329</v>
      </c>
    </row>
    <row r="2135" spans="1:8" ht="15" customHeight="1" x14ac:dyDescent="0.25">
      <c r="A2135" t="s">
        <v>4378</v>
      </c>
      <c r="B2135" t="s">
        <v>8421</v>
      </c>
      <c r="C2135" t="s">
        <v>11918</v>
      </c>
      <c r="D2135" t="s">
        <v>13287</v>
      </c>
      <c r="E2135" t="str">
        <f>+VLOOKUP(A2135,[1]PFE4!$A$7:$F$5208,6,0)</f>
        <v>TV 120 78 B 55</v>
      </c>
      <c r="F2135" s="17">
        <f>+VLOOKUP(A2135,[1]PFE4!$A$7:$G$5208,7,0)</f>
        <v>11001</v>
      </c>
      <c r="G2135">
        <v>15838105</v>
      </c>
      <c r="H2135">
        <v>4329</v>
      </c>
    </row>
    <row r="2136" spans="1:8" ht="15" customHeight="1" x14ac:dyDescent="0.25">
      <c r="A2136" t="s">
        <v>4379</v>
      </c>
      <c r="B2136" t="s">
        <v>8422</v>
      </c>
      <c r="C2136" t="s">
        <v>11919</v>
      </c>
      <c r="D2136" t="s">
        <v>13287</v>
      </c>
      <c r="E2136" t="str">
        <f>+VLOOKUP(A2136,[1]PFE4!$A$7:$F$5208,6,0)</f>
        <v>CARRERA 63 A  3 C  76</v>
      </c>
      <c r="F2136" s="17">
        <f>+VLOOKUP(A2136,[1]PFE4!$A$7:$G$5208,7,0)</f>
        <v>11001</v>
      </c>
      <c r="G2136">
        <v>15852276</v>
      </c>
      <c r="H2136">
        <v>4329</v>
      </c>
    </row>
    <row r="2137" spans="1:8" ht="15" customHeight="1" x14ac:dyDescent="0.25">
      <c r="A2137" t="s">
        <v>4380</v>
      </c>
      <c r="B2137" t="s">
        <v>8423</v>
      </c>
      <c r="C2137" t="s">
        <v>11434</v>
      </c>
      <c r="D2137" t="s">
        <v>13287</v>
      </c>
      <c r="E2137" t="str">
        <f>+VLOOKUP(A2137,[1]PFE4!$A$7:$F$5208,6,0)</f>
        <v>CALLE 95  8 A  35</v>
      </c>
      <c r="F2137" s="17">
        <f>+VLOOKUP(A2137,[1]PFE4!$A$7:$G$5208,7,0)</f>
        <v>11001</v>
      </c>
      <c r="G2137">
        <v>15854895</v>
      </c>
      <c r="H2137">
        <v>4329</v>
      </c>
    </row>
    <row r="2138" spans="1:8" ht="15" customHeight="1" x14ac:dyDescent="0.25">
      <c r="A2138" t="s">
        <v>4381</v>
      </c>
      <c r="B2138" t="s">
        <v>8424</v>
      </c>
      <c r="C2138" t="s">
        <v>11920</v>
      </c>
      <c r="D2138" t="s">
        <v>13287</v>
      </c>
      <c r="E2138" t="str">
        <f>+VLOOKUP(A2138,[1]PFE4!$A$7:$F$5208,6,0)</f>
        <v>CARRERA 17 10-37</v>
      </c>
      <c r="F2138" s="17">
        <f>+VLOOKUP(A2138,[1]PFE4!$A$7:$G$5208,7,0)</f>
        <v>66001</v>
      </c>
      <c r="G2138">
        <v>15857700</v>
      </c>
      <c r="H2138">
        <v>4329</v>
      </c>
    </row>
    <row r="2139" spans="1:8" ht="15" customHeight="1" x14ac:dyDescent="0.25">
      <c r="A2139" t="s">
        <v>4382</v>
      </c>
      <c r="B2139" t="s">
        <v>8425</v>
      </c>
      <c r="C2139" t="s">
        <v>11921</v>
      </c>
      <c r="D2139" t="s">
        <v>13287</v>
      </c>
      <c r="E2139" t="str">
        <f>+VLOOKUP(A2139,[1]PFE4!$A$7:$F$5208,6,0)</f>
        <v>CARRERA 9  81  19</v>
      </c>
      <c r="F2139" s="17">
        <f>+VLOOKUP(A2139,[1]PFE4!$A$7:$G$5208,7,0)</f>
        <v>11001</v>
      </c>
      <c r="G2139">
        <v>15876186</v>
      </c>
      <c r="H2139">
        <v>4329</v>
      </c>
    </row>
    <row r="2140" spans="1:8" ht="15" customHeight="1" x14ac:dyDescent="0.25">
      <c r="A2140" t="s">
        <v>4383</v>
      </c>
      <c r="B2140" t="s">
        <v>8426</v>
      </c>
      <c r="C2140" t="s">
        <v>11922</v>
      </c>
      <c r="D2140" t="s">
        <v>13287</v>
      </c>
      <c r="E2140" t="str">
        <f>+VLOOKUP(A2140,[1]PFE4!$A$7:$F$5208,6,0)</f>
        <v>CR 11 B BIS 124 A 15</v>
      </c>
      <c r="F2140" s="17">
        <f>+VLOOKUP(A2140,[1]PFE4!$A$7:$G$5208,7,0)</f>
        <v>11001</v>
      </c>
      <c r="G2140">
        <v>15879576</v>
      </c>
      <c r="H2140">
        <v>4329</v>
      </c>
    </row>
    <row r="2141" spans="1:8" ht="15" customHeight="1" x14ac:dyDescent="0.25">
      <c r="A2141" t="s">
        <v>4384</v>
      </c>
      <c r="B2141" t="s">
        <v>8427</v>
      </c>
      <c r="C2141" t="s">
        <v>11792</v>
      </c>
      <c r="D2141" t="s">
        <v>13287</v>
      </c>
      <c r="E2141" t="str">
        <f>+VLOOKUP(A2141,[1]PFE4!$A$7:$F$5208,6,0)</f>
        <v>CARRERA 11 A  98  50</v>
      </c>
      <c r="F2141" s="17">
        <f>+VLOOKUP(A2141,[1]PFE4!$A$7:$G$5208,7,0)</f>
        <v>11001</v>
      </c>
      <c r="G2141">
        <v>15886173</v>
      </c>
      <c r="H2141">
        <v>4329</v>
      </c>
    </row>
    <row r="2142" spans="1:8" ht="15" customHeight="1" x14ac:dyDescent="0.25">
      <c r="A2142" t="s">
        <v>4385</v>
      </c>
      <c r="B2142" t="s">
        <v>8428</v>
      </c>
      <c r="C2142" t="s">
        <v>10850</v>
      </c>
      <c r="D2142" t="s">
        <v>13287</v>
      </c>
      <c r="E2142" t="str">
        <f>+VLOOKUP(A2142,[1]PFE4!$A$7:$F$5208,6,0)</f>
        <v>CL 30 A 69 53 79</v>
      </c>
      <c r="F2142" s="17" t="str">
        <f>+VLOOKUP(A2142,[1]PFE4!$A$7:$G$5208,7,0)</f>
        <v>05001</v>
      </c>
      <c r="G2142">
        <v>15888120</v>
      </c>
      <c r="H2142">
        <v>4329</v>
      </c>
    </row>
    <row r="2143" spans="1:8" ht="15" customHeight="1" x14ac:dyDescent="0.25">
      <c r="A2143" t="s">
        <v>4386</v>
      </c>
      <c r="B2143" t="s">
        <v>8429</v>
      </c>
      <c r="C2143" t="s">
        <v>11542</v>
      </c>
      <c r="D2143" t="s">
        <v>13287</v>
      </c>
      <c r="E2143" t="str">
        <f>+VLOOKUP(A2143,[1]PFE4!$A$7:$F$5208,6,0)</f>
        <v>CARRERA 16  82  47</v>
      </c>
      <c r="F2143" s="17">
        <f>+VLOOKUP(A2143,[1]PFE4!$A$7:$G$5208,7,0)</f>
        <v>11001</v>
      </c>
      <c r="G2143">
        <v>15892911</v>
      </c>
      <c r="H2143">
        <v>4329</v>
      </c>
    </row>
    <row r="2144" spans="1:8" ht="15" customHeight="1" x14ac:dyDescent="0.25">
      <c r="A2144" t="s">
        <v>4387</v>
      </c>
      <c r="B2144" t="s">
        <v>8430</v>
      </c>
      <c r="C2144">
        <v>0</v>
      </c>
      <c r="D2144" t="s">
        <v>13287</v>
      </c>
      <c r="E2144">
        <v>0</v>
      </c>
      <c r="F2144" s="17">
        <v>11001</v>
      </c>
      <c r="G2144">
        <v>15924536</v>
      </c>
      <c r="H2144">
        <v>4329</v>
      </c>
    </row>
    <row r="2145" spans="1:8" ht="15" customHeight="1" x14ac:dyDescent="0.25">
      <c r="A2145" t="s">
        <v>4388</v>
      </c>
      <c r="B2145" t="s">
        <v>8431</v>
      </c>
      <c r="C2145" t="s">
        <v>11923</v>
      </c>
      <c r="D2145" t="s">
        <v>13287</v>
      </c>
      <c r="E2145" t="str">
        <f>+VLOOKUP(A2145,[1]PFE4!$A$7:$F$5208,6,0)</f>
        <v>CARRERA 21  91  17</v>
      </c>
      <c r="F2145" s="17">
        <f>+VLOOKUP(A2145,[1]PFE4!$A$7:$G$5208,7,0)</f>
        <v>11001</v>
      </c>
      <c r="G2145">
        <v>15931900</v>
      </c>
      <c r="H2145">
        <v>4329</v>
      </c>
    </row>
    <row r="2146" spans="1:8" ht="15" customHeight="1" x14ac:dyDescent="0.25">
      <c r="A2146" t="s">
        <v>4389</v>
      </c>
      <c r="B2146" t="s">
        <v>8432</v>
      </c>
      <c r="C2146">
        <v>0</v>
      </c>
      <c r="D2146" t="s">
        <v>13287</v>
      </c>
      <c r="E2146">
        <v>0</v>
      </c>
      <c r="F2146" s="17">
        <v>11001</v>
      </c>
      <c r="G2146">
        <v>15938680</v>
      </c>
      <c r="H2146">
        <v>4329</v>
      </c>
    </row>
    <row r="2147" spans="1:8" ht="15" customHeight="1" x14ac:dyDescent="0.25">
      <c r="A2147" t="s">
        <v>4390</v>
      </c>
      <c r="B2147" t="s">
        <v>8433</v>
      </c>
      <c r="C2147" t="s">
        <v>11924</v>
      </c>
      <c r="D2147" t="s">
        <v>13287</v>
      </c>
      <c r="E2147" t="str">
        <f>+VLOOKUP(A2147,[1]PFE4!$A$7:$F$5208,6,0)</f>
        <v>CALLE 22 A BIS A No 94-63</v>
      </c>
      <c r="F2147" s="17">
        <f>+VLOOKUP(A2147,[1]PFE4!$A$7:$G$5208,7,0)</f>
        <v>11001</v>
      </c>
      <c r="G2147">
        <v>15940416</v>
      </c>
      <c r="H2147">
        <v>4329</v>
      </c>
    </row>
    <row r="2148" spans="1:8" ht="15" customHeight="1" x14ac:dyDescent="0.25">
      <c r="A2148" t="s">
        <v>4391</v>
      </c>
      <c r="B2148" t="s">
        <v>8434</v>
      </c>
      <c r="C2148">
        <v>0</v>
      </c>
      <c r="D2148" t="s">
        <v>13287</v>
      </c>
      <c r="E2148">
        <v>0</v>
      </c>
      <c r="F2148" s="17">
        <v>11001</v>
      </c>
      <c r="G2148">
        <v>15980336</v>
      </c>
      <c r="H2148">
        <v>4329</v>
      </c>
    </row>
    <row r="2149" spans="1:8" ht="15" customHeight="1" x14ac:dyDescent="0.25">
      <c r="A2149" t="s">
        <v>4392</v>
      </c>
      <c r="B2149" t="s">
        <v>8435</v>
      </c>
      <c r="C2149" t="s">
        <v>11925</v>
      </c>
      <c r="D2149" t="s">
        <v>13287</v>
      </c>
      <c r="E2149" t="str">
        <f>+VLOOKUP(A2149,[1]PFE4!$A$7:$F$5208,6,0)</f>
        <v>CARRERA 52 52 63</v>
      </c>
      <c r="F2149" s="17" t="str">
        <f>+VLOOKUP(A2149,[1]PFE4!$A$7:$G$5208,7,0)</f>
        <v>05360</v>
      </c>
      <c r="G2149">
        <v>15993976</v>
      </c>
      <c r="H2149">
        <v>4329</v>
      </c>
    </row>
    <row r="2150" spans="1:8" ht="15" customHeight="1" x14ac:dyDescent="0.25">
      <c r="A2150" t="s">
        <v>4393</v>
      </c>
      <c r="B2150" t="s">
        <v>8436</v>
      </c>
      <c r="C2150" t="s">
        <v>11926</v>
      </c>
      <c r="D2150" t="s">
        <v>13287</v>
      </c>
      <c r="E2150" t="str">
        <f>+VLOOKUP(A2150,[1]PFE4!$A$7:$F$5208,6,0)</f>
        <v>CARRERA 63  70  25</v>
      </c>
      <c r="F2150" s="17" t="str">
        <f>+VLOOKUP(A2150,[1]PFE4!$A$7:$G$5208,7,0)</f>
        <v>05360</v>
      </c>
      <c r="G2150">
        <v>15999495</v>
      </c>
      <c r="H2150">
        <v>4329</v>
      </c>
    </row>
    <row r="2151" spans="1:8" ht="15" customHeight="1" x14ac:dyDescent="0.25">
      <c r="A2151" t="s">
        <v>4394</v>
      </c>
      <c r="B2151" t="s">
        <v>8437</v>
      </c>
      <c r="C2151" t="s">
        <v>11927</v>
      </c>
      <c r="D2151" t="s">
        <v>13287</v>
      </c>
      <c r="E2151" t="str">
        <f>+VLOOKUP(A2151,[1]PFE4!$A$7:$F$5208,6,0)</f>
        <v>CALLE 25 SUR  45  37</v>
      </c>
      <c r="F2151" s="17" t="str">
        <f>+VLOOKUP(A2151,[1]PFE4!$A$7:$G$5208,7,0)</f>
        <v>05266</v>
      </c>
      <c r="G2151">
        <v>16005144</v>
      </c>
      <c r="H2151">
        <v>4329</v>
      </c>
    </row>
    <row r="2152" spans="1:8" ht="15" customHeight="1" x14ac:dyDescent="0.25">
      <c r="A2152" t="s">
        <v>4395</v>
      </c>
      <c r="B2152" t="s">
        <v>8438</v>
      </c>
      <c r="C2152" t="s">
        <v>11928</v>
      </c>
      <c r="D2152" t="s">
        <v>13287</v>
      </c>
      <c r="E2152" t="str">
        <f>+VLOOKUP(A2152,[1]PFE4!$A$7:$F$5208,6,0)</f>
        <v>CARRERA 82 25G 84</v>
      </c>
      <c r="F2152" s="17">
        <f>+VLOOKUP(A2152,[1]PFE4!$A$7:$G$5208,7,0)</f>
        <v>11001</v>
      </c>
      <c r="G2152">
        <v>16012632</v>
      </c>
      <c r="H2152">
        <v>4329</v>
      </c>
    </row>
    <row r="2153" spans="1:8" ht="15" customHeight="1" x14ac:dyDescent="0.25">
      <c r="A2153" t="s">
        <v>4396</v>
      </c>
      <c r="B2153" t="s">
        <v>8439</v>
      </c>
      <c r="C2153" t="s">
        <v>11929</v>
      </c>
      <c r="D2153" t="s">
        <v>13287</v>
      </c>
      <c r="E2153" t="str">
        <f>+VLOOKUP(A2153,[1]PFE4!$A$7:$F$5208,6,0)</f>
        <v>CR 43 B   90   152</v>
      </c>
      <c r="F2153" s="17" t="str">
        <f>+VLOOKUP(A2153,[1]PFE4!$A$7:$G$5208,7,0)</f>
        <v>08001</v>
      </c>
      <c r="G2153">
        <v>16019700</v>
      </c>
      <c r="H2153">
        <v>4329</v>
      </c>
    </row>
    <row r="2154" spans="1:8" ht="15" customHeight="1" x14ac:dyDescent="0.25">
      <c r="A2154" t="s">
        <v>4397</v>
      </c>
      <c r="B2154" t="s">
        <v>8440</v>
      </c>
      <c r="C2154" t="s">
        <v>11930</v>
      </c>
      <c r="D2154" t="s">
        <v>13287</v>
      </c>
      <c r="E2154" t="str">
        <f>+VLOOKUP(A2154,[1]PFE4!$A$7:$F$5208,6,0)</f>
        <v>CARRERA 46  22 A SUR  37</v>
      </c>
      <c r="F2154" s="17" t="str">
        <f>+VLOOKUP(A2154,[1]PFE4!$A$7:$G$5208,7,0)</f>
        <v>05266</v>
      </c>
      <c r="G2154">
        <v>16026010</v>
      </c>
      <c r="H2154">
        <v>4329</v>
      </c>
    </row>
    <row r="2155" spans="1:8" ht="15" customHeight="1" x14ac:dyDescent="0.25">
      <c r="A2155" t="s">
        <v>4398</v>
      </c>
      <c r="B2155" t="s">
        <v>8441</v>
      </c>
      <c r="C2155" t="s">
        <v>11931</v>
      </c>
      <c r="D2155" t="s">
        <v>13287</v>
      </c>
      <c r="E2155" t="str">
        <f>+VLOOKUP(A2155,[1]PFE4!$A$7:$F$5208,6,0)</f>
        <v>ANILLO BALCON DEL TEJAR 33 336</v>
      </c>
      <c r="F2155" s="17">
        <f>+VLOOKUP(A2155,[1]PFE4!$A$7:$G$5208,7,0)</f>
        <v>11001</v>
      </c>
      <c r="G2155">
        <v>16051800</v>
      </c>
      <c r="H2155">
        <v>4329</v>
      </c>
    </row>
    <row r="2156" spans="1:8" ht="15" customHeight="1" x14ac:dyDescent="0.25">
      <c r="A2156" t="s">
        <v>4399</v>
      </c>
      <c r="B2156" t="s">
        <v>8442</v>
      </c>
      <c r="C2156" t="s">
        <v>11932</v>
      </c>
      <c r="D2156" t="s">
        <v>13287</v>
      </c>
      <c r="E2156" t="str">
        <f>+VLOOKUP(A2156,[1]PFE4!$A$7:$F$5208,6,0)</f>
        <v>CALLE 108  17 A  65</v>
      </c>
      <c r="F2156" s="17">
        <f>+VLOOKUP(A2156,[1]PFE4!$A$7:$G$5208,7,0)</f>
        <v>11001</v>
      </c>
      <c r="G2156">
        <v>16056429</v>
      </c>
      <c r="H2156">
        <v>4329</v>
      </c>
    </row>
    <row r="2157" spans="1:8" ht="15" customHeight="1" x14ac:dyDescent="0.25">
      <c r="A2157" t="s">
        <v>4400</v>
      </c>
      <c r="B2157" t="s">
        <v>8443</v>
      </c>
      <c r="C2157" t="s">
        <v>11933</v>
      </c>
      <c r="D2157" t="s">
        <v>13287</v>
      </c>
      <c r="E2157" t="str">
        <f>+VLOOKUP(A2157,[1]PFE4!$A$7:$F$5208,6,0)</f>
        <v>CALLE 35 A SUR #47-45 OF 1</v>
      </c>
      <c r="F2157" s="17" t="str">
        <f>+VLOOKUP(A2157,[1]PFE4!$A$7:$G$5208,7,0)</f>
        <v>05631</v>
      </c>
      <c r="G2157">
        <v>16068160</v>
      </c>
      <c r="H2157">
        <v>4329</v>
      </c>
    </row>
    <row r="2158" spans="1:8" ht="15" customHeight="1" x14ac:dyDescent="0.25">
      <c r="A2158" t="s">
        <v>4401</v>
      </c>
      <c r="B2158" t="s">
        <v>8444</v>
      </c>
      <c r="C2158">
        <v>3219664011</v>
      </c>
      <c r="D2158" t="s">
        <v>13287</v>
      </c>
      <c r="E2158" t="str">
        <f>+VLOOKUP(A2158,[1]PFE4!$A$7:$F$5208,6,0)</f>
        <v>CL 49 30 32 BRR PALMIRA</v>
      </c>
      <c r="F2158" s="17">
        <f>+VLOOKUP(A2158,[1]PFE4!$A$7:$G$5208,7,0)</f>
        <v>11001</v>
      </c>
      <c r="G2158">
        <v>16068300</v>
      </c>
      <c r="H2158">
        <v>4329</v>
      </c>
    </row>
    <row r="2159" spans="1:8" ht="15" customHeight="1" x14ac:dyDescent="0.25">
      <c r="A2159" t="s">
        <v>4402</v>
      </c>
      <c r="B2159" t="s">
        <v>8445</v>
      </c>
      <c r="C2159" t="s">
        <v>11934</v>
      </c>
      <c r="D2159" t="s">
        <v>13287</v>
      </c>
      <c r="E2159" t="str">
        <f>+VLOOKUP(A2159,[1]PFE4!$A$7:$F$5208,6,0)</f>
        <v>CARRERA 11 B  103 A  21</v>
      </c>
      <c r="F2159" s="17">
        <f>+VLOOKUP(A2159,[1]PFE4!$A$7:$G$5208,7,0)</f>
        <v>11001</v>
      </c>
      <c r="G2159">
        <v>16094944</v>
      </c>
      <c r="H2159">
        <v>4329</v>
      </c>
    </row>
    <row r="2160" spans="1:8" ht="15" customHeight="1" x14ac:dyDescent="0.25">
      <c r="A2160" t="s">
        <v>4403</v>
      </c>
      <c r="B2160" t="s">
        <v>8446</v>
      </c>
      <c r="C2160" t="s">
        <v>11935</v>
      </c>
      <c r="D2160" t="s">
        <v>13287</v>
      </c>
      <c r="E2160" t="str">
        <f>+VLOOKUP(A2160,[1]PFE4!$A$7:$F$5208,6,0)</f>
        <v>CALLE 18 SUR  37  54</v>
      </c>
      <c r="F2160" s="17" t="str">
        <f>+VLOOKUP(A2160,[1]PFE4!$A$7:$G$5208,7,0)</f>
        <v>05266</v>
      </c>
      <c r="G2160">
        <v>16129352</v>
      </c>
      <c r="H2160">
        <v>4329</v>
      </c>
    </row>
    <row r="2161" spans="1:8" ht="15" customHeight="1" x14ac:dyDescent="0.25">
      <c r="A2161" t="s">
        <v>4404</v>
      </c>
      <c r="B2161" t="s">
        <v>8447</v>
      </c>
      <c r="C2161" t="s">
        <v>11936</v>
      </c>
      <c r="D2161" t="s">
        <v>13287</v>
      </c>
      <c r="E2161" t="str">
        <f>+VLOOKUP(A2161,[1]PFE4!$A$7:$F$5208,6,0)</f>
        <v>CARRERA 56 No. 96 - 20</v>
      </c>
      <c r="F2161" s="17" t="str">
        <f>+VLOOKUP(A2161,[1]PFE4!$A$7:$G$5208,7,0)</f>
        <v>08001</v>
      </c>
      <c r="G2161">
        <v>16135568</v>
      </c>
      <c r="H2161">
        <v>4329</v>
      </c>
    </row>
    <row r="2162" spans="1:8" ht="15" customHeight="1" x14ac:dyDescent="0.25">
      <c r="A2162" t="s">
        <v>4405</v>
      </c>
      <c r="B2162" t="s">
        <v>8448</v>
      </c>
      <c r="C2162" t="s">
        <v>11937</v>
      </c>
      <c r="D2162" t="s">
        <v>13287</v>
      </c>
      <c r="E2162" t="str">
        <f>+VLOOKUP(A2162,[1]PFE4!$A$7:$F$5208,6,0)</f>
        <v>CR 11 C 11 - 06 ACC GENEREAL A TO 1 Y 2</v>
      </c>
      <c r="F2162" s="17">
        <f>+VLOOKUP(A2162,[1]PFE4!$A$7:$G$5208,7,0)</f>
        <v>68307</v>
      </c>
      <c r="G2162">
        <v>16140068</v>
      </c>
      <c r="H2162">
        <v>4329</v>
      </c>
    </row>
    <row r="2163" spans="1:8" ht="15" customHeight="1" x14ac:dyDescent="0.25">
      <c r="A2163" t="s">
        <v>4406</v>
      </c>
      <c r="B2163" t="s">
        <v>8449</v>
      </c>
      <c r="C2163" t="s">
        <v>11938</v>
      </c>
      <c r="D2163" t="s">
        <v>13287</v>
      </c>
      <c r="E2163" t="str">
        <f>+VLOOKUP(A2163,[1]PFE4!$A$7:$F$5208,6,0)</f>
        <v>CALLE 92  19 B  90</v>
      </c>
      <c r="F2163" s="17">
        <f>+VLOOKUP(A2163,[1]PFE4!$A$7:$G$5208,7,0)</f>
        <v>11001</v>
      </c>
      <c r="G2163">
        <v>16166304</v>
      </c>
      <c r="H2163">
        <v>4329</v>
      </c>
    </row>
    <row r="2164" spans="1:8" ht="15" customHeight="1" x14ac:dyDescent="0.25">
      <c r="A2164" t="s">
        <v>4407</v>
      </c>
      <c r="B2164" t="s">
        <v>8450</v>
      </c>
      <c r="C2164" t="s">
        <v>11939</v>
      </c>
      <c r="D2164" t="s">
        <v>13287</v>
      </c>
      <c r="E2164" t="str">
        <f>+VLOOKUP(A2164,[1]PFE4!$A$7:$F$5208,6,0)</f>
        <v>CARRERA 22  25  102</v>
      </c>
      <c r="F2164" s="17">
        <f>+VLOOKUP(A2164,[1]PFE4!$A$7:$G$5208,7,0)</f>
        <v>13001</v>
      </c>
      <c r="G2164">
        <v>16169890</v>
      </c>
      <c r="H2164">
        <v>4329</v>
      </c>
    </row>
    <row r="2165" spans="1:8" ht="15" customHeight="1" x14ac:dyDescent="0.25">
      <c r="A2165" t="s">
        <v>4408</v>
      </c>
      <c r="B2165" t="s">
        <v>8451</v>
      </c>
      <c r="C2165" t="s">
        <v>11940</v>
      </c>
      <c r="D2165" t="s">
        <v>13287</v>
      </c>
      <c r="E2165" t="str">
        <f>+VLOOKUP(A2165,[1]PFE4!$A$7:$F$5208,6,0)</f>
        <v>CL 96 43 60</v>
      </c>
      <c r="F2165" s="17" t="str">
        <f>+VLOOKUP(A2165,[1]PFE4!$A$7:$G$5208,7,0)</f>
        <v>08001</v>
      </c>
      <c r="G2165">
        <v>16173468</v>
      </c>
      <c r="H2165">
        <v>4329</v>
      </c>
    </row>
    <row r="2166" spans="1:8" ht="15" customHeight="1" x14ac:dyDescent="0.25">
      <c r="A2166" t="s">
        <v>4409</v>
      </c>
      <c r="B2166" t="s">
        <v>8452</v>
      </c>
      <c r="C2166" t="s">
        <v>11941</v>
      </c>
      <c r="D2166" t="s">
        <v>13287</v>
      </c>
      <c r="E2166" t="str">
        <f>+VLOOKUP(A2166,[1]PFE4!$A$7:$F$5208,6,0)</f>
        <v>CARRERA 11 A  144  30</v>
      </c>
      <c r="F2166" s="17">
        <f>+VLOOKUP(A2166,[1]PFE4!$A$7:$G$5208,7,0)</f>
        <v>11001</v>
      </c>
      <c r="G2166">
        <v>16232845</v>
      </c>
      <c r="H2166">
        <v>4329</v>
      </c>
    </row>
    <row r="2167" spans="1:8" ht="15" customHeight="1" x14ac:dyDescent="0.25">
      <c r="A2167" t="s">
        <v>4410</v>
      </c>
      <c r="B2167" t="s">
        <v>8453</v>
      </c>
      <c r="C2167" t="s">
        <v>11942</v>
      </c>
      <c r="D2167" t="s">
        <v>13287</v>
      </c>
      <c r="E2167" t="str">
        <f>+VLOOKUP(A2167,[1]PFE4!$A$7:$F$5208,6,0)</f>
        <v>CL 45 29 55</v>
      </c>
      <c r="F2167" s="17">
        <f>+VLOOKUP(A2167,[1]PFE4!$A$7:$G$5208,7,0)</f>
        <v>68001</v>
      </c>
      <c r="G2167">
        <v>16259965</v>
      </c>
      <c r="H2167">
        <v>4329</v>
      </c>
    </row>
    <row r="2168" spans="1:8" ht="15" customHeight="1" x14ac:dyDescent="0.25">
      <c r="A2168" t="s">
        <v>4411</v>
      </c>
      <c r="B2168" t="s">
        <v>8454</v>
      </c>
      <c r="C2168" t="s">
        <v>11943</v>
      </c>
      <c r="D2168" t="s">
        <v>13287</v>
      </c>
      <c r="E2168" t="str">
        <f>+VLOOKUP(A2168,[1]PFE4!$A$7:$F$5208,6,0)</f>
        <v>CR 28 45 25 29 BRR SOTOMAYOR</v>
      </c>
      <c r="F2168" s="17">
        <f>+VLOOKUP(A2168,[1]PFE4!$A$7:$G$5208,7,0)</f>
        <v>68001</v>
      </c>
      <c r="G2168">
        <v>16272688</v>
      </c>
      <c r="H2168">
        <v>4329</v>
      </c>
    </row>
    <row r="2169" spans="1:8" ht="15" customHeight="1" x14ac:dyDescent="0.25">
      <c r="A2169" t="s">
        <v>4412</v>
      </c>
      <c r="B2169" t="s">
        <v>8455</v>
      </c>
      <c r="C2169" t="s">
        <v>11944</v>
      </c>
      <c r="D2169" t="s">
        <v>13287</v>
      </c>
      <c r="E2169" t="str">
        <f>+VLOOKUP(A2169,[1]PFE4!$A$7:$F$5208,6,0)</f>
        <v>CL 17 D BIS 123 A 05</v>
      </c>
      <c r="F2169" s="17">
        <f>+VLOOKUP(A2169,[1]PFE4!$A$7:$G$5208,7,0)</f>
        <v>11001</v>
      </c>
      <c r="G2169">
        <v>16287624</v>
      </c>
      <c r="H2169">
        <v>4329</v>
      </c>
    </row>
    <row r="2170" spans="1:8" ht="15" customHeight="1" x14ac:dyDescent="0.25">
      <c r="A2170" t="s">
        <v>4413</v>
      </c>
      <c r="B2170" t="s">
        <v>8456</v>
      </c>
      <c r="C2170" t="s">
        <v>11945</v>
      </c>
      <c r="D2170" t="s">
        <v>13287</v>
      </c>
      <c r="E2170" t="str">
        <f>+VLOOKUP(A2170,[1]PFE4!$A$7:$F$5208,6,0)</f>
        <v>CARRERA 56  79  138</v>
      </c>
      <c r="F2170" s="17" t="str">
        <f>+VLOOKUP(A2170,[1]PFE4!$A$7:$G$5208,7,0)</f>
        <v>08001</v>
      </c>
      <c r="G2170">
        <v>16295548</v>
      </c>
      <c r="H2170">
        <v>4329</v>
      </c>
    </row>
    <row r="2171" spans="1:8" ht="15" customHeight="1" x14ac:dyDescent="0.25">
      <c r="A2171" t="s">
        <v>4414</v>
      </c>
      <c r="B2171" t="s">
        <v>8457</v>
      </c>
      <c r="C2171" t="s">
        <v>11946</v>
      </c>
      <c r="D2171" t="s">
        <v>13287</v>
      </c>
      <c r="E2171" t="str">
        <f>+VLOOKUP(A2171,[1]PFE4!$A$7:$F$5208,6,0)</f>
        <v>CARRERA 145  96  15</v>
      </c>
      <c r="F2171" s="17">
        <f>+VLOOKUP(A2171,[1]PFE4!$A$7:$G$5208,7,0)</f>
        <v>11001</v>
      </c>
      <c r="G2171">
        <v>16303476</v>
      </c>
      <c r="H2171">
        <v>4329</v>
      </c>
    </row>
    <row r="2172" spans="1:8" ht="15" customHeight="1" x14ac:dyDescent="0.25">
      <c r="A2172" t="s">
        <v>4415</v>
      </c>
      <c r="B2172" t="s">
        <v>8458</v>
      </c>
      <c r="C2172" t="s">
        <v>10954</v>
      </c>
      <c r="D2172" t="s">
        <v>13287</v>
      </c>
      <c r="E2172" t="str">
        <f>+VLOOKUP(A2172,[1]PFE4!$A$7:$F$5208,6,0)</f>
        <v>CARRERA 67  74  170</v>
      </c>
      <c r="F2172" s="17" t="str">
        <f>+VLOOKUP(A2172,[1]PFE4!$A$7:$G$5208,7,0)</f>
        <v>08001</v>
      </c>
      <c r="G2172">
        <v>16310432</v>
      </c>
      <c r="H2172">
        <v>4329</v>
      </c>
    </row>
    <row r="2173" spans="1:8" ht="15" customHeight="1" x14ac:dyDescent="0.25">
      <c r="A2173" t="s">
        <v>4416</v>
      </c>
      <c r="B2173" t="s">
        <v>8459</v>
      </c>
      <c r="C2173" t="s">
        <v>11947</v>
      </c>
      <c r="D2173" t="s">
        <v>13287</v>
      </c>
      <c r="E2173" t="str">
        <f>+VLOOKUP(A2173,[1]PFE4!$A$7:$F$5208,6,0)</f>
        <v>CALLE 48  28  67</v>
      </c>
      <c r="F2173" s="17">
        <f>+VLOOKUP(A2173,[1]PFE4!$A$7:$G$5208,7,0)</f>
        <v>11001</v>
      </c>
      <c r="G2173">
        <v>16324812</v>
      </c>
      <c r="H2173">
        <v>4329</v>
      </c>
    </row>
    <row r="2174" spans="1:8" ht="15" customHeight="1" x14ac:dyDescent="0.25">
      <c r="A2174" t="s">
        <v>4417</v>
      </c>
      <c r="B2174" t="s">
        <v>8460</v>
      </c>
      <c r="C2174" t="s">
        <v>11948</v>
      </c>
      <c r="D2174" t="s">
        <v>13287</v>
      </c>
      <c r="E2174" t="str">
        <f>+VLOOKUP(A2174,[1]PFE4!$A$7:$F$5208,6,0)</f>
        <v>CALLE 30  25  11</v>
      </c>
      <c r="F2174" s="17">
        <f>+VLOOKUP(A2174,[1]PFE4!$A$7:$G$5208,7,0)</f>
        <v>11001</v>
      </c>
      <c r="G2174">
        <v>16328892</v>
      </c>
      <c r="H2174">
        <v>4329</v>
      </c>
    </row>
    <row r="2175" spans="1:8" ht="15" customHeight="1" x14ac:dyDescent="0.25">
      <c r="A2175" t="s">
        <v>4418</v>
      </c>
      <c r="B2175" t="s">
        <v>8461</v>
      </c>
      <c r="C2175" t="s">
        <v>11949</v>
      </c>
      <c r="D2175" t="s">
        <v>13287</v>
      </c>
      <c r="E2175" t="str">
        <f>+VLOOKUP(A2175,[1]PFE4!$A$7:$F$5208,6,0)</f>
        <v>CARRERA 32  25 B  34</v>
      </c>
      <c r="F2175" s="17">
        <f>+VLOOKUP(A2175,[1]PFE4!$A$7:$G$5208,7,0)</f>
        <v>11001</v>
      </c>
      <c r="G2175">
        <v>16358700</v>
      </c>
      <c r="H2175">
        <v>4329</v>
      </c>
    </row>
    <row r="2176" spans="1:8" ht="15" customHeight="1" x14ac:dyDescent="0.25">
      <c r="A2176" t="s">
        <v>4419</v>
      </c>
      <c r="B2176" t="s">
        <v>8462</v>
      </c>
      <c r="C2176" t="s">
        <v>11850</v>
      </c>
      <c r="D2176" t="s">
        <v>13287</v>
      </c>
      <c r="E2176" t="str">
        <f>+VLOOKUP(A2176,[1]PFE4!$A$7:$F$5208,6,0)</f>
        <v>CR 23 B 70 A 71</v>
      </c>
      <c r="F2176" s="17">
        <f>+VLOOKUP(A2176,[1]PFE4!$A$7:$G$5208,7,0)</f>
        <v>17001</v>
      </c>
      <c r="G2176">
        <v>16394256</v>
      </c>
      <c r="H2176">
        <v>4329</v>
      </c>
    </row>
    <row r="2177" spans="1:8" ht="15" customHeight="1" x14ac:dyDescent="0.25">
      <c r="A2177" t="s">
        <v>4420</v>
      </c>
      <c r="B2177" t="s">
        <v>8463</v>
      </c>
      <c r="C2177" t="s">
        <v>11950</v>
      </c>
      <c r="D2177" t="s">
        <v>13287</v>
      </c>
      <c r="E2177" t="str">
        <f>+VLOOKUP(A2177,[1]PFE4!$A$7:$F$5208,6,0)</f>
        <v>CALLE 48  32  14 OFICINA 412</v>
      </c>
      <c r="F2177" s="17">
        <f>+VLOOKUP(A2177,[1]PFE4!$A$7:$G$5208,7,0)</f>
        <v>68001</v>
      </c>
      <c r="G2177">
        <v>16446347</v>
      </c>
      <c r="H2177">
        <v>4329</v>
      </c>
    </row>
    <row r="2178" spans="1:8" ht="15" customHeight="1" x14ac:dyDescent="0.25">
      <c r="A2178" t="s">
        <v>4421</v>
      </c>
      <c r="B2178" t="s">
        <v>8464</v>
      </c>
      <c r="C2178" t="s">
        <v>11951</v>
      </c>
      <c r="D2178" t="s">
        <v>13287</v>
      </c>
      <c r="E2178" t="str">
        <f>+VLOOKUP(A2178,[1]PFE4!$A$7:$F$5208,6,0)</f>
        <v>CARRERA 3  4  29</v>
      </c>
      <c r="F2178" s="17">
        <f>+VLOOKUP(A2178,[1]PFE4!$A$7:$G$5208,7,0)</f>
        <v>11001</v>
      </c>
      <c r="G2178">
        <v>16456512</v>
      </c>
      <c r="H2178">
        <v>4329</v>
      </c>
    </row>
    <row r="2179" spans="1:8" ht="15" customHeight="1" x14ac:dyDescent="0.25">
      <c r="A2179" t="s">
        <v>4422</v>
      </c>
      <c r="B2179" t="s">
        <v>8465</v>
      </c>
      <c r="C2179" t="s">
        <v>10729</v>
      </c>
      <c r="D2179" t="s">
        <v>13287</v>
      </c>
      <c r="E2179" t="str">
        <f>+VLOOKUP(A2179,[1]PFE4!$A$7:$F$5208,6,0)</f>
        <v>CL N 12 41 BRR NORTE BAJO</v>
      </c>
      <c r="F2179" s="17">
        <f>+VLOOKUP(A2179,[1]PFE4!$A$7:$G$5208,7,0)</f>
        <v>68001</v>
      </c>
      <c r="G2179">
        <v>16491955</v>
      </c>
      <c r="H2179">
        <v>4329</v>
      </c>
    </row>
    <row r="2180" spans="1:8" ht="15" customHeight="1" x14ac:dyDescent="0.25">
      <c r="A2180" t="s">
        <v>4423</v>
      </c>
      <c r="B2180" t="s">
        <v>8466</v>
      </c>
      <c r="C2180" t="s">
        <v>11952</v>
      </c>
      <c r="D2180" t="s">
        <v>13287</v>
      </c>
      <c r="E2180" t="str">
        <f>+VLOOKUP(A2180,[1]PFE4!$A$7:$F$5208,6,0)</f>
        <v>CALLE 26  44  05</v>
      </c>
      <c r="F2180" s="17">
        <f>+VLOOKUP(A2180,[1]PFE4!$A$7:$G$5208,7,0)</f>
        <v>11001</v>
      </c>
      <c r="G2180">
        <v>16501100</v>
      </c>
      <c r="H2180">
        <v>4329</v>
      </c>
    </row>
    <row r="2181" spans="1:8" ht="15" customHeight="1" x14ac:dyDescent="0.25">
      <c r="A2181" t="s">
        <v>4424</v>
      </c>
      <c r="B2181" t="s">
        <v>8467</v>
      </c>
      <c r="C2181" t="s">
        <v>11953</v>
      </c>
      <c r="D2181" t="s">
        <v>13287</v>
      </c>
      <c r="E2181" t="str">
        <f>+VLOOKUP(A2181,[1]PFE4!$A$7:$F$5208,6,0)</f>
        <v>CALLE 93  17  45</v>
      </c>
      <c r="F2181" s="17">
        <f>+VLOOKUP(A2181,[1]PFE4!$A$7:$G$5208,7,0)</f>
        <v>11001</v>
      </c>
      <c r="G2181">
        <v>16510944</v>
      </c>
      <c r="H2181">
        <v>4329</v>
      </c>
    </row>
    <row r="2182" spans="1:8" ht="15" customHeight="1" x14ac:dyDescent="0.25">
      <c r="A2182" t="s">
        <v>4425</v>
      </c>
      <c r="B2182" t="s">
        <v>8468</v>
      </c>
      <c r="C2182" t="s">
        <v>11954</v>
      </c>
      <c r="D2182" t="s">
        <v>13287</v>
      </c>
      <c r="E2182" t="str">
        <f>+VLOOKUP(A2182,[1]PFE4!$A$7:$F$5208,6,0)</f>
        <v>CARRERA 25  19  30</v>
      </c>
      <c r="F2182" s="17">
        <f>+VLOOKUP(A2182,[1]PFE4!$A$7:$G$5208,7,0)</f>
        <v>68001</v>
      </c>
      <c r="G2182">
        <v>16514922</v>
      </c>
      <c r="H2182">
        <v>4329</v>
      </c>
    </row>
    <row r="2183" spans="1:8" ht="15" customHeight="1" x14ac:dyDescent="0.25">
      <c r="A2183" t="s">
        <v>4426</v>
      </c>
      <c r="B2183" t="s">
        <v>8469</v>
      </c>
      <c r="C2183" t="s">
        <v>11955</v>
      </c>
      <c r="D2183" t="s">
        <v>13287</v>
      </c>
      <c r="E2183" t="str">
        <f>+VLOOKUP(A2183,[1]PFE4!$A$7:$F$5208,6,0)</f>
        <v>CARRERA 51 B  80  96</v>
      </c>
      <c r="F2183" s="17" t="str">
        <f>+VLOOKUP(A2183,[1]PFE4!$A$7:$G$5208,7,0)</f>
        <v>08001</v>
      </c>
      <c r="G2183">
        <v>16520711</v>
      </c>
      <c r="H2183">
        <v>4329</v>
      </c>
    </row>
    <row r="2184" spans="1:8" ht="15" customHeight="1" x14ac:dyDescent="0.25">
      <c r="A2184" t="s">
        <v>4427</v>
      </c>
      <c r="B2184" t="s">
        <v>8470</v>
      </c>
      <c r="C2184">
        <v>3219664011</v>
      </c>
      <c r="D2184" t="s">
        <v>13287</v>
      </c>
      <c r="E2184" t="str">
        <f>+VLOOKUP(A2184,[1]PFE4!$A$7:$F$5208,6,0)</f>
        <v>CR 7 71  52  OF  703 TOA</v>
      </c>
      <c r="F2184" s="17">
        <f>+VLOOKUP(A2184,[1]PFE4!$A$7:$G$5208,7,0)</f>
        <v>11001</v>
      </c>
      <c r="G2184">
        <v>16521690</v>
      </c>
      <c r="H2184">
        <v>4329</v>
      </c>
    </row>
    <row r="2185" spans="1:8" ht="15" customHeight="1" x14ac:dyDescent="0.25">
      <c r="A2185" t="s">
        <v>4428</v>
      </c>
      <c r="B2185" t="s">
        <v>8471</v>
      </c>
      <c r="C2185" t="s">
        <v>11257</v>
      </c>
      <c r="D2185" t="s">
        <v>13287</v>
      </c>
      <c r="E2185" t="str">
        <f>+VLOOKUP(A2185,[1]PFE4!$A$7:$F$5208,6,0)</f>
        <v>TRANSVERSAL 3  51 A  31</v>
      </c>
      <c r="F2185" s="17">
        <f>+VLOOKUP(A2185,[1]PFE4!$A$7:$G$5208,7,0)</f>
        <v>11001</v>
      </c>
      <c r="G2185">
        <v>16529520</v>
      </c>
      <c r="H2185">
        <v>4329</v>
      </c>
    </row>
    <row r="2186" spans="1:8" ht="15" customHeight="1" x14ac:dyDescent="0.25">
      <c r="A2186" t="s">
        <v>4429</v>
      </c>
      <c r="B2186" t="s">
        <v>8472</v>
      </c>
      <c r="C2186" t="s">
        <v>11956</v>
      </c>
      <c r="D2186" t="s">
        <v>13287</v>
      </c>
      <c r="E2186" t="str">
        <f>+VLOOKUP(A2186,[1]PFE4!$A$7:$F$5208,6,0)</f>
        <v>CARRERA 10  17 N  58</v>
      </c>
      <c r="F2186" s="17">
        <f>+VLOOKUP(A2186,[1]PFE4!$A$7:$G$5208,7,0)</f>
        <v>19001</v>
      </c>
      <c r="G2186">
        <v>16545250</v>
      </c>
      <c r="H2186">
        <v>4329</v>
      </c>
    </row>
    <row r="2187" spans="1:8" ht="15" customHeight="1" x14ac:dyDescent="0.25">
      <c r="A2187" t="s">
        <v>4430</v>
      </c>
      <c r="B2187" t="s">
        <v>8473</v>
      </c>
      <c r="C2187" t="s">
        <v>11957</v>
      </c>
      <c r="D2187" t="s">
        <v>13287</v>
      </c>
      <c r="E2187" t="str">
        <f>+VLOOKUP(A2187,[1]PFE4!$A$7:$F$5208,6,0)</f>
        <v>CARRERA 42 B  25 SUR  102</v>
      </c>
      <c r="F2187" s="17" t="str">
        <f>+VLOOKUP(A2187,[1]PFE4!$A$7:$G$5208,7,0)</f>
        <v>05266</v>
      </c>
      <c r="G2187">
        <v>16545632</v>
      </c>
      <c r="H2187">
        <v>4329</v>
      </c>
    </row>
    <row r="2188" spans="1:8" ht="15" customHeight="1" x14ac:dyDescent="0.25">
      <c r="A2188" t="s">
        <v>4431</v>
      </c>
      <c r="B2188" t="s">
        <v>8474</v>
      </c>
      <c r="C2188" t="s">
        <v>11958</v>
      </c>
      <c r="D2188" t="s">
        <v>13287</v>
      </c>
      <c r="E2188" t="str">
        <f>+VLOOKUP(A2188,[1]PFE4!$A$7:$F$5208,6,0)</f>
        <v>CARRERA 17  22  20</v>
      </c>
      <c r="F2188" s="17">
        <f>+VLOOKUP(A2188,[1]PFE4!$A$7:$G$5208,7,0)</f>
        <v>63001</v>
      </c>
      <c r="G2188">
        <v>16558200</v>
      </c>
      <c r="H2188">
        <v>4329</v>
      </c>
    </row>
    <row r="2189" spans="1:8" ht="15" customHeight="1" x14ac:dyDescent="0.25">
      <c r="A2189" t="s">
        <v>4432</v>
      </c>
      <c r="B2189" t="s">
        <v>8475</v>
      </c>
      <c r="C2189" t="s">
        <v>11959</v>
      </c>
      <c r="D2189" t="s">
        <v>13287</v>
      </c>
      <c r="E2189" t="str">
        <f>+VLOOKUP(A2189,[1]PFE4!$A$7:$F$5208,6,0)</f>
        <v>CALLE 14  6  71</v>
      </c>
      <c r="F2189" s="17">
        <f>+VLOOKUP(A2189,[1]PFE4!$A$7:$G$5208,7,0)</f>
        <v>76001</v>
      </c>
      <c r="G2189">
        <v>16580824</v>
      </c>
      <c r="H2189">
        <v>4329</v>
      </c>
    </row>
    <row r="2190" spans="1:8" ht="15" customHeight="1" x14ac:dyDescent="0.25">
      <c r="A2190" t="s">
        <v>4433</v>
      </c>
      <c r="B2190" t="s">
        <v>8476</v>
      </c>
      <c r="C2190" t="s">
        <v>11960</v>
      </c>
      <c r="D2190" t="s">
        <v>13287</v>
      </c>
      <c r="E2190" t="str">
        <f>+VLOOKUP(A2190,[1]PFE4!$A$7:$F$5208,6,0)</f>
        <v>CALLE 96  42 C  29</v>
      </c>
      <c r="F2190" s="17" t="str">
        <f>+VLOOKUP(A2190,[1]PFE4!$A$7:$G$5208,7,0)</f>
        <v>08001</v>
      </c>
      <c r="G2190">
        <v>16595308</v>
      </c>
      <c r="H2190">
        <v>4329</v>
      </c>
    </row>
    <row r="2191" spans="1:8" ht="15" customHeight="1" x14ac:dyDescent="0.25">
      <c r="A2191" t="s">
        <v>4434</v>
      </c>
      <c r="B2191" t="s">
        <v>8477</v>
      </c>
      <c r="C2191" t="s">
        <v>11961</v>
      </c>
      <c r="D2191" t="s">
        <v>13287</v>
      </c>
      <c r="E2191" t="str">
        <f>+VLOOKUP(A2191,[1]PFE4!$A$7:$F$5208,6,0)</f>
        <v>CALLE 9  3  19</v>
      </c>
      <c r="F2191" s="17">
        <f>+VLOOKUP(A2191,[1]PFE4!$A$7:$G$5208,7,0)</f>
        <v>13001</v>
      </c>
      <c r="G2191">
        <v>16627595</v>
      </c>
      <c r="H2191">
        <v>4329</v>
      </c>
    </row>
    <row r="2192" spans="1:8" ht="15" customHeight="1" x14ac:dyDescent="0.25">
      <c r="A2192" t="s">
        <v>4435</v>
      </c>
      <c r="B2192" t="s">
        <v>8478</v>
      </c>
      <c r="C2192" t="s">
        <v>11962</v>
      </c>
      <c r="D2192" t="s">
        <v>13287</v>
      </c>
      <c r="E2192" t="str">
        <f>+VLOOKUP(A2192,[1]PFE4!$A$7:$F$5208,6,0)</f>
        <v>CL 26 B 51 21</v>
      </c>
      <c r="F2192" s="17" t="str">
        <f>+VLOOKUP(A2192,[1]PFE4!$A$7:$G$5208,7,0)</f>
        <v>05088</v>
      </c>
      <c r="G2192">
        <v>16632000</v>
      </c>
      <c r="H2192">
        <v>4329</v>
      </c>
    </row>
    <row r="2193" spans="1:8" ht="15" customHeight="1" x14ac:dyDescent="0.25">
      <c r="A2193" t="s">
        <v>4436</v>
      </c>
      <c r="B2193" t="s">
        <v>8479</v>
      </c>
      <c r="C2193" t="s">
        <v>11963</v>
      </c>
      <c r="D2193" t="s">
        <v>13287</v>
      </c>
      <c r="E2193" t="str">
        <f>+VLOOKUP(A2193,[1]PFE4!$A$7:$F$5208,6,0)</f>
        <v>CARRERA 15  77  50 OFICINA 502</v>
      </c>
      <c r="F2193" s="17">
        <f>+VLOOKUP(A2193,[1]PFE4!$A$7:$G$5208,7,0)</f>
        <v>11001</v>
      </c>
      <c r="G2193">
        <v>16640808</v>
      </c>
      <c r="H2193">
        <v>4329</v>
      </c>
    </row>
    <row r="2194" spans="1:8" ht="15" customHeight="1" x14ac:dyDescent="0.25">
      <c r="A2194" t="s">
        <v>4437</v>
      </c>
      <c r="B2194" t="s">
        <v>8480</v>
      </c>
      <c r="C2194" t="s">
        <v>11964</v>
      </c>
      <c r="D2194" t="s">
        <v>13287</v>
      </c>
      <c r="E2194" t="str">
        <f>+VLOOKUP(A2194,[1]PFE4!$A$7:$F$5208,6,0)</f>
        <v>CALLE 7 D 43 C 36</v>
      </c>
      <c r="F2194" s="17" t="str">
        <f>+VLOOKUP(A2194,[1]PFE4!$A$7:$G$5208,7,0)</f>
        <v>05001</v>
      </c>
      <c r="G2194">
        <v>16645820</v>
      </c>
      <c r="H2194">
        <v>4329</v>
      </c>
    </row>
    <row r="2195" spans="1:8" ht="15" customHeight="1" x14ac:dyDescent="0.25">
      <c r="A2195" t="s">
        <v>4438</v>
      </c>
      <c r="B2195" t="s">
        <v>8481</v>
      </c>
      <c r="C2195" t="s">
        <v>10613</v>
      </c>
      <c r="D2195" t="s">
        <v>13287</v>
      </c>
      <c r="E2195" t="str">
        <f>+VLOOKUP(A2195,[1]PFE4!$A$7:$F$5208,6,0)</f>
        <v>CR 77 13 A 1 38</v>
      </c>
      <c r="F2195" s="17">
        <f>+VLOOKUP(A2195,[1]PFE4!$A$7:$G$5208,7,0)</f>
        <v>76001</v>
      </c>
      <c r="G2195">
        <v>16672725</v>
      </c>
      <c r="H2195">
        <v>4329</v>
      </c>
    </row>
    <row r="2196" spans="1:8" ht="15" customHeight="1" x14ac:dyDescent="0.25">
      <c r="A2196" t="s">
        <v>4439</v>
      </c>
      <c r="B2196" t="s">
        <v>6777</v>
      </c>
      <c r="C2196" t="s">
        <v>11965</v>
      </c>
      <c r="D2196" t="s">
        <v>13287</v>
      </c>
      <c r="E2196" t="str">
        <f>+VLOOKUP(A2196,[1]PFE4!$A$7:$F$5208,6,0)</f>
        <v>CALLE 81  5  27</v>
      </c>
      <c r="F2196" s="17">
        <f>+VLOOKUP(A2196,[1]PFE4!$A$7:$G$5208,7,0)</f>
        <v>11001</v>
      </c>
      <c r="G2196">
        <v>16692106</v>
      </c>
      <c r="H2196">
        <v>4329</v>
      </c>
    </row>
    <row r="2197" spans="1:8" ht="15" customHeight="1" x14ac:dyDescent="0.25">
      <c r="A2197" t="s">
        <v>4440</v>
      </c>
      <c r="B2197" t="s">
        <v>8482</v>
      </c>
      <c r="C2197" t="s">
        <v>11966</v>
      </c>
      <c r="D2197" t="s">
        <v>13287</v>
      </c>
      <c r="E2197" t="str">
        <f>+VLOOKUP(A2197,[1]PFE4!$A$7:$F$5208,6,0)</f>
        <v>CARRERA 6  14  23</v>
      </c>
      <c r="F2197" s="17">
        <f>+VLOOKUP(A2197,[1]PFE4!$A$7:$G$5208,7,0)</f>
        <v>41001</v>
      </c>
      <c r="G2197">
        <v>16700243</v>
      </c>
      <c r="H2197">
        <v>4329</v>
      </c>
    </row>
    <row r="2198" spans="1:8" ht="15" customHeight="1" x14ac:dyDescent="0.25">
      <c r="A2198" t="s">
        <v>4441</v>
      </c>
      <c r="B2198" t="s">
        <v>8483</v>
      </c>
      <c r="C2198" t="s">
        <v>11425</v>
      </c>
      <c r="D2198" t="s">
        <v>13287</v>
      </c>
      <c r="E2198" t="str">
        <f>+VLOOKUP(A2198,[1]PFE4!$A$7:$F$5208,6,0)</f>
        <v>CALLE 127  18 A  39  OFICINA 303</v>
      </c>
      <c r="F2198" s="17">
        <f>+VLOOKUP(A2198,[1]PFE4!$A$7:$G$5208,7,0)</f>
        <v>11001</v>
      </c>
      <c r="G2198">
        <v>16709700</v>
      </c>
      <c r="H2198">
        <v>4329</v>
      </c>
    </row>
    <row r="2199" spans="1:8" ht="15" customHeight="1" x14ac:dyDescent="0.25">
      <c r="A2199" t="s">
        <v>4442</v>
      </c>
      <c r="B2199" t="s">
        <v>8484</v>
      </c>
      <c r="C2199" t="s">
        <v>11967</v>
      </c>
      <c r="D2199" t="s">
        <v>13287</v>
      </c>
      <c r="E2199" t="str">
        <f>+VLOOKUP(A2199,[1]PFE4!$A$7:$F$5208,6,0)</f>
        <v>CALLE 147  33 A  09</v>
      </c>
      <c r="F2199" s="17">
        <f>+VLOOKUP(A2199,[1]PFE4!$A$7:$G$5208,7,0)</f>
        <v>11001</v>
      </c>
      <c r="G2199">
        <v>16724471</v>
      </c>
      <c r="H2199">
        <v>4329</v>
      </c>
    </row>
    <row r="2200" spans="1:8" ht="15" customHeight="1" x14ac:dyDescent="0.25">
      <c r="A2200" t="s">
        <v>4443</v>
      </c>
      <c r="B2200" t="s">
        <v>8485</v>
      </c>
      <c r="C2200" t="s">
        <v>11968</v>
      </c>
      <c r="D2200" t="s">
        <v>13287</v>
      </c>
      <c r="E2200" t="str">
        <f>+VLOOKUP(A2200,[1]PFE4!$A$7:$F$5208,6,0)</f>
        <v>AVENIDA KEVIN ANGEL CARRERA 14 55D - 30</v>
      </c>
      <c r="F2200" s="17">
        <f>+VLOOKUP(A2200,[1]PFE4!$A$7:$G$5208,7,0)</f>
        <v>17001</v>
      </c>
      <c r="G2200">
        <v>16729600</v>
      </c>
      <c r="H2200">
        <v>4329</v>
      </c>
    </row>
    <row r="2201" spans="1:8" ht="15" customHeight="1" x14ac:dyDescent="0.25">
      <c r="A2201" t="s">
        <v>4444</v>
      </c>
      <c r="B2201" t="s">
        <v>8486</v>
      </c>
      <c r="C2201" t="s">
        <v>11969</v>
      </c>
      <c r="D2201" t="s">
        <v>13287</v>
      </c>
      <c r="E2201" t="str">
        <f>+VLOOKUP(A2201,[1]PFE4!$A$7:$F$5208,6,0)</f>
        <v>CALLE 152 B 56 62</v>
      </c>
      <c r="F2201" s="17">
        <f>+VLOOKUP(A2201,[1]PFE4!$A$7:$G$5208,7,0)</f>
        <v>11001</v>
      </c>
      <c r="G2201">
        <v>16735710</v>
      </c>
      <c r="H2201">
        <v>4329</v>
      </c>
    </row>
    <row r="2202" spans="1:8" ht="15" customHeight="1" x14ac:dyDescent="0.25">
      <c r="A2202" t="s">
        <v>4445</v>
      </c>
      <c r="B2202" t="s">
        <v>8487</v>
      </c>
      <c r="C2202" t="s">
        <v>11970</v>
      </c>
      <c r="D2202" t="s">
        <v>13287</v>
      </c>
      <c r="E2202" t="str">
        <f>+VLOOKUP(A2202,[1]PFE4!$A$7:$F$5208,6,0)</f>
        <v>CALLE 22  22  36</v>
      </c>
      <c r="F2202" s="17">
        <f>+VLOOKUP(A2202,[1]PFE4!$A$7:$G$5208,7,0)</f>
        <v>68001</v>
      </c>
      <c r="G2202">
        <v>16736324</v>
      </c>
      <c r="H2202">
        <v>4329</v>
      </c>
    </row>
    <row r="2203" spans="1:8" ht="15" customHeight="1" x14ac:dyDescent="0.25">
      <c r="A2203" t="s">
        <v>4446</v>
      </c>
      <c r="B2203" t="s">
        <v>8488</v>
      </c>
      <c r="C2203" t="s">
        <v>11971</v>
      </c>
      <c r="D2203" t="s">
        <v>13287</v>
      </c>
      <c r="E2203" t="str">
        <f>+VLOOKUP(A2203,[1]PFE4!$A$7:$F$5208,6,0)</f>
        <v>CL 93 NO. 14 55 P 7</v>
      </c>
      <c r="F2203" s="17">
        <f>+VLOOKUP(A2203,[1]PFE4!$A$7:$G$5208,7,0)</f>
        <v>11001</v>
      </c>
      <c r="G2203">
        <v>16752230</v>
      </c>
      <c r="H2203">
        <v>4329</v>
      </c>
    </row>
    <row r="2204" spans="1:8" ht="15" customHeight="1" x14ac:dyDescent="0.25">
      <c r="A2204" t="s">
        <v>4447</v>
      </c>
      <c r="B2204" t="s">
        <v>8489</v>
      </c>
      <c r="C2204" t="s">
        <v>11972</v>
      </c>
      <c r="D2204" t="s">
        <v>13287</v>
      </c>
      <c r="E2204" t="str">
        <f>+VLOOKUP(A2204,[1]PFE4!$A$7:$F$5208,6,0)</f>
        <v>CR 43 93 52</v>
      </c>
      <c r="F2204" s="17" t="str">
        <f>+VLOOKUP(A2204,[1]PFE4!$A$7:$G$5208,7,0)</f>
        <v>08001</v>
      </c>
      <c r="G2204">
        <v>16777136</v>
      </c>
      <c r="H2204">
        <v>4329</v>
      </c>
    </row>
    <row r="2205" spans="1:8" ht="15" customHeight="1" x14ac:dyDescent="0.25">
      <c r="A2205" t="s">
        <v>4448</v>
      </c>
      <c r="B2205" t="s">
        <v>8490</v>
      </c>
      <c r="C2205" t="s">
        <v>11973</v>
      </c>
      <c r="D2205" t="s">
        <v>13287</v>
      </c>
      <c r="E2205" t="str">
        <f>+VLOOKUP(A2205,[1]PFE4!$A$7:$F$5208,6,0)</f>
        <v>AV ALBERTO MENDOZA 77 40 ED MORATTOLIVING AP 1401</v>
      </c>
      <c r="F2205" s="17">
        <f>+VLOOKUP(A2205,[1]PFE4!$A$7:$G$5208,7,0)</f>
        <v>11001</v>
      </c>
      <c r="G2205">
        <v>16786000</v>
      </c>
      <c r="H2205">
        <v>4329</v>
      </c>
    </row>
    <row r="2206" spans="1:8" ht="15" customHeight="1" x14ac:dyDescent="0.25">
      <c r="A2206" t="s">
        <v>4449</v>
      </c>
      <c r="B2206" t="s">
        <v>8491</v>
      </c>
      <c r="C2206">
        <v>0</v>
      </c>
      <c r="D2206" t="s">
        <v>13287</v>
      </c>
      <c r="E2206">
        <v>0</v>
      </c>
      <c r="F2206" s="17">
        <v>11001</v>
      </c>
      <c r="G2206">
        <v>16791700</v>
      </c>
      <c r="H2206">
        <v>4329</v>
      </c>
    </row>
    <row r="2207" spans="1:8" ht="15" customHeight="1" x14ac:dyDescent="0.25">
      <c r="A2207" t="s">
        <v>4450</v>
      </c>
      <c r="B2207" t="s">
        <v>8492</v>
      </c>
      <c r="C2207" t="s">
        <v>11974</v>
      </c>
      <c r="D2207" t="s">
        <v>13287</v>
      </c>
      <c r="E2207" t="str">
        <f>+VLOOKUP(A2207,[1]PFE4!$A$7:$F$5208,6,0)</f>
        <v>CL 119 4 10</v>
      </c>
      <c r="F2207" s="17">
        <f>+VLOOKUP(A2207,[1]PFE4!$A$7:$G$5208,7,0)</f>
        <v>11001</v>
      </c>
      <c r="G2207">
        <v>16800000</v>
      </c>
      <c r="H2207">
        <v>4329</v>
      </c>
    </row>
    <row r="2208" spans="1:8" ht="15" customHeight="1" x14ac:dyDescent="0.25">
      <c r="A2208" t="s">
        <v>4451</v>
      </c>
      <c r="B2208" t="s">
        <v>8493</v>
      </c>
      <c r="C2208" t="s">
        <v>11975</v>
      </c>
      <c r="D2208" t="s">
        <v>13287</v>
      </c>
      <c r="E2208" t="str">
        <f>+VLOOKUP(A2208,[1]PFE4!$A$7:$F$5208,6,0)</f>
        <v>CALLE 49  40  44</v>
      </c>
      <c r="F2208" s="17" t="str">
        <f>+VLOOKUP(A2208,[1]PFE4!$A$7:$G$5208,7,0)</f>
        <v>05001</v>
      </c>
      <c r="G2208">
        <v>16824020</v>
      </c>
      <c r="H2208">
        <v>4329</v>
      </c>
    </row>
    <row r="2209" spans="1:8" ht="15" customHeight="1" x14ac:dyDescent="0.25">
      <c r="A2209" t="s">
        <v>4452</v>
      </c>
      <c r="B2209" t="s">
        <v>8494</v>
      </c>
      <c r="C2209" t="s">
        <v>11976</v>
      </c>
      <c r="D2209" t="s">
        <v>13287</v>
      </c>
      <c r="E2209" t="str">
        <f>+VLOOKUP(A2209,[1]PFE4!$A$7:$F$5208,6,0)</f>
        <v>AV PARALELA SUR CON CRA 24 C MIRADOR DE SANCANCIO</v>
      </c>
      <c r="F2209" s="17">
        <f>+VLOOKUP(A2209,[1]PFE4!$A$7:$G$5208,7,0)</f>
        <v>11001</v>
      </c>
      <c r="G2209">
        <v>16840336</v>
      </c>
      <c r="H2209">
        <v>4329</v>
      </c>
    </row>
    <row r="2210" spans="1:8" ht="15" customHeight="1" x14ac:dyDescent="0.25">
      <c r="A2210" t="s">
        <v>4453</v>
      </c>
      <c r="B2210" t="s">
        <v>8495</v>
      </c>
      <c r="C2210" t="s">
        <v>11977</v>
      </c>
      <c r="D2210" t="s">
        <v>13287</v>
      </c>
      <c r="E2210" t="str">
        <f>+VLOOKUP(A2210,[1]PFE4!$A$7:$F$5208,6,0)</f>
        <v>CALLE 30  6  39</v>
      </c>
      <c r="F2210" s="17">
        <f>+VLOOKUP(A2210,[1]PFE4!$A$7:$G$5208,7,0)</f>
        <v>54405</v>
      </c>
      <c r="G2210">
        <v>16854376</v>
      </c>
      <c r="H2210">
        <v>4329</v>
      </c>
    </row>
    <row r="2211" spans="1:8" ht="15" customHeight="1" x14ac:dyDescent="0.25">
      <c r="A2211" t="s">
        <v>4454</v>
      </c>
      <c r="B2211" t="s">
        <v>8496</v>
      </c>
      <c r="C2211" t="s">
        <v>11978</v>
      </c>
      <c r="D2211" t="s">
        <v>13287</v>
      </c>
      <c r="E2211" t="str">
        <f>+VLOOKUP(A2211,[1]PFE4!$A$7:$F$5208,6,0)</f>
        <v>CARRERA 12 B  140  61</v>
      </c>
      <c r="F2211" s="17">
        <f>+VLOOKUP(A2211,[1]PFE4!$A$7:$G$5208,7,0)</f>
        <v>11001</v>
      </c>
      <c r="G2211">
        <v>16876152</v>
      </c>
      <c r="H2211">
        <v>4329</v>
      </c>
    </row>
    <row r="2212" spans="1:8" ht="15" customHeight="1" x14ac:dyDescent="0.25">
      <c r="A2212" t="s">
        <v>4455</v>
      </c>
      <c r="B2212" t="s">
        <v>8497</v>
      </c>
      <c r="C2212" t="s">
        <v>11979</v>
      </c>
      <c r="D2212" t="s">
        <v>13287</v>
      </c>
      <c r="E2212" t="str">
        <f>+VLOOKUP(A2212,[1]PFE4!$A$7:$F$5208,6,0)</f>
        <v>CL 18 3 A 41 - SALIDA PALESTINA</v>
      </c>
      <c r="F2212" s="17">
        <f>+VLOOKUP(A2212,[1]PFE4!$A$7:$G$5208,7,0)</f>
        <v>17174</v>
      </c>
      <c r="G2212">
        <v>16877656</v>
      </c>
      <c r="H2212">
        <v>4329</v>
      </c>
    </row>
    <row r="2213" spans="1:8" ht="15" customHeight="1" x14ac:dyDescent="0.25">
      <c r="A2213" t="s">
        <v>4456</v>
      </c>
      <c r="B2213" t="s">
        <v>8498</v>
      </c>
      <c r="C2213" t="s">
        <v>11980</v>
      </c>
      <c r="D2213" t="s">
        <v>13287</v>
      </c>
      <c r="E2213" t="str">
        <f>+VLOOKUP(A2213,[1]PFE4!$A$7:$F$5208,6,0)</f>
        <v>CARRERA 18 A  143  61</v>
      </c>
      <c r="F2213" s="17">
        <f>+VLOOKUP(A2213,[1]PFE4!$A$7:$G$5208,7,0)</f>
        <v>11001</v>
      </c>
      <c r="G2213">
        <v>16917489</v>
      </c>
      <c r="H2213">
        <v>4329</v>
      </c>
    </row>
    <row r="2214" spans="1:8" ht="15" customHeight="1" x14ac:dyDescent="0.25">
      <c r="A2214" t="s">
        <v>4457</v>
      </c>
      <c r="B2214" t="s">
        <v>8499</v>
      </c>
      <c r="C2214" t="s">
        <v>11981</v>
      </c>
      <c r="D2214" t="s">
        <v>13287</v>
      </c>
      <c r="E2214" t="str">
        <f>+VLOOKUP(A2214,[1]PFE4!$A$7:$F$5208,6,0)</f>
        <v>CARRERA 1 A  111  30</v>
      </c>
      <c r="F2214" s="17">
        <f>+VLOOKUP(A2214,[1]PFE4!$A$7:$G$5208,7,0)</f>
        <v>11001</v>
      </c>
      <c r="G2214">
        <v>16934000</v>
      </c>
      <c r="H2214">
        <v>4329</v>
      </c>
    </row>
    <row r="2215" spans="1:8" ht="15" customHeight="1" x14ac:dyDescent="0.25">
      <c r="A2215" t="s">
        <v>4458</v>
      </c>
      <c r="B2215" t="s">
        <v>8500</v>
      </c>
      <c r="C2215" t="s">
        <v>11545</v>
      </c>
      <c r="D2215" t="s">
        <v>13287</v>
      </c>
      <c r="E2215" t="str">
        <f>+VLOOKUP(A2215,[1]PFE4!$A$7:$F$5208,6,0)</f>
        <v>CALLE 93 B  9  26</v>
      </c>
      <c r="F2215" s="17">
        <f>+VLOOKUP(A2215,[1]PFE4!$A$7:$G$5208,7,0)</f>
        <v>11001</v>
      </c>
      <c r="G2215">
        <v>16960439</v>
      </c>
      <c r="H2215">
        <v>4329</v>
      </c>
    </row>
    <row r="2216" spans="1:8" ht="15" customHeight="1" x14ac:dyDescent="0.25">
      <c r="A2216" t="s">
        <v>4459</v>
      </c>
      <c r="B2216" t="s">
        <v>8501</v>
      </c>
      <c r="C2216" t="s">
        <v>11982</v>
      </c>
      <c r="D2216" t="s">
        <v>13287</v>
      </c>
      <c r="E2216" t="str">
        <f>+VLOOKUP(A2216,[1]PFE4!$A$7:$F$5208,6,0)</f>
        <v>CARRERA 27  38 B SUR  10</v>
      </c>
      <c r="F2216" s="17" t="str">
        <f>+VLOOKUP(A2216,[1]PFE4!$A$7:$G$5208,7,0)</f>
        <v>05266</v>
      </c>
      <c r="G2216">
        <v>16962670</v>
      </c>
      <c r="H2216">
        <v>4329</v>
      </c>
    </row>
    <row r="2217" spans="1:8" ht="15" customHeight="1" x14ac:dyDescent="0.25">
      <c r="A2217" t="s">
        <v>4460</v>
      </c>
      <c r="B2217" t="s">
        <v>8502</v>
      </c>
      <c r="C2217" t="s">
        <v>11983</v>
      </c>
      <c r="D2217" t="s">
        <v>13287</v>
      </c>
      <c r="E2217" t="str">
        <f>+VLOOKUP(A2217,[1]PFE4!$A$7:$F$5208,6,0)</f>
        <v>CR 119 77 B 49</v>
      </c>
      <c r="F2217" s="17">
        <f>+VLOOKUP(A2217,[1]PFE4!$A$7:$G$5208,7,0)</f>
        <v>11001</v>
      </c>
      <c r="G2217">
        <v>16965700</v>
      </c>
      <c r="H2217">
        <v>4329</v>
      </c>
    </row>
    <row r="2218" spans="1:8" ht="15" customHeight="1" x14ac:dyDescent="0.25">
      <c r="A2218" t="s">
        <v>4461</v>
      </c>
      <c r="B2218" t="s">
        <v>8503</v>
      </c>
      <c r="C2218" t="s">
        <v>11984</v>
      </c>
      <c r="D2218" t="s">
        <v>13287</v>
      </c>
      <c r="E2218" t="str">
        <f>+VLOOKUP(A2218,[1]PFE4!$A$7:$F$5208,6,0)</f>
        <v>CL 119 7 75</v>
      </c>
      <c r="F2218" s="17">
        <f>+VLOOKUP(A2218,[1]PFE4!$A$7:$G$5208,7,0)</f>
        <v>11001</v>
      </c>
      <c r="G2218">
        <v>16967580</v>
      </c>
      <c r="H2218">
        <v>4329</v>
      </c>
    </row>
    <row r="2219" spans="1:8" ht="15" customHeight="1" x14ac:dyDescent="0.25">
      <c r="A2219" t="s">
        <v>4462</v>
      </c>
      <c r="B2219" t="s">
        <v>8504</v>
      </c>
      <c r="C2219" t="s">
        <v>11985</v>
      </c>
      <c r="D2219" t="s">
        <v>13287</v>
      </c>
      <c r="E2219" t="str">
        <f>+VLOOKUP(A2219,[1]PFE4!$A$7:$F$5208,6,0)</f>
        <v>CR 14 65 152</v>
      </c>
      <c r="F2219" s="17">
        <f>+VLOOKUP(A2219,[1]PFE4!$A$7:$G$5208,7,0)</f>
        <v>73001</v>
      </c>
      <c r="G2219">
        <v>16977791</v>
      </c>
      <c r="H2219">
        <v>4329</v>
      </c>
    </row>
    <row r="2220" spans="1:8" ht="15" customHeight="1" x14ac:dyDescent="0.25">
      <c r="A2220" t="s">
        <v>4463</v>
      </c>
      <c r="B2220" t="s">
        <v>8505</v>
      </c>
      <c r="C2220" t="s">
        <v>11986</v>
      </c>
      <c r="D2220" t="s">
        <v>13287</v>
      </c>
      <c r="E2220" t="str">
        <f>+VLOOKUP(A2220,[1]PFE4!$A$7:$F$5208,6,0)</f>
        <v>CL 33 32 153</v>
      </c>
      <c r="F2220" s="17">
        <f>+VLOOKUP(A2220,[1]PFE4!$A$7:$G$5208,7,0)</f>
        <v>68001</v>
      </c>
      <c r="G2220">
        <v>16977930</v>
      </c>
      <c r="H2220">
        <v>4329</v>
      </c>
    </row>
    <row r="2221" spans="1:8" ht="15" customHeight="1" x14ac:dyDescent="0.25">
      <c r="A2221" t="s">
        <v>4464</v>
      </c>
      <c r="B2221" t="s">
        <v>8506</v>
      </c>
      <c r="C2221" t="s">
        <v>11987</v>
      </c>
      <c r="D2221" t="s">
        <v>13287</v>
      </c>
      <c r="E2221" t="str">
        <f>+VLOOKUP(A2221,[1]PFE4!$A$7:$F$5208,6,0)</f>
        <v>CR 45 5 15</v>
      </c>
      <c r="F2221" s="17" t="str">
        <f>+VLOOKUP(A2221,[1]PFE4!$A$7:$G$5208,7,0)</f>
        <v>08001</v>
      </c>
      <c r="G2221">
        <v>16978173</v>
      </c>
      <c r="H2221">
        <v>4329</v>
      </c>
    </row>
    <row r="2222" spans="1:8" ht="15" customHeight="1" x14ac:dyDescent="0.25">
      <c r="A2222" t="s">
        <v>4465</v>
      </c>
      <c r="B2222" t="s">
        <v>8507</v>
      </c>
      <c r="C2222" t="s">
        <v>11988</v>
      </c>
      <c r="D2222" t="s">
        <v>13287</v>
      </c>
      <c r="E2222" t="str">
        <f>+VLOOKUP(A2222,[1]PFE4!$A$7:$F$5208,6,0)</f>
        <v>CARRERA 6  115  65 OFICINA 506</v>
      </c>
      <c r="F2222" s="17">
        <f>+VLOOKUP(A2222,[1]PFE4!$A$7:$G$5208,7,0)</f>
        <v>11001</v>
      </c>
      <c r="G2222">
        <v>17024458</v>
      </c>
      <c r="H2222">
        <v>4329</v>
      </c>
    </row>
    <row r="2223" spans="1:8" ht="15" customHeight="1" x14ac:dyDescent="0.25">
      <c r="A2223" t="s">
        <v>4466</v>
      </c>
      <c r="B2223" t="s">
        <v>8508</v>
      </c>
      <c r="C2223" t="s">
        <v>11989</v>
      </c>
      <c r="D2223" t="s">
        <v>13287</v>
      </c>
      <c r="E2223" t="str">
        <f>+VLOOKUP(A2223,[1]PFE4!$A$7:$F$5208,6,0)</f>
        <v>CARRERA 3  74 A  50</v>
      </c>
      <c r="F2223" s="17">
        <f>+VLOOKUP(A2223,[1]PFE4!$A$7:$G$5208,7,0)</f>
        <v>11001</v>
      </c>
      <c r="G2223">
        <v>17026380</v>
      </c>
      <c r="H2223">
        <v>4329</v>
      </c>
    </row>
    <row r="2224" spans="1:8" ht="15" customHeight="1" x14ac:dyDescent="0.25">
      <c r="A2224" t="s">
        <v>4467</v>
      </c>
      <c r="B2224" t="s">
        <v>8509</v>
      </c>
      <c r="C2224" t="s">
        <v>11990</v>
      </c>
      <c r="D2224" t="s">
        <v>13287</v>
      </c>
      <c r="E2224" t="str">
        <f>+VLOOKUP(A2224,[1]PFE4!$A$7:$F$5208,6,0)</f>
        <v>CARRERA 14  8 NORTE  67</v>
      </c>
      <c r="F2224" s="17">
        <f>+VLOOKUP(A2224,[1]PFE4!$A$7:$G$5208,7,0)</f>
        <v>11001</v>
      </c>
      <c r="G2224">
        <v>17040664</v>
      </c>
      <c r="H2224">
        <v>4329</v>
      </c>
    </row>
    <row r="2225" spans="1:8" ht="15" customHeight="1" x14ac:dyDescent="0.25">
      <c r="A2225" t="s">
        <v>4468</v>
      </c>
      <c r="B2225" t="s">
        <v>8510</v>
      </c>
      <c r="C2225" t="s">
        <v>11991</v>
      </c>
      <c r="D2225" t="s">
        <v>13287</v>
      </c>
      <c r="E2225" t="str">
        <f>+VLOOKUP(A2225,[1]PFE4!$A$7:$F$5208,6,0)</f>
        <v>CARRERA 8 H  166  51</v>
      </c>
      <c r="F2225" s="17">
        <f>+VLOOKUP(A2225,[1]PFE4!$A$7:$G$5208,7,0)</f>
        <v>11001</v>
      </c>
      <c r="G2225">
        <v>17065573</v>
      </c>
      <c r="H2225">
        <v>4329</v>
      </c>
    </row>
    <row r="2226" spans="1:8" ht="15" customHeight="1" x14ac:dyDescent="0.25">
      <c r="A2226" t="s">
        <v>4469</v>
      </c>
      <c r="B2226" t="s">
        <v>8511</v>
      </c>
      <c r="C2226" t="s">
        <v>11992</v>
      </c>
      <c r="D2226" t="s">
        <v>13287</v>
      </c>
      <c r="E2226" t="str">
        <f>+VLOOKUP(A2226,[1]PFE4!$A$7:$F$5208,6,0)</f>
        <v>CL 52 A 50 46 P 11</v>
      </c>
      <c r="F2226" s="17" t="str">
        <f>+VLOOKUP(A2226,[1]PFE4!$A$7:$G$5208,7,0)</f>
        <v>05001</v>
      </c>
      <c r="G2226">
        <v>17069280</v>
      </c>
      <c r="H2226">
        <v>4329</v>
      </c>
    </row>
    <row r="2227" spans="1:8" ht="15" customHeight="1" x14ac:dyDescent="0.25">
      <c r="A2227" t="s">
        <v>4470</v>
      </c>
      <c r="B2227" t="s">
        <v>8512</v>
      </c>
      <c r="C2227" t="s">
        <v>11045</v>
      </c>
      <c r="D2227" t="s">
        <v>13287</v>
      </c>
      <c r="E2227" t="str">
        <f>+VLOOKUP(A2227,[1]PFE4!$A$7:$F$5208,6,0)</f>
        <v>CALLE 10  86  24</v>
      </c>
      <c r="F2227" s="17">
        <f>+VLOOKUP(A2227,[1]PFE4!$A$7:$G$5208,7,0)</f>
        <v>11001</v>
      </c>
      <c r="G2227">
        <v>17079388</v>
      </c>
      <c r="H2227">
        <v>4329</v>
      </c>
    </row>
    <row r="2228" spans="1:8" ht="15" customHeight="1" x14ac:dyDescent="0.25">
      <c r="A2228" t="s">
        <v>4471</v>
      </c>
      <c r="B2228" t="s">
        <v>8513</v>
      </c>
      <c r="C2228" t="s">
        <v>11993</v>
      </c>
      <c r="D2228" t="s">
        <v>13287</v>
      </c>
      <c r="E2228" t="str">
        <f>+VLOOKUP(A2228,[1]PFE4!$A$7:$F$5208,6,0)</f>
        <v>CALLE 85  18  32</v>
      </c>
      <c r="F2228" s="17">
        <f>+VLOOKUP(A2228,[1]PFE4!$A$7:$G$5208,7,0)</f>
        <v>11001</v>
      </c>
      <c r="G2228">
        <v>17089172</v>
      </c>
      <c r="H2228">
        <v>4329</v>
      </c>
    </row>
    <row r="2229" spans="1:8" ht="15" customHeight="1" x14ac:dyDescent="0.25">
      <c r="A2229" t="s">
        <v>4472</v>
      </c>
      <c r="B2229" t="s">
        <v>8514</v>
      </c>
      <c r="C2229" t="s">
        <v>11994</v>
      </c>
      <c r="D2229" t="s">
        <v>13287</v>
      </c>
      <c r="E2229" t="str">
        <f>+VLOOKUP(A2229,[1]PFE4!$A$7:$F$5208,6,0)</f>
        <v>CR 15 15 50 LC 103 EX CC PEREIRA PLAZA</v>
      </c>
      <c r="F2229" s="17">
        <f>+VLOOKUP(A2229,[1]PFE4!$A$7:$G$5208,7,0)</f>
        <v>11001</v>
      </c>
      <c r="G2229">
        <v>17139600</v>
      </c>
      <c r="H2229">
        <v>4329</v>
      </c>
    </row>
    <row r="2230" spans="1:8" ht="15" customHeight="1" x14ac:dyDescent="0.25">
      <c r="A2230" t="s">
        <v>4473</v>
      </c>
      <c r="B2230" t="s">
        <v>8515</v>
      </c>
      <c r="C2230">
        <v>3219664011</v>
      </c>
      <c r="D2230" t="s">
        <v>13287</v>
      </c>
      <c r="E2230" t="str">
        <f>+VLOOKUP(A2230,[1]PFE4!$A$7:$F$5208,6,0)</f>
        <v>CALLE 30  28  42</v>
      </c>
      <c r="F2230" s="17">
        <f>+VLOOKUP(A2230,[1]PFE4!$A$7:$G$5208,7,0)</f>
        <v>68001</v>
      </c>
      <c r="G2230">
        <v>17158326</v>
      </c>
      <c r="H2230">
        <v>4329</v>
      </c>
    </row>
    <row r="2231" spans="1:8" ht="15" customHeight="1" x14ac:dyDescent="0.25">
      <c r="A2231" t="s">
        <v>4474</v>
      </c>
      <c r="B2231" t="s">
        <v>8516</v>
      </c>
      <c r="C2231" t="s">
        <v>11995</v>
      </c>
      <c r="D2231" t="s">
        <v>13287</v>
      </c>
      <c r="E2231" t="str">
        <f>+VLOOKUP(A2231,[1]PFE4!$A$7:$F$5208,6,0)</f>
        <v>CR 20 122 58</v>
      </c>
      <c r="F2231" s="17">
        <f>+VLOOKUP(A2231,[1]PFE4!$A$7:$G$5208,7,0)</f>
        <v>11001</v>
      </c>
      <c r="G2231">
        <v>17162112</v>
      </c>
      <c r="H2231">
        <v>4329</v>
      </c>
    </row>
    <row r="2232" spans="1:8" ht="15" customHeight="1" x14ac:dyDescent="0.25">
      <c r="A2232" t="s">
        <v>4475</v>
      </c>
      <c r="B2232" t="s">
        <v>8517</v>
      </c>
      <c r="C2232" t="s">
        <v>11996</v>
      </c>
      <c r="D2232" t="s">
        <v>13287</v>
      </c>
      <c r="E2232" t="str">
        <f>+VLOOKUP(A2232,[1]PFE4!$A$7:$F$5208,6,0)</f>
        <v>CR 7 C 127 32 44 56</v>
      </c>
      <c r="F2232" s="17">
        <f>+VLOOKUP(A2232,[1]PFE4!$A$7:$G$5208,7,0)</f>
        <v>11001</v>
      </c>
      <c r="G2232">
        <v>17165397</v>
      </c>
      <c r="H2232">
        <v>4329</v>
      </c>
    </row>
    <row r="2233" spans="1:8" ht="15" customHeight="1" x14ac:dyDescent="0.25">
      <c r="A2233" t="s">
        <v>4476</v>
      </c>
      <c r="B2233" t="s">
        <v>8518</v>
      </c>
      <c r="C2233" t="s">
        <v>11997</v>
      </c>
      <c r="D2233" t="s">
        <v>13287</v>
      </c>
      <c r="E2233" t="str">
        <f>+VLOOKUP(A2233,[1]PFE4!$A$7:$F$5208,6,0)</f>
        <v>CARRERA 11 BIS  123  71</v>
      </c>
      <c r="F2233" s="17">
        <f>+VLOOKUP(A2233,[1]PFE4!$A$7:$G$5208,7,0)</f>
        <v>11001</v>
      </c>
      <c r="G2233">
        <v>17185105</v>
      </c>
      <c r="H2233">
        <v>4329</v>
      </c>
    </row>
    <row r="2234" spans="1:8" ht="15" customHeight="1" x14ac:dyDescent="0.25">
      <c r="A2234" t="s">
        <v>4477</v>
      </c>
      <c r="B2234" t="s">
        <v>8519</v>
      </c>
      <c r="C2234" t="s">
        <v>10613</v>
      </c>
      <c r="D2234" t="s">
        <v>13287</v>
      </c>
      <c r="E2234" t="str">
        <f>+VLOOKUP(A2234,[1]PFE4!$A$7:$F$5208,6,0)</f>
        <v>CL 48 99 83</v>
      </c>
      <c r="F2234" s="17">
        <f>+VLOOKUP(A2234,[1]PFE4!$A$7:$G$5208,7,0)</f>
        <v>76001</v>
      </c>
      <c r="G2234">
        <v>17185864</v>
      </c>
      <c r="H2234">
        <v>4329</v>
      </c>
    </row>
    <row r="2235" spans="1:8" ht="15" customHeight="1" x14ac:dyDescent="0.25">
      <c r="A2235" t="s">
        <v>4478</v>
      </c>
      <c r="B2235" t="s">
        <v>8520</v>
      </c>
      <c r="C2235" t="s">
        <v>11736</v>
      </c>
      <c r="D2235" t="s">
        <v>13287</v>
      </c>
      <c r="E2235" t="str">
        <f>+VLOOKUP(A2235,[1]PFE4!$A$7:$F$5208,6,0)</f>
        <v>CL 79 42 376</v>
      </c>
      <c r="F2235" s="17" t="str">
        <f>+VLOOKUP(A2235,[1]PFE4!$A$7:$G$5208,7,0)</f>
        <v>08001</v>
      </c>
      <c r="G2235">
        <v>17201904</v>
      </c>
      <c r="H2235">
        <v>4329</v>
      </c>
    </row>
    <row r="2236" spans="1:8" ht="15" customHeight="1" x14ac:dyDescent="0.25">
      <c r="A2236" t="s">
        <v>4479</v>
      </c>
      <c r="B2236" t="s">
        <v>8521</v>
      </c>
      <c r="C2236" t="s">
        <v>11998</v>
      </c>
      <c r="D2236" t="s">
        <v>13287</v>
      </c>
      <c r="E2236" t="str">
        <f>+VLOOKUP(A2236,[1]PFE4!$A$7:$F$5208,6,0)</f>
        <v>CARRERA 14  14 N  80</v>
      </c>
      <c r="F2236" s="17">
        <f>+VLOOKUP(A2236,[1]PFE4!$A$7:$G$5208,7,0)</f>
        <v>63001</v>
      </c>
      <c r="G2236">
        <v>17202000</v>
      </c>
      <c r="H2236">
        <v>4329</v>
      </c>
    </row>
    <row r="2237" spans="1:8" ht="15" customHeight="1" x14ac:dyDescent="0.25">
      <c r="A2237" t="s">
        <v>4480</v>
      </c>
      <c r="B2237" t="s">
        <v>8522</v>
      </c>
      <c r="C2237" t="s">
        <v>11999</v>
      </c>
      <c r="D2237" t="s">
        <v>13287</v>
      </c>
      <c r="E2237" t="str">
        <f>+VLOOKUP(A2237,[1]PFE4!$A$7:$F$5208,6,0)</f>
        <v>CALLE 49  39  65</v>
      </c>
      <c r="F2237" s="17" t="str">
        <f>+VLOOKUP(A2237,[1]PFE4!$A$7:$G$5208,7,0)</f>
        <v>05001</v>
      </c>
      <c r="G2237">
        <v>17207400</v>
      </c>
      <c r="H2237">
        <v>4329</v>
      </c>
    </row>
    <row r="2238" spans="1:8" ht="15" customHeight="1" x14ac:dyDescent="0.25">
      <c r="A2238" t="s">
        <v>4481</v>
      </c>
      <c r="B2238" t="s">
        <v>8523</v>
      </c>
      <c r="C2238" t="s">
        <v>12000</v>
      </c>
      <c r="D2238" t="s">
        <v>13287</v>
      </c>
      <c r="E2238" t="str">
        <f>+VLOOKUP(A2238,[1]PFE4!$A$7:$F$5208,6,0)</f>
        <v>CR 100 15 A 61 TO A P 5 OF 500</v>
      </c>
      <c r="F2238" s="17">
        <f>+VLOOKUP(A2238,[1]PFE4!$A$7:$G$5208,7,0)</f>
        <v>76001</v>
      </c>
      <c r="G2238">
        <v>17213909</v>
      </c>
      <c r="H2238">
        <v>4329</v>
      </c>
    </row>
    <row r="2239" spans="1:8" ht="15" customHeight="1" x14ac:dyDescent="0.25">
      <c r="A2239" t="s">
        <v>4482</v>
      </c>
      <c r="B2239" t="s">
        <v>8524</v>
      </c>
      <c r="C2239" t="s">
        <v>11178</v>
      </c>
      <c r="D2239" t="s">
        <v>13287</v>
      </c>
      <c r="E2239" t="str">
        <f>+VLOOKUP(A2239,[1]PFE4!$A$7:$F$5208,6,0)</f>
        <v>CARRERA 16  112  39</v>
      </c>
      <c r="F2239" s="17">
        <f>+VLOOKUP(A2239,[1]PFE4!$A$7:$G$5208,7,0)</f>
        <v>11001</v>
      </c>
      <c r="G2239">
        <v>17228783</v>
      </c>
      <c r="H2239">
        <v>4329</v>
      </c>
    </row>
    <row r="2240" spans="1:8" ht="15" customHeight="1" x14ac:dyDescent="0.25">
      <c r="A2240" t="s">
        <v>4483</v>
      </c>
      <c r="B2240" t="s">
        <v>8525</v>
      </c>
      <c r="C2240" t="s">
        <v>12001</v>
      </c>
      <c r="D2240" t="s">
        <v>13287</v>
      </c>
      <c r="E2240" t="str">
        <f>+VLOOKUP(A2240,[1]PFE4!$A$7:$F$5208,6,0)</f>
        <v>CARRERA 73 A  39  78  OFICINA 401</v>
      </c>
      <c r="F2240" s="17" t="str">
        <f>+VLOOKUP(A2240,[1]PFE4!$A$7:$G$5208,7,0)</f>
        <v>05001</v>
      </c>
      <c r="G2240">
        <v>17233568</v>
      </c>
      <c r="H2240">
        <v>4329</v>
      </c>
    </row>
    <row r="2241" spans="1:8" ht="15" customHeight="1" x14ac:dyDescent="0.25">
      <c r="A2241" t="s">
        <v>4484</v>
      </c>
      <c r="B2241" t="s">
        <v>8526</v>
      </c>
      <c r="C2241" t="s">
        <v>11539</v>
      </c>
      <c r="D2241" t="s">
        <v>13287</v>
      </c>
      <c r="E2241" t="str">
        <f>+VLOOKUP(A2241,[1]PFE4!$A$7:$F$5208,6,0)</f>
        <v>DIAGONAL 109  5 A  31</v>
      </c>
      <c r="F2241" s="17">
        <f>+VLOOKUP(A2241,[1]PFE4!$A$7:$G$5208,7,0)</f>
        <v>11001</v>
      </c>
      <c r="G2241">
        <v>17244986</v>
      </c>
      <c r="H2241">
        <v>4329</v>
      </c>
    </row>
    <row r="2242" spans="1:8" ht="15" customHeight="1" x14ac:dyDescent="0.25">
      <c r="A2242" t="s">
        <v>4485</v>
      </c>
      <c r="B2242" t="s">
        <v>8527</v>
      </c>
      <c r="C2242" t="s">
        <v>12002</v>
      </c>
      <c r="D2242" t="s">
        <v>13287</v>
      </c>
      <c r="E2242" t="str">
        <f>+VLOOKUP(A2242,[1]PFE4!$A$7:$F$5208,6,0)</f>
        <v>CARRERA 4 H  40  24</v>
      </c>
      <c r="F2242" s="17">
        <f>+VLOOKUP(A2242,[1]PFE4!$A$7:$G$5208,7,0)</f>
        <v>73001</v>
      </c>
      <c r="G2242">
        <v>17274684</v>
      </c>
      <c r="H2242">
        <v>4329</v>
      </c>
    </row>
    <row r="2243" spans="1:8" ht="15" customHeight="1" x14ac:dyDescent="0.25">
      <c r="A2243" t="s">
        <v>4486</v>
      </c>
      <c r="B2243" t="s">
        <v>8528</v>
      </c>
      <c r="C2243" t="s">
        <v>12003</v>
      </c>
      <c r="D2243" t="s">
        <v>13287</v>
      </c>
      <c r="E2243" t="str">
        <f>+VLOOKUP(A2243,[1]PFE4!$A$7:$F$5208,6,0)</f>
        <v>CARRERA 8 84-21</v>
      </c>
      <c r="F2243" s="17">
        <f>+VLOOKUP(A2243,[1]PFE4!$A$7:$G$5208,7,0)</f>
        <v>11001</v>
      </c>
      <c r="G2243">
        <v>17291778</v>
      </c>
      <c r="H2243">
        <v>4329</v>
      </c>
    </row>
    <row r="2244" spans="1:8" ht="15" customHeight="1" x14ac:dyDescent="0.25">
      <c r="A2244" t="s">
        <v>4487</v>
      </c>
      <c r="B2244" t="s">
        <v>8529</v>
      </c>
      <c r="C2244" t="s">
        <v>12004</v>
      </c>
      <c r="D2244" t="s">
        <v>13287</v>
      </c>
      <c r="E2244" t="str">
        <f>+VLOOKUP(A2244,[1]PFE4!$A$7:$F$5208,6,0)</f>
        <v>CARRERA 7 C  138  71</v>
      </c>
      <c r="F2244" s="17">
        <f>+VLOOKUP(A2244,[1]PFE4!$A$7:$G$5208,7,0)</f>
        <v>11001</v>
      </c>
      <c r="G2244">
        <v>17303235</v>
      </c>
      <c r="H2244">
        <v>4329</v>
      </c>
    </row>
    <row r="2245" spans="1:8" ht="15" customHeight="1" x14ac:dyDescent="0.25">
      <c r="A2245" t="s">
        <v>4488</v>
      </c>
      <c r="B2245" t="s">
        <v>8530</v>
      </c>
      <c r="C2245" t="s">
        <v>12005</v>
      </c>
      <c r="D2245" t="s">
        <v>13287</v>
      </c>
      <c r="E2245" t="str">
        <f>+VLOOKUP(A2245,[1]PFE4!$A$7:$F$5208,6,0)</f>
        <v>CARRERA 16 A  75  29</v>
      </c>
      <c r="F2245" s="17">
        <f>+VLOOKUP(A2245,[1]PFE4!$A$7:$G$5208,7,0)</f>
        <v>11001</v>
      </c>
      <c r="G2245">
        <v>17303733</v>
      </c>
      <c r="H2245">
        <v>4329</v>
      </c>
    </row>
    <row r="2246" spans="1:8" ht="15" customHeight="1" x14ac:dyDescent="0.25">
      <c r="A2246" t="s">
        <v>4489</v>
      </c>
      <c r="B2246" t="s">
        <v>8531</v>
      </c>
      <c r="C2246" t="s">
        <v>12006</v>
      </c>
      <c r="D2246" t="s">
        <v>13287</v>
      </c>
      <c r="E2246" t="str">
        <f>+VLOOKUP(A2246,[1]PFE4!$A$7:$F$5208,6,0)</f>
        <v>CARRERA 37  44  60</v>
      </c>
      <c r="F2246" s="17">
        <f>+VLOOKUP(A2246,[1]PFE4!$A$7:$G$5208,7,0)</f>
        <v>68001</v>
      </c>
      <c r="G2246">
        <v>17308248</v>
      </c>
      <c r="H2246">
        <v>4329</v>
      </c>
    </row>
    <row r="2247" spans="1:8" ht="15" customHeight="1" x14ac:dyDescent="0.25">
      <c r="A2247" t="s">
        <v>4490</v>
      </c>
      <c r="B2247" t="s">
        <v>8532</v>
      </c>
      <c r="C2247" t="s">
        <v>12007</v>
      </c>
      <c r="D2247" t="s">
        <v>13287</v>
      </c>
      <c r="E2247" t="str">
        <f>+VLOOKUP(A2247,[1]PFE4!$A$7:$F$5208,6,0)</f>
        <v>CALLE 74  15  80  OFICINA 216</v>
      </c>
      <c r="F2247" s="17">
        <f>+VLOOKUP(A2247,[1]PFE4!$A$7:$G$5208,7,0)</f>
        <v>11001</v>
      </c>
      <c r="G2247">
        <v>17310952</v>
      </c>
      <c r="H2247">
        <v>4329</v>
      </c>
    </row>
    <row r="2248" spans="1:8" ht="15" customHeight="1" x14ac:dyDescent="0.25">
      <c r="A2248" t="s">
        <v>4491</v>
      </c>
      <c r="B2248" t="s">
        <v>8533</v>
      </c>
      <c r="C2248" t="s">
        <v>12008</v>
      </c>
      <c r="D2248" t="s">
        <v>13287</v>
      </c>
      <c r="E2248" t="str">
        <f>+VLOOKUP(A2248,[1]PFE4!$A$7:$F$5208,6,0)</f>
        <v>CARRERA 17 A  64  08 BRR CEIBA</v>
      </c>
      <c r="F2248" s="17">
        <f>+VLOOKUP(A2248,[1]PFE4!$A$7:$G$5208,7,0)</f>
        <v>11001</v>
      </c>
      <c r="G2248">
        <v>17314195</v>
      </c>
      <c r="H2248">
        <v>4329</v>
      </c>
    </row>
    <row r="2249" spans="1:8" ht="15" customHeight="1" x14ac:dyDescent="0.25">
      <c r="A2249" t="s">
        <v>4492</v>
      </c>
      <c r="B2249" t="s">
        <v>8534</v>
      </c>
      <c r="C2249" t="s">
        <v>11565</v>
      </c>
      <c r="D2249" t="s">
        <v>13287</v>
      </c>
      <c r="E2249" t="str">
        <f>+VLOOKUP(A2249,[1]PFE4!$A$7:$F$5208,6,0)</f>
        <v>CARRERA 4  16  03</v>
      </c>
      <c r="F2249" s="17">
        <f>+VLOOKUP(A2249,[1]PFE4!$A$7:$G$5208,7,0)</f>
        <v>11001</v>
      </c>
      <c r="G2249">
        <v>17317014</v>
      </c>
      <c r="H2249">
        <v>4329</v>
      </c>
    </row>
    <row r="2250" spans="1:8" ht="15" customHeight="1" x14ac:dyDescent="0.25">
      <c r="A2250" t="s">
        <v>4493</v>
      </c>
      <c r="B2250" t="s">
        <v>8535</v>
      </c>
      <c r="C2250" t="s">
        <v>12009</v>
      </c>
      <c r="D2250" t="s">
        <v>13287</v>
      </c>
      <c r="E2250" t="str">
        <f>+VLOOKUP(A2250,[1]PFE4!$A$7:$F$5208,6,0)</f>
        <v>CALLE 1 B  2  14</v>
      </c>
      <c r="F2250" s="17">
        <f>+VLOOKUP(A2250,[1]PFE4!$A$7:$G$5208,7,0)</f>
        <v>54001</v>
      </c>
      <c r="G2250">
        <v>17345922</v>
      </c>
      <c r="H2250">
        <v>4329</v>
      </c>
    </row>
    <row r="2251" spans="1:8" ht="15" customHeight="1" x14ac:dyDescent="0.25">
      <c r="A2251" t="s">
        <v>4494</v>
      </c>
      <c r="B2251" t="s">
        <v>8536</v>
      </c>
      <c r="C2251" t="s">
        <v>12010</v>
      </c>
      <c r="D2251" t="s">
        <v>13287</v>
      </c>
      <c r="E2251" t="str">
        <f>+VLOOKUP(A2251,[1]PFE4!$A$7:$F$5208,6,0)</f>
        <v>CR 49 E 98 A 52</v>
      </c>
      <c r="F2251" s="17" t="str">
        <f>+VLOOKUP(A2251,[1]PFE4!$A$7:$G$5208,7,0)</f>
        <v>08001</v>
      </c>
      <c r="G2251">
        <v>17351894</v>
      </c>
      <c r="H2251">
        <v>4329</v>
      </c>
    </row>
    <row r="2252" spans="1:8" ht="15" customHeight="1" x14ac:dyDescent="0.25">
      <c r="A2252" t="s">
        <v>4495</v>
      </c>
      <c r="B2252" t="s">
        <v>8537</v>
      </c>
      <c r="C2252" t="s">
        <v>12011</v>
      </c>
      <c r="D2252" t="s">
        <v>13287</v>
      </c>
      <c r="E2252" t="str">
        <f>+VLOOKUP(A2252,[1]PFE4!$A$7:$F$5208,6,0)</f>
        <v>CARRERA 13 A  89  38  OFICINA 218</v>
      </c>
      <c r="F2252" s="17">
        <f>+VLOOKUP(A2252,[1]PFE4!$A$7:$G$5208,7,0)</f>
        <v>11001</v>
      </c>
      <c r="G2252">
        <v>17364520</v>
      </c>
      <c r="H2252">
        <v>4329</v>
      </c>
    </row>
    <row r="2253" spans="1:8" ht="15" customHeight="1" x14ac:dyDescent="0.25">
      <c r="A2253" t="s">
        <v>4496</v>
      </c>
      <c r="B2253" t="s">
        <v>8538</v>
      </c>
      <c r="C2253" t="s">
        <v>12012</v>
      </c>
      <c r="D2253" t="s">
        <v>13287</v>
      </c>
      <c r="E2253" t="str">
        <f>+VLOOKUP(A2253,[1]PFE4!$A$7:$F$5208,6,0)</f>
        <v>CL 96 A 50 59</v>
      </c>
      <c r="F2253" s="17" t="str">
        <f>+VLOOKUP(A2253,[1]PFE4!$A$7:$G$5208,7,0)</f>
        <v>08001</v>
      </c>
      <c r="G2253">
        <v>17373367</v>
      </c>
      <c r="H2253">
        <v>4329</v>
      </c>
    </row>
    <row r="2254" spans="1:8" ht="15" customHeight="1" x14ac:dyDescent="0.25">
      <c r="A2254" t="s">
        <v>4497</v>
      </c>
      <c r="B2254" t="s">
        <v>8539</v>
      </c>
      <c r="C2254" t="s">
        <v>12013</v>
      </c>
      <c r="D2254" t="s">
        <v>13287</v>
      </c>
      <c r="E2254" t="str">
        <f>+VLOOKUP(A2254,[1]PFE4!$A$7:$F$5208,6,0)</f>
        <v>CARRERA 56  153  15</v>
      </c>
      <c r="F2254" s="17">
        <f>+VLOOKUP(A2254,[1]PFE4!$A$7:$G$5208,7,0)</f>
        <v>11001</v>
      </c>
      <c r="G2254">
        <v>17383690</v>
      </c>
      <c r="H2254">
        <v>4329</v>
      </c>
    </row>
    <row r="2255" spans="1:8" ht="15" customHeight="1" x14ac:dyDescent="0.25">
      <c r="A2255" t="s">
        <v>4498</v>
      </c>
      <c r="B2255" t="s">
        <v>8540</v>
      </c>
      <c r="C2255" t="s">
        <v>12014</v>
      </c>
      <c r="D2255" t="s">
        <v>13287</v>
      </c>
      <c r="E2255" t="str">
        <f>+VLOOKUP(A2255,[1]PFE4!$A$7:$F$5208,6,0)</f>
        <v>AVENIDA CARRERA 72  152 B  89</v>
      </c>
      <c r="F2255" s="17">
        <f>+VLOOKUP(A2255,[1]PFE4!$A$7:$G$5208,7,0)</f>
        <v>11001</v>
      </c>
      <c r="G2255">
        <v>17397164</v>
      </c>
      <c r="H2255">
        <v>4329</v>
      </c>
    </row>
    <row r="2256" spans="1:8" ht="15" customHeight="1" x14ac:dyDescent="0.25">
      <c r="A2256" t="s">
        <v>4499</v>
      </c>
      <c r="B2256" t="s">
        <v>8541</v>
      </c>
      <c r="C2256" t="s">
        <v>12015</v>
      </c>
      <c r="D2256" t="s">
        <v>13287</v>
      </c>
      <c r="E2256" t="str">
        <f>+VLOOKUP(A2256,[1]PFE4!$A$7:$F$5208,6,0)</f>
        <v>CALLE 7  47  32</v>
      </c>
      <c r="F2256" s="17">
        <f>+VLOOKUP(A2256,[1]PFE4!$A$7:$G$5208,7,0)</f>
        <v>41001</v>
      </c>
      <c r="G2256">
        <v>17426726</v>
      </c>
      <c r="H2256">
        <v>4329</v>
      </c>
    </row>
    <row r="2257" spans="1:8" ht="15" customHeight="1" x14ac:dyDescent="0.25">
      <c r="A2257" t="s">
        <v>4500</v>
      </c>
      <c r="B2257" t="s">
        <v>8542</v>
      </c>
      <c r="C2257" t="s">
        <v>11965</v>
      </c>
      <c r="D2257" t="s">
        <v>13287</v>
      </c>
      <c r="E2257" t="str">
        <f>+VLOOKUP(A2257,[1]PFE4!$A$7:$F$5208,6,0)</f>
        <v>CALLE 86  11  51</v>
      </c>
      <c r="F2257" s="17">
        <f>+VLOOKUP(A2257,[1]PFE4!$A$7:$G$5208,7,0)</f>
        <v>11001</v>
      </c>
      <c r="G2257">
        <v>17442258</v>
      </c>
      <c r="H2257">
        <v>4329</v>
      </c>
    </row>
    <row r="2258" spans="1:8" ht="15" customHeight="1" x14ac:dyDescent="0.25">
      <c r="A2258" t="s">
        <v>4501</v>
      </c>
      <c r="B2258" t="s">
        <v>8543</v>
      </c>
      <c r="C2258" t="s">
        <v>12016</v>
      </c>
      <c r="D2258" t="s">
        <v>13287</v>
      </c>
      <c r="E2258" t="str">
        <f>+VLOOKUP(A2258,[1]PFE4!$A$7:$F$5208,6,0)</f>
        <v>CALLE 25 B  20  50</v>
      </c>
      <c r="F2258" s="17" t="str">
        <f>+VLOOKUP(A2258,[1]PFE4!$A$7:$G$5208,7,0)</f>
        <v>05607</v>
      </c>
      <c r="G2258">
        <v>17453110</v>
      </c>
      <c r="H2258">
        <v>4329</v>
      </c>
    </row>
    <row r="2259" spans="1:8" ht="15" customHeight="1" x14ac:dyDescent="0.25">
      <c r="A2259" t="s">
        <v>4502</v>
      </c>
      <c r="B2259" t="s">
        <v>8544</v>
      </c>
      <c r="C2259" t="s">
        <v>12017</v>
      </c>
      <c r="D2259" t="s">
        <v>13287</v>
      </c>
      <c r="E2259" t="str">
        <f>+VLOOKUP(A2259,[1]PFE4!$A$7:$F$5208,6,0)</f>
        <v>CARRERA 6  36  100</v>
      </c>
      <c r="F2259" s="17">
        <f>+VLOOKUP(A2259,[1]PFE4!$A$7:$G$5208,7,0)</f>
        <v>11001</v>
      </c>
      <c r="G2259">
        <v>17459640</v>
      </c>
      <c r="H2259">
        <v>4329</v>
      </c>
    </row>
    <row r="2260" spans="1:8" ht="15" customHeight="1" x14ac:dyDescent="0.25">
      <c r="A2260" t="s">
        <v>4503</v>
      </c>
      <c r="B2260" t="s">
        <v>8545</v>
      </c>
      <c r="C2260" t="s">
        <v>12018</v>
      </c>
      <c r="D2260" t="s">
        <v>13287</v>
      </c>
      <c r="E2260" t="str">
        <f>+VLOOKUP(A2260,[1]PFE4!$A$7:$F$5208,6,0)</f>
        <v>CARRERA 16  96  64</v>
      </c>
      <c r="F2260" s="17">
        <f>+VLOOKUP(A2260,[1]PFE4!$A$7:$G$5208,7,0)</f>
        <v>11001</v>
      </c>
      <c r="G2260">
        <v>17480400</v>
      </c>
      <c r="H2260">
        <v>4329</v>
      </c>
    </row>
    <row r="2261" spans="1:8" ht="15" customHeight="1" x14ac:dyDescent="0.25">
      <c r="A2261" t="s">
        <v>4504</v>
      </c>
      <c r="B2261" t="s">
        <v>8546</v>
      </c>
      <c r="C2261" t="s">
        <v>12019</v>
      </c>
      <c r="D2261" t="s">
        <v>13287</v>
      </c>
      <c r="E2261" t="str">
        <f>+VLOOKUP(A2261,[1]PFE4!$A$7:$F$5208,6,0)</f>
        <v>CALLE 24  40  108</v>
      </c>
      <c r="F2261" s="17">
        <f>+VLOOKUP(A2261,[1]PFE4!$A$7:$G$5208,7,0)</f>
        <v>41001</v>
      </c>
      <c r="G2261">
        <v>17489722</v>
      </c>
      <c r="H2261">
        <v>4329</v>
      </c>
    </row>
    <row r="2262" spans="1:8" ht="15" customHeight="1" x14ac:dyDescent="0.25">
      <c r="A2262" t="s">
        <v>4505</v>
      </c>
      <c r="B2262" t="s">
        <v>8547</v>
      </c>
      <c r="C2262" t="s">
        <v>12020</v>
      </c>
      <c r="D2262" t="s">
        <v>13287</v>
      </c>
      <c r="E2262" t="str">
        <f>+VLOOKUP(A2262,[1]PFE4!$A$7:$F$5208,6,0)</f>
        <v>CALLE 28E No 13A-12</v>
      </c>
      <c r="F2262" s="17">
        <f>+VLOOKUP(A2262,[1]PFE4!$A$7:$G$5208,7,0)</f>
        <v>47001</v>
      </c>
      <c r="G2262">
        <v>17491500</v>
      </c>
      <c r="H2262">
        <v>4329</v>
      </c>
    </row>
    <row r="2263" spans="1:8" ht="15" customHeight="1" x14ac:dyDescent="0.25">
      <c r="A2263" t="s">
        <v>4506</v>
      </c>
      <c r="B2263" t="s">
        <v>8548</v>
      </c>
      <c r="C2263" t="s">
        <v>11428</v>
      </c>
      <c r="D2263" t="s">
        <v>13287</v>
      </c>
      <c r="E2263" t="str">
        <f>+VLOOKUP(A2263,[1]PFE4!$A$7:$F$5208,6,0)</f>
        <v>CALLE 73  7  50  OFICINA 501</v>
      </c>
      <c r="F2263" s="17">
        <f>+VLOOKUP(A2263,[1]PFE4!$A$7:$G$5208,7,0)</f>
        <v>11001</v>
      </c>
      <c r="G2263">
        <v>17498400</v>
      </c>
      <c r="H2263">
        <v>4329</v>
      </c>
    </row>
    <row r="2264" spans="1:8" ht="15" customHeight="1" x14ac:dyDescent="0.25">
      <c r="A2264" t="s">
        <v>4507</v>
      </c>
      <c r="B2264" t="s">
        <v>8549</v>
      </c>
      <c r="C2264" t="s">
        <v>10954</v>
      </c>
      <c r="D2264" t="s">
        <v>13287</v>
      </c>
      <c r="E2264" t="str">
        <f>+VLOOKUP(A2264,[1]PFE4!$A$7:$F$5208,6,0)</f>
        <v>CARRERA 50  90  61</v>
      </c>
      <c r="F2264" s="17" t="str">
        <f>+VLOOKUP(A2264,[1]PFE4!$A$7:$G$5208,7,0)</f>
        <v>08001</v>
      </c>
      <c r="G2264">
        <v>17501634</v>
      </c>
      <c r="H2264">
        <v>4329</v>
      </c>
    </row>
    <row r="2265" spans="1:8" ht="15" customHeight="1" x14ac:dyDescent="0.25">
      <c r="A2265" t="s">
        <v>4508</v>
      </c>
      <c r="B2265" t="s">
        <v>8550</v>
      </c>
      <c r="C2265" t="s">
        <v>10581</v>
      </c>
      <c r="D2265" t="s">
        <v>13287</v>
      </c>
      <c r="E2265" t="str">
        <f>+VLOOKUP(A2265,[1]PFE4!$A$7:$F$5208,6,0)</f>
        <v>CR7 B BIS 123 55</v>
      </c>
      <c r="F2265" s="17">
        <f>+VLOOKUP(A2265,[1]PFE4!$A$7:$G$5208,7,0)</f>
        <v>11001</v>
      </c>
      <c r="G2265">
        <v>17509628</v>
      </c>
      <c r="H2265">
        <v>4329</v>
      </c>
    </row>
    <row r="2266" spans="1:8" ht="15" customHeight="1" x14ac:dyDescent="0.25">
      <c r="A2266" t="s">
        <v>4509</v>
      </c>
      <c r="B2266" t="s">
        <v>8551</v>
      </c>
      <c r="C2266" t="s">
        <v>12021</v>
      </c>
      <c r="D2266" t="s">
        <v>13287</v>
      </c>
      <c r="E2266" t="str">
        <f>+VLOOKUP(A2266,[1]PFE4!$A$7:$F$5208,6,0)</f>
        <v>CALLE 6 OESTE  1 B  13</v>
      </c>
      <c r="F2266" s="17">
        <f>+VLOOKUP(A2266,[1]PFE4!$A$7:$G$5208,7,0)</f>
        <v>76001</v>
      </c>
      <c r="G2266">
        <v>17513908</v>
      </c>
      <c r="H2266">
        <v>4329</v>
      </c>
    </row>
    <row r="2267" spans="1:8" ht="15" customHeight="1" x14ac:dyDescent="0.25">
      <c r="A2267" t="s">
        <v>4510</v>
      </c>
      <c r="B2267" t="s">
        <v>8552</v>
      </c>
      <c r="C2267">
        <v>3219664011</v>
      </c>
      <c r="D2267" t="s">
        <v>13287</v>
      </c>
      <c r="E2267" t="str">
        <f>+VLOOKUP(A2267,[1]PFE4!$A$7:$F$5208,6,0)</f>
        <v>CALLE 39  66 A  70</v>
      </c>
      <c r="F2267" s="17" t="str">
        <f>+VLOOKUP(A2267,[1]PFE4!$A$7:$G$5208,7,0)</f>
        <v>05001</v>
      </c>
      <c r="G2267">
        <v>17519485</v>
      </c>
      <c r="H2267">
        <v>4329</v>
      </c>
    </row>
    <row r="2268" spans="1:8" ht="15" customHeight="1" x14ac:dyDescent="0.25">
      <c r="A2268" t="s">
        <v>4511</v>
      </c>
      <c r="B2268" t="s">
        <v>8553</v>
      </c>
      <c r="C2268" t="s">
        <v>12022</v>
      </c>
      <c r="D2268" t="s">
        <v>13287</v>
      </c>
      <c r="E2268" t="str">
        <f>+VLOOKUP(A2268,[1]PFE4!$A$7:$F$5208,6,0)</f>
        <v>CL 18 SUR 24 31 BRR RESTREPO</v>
      </c>
      <c r="F2268" s="17">
        <f>+VLOOKUP(A2268,[1]PFE4!$A$7:$G$5208,7,0)</f>
        <v>68001</v>
      </c>
      <c r="G2268">
        <v>17526853</v>
      </c>
      <c r="H2268">
        <v>4329</v>
      </c>
    </row>
    <row r="2269" spans="1:8" ht="15" customHeight="1" x14ac:dyDescent="0.25">
      <c r="A2269" t="s">
        <v>4512</v>
      </c>
      <c r="B2269" t="s">
        <v>8554</v>
      </c>
      <c r="C2269">
        <v>0</v>
      </c>
      <c r="D2269" t="s">
        <v>13287</v>
      </c>
      <c r="E2269">
        <v>0</v>
      </c>
      <c r="F2269" s="17">
        <v>11001</v>
      </c>
      <c r="G2269">
        <v>17557600</v>
      </c>
      <c r="H2269">
        <v>4329</v>
      </c>
    </row>
    <row r="2270" spans="1:8" ht="15" customHeight="1" x14ac:dyDescent="0.25">
      <c r="A2270" t="s">
        <v>4513</v>
      </c>
      <c r="B2270" t="s">
        <v>8555</v>
      </c>
      <c r="C2270" t="s">
        <v>11661</v>
      </c>
      <c r="D2270" t="s">
        <v>13287</v>
      </c>
      <c r="E2270" t="str">
        <f>+VLOOKUP(A2270,[1]PFE4!$A$7:$F$5208,6,0)</f>
        <v>CARRERA 55  79  59</v>
      </c>
      <c r="F2270" s="17" t="str">
        <f>+VLOOKUP(A2270,[1]PFE4!$A$7:$G$5208,7,0)</f>
        <v>08001</v>
      </c>
      <c r="G2270">
        <v>17571356</v>
      </c>
      <c r="H2270">
        <v>4329</v>
      </c>
    </row>
    <row r="2271" spans="1:8" ht="15" customHeight="1" x14ac:dyDescent="0.25">
      <c r="A2271" t="s">
        <v>4514</v>
      </c>
      <c r="B2271" t="s">
        <v>8556</v>
      </c>
      <c r="C2271" t="s">
        <v>12023</v>
      </c>
      <c r="D2271" t="s">
        <v>13287</v>
      </c>
      <c r="E2271" t="str">
        <f>+VLOOKUP(A2271,[1]PFE4!$A$7:$F$5208,6,0)</f>
        <v>CALLE 93 A  9  31</v>
      </c>
      <c r="F2271" s="17">
        <f>+VLOOKUP(A2271,[1]PFE4!$A$7:$G$5208,7,0)</f>
        <v>11001</v>
      </c>
      <c r="G2271">
        <v>17587484</v>
      </c>
      <c r="H2271">
        <v>4329</v>
      </c>
    </row>
    <row r="2272" spans="1:8" ht="15" customHeight="1" x14ac:dyDescent="0.25">
      <c r="A2272" t="s">
        <v>4515</v>
      </c>
      <c r="B2272" t="s">
        <v>8557</v>
      </c>
      <c r="C2272" t="s">
        <v>12024</v>
      </c>
      <c r="D2272" t="s">
        <v>13287</v>
      </c>
      <c r="E2272" t="str">
        <f>+VLOOKUP(A2272,[1]PFE4!$A$7:$F$5208,6,0)</f>
        <v>CARRERA 7C No. 13</v>
      </c>
      <c r="F2272" s="17">
        <f>+VLOOKUP(A2272,[1]PFE4!$A$7:$G$5208,7,0)</f>
        <v>11001</v>
      </c>
      <c r="G2272">
        <v>17587500</v>
      </c>
      <c r="H2272">
        <v>4329</v>
      </c>
    </row>
    <row r="2273" spans="1:8" ht="15" customHeight="1" x14ac:dyDescent="0.25">
      <c r="A2273" t="s">
        <v>4516</v>
      </c>
      <c r="B2273" t="s">
        <v>8558</v>
      </c>
      <c r="C2273" t="s">
        <v>12025</v>
      </c>
      <c r="D2273" t="s">
        <v>13287</v>
      </c>
      <c r="E2273" t="str">
        <f>+VLOOKUP(A2273,[1]PFE4!$A$7:$F$5208,6,0)</f>
        <v>CALLE 94  13  49</v>
      </c>
      <c r="F2273" s="17">
        <f>+VLOOKUP(A2273,[1]PFE4!$A$7:$G$5208,7,0)</f>
        <v>11001</v>
      </c>
      <c r="G2273">
        <v>17593736</v>
      </c>
      <c r="H2273">
        <v>4329</v>
      </c>
    </row>
    <row r="2274" spans="1:8" ht="15" customHeight="1" x14ac:dyDescent="0.25">
      <c r="A2274" t="s">
        <v>4517</v>
      </c>
      <c r="B2274" t="s">
        <v>8559</v>
      </c>
      <c r="C2274" t="s">
        <v>11542</v>
      </c>
      <c r="D2274" t="s">
        <v>13287</v>
      </c>
      <c r="E2274" t="str">
        <f>+VLOOKUP(A2274,[1]PFE4!$A$7:$F$5208,6,0)</f>
        <v>TRANSVERSAL 1 A  54 A  78</v>
      </c>
      <c r="F2274" s="17">
        <f>+VLOOKUP(A2274,[1]PFE4!$A$7:$G$5208,7,0)</f>
        <v>11001</v>
      </c>
      <c r="G2274">
        <v>17612404</v>
      </c>
      <c r="H2274">
        <v>4329</v>
      </c>
    </row>
    <row r="2275" spans="1:8" ht="15" customHeight="1" x14ac:dyDescent="0.25">
      <c r="A2275" t="s">
        <v>4518</v>
      </c>
      <c r="B2275" t="s">
        <v>8560</v>
      </c>
      <c r="C2275" t="s">
        <v>12026</v>
      </c>
      <c r="D2275" t="s">
        <v>13287</v>
      </c>
      <c r="E2275" t="str">
        <f>+VLOOKUP(A2275,[1]PFE4!$A$7:$F$5208,6,0)</f>
        <v>CARRERA 38  10  60 OFICINA 314</v>
      </c>
      <c r="F2275" s="17">
        <f>+VLOOKUP(A2275,[1]PFE4!$A$7:$G$5208,7,0)</f>
        <v>11001</v>
      </c>
      <c r="G2275">
        <v>17613811</v>
      </c>
      <c r="H2275">
        <v>4329</v>
      </c>
    </row>
    <row r="2276" spans="1:8" ht="15" customHeight="1" x14ac:dyDescent="0.25">
      <c r="A2276" t="s">
        <v>4519</v>
      </c>
      <c r="B2276" t="s">
        <v>8561</v>
      </c>
      <c r="C2276">
        <v>0</v>
      </c>
      <c r="D2276" t="s">
        <v>13287</v>
      </c>
      <c r="E2276">
        <v>0</v>
      </c>
      <c r="F2276" s="17">
        <v>11001</v>
      </c>
      <c r="G2276">
        <v>17614000</v>
      </c>
      <c r="H2276">
        <v>4329</v>
      </c>
    </row>
    <row r="2277" spans="1:8" ht="15" customHeight="1" x14ac:dyDescent="0.25">
      <c r="A2277" t="s">
        <v>4520</v>
      </c>
      <c r="B2277" t="s">
        <v>8562</v>
      </c>
      <c r="C2277" t="s">
        <v>12027</v>
      </c>
      <c r="D2277" t="s">
        <v>13287</v>
      </c>
      <c r="E2277" t="str">
        <f>+VLOOKUP(A2277,[1]PFE4!$A$7:$F$5208,6,0)</f>
        <v>CALLE 41  1 C  48</v>
      </c>
      <c r="F2277" s="17">
        <f>+VLOOKUP(A2277,[1]PFE4!$A$7:$G$5208,7,0)</f>
        <v>15001</v>
      </c>
      <c r="G2277">
        <v>17625778</v>
      </c>
      <c r="H2277">
        <v>4329</v>
      </c>
    </row>
    <row r="2278" spans="1:8" ht="15" customHeight="1" x14ac:dyDescent="0.25">
      <c r="A2278" t="s">
        <v>4521</v>
      </c>
      <c r="B2278" t="s">
        <v>8563</v>
      </c>
      <c r="C2278" t="s">
        <v>12028</v>
      </c>
      <c r="D2278" t="s">
        <v>13287</v>
      </c>
      <c r="E2278" t="str">
        <f>+VLOOKUP(A2278,[1]PFE4!$A$7:$F$5208,6,0)</f>
        <v>CALLE 48  94  80</v>
      </c>
      <c r="F2278" s="17">
        <f>+VLOOKUP(A2278,[1]PFE4!$A$7:$G$5208,7,0)</f>
        <v>11001</v>
      </c>
      <c r="G2278">
        <v>17627301</v>
      </c>
      <c r="H2278">
        <v>4329</v>
      </c>
    </row>
    <row r="2279" spans="1:8" ht="15" customHeight="1" x14ac:dyDescent="0.25">
      <c r="A2279" t="s">
        <v>4522</v>
      </c>
      <c r="B2279" t="s">
        <v>8564</v>
      </c>
      <c r="C2279" t="s">
        <v>12029</v>
      </c>
      <c r="D2279" t="s">
        <v>13287</v>
      </c>
      <c r="E2279" t="str">
        <f>+VLOOKUP(A2279,[1]PFE4!$A$7:$F$5208,6,0)</f>
        <v>CARRERA 53  82  148</v>
      </c>
      <c r="F2279" s="17" t="str">
        <f>+VLOOKUP(A2279,[1]PFE4!$A$7:$G$5208,7,0)</f>
        <v>08001</v>
      </c>
      <c r="G2279">
        <v>17629726</v>
      </c>
      <c r="H2279">
        <v>4329</v>
      </c>
    </row>
    <row r="2280" spans="1:8" ht="15" customHeight="1" x14ac:dyDescent="0.25">
      <c r="A2280" t="s">
        <v>4523</v>
      </c>
      <c r="B2280" t="s">
        <v>8565</v>
      </c>
      <c r="C2280" t="s">
        <v>11425</v>
      </c>
      <c r="D2280" t="s">
        <v>13287</v>
      </c>
      <c r="E2280" t="str">
        <f>+VLOOKUP(A2280,[1]PFE4!$A$7:$F$5208,6,0)</f>
        <v>CALLE 125  11 B  31</v>
      </c>
      <c r="F2280" s="17">
        <f>+VLOOKUP(A2280,[1]PFE4!$A$7:$G$5208,7,0)</f>
        <v>11001</v>
      </c>
      <c r="G2280">
        <v>17691836</v>
      </c>
      <c r="H2280">
        <v>4329</v>
      </c>
    </row>
    <row r="2281" spans="1:8" ht="15" customHeight="1" x14ac:dyDescent="0.25">
      <c r="A2281" t="s">
        <v>4524</v>
      </c>
      <c r="B2281" t="s">
        <v>8566</v>
      </c>
      <c r="C2281" t="s">
        <v>11301</v>
      </c>
      <c r="D2281" t="s">
        <v>13287</v>
      </c>
      <c r="E2281" t="str">
        <f>+VLOOKUP(A2281,[1]PFE4!$A$7:$F$5208,6,0)</f>
        <v>CARRERA 58  14 SUR  40</v>
      </c>
      <c r="F2281" s="17" t="str">
        <f>+VLOOKUP(A2281,[1]PFE4!$A$7:$G$5208,7,0)</f>
        <v>05360</v>
      </c>
      <c r="G2281">
        <v>17698524</v>
      </c>
      <c r="H2281">
        <v>4329</v>
      </c>
    </row>
    <row r="2282" spans="1:8" ht="15" customHeight="1" x14ac:dyDescent="0.25">
      <c r="A2282" t="s">
        <v>4525</v>
      </c>
      <c r="B2282" t="s">
        <v>8567</v>
      </c>
      <c r="C2282" t="s">
        <v>12030</v>
      </c>
      <c r="D2282" t="s">
        <v>13287</v>
      </c>
      <c r="E2282" t="str">
        <f>+VLOOKUP(A2282,[1]PFE4!$A$7:$F$5208,6,0)</f>
        <v>CALLE 39 B  19  15</v>
      </c>
      <c r="F2282" s="17">
        <f>+VLOOKUP(A2282,[1]PFE4!$A$7:$G$5208,7,0)</f>
        <v>11001</v>
      </c>
      <c r="G2282">
        <v>17699653</v>
      </c>
      <c r="H2282">
        <v>4329</v>
      </c>
    </row>
    <row r="2283" spans="1:8" ht="15" customHeight="1" x14ac:dyDescent="0.25">
      <c r="A2283" t="s">
        <v>4526</v>
      </c>
      <c r="B2283" t="s">
        <v>8568</v>
      </c>
      <c r="C2283" t="s">
        <v>12031</v>
      </c>
      <c r="D2283" t="s">
        <v>13287</v>
      </c>
      <c r="E2283" t="str">
        <f>+VLOOKUP(A2283,[1]PFE4!$A$7:$F$5208,6,0)</f>
        <v>AV 4 B No 52 NORTE -53</v>
      </c>
      <c r="F2283" s="17">
        <f>+VLOOKUP(A2283,[1]PFE4!$A$7:$G$5208,7,0)</f>
        <v>76001</v>
      </c>
      <c r="G2283">
        <v>17734760</v>
      </c>
      <c r="H2283">
        <v>4329</v>
      </c>
    </row>
    <row r="2284" spans="1:8" ht="15" customHeight="1" x14ac:dyDescent="0.25">
      <c r="A2284" t="s">
        <v>4527</v>
      </c>
      <c r="B2284" t="s">
        <v>8569</v>
      </c>
      <c r="C2284" t="s">
        <v>12032</v>
      </c>
      <c r="D2284" t="s">
        <v>13287</v>
      </c>
      <c r="E2284" t="str">
        <f>+VLOOKUP(A2284,[1]PFE4!$A$7:$F$5208,6,0)</f>
        <v>VIA 40 69 111</v>
      </c>
      <c r="F2284" s="17" t="str">
        <f>+VLOOKUP(A2284,[1]PFE4!$A$7:$G$5208,7,0)</f>
        <v>08001</v>
      </c>
      <c r="G2284">
        <v>17738912</v>
      </c>
      <c r="H2284">
        <v>4329</v>
      </c>
    </row>
    <row r="2285" spans="1:8" ht="15" customHeight="1" x14ac:dyDescent="0.25">
      <c r="A2285" t="s">
        <v>4528</v>
      </c>
      <c r="B2285" t="s">
        <v>8570</v>
      </c>
      <c r="C2285" t="s">
        <v>11257</v>
      </c>
      <c r="D2285" t="s">
        <v>13287</v>
      </c>
      <c r="E2285" t="str">
        <f>+VLOOKUP(A2285,[1]PFE4!$A$7:$F$5208,6,0)</f>
        <v>CARRERA 15 B  112  49</v>
      </c>
      <c r="F2285" s="17">
        <f>+VLOOKUP(A2285,[1]PFE4!$A$7:$G$5208,7,0)</f>
        <v>11001</v>
      </c>
      <c r="G2285">
        <v>17744477</v>
      </c>
      <c r="H2285">
        <v>4329</v>
      </c>
    </row>
    <row r="2286" spans="1:8" ht="15" customHeight="1" x14ac:dyDescent="0.25">
      <c r="A2286" t="s">
        <v>4529</v>
      </c>
      <c r="B2286" t="s">
        <v>8571</v>
      </c>
      <c r="C2286" t="s">
        <v>12033</v>
      </c>
      <c r="D2286" t="s">
        <v>13287</v>
      </c>
      <c r="E2286" t="str">
        <f>+VLOOKUP(A2286,[1]PFE4!$A$7:$F$5208,6,0)</f>
        <v>CL 53 35 14 32 36</v>
      </c>
      <c r="F2286" s="17">
        <f>+VLOOKUP(A2286,[1]PFE4!$A$7:$G$5208,7,0)</f>
        <v>68001</v>
      </c>
      <c r="G2286">
        <v>17779325</v>
      </c>
      <c r="H2286">
        <v>4329</v>
      </c>
    </row>
    <row r="2287" spans="1:8" ht="15" customHeight="1" x14ac:dyDescent="0.25">
      <c r="A2287" t="s">
        <v>4530</v>
      </c>
      <c r="B2287" t="s">
        <v>8572</v>
      </c>
      <c r="C2287" t="s">
        <v>12034</v>
      </c>
      <c r="D2287" t="s">
        <v>13287</v>
      </c>
      <c r="E2287" t="str">
        <f>+VLOOKUP(A2287,[1]PFE4!$A$7:$F$5208,6,0)</f>
        <v>CR 24 16 4</v>
      </c>
      <c r="F2287" s="17">
        <f>+VLOOKUP(A2287,[1]PFE4!$A$7:$G$5208,7,0)</f>
        <v>11001</v>
      </c>
      <c r="G2287">
        <v>17784732</v>
      </c>
      <c r="H2287">
        <v>4329</v>
      </c>
    </row>
    <row r="2288" spans="1:8" ht="15" customHeight="1" x14ac:dyDescent="0.25">
      <c r="A2288" t="s">
        <v>4531</v>
      </c>
      <c r="B2288" t="s">
        <v>8573</v>
      </c>
      <c r="C2288" t="s">
        <v>12035</v>
      </c>
      <c r="D2288" t="s">
        <v>13287</v>
      </c>
      <c r="E2288" t="str">
        <f>+VLOOKUP(A2288,[1]PFE4!$A$7:$F$5208,6,0)</f>
        <v>CARRERA 68 D  11  71</v>
      </c>
      <c r="F2288" s="17">
        <f>+VLOOKUP(A2288,[1]PFE4!$A$7:$G$5208,7,0)</f>
        <v>11001</v>
      </c>
      <c r="G2288">
        <v>17824001</v>
      </c>
      <c r="H2288">
        <v>4329</v>
      </c>
    </row>
    <row r="2289" spans="1:8" ht="15" customHeight="1" x14ac:dyDescent="0.25">
      <c r="A2289" t="s">
        <v>4532</v>
      </c>
      <c r="B2289" t="s">
        <v>8574</v>
      </c>
      <c r="C2289" t="s">
        <v>12036</v>
      </c>
      <c r="D2289" t="s">
        <v>13287</v>
      </c>
      <c r="E2289" t="str">
        <f>+VLOOKUP(A2289,[1]PFE4!$A$7:$F$5208,6,0)</f>
        <v>CARRERA 43 A  18 SUR  135  PISO 4</v>
      </c>
      <c r="F2289" s="17">
        <f>+VLOOKUP(A2289,[1]PFE4!$A$7:$G$5208,7,0)</f>
        <v>11001</v>
      </c>
      <c r="G2289">
        <v>17825576</v>
      </c>
      <c r="H2289">
        <v>4329</v>
      </c>
    </row>
    <row r="2290" spans="1:8" ht="15" customHeight="1" x14ac:dyDescent="0.25">
      <c r="A2290" t="s">
        <v>4533</v>
      </c>
      <c r="B2290" t="s">
        <v>8575</v>
      </c>
      <c r="C2290" t="s">
        <v>12037</v>
      </c>
      <c r="D2290" t="s">
        <v>13287</v>
      </c>
      <c r="E2290" t="str">
        <f>+VLOOKUP(A2290,[1]PFE4!$A$7:$F$5208,6,0)</f>
        <v>CARRERA 27  61  23</v>
      </c>
      <c r="F2290" s="17">
        <f>+VLOOKUP(A2290,[1]PFE4!$A$7:$G$5208,7,0)</f>
        <v>11001</v>
      </c>
      <c r="G2290">
        <v>17829152</v>
      </c>
      <c r="H2290">
        <v>4329</v>
      </c>
    </row>
    <row r="2291" spans="1:8" ht="15" customHeight="1" x14ac:dyDescent="0.25">
      <c r="A2291" t="s">
        <v>4534</v>
      </c>
      <c r="B2291" t="s">
        <v>8576</v>
      </c>
      <c r="C2291" t="s">
        <v>12038</v>
      </c>
      <c r="D2291" t="s">
        <v>13287</v>
      </c>
      <c r="E2291" t="str">
        <f>+VLOOKUP(A2291,[1]PFE4!$A$7:$F$5208,6,0)</f>
        <v>CARRERA 6  16  35</v>
      </c>
      <c r="F2291" s="17">
        <f>+VLOOKUP(A2291,[1]PFE4!$A$7:$G$5208,7,0)</f>
        <v>41001</v>
      </c>
      <c r="G2291">
        <v>17830237</v>
      </c>
      <c r="H2291">
        <v>4329</v>
      </c>
    </row>
    <row r="2292" spans="1:8" ht="15" customHeight="1" x14ac:dyDescent="0.25">
      <c r="A2292" t="s">
        <v>4535</v>
      </c>
      <c r="B2292" t="s">
        <v>8347</v>
      </c>
      <c r="C2292" t="s">
        <v>12039</v>
      </c>
      <c r="D2292" t="s">
        <v>13287</v>
      </c>
      <c r="E2292" t="str">
        <f>+VLOOKUP(A2292,[1]PFE4!$A$7:$F$5208,6,0)</f>
        <v>CR 56 167 A 03</v>
      </c>
      <c r="F2292" s="17">
        <f>+VLOOKUP(A2292,[1]PFE4!$A$7:$G$5208,7,0)</f>
        <v>11001</v>
      </c>
      <c r="G2292">
        <v>17832608</v>
      </c>
      <c r="H2292">
        <v>4329</v>
      </c>
    </row>
    <row r="2293" spans="1:8" ht="15" customHeight="1" x14ac:dyDescent="0.25">
      <c r="A2293" t="s">
        <v>4536</v>
      </c>
      <c r="B2293" t="s">
        <v>8577</v>
      </c>
      <c r="C2293" t="s">
        <v>12040</v>
      </c>
      <c r="D2293" t="s">
        <v>13287</v>
      </c>
      <c r="E2293" t="str">
        <f>+VLOOKUP(A2293,[1]PFE4!$A$7:$F$5208,6,0)</f>
        <v>CR 62 84 SUR 50</v>
      </c>
      <c r="F2293" s="17" t="str">
        <f>+VLOOKUP(A2293,[1]PFE4!$A$7:$G$5208,7,0)</f>
        <v>05380</v>
      </c>
      <c r="G2293">
        <v>17833900</v>
      </c>
      <c r="H2293">
        <v>4329</v>
      </c>
    </row>
    <row r="2294" spans="1:8" ht="15" customHeight="1" x14ac:dyDescent="0.25">
      <c r="A2294" t="s">
        <v>4537</v>
      </c>
      <c r="B2294" t="s">
        <v>8578</v>
      </c>
      <c r="C2294" t="s">
        <v>12041</v>
      </c>
      <c r="D2294" t="s">
        <v>13287</v>
      </c>
      <c r="E2294" t="str">
        <f>+VLOOKUP(A2294,[1]PFE4!$A$7:$F$5208,6,0)</f>
        <v>CALLE 75 SUR  33  03</v>
      </c>
      <c r="F2294" s="17" t="str">
        <f>+VLOOKUP(A2294,[1]PFE4!$A$7:$G$5208,7,0)</f>
        <v>05631</v>
      </c>
      <c r="G2294">
        <v>17839201</v>
      </c>
      <c r="H2294">
        <v>4329</v>
      </c>
    </row>
    <row r="2295" spans="1:8" ht="15" customHeight="1" x14ac:dyDescent="0.25">
      <c r="A2295" t="s">
        <v>4538</v>
      </c>
      <c r="B2295" t="s">
        <v>8579</v>
      </c>
      <c r="C2295" t="s">
        <v>12042</v>
      </c>
      <c r="D2295" t="s">
        <v>13287</v>
      </c>
      <c r="E2295" t="str">
        <f>+VLOOKUP(A2295,[1]PFE4!$A$7:$F$5208,6,0)</f>
        <v>CALLE 67 SUR 45-52</v>
      </c>
      <c r="F2295" s="17" t="str">
        <f>+VLOOKUP(A2295,[1]PFE4!$A$7:$G$5208,7,0)</f>
        <v>05631</v>
      </c>
      <c r="G2295">
        <v>17520500</v>
      </c>
      <c r="H2295">
        <v>4329</v>
      </c>
    </row>
    <row r="2296" spans="1:8" ht="15" customHeight="1" x14ac:dyDescent="0.25">
      <c r="A2296" t="s">
        <v>4539</v>
      </c>
      <c r="B2296" t="s">
        <v>8580</v>
      </c>
      <c r="C2296" t="s">
        <v>12043</v>
      </c>
      <c r="D2296" t="s">
        <v>13287</v>
      </c>
      <c r="E2296" t="str">
        <f>+VLOOKUP(A2296,[1]PFE4!$A$7:$F$5208,6,0)</f>
        <v>CR 66 75 55</v>
      </c>
      <c r="F2296" s="17" t="str">
        <f>+VLOOKUP(A2296,[1]PFE4!$A$7:$G$5208,7,0)</f>
        <v>08001</v>
      </c>
      <c r="G2296">
        <v>17894118</v>
      </c>
      <c r="H2296">
        <v>4329</v>
      </c>
    </row>
    <row r="2297" spans="1:8" ht="15" customHeight="1" x14ac:dyDescent="0.25">
      <c r="A2297" t="s">
        <v>4540</v>
      </c>
      <c r="B2297" t="s">
        <v>8581</v>
      </c>
      <c r="C2297" t="s">
        <v>10882</v>
      </c>
      <c r="D2297" t="s">
        <v>13287</v>
      </c>
      <c r="E2297" t="str">
        <f>+VLOOKUP(A2297,[1]PFE4!$A$7:$F$5208,6,0)</f>
        <v>CALLE 76B 42F-24</v>
      </c>
      <c r="F2297" s="17" t="str">
        <f>+VLOOKUP(A2297,[1]PFE4!$A$7:$G$5208,7,0)</f>
        <v>08001</v>
      </c>
      <c r="G2297">
        <v>17901636</v>
      </c>
      <c r="H2297">
        <v>4329</v>
      </c>
    </row>
    <row r="2298" spans="1:8" ht="15" customHeight="1" x14ac:dyDescent="0.25">
      <c r="A2298" t="s">
        <v>4541</v>
      </c>
      <c r="B2298" t="s">
        <v>8582</v>
      </c>
      <c r="C2298" t="s">
        <v>12044</v>
      </c>
      <c r="D2298" t="s">
        <v>13287</v>
      </c>
      <c r="E2298" t="str">
        <f>+VLOOKUP(A2298,[1]PFE4!$A$7:$F$5208,6,0)</f>
        <v>CARRERA 27 A SUR  2  10</v>
      </c>
      <c r="F2298" s="17" t="str">
        <f>+VLOOKUP(A2298,[1]PFE4!$A$7:$G$5208,7,0)</f>
        <v>05266</v>
      </c>
      <c r="G2298">
        <v>17921672</v>
      </c>
      <c r="H2298">
        <v>4329</v>
      </c>
    </row>
    <row r="2299" spans="1:8" ht="15" customHeight="1" x14ac:dyDescent="0.25">
      <c r="A2299" t="s">
        <v>4542</v>
      </c>
      <c r="B2299" t="s">
        <v>8583</v>
      </c>
      <c r="C2299" t="s">
        <v>11461</v>
      </c>
      <c r="D2299" t="s">
        <v>13287</v>
      </c>
      <c r="E2299" t="str">
        <f>+VLOOKUP(A2299,[1]PFE4!$A$7:$F$5208,6,0)</f>
        <v>CARRERA 7  79  07</v>
      </c>
      <c r="F2299" s="17">
        <f>+VLOOKUP(A2299,[1]PFE4!$A$7:$G$5208,7,0)</f>
        <v>11001</v>
      </c>
      <c r="G2299">
        <v>17927190</v>
      </c>
      <c r="H2299">
        <v>4329</v>
      </c>
    </row>
    <row r="2300" spans="1:8" ht="15" customHeight="1" x14ac:dyDescent="0.25">
      <c r="A2300" t="s">
        <v>4543</v>
      </c>
      <c r="B2300" t="s">
        <v>8584</v>
      </c>
      <c r="C2300" t="s">
        <v>12045</v>
      </c>
      <c r="D2300" t="s">
        <v>13287</v>
      </c>
      <c r="E2300" t="str">
        <f>+VLOOKUP(A2300,[1]PFE4!$A$7:$F$5208,6,0)</f>
        <v>CALLE 106 N°49E-21</v>
      </c>
      <c r="F2300" s="17" t="str">
        <f>+VLOOKUP(A2300,[1]PFE4!$A$7:$G$5208,7,0)</f>
        <v>08001</v>
      </c>
      <c r="G2300">
        <v>17940996</v>
      </c>
      <c r="H2300">
        <v>4329</v>
      </c>
    </row>
    <row r="2301" spans="1:8" ht="15" customHeight="1" x14ac:dyDescent="0.25">
      <c r="A2301" t="s">
        <v>4544</v>
      </c>
      <c r="B2301" t="s">
        <v>8585</v>
      </c>
      <c r="C2301" t="s">
        <v>12046</v>
      </c>
      <c r="D2301" t="s">
        <v>13287</v>
      </c>
      <c r="E2301" t="str">
        <f>+VLOOKUP(A2301,[1]PFE4!$A$7:$F$5208,6,0)</f>
        <v>CALLE 13 BIS OESTE  51  51</v>
      </c>
      <c r="F2301" s="17">
        <f>+VLOOKUP(A2301,[1]PFE4!$A$7:$G$5208,7,0)</f>
        <v>76001</v>
      </c>
      <c r="G2301">
        <v>17941634</v>
      </c>
      <c r="H2301">
        <v>4329</v>
      </c>
    </row>
    <row r="2302" spans="1:8" ht="15" customHeight="1" x14ac:dyDescent="0.25">
      <c r="A2302" t="s">
        <v>4545</v>
      </c>
      <c r="B2302" t="s">
        <v>8586</v>
      </c>
      <c r="C2302" t="s">
        <v>12047</v>
      </c>
      <c r="D2302" t="s">
        <v>13287</v>
      </c>
      <c r="E2302" t="str">
        <f>+VLOOKUP(A2302,[1]PFE4!$A$7:$F$5208,6,0)</f>
        <v>CR 11 1 153 SUR</v>
      </c>
      <c r="F2302" s="17">
        <f>+VLOOKUP(A2302,[1]PFE4!$A$7:$G$5208,7,0)</f>
        <v>15759</v>
      </c>
      <c r="G2302">
        <v>17975400</v>
      </c>
      <c r="H2302">
        <v>4329</v>
      </c>
    </row>
    <row r="2303" spans="1:8" ht="15" customHeight="1" x14ac:dyDescent="0.25">
      <c r="A2303" t="s">
        <v>4546</v>
      </c>
      <c r="B2303" t="s">
        <v>8587</v>
      </c>
      <c r="C2303" t="s">
        <v>12048</v>
      </c>
      <c r="D2303" t="s">
        <v>13287</v>
      </c>
      <c r="E2303" t="str">
        <f>+VLOOKUP(A2303,[1]PFE4!$A$7:$F$5208,6,0)</f>
        <v>CALLE 35 21-34</v>
      </c>
      <c r="F2303" s="17">
        <f>+VLOOKUP(A2303,[1]PFE4!$A$7:$G$5208,7,0)</f>
        <v>68001</v>
      </c>
      <c r="G2303">
        <v>17979215</v>
      </c>
      <c r="H2303">
        <v>4329</v>
      </c>
    </row>
    <row r="2304" spans="1:8" ht="15" customHeight="1" x14ac:dyDescent="0.25">
      <c r="A2304" t="s">
        <v>4547</v>
      </c>
      <c r="B2304" t="s">
        <v>8588</v>
      </c>
      <c r="C2304" t="s">
        <v>12049</v>
      </c>
      <c r="D2304" t="s">
        <v>13287</v>
      </c>
      <c r="E2304" t="str">
        <f>+VLOOKUP(A2304,[1]PFE4!$A$7:$F$5208,6,0)</f>
        <v>CARRERA 3  76  80</v>
      </c>
      <c r="F2304" s="17">
        <f>+VLOOKUP(A2304,[1]PFE4!$A$7:$G$5208,7,0)</f>
        <v>11001</v>
      </c>
      <c r="G2304">
        <v>17993440</v>
      </c>
      <c r="H2304">
        <v>4329</v>
      </c>
    </row>
    <row r="2305" spans="1:8" ht="15" customHeight="1" x14ac:dyDescent="0.25">
      <c r="A2305" t="s">
        <v>4548</v>
      </c>
      <c r="B2305" t="s">
        <v>8589</v>
      </c>
      <c r="C2305" t="s">
        <v>12050</v>
      </c>
      <c r="D2305" t="s">
        <v>13287</v>
      </c>
      <c r="E2305" t="str">
        <f>+VLOOKUP(A2305,[1]PFE4!$A$7:$F$5208,6,0)</f>
        <v>CALLE 32  18  25 PISO 2</v>
      </c>
      <c r="F2305" s="17" t="str">
        <f>+VLOOKUP(A2305,[1]PFE4!$A$7:$G$5208,7,0)</f>
        <v>05001</v>
      </c>
      <c r="G2305">
        <v>17993712</v>
      </c>
      <c r="H2305">
        <v>4329</v>
      </c>
    </row>
    <row r="2306" spans="1:8" ht="15" customHeight="1" x14ac:dyDescent="0.25">
      <c r="A2306" t="s">
        <v>4549</v>
      </c>
      <c r="B2306" t="s">
        <v>8590</v>
      </c>
      <c r="C2306" t="s">
        <v>12051</v>
      </c>
      <c r="D2306" t="s">
        <v>13287</v>
      </c>
      <c r="E2306" t="str">
        <f>+VLOOKUP(A2306,[1]PFE4!$A$7:$F$5208,6,0)</f>
        <v>CALLE 49  39  16</v>
      </c>
      <c r="F2306" s="17" t="str">
        <f>+VLOOKUP(A2306,[1]PFE4!$A$7:$G$5208,7,0)</f>
        <v>05001</v>
      </c>
      <c r="G2306">
        <v>17996782</v>
      </c>
      <c r="H2306">
        <v>4329</v>
      </c>
    </row>
    <row r="2307" spans="1:8" ht="15" customHeight="1" x14ac:dyDescent="0.25">
      <c r="A2307" t="s">
        <v>4550</v>
      </c>
      <c r="B2307" t="s">
        <v>8591</v>
      </c>
      <c r="C2307" t="s">
        <v>12052</v>
      </c>
      <c r="D2307" t="s">
        <v>13287</v>
      </c>
      <c r="E2307" t="str">
        <f>+VLOOKUP(A2307,[1]PFE4!$A$7:$F$5208,6,0)</f>
        <v>CALLE 87 SUR 55 651</v>
      </c>
      <c r="F2307" s="17" t="str">
        <f>+VLOOKUP(A2307,[1]PFE4!$A$7:$G$5208,7,0)</f>
        <v>05380</v>
      </c>
      <c r="G2307">
        <v>17998442</v>
      </c>
      <c r="H2307">
        <v>4329</v>
      </c>
    </row>
    <row r="2308" spans="1:8" ht="15" customHeight="1" x14ac:dyDescent="0.25">
      <c r="A2308" t="s">
        <v>4551</v>
      </c>
      <c r="B2308" t="s">
        <v>8592</v>
      </c>
      <c r="C2308" t="s">
        <v>11937</v>
      </c>
      <c r="D2308" t="s">
        <v>13287</v>
      </c>
      <c r="E2308" t="str">
        <f>+VLOOKUP(A2308,[1]PFE4!$A$7:$F$5208,6,0)</f>
        <v>CR 14 200 293</v>
      </c>
      <c r="F2308" s="17">
        <f>+VLOOKUP(A2308,[1]PFE4!$A$7:$G$5208,7,0)</f>
        <v>68276</v>
      </c>
      <c r="G2308">
        <v>18001940</v>
      </c>
      <c r="H2308">
        <v>4329</v>
      </c>
    </row>
    <row r="2309" spans="1:8" ht="15" customHeight="1" x14ac:dyDescent="0.25">
      <c r="A2309" t="s">
        <v>4552</v>
      </c>
      <c r="B2309" t="s">
        <v>8593</v>
      </c>
      <c r="C2309" t="s">
        <v>12053</v>
      </c>
      <c r="D2309" t="s">
        <v>13287</v>
      </c>
      <c r="E2309" t="str">
        <f>+VLOOKUP(A2309,[1]PFE4!$A$7:$F$5208,6,0)</f>
        <v>CALLE 127 B  14 A  61</v>
      </c>
      <c r="F2309" s="17">
        <f>+VLOOKUP(A2309,[1]PFE4!$A$7:$G$5208,7,0)</f>
        <v>11001</v>
      </c>
      <c r="G2309">
        <v>18010505</v>
      </c>
      <c r="H2309">
        <v>4329</v>
      </c>
    </row>
    <row r="2310" spans="1:8" ht="15" customHeight="1" x14ac:dyDescent="0.25">
      <c r="A2310" t="s">
        <v>4553</v>
      </c>
      <c r="B2310" t="s">
        <v>8594</v>
      </c>
      <c r="C2310" t="s">
        <v>12054</v>
      </c>
      <c r="D2310" t="s">
        <v>13287</v>
      </c>
      <c r="E2310" t="str">
        <f>+VLOOKUP(A2310,[1]PFE4!$A$7:$F$5208,6,0)</f>
        <v>CALLE 43  13  55</v>
      </c>
      <c r="F2310" s="17">
        <f>+VLOOKUP(A2310,[1]PFE4!$A$7:$G$5208,7,0)</f>
        <v>11001</v>
      </c>
      <c r="G2310">
        <v>18010850</v>
      </c>
      <c r="H2310">
        <v>4329</v>
      </c>
    </row>
    <row r="2311" spans="1:8" ht="15" customHeight="1" x14ac:dyDescent="0.25">
      <c r="A2311" t="s">
        <v>4554</v>
      </c>
      <c r="B2311" t="s">
        <v>8595</v>
      </c>
      <c r="C2311" t="s">
        <v>12055</v>
      </c>
      <c r="D2311" t="s">
        <v>13287</v>
      </c>
      <c r="E2311" t="str">
        <f>+VLOOKUP(A2311,[1]PFE4!$A$7:$F$5208,6,0)</f>
        <v>CL 52 A 50 46 P 11</v>
      </c>
      <c r="F2311" s="17" t="str">
        <f>+VLOOKUP(A2311,[1]PFE4!$A$7:$G$5208,7,0)</f>
        <v>05001</v>
      </c>
      <c r="G2311">
        <v>18026696</v>
      </c>
      <c r="H2311">
        <v>4329</v>
      </c>
    </row>
    <row r="2312" spans="1:8" ht="15" customHeight="1" x14ac:dyDescent="0.25">
      <c r="A2312" t="s">
        <v>4555</v>
      </c>
      <c r="B2312" t="s">
        <v>8596</v>
      </c>
      <c r="C2312" t="s">
        <v>12056</v>
      </c>
      <c r="D2312" t="s">
        <v>13287</v>
      </c>
      <c r="E2312" t="str">
        <f>+VLOOKUP(A2312,[1]PFE4!$A$7:$F$5208,6,0)</f>
        <v>CARRERA 70 A  42  39</v>
      </c>
      <c r="F2312" s="17" t="str">
        <f>+VLOOKUP(A2312,[1]PFE4!$A$7:$G$5208,7,0)</f>
        <v>05001</v>
      </c>
      <c r="G2312">
        <v>18076277</v>
      </c>
      <c r="H2312">
        <v>4329</v>
      </c>
    </row>
    <row r="2313" spans="1:8" ht="15" customHeight="1" x14ac:dyDescent="0.25">
      <c r="A2313" t="s">
        <v>4556</v>
      </c>
      <c r="B2313" t="s">
        <v>8597</v>
      </c>
      <c r="C2313">
        <v>3219664011</v>
      </c>
      <c r="D2313" t="s">
        <v>13287</v>
      </c>
      <c r="E2313" t="str">
        <f>+VLOOKUP(A2313,[1]PFE4!$A$7:$F$5208,6,0)</f>
        <v>CARRERA 7 B  124  25</v>
      </c>
      <c r="F2313" s="17">
        <f>+VLOOKUP(A2313,[1]PFE4!$A$7:$G$5208,7,0)</f>
        <v>11001</v>
      </c>
      <c r="G2313">
        <v>18091607</v>
      </c>
      <c r="H2313">
        <v>4329</v>
      </c>
    </row>
    <row r="2314" spans="1:8" ht="15" customHeight="1" x14ac:dyDescent="0.25">
      <c r="A2314" t="s">
        <v>4557</v>
      </c>
      <c r="B2314" t="s">
        <v>8598</v>
      </c>
      <c r="C2314" t="s">
        <v>12057</v>
      </c>
      <c r="D2314" t="s">
        <v>13287</v>
      </c>
      <c r="E2314" t="str">
        <f>+VLOOKUP(A2314,[1]PFE4!$A$7:$F$5208,6,0)</f>
        <v>CALLE 197  28  08</v>
      </c>
      <c r="F2314" s="17">
        <f>+VLOOKUP(A2314,[1]PFE4!$A$7:$G$5208,7,0)</f>
        <v>11001</v>
      </c>
      <c r="G2314">
        <v>18096368</v>
      </c>
      <c r="H2314">
        <v>4329</v>
      </c>
    </row>
    <row r="2315" spans="1:8" ht="15" customHeight="1" x14ac:dyDescent="0.25">
      <c r="A2315" t="s">
        <v>4558</v>
      </c>
      <c r="B2315" t="s">
        <v>8599</v>
      </c>
      <c r="C2315">
        <v>3219664011</v>
      </c>
      <c r="D2315" t="s">
        <v>13287</v>
      </c>
      <c r="E2315" t="str">
        <f>+VLOOKUP(A2315,[1]PFE4!$A$7:$F$5208,6,0)</f>
        <v>CR 27 31 17 AP 503</v>
      </c>
      <c r="F2315" s="17" t="str">
        <f>+VLOOKUP(A2315,[1]PFE4!$A$7:$G$5208,7,0)</f>
        <v>05237</v>
      </c>
      <c r="G2315">
        <v>18120299</v>
      </c>
      <c r="H2315">
        <v>4329</v>
      </c>
    </row>
    <row r="2316" spans="1:8" ht="15" customHeight="1" x14ac:dyDescent="0.25">
      <c r="A2316" t="s">
        <v>4559</v>
      </c>
      <c r="B2316" t="s">
        <v>8600</v>
      </c>
      <c r="C2316" t="s">
        <v>12058</v>
      </c>
      <c r="D2316" t="s">
        <v>13287</v>
      </c>
      <c r="E2316" t="str">
        <f>+VLOOKUP(A2316,[1]PFE4!$A$7:$F$5208,6,0)</f>
        <v>CARRERA 18  109  15</v>
      </c>
      <c r="F2316" s="17" t="str">
        <f>+VLOOKUP(A2316,[1]PFE4!$A$7:$G$5208,7,0)</f>
        <v>08001</v>
      </c>
      <c r="G2316">
        <v>18129454</v>
      </c>
      <c r="H2316">
        <v>4329</v>
      </c>
    </row>
    <row r="2317" spans="1:8" ht="15" customHeight="1" x14ac:dyDescent="0.25">
      <c r="A2317" t="s">
        <v>4560</v>
      </c>
      <c r="B2317" t="s">
        <v>8601</v>
      </c>
      <c r="C2317" t="s">
        <v>12059</v>
      </c>
      <c r="D2317" t="s">
        <v>13287</v>
      </c>
      <c r="E2317" t="str">
        <f>+VLOOKUP(A2317,[1]PFE4!$A$7:$F$5208,6,0)</f>
        <v>Calle 110 #49E-72</v>
      </c>
      <c r="F2317" s="17" t="str">
        <f>+VLOOKUP(A2317,[1]PFE4!$A$7:$G$5208,7,0)</f>
        <v>08001</v>
      </c>
      <c r="G2317">
        <v>18132798</v>
      </c>
      <c r="H2317">
        <v>4329</v>
      </c>
    </row>
    <row r="2318" spans="1:8" ht="15" customHeight="1" x14ac:dyDescent="0.25">
      <c r="A2318" t="s">
        <v>4561</v>
      </c>
      <c r="B2318" t="s">
        <v>8602</v>
      </c>
      <c r="C2318" t="s">
        <v>12060</v>
      </c>
      <c r="D2318" t="s">
        <v>13287</v>
      </c>
      <c r="E2318" t="str">
        <f>+VLOOKUP(A2318,[1]PFE4!$A$7:$F$5208,6,0)</f>
        <v>CARRERA 42  76  189</v>
      </c>
      <c r="F2318" s="17" t="str">
        <f>+VLOOKUP(A2318,[1]PFE4!$A$7:$G$5208,7,0)</f>
        <v>08001</v>
      </c>
      <c r="G2318">
        <v>18138264</v>
      </c>
      <c r="H2318">
        <v>4329</v>
      </c>
    </row>
    <row r="2319" spans="1:8" ht="15" customHeight="1" x14ac:dyDescent="0.25">
      <c r="A2319" t="s">
        <v>4562</v>
      </c>
      <c r="B2319" t="s">
        <v>8603</v>
      </c>
      <c r="C2319" t="s">
        <v>12061</v>
      </c>
      <c r="D2319" t="s">
        <v>13287</v>
      </c>
      <c r="E2319" t="str">
        <f>+VLOOKUP(A2319,[1]PFE4!$A$7:$F$5208,6,0)</f>
        <v>CALLE 105 A  14  92  OFICINA 610</v>
      </c>
      <c r="F2319" s="17">
        <f>+VLOOKUP(A2319,[1]PFE4!$A$7:$G$5208,7,0)</f>
        <v>11001</v>
      </c>
      <c r="G2319">
        <v>18148941</v>
      </c>
      <c r="H2319">
        <v>4329</v>
      </c>
    </row>
    <row r="2320" spans="1:8" ht="15" customHeight="1" x14ac:dyDescent="0.25">
      <c r="A2320" t="s">
        <v>4563</v>
      </c>
      <c r="B2320" t="s">
        <v>8604</v>
      </c>
      <c r="C2320" t="s">
        <v>12062</v>
      </c>
      <c r="D2320" t="s">
        <v>13287</v>
      </c>
      <c r="E2320" t="str">
        <f>+VLOOKUP(A2320,[1]PFE4!$A$7:$F$5208,6,0)</f>
        <v>CARRERA 11 B  123  70  OFICINA 104</v>
      </c>
      <c r="F2320" s="17">
        <f>+VLOOKUP(A2320,[1]PFE4!$A$7:$G$5208,7,0)</f>
        <v>11001</v>
      </c>
      <c r="G2320">
        <v>18167644</v>
      </c>
      <c r="H2320">
        <v>4329</v>
      </c>
    </row>
    <row r="2321" spans="1:8" ht="15" customHeight="1" x14ac:dyDescent="0.25">
      <c r="A2321" t="s">
        <v>4564</v>
      </c>
      <c r="B2321" t="s">
        <v>8605</v>
      </c>
      <c r="C2321" t="s">
        <v>12063</v>
      </c>
      <c r="D2321" t="s">
        <v>13287</v>
      </c>
      <c r="E2321" t="str">
        <f>+VLOOKUP(A2321,[1]PFE4!$A$7:$F$5208,6,0)</f>
        <v>CALLE 35  23  01</v>
      </c>
      <c r="F2321" s="17">
        <f>+VLOOKUP(A2321,[1]PFE4!$A$7:$G$5208,7,0)</f>
        <v>68001</v>
      </c>
      <c r="G2321">
        <v>18172002</v>
      </c>
      <c r="H2321">
        <v>4329</v>
      </c>
    </row>
    <row r="2322" spans="1:8" ht="15" customHeight="1" x14ac:dyDescent="0.25">
      <c r="A2322" t="s">
        <v>4565</v>
      </c>
      <c r="B2322" t="s">
        <v>8606</v>
      </c>
      <c r="C2322" t="s">
        <v>12064</v>
      </c>
      <c r="D2322" t="s">
        <v>13287</v>
      </c>
      <c r="E2322" t="str">
        <f>+VLOOKUP(A2322,[1]PFE4!$A$7:$F$5208,6,0)</f>
        <v>CARRERA 26  41  12  APARTAMENTO 201</v>
      </c>
      <c r="F2322" s="17">
        <f>+VLOOKUP(A2322,[1]PFE4!$A$7:$G$5208,7,0)</f>
        <v>68001</v>
      </c>
      <c r="G2322">
        <v>18172392</v>
      </c>
      <c r="H2322">
        <v>4329</v>
      </c>
    </row>
    <row r="2323" spans="1:8" ht="15" customHeight="1" x14ac:dyDescent="0.25">
      <c r="A2323" t="s">
        <v>4566</v>
      </c>
      <c r="B2323" t="s">
        <v>8607</v>
      </c>
      <c r="C2323" t="s">
        <v>11431</v>
      </c>
      <c r="D2323" t="s">
        <v>13287</v>
      </c>
      <c r="E2323" t="str">
        <f>+VLOOKUP(A2323,[1]PFE4!$A$7:$F$5208,6,0)</f>
        <v>CARRERA 7  72  92  TORRE 2</v>
      </c>
      <c r="F2323" s="17">
        <f>+VLOOKUP(A2323,[1]PFE4!$A$7:$G$5208,7,0)</f>
        <v>11001</v>
      </c>
      <c r="G2323">
        <v>18218710</v>
      </c>
      <c r="H2323">
        <v>4329</v>
      </c>
    </row>
    <row r="2324" spans="1:8" ht="15" customHeight="1" x14ac:dyDescent="0.25">
      <c r="A2324" t="s">
        <v>4567</v>
      </c>
      <c r="B2324" t="s">
        <v>8608</v>
      </c>
      <c r="C2324" t="s">
        <v>12065</v>
      </c>
      <c r="D2324" t="s">
        <v>13287</v>
      </c>
      <c r="E2324" t="str">
        <f>+VLOOKUP(A2324,[1]PFE4!$A$7:$F$5208,6,0)</f>
        <v>CARRERA 12  79  43</v>
      </c>
      <c r="F2324" s="17">
        <f>+VLOOKUP(A2324,[1]PFE4!$A$7:$G$5208,7,0)</f>
        <v>11001</v>
      </c>
      <c r="G2324">
        <v>18224820</v>
      </c>
      <c r="H2324">
        <v>4329</v>
      </c>
    </row>
    <row r="2325" spans="1:8" ht="15" customHeight="1" x14ac:dyDescent="0.25">
      <c r="A2325" t="s">
        <v>4568</v>
      </c>
      <c r="B2325" t="s">
        <v>8609</v>
      </c>
      <c r="C2325" t="s">
        <v>12066</v>
      </c>
      <c r="D2325" t="s">
        <v>13287</v>
      </c>
      <c r="E2325" t="str">
        <f>+VLOOKUP(A2325,[1]PFE4!$A$7:$F$5208,6,0)</f>
        <v>CARRERA 15  85  29  OFICINA 402</v>
      </c>
      <c r="F2325" s="17">
        <f>+VLOOKUP(A2325,[1]PFE4!$A$7:$G$5208,7,0)</f>
        <v>11001</v>
      </c>
      <c r="G2325">
        <v>18226400</v>
      </c>
      <c r="H2325">
        <v>4329</v>
      </c>
    </row>
    <row r="2326" spans="1:8" ht="15" customHeight="1" x14ac:dyDescent="0.25">
      <c r="A2326" t="s">
        <v>4569</v>
      </c>
      <c r="B2326" t="s">
        <v>8610</v>
      </c>
      <c r="C2326">
        <v>3219664011</v>
      </c>
      <c r="D2326" t="s">
        <v>13287</v>
      </c>
      <c r="E2326" t="str">
        <f>+VLOOKUP(A2326,[1]PFE4!$A$7:$F$5208,6,0)</f>
        <v>CALLE 74 SUR  46 E  78</v>
      </c>
      <c r="F2326" s="17" t="str">
        <f>+VLOOKUP(A2326,[1]PFE4!$A$7:$G$5208,7,0)</f>
        <v>05001</v>
      </c>
      <c r="G2326">
        <v>18240800</v>
      </c>
      <c r="H2326">
        <v>4329</v>
      </c>
    </row>
    <row r="2327" spans="1:8" ht="15" customHeight="1" x14ac:dyDescent="0.25">
      <c r="A2327" t="s">
        <v>4570</v>
      </c>
      <c r="B2327" t="s">
        <v>8611</v>
      </c>
      <c r="C2327" t="s">
        <v>12067</v>
      </c>
      <c r="D2327" t="s">
        <v>13287</v>
      </c>
      <c r="E2327" t="str">
        <f>+VLOOKUP(A2327,[1]PFE4!$A$7:$F$5208,6,0)</f>
        <v>AUTOPISTA NORTE  106 B  28</v>
      </c>
      <c r="F2327" s="17">
        <f>+VLOOKUP(A2327,[1]PFE4!$A$7:$G$5208,7,0)</f>
        <v>11001</v>
      </c>
      <c r="G2327">
        <v>18247380</v>
      </c>
      <c r="H2327">
        <v>4329</v>
      </c>
    </row>
    <row r="2328" spans="1:8" ht="15" customHeight="1" x14ac:dyDescent="0.25">
      <c r="A2328" t="s">
        <v>4571</v>
      </c>
      <c r="B2328" t="s">
        <v>8612</v>
      </c>
      <c r="C2328" t="s">
        <v>11425</v>
      </c>
      <c r="D2328" t="s">
        <v>13287</v>
      </c>
      <c r="E2328" t="str">
        <f>+VLOOKUP(A2328,[1]PFE4!$A$7:$F$5208,6,0)</f>
        <v>CALLE 126  11 B  71</v>
      </c>
      <c r="F2328" s="17">
        <f>+VLOOKUP(A2328,[1]PFE4!$A$7:$G$5208,7,0)</f>
        <v>11001</v>
      </c>
      <c r="G2328">
        <v>18247704</v>
      </c>
      <c r="H2328">
        <v>4329</v>
      </c>
    </row>
    <row r="2329" spans="1:8" ht="15" customHeight="1" x14ac:dyDescent="0.25">
      <c r="A2329" t="s">
        <v>4572</v>
      </c>
      <c r="B2329" t="s">
        <v>8613</v>
      </c>
      <c r="C2329">
        <v>0</v>
      </c>
      <c r="D2329" t="s">
        <v>13287</v>
      </c>
      <c r="E2329">
        <v>0</v>
      </c>
      <c r="F2329" s="17">
        <v>11001</v>
      </c>
      <c r="G2329">
        <v>18250000</v>
      </c>
      <c r="H2329">
        <v>4329</v>
      </c>
    </row>
    <row r="2330" spans="1:8" ht="15" customHeight="1" x14ac:dyDescent="0.25">
      <c r="A2330" t="s">
        <v>4573</v>
      </c>
      <c r="B2330" t="s">
        <v>8614</v>
      </c>
      <c r="C2330" t="s">
        <v>12068</v>
      </c>
      <c r="D2330" t="s">
        <v>13287</v>
      </c>
      <c r="E2330" t="str">
        <f>+VLOOKUP(A2330,[1]PFE4!$A$7:$F$5208,6,0)</f>
        <v>CALLE 32  25  96</v>
      </c>
      <c r="F2330" s="17">
        <f>+VLOOKUP(A2330,[1]PFE4!$A$7:$G$5208,7,0)</f>
        <v>68001</v>
      </c>
      <c r="G2330">
        <v>18254841</v>
      </c>
      <c r="H2330">
        <v>4329</v>
      </c>
    </row>
    <row r="2331" spans="1:8" ht="15" customHeight="1" x14ac:dyDescent="0.25">
      <c r="A2331" t="s">
        <v>4574</v>
      </c>
      <c r="B2331" t="s">
        <v>8615</v>
      </c>
      <c r="C2331" t="s">
        <v>12069</v>
      </c>
      <c r="D2331" t="s">
        <v>13287</v>
      </c>
      <c r="E2331" t="str">
        <f>+VLOOKUP(A2331,[1]PFE4!$A$7:$F$5208,6,0)</f>
        <v>CR 6 4 106</v>
      </c>
      <c r="F2331" s="17">
        <f>+VLOOKUP(A2331,[1]PFE4!$A$7:$G$5208,7,0)</f>
        <v>25126</v>
      </c>
      <c r="G2331">
        <v>18262998</v>
      </c>
      <c r="H2331">
        <v>4329</v>
      </c>
    </row>
    <row r="2332" spans="1:8" ht="15" customHeight="1" x14ac:dyDescent="0.25">
      <c r="A2332" t="s">
        <v>4575</v>
      </c>
      <c r="B2332" t="s">
        <v>8616</v>
      </c>
      <c r="C2332" t="s">
        <v>12070</v>
      </c>
      <c r="D2332" t="s">
        <v>13287</v>
      </c>
      <c r="E2332" t="str">
        <f>+VLOOKUP(A2332,[1]PFE4!$A$7:$F$5208,6,0)</f>
        <v>CALLE 94 A  9  43</v>
      </c>
      <c r="F2332" s="17">
        <f>+VLOOKUP(A2332,[1]PFE4!$A$7:$G$5208,7,0)</f>
        <v>11001</v>
      </c>
      <c r="G2332">
        <v>18272448</v>
      </c>
      <c r="H2332">
        <v>4329</v>
      </c>
    </row>
    <row r="2333" spans="1:8" ht="15" customHeight="1" x14ac:dyDescent="0.25">
      <c r="A2333" t="s">
        <v>4576</v>
      </c>
      <c r="B2333" t="s">
        <v>8617</v>
      </c>
      <c r="C2333" t="s">
        <v>12071</v>
      </c>
      <c r="D2333" t="s">
        <v>13287</v>
      </c>
      <c r="E2333" t="str">
        <f>+VLOOKUP(A2333,[1]PFE4!$A$7:$F$5208,6,0)</f>
        <v>AVENIDA 15  101  09</v>
      </c>
      <c r="F2333" s="17">
        <f>+VLOOKUP(A2333,[1]PFE4!$A$7:$G$5208,7,0)</f>
        <v>11001</v>
      </c>
      <c r="G2333">
        <v>18273064</v>
      </c>
      <c r="H2333">
        <v>4329</v>
      </c>
    </row>
    <row r="2334" spans="1:8" ht="15" customHeight="1" x14ac:dyDescent="0.25">
      <c r="A2334" t="s">
        <v>4577</v>
      </c>
      <c r="B2334" t="s">
        <v>8618</v>
      </c>
      <c r="C2334" t="s">
        <v>12072</v>
      </c>
      <c r="D2334" t="s">
        <v>13287</v>
      </c>
      <c r="E2334" t="str">
        <f>+VLOOKUP(A2334,[1]PFE4!$A$7:$F$5208,6,0)</f>
        <v>CALLE 101  16  50</v>
      </c>
      <c r="F2334" s="17">
        <f>+VLOOKUP(A2334,[1]PFE4!$A$7:$G$5208,7,0)</f>
        <v>11001</v>
      </c>
      <c r="G2334">
        <v>18283113</v>
      </c>
      <c r="H2334">
        <v>4329</v>
      </c>
    </row>
    <row r="2335" spans="1:8" ht="15" customHeight="1" x14ac:dyDescent="0.25">
      <c r="A2335" t="s">
        <v>4578</v>
      </c>
      <c r="B2335" t="s">
        <v>8619</v>
      </c>
      <c r="C2335" t="s">
        <v>11512</v>
      </c>
      <c r="D2335" t="s">
        <v>13287</v>
      </c>
      <c r="E2335" t="str">
        <f>+VLOOKUP(A2335,[1]PFE4!$A$7:$F$5208,6,0)</f>
        <v>CALLE 104 B  15 A  11</v>
      </c>
      <c r="F2335" s="17">
        <f>+VLOOKUP(A2335,[1]PFE4!$A$7:$G$5208,7,0)</f>
        <v>68001</v>
      </c>
      <c r="G2335">
        <v>18290601</v>
      </c>
      <c r="H2335">
        <v>4329</v>
      </c>
    </row>
    <row r="2336" spans="1:8" ht="15" customHeight="1" x14ac:dyDescent="0.25">
      <c r="A2336" t="s">
        <v>4579</v>
      </c>
      <c r="B2336" t="s">
        <v>8620</v>
      </c>
      <c r="C2336" t="s">
        <v>12073</v>
      </c>
      <c r="D2336" t="s">
        <v>13287</v>
      </c>
      <c r="E2336" t="str">
        <f>+VLOOKUP(A2336,[1]PFE4!$A$7:$F$5208,6,0)</f>
        <v>CL 48 50 16</v>
      </c>
      <c r="F2336" s="17" t="str">
        <f>+VLOOKUP(A2336,[1]PFE4!$A$7:$G$5208,7,0)</f>
        <v>05360</v>
      </c>
      <c r="G2336">
        <v>18346710</v>
      </c>
      <c r="H2336">
        <v>4329</v>
      </c>
    </row>
    <row r="2337" spans="1:8" ht="15" customHeight="1" x14ac:dyDescent="0.25">
      <c r="A2337" t="s">
        <v>4580</v>
      </c>
      <c r="B2337" t="s">
        <v>8621</v>
      </c>
      <c r="C2337" t="s">
        <v>12074</v>
      </c>
      <c r="D2337" t="s">
        <v>13287</v>
      </c>
      <c r="E2337" t="str">
        <f>+VLOOKUP(A2337,[1]PFE4!$A$7:$F$5208,6,0)</f>
        <v>CALLE 34  23  42</v>
      </c>
      <c r="F2337" s="17">
        <f>+VLOOKUP(A2337,[1]PFE4!$A$7:$G$5208,7,0)</f>
        <v>11001</v>
      </c>
      <c r="G2337">
        <v>18355848</v>
      </c>
      <c r="H2337">
        <v>4329</v>
      </c>
    </row>
    <row r="2338" spans="1:8" ht="15" customHeight="1" x14ac:dyDescent="0.25">
      <c r="A2338" t="s">
        <v>4581</v>
      </c>
      <c r="B2338" t="s">
        <v>8622</v>
      </c>
      <c r="C2338" t="s">
        <v>12075</v>
      </c>
      <c r="D2338" t="s">
        <v>13287</v>
      </c>
      <c r="E2338" t="str">
        <f>+VLOOKUP(A2338,[1]PFE4!$A$7:$F$5208,6,0)</f>
        <v>CALLE 53  23  51</v>
      </c>
      <c r="F2338" s="17">
        <f>+VLOOKUP(A2338,[1]PFE4!$A$7:$G$5208,7,0)</f>
        <v>68001</v>
      </c>
      <c r="G2338">
        <v>18375794</v>
      </c>
      <c r="H2338">
        <v>4329</v>
      </c>
    </row>
    <row r="2339" spans="1:8" ht="15" customHeight="1" x14ac:dyDescent="0.25">
      <c r="A2339" t="s">
        <v>4582</v>
      </c>
      <c r="B2339" t="s">
        <v>8528</v>
      </c>
      <c r="C2339" t="s">
        <v>12076</v>
      </c>
      <c r="D2339" t="s">
        <v>13287</v>
      </c>
      <c r="E2339" t="str">
        <f>+VLOOKUP(A2339,[1]PFE4!$A$7:$F$5208,6,0)</f>
        <v>CALLE 16 A  121 A  214</v>
      </c>
      <c r="F2339" s="17">
        <f>+VLOOKUP(A2339,[1]PFE4!$A$7:$G$5208,7,0)</f>
        <v>11001</v>
      </c>
      <c r="G2339">
        <v>18397408</v>
      </c>
      <c r="H2339">
        <v>4329</v>
      </c>
    </row>
    <row r="2340" spans="1:8" ht="15" customHeight="1" x14ac:dyDescent="0.25">
      <c r="A2340" t="s">
        <v>4583</v>
      </c>
      <c r="B2340" t="s">
        <v>8623</v>
      </c>
      <c r="C2340" t="s">
        <v>12077</v>
      </c>
      <c r="D2340" t="s">
        <v>13287</v>
      </c>
      <c r="E2340" t="str">
        <f>+VLOOKUP(A2340,[1]PFE4!$A$7:$F$5208,6,0)</f>
        <v>CR 3 OESTE 5 124 128</v>
      </c>
      <c r="F2340" s="17">
        <f>+VLOOKUP(A2340,[1]PFE4!$A$7:$G$5208,7,0)</f>
        <v>11001</v>
      </c>
      <c r="G2340">
        <v>18408400</v>
      </c>
      <c r="H2340">
        <v>4329</v>
      </c>
    </row>
    <row r="2341" spans="1:8" ht="15" customHeight="1" x14ac:dyDescent="0.25">
      <c r="A2341" t="s">
        <v>4584</v>
      </c>
      <c r="B2341" t="s">
        <v>8624</v>
      </c>
      <c r="C2341" t="s">
        <v>12078</v>
      </c>
      <c r="D2341" t="s">
        <v>13287</v>
      </c>
      <c r="E2341" t="str">
        <f>+VLOOKUP(A2341,[1]PFE4!$A$7:$F$5208,6,0)</f>
        <v>CARRERA 12 5-124</v>
      </c>
      <c r="F2341" s="17">
        <f>+VLOOKUP(A2341,[1]PFE4!$A$7:$G$5208,7,0)</f>
        <v>68679</v>
      </c>
      <c r="G2341">
        <v>18444000</v>
      </c>
      <c r="H2341">
        <v>4329</v>
      </c>
    </row>
    <row r="2342" spans="1:8" ht="15" customHeight="1" x14ac:dyDescent="0.25">
      <c r="A2342" t="s">
        <v>4585</v>
      </c>
      <c r="B2342" t="s">
        <v>8625</v>
      </c>
      <c r="C2342" t="s">
        <v>12079</v>
      </c>
      <c r="D2342" t="s">
        <v>13287</v>
      </c>
      <c r="E2342" t="str">
        <f>+VLOOKUP(A2342,[1]PFE4!$A$7:$F$5208,6,0)</f>
        <v>CALLE 37 B SUR  27 D  44</v>
      </c>
      <c r="F2342" s="17" t="str">
        <f>+VLOOKUP(A2342,[1]PFE4!$A$7:$G$5208,7,0)</f>
        <v>05266</v>
      </c>
      <c r="G2342">
        <v>18445596</v>
      </c>
      <c r="H2342">
        <v>4329</v>
      </c>
    </row>
    <row r="2343" spans="1:8" ht="15" customHeight="1" x14ac:dyDescent="0.25">
      <c r="A2343" t="s">
        <v>4586</v>
      </c>
      <c r="B2343" t="s">
        <v>8626</v>
      </c>
      <c r="C2343" t="s">
        <v>12080</v>
      </c>
      <c r="D2343" t="s">
        <v>13287</v>
      </c>
      <c r="E2343" t="str">
        <f>+VLOOKUP(A2343,[1]PFE4!$A$7:$F$5208,6,0)</f>
        <v>CARRERA 12  11 NORTE  95</v>
      </c>
      <c r="F2343" s="17">
        <f>+VLOOKUP(A2343,[1]PFE4!$A$7:$G$5208,7,0)</f>
        <v>63001</v>
      </c>
      <c r="G2343">
        <v>18463516</v>
      </c>
      <c r="H2343">
        <v>4329</v>
      </c>
    </row>
    <row r="2344" spans="1:8" ht="15" customHeight="1" x14ac:dyDescent="0.25">
      <c r="A2344" t="s">
        <v>4587</v>
      </c>
      <c r="B2344" t="s">
        <v>8627</v>
      </c>
      <c r="C2344" t="s">
        <v>12081</v>
      </c>
      <c r="D2344" t="s">
        <v>13287</v>
      </c>
      <c r="E2344" t="str">
        <f>+VLOOKUP(A2344,[1]PFE4!$A$7:$F$5208,6,0)</f>
        <v>CALLE 100  19 A  50</v>
      </c>
      <c r="F2344" s="17">
        <f>+VLOOKUP(A2344,[1]PFE4!$A$7:$G$5208,7,0)</f>
        <v>11001</v>
      </c>
      <c r="G2344">
        <v>18465451</v>
      </c>
      <c r="H2344">
        <v>4329</v>
      </c>
    </row>
    <row r="2345" spans="1:8" ht="15" customHeight="1" x14ac:dyDescent="0.25">
      <c r="A2345" t="s">
        <v>4588</v>
      </c>
      <c r="B2345" t="s">
        <v>8628</v>
      </c>
      <c r="C2345" t="s">
        <v>12082</v>
      </c>
      <c r="D2345" t="s">
        <v>13287</v>
      </c>
      <c r="E2345" t="str">
        <f>+VLOOKUP(A2345,[1]PFE4!$A$7:$F$5208,6,0)</f>
        <v xml:space="preserve">CR 63 33 63 65 67 69
</v>
      </c>
      <c r="F2345" s="17" t="str">
        <f>+VLOOKUP(A2345,[1]PFE4!$A$7:$G$5208,7,0)</f>
        <v>05001</v>
      </c>
      <c r="G2345">
        <v>18490089</v>
      </c>
      <c r="H2345">
        <v>4329</v>
      </c>
    </row>
    <row r="2346" spans="1:8" ht="15" customHeight="1" x14ac:dyDescent="0.25">
      <c r="A2346" t="s">
        <v>4589</v>
      </c>
      <c r="B2346" t="s">
        <v>8629</v>
      </c>
      <c r="C2346" t="s">
        <v>12083</v>
      </c>
      <c r="D2346" t="s">
        <v>13287</v>
      </c>
      <c r="E2346" t="str">
        <f>+VLOOKUP(A2346,[1]PFE4!$A$7:$F$5208,6,0)</f>
        <v>CARRERA 43  57  66</v>
      </c>
      <c r="F2346" s="17" t="str">
        <f>+VLOOKUP(A2346,[1]PFE4!$A$7:$G$5208,7,0)</f>
        <v>05001</v>
      </c>
      <c r="G2346">
        <v>18494200</v>
      </c>
      <c r="H2346">
        <v>4329</v>
      </c>
    </row>
    <row r="2347" spans="1:8" ht="15" customHeight="1" x14ac:dyDescent="0.25">
      <c r="A2347" t="s">
        <v>4590</v>
      </c>
      <c r="B2347" t="s">
        <v>8630</v>
      </c>
      <c r="C2347" t="s">
        <v>11152</v>
      </c>
      <c r="D2347" t="s">
        <v>13287</v>
      </c>
      <c r="E2347" t="str">
        <f>+VLOOKUP(A2347,[1]PFE4!$A$7:$F$5208,6,0)</f>
        <v>CALLE 123  7 07</v>
      </c>
      <c r="F2347" s="17">
        <f>+VLOOKUP(A2347,[1]PFE4!$A$7:$G$5208,7,0)</f>
        <v>11001</v>
      </c>
      <c r="G2347">
        <v>18525804</v>
      </c>
      <c r="H2347">
        <v>4329</v>
      </c>
    </row>
    <row r="2348" spans="1:8" ht="15" customHeight="1" x14ac:dyDescent="0.25">
      <c r="A2348" t="s">
        <v>4591</v>
      </c>
      <c r="B2348" t="s">
        <v>8631</v>
      </c>
      <c r="C2348" t="s">
        <v>12084</v>
      </c>
      <c r="D2348" t="s">
        <v>13287</v>
      </c>
      <c r="E2348" t="str">
        <f>+VLOOKUP(A2348,[1]PFE4!$A$7:$F$5208,6,0)</f>
        <v>CARRERA 3 OESTE  13  24</v>
      </c>
      <c r="F2348" s="17">
        <f>+VLOOKUP(A2348,[1]PFE4!$A$7:$G$5208,7,0)</f>
        <v>76001</v>
      </c>
      <c r="G2348">
        <v>18534744</v>
      </c>
      <c r="H2348">
        <v>4329</v>
      </c>
    </row>
    <row r="2349" spans="1:8" ht="15" customHeight="1" x14ac:dyDescent="0.25">
      <c r="A2349" t="s">
        <v>4592</v>
      </c>
      <c r="B2349" t="s">
        <v>8632</v>
      </c>
      <c r="C2349" t="s">
        <v>12085</v>
      </c>
      <c r="D2349" t="s">
        <v>13287</v>
      </c>
      <c r="E2349" t="str">
        <f>+VLOOKUP(A2349,[1]PFE4!$A$7:$F$5208,6,0)</f>
        <v>CARRERA 27  17  54</v>
      </c>
      <c r="F2349" s="17">
        <f>+VLOOKUP(A2349,[1]PFE4!$A$7:$G$5208,7,0)</f>
        <v>68001</v>
      </c>
      <c r="G2349">
        <v>18545661</v>
      </c>
      <c r="H2349">
        <v>4329</v>
      </c>
    </row>
    <row r="2350" spans="1:8" ht="15" customHeight="1" x14ac:dyDescent="0.25">
      <c r="A2350" t="s">
        <v>4593</v>
      </c>
      <c r="B2350" t="s">
        <v>8633</v>
      </c>
      <c r="C2350" t="s">
        <v>12086</v>
      </c>
      <c r="D2350" t="s">
        <v>13287</v>
      </c>
      <c r="E2350" t="str">
        <f>+VLOOKUP(A2350,[1]PFE4!$A$7:$F$5208,6,0)</f>
        <v>CALLE 54 A  6  125</v>
      </c>
      <c r="F2350" s="17">
        <f>+VLOOKUP(A2350,[1]PFE4!$A$7:$G$5208,7,0)</f>
        <v>11001</v>
      </c>
      <c r="G2350">
        <v>18551692</v>
      </c>
      <c r="H2350">
        <v>4329</v>
      </c>
    </row>
    <row r="2351" spans="1:8" ht="15" customHeight="1" x14ac:dyDescent="0.25">
      <c r="A2351" t="s">
        <v>4594</v>
      </c>
      <c r="B2351" t="s">
        <v>8634</v>
      </c>
      <c r="C2351">
        <v>3219664011</v>
      </c>
      <c r="D2351" t="s">
        <v>13287</v>
      </c>
      <c r="E2351" t="str">
        <f>+VLOOKUP(A2351,[1]PFE4!$A$7:$F$5208,6,0)</f>
        <v>CARRERA 39  46  79</v>
      </c>
      <c r="F2351" s="17">
        <f>+VLOOKUP(A2351,[1]PFE4!$A$7:$G$5208,7,0)</f>
        <v>11001</v>
      </c>
      <c r="G2351">
        <v>18561504</v>
      </c>
      <c r="H2351">
        <v>4329</v>
      </c>
    </row>
    <row r="2352" spans="1:8" ht="15" customHeight="1" x14ac:dyDescent="0.25">
      <c r="A2352" t="s">
        <v>4595</v>
      </c>
      <c r="B2352" t="s">
        <v>8635</v>
      </c>
      <c r="C2352" t="s">
        <v>12087</v>
      </c>
      <c r="D2352" t="s">
        <v>13287</v>
      </c>
      <c r="E2352" t="str">
        <f>+VLOOKUP(A2352,[1]PFE4!$A$7:$F$5208,6,0)</f>
        <v>CL 75 A A SUR 53 90</v>
      </c>
      <c r="F2352" s="17" t="str">
        <f>+VLOOKUP(A2352,[1]PFE4!$A$7:$G$5208,7,0)</f>
        <v>05360</v>
      </c>
      <c r="G2352">
        <v>18563336</v>
      </c>
      <c r="H2352">
        <v>4329</v>
      </c>
    </row>
    <row r="2353" spans="1:8" ht="15" customHeight="1" x14ac:dyDescent="0.25">
      <c r="A2353" t="s">
        <v>4596</v>
      </c>
      <c r="B2353" t="s">
        <v>8636</v>
      </c>
      <c r="C2353" t="s">
        <v>12088</v>
      </c>
      <c r="D2353" t="s">
        <v>13287</v>
      </c>
      <c r="E2353" t="str">
        <f>+VLOOKUP(A2353,[1]PFE4!$A$7:$F$5208,6,0)</f>
        <v>CL 49   20 B   60</v>
      </c>
      <c r="F2353" s="17" t="str">
        <f>+VLOOKUP(A2353,[1]PFE4!$A$7:$G$5208,7,0)</f>
        <v>05001</v>
      </c>
      <c r="G2353">
        <v>18574367</v>
      </c>
      <c r="H2353">
        <v>4329</v>
      </c>
    </row>
    <row r="2354" spans="1:8" ht="15" customHeight="1" x14ac:dyDescent="0.25">
      <c r="A2354" t="s">
        <v>4597</v>
      </c>
      <c r="B2354" t="s">
        <v>8637</v>
      </c>
      <c r="C2354" t="s">
        <v>12089</v>
      </c>
      <c r="D2354" t="s">
        <v>13287</v>
      </c>
      <c r="E2354" t="str">
        <f>+VLOOKUP(A2354,[1]PFE4!$A$7:$F$5208,6,0)</f>
        <v>CARRERA 54  72  80</v>
      </c>
      <c r="F2354" s="17" t="str">
        <f>+VLOOKUP(A2354,[1]PFE4!$A$7:$G$5208,7,0)</f>
        <v>08001</v>
      </c>
      <c r="G2354">
        <v>18579940</v>
      </c>
      <c r="H2354">
        <v>4329</v>
      </c>
    </row>
    <row r="2355" spans="1:8" ht="15" customHeight="1" x14ac:dyDescent="0.25">
      <c r="A2355" t="s">
        <v>4598</v>
      </c>
      <c r="B2355" t="s">
        <v>8638</v>
      </c>
      <c r="C2355" t="s">
        <v>12090</v>
      </c>
      <c r="D2355" t="s">
        <v>13287</v>
      </c>
      <c r="E2355" t="str">
        <f>+VLOOKUP(A2355,[1]PFE4!$A$7:$F$5208,6,0)</f>
        <v>CALLE 57  44  162</v>
      </c>
      <c r="F2355" s="17" t="str">
        <f>+VLOOKUP(A2355,[1]PFE4!$A$7:$G$5208,7,0)</f>
        <v>08001</v>
      </c>
      <c r="G2355">
        <v>18602744</v>
      </c>
      <c r="H2355">
        <v>4329</v>
      </c>
    </row>
    <row r="2356" spans="1:8" ht="15" customHeight="1" x14ac:dyDescent="0.25">
      <c r="A2356" t="s">
        <v>4599</v>
      </c>
      <c r="B2356" t="s">
        <v>8639</v>
      </c>
      <c r="C2356" t="s">
        <v>12091</v>
      </c>
      <c r="D2356" t="s">
        <v>13287</v>
      </c>
      <c r="E2356" t="str">
        <f>+VLOOKUP(A2356,[1]PFE4!$A$7:$F$5208,6,0)</f>
        <v>CALLE 29 No. 29 - 31</v>
      </c>
      <c r="F2356" s="17" t="str">
        <f>+VLOOKUP(A2356,[1]PFE4!$A$7:$G$5208,7,0)</f>
        <v>05001</v>
      </c>
      <c r="G2356">
        <v>18608216</v>
      </c>
      <c r="H2356">
        <v>4329</v>
      </c>
    </row>
    <row r="2357" spans="1:8" ht="15" customHeight="1" x14ac:dyDescent="0.25">
      <c r="A2357" t="s">
        <v>4600</v>
      </c>
      <c r="B2357" t="s">
        <v>8640</v>
      </c>
      <c r="C2357" t="s">
        <v>12092</v>
      </c>
      <c r="D2357" t="s">
        <v>13287</v>
      </c>
      <c r="E2357" t="str">
        <f>+VLOOKUP(A2357,[1]PFE4!$A$7:$F$5208,6,0)</f>
        <v>CALLE 84 24-30</v>
      </c>
      <c r="F2357" s="17">
        <f>+VLOOKUP(A2357,[1]PFE4!$A$7:$G$5208,7,0)</f>
        <v>11001</v>
      </c>
      <c r="G2357">
        <v>18615288</v>
      </c>
      <c r="H2357">
        <v>4329</v>
      </c>
    </row>
    <row r="2358" spans="1:8" ht="15" customHeight="1" x14ac:dyDescent="0.25">
      <c r="A2358" t="s">
        <v>4601</v>
      </c>
      <c r="B2358" t="s">
        <v>8641</v>
      </c>
      <c r="C2358" t="s">
        <v>12093</v>
      </c>
      <c r="D2358" t="s">
        <v>13287</v>
      </c>
      <c r="E2358" t="str">
        <f>+VLOOKUP(A2358,[1]PFE4!$A$7:$F$5208,6,0)</f>
        <v>CL 59 C SUR 88 H 15</v>
      </c>
      <c r="F2358" s="17">
        <f>+VLOOKUP(A2358,[1]PFE4!$A$7:$G$5208,7,0)</f>
        <v>11001</v>
      </c>
      <c r="G2358">
        <v>18626360</v>
      </c>
      <c r="H2358">
        <v>4329</v>
      </c>
    </row>
    <row r="2359" spans="1:8" ht="15" customHeight="1" x14ac:dyDescent="0.25">
      <c r="A2359" t="s">
        <v>4602</v>
      </c>
      <c r="B2359" t="s">
        <v>8642</v>
      </c>
      <c r="C2359" t="s">
        <v>12094</v>
      </c>
      <c r="D2359" t="s">
        <v>13287</v>
      </c>
      <c r="E2359" t="str">
        <f>+VLOOKUP(A2359,[1]PFE4!$A$7:$F$5208,6,0)</f>
        <v>CALLE 6  43 C  08  OFICINA 306</v>
      </c>
      <c r="F2359" s="17" t="str">
        <f>+VLOOKUP(A2359,[1]PFE4!$A$7:$G$5208,7,0)</f>
        <v>05001</v>
      </c>
      <c r="G2359">
        <v>18642977</v>
      </c>
      <c r="H2359">
        <v>4329</v>
      </c>
    </row>
    <row r="2360" spans="1:8" ht="15" customHeight="1" x14ac:dyDescent="0.25">
      <c r="A2360" t="s">
        <v>4603</v>
      </c>
      <c r="B2360" t="s">
        <v>8643</v>
      </c>
      <c r="C2360">
        <v>0</v>
      </c>
      <c r="D2360" t="s">
        <v>13287</v>
      </c>
      <c r="E2360">
        <v>0</v>
      </c>
      <c r="F2360" s="17">
        <v>11001</v>
      </c>
      <c r="G2360">
        <v>18660872</v>
      </c>
      <c r="H2360">
        <v>4329</v>
      </c>
    </row>
    <row r="2361" spans="1:8" ht="15" customHeight="1" x14ac:dyDescent="0.25">
      <c r="A2361" t="s">
        <v>4604</v>
      </c>
      <c r="B2361" t="s">
        <v>8644</v>
      </c>
      <c r="C2361" t="s">
        <v>11245</v>
      </c>
      <c r="D2361" t="s">
        <v>13287</v>
      </c>
      <c r="E2361" t="str">
        <f>+VLOOKUP(A2361,[1]PFE4!$A$7:$F$5208,6,0)</f>
        <v>CARRERA 15  77  50  OFICINA 502</v>
      </c>
      <c r="F2361" s="17">
        <f>+VLOOKUP(A2361,[1]PFE4!$A$7:$G$5208,7,0)</f>
        <v>11001</v>
      </c>
      <c r="G2361">
        <v>18666343</v>
      </c>
      <c r="H2361">
        <v>4329</v>
      </c>
    </row>
    <row r="2362" spans="1:8" ht="15" customHeight="1" x14ac:dyDescent="0.25">
      <c r="A2362" t="s">
        <v>4605</v>
      </c>
      <c r="B2362" t="s">
        <v>8645</v>
      </c>
      <c r="C2362" t="s">
        <v>12095</v>
      </c>
      <c r="D2362" t="s">
        <v>13287</v>
      </c>
      <c r="E2362" t="str">
        <f>+VLOOKUP(A2362,[1]PFE4!$A$7:$F$5208,6,0)</f>
        <v>CALLE 100  13  21</v>
      </c>
      <c r="F2362" s="17">
        <f>+VLOOKUP(A2362,[1]PFE4!$A$7:$G$5208,7,0)</f>
        <v>11001</v>
      </c>
      <c r="G2362">
        <v>18701070</v>
      </c>
      <c r="H2362">
        <v>4329</v>
      </c>
    </row>
    <row r="2363" spans="1:8" ht="15" customHeight="1" x14ac:dyDescent="0.25">
      <c r="A2363" t="s">
        <v>4606</v>
      </c>
      <c r="B2363" t="s">
        <v>8646</v>
      </c>
      <c r="C2363" t="s">
        <v>12096</v>
      </c>
      <c r="D2363" t="s">
        <v>13287</v>
      </c>
      <c r="E2363" t="str">
        <f>+VLOOKUP(A2363,[1]PFE4!$A$7:$F$5208,6,0)</f>
        <v>TRANSVERSAL 3  54  26</v>
      </c>
      <c r="F2363" s="17">
        <f>+VLOOKUP(A2363,[1]PFE4!$A$7:$G$5208,7,0)</f>
        <v>11001</v>
      </c>
      <c r="G2363">
        <v>18706518</v>
      </c>
      <c r="H2363">
        <v>4329</v>
      </c>
    </row>
    <row r="2364" spans="1:8" ht="15" customHeight="1" x14ac:dyDescent="0.25">
      <c r="A2364" t="s">
        <v>4607</v>
      </c>
      <c r="B2364" t="s">
        <v>8647</v>
      </c>
      <c r="C2364" t="s">
        <v>10955</v>
      </c>
      <c r="D2364" t="s">
        <v>13287</v>
      </c>
      <c r="E2364" t="str">
        <f>+VLOOKUP(A2364,[1]PFE4!$A$7:$F$5208,6,0)</f>
        <v>CARRERA 18  118  68</v>
      </c>
      <c r="F2364" s="17">
        <f>+VLOOKUP(A2364,[1]PFE4!$A$7:$G$5208,7,0)</f>
        <v>11001</v>
      </c>
      <c r="G2364">
        <v>18709602</v>
      </c>
      <c r="H2364">
        <v>4329</v>
      </c>
    </row>
    <row r="2365" spans="1:8" ht="15" customHeight="1" x14ac:dyDescent="0.25">
      <c r="A2365" t="s">
        <v>4608</v>
      </c>
      <c r="B2365" t="s">
        <v>8648</v>
      </c>
      <c r="C2365">
        <v>3219664011</v>
      </c>
      <c r="D2365" t="s">
        <v>13287</v>
      </c>
      <c r="E2365" t="str">
        <f>+VLOOKUP(A2365,[1]PFE4!$A$7:$F$5208,6,0)</f>
        <v>AUTOPISTA NORTE  122  56</v>
      </c>
      <c r="F2365" s="17">
        <f>+VLOOKUP(A2365,[1]PFE4!$A$7:$G$5208,7,0)</f>
        <v>11001</v>
      </c>
      <c r="G2365">
        <v>18720072</v>
      </c>
      <c r="H2365">
        <v>4329</v>
      </c>
    </row>
    <row r="2366" spans="1:8" ht="15" customHeight="1" x14ac:dyDescent="0.25">
      <c r="A2366" t="s">
        <v>4609</v>
      </c>
      <c r="B2366" t="s">
        <v>8649</v>
      </c>
      <c r="C2366" t="s">
        <v>12097</v>
      </c>
      <c r="D2366" t="s">
        <v>13287</v>
      </c>
      <c r="E2366" t="str">
        <f>+VLOOKUP(A2366,[1]PFE4!$A$7:$F$5208,6,0)</f>
        <v>CL 18 29 22 BRR SAN ALONSO</v>
      </c>
      <c r="F2366" s="17">
        <f>+VLOOKUP(A2366,[1]PFE4!$A$7:$G$5208,7,0)</f>
        <v>68001</v>
      </c>
      <c r="G2366">
        <v>18721426</v>
      </c>
      <c r="H2366">
        <v>4329</v>
      </c>
    </row>
    <row r="2367" spans="1:8" ht="15" customHeight="1" x14ac:dyDescent="0.25">
      <c r="A2367" t="s">
        <v>4610</v>
      </c>
      <c r="B2367" t="s">
        <v>8650</v>
      </c>
      <c r="C2367" t="s">
        <v>12098</v>
      </c>
      <c r="D2367" t="s">
        <v>13287</v>
      </c>
      <c r="E2367" t="str">
        <f>+VLOOKUP(A2367,[1]PFE4!$A$7:$F$5208,6,0)</f>
        <v>CALLE 145 A  12 A  09</v>
      </c>
      <c r="F2367" s="17">
        <f>+VLOOKUP(A2367,[1]PFE4!$A$7:$G$5208,7,0)</f>
        <v>11001</v>
      </c>
      <c r="G2367">
        <v>18735361</v>
      </c>
      <c r="H2367">
        <v>4329</v>
      </c>
    </row>
    <row r="2368" spans="1:8" ht="15" customHeight="1" x14ac:dyDescent="0.25">
      <c r="A2368" t="s">
        <v>4611</v>
      </c>
      <c r="B2368" t="s">
        <v>8651</v>
      </c>
      <c r="C2368" t="s">
        <v>12099</v>
      </c>
      <c r="D2368" t="s">
        <v>13287</v>
      </c>
      <c r="E2368" t="str">
        <f>+VLOOKUP(A2368,[1]PFE4!$A$7:$F$5208,6,0)</f>
        <v>AVENIDA BOYACA  128 B  65</v>
      </c>
      <c r="F2368" s="17">
        <f>+VLOOKUP(A2368,[1]PFE4!$A$7:$G$5208,7,0)</f>
        <v>11001</v>
      </c>
      <c r="G2368">
        <v>18736716</v>
      </c>
      <c r="H2368">
        <v>4329</v>
      </c>
    </row>
    <row r="2369" spans="1:8" ht="15" customHeight="1" x14ac:dyDescent="0.25">
      <c r="A2369" t="s">
        <v>4612</v>
      </c>
      <c r="B2369" t="s">
        <v>8652</v>
      </c>
      <c r="C2369">
        <v>0</v>
      </c>
      <c r="D2369" t="s">
        <v>13287</v>
      </c>
      <c r="E2369">
        <v>0</v>
      </c>
      <c r="F2369" s="17">
        <v>11001</v>
      </c>
      <c r="G2369">
        <v>18752200</v>
      </c>
      <c r="H2369">
        <v>4329</v>
      </c>
    </row>
    <row r="2370" spans="1:8" ht="15" customHeight="1" x14ac:dyDescent="0.25">
      <c r="A2370" t="s">
        <v>4613</v>
      </c>
      <c r="B2370" t="s">
        <v>8653</v>
      </c>
      <c r="C2370" t="s">
        <v>12100</v>
      </c>
      <c r="D2370" t="s">
        <v>13287</v>
      </c>
      <c r="E2370" t="str">
        <f>+VLOOKUP(A2370,[1]PFE4!$A$7:$F$5208,6,0)</f>
        <v>CARRERA 16  9  17</v>
      </c>
      <c r="F2370" s="17">
        <f>+VLOOKUP(A2370,[1]PFE4!$A$7:$G$5208,7,0)</f>
        <v>66001</v>
      </c>
      <c r="G2370">
        <v>18788678</v>
      </c>
      <c r="H2370">
        <v>4329</v>
      </c>
    </row>
    <row r="2371" spans="1:8" ht="15" customHeight="1" x14ac:dyDescent="0.25">
      <c r="A2371" t="s">
        <v>4614</v>
      </c>
      <c r="B2371" t="s">
        <v>8654</v>
      </c>
      <c r="C2371" t="s">
        <v>12101</v>
      </c>
      <c r="D2371" t="s">
        <v>13287</v>
      </c>
      <c r="E2371" t="str">
        <f>+VLOOKUP(A2371,[1]PFE4!$A$7:$F$5208,6,0)</f>
        <v>CARRERA 14  127  25</v>
      </c>
      <c r="F2371" s="17">
        <f>+VLOOKUP(A2371,[1]PFE4!$A$7:$G$5208,7,0)</f>
        <v>11001</v>
      </c>
      <c r="G2371">
        <v>18816940</v>
      </c>
      <c r="H2371">
        <v>4329</v>
      </c>
    </row>
    <row r="2372" spans="1:8" ht="15" customHeight="1" x14ac:dyDescent="0.25">
      <c r="A2372" t="s">
        <v>4615</v>
      </c>
      <c r="B2372" t="s">
        <v>8655</v>
      </c>
      <c r="C2372" t="s">
        <v>12102</v>
      </c>
      <c r="D2372" t="s">
        <v>13287</v>
      </c>
      <c r="E2372" t="str">
        <f>+VLOOKUP(A2372,[1]PFE4!$A$7:$F$5208,6,0)</f>
        <v>KILOMETRO 11 VIA CERRITO CARTAGO</v>
      </c>
      <c r="F2372" s="17">
        <f>+VLOOKUP(A2372,[1]PFE4!$A$7:$G$5208,7,0)</f>
        <v>11001</v>
      </c>
      <c r="G2372">
        <v>18841288</v>
      </c>
      <c r="H2372">
        <v>4329</v>
      </c>
    </row>
    <row r="2373" spans="1:8" ht="15" customHeight="1" x14ac:dyDescent="0.25">
      <c r="A2373" t="s">
        <v>4616</v>
      </c>
      <c r="B2373" t="s">
        <v>8656</v>
      </c>
      <c r="C2373" t="s">
        <v>12103</v>
      </c>
      <c r="D2373" t="s">
        <v>13287</v>
      </c>
      <c r="E2373" t="str">
        <f>+VLOOKUP(A2373,[1]PFE4!$A$7:$F$5208,6,0)</f>
        <v>AV 3 57 70 LT 19 MZ B CON BUGANBILES BELLA VISTA - LOS PATIOS</v>
      </c>
      <c r="F2373" s="17">
        <f>+VLOOKUP(A2373,[1]PFE4!$A$7:$G$5208,7,0)</f>
        <v>11001</v>
      </c>
      <c r="G2373">
        <v>18858910</v>
      </c>
      <c r="H2373">
        <v>4329</v>
      </c>
    </row>
    <row r="2374" spans="1:8" ht="15" customHeight="1" x14ac:dyDescent="0.25">
      <c r="A2374" t="s">
        <v>4617</v>
      </c>
      <c r="B2374" t="s">
        <v>8657</v>
      </c>
      <c r="C2374" t="s">
        <v>12104</v>
      </c>
      <c r="D2374" t="s">
        <v>13287</v>
      </c>
      <c r="E2374" t="str">
        <f>+VLOOKUP(A2374,[1]PFE4!$A$7:$F$5208,6,0)</f>
        <v>DG 56 15 78</v>
      </c>
      <c r="F2374" s="17" t="str">
        <f>+VLOOKUP(A2374,[1]PFE4!$A$7:$G$5208,7,0)</f>
        <v>05615</v>
      </c>
      <c r="G2374">
        <v>18878200</v>
      </c>
      <c r="H2374">
        <v>4329</v>
      </c>
    </row>
    <row r="2375" spans="1:8" ht="15" customHeight="1" x14ac:dyDescent="0.25">
      <c r="A2375" t="s">
        <v>4618</v>
      </c>
      <c r="B2375" t="s">
        <v>8658</v>
      </c>
      <c r="C2375" t="s">
        <v>10978</v>
      </c>
      <c r="D2375" t="s">
        <v>13287</v>
      </c>
      <c r="E2375" t="str">
        <f>+VLOOKUP(A2375,[1]PFE4!$A$7:$F$5208,6,0)</f>
        <v>CARRERA 34  32  65</v>
      </c>
      <c r="F2375" s="17">
        <f>+VLOOKUP(A2375,[1]PFE4!$A$7:$G$5208,7,0)</f>
        <v>68001</v>
      </c>
      <c r="G2375">
        <v>18891580</v>
      </c>
      <c r="H2375">
        <v>4329</v>
      </c>
    </row>
    <row r="2376" spans="1:8" ht="15" customHeight="1" x14ac:dyDescent="0.25">
      <c r="A2376" t="s">
        <v>4619</v>
      </c>
      <c r="B2376" t="s">
        <v>8659</v>
      </c>
      <c r="C2376" t="s">
        <v>12105</v>
      </c>
      <c r="D2376" t="s">
        <v>13287</v>
      </c>
      <c r="E2376" t="str">
        <f>+VLOOKUP(A2376,[1]PFE4!$A$7:$F$5208,6,0)</f>
        <v>CARRERA 1 A  68  79</v>
      </c>
      <c r="F2376" s="17">
        <f>+VLOOKUP(A2376,[1]PFE4!$A$7:$G$5208,7,0)</f>
        <v>11001</v>
      </c>
      <c r="G2376">
        <v>18924793</v>
      </c>
      <c r="H2376">
        <v>4329</v>
      </c>
    </row>
    <row r="2377" spans="1:8" ht="15" customHeight="1" x14ac:dyDescent="0.25">
      <c r="A2377" t="s">
        <v>4620</v>
      </c>
      <c r="B2377" t="s">
        <v>8660</v>
      </c>
      <c r="C2377" t="s">
        <v>11406</v>
      </c>
      <c r="D2377" t="s">
        <v>13287</v>
      </c>
      <c r="E2377" t="str">
        <f>+VLOOKUP(A2377,[1]PFE4!$A$7:$F$5208,6,0)</f>
        <v>CARRERA 19 A  120  32</v>
      </c>
      <c r="F2377" s="17">
        <f>+VLOOKUP(A2377,[1]PFE4!$A$7:$G$5208,7,0)</f>
        <v>11001</v>
      </c>
      <c r="G2377">
        <v>18928960</v>
      </c>
      <c r="H2377">
        <v>4329</v>
      </c>
    </row>
    <row r="2378" spans="1:8" ht="15" customHeight="1" x14ac:dyDescent="0.25">
      <c r="A2378" t="s">
        <v>4621</v>
      </c>
      <c r="B2378" t="s">
        <v>8661</v>
      </c>
      <c r="C2378" t="s">
        <v>12106</v>
      </c>
      <c r="D2378" t="s">
        <v>13287</v>
      </c>
      <c r="E2378" t="str">
        <f>+VLOOKUP(A2378,[1]PFE4!$A$7:$F$5208,6,0)</f>
        <v>CR 68 A 24 B 10</v>
      </c>
      <c r="F2378" s="17">
        <f>+VLOOKUP(A2378,[1]PFE4!$A$7:$G$5208,7,0)</f>
        <v>11001</v>
      </c>
      <c r="G2378">
        <v>18948572</v>
      </c>
      <c r="H2378">
        <v>4329</v>
      </c>
    </row>
    <row r="2379" spans="1:8" ht="15" customHeight="1" x14ac:dyDescent="0.25">
      <c r="A2379" t="s">
        <v>4622</v>
      </c>
      <c r="B2379" t="s">
        <v>8662</v>
      </c>
      <c r="C2379" t="s">
        <v>12107</v>
      </c>
      <c r="D2379" t="s">
        <v>13287</v>
      </c>
      <c r="E2379" t="str">
        <f>+VLOOKUP(A2379,[1]PFE4!$A$7:$F$5208,6,0)</f>
        <v>CALLE 2D 22 45 PUERTO COLOMBIA</v>
      </c>
      <c r="F2379" s="17" t="str">
        <f>+VLOOKUP(A2379,[1]PFE4!$A$7:$G$5208,7,0)</f>
        <v>08573</v>
      </c>
      <c r="G2379">
        <v>18965400</v>
      </c>
      <c r="H2379">
        <v>4329</v>
      </c>
    </row>
    <row r="2380" spans="1:8" ht="15" customHeight="1" x14ac:dyDescent="0.25">
      <c r="A2380" t="s">
        <v>4623</v>
      </c>
      <c r="B2380" t="s">
        <v>8663</v>
      </c>
      <c r="C2380" t="s">
        <v>11661</v>
      </c>
      <c r="D2380" t="s">
        <v>13287</v>
      </c>
      <c r="E2380" t="str">
        <f>+VLOOKUP(A2380,[1]PFE4!$A$7:$F$5208,6,0)</f>
        <v>CR 55 82 72</v>
      </c>
      <c r="F2380" s="17" t="str">
        <f>+VLOOKUP(A2380,[1]PFE4!$A$7:$G$5208,7,0)</f>
        <v>08001</v>
      </c>
      <c r="G2380">
        <v>18983379</v>
      </c>
      <c r="H2380">
        <v>4329</v>
      </c>
    </row>
    <row r="2381" spans="1:8" ht="15" customHeight="1" x14ac:dyDescent="0.25">
      <c r="A2381" t="s">
        <v>4624</v>
      </c>
      <c r="B2381" t="s">
        <v>8664</v>
      </c>
      <c r="C2381" t="s">
        <v>12108</v>
      </c>
      <c r="D2381" t="s">
        <v>13287</v>
      </c>
      <c r="E2381" t="str">
        <f>+VLOOKUP(A2381,[1]PFE4!$A$7:$F$5208,6,0)</f>
        <v>CR 86 C 53 C 112</v>
      </c>
      <c r="F2381" s="17" t="str">
        <f>+VLOOKUP(A2381,[1]PFE4!$A$7:$G$5208,7,0)</f>
        <v>05001</v>
      </c>
      <c r="G2381">
        <v>19002384</v>
      </c>
      <c r="H2381">
        <v>4329</v>
      </c>
    </row>
    <row r="2382" spans="1:8" ht="15" customHeight="1" x14ac:dyDescent="0.25">
      <c r="A2382" t="s">
        <v>4625</v>
      </c>
      <c r="B2382" t="s">
        <v>8665</v>
      </c>
      <c r="C2382" t="s">
        <v>12109</v>
      </c>
      <c r="D2382" t="s">
        <v>13287</v>
      </c>
      <c r="E2382" t="str">
        <f>+VLOOKUP(A2382,[1]PFE4!$A$7:$F$5208,6,0)</f>
        <v>CR 52 D 75 A A SUR 221</v>
      </c>
      <c r="F2382" s="17" t="str">
        <f>+VLOOKUP(A2382,[1]PFE4!$A$7:$G$5208,7,0)</f>
        <v>05360</v>
      </c>
      <c r="G2382">
        <v>19002400</v>
      </c>
      <c r="H2382">
        <v>4329</v>
      </c>
    </row>
    <row r="2383" spans="1:8" ht="15" customHeight="1" x14ac:dyDescent="0.25">
      <c r="A2383" t="s">
        <v>4626</v>
      </c>
      <c r="B2383" t="s">
        <v>8666</v>
      </c>
      <c r="C2383" t="s">
        <v>12110</v>
      </c>
      <c r="D2383" t="s">
        <v>13287</v>
      </c>
      <c r="E2383" t="str">
        <f>+VLOOKUP(A2383,[1]PFE4!$A$7:$F$5208,6,0)</f>
        <v>AV SUR 36 A 87 SEC  NARANJITO</v>
      </c>
      <c r="F2383" s="17">
        <f>+VLOOKUP(A2383,[1]PFE4!$A$7:$G$5208,7,0)</f>
        <v>66001</v>
      </c>
      <c r="G2383">
        <v>19002844</v>
      </c>
      <c r="H2383">
        <v>4329</v>
      </c>
    </row>
    <row r="2384" spans="1:8" ht="15" customHeight="1" x14ac:dyDescent="0.25">
      <c r="A2384" t="s">
        <v>4627</v>
      </c>
      <c r="B2384" t="s">
        <v>8667</v>
      </c>
      <c r="C2384">
        <v>0</v>
      </c>
      <c r="D2384" t="s">
        <v>13287</v>
      </c>
      <c r="E2384">
        <v>0</v>
      </c>
      <c r="F2384" s="17">
        <v>11001</v>
      </c>
      <c r="G2384">
        <v>19005000</v>
      </c>
      <c r="H2384">
        <v>4329</v>
      </c>
    </row>
    <row r="2385" spans="1:8" ht="15" customHeight="1" x14ac:dyDescent="0.25">
      <c r="A2385" t="s">
        <v>4628</v>
      </c>
      <c r="B2385" t="s">
        <v>8668</v>
      </c>
      <c r="C2385" t="s">
        <v>11245</v>
      </c>
      <c r="D2385" t="s">
        <v>13287</v>
      </c>
      <c r="E2385" t="str">
        <f>+VLOOKUP(A2385,[1]PFE4!$A$7:$F$5208,6,0)</f>
        <v>CARRERA 15  77  50  OFICINA 502</v>
      </c>
      <c r="F2385" s="17">
        <f>+VLOOKUP(A2385,[1]PFE4!$A$7:$G$5208,7,0)</f>
        <v>11001</v>
      </c>
      <c r="G2385">
        <v>19022531</v>
      </c>
      <c r="H2385">
        <v>4329</v>
      </c>
    </row>
    <row r="2386" spans="1:8" ht="15" customHeight="1" x14ac:dyDescent="0.25">
      <c r="A2386" t="s">
        <v>4629</v>
      </c>
      <c r="B2386" t="s">
        <v>8669</v>
      </c>
      <c r="C2386" t="s">
        <v>12111</v>
      </c>
      <c r="D2386" t="s">
        <v>13287</v>
      </c>
      <c r="E2386" t="str">
        <f>+VLOOKUP(A2386,[1]PFE4!$A$7:$F$5208,6,0)</f>
        <v>CL 75 SUR 53 70</v>
      </c>
      <c r="F2386" s="17" t="str">
        <f>+VLOOKUP(A2386,[1]PFE4!$A$7:$G$5208,7,0)</f>
        <v>05001</v>
      </c>
      <c r="G2386">
        <v>19026450</v>
      </c>
      <c r="H2386">
        <v>4329</v>
      </c>
    </row>
    <row r="2387" spans="1:8" ht="15" customHeight="1" x14ac:dyDescent="0.25">
      <c r="A2387" t="s">
        <v>4630</v>
      </c>
      <c r="B2387" t="s">
        <v>8670</v>
      </c>
      <c r="C2387" t="s">
        <v>12112</v>
      </c>
      <c r="D2387" t="s">
        <v>13287</v>
      </c>
      <c r="E2387" t="str">
        <f>+VLOOKUP(A2387,[1]PFE4!$A$7:$F$5208,6,0)</f>
        <v>CALLE 1 B  55  56</v>
      </c>
      <c r="F2387" s="17">
        <f>+VLOOKUP(A2387,[1]PFE4!$A$7:$G$5208,7,0)</f>
        <v>76001</v>
      </c>
      <c r="G2387">
        <v>19031418</v>
      </c>
      <c r="H2387">
        <v>4329</v>
      </c>
    </row>
    <row r="2388" spans="1:8" ht="15" customHeight="1" x14ac:dyDescent="0.25">
      <c r="A2388" t="s">
        <v>4631</v>
      </c>
      <c r="B2388" t="s">
        <v>8671</v>
      </c>
      <c r="C2388" t="s">
        <v>12113</v>
      </c>
      <c r="D2388" t="s">
        <v>13287</v>
      </c>
      <c r="E2388" t="str">
        <f>+VLOOKUP(A2388,[1]PFE4!$A$7:$F$5208,6,0)</f>
        <v>CALLE 55  16 A  04</v>
      </c>
      <c r="F2388" s="17">
        <f>+VLOOKUP(A2388,[1]PFE4!$A$7:$G$5208,7,0)</f>
        <v>11001</v>
      </c>
      <c r="G2388">
        <v>19045172</v>
      </c>
      <c r="H2388">
        <v>4329</v>
      </c>
    </row>
    <row r="2389" spans="1:8" ht="15" customHeight="1" x14ac:dyDescent="0.25">
      <c r="A2389" t="s">
        <v>4632</v>
      </c>
      <c r="B2389" t="s">
        <v>8672</v>
      </c>
      <c r="C2389" t="s">
        <v>12114</v>
      </c>
      <c r="D2389" t="s">
        <v>13287</v>
      </c>
      <c r="E2389" t="str">
        <f>+VLOOKUP(A2389,[1]PFE4!$A$7:$F$5208,6,0)</f>
        <v>CR 21 38 55</v>
      </c>
      <c r="F2389" s="17">
        <f>+VLOOKUP(A2389,[1]PFE4!$A$7:$G$5208,7,0)</f>
        <v>17001</v>
      </c>
      <c r="G2389">
        <v>19050744</v>
      </c>
      <c r="H2389">
        <v>4329</v>
      </c>
    </row>
    <row r="2390" spans="1:8" ht="15" customHeight="1" x14ac:dyDescent="0.25">
      <c r="A2390" t="s">
        <v>4633</v>
      </c>
      <c r="B2390" t="s">
        <v>8673</v>
      </c>
      <c r="C2390" t="s">
        <v>12115</v>
      </c>
      <c r="D2390" t="s">
        <v>13287</v>
      </c>
      <c r="E2390" t="str">
        <f>+VLOOKUP(A2390,[1]PFE4!$A$7:$F$5208,6,0)</f>
        <v>CARRERA 28  11  65 OFICINA 516</v>
      </c>
      <c r="F2390" s="17">
        <f>+VLOOKUP(A2390,[1]PFE4!$A$7:$G$5208,7,0)</f>
        <v>11001</v>
      </c>
      <c r="G2390">
        <v>19071264</v>
      </c>
      <c r="H2390">
        <v>4329</v>
      </c>
    </row>
    <row r="2391" spans="1:8" ht="15" customHeight="1" x14ac:dyDescent="0.25">
      <c r="A2391" t="s">
        <v>4634</v>
      </c>
      <c r="B2391" t="s">
        <v>8674</v>
      </c>
      <c r="C2391">
        <v>0</v>
      </c>
      <c r="D2391" t="s">
        <v>13287</v>
      </c>
      <c r="E2391">
        <v>0</v>
      </c>
      <c r="F2391" s="17">
        <v>11001</v>
      </c>
      <c r="G2391">
        <v>19079936</v>
      </c>
      <c r="H2391">
        <v>4329</v>
      </c>
    </row>
    <row r="2392" spans="1:8" ht="15" customHeight="1" x14ac:dyDescent="0.25">
      <c r="A2392" t="s">
        <v>4635</v>
      </c>
      <c r="B2392" t="s">
        <v>8675</v>
      </c>
      <c r="C2392" t="s">
        <v>12116</v>
      </c>
      <c r="D2392" t="s">
        <v>13287</v>
      </c>
      <c r="E2392" t="str">
        <f>+VLOOKUP(A2392,[1]PFE4!$A$7:$F$5208,6,0)</f>
        <v>CR 49 52 A 116</v>
      </c>
      <c r="F2392" s="17">
        <f>+VLOOKUP(A2392,[1]PFE4!$A$7:$G$5208,7,0)</f>
        <v>68001</v>
      </c>
      <c r="G2392">
        <v>19096612</v>
      </c>
      <c r="H2392">
        <v>4329</v>
      </c>
    </row>
    <row r="2393" spans="1:8" ht="15" customHeight="1" x14ac:dyDescent="0.25">
      <c r="A2393" t="s">
        <v>4636</v>
      </c>
      <c r="B2393" t="s">
        <v>8676</v>
      </c>
      <c r="C2393" t="s">
        <v>12117</v>
      </c>
      <c r="D2393" t="s">
        <v>13287</v>
      </c>
      <c r="E2393" t="str">
        <f>+VLOOKUP(A2393,[1]PFE4!$A$7:$F$5208,6,0)</f>
        <v>CL 54 94 24</v>
      </c>
      <c r="F2393" s="17">
        <f>+VLOOKUP(A2393,[1]PFE4!$A$7:$G$5208,7,0)</f>
        <v>11001</v>
      </c>
      <c r="G2393">
        <v>19115388</v>
      </c>
      <c r="H2393">
        <v>4329</v>
      </c>
    </row>
    <row r="2394" spans="1:8" ht="15" customHeight="1" x14ac:dyDescent="0.25">
      <c r="A2394" t="s">
        <v>4637</v>
      </c>
      <c r="B2394" t="s">
        <v>8677</v>
      </c>
      <c r="C2394" t="s">
        <v>12118</v>
      </c>
      <c r="D2394" t="s">
        <v>13287</v>
      </c>
      <c r="E2394" t="str">
        <f>+VLOOKUP(A2394,[1]PFE4!$A$7:$F$5208,6,0)</f>
        <v>CALLE 15  25  46</v>
      </c>
      <c r="F2394" s="17">
        <f>+VLOOKUP(A2394,[1]PFE4!$A$7:$G$5208,7,0)</f>
        <v>68001</v>
      </c>
      <c r="G2394">
        <v>19116938</v>
      </c>
      <c r="H2394">
        <v>4329</v>
      </c>
    </row>
    <row r="2395" spans="1:8" ht="15" customHeight="1" x14ac:dyDescent="0.25">
      <c r="A2395" t="s">
        <v>4638</v>
      </c>
      <c r="B2395" t="s">
        <v>8678</v>
      </c>
      <c r="C2395" t="s">
        <v>12119</v>
      </c>
      <c r="D2395" t="s">
        <v>13287</v>
      </c>
      <c r="E2395" t="str">
        <f>+VLOOKUP(A2395,[1]PFE4!$A$7:$F$5208,6,0)</f>
        <v>CARRERA 20  20 A SUR  55</v>
      </c>
      <c r="F2395" s="17" t="str">
        <f>+VLOOKUP(A2395,[1]PFE4!$A$7:$G$5208,7,0)</f>
        <v>05001</v>
      </c>
      <c r="G2395">
        <v>19117556</v>
      </c>
      <c r="H2395">
        <v>4329</v>
      </c>
    </row>
    <row r="2396" spans="1:8" ht="15" customHeight="1" x14ac:dyDescent="0.25">
      <c r="A2396" t="s">
        <v>4639</v>
      </c>
      <c r="B2396" t="s">
        <v>8679</v>
      </c>
      <c r="C2396" t="s">
        <v>12120</v>
      </c>
      <c r="D2396" t="s">
        <v>13287</v>
      </c>
      <c r="E2396" t="str">
        <f>+VLOOKUP(A2396,[1]PFE4!$A$7:$F$5208,6,0)</f>
        <v>KILOMETRO 3 VIA AEROPUERTO LLANO GRANDE</v>
      </c>
      <c r="F2396" s="17" t="str">
        <f>+VLOOKUP(A2396,[1]PFE4!$A$7:$G$5208,7,0)</f>
        <v>05615</v>
      </c>
      <c r="G2396">
        <v>19127772</v>
      </c>
      <c r="H2396">
        <v>4329</v>
      </c>
    </row>
    <row r="2397" spans="1:8" ht="15" customHeight="1" x14ac:dyDescent="0.25">
      <c r="A2397" t="s">
        <v>4640</v>
      </c>
      <c r="B2397" t="s">
        <v>8680</v>
      </c>
      <c r="C2397" t="s">
        <v>12121</v>
      </c>
      <c r="D2397" t="s">
        <v>13287</v>
      </c>
      <c r="E2397" t="str">
        <f>+VLOOKUP(A2397,[1]PFE4!$A$7:$F$5208,6,0)</f>
        <v>CARRERA 14  127 B  23</v>
      </c>
      <c r="F2397" s="17">
        <f>+VLOOKUP(A2397,[1]PFE4!$A$7:$G$5208,7,0)</f>
        <v>11001</v>
      </c>
      <c r="G2397">
        <v>19131960</v>
      </c>
      <c r="H2397">
        <v>4329</v>
      </c>
    </row>
    <row r="2398" spans="1:8" ht="15" customHeight="1" x14ac:dyDescent="0.25">
      <c r="A2398" t="s">
        <v>4641</v>
      </c>
      <c r="B2398" t="s">
        <v>8681</v>
      </c>
      <c r="C2398" t="s">
        <v>12122</v>
      </c>
      <c r="D2398" t="s">
        <v>13287</v>
      </c>
      <c r="E2398" t="str">
        <f>+VLOOKUP(A2398,[1]PFE4!$A$7:$F$5208,6,0)</f>
        <v>CARRERA 13  96  67</v>
      </c>
      <c r="F2398" s="17">
        <f>+VLOOKUP(A2398,[1]PFE4!$A$7:$G$5208,7,0)</f>
        <v>11001</v>
      </c>
      <c r="G2398">
        <v>19140186</v>
      </c>
      <c r="H2398">
        <v>4329</v>
      </c>
    </row>
    <row r="2399" spans="1:8" ht="15" customHeight="1" x14ac:dyDescent="0.25">
      <c r="A2399" t="s">
        <v>4642</v>
      </c>
      <c r="B2399" t="s">
        <v>8682</v>
      </c>
      <c r="C2399">
        <v>3219664011</v>
      </c>
      <c r="D2399" t="s">
        <v>13287</v>
      </c>
      <c r="E2399" t="str">
        <f>+VLOOKUP(A2399,[1]PFE4!$A$7:$F$5208,6,0)</f>
        <v>CARRERA 24  3 A  137</v>
      </c>
      <c r="F2399" s="17" t="str">
        <f>+VLOOKUP(A2399,[1]PFE4!$A$7:$G$5208,7,0)</f>
        <v>08573</v>
      </c>
      <c r="G2399">
        <v>19169800</v>
      </c>
      <c r="H2399">
        <v>4329</v>
      </c>
    </row>
    <row r="2400" spans="1:8" ht="15" customHeight="1" x14ac:dyDescent="0.25">
      <c r="A2400" t="s">
        <v>4643</v>
      </c>
      <c r="B2400" t="s">
        <v>8683</v>
      </c>
      <c r="C2400" t="s">
        <v>12123</v>
      </c>
      <c r="D2400" t="s">
        <v>13287</v>
      </c>
      <c r="E2400" t="str">
        <f>+VLOOKUP(A2400,[1]PFE4!$A$7:$F$5208,6,0)</f>
        <v>AVENIDA 2  1 A  60</v>
      </c>
      <c r="F2400" s="17">
        <f>+VLOOKUP(A2400,[1]PFE4!$A$7:$G$5208,7,0)</f>
        <v>54001</v>
      </c>
      <c r="G2400">
        <v>19171594</v>
      </c>
      <c r="H2400">
        <v>4329</v>
      </c>
    </row>
    <row r="2401" spans="1:8" ht="15" customHeight="1" x14ac:dyDescent="0.25">
      <c r="A2401" t="s">
        <v>4644</v>
      </c>
      <c r="B2401" t="s">
        <v>8684</v>
      </c>
      <c r="C2401" t="s">
        <v>12124</v>
      </c>
      <c r="D2401" t="s">
        <v>13287</v>
      </c>
      <c r="E2401" t="str">
        <f>+VLOOKUP(A2401,[1]PFE4!$A$7:$F$5208,6,0)</f>
        <v>CARRERA 24  36 A  90</v>
      </c>
      <c r="F2401" s="17" t="str">
        <f>+VLOOKUP(A2401,[1]PFE4!$A$7:$G$5208,7,0)</f>
        <v>05001</v>
      </c>
      <c r="G2401">
        <v>19192814</v>
      </c>
      <c r="H2401">
        <v>4329</v>
      </c>
    </row>
    <row r="2402" spans="1:8" ht="15" customHeight="1" x14ac:dyDescent="0.25">
      <c r="A2402" t="s">
        <v>4645</v>
      </c>
      <c r="B2402" t="s">
        <v>8685</v>
      </c>
      <c r="C2402" t="s">
        <v>12125</v>
      </c>
      <c r="D2402" t="s">
        <v>13287</v>
      </c>
      <c r="E2402" t="str">
        <f>+VLOOKUP(A2402,[1]PFE4!$A$7:$F$5208,6,0)</f>
        <v>CARRERA 39  44  42</v>
      </c>
      <c r="F2402" s="17">
        <f>+VLOOKUP(A2402,[1]PFE4!$A$7:$G$5208,7,0)</f>
        <v>68001</v>
      </c>
      <c r="G2402">
        <v>19193864</v>
      </c>
      <c r="H2402">
        <v>4329</v>
      </c>
    </row>
    <row r="2403" spans="1:8" ht="15" customHeight="1" x14ac:dyDescent="0.25">
      <c r="A2403" t="s">
        <v>4646</v>
      </c>
      <c r="B2403" t="s">
        <v>8686</v>
      </c>
      <c r="C2403" t="s">
        <v>11665</v>
      </c>
      <c r="D2403" t="s">
        <v>13287</v>
      </c>
      <c r="E2403" t="str">
        <f>+VLOOKUP(A2403,[1]PFE4!$A$7:$F$5208,6,0)</f>
        <v>CR 54 A 75 SUR</v>
      </c>
      <c r="F2403" s="17" t="str">
        <f>+VLOOKUP(A2403,[1]PFE4!$A$7:$G$5208,7,0)</f>
        <v>05380</v>
      </c>
      <c r="G2403">
        <v>19200000</v>
      </c>
      <c r="H2403">
        <v>4329</v>
      </c>
    </row>
    <row r="2404" spans="1:8" ht="15" customHeight="1" x14ac:dyDescent="0.25">
      <c r="A2404" t="s">
        <v>4647</v>
      </c>
      <c r="B2404" t="s">
        <v>8687</v>
      </c>
      <c r="C2404" t="s">
        <v>12126</v>
      </c>
      <c r="D2404" t="s">
        <v>13287</v>
      </c>
      <c r="E2404" t="str">
        <f>+VLOOKUP(A2404,[1]PFE4!$A$7:$F$5208,6,0)</f>
        <v>BRR CRESPO CL 72 10 45</v>
      </c>
      <c r="F2404" s="17">
        <f>+VLOOKUP(A2404,[1]PFE4!$A$7:$G$5208,7,0)</f>
        <v>13001</v>
      </c>
      <c r="G2404">
        <v>19222944</v>
      </c>
      <c r="H2404">
        <v>4329</v>
      </c>
    </row>
    <row r="2405" spans="1:8" ht="15" customHeight="1" x14ac:dyDescent="0.25">
      <c r="A2405" t="s">
        <v>4648</v>
      </c>
      <c r="B2405" t="s">
        <v>8688</v>
      </c>
      <c r="C2405" t="s">
        <v>10841</v>
      </c>
      <c r="D2405" t="s">
        <v>13287</v>
      </c>
      <c r="E2405" t="str">
        <f>+VLOOKUP(A2405,[1]PFE4!$A$7:$F$5208,6,0)</f>
        <v>CARRERA 19 A  120  32</v>
      </c>
      <c r="F2405" s="17">
        <f>+VLOOKUP(A2405,[1]PFE4!$A$7:$G$5208,7,0)</f>
        <v>11001</v>
      </c>
      <c r="G2405">
        <v>19231357</v>
      </c>
      <c r="H2405">
        <v>4329</v>
      </c>
    </row>
    <row r="2406" spans="1:8" ht="15" customHeight="1" x14ac:dyDescent="0.25">
      <c r="A2406" t="s">
        <v>4649</v>
      </c>
      <c r="B2406" t="s">
        <v>8689</v>
      </c>
      <c r="C2406">
        <v>0</v>
      </c>
      <c r="D2406" t="s">
        <v>13287</v>
      </c>
      <c r="E2406">
        <v>0</v>
      </c>
      <c r="F2406" s="17">
        <v>11001</v>
      </c>
      <c r="G2406">
        <v>19240000</v>
      </c>
      <c r="H2406">
        <v>4329</v>
      </c>
    </row>
    <row r="2407" spans="1:8" ht="15" customHeight="1" x14ac:dyDescent="0.25">
      <c r="A2407" t="s">
        <v>4650</v>
      </c>
      <c r="B2407" t="s">
        <v>8690</v>
      </c>
      <c r="C2407" t="s">
        <v>11817</v>
      </c>
      <c r="D2407" t="s">
        <v>13287</v>
      </c>
      <c r="E2407" t="str">
        <f>+VLOOKUP(A2407,[1]PFE4!$A$7:$F$5208,6,0)</f>
        <v>CALLE 64  3 B  52</v>
      </c>
      <c r="F2407" s="17">
        <f>+VLOOKUP(A2407,[1]PFE4!$A$7:$G$5208,7,0)</f>
        <v>11001</v>
      </c>
      <c r="G2407">
        <v>19244272</v>
      </c>
      <c r="H2407">
        <v>4329</v>
      </c>
    </row>
    <row r="2408" spans="1:8" ht="15" customHeight="1" x14ac:dyDescent="0.25">
      <c r="A2408" t="s">
        <v>4651</v>
      </c>
      <c r="B2408" t="s">
        <v>8691</v>
      </c>
      <c r="C2408" t="s">
        <v>12127</v>
      </c>
      <c r="D2408" t="s">
        <v>13287</v>
      </c>
      <c r="E2408" t="str">
        <f>+VLOOKUP(A2408,[1]PFE4!$A$7:$F$5208,6,0)</f>
        <v>DIAGONAL 53  16  80</v>
      </c>
      <c r="F2408" s="17">
        <f>+VLOOKUP(A2408,[1]PFE4!$A$7:$G$5208,7,0)</f>
        <v>11001</v>
      </c>
      <c r="G2408">
        <v>19285538</v>
      </c>
      <c r="H2408">
        <v>4329</v>
      </c>
    </row>
    <row r="2409" spans="1:8" ht="15" customHeight="1" x14ac:dyDescent="0.25">
      <c r="A2409" t="s">
        <v>4652</v>
      </c>
      <c r="B2409" t="s">
        <v>8692</v>
      </c>
      <c r="C2409" t="s">
        <v>12128</v>
      </c>
      <c r="D2409" t="s">
        <v>13287</v>
      </c>
      <c r="E2409" t="str">
        <f>+VLOOKUP(A2409,[1]PFE4!$A$7:$F$5208,6,0)</f>
        <v>CARRERA 2  7 OESTE  130</v>
      </c>
      <c r="F2409" s="17">
        <f>+VLOOKUP(A2409,[1]PFE4!$A$7:$G$5208,7,0)</f>
        <v>76001</v>
      </c>
      <c r="G2409">
        <v>19298137</v>
      </c>
      <c r="H2409">
        <v>4329</v>
      </c>
    </row>
    <row r="2410" spans="1:8" ht="15" customHeight="1" x14ac:dyDescent="0.25">
      <c r="A2410" t="s">
        <v>4653</v>
      </c>
      <c r="B2410" t="s">
        <v>8693</v>
      </c>
      <c r="C2410" t="s">
        <v>12129</v>
      </c>
      <c r="D2410" t="s">
        <v>13287</v>
      </c>
      <c r="E2410" t="str">
        <f>+VLOOKUP(A2410,[1]PFE4!$A$7:$F$5208,6,0)</f>
        <v>CR 14 94 44 TO B PISO 6</v>
      </c>
      <c r="F2410" s="17">
        <f>+VLOOKUP(A2410,[1]PFE4!$A$7:$G$5208,7,0)</f>
        <v>11001</v>
      </c>
      <c r="G2410">
        <v>19343190</v>
      </c>
      <c r="H2410">
        <v>4329</v>
      </c>
    </row>
    <row r="2411" spans="1:8" ht="15" customHeight="1" x14ac:dyDescent="0.25">
      <c r="A2411" t="s">
        <v>4654</v>
      </c>
      <c r="B2411" t="s">
        <v>8694</v>
      </c>
      <c r="C2411" t="s">
        <v>12130</v>
      </c>
      <c r="D2411" t="s">
        <v>13287</v>
      </c>
      <c r="E2411" t="str">
        <f>+VLOOKUP(A2411,[1]PFE4!$A$7:$F$5208,6,0)</f>
        <v>CARRERA 102  181  45</v>
      </c>
      <c r="F2411" s="17">
        <f>+VLOOKUP(A2411,[1]PFE4!$A$7:$G$5208,7,0)</f>
        <v>76001</v>
      </c>
      <c r="G2411">
        <v>19351888</v>
      </c>
      <c r="H2411">
        <v>4329</v>
      </c>
    </row>
    <row r="2412" spans="1:8" ht="15" customHeight="1" x14ac:dyDescent="0.25">
      <c r="A2412" t="s">
        <v>4655</v>
      </c>
      <c r="B2412" t="s">
        <v>8695</v>
      </c>
      <c r="C2412" t="s">
        <v>12131</v>
      </c>
      <c r="D2412" t="s">
        <v>13287</v>
      </c>
      <c r="E2412" t="str">
        <f>+VLOOKUP(A2412,[1]PFE4!$A$7:$F$5208,6,0)</f>
        <v>CR 36 44 25 35 39 BRR CABECERA</v>
      </c>
      <c r="F2412" s="17">
        <f>+VLOOKUP(A2412,[1]PFE4!$A$7:$G$5208,7,0)</f>
        <v>68001</v>
      </c>
      <c r="G2412">
        <v>19365528</v>
      </c>
      <c r="H2412">
        <v>4329</v>
      </c>
    </row>
    <row r="2413" spans="1:8" ht="15" customHeight="1" x14ac:dyDescent="0.25">
      <c r="A2413" t="s">
        <v>4656</v>
      </c>
      <c r="B2413" t="s">
        <v>8696</v>
      </c>
      <c r="C2413" t="s">
        <v>12132</v>
      </c>
      <c r="D2413" t="s">
        <v>13287</v>
      </c>
      <c r="E2413" t="str">
        <f>+VLOOKUP(A2413,[1]PFE4!$A$7:$F$5208,6,0)</f>
        <v>CRA 38 # 9A - 13</v>
      </c>
      <c r="F2413" s="17" t="str">
        <f>+VLOOKUP(A2413,[1]PFE4!$A$7:$G$5208,7,0)</f>
        <v>05001</v>
      </c>
      <c r="G2413">
        <v>19376146</v>
      </c>
      <c r="H2413">
        <v>4329</v>
      </c>
    </row>
    <row r="2414" spans="1:8" ht="15" customHeight="1" x14ac:dyDescent="0.25">
      <c r="A2414" t="s">
        <v>4657</v>
      </c>
      <c r="B2414" t="s">
        <v>8697</v>
      </c>
      <c r="C2414" t="s">
        <v>12133</v>
      </c>
      <c r="D2414" t="s">
        <v>13287</v>
      </c>
      <c r="E2414" t="str">
        <f>+VLOOKUP(A2414,[1]PFE4!$A$7:$F$5208,6,0)</f>
        <v>CALLE 169 B  74 A  02</v>
      </c>
      <c r="F2414" s="17">
        <f>+VLOOKUP(A2414,[1]PFE4!$A$7:$G$5208,7,0)</f>
        <v>11001</v>
      </c>
      <c r="G2414">
        <v>19379064</v>
      </c>
      <c r="H2414">
        <v>4329</v>
      </c>
    </row>
    <row r="2415" spans="1:8" ht="15" customHeight="1" x14ac:dyDescent="0.25">
      <c r="A2415" t="s">
        <v>4658</v>
      </c>
      <c r="B2415" t="s">
        <v>8698</v>
      </c>
      <c r="C2415" t="s">
        <v>12134</v>
      </c>
      <c r="D2415" t="s">
        <v>13287</v>
      </c>
      <c r="E2415" t="str">
        <f>+VLOOKUP(A2415,[1]PFE4!$A$7:$F$5208,6,0)</f>
        <v>CALLE 69 No.8-01</v>
      </c>
      <c r="F2415" s="17">
        <f>+VLOOKUP(A2415,[1]PFE4!$A$7:$G$5208,7,0)</f>
        <v>17001</v>
      </c>
      <c r="G2415">
        <v>19388100</v>
      </c>
      <c r="H2415">
        <v>4329</v>
      </c>
    </row>
    <row r="2416" spans="1:8" ht="15" customHeight="1" x14ac:dyDescent="0.25">
      <c r="A2416" t="s">
        <v>4659</v>
      </c>
      <c r="B2416" t="s">
        <v>8699</v>
      </c>
      <c r="C2416" t="s">
        <v>12135</v>
      </c>
      <c r="D2416" t="s">
        <v>13287</v>
      </c>
      <c r="E2416" t="str">
        <f>+VLOOKUP(A2416,[1]PFE4!$A$7:$F$5208,6,0)</f>
        <v>CALLE 48  48  96</v>
      </c>
      <c r="F2416" s="17" t="str">
        <f>+VLOOKUP(A2416,[1]PFE4!$A$7:$G$5208,7,0)</f>
        <v>05697</v>
      </c>
      <c r="G2416">
        <v>19405044</v>
      </c>
      <c r="H2416">
        <v>4329</v>
      </c>
    </row>
    <row r="2417" spans="1:8" ht="15" customHeight="1" x14ac:dyDescent="0.25">
      <c r="A2417" t="s">
        <v>4660</v>
      </c>
      <c r="B2417" t="s">
        <v>8700</v>
      </c>
      <c r="C2417" t="s">
        <v>12136</v>
      </c>
      <c r="D2417" t="s">
        <v>13287</v>
      </c>
      <c r="E2417" t="str">
        <f>+VLOOKUP(A2417,[1]PFE4!$A$7:$F$5208,6,0)</f>
        <v>calle 106 N°26a-05 BRR</v>
      </c>
      <c r="F2417" s="17">
        <f>+VLOOKUP(A2417,[1]PFE4!$A$7:$G$5208,7,0)</f>
        <v>11001</v>
      </c>
      <c r="G2417">
        <v>19422292</v>
      </c>
      <c r="H2417">
        <v>4329</v>
      </c>
    </row>
    <row r="2418" spans="1:8" ht="15" customHeight="1" x14ac:dyDescent="0.25">
      <c r="A2418" t="s">
        <v>4661</v>
      </c>
      <c r="B2418" t="s">
        <v>8701</v>
      </c>
      <c r="C2418" t="s">
        <v>12137</v>
      </c>
      <c r="D2418" t="s">
        <v>13287</v>
      </c>
      <c r="E2418" t="str">
        <f>+VLOOKUP(A2418,[1]PFE4!$A$7:$F$5208,6,0)</f>
        <v>TV 5A  N° 45 69</v>
      </c>
      <c r="F2418" s="17" t="str">
        <f>+VLOOKUP(A2418,[1]PFE4!$A$7:$G$5208,7,0)</f>
        <v>05001</v>
      </c>
      <c r="G2418">
        <v>19425768</v>
      </c>
      <c r="H2418">
        <v>4329</v>
      </c>
    </row>
    <row r="2419" spans="1:8" ht="15" customHeight="1" x14ac:dyDescent="0.25">
      <c r="A2419" t="s">
        <v>4662</v>
      </c>
      <c r="B2419" t="s">
        <v>8702</v>
      </c>
      <c r="C2419" t="s">
        <v>12138</v>
      </c>
      <c r="D2419" t="s">
        <v>13287</v>
      </c>
      <c r="E2419" t="str">
        <f>+VLOOKUP(A2419,[1]PFE4!$A$7:$F$5208,6,0)</f>
        <v>CALLE 135  7  41</v>
      </c>
      <c r="F2419" s="17">
        <f>+VLOOKUP(A2419,[1]PFE4!$A$7:$G$5208,7,0)</f>
        <v>11001</v>
      </c>
      <c r="G2419">
        <v>19431127</v>
      </c>
      <c r="H2419">
        <v>4329</v>
      </c>
    </row>
    <row r="2420" spans="1:8" ht="15" customHeight="1" x14ac:dyDescent="0.25">
      <c r="A2420" t="s">
        <v>4663</v>
      </c>
      <c r="B2420" t="s">
        <v>8703</v>
      </c>
      <c r="C2420" t="s">
        <v>12139</v>
      </c>
      <c r="D2420" t="s">
        <v>13287</v>
      </c>
      <c r="E2420" t="str">
        <f>+VLOOKUP(A2420,[1]PFE4!$A$7:$F$5208,6,0)</f>
        <v>CR 2 OESTE 10 20</v>
      </c>
      <c r="F2420" s="17">
        <f>+VLOOKUP(A2420,[1]PFE4!$A$7:$G$5208,7,0)</f>
        <v>76001</v>
      </c>
      <c r="G2420">
        <v>19466420</v>
      </c>
      <c r="H2420">
        <v>4329</v>
      </c>
    </row>
    <row r="2421" spans="1:8" ht="15" customHeight="1" x14ac:dyDescent="0.25">
      <c r="A2421" t="s">
        <v>4664</v>
      </c>
      <c r="B2421" t="s">
        <v>8704</v>
      </c>
      <c r="C2421" t="s">
        <v>12140</v>
      </c>
      <c r="D2421" t="s">
        <v>13287</v>
      </c>
      <c r="E2421" t="str">
        <f>+VLOOKUP(A2421,[1]PFE4!$A$7:$F$5208,6,0)</f>
        <v>CALLE 32  34  29</v>
      </c>
      <c r="F2421" s="17">
        <f>+VLOOKUP(A2421,[1]PFE4!$A$7:$G$5208,7,0)</f>
        <v>68001</v>
      </c>
      <c r="G2421">
        <v>19491176</v>
      </c>
      <c r="H2421">
        <v>4329</v>
      </c>
    </row>
    <row r="2422" spans="1:8" ht="15" customHeight="1" x14ac:dyDescent="0.25">
      <c r="A2422" t="s">
        <v>4665</v>
      </c>
      <c r="B2422" t="s">
        <v>8705</v>
      </c>
      <c r="C2422" t="s">
        <v>12141</v>
      </c>
      <c r="D2422" t="s">
        <v>13287</v>
      </c>
      <c r="E2422" t="str">
        <f>+VLOOKUP(A2422,[1]PFE4!$A$7:$F$5208,6,0)</f>
        <v>CALLE 10  25  82</v>
      </c>
      <c r="F2422" s="17">
        <f>+VLOOKUP(A2422,[1]PFE4!$A$7:$G$5208,7,0)</f>
        <v>54001</v>
      </c>
      <c r="G2422">
        <v>19501380</v>
      </c>
      <c r="H2422">
        <v>4329</v>
      </c>
    </row>
    <row r="2423" spans="1:8" ht="15" customHeight="1" x14ac:dyDescent="0.25">
      <c r="A2423" t="s">
        <v>4666</v>
      </c>
      <c r="B2423" t="s">
        <v>8706</v>
      </c>
      <c r="C2423" t="s">
        <v>12142</v>
      </c>
      <c r="D2423" t="s">
        <v>13287</v>
      </c>
      <c r="E2423" t="str">
        <f>+VLOOKUP(A2423,[1]PFE4!$A$7:$F$5208,6,0)</f>
        <v>CALLE 44  36  30</v>
      </c>
      <c r="F2423" s="17">
        <f>+VLOOKUP(A2423,[1]PFE4!$A$7:$G$5208,7,0)</f>
        <v>11001</v>
      </c>
      <c r="G2423">
        <v>19509884</v>
      </c>
      <c r="H2423">
        <v>4329</v>
      </c>
    </row>
    <row r="2424" spans="1:8" ht="15" customHeight="1" x14ac:dyDescent="0.25">
      <c r="A2424" t="s">
        <v>4667</v>
      </c>
      <c r="B2424" t="s">
        <v>8707</v>
      </c>
      <c r="C2424">
        <v>0</v>
      </c>
      <c r="D2424" t="s">
        <v>13287</v>
      </c>
      <c r="E2424">
        <v>0</v>
      </c>
      <c r="F2424" s="17">
        <v>11001</v>
      </c>
      <c r="G2424">
        <v>19512708</v>
      </c>
      <c r="H2424">
        <v>4329</v>
      </c>
    </row>
    <row r="2425" spans="1:8" ht="15" customHeight="1" x14ac:dyDescent="0.25">
      <c r="A2425" t="s">
        <v>4668</v>
      </c>
      <c r="B2425" t="s">
        <v>8708</v>
      </c>
      <c r="C2425" t="s">
        <v>12143</v>
      </c>
      <c r="D2425" t="s">
        <v>13287</v>
      </c>
      <c r="E2425" t="str">
        <f>+VLOOKUP(A2425,[1]PFE4!$A$7:$F$5208,6,0)</f>
        <v>CALLE 71 SUR  45 A  43</v>
      </c>
      <c r="F2425" s="17" t="str">
        <f>+VLOOKUP(A2425,[1]PFE4!$A$7:$G$5208,7,0)</f>
        <v>05631</v>
      </c>
      <c r="G2425">
        <v>19516780</v>
      </c>
      <c r="H2425">
        <v>4329</v>
      </c>
    </row>
    <row r="2426" spans="1:8" ht="15" customHeight="1" x14ac:dyDescent="0.25">
      <c r="A2426" t="s">
        <v>4669</v>
      </c>
      <c r="B2426" t="s">
        <v>8709</v>
      </c>
      <c r="C2426" t="s">
        <v>12144</v>
      </c>
      <c r="D2426" t="s">
        <v>13287</v>
      </c>
      <c r="E2426" t="str">
        <f>+VLOOKUP(A2426,[1]PFE4!$A$7:$F$5208,6,0)</f>
        <v>CALLE 41  34  60</v>
      </c>
      <c r="F2426" s="17">
        <f>+VLOOKUP(A2426,[1]PFE4!$A$7:$G$5208,7,0)</f>
        <v>11001</v>
      </c>
      <c r="G2426">
        <v>19522240</v>
      </c>
      <c r="H2426">
        <v>4329</v>
      </c>
    </row>
    <row r="2427" spans="1:8" ht="15" customHeight="1" x14ac:dyDescent="0.25">
      <c r="A2427" t="s">
        <v>4670</v>
      </c>
      <c r="B2427" t="s">
        <v>8710</v>
      </c>
      <c r="C2427" t="s">
        <v>12145</v>
      </c>
      <c r="D2427" t="s">
        <v>13287</v>
      </c>
      <c r="E2427" t="str">
        <f>+VLOOKUP(A2427,[1]PFE4!$A$7:$F$5208,6,0)</f>
        <v>CALLE 12  9  55  INTERIOR 1</v>
      </c>
      <c r="F2427" s="17">
        <f>+VLOOKUP(A2427,[1]PFE4!$A$7:$G$5208,7,0)</f>
        <v>11001</v>
      </c>
      <c r="G2427">
        <v>19524310</v>
      </c>
      <c r="H2427">
        <v>4329</v>
      </c>
    </row>
    <row r="2428" spans="1:8" ht="15" customHeight="1" x14ac:dyDescent="0.25">
      <c r="A2428" t="s">
        <v>4671</v>
      </c>
      <c r="B2428" t="s">
        <v>8711</v>
      </c>
      <c r="C2428" t="s">
        <v>12146</v>
      </c>
      <c r="D2428" t="s">
        <v>13287</v>
      </c>
      <c r="E2428" t="str">
        <f>+VLOOKUP(A2428,[1]PFE4!$A$7:$F$5208,6,0)</f>
        <v>CARRERA 70 D  115 A  38  OFICINA 602</v>
      </c>
      <c r="F2428" s="17">
        <f>+VLOOKUP(A2428,[1]PFE4!$A$7:$G$5208,7,0)</f>
        <v>11001</v>
      </c>
      <c r="G2428">
        <v>19536043</v>
      </c>
      <c r="H2428">
        <v>4329</v>
      </c>
    </row>
    <row r="2429" spans="1:8" ht="15" customHeight="1" x14ac:dyDescent="0.25">
      <c r="A2429" t="s">
        <v>4672</v>
      </c>
      <c r="B2429" t="s">
        <v>8712</v>
      </c>
      <c r="C2429" t="s">
        <v>12147</v>
      </c>
      <c r="D2429" t="s">
        <v>13287</v>
      </c>
      <c r="E2429" t="str">
        <f>+VLOOKUP(A2429,[1]PFE4!$A$7:$F$5208,6,0)</f>
        <v>CALLE 15  80  161</v>
      </c>
      <c r="F2429" s="17" t="str">
        <f>+VLOOKUP(A2429,[1]PFE4!$A$7:$G$5208,7,0)</f>
        <v>05001</v>
      </c>
      <c r="G2429">
        <v>19548454</v>
      </c>
      <c r="H2429">
        <v>4329</v>
      </c>
    </row>
    <row r="2430" spans="1:8" ht="15" customHeight="1" x14ac:dyDescent="0.25">
      <c r="A2430" t="s">
        <v>4673</v>
      </c>
      <c r="B2430" t="s">
        <v>8713</v>
      </c>
      <c r="C2430" t="s">
        <v>12148</v>
      </c>
      <c r="D2430" t="s">
        <v>13287</v>
      </c>
      <c r="E2430" t="str">
        <f>+VLOOKUP(A2430,[1]PFE4!$A$7:$F$5208,6,0)</f>
        <v>CALLE 43 E SUR  42 B  05</v>
      </c>
      <c r="F2430" s="17" t="str">
        <f>+VLOOKUP(A2430,[1]PFE4!$A$7:$G$5208,7,0)</f>
        <v>05266</v>
      </c>
      <c r="G2430">
        <v>19587350</v>
      </c>
      <c r="H2430">
        <v>4329</v>
      </c>
    </row>
    <row r="2431" spans="1:8" ht="15" customHeight="1" x14ac:dyDescent="0.25">
      <c r="A2431" t="s">
        <v>4674</v>
      </c>
      <c r="B2431" t="s">
        <v>8714</v>
      </c>
      <c r="C2431" t="s">
        <v>12149</v>
      </c>
      <c r="D2431" t="s">
        <v>13287</v>
      </c>
      <c r="E2431" t="str">
        <f>+VLOOKUP(A2431,[1]PFE4!$A$7:$F$5208,6,0)</f>
        <v>CARRERA 2  10  59</v>
      </c>
      <c r="F2431" s="17">
        <f>+VLOOKUP(A2431,[1]PFE4!$A$7:$G$5208,7,0)</f>
        <v>11001</v>
      </c>
      <c r="G2431">
        <v>19617600</v>
      </c>
      <c r="H2431">
        <v>4329</v>
      </c>
    </row>
    <row r="2432" spans="1:8" ht="15" customHeight="1" x14ac:dyDescent="0.25">
      <c r="A2432" t="s">
        <v>4675</v>
      </c>
      <c r="B2432" t="s">
        <v>8715</v>
      </c>
      <c r="C2432" t="s">
        <v>12150</v>
      </c>
      <c r="D2432" t="s">
        <v>13287</v>
      </c>
      <c r="E2432" t="str">
        <f>+VLOOKUP(A2432,[1]PFE4!$A$7:$F$5208,6,0)</f>
        <v>CL 75 73 116</v>
      </c>
      <c r="F2432" s="17" t="str">
        <f>+VLOOKUP(A2432,[1]PFE4!$A$7:$G$5208,7,0)</f>
        <v>05001</v>
      </c>
      <c r="G2432">
        <v>19621056</v>
      </c>
      <c r="H2432">
        <v>4329</v>
      </c>
    </row>
    <row r="2433" spans="1:8" ht="15" customHeight="1" x14ac:dyDescent="0.25">
      <c r="A2433" t="s">
        <v>4676</v>
      </c>
      <c r="B2433" t="s">
        <v>8716</v>
      </c>
      <c r="C2433" t="s">
        <v>12151</v>
      </c>
      <c r="D2433" t="s">
        <v>13287</v>
      </c>
      <c r="E2433" t="str">
        <f>+VLOOKUP(A2433,[1]PFE4!$A$7:$F$5208,6,0)</f>
        <v>CALLE 100  11 A  35</v>
      </c>
      <c r="F2433" s="17">
        <f>+VLOOKUP(A2433,[1]PFE4!$A$7:$G$5208,7,0)</f>
        <v>11001</v>
      </c>
      <c r="G2433">
        <v>19634439</v>
      </c>
      <c r="H2433">
        <v>4329</v>
      </c>
    </row>
    <row r="2434" spans="1:8" ht="15" customHeight="1" x14ac:dyDescent="0.25">
      <c r="A2434" t="s">
        <v>4677</v>
      </c>
      <c r="B2434" t="s">
        <v>8717</v>
      </c>
      <c r="C2434" t="s">
        <v>12152</v>
      </c>
      <c r="D2434" t="s">
        <v>13287</v>
      </c>
      <c r="E2434" t="str">
        <f>+VLOOKUP(A2434,[1]PFE4!$A$7:$F$5208,6,0)</f>
        <v>CALLE 15  29 B  30</v>
      </c>
      <c r="F2434" s="17">
        <f>+VLOOKUP(A2434,[1]PFE4!$A$7:$G$5208,7,0)</f>
        <v>76126</v>
      </c>
      <c r="G2434">
        <v>19647890</v>
      </c>
      <c r="H2434">
        <v>4329</v>
      </c>
    </row>
    <row r="2435" spans="1:8" ht="15" customHeight="1" x14ac:dyDescent="0.25">
      <c r="A2435" t="s">
        <v>4678</v>
      </c>
      <c r="B2435" t="s">
        <v>8718</v>
      </c>
      <c r="C2435" t="s">
        <v>12153</v>
      </c>
      <c r="D2435" t="s">
        <v>13287</v>
      </c>
      <c r="E2435" t="str">
        <f>+VLOOKUP(A2435,[1]PFE4!$A$7:$F$5208,6,0)</f>
        <v>CR 30A 1B 215 CRR DE SABANILLA  MONTE CARMELO</v>
      </c>
      <c r="F2435" s="17" t="str">
        <f>+VLOOKUP(A2435,[1]PFE4!$A$7:$G$5208,7,0)</f>
        <v>08573</v>
      </c>
      <c r="G2435">
        <v>19654980</v>
      </c>
      <c r="H2435">
        <v>4329</v>
      </c>
    </row>
    <row r="2436" spans="1:8" ht="15" customHeight="1" x14ac:dyDescent="0.25">
      <c r="A2436" t="s">
        <v>4679</v>
      </c>
      <c r="B2436" t="s">
        <v>8719</v>
      </c>
      <c r="C2436" t="s">
        <v>12154</v>
      </c>
      <c r="D2436" t="s">
        <v>13287</v>
      </c>
      <c r="E2436" t="str">
        <f>+VLOOKUP(A2436,[1]PFE4!$A$7:$F$5208,6,0)</f>
        <v>CL 15 1 A 25 SEC RODADERO SUR</v>
      </c>
      <c r="F2436" s="17">
        <f>+VLOOKUP(A2436,[1]PFE4!$A$7:$G$5208,7,0)</f>
        <v>47001</v>
      </c>
      <c r="G2436">
        <v>19690000</v>
      </c>
      <c r="H2436">
        <v>4329</v>
      </c>
    </row>
    <row r="2437" spans="1:8" ht="15" customHeight="1" x14ac:dyDescent="0.25">
      <c r="A2437" t="s">
        <v>4680</v>
      </c>
      <c r="B2437" t="s">
        <v>8720</v>
      </c>
      <c r="C2437" t="s">
        <v>12155</v>
      </c>
      <c r="D2437" t="s">
        <v>13287</v>
      </c>
      <c r="E2437" t="str">
        <f>+VLOOKUP(A2437,[1]PFE4!$A$7:$F$5208,6,0)</f>
        <v>CALLE 56 SUR  40 B  22</v>
      </c>
      <c r="F2437" s="17" t="str">
        <f>+VLOOKUP(A2437,[1]PFE4!$A$7:$G$5208,7,0)</f>
        <v>05631</v>
      </c>
      <c r="G2437">
        <v>19693255</v>
      </c>
      <c r="H2437">
        <v>4329</v>
      </c>
    </row>
    <row r="2438" spans="1:8" ht="15" customHeight="1" x14ac:dyDescent="0.25">
      <c r="A2438" t="s">
        <v>4681</v>
      </c>
      <c r="B2438" t="s">
        <v>8721</v>
      </c>
      <c r="C2438" t="s">
        <v>12156</v>
      </c>
      <c r="D2438" t="s">
        <v>13287</v>
      </c>
      <c r="E2438" t="str">
        <f>+VLOOKUP(A2438,[1]PFE4!$A$7:$F$5208,6,0)</f>
        <v>CRRA 63 A NO. 77-140</v>
      </c>
      <c r="F2438" s="17" t="str">
        <f>+VLOOKUP(A2438,[1]PFE4!$A$7:$G$5208,7,0)</f>
        <v>05088</v>
      </c>
      <c r="G2438">
        <v>19741392</v>
      </c>
      <c r="H2438">
        <v>4329</v>
      </c>
    </row>
    <row r="2439" spans="1:8" ht="15" customHeight="1" x14ac:dyDescent="0.25">
      <c r="A2439" t="s">
        <v>4682</v>
      </c>
      <c r="B2439" t="s">
        <v>8722</v>
      </c>
      <c r="C2439" t="s">
        <v>12157</v>
      </c>
      <c r="D2439" t="s">
        <v>13287</v>
      </c>
      <c r="E2439" t="str">
        <f>+VLOOKUP(A2439,[1]PFE4!$A$7:$F$5208,6,0)</f>
        <v>CALLE 10  41  21</v>
      </c>
      <c r="F2439" s="17" t="str">
        <f>+VLOOKUP(A2439,[1]PFE4!$A$7:$G$5208,7,0)</f>
        <v>05001</v>
      </c>
      <c r="G2439">
        <v>19772976</v>
      </c>
      <c r="H2439">
        <v>4329</v>
      </c>
    </row>
    <row r="2440" spans="1:8" ht="15" customHeight="1" x14ac:dyDescent="0.25">
      <c r="A2440" t="s">
        <v>4683</v>
      </c>
      <c r="B2440" t="s">
        <v>8723</v>
      </c>
      <c r="C2440" t="s">
        <v>12158</v>
      </c>
      <c r="D2440" t="s">
        <v>13287</v>
      </c>
      <c r="E2440" t="str">
        <f>+VLOOKUP(A2440,[1]PFE4!$A$7:$F$5208,6,0)</f>
        <v>CL 23 SUR 42B 60</v>
      </c>
      <c r="F2440" s="17" t="str">
        <f>+VLOOKUP(A2440,[1]PFE4!$A$7:$G$5208,7,0)</f>
        <v>05266</v>
      </c>
      <c r="G2440">
        <v>19777452</v>
      </c>
      <c r="H2440">
        <v>4329</v>
      </c>
    </row>
    <row r="2441" spans="1:8" ht="15" customHeight="1" x14ac:dyDescent="0.25">
      <c r="A2441" t="s">
        <v>4684</v>
      </c>
      <c r="B2441" t="s">
        <v>8724</v>
      </c>
      <c r="C2441" t="s">
        <v>12159</v>
      </c>
      <c r="D2441" t="s">
        <v>13287</v>
      </c>
      <c r="E2441" t="str">
        <f>+VLOOKUP(A2441,[1]PFE4!$A$7:$F$5208,6,0)</f>
        <v>CRA 63 B CL 73SUR 126</v>
      </c>
      <c r="F2441" s="17" t="str">
        <f>+VLOOKUP(A2441,[1]PFE4!$A$7:$G$5208,7,0)</f>
        <v>05380</v>
      </c>
      <c r="G2441">
        <v>19783272</v>
      </c>
      <c r="H2441">
        <v>4329</v>
      </c>
    </row>
    <row r="2442" spans="1:8" ht="15" customHeight="1" x14ac:dyDescent="0.25">
      <c r="A2442" t="s">
        <v>4685</v>
      </c>
      <c r="B2442" t="s">
        <v>8725</v>
      </c>
      <c r="C2442" t="s">
        <v>12160</v>
      </c>
      <c r="D2442" t="s">
        <v>13287</v>
      </c>
      <c r="E2442" t="str">
        <f>+VLOOKUP(A2442,[1]PFE4!$A$7:$F$5208,6,0)</f>
        <v>CARRERA 81 A  4 G  40</v>
      </c>
      <c r="F2442" s="17" t="str">
        <f>+VLOOKUP(A2442,[1]PFE4!$A$7:$G$5208,7,0)</f>
        <v>05001</v>
      </c>
      <c r="G2442">
        <v>19786748</v>
      </c>
      <c r="H2442">
        <v>4329</v>
      </c>
    </row>
    <row r="2443" spans="1:8" ht="15" customHeight="1" x14ac:dyDescent="0.25">
      <c r="A2443" t="s">
        <v>4686</v>
      </c>
      <c r="B2443" t="s">
        <v>8726</v>
      </c>
      <c r="C2443" t="s">
        <v>11074</v>
      </c>
      <c r="D2443" t="s">
        <v>13287</v>
      </c>
      <c r="E2443" t="str">
        <f>+VLOOKUP(A2443,[1]PFE4!$A$7:$F$5208,6,0)</f>
        <v>CARRERA 38  11  56</v>
      </c>
      <c r="F2443" s="17" t="str">
        <f>+VLOOKUP(A2443,[1]PFE4!$A$7:$G$5208,7,0)</f>
        <v>05001</v>
      </c>
      <c r="G2443">
        <v>19804392</v>
      </c>
      <c r="H2443">
        <v>4329</v>
      </c>
    </row>
    <row r="2444" spans="1:8" ht="15" customHeight="1" x14ac:dyDescent="0.25">
      <c r="A2444" t="s">
        <v>4687</v>
      </c>
      <c r="B2444" t="s">
        <v>8727</v>
      </c>
      <c r="C2444" t="s">
        <v>12161</v>
      </c>
      <c r="D2444" t="s">
        <v>13287</v>
      </c>
      <c r="E2444" t="str">
        <f>+VLOOKUP(A2444,[1]PFE4!$A$7:$F$5208,6,0)</f>
        <v>CARRERA 15  11  38</v>
      </c>
      <c r="F2444" s="17">
        <f>+VLOOKUP(A2444,[1]PFE4!$A$7:$G$5208,7,0)</f>
        <v>66001</v>
      </c>
      <c r="G2444">
        <v>19807464</v>
      </c>
      <c r="H2444">
        <v>4329</v>
      </c>
    </row>
    <row r="2445" spans="1:8" ht="15" customHeight="1" x14ac:dyDescent="0.25">
      <c r="A2445" t="s">
        <v>4688</v>
      </c>
      <c r="B2445" t="s">
        <v>8728</v>
      </c>
      <c r="C2445" t="s">
        <v>12162</v>
      </c>
      <c r="D2445" t="s">
        <v>13287</v>
      </c>
      <c r="E2445" t="str">
        <f>+VLOOKUP(A2445,[1]PFE4!$A$7:$F$5208,6,0)</f>
        <v>CALLE 75  72 B  201</v>
      </c>
      <c r="F2445" s="17" t="str">
        <f>+VLOOKUP(A2445,[1]PFE4!$A$7:$G$5208,7,0)</f>
        <v>05001</v>
      </c>
      <c r="G2445">
        <v>19821606</v>
      </c>
      <c r="H2445">
        <v>4329</v>
      </c>
    </row>
    <row r="2446" spans="1:8" ht="15" customHeight="1" x14ac:dyDescent="0.25">
      <c r="A2446" t="s">
        <v>4689</v>
      </c>
      <c r="B2446" t="s">
        <v>8729</v>
      </c>
      <c r="C2446" t="s">
        <v>12163</v>
      </c>
      <c r="D2446" t="s">
        <v>13287</v>
      </c>
      <c r="E2446" t="str">
        <f>+VLOOKUP(A2446,[1]PFE4!$A$7:$F$5208,6,0)</f>
        <v>CALLE 77  53  70</v>
      </c>
      <c r="F2446" s="17" t="str">
        <f>+VLOOKUP(A2446,[1]PFE4!$A$7:$G$5208,7,0)</f>
        <v>08001</v>
      </c>
      <c r="G2446">
        <v>19831229</v>
      </c>
      <c r="H2446">
        <v>4329</v>
      </c>
    </row>
    <row r="2447" spans="1:8" ht="15" customHeight="1" x14ac:dyDescent="0.25">
      <c r="A2447" t="s">
        <v>4690</v>
      </c>
      <c r="B2447" t="s">
        <v>8730</v>
      </c>
      <c r="C2447" t="s">
        <v>12164</v>
      </c>
      <c r="D2447" t="s">
        <v>13287</v>
      </c>
      <c r="E2447" t="str">
        <f>+VLOOKUP(A2447,[1]PFE4!$A$7:$F$5208,6,0)</f>
        <v>CARRERA 38 A  46  04</v>
      </c>
      <c r="F2447" s="17">
        <f>+VLOOKUP(A2447,[1]PFE4!$A$7:$G$5208,7,0)</f>
        <v>68001</v>
      </c>
      <c r="G2447">
        <v>19847952</v>
      </c>
      <c r="H2447">
        <v>4329</v>
      </c>
    </row>
    <row r="2448" spans="1:8" ht="15" customHeight="1" x14ac:dyDescent="0.25">
      <c r="A2448" t="s">
        <v>4691</v>
      </c>
      <c r="B2448" t="s">
        <v>8731</v>
      </c>
      <c r="C2448">
        <v>0</v>
      </c>
      <c r="D2448" t="s">
        <v>13287</v>
      </c>
      <c r="E2448">
        <v>0</v>
      </c>
      <c r="F2448" s="17">
        <v>11001</v>
      </c>
      <c r="G2448">
        <v>19850000</v>
      </c>
      <c r="H2448">
        <v>4329</v>
      </c>
    </row>
    <row r="2449" spans="1:8" ht="15" customHeight="1" x14ac:dyDescent="0.25">
      <c r="A2449" t="s">
        <v>4692</v>
      </c>
      <c r="B2449" t="s">
        <v>8732</v>
      </c>
      <c r="C2449" t="s">
        <v>12165</v>
      </c>
      <c r="D2449" t="s">
        <v>13287</v>
      </c>
      <c r="E2449" t="str">
        <f>+VLOOKUP(A2449,[1]PFE4!$A$7:$F$5208,6,0)</f>
        <v>CARRERA 39 A  42  56 76</v>
      </c>
      <c r="F2449" s="17">
        <f>+VLOOKUP(A2449,[1]PFE4!$A$7:$G$5208,7,0)</f>
        <v>68001</v>
      </c>
      <c r="G2449">
        <v>19855780</v>
      </c>
      <c r="H2449">
        <v>4329</v>
      </c>
    </row>
    <row r="2450" spans="1:8" ht="15" customHeight="1" x14ac:dyDescent="0.25">
      <c r="A2450" t="s">
        <v>4693</v>
      </c>
      <c r="B2450" t="s">
        <v>8733</v>
      </c>
      <c r="C2450" t="s">
        <v>12166</v>
      </c>
      <c r="D2450" t="s">
        <v>13287</v>
      </c>
      <c r="E2450" t="str">
        <f>+VLOOKUP(A2450,[1]PFE4!$A$7:$F$5208,6,0)</f>
        <v>CARRERA 9  47 A  125</v>
      </c>
      <c r="F2450" s="17">
        <f>+VLOOKUP(A2450,[1]PFE4!$A$7:$G$5208,7,0)</f>
        <v>66170</v>
      </c>
      <c r="G2450">
        <v>19869359</v>
      </c>
      <c r="H2450">
        <v>4329</v>
      </c>
    </row>
    <row r="2451" spans="1:8" ht="15" customHeight="1" x14ac:dyDescent="0.25">
      <c r="A2451" t="s">
        <v>4694</v>
      </c>
      <c r="B2451" t="s">
        <v>8734</v>
      </c>
      <c r="C2451" t="s">
        <v>12167</v>
      </c>
      <c r="D2451" t="s">
        <v>13287</v>
      </c>
      <c r="E2451" t="str">
        <f>+VLOOKUP(A2451,[1]PFE4!$A$7:$F$5208,6,0)</f>
        <v>CALLE 5 NORTE  1 N  74</v>
      </c>
      <c r="F2451" s="17">
        <f>+VLOOKUP(A2451,[1]PFE4!$A$7:$G$5208,7,0)</f>
        <v>76001</v>
      </c>
      <c r="G2451">
        <v>19881390</v>
      </c>
      <c r="H2451">
        <v>4329</v>
      </c>
    </row>
    <row r="2452" spans="1:8" ht="15" customHeight="1" x14ac:dyDescent="0.25">
      <c r="A2452" t="s">
        <v>4695</v>
      </c>
      <c r="B2452" t="s">
        <v>8735</v>
      </c>
      <c r="C2452" t="s">
        <v>12168</v>
      </c>
      <c r="D2452" t="s">
        <v>13287</v>
      </c>
      <c r="E2452" t="str">
        <f>+VLOOKUP(A2452,[1]PFE4!$A$7:$F$5208,6,0)</f>
        <v>AVENIDA 4 A  12 N  04</v>
      </c>
      <c r="F2452" s="17">
        <f>+VLOOKUP(A2452,[1]PFE4!$A$7:$G$5208,7,0)</f>
        <v>54001</v>
      </c>
      <c r="G2452">
        <v>19886505</v>
      </c>
      <c r="H2452">
        <v>4329</v>
      </c>
    </row>
    <row r="2453" spans="1:8" ht="15" customHeight="1" x14ac:dyDescent="0.25">
      <c r="A2453" t="s">
        <v>4696</v>
      </c>
      <c r="B2453" t="s">
        <v>8736</v>
      </c>
      <c r="C2453" t="s">
        <v>12169</v>
      </c>
      <c r="D2453" t="s">
        <v>13287</v>
      </c>
      <c r="E2453" t="str">
        <f>+VLOOKUP(A2453,[1]PFE4!$A$7:$F$5208,6,0)</f>
        <v>CALLE 91  22  68</v>
      </c>
      <c r="F2453" s="17">
        <f>+VLOOKUP(A2453,[1]PFE4!$A$7:$G$5208,7,0)</f>
        <v>11001</v>
      </c>
      <c r="G2453">
        <v>19887108</v>
      </c>
      <c r="H2453">
        <v>4329</v>
      </c>
    </row>
    <row r="2454" spans="1:8" ht="15" customHeight="1" x14ac:dyDescent="0.25">
      <c r="A2454" t="s">
        <v>4697</v>
      </c>
      <c r="B2454" t="s">
        <v>8737</v>
      </c>
      <c r="C2454" t="s">
        <v>11020</v>
      </c>
      <c r="D2454" t="s">
        <v>13287</v>
      </c>
      <c r="E2454" t="str">
        <f>+VLOOKUP(A2454,[1]PFE4!$A$7:$F$5208,6,0)</f>
        <v>CR 48 19 SUR 100</v>
      </c>
      <c r="F2454" s="17" t="str">
        <f>+VLOOKUP(A2454,[1]PFE4!$A$7:$G$5208,7,0)</f>
        <v>05266</v>
      </c>
      <c r="G2454">
        <v>19892800</v>
      </c>
      <c r="H2454">
        <v>4329</v>
      </c>
    </row>
    <row r="2455" spans="1:8" ht="15" customHeight="1" x14ac:dyDescent="0.25">
      <c r="A2455" t="s">
        <v>4698</v>
      </c>
      <c r="B2455" t="s">
        <v>8738</v>
      </c>
      <c r="C2455" t="s">
        <v>12170</v>
      </c>
      <c r="D2455" t="s">
        <v>13287</v>
      </c>
      <c r="E2455" t="str">
        <f>+VLOOKUP(A2455,[1]PFE4!$A$7:$F$5208,6,0)</f>
        <v>CARRERA 17 A  103  27</v>
      </c>
      <c r="F2455" s="17">
        <f>+VLOOKUP(A2455,[1]PFE4!$A$7:$G$5208,7,0)</f>
        <v>11001</v>
      </c>
      <c r="G2455">
        <v>19931144</v>
      </c>
      <c r="H2455">
        <v>4329</v>
      </c>
    </row>
    <row r="2456" spans="1:8" ht="15" customHeight="1" x14ac:dyDescent="0.25">
      <c r="A2456" t="s">
        <v>4699</v>
      </c>
      <c r="B2456" t="s">
        <v>8739</v>
      </c>
      <c r="C2456" t="s">
        <v>12171</v>
      </c>
      <c r="D2456" t="s">
        <v>13287</v>
      </c>
      <c r="E2456" t="str">
        <f>+VLOOKUP(A2456,[1]PFE4!$A$7:$F$5208,6,0)</f>
        <v>CL 58 SUR 35 121</v>
      </c>
      <c r="F2456" s="17" t="str">
        <f>+VLOOKUP(A2456,[1]PFE4!$A$7:$G$5208,7,0)</f>
        <v>05631</v>
      </c>
      <c r="G2456">
        <v>19932000</v>
      </c>
      <c r="H2456">
        <v>4329</v>
      </c>
    </row>
    <row r="2457" spans="1:8" ht="15" customHeight="1" x14ac:dyDescent="0.25">
      <c r="A2457" t="s">
        <v>4700</v>
      </c>
      <c r="B2457" t="s">
        <v>8740</v>
      </c>
      <c r="C2457" t="s">
        <v>12172</v>
      </c>
      <c r="D2457" t="s">
        <v>13287</v>
      </c>
      <c r="E2457" t="str">
        <f>+VLOOKUP(A2457,[1]PFE4!$A$7:$F$5208,6,0)</f>
        <v>calle 2ª No. 1ª-171 Variante Chía Cota</v>
      </c>
      <c r="F2457" s="17">
        <f>+VLOOKUP(A2457,[1]PFE4!$A$7:$G$5208,7,0)</f>
        <v>25175</v>
      </c>
      <c r="G2457">
        <v>19932512</v>
      </c>
      <c r="H2457">
        <v>4329</v>
      </c>
    </row>
    <row r="2458" spans="1:8" ht="15" customHeight="1" x14ac:dyDescent="0.25">
      <c r="A2458" t="s">
        <v>4701</v>
      </c>
      <c r="B2458" t="s">
        <v>8741</v>
      </c>
      <c r="C2458" t="s">
        <v>12173</v>
      </c>
      <c r="D2458" t="s">
        <v>13287</v>
      </c>
      <c r="E2458" t="str">
        <f>+VLOOKUP(A2458,[1]PFE4!$A$7:$F$5208,6,0)</f>
        <v>CARRERA 103 53 138</v>
      </c>
      <c r="F2458" s="17">
        <f>+VLOOKUP(A2458,[1]PFE4!$A$7:$G$5208,7,0)</f>
        <v>76001</v>
      </c>
      <c r="G2458">
        <v>19943996</v>
      </c>
      <c r="H2458">
        <v>4329</v>
      </c>
    </row>
    <row r="2459" spans="1:8" ht="15" customHeight="1" x14ac:dyDescent="0.25">
      <c r="A2459" t="s">
        <v>4702</v>
      </c>
      <c r="B2459" t="s">
        <v>8742</v>
      </c>
      <c r="C2459" t="s">
        <v>12174</v>
      </c>
      <c r="D2459" t="s">
        <v>13287</v>
      </c>
      <c r="E2459" t="str">
        <f>+VLOOKUP(A2459,[1]PFE4!$A$7:$F$5208,6,0)</f>
        <v>CARRERA 15  116  36  OFICINA 604</v>
      </c>
      <c r="F2459" s="17">
        <f>+VLOOKUP(A2459,[1]PFE4!$A$7:$G$5208,7,0)</f>
        <v>11001</v>
      </c>
      <c r="G2459">
        <v>19962524</v>
      </c>
      <c r="H2459">
        <v>4329</v>
      </c>
    </row>
    <row r="2460" spans="1:8" ht="15" customHeight="1" x14ac:dyDescent="0.25">
      <c r="A2460" t="s">
        <v>4703</v>
      </c>
      <c r="B2460" t="s">
        <v>8743</v>
      </c>
      <c r="C2460" t="s">
        <v>11642</v>
      </c>
      <c r="D2460" t="s">
        <v>13287</v>
      </c>
      <c r="E2460" t="str">
        <f>+VLOOKUP(A2460,[1]PFE4!$A$7:$F$5208,6,0)</f>
        <v>CARRERA 27 D A 34 D D SUR 145</v>
      </c>
      <c r="F2460" s="17" t="str">
        <f>+VLOOKUP(A2460,[1]PFE4!$A$7:$G$5208,7,0)</f>
        <v>05266</v>
      </c>
      <c r="G2460">
        <v>20012932</v>
      </c>
      <c r="H2460">
        <v>4329</v>
      </c>
    </row>
    <row r="2461" spans="1:8" ht="15" customHeight="1" x14ac:dyDescent="0.25">
      <c r="A2461" t="s">
        <v>4704</v>
      </c>
      <c r="B2461" t="s">
        <v>8744</v>
      </c>
      <c r="C2461" t="s">
        <v>12175</v>
      </c>
      <c r="D2461" t="s">
        <v>13287</v>
      </c>
      <c r="E2461" t="str">
        <f>+VLOOKUP(A2461,[1]PFE4!$A$7:$F$5208,6,0)</f>
        <v>CR 20 28 59</v>
      </c>
      <c r="F2461" s="17">
        <f>+VLOOKUP(A2461,[1]PFE4!$A$7:$G$5208,7,0)</f>
        <v>68001</v>
      </c>
      <c r="G2461">
        <v>20054980</v>
      </c>
      <c r="H2461">
        <v>4329</v>
      </c>
    </row>
    <row r="2462" spans="1:8" ht="15" customHeight="1" x14ac:dyDescent="0.25">
      <c r="A2462" t="s">
        <v>4705</v>
      </c>
      <c r="B2462" t="s">
        <v>8745</v>
      </c>
      <c r="C2462" t="s">
        <v>12176</v>
      </c>
      <c r="D2462" t="s">
        <v>13287</v>
      </c>
      <c r="E2462" t="str">
        <f>+VLOOKUP(A2462,[1]PFE4!$A$7:$F$5208,6,0)</f>
        <v>CALLE 120 A  7  62</v>
      </c>
      <c r="F2462" s="17">
        <f>+VLOOKUP(A2462,[1]PFE4!$A$7:$G$5208,7,0)</f>
        <v>11001</v>
      </c>
      <c r="G2462">
        <v>20059352</v>
      </c>
      <c r="H2462">
        <v>4329</v>
      </c>
    </row>
    <row r="2463" spans="1:8" ht="15" customHeight="1" x14ac:dyDescent="0.25">
      <c r="A2463" t="s">
        <v>4706</v>
      </c>
      <c r="B2463" t="s">
        <v>8746</v>
      </c>
      <c r="C2463" t="s">
        <v>12177</v>
      </c>
      <c r="D2463" t="s">
        <v>13287</v>
      </c>
      <c r="E2463" t="str">
        <f>+VLOOKUP(A2463,[1]PFE4!$A$7:$F$5208,6,0)</f>
        <v>CALLE 92 N° 15 - 78</v>
      </c>
      <c r="F2463" s="17">
        <f>+VLOOKUP(A2463,[1]PFE4!$A$7:$G$5208,7,0)</f>
        <v>11001</v>
      </c>
      <c r="G2463">
        <v>20064316</v>
      </c>
      <c r="H2463">
        <v>4329</v>
      </c>
    </row>
    <row r="2464" spans="1:8" ht="15" customHeight="1" x14ac:dyDescent="0.25">
      <c r="A2464" t="s">
        <v>4707</v>
      </c>
      <c r="B2464" t="s">
        <v>8747</v>
      </c>
      <c r="C2464" t="s">
        <v>12178</v>
      </c>
      <c r="D2464" t="s">
        <v>13287</v>
      </c>
      <c r="E2464" t="str">
        <f>+VLOOKUP(A2464,[1]PFE4!$A$7:$F$5208,6,0)</f>
        <v>CARRERA 33  43  63</v>
      </c>
      <c r="F2464" s="17" t="str">
        <f>+VLOOKUP(A2464,[1]PFE4!$A$7:$G$5208,7,0)</f>
        <v>05001</v>
      </c>
      <c r="G2464">
        <v>20065195</v>
      </c>
      <c r="H2464">
        <v>4329</v>
      </c>
    </row>
    <row r="2465" spans="1:8" ht="15" customHeight="1" x14ac:dyDescent="0.25">
      <c r="A2465" t="s">
        <v>4708</v>
      </c>
      <c r="B2465" t="s">
        <v>8748</v>
      </c>
      <c r="C2465" t="s">
        <v>12179</v>
      </c>
      <c r="D2465" t="s">
        <v>13287</v>
      </c>
      <c r="E2465" t="str">
        <f>+VLOOKUP(A2465,[1]PFE4!$A$7:$F$5208,6,0)</f>
        <v>CALLE 6  4  10</v>
      </c>
      <c r="F2465" s="17">
        <f>+VLOOKUP(A2465,[1]PFE4!$A$7:$G$5208,7,0)</f>
        <v>11001</v>
      </c>
      <c r="G2465">
        <v>20089580</v>
      </c>
      <c r="H2465">
        <v>4329</v>
      </c>
    </row>
    <row r="2466" spans="1:8" ht="15" customHeight="1" x14ac:dyDescent="0.25">
      <c r="A2466" t="s">
        <v>4709</v>
      </c>
      <c r="B2466" t="s">
        <v>8749</v>
      </c>
      <c r="C2466" t="s">
        <v>12180</v>
      </c>
      <c r="D2466" t="s">
        <v>13287</v>
      </c>
      <c r="E2466" t="str">
        <f>+VLOOKUP(A2466,[1]PFE4!$A$7:$F$5208,6,0)</f>
        <v>CARRERA 29  31  24</v>
      </c>
      <c r="F2466" s="17">
        <f>+VLOOKUP(A2466,[1]PFE4!$A$7:$G$5208,7,0)</f>
        <v>68001</v>
      </c>
      <c r="G2466">
        <v>20110976</v>
      </c>
      <c r="H2466">
        <v>4329</v>
      </c>
    </row>
    <row r="2467" spans="1:8" ht="15" customHeight="1" x14ac:dyDescent="0.25">
      <c r="A2467" t="s">
        <v>4710</v>
      </c>
      <c r="B2467" t="s">
        <v>8750</v>
      </c>
      <c r="C2467" t="s">
        <v>12181</v>
      </c>
      <c r="D2467" t="s">
        <v>13287</v>
      </c>
      <c r="E2467" t="str">
        <f>+VLOOKUP(A2467,[1]PFE4!$A$7:$F$5208,6,0)</f>
        <v>CARRERA 45  23 SUR  57</v>
      </c>
      <c r="F2467" s="17" t="str">
        <f>+VLOOKUP(A2467,[1]PFE4!$A$7:$G$5208,7,0)</f>
        <v>05266</v>
      </c>
      <c r="G2467">
        <v>20116760</v>
      </c>
      <c r="H2467">
        <v>4329</v>
      </c>
    </row>
    <row r="2468" spans="1:8" ht="15" customHeight="1" x14ac:dyDescent="0.25">
      <c r="A2468" t="s">
        <v>4711</v>
      </c>
      <c r="B2468" t="s">
        <v>8751</v>
      </c>
      <c r="C2468" t="s">
        <v>12182</v>
      </c>
      <c r="D2468" t="s">
        <v>13287</v>
      </c>
      <c r="E2468" t="str">
        <f>+VLOOKUP(A2468,[1]PFE4!$A$7:$F$5208,6,0)</f>
        <v>CL 81 SUR 33 150</v>
      </c>
      <c r="F2468" s="17" t="str">
        <f>+VLOOKUP(A2468,[1]PFE4!$A$7:$G$5208,7,0)</f>
        <v>05631</v>
      </c>
      <c r="G2468">
        <v>20148836</v>
      </c>
      <c r="H2468">
        <v>4329</v>
      </c>
    </row>
    <row r="2469" spans="1:8" ht="15" customHeight="1" x14ac:dyDescent="0.25">
      <c r="A2469" t="s">
        <v>4712</v>
      </c>
      <c r="B2469" t="s">
        <v>8752</v>
      </c>
      <c r="C2469" t="s">
        <v>12183</v>
      </c>
      <c r="D2469" t="s">
        <v>13287</v>
      </c>
      <c r="E2469" t="str">
        <f>+VLOOKUP(A2469,[1]PFE4!$A$7:$F$5208,6,0)</f>
        <v>CALLE 61  75  153</v>
      </c>
      <c r="F2469" s="17" t="str">
        <f>+VLOOKUP(A2469,[1]PFE4!$A$7:$G$5208,7,0)</f>
        <v>05001</v>
      </c>
      <c r="G2469">
        <v>20160536</v>
      </c>
      <c r="H2469">
        <v>4329</v>
      </c>
    </row>
    <row r="2470" spans="1:8" ht="15" customHeight="1" x14ac:dyDescent="0.25">
      <c r="A2470" t="s">
        <v>4713</v>
      </c>
      <c r="B2470" t="s">
        <v>8753</v>
      </c>
      <c r="C2470" t="s">
        <v>12184</v>
      </c>
      <c r="D2470" t="s">
        <v>13287</v>
      </c>
      <c r="E2470" t="str">
        <f>+VLOOKUP(A2470,[1]PFE4!$A$7:$F$5208,6,0)</f>
        <v>CL 24 3 95</v>
      </c>
      <c r="F2470" s="17">
        <f>+VLOOKUP(A2470,[1]PFE4!$A$7:$G$5208,7,0)</f>
        <v>11001</v>
      </c>
      <c r="G2470">
        <v>20163908</v>
      </c>
      <c r="H2470">
        <v>4329</v>
      </c>
    </row>
    <row r="2471" spans="1:8" ht="15" customHeight="1" x14ac:dyDescent="0.25">
      <c r="A2471" t="s">
        <v>4714</v>
      </c>
      <c r="B2471" t="s">
        <v>8754</v>
      </c>
      <c r="C2471" t="s">
        <v>12185</v>
      </c>
      <c r="D2471" t="s">
        <v>13287</v>
      </c>
      <c r="E2471" t="str">
        <f>+VLOOKUP(A2471,[1]PFE4!$A$7:$F$5208,6,0)</f>
        <v>AVENIDA 4  21 A  29</v>
      </c>
      <c r="F2471" s="17">
        <f>+VLOOKUP(A2471,[1]PFE4!$A$7:$G$5208,7,0)</f>
        <v>11001</v>
      </c>
      <c r="G2471">
        <v>20165300</v>
      </c>
      <c r="H2471">
        <v>4329</v>
      </c>
    </row>
    <row r="2472" spans="1:8" ht="15" customHeight="1" x14ac:dyDescent="0.25">
      <c r="A2472" t="s">
        <v>4715</v>
      </c>
      <c r="B2472" t="s">
        <v>8755</v>
      </c>
      <c r="C2472" t="s">
        <v>12186</v>
      </c>
      <c r="D2472" t="s">
        <v>13287</v>
      </c>
      <c r="E2472" t="str">
        <f>+VLOOKUP(A2472,[1]PFE4!$A$7:$F$5208,6,0)</f>
        <v>CARRERA 81 J  57 C  20 SUR</v>
      </c>
      <c r="F2472" s="17">
        <f>+VLOOKUP(A2472,[1]PFE4!$A$7:$G$5208,7,0)</f>
        <v>11001</v>
      </c>
      <c r="G2472">
        <v>20170213</v>
      </c>
      <c r="H2472">
        <v>4329</v>
      </c>
    </row>
    <row r="2473" spans="1:8" ht="15" customHeight="1" x14ac:dyDescent="0.25">
      <c r="A2473" t="s">
        <v>4716</v>
      </c>
      <c r="B2473" t="s">
        <v>8756</v>
      </c>
      <c r="C2473" t="s">
        <v>12187</v>
      </c>
      <c r="D2473" t="s">
        <v>13287</v>
      </c>
      <c r="E2473" t="str">
        <f>+VLOOKUP(A2473,[1]PFE4!$A$7:$F$5208,6,0)</f>
        <v>TV 26 D BIS A 31 A 07 SUR</v>
      </c>
      <c r="F2473" s="17">
        <f>+VLOOKUP(A2473,[1]PFE4!$A$7:$G$5208,7,0)</f>
        <v>11001</v>
      </c>
      <c r="G2473">
        <v>20171732</v>
      </c>
      <c r="H2473">
        <v>4329</v>
      </c>
    </row>
    <row r="2474" spans="1:8" ht="15" customHeight="1" x14ac:dyDescent="0.25">
      <c r="A2474" t="s">
        <v>4717</v>
      </c>
      <c r="B2474" t="s">
        <v>8757</v>
      </c>
      <c r="C2474" t="s">
        <v>12188</v>
      </c>
      <c r="D2474" t="s">
        <v>13287</v>
      </c>
      <c r="E2474" t="str">
        <f>+VLOOKUP(A2474,[1]PFE4!$A$7:$F$5208,6,0)</f>
        <v>CALLE 60  9 A  46</v>
      </c>
      <c r="F2474" s="17">
        <f>+VLOOKUP(A2474,[1]PFE4!$A$7:$G$5208,7,0)</f>
        <v>11001</v>
      </c>
      <c r="G2474">
        <v>20172484</v>
      </c>
      <c r="H2474">
        <v>4329</v>
      </c>
    </row>
    <row r="2475" spans="1:8" ht="15" customHeight="1" x14ac:dyDescent="0.25">
      <c r="A2475" t="s">
        <v>4718</v>
      </c>
      <c r="B2475" t="s">
        <v>8758</v>
      </c>
      <c r="C2475" t="s">
        <v>12189</v>
      </c>
      <c r="D2475" t="s">
        <v>13287</v>
      </c>
      <c r="E2475" t="str">
        <f>+VLOOKUP(A2475,[1]PFE4!$A$7:$F$5208,6,0)</f>
        <v>CARRERA 13 N° 82-35</v>
      </c>
      <c r="F2475" s="17">
        <f>+VLOOKUP(A2475,[1]PFE4!$A$7:$G$5208,7,0)</f>
        <v>11001</v>
      </c>
      <c r="G2475">
        <v>20173081</v>
      </c>
      <c r="H2475">
        <v>4329</v>
      </c>
    </row>
    <row r="2476" spans="1:8" ht="15" customHeight="1" x14ac:dyDescent="0.25">
      <c r="A2476" t="s">
        <v>4719</v>
      </c>
      <c r="B2476" t="s">
        <v>8759</v>
      </c>
      <c r="C2476" t="s">
        <v>10464</v>
      </c>
      <c r="D2476" t="s">
        <v>13287</v>
      </c>
      <c r="E2476" t="str">
        <f>+VLOOKUP(A2476,[1]PFE4!$A$7:$F$5208,6,0)</f>
        <v>CARRERA 1 11 OESTE-77</v>
      </c>
      <c r="F2476" s="17">
        <f>+VLOOKUP(A2476,[1]PFE4!$A$7:$G$5208,7,0)</f>
        <v>76001</v>
      </c>
      <c r="G2476">
        <v>20183134</v>
      </c>
      <c r="H2476">
        <v>4329</v>
      </c>
    </row>
    <row r="2477" spans="1:8" ht="15" customHeight="1" x14ac:dyDescent="0.25">
      <c r="A2477" t="s">
        <v>4720</v>
      </c>
      <c r="B2477" t="s">
        <v>8760</v>
      </c>
      <c r="C2477" t="s">
        <v>12190</v>
      </c>
      <c r="D2477" t="s">
        <v>13287</v>
      </c>
      <c r="E2477" t="str">
        <f>+VLOOKUP(A2477,[1]PFE4!$A$7:$F$5208,6,0)</f>
        <v>CALLE 37  24  49</v>
      </c>
      <c r="F2477" s="17">
        <f>+VLOOKUP(A2477,[1]PFE4!$A$7:$G$5208,7,0)</f>
        <v>68001</v>
      </c>
      <c r="G2477">
        <v>20202776</v>
      </c>
      <c r="H2477">
        <v>4329</v>
      </c>
    </row>
    <row r="2478" spans="1:8" ht="15" customHeight="1" x14ac:dyDescent="0.25">
      <c r="A2478" t="s">
        <v>4721</v>
      </c>
      <c r="B2478" t="s">
        <v>8761</v>
      </c>
      <c r="C2478" t="s">
        <v>12069</v>
      </c>
      <c r="D2478" t="s">
        <v>13287</v>
      </c>
      <c r="E2478" t="str">
        <f>+VLOOKUP(A2478,[1]PFE4!$A$7:$F$5208,6,0)</f>
        <v>CL 3 2 30</v>
      </c>
      <c r="F2478" s="17">
        <f>+VLOOKUP(A2478,[1]PFE4!$A$7:$G$5208,7,0)</f>
        <v>25126</v>
      </c>
      <c r="G2478">
        <v>20211947</v>
      </c>
      <c r="H2478">
        <v>4329</v>
      </c>
    </row>
    <row r="2479" spans="1:8" ht="15" customHeight="1" x14ac:dyDescent="0.25">
      <c r="A2479" t="s">
        <v>4722</v>
      </c>
      <c r="B2479" t="s">
        <v>8762</v>
      </c>
      <c r="C2479" t="s">
        <v>12191</v>
      </c>
      <c r="D2479" t="s">
        <v>13287</v>
      </c>
      <c r="E2479" t="str">
        <f>+VLOOKUP(A2479,[1]PFE4!$A$7:$F$5208,6,0)</f>
        <v>CALLE 33 B SUR  47  36</v>
      </c>
      <c r="F2479" s="17" t="str">
        <f>+VLOOKUP(A2479,[1]PFE4!$A$7:$G$5208,7,0)</f>
        <v>05266</v>
      </c>
      <c r="G2479">
        <v>20226500</v>
      </c>
      <c r="H2479">
        <v>4329</v>
      </c>
    </row>
    <row r="2480" spans="1:8" ht="15" customHeight="1" x14ac:dyDescent="0.25">
      <c r="A2480" t="s">
        <v>4723</v>
      </c>
      <c r="B2480" t="s">
        <v>8763</v>
      </c>
      <c r="C2480" t="s">
        <v>12192</v>
      </c>
      <c r="D2480" t="s">
        <v>13287</v>
      </c>
      <c r="E2480" t="str">
        <f>+VLOOKUP(A2480,[1]PFE4!$A$7:$F$5208,6,0)</f>
        <v>CARRERA 6 A  5  25</v>
      </c>
      <c r="F2480" s="17">
        <f>+VLOOKUP(A2480,[1]PFE4!$A$7:$G$5208,7,0)</f>
        <v>13001</v>
      </c>
      <c r="G2480">
        <v>20231831</v>
      </c>
      <c r="H2480">
        <v>4329</v>
      </c>
    </row>
    <row r="2481" spans="1:8" ht="15" customHeight="1" x14ac:dyDescent="0.25">
      <c r="A2481" t="s">
        <v>4724</v>
      </c>
      <c r="B2481" t="s">
        <v>8764</v>
      </c>
      <c r="C2481" t="s">
        <v>12193</v>
      </c>
      <c r="D2481" t="s">
        <v>13287</v>
      </c>
      <c r="E2481" t="str">
        <f>+VLOOKUP(A2481,[1]PFE4!$A$7:$F$5208,6,0)</f>
        <v>AVENIDA 42  48  11</v>
      </c>
      <c r="F2481" s="17">
        <f>+VLOOKUP(A2481,[1]PFE4!$A$7:$G$5208,7,0)</f>
        <v>68001</v>
      </c>
      <c r="G2481">
        <v>20252488</v>
      </c>
      <c r="H2481">
        <v>4329</v>
      </c>
    </row>
    <row r="2482" spans="1:8" ht="15" customHeight="1" x14ac:dyDescent="0.25">
      <c r="A2482" t="s">
        <v>4725</v>
      </c>
      <c r="B2482" t="s">
        <v>8765</v>
      </c>
      <c r="C2482" t="s">
        <v>12194</v>
      </c>
      <c r="D2482" t="s">
        <v>13287</v>
      </c>
      <c r="E2482" t="str">
        <f>+VLOOKUP(A2482,[1]PFE4!$A$7:$F$5208,6,0)</f>
        <v>CALLE 93  11 A  11</v>
      </c>
      <c r="F2482" s="17">
        <f>+VLOOKUP(A2482,[1]PFE4!$A$7:$G$5208,7,0)</f>
        <v>11001</v>
      </c>
      <c r="G2482">
        <v>20253696</v>
      </c>
      <c r="H2482">
        <v>4329</v>
      </c>
    </row>
    <row r="2483" spans="1:8" ht="15" customHeight="1" x14ac:dyDescent="0.25">
      <c r="A2483" t="s">
        <v>4726</v>
      </c>
      <c r="B2483" t="s">
        <v>8766</v>
      </c>
      <c r="C2483" t="s">
        <v>12195</v>
      </c>
      <c r="D2483" t="s">
        <v>13287</v>
      </c>
      <c r="E2483" t="str">
        <f>+VLOOKUP(A2483,[1]PFE4!$A$7:$F$5208,6,0)</f>
        <v>CARRERA 43 No. 14-27</v>
      </c>
      <c r="F2483" s="17" t="str">
        <f>+VLOOKUP(A2483,[1]PFE4!$A$7:$G$5208,7,0)</f>
        <v>05001</v>
      </c>
      <c r="G2483">
        <v>20255800</v>
      </c>
      <c r="H2483">
        <v>4329</v>
      </c>
    </row>
    <row r="2484" spans="1:8" ht="15" customHeight="1" x14ac:dyDescent="0.25">
      <c r="A2484" t="s">
        <v>4727</v>
      </c>
      <c r="B2484" t="s">
        <v>8767</v>
      </c>
      <c r="C2484">
        <v>0</v>
      </c>
      <c r="D2484" t="s">
        <v>13287</v>
      </c>
      <c r="E2484">
        <v>0</v>
      </c>
      <c r="F2484" s="17">
        <v>11001</v>
      </c>
      <c r="G2484">
        <v>20270200</v>
      </c>
      <c r="H2484">
        <v>4329</v>
      </c>
    </row>
    <row r="2485" spans="1:8" ht="15" customHeight="1" x14ac:dyDescent="0.25">
      <c r="A2485" t="s">
        <v>4728</v>
      </c>
      <c r="B2485" t="s">
        <v>8768</v>
      </c>
      <c r="C2485" t="s">
        <v>12196</v>
      </c>
      <c r="D2485" t="s">
        <v>13287</v>
      </c>
      <c r="E2485" t="str">
        <f>+VLOOKUP(A2485,[1]PFE4!$A$7:$F$5208,6,0)</f>
        <v>CALLE 47  29  33 OFICINA 501</v>
      </c>
      <c r="F2485" s="17">
        <f>+VLOOKUP(A2485,[1]PFE4!$A$7:$G$5208,7,0)</f>
        <v>11001</v>
      </c>
      <c r="G2485">
        <v>20277840</v>
      </c>
      <c r="H2485">
        <v>4329</v>
      </c>
    </row>
    <row r="2486" spans="1:8" ht="15" customHeight="1" x14ac:dyDescent="0.25">
      <c r="A2486" t="s">
        <v>4729</v>
      </c>
      <c r="B2486" t="s">
        <v>8769</v>
      </c>
      <c r="C2486" t="s">
        <v>12197</v>
      </c>
      <c r="D2486" t="s">
        <v>13287</v>
      </c>
      <c r="E2486" t="str">
        <f>+VLOOKUP(A2486,[1]PFE4!$A$7:$F$5208,6,0)</f>
        <v>VIA AL CERRO DE ORO 67 02 BARRIO BOSQUES DE NIZA</v>
      </c>
      <c r="F2486" s="17">
        <f>+VLOOKUP(A2486,[1]PFE4!$A$7:$G$5208,7,0)</f>
        <v>17001</v>
      </c>
      <c r="G2486">
        <v>20288480</v>
      </c>
      <c r="H2486">
        <v>4329</v>
      </c>
    </row>
    <row r="2487" spans="1:8" ht="15" customHeight="1" x14ac:dyDescent="0.25">
      <c r="A2487" t="s">
        <v>4730</v>
      </c>
      <c r="B2487" t="s">
        <v>8770</v>
      </c>
      <c r="C2487" t="s">
        <v>12198</v>
      </c>
      <c r="D2487" t="s">
        <v>13287</v>
      </c>
      <c r="E2487" t="str">
        <f>+VLOOKUP(A2487,[1]PFE4!$A$7:$F$5208,6,0)</f>
        <v>CL 24 A 2 39</v>
      </c>
      <c r="F2487" s="17">
        <f>+VLOOKUP(A2487,[1]PFE4!$A$7:$G$5208,7,0)</f>
        <v>47001</v>
      </c>
      <c r="G2487">
        <v>20314364</v>
      </c>
      <c r="H2487">
        <v>4329</v>
      </c>
    </row>
    <row r="2488" spans="1:8" ht="15" customHeight="1" x14ac:dyDescent="0.25">
      <c r="A2488" t="s">
        <v>4731</v>
      </c>
      <c r="B2488" t="s">
        <v>8771</v>
      </c>
      <c r="C2488" t="s">
        <v>12199</v>
      </c>
      <c r="D2488" t="s">
        <v>13287</v>
      </c>
      <c r="E2488" t="str">
        <f>+VLOOKUP(A2488,[1]PFE4!$A$7:$F$5208,6,0)</f>
        <v>CALLE 55 A  29  14</v>
      </c>
      <c r="F2488" s="17">
        <f>+VLOOKUP(A2488,[1]PFE4!$A$7:$G$5208,7,0)</f>
        <v>11001</v>
      </c>
      <c r="G2488">
        <v>20328316</v>
      </c>
      <c r="H2488">
        <v>4329</v>
      </c>
    </row>
    <row r="2489" spans="1:8" ht="15" customHeight="1" x14ac:dyDescent="0.25">
      <c r="A2489" t="s">
        <v>4732</v>
      </c>
      <c r="B2489" t="s">
        <v>8772</v>
      </c>
      <c r="C2489" t="s">
        <v>12200</v>
      </c>
      <c r="D2489" t="s">
        <v>13287</v>
      </c>
      <c r="E2489" t="str">
        <f>+VLOOKUP(A2489,[1]PFE4!$A$7:$F$5208,6,0)</f>
        <v>CL 45 35 46 BRR EL LIBANO</v>
      </c>
      <c r="F2489" s="17">
        <f>+VLOOKUP(A2489,[1]PFE4!$A$7:$G$5208,7,0)</f>
        <v>47001</v>
      </c>
      <c r="G2489">
        <v>20342850</v>
      </c>
      <c r="H2489">
        <v>4329</v>
      </c>
    </row>
    <row r="2490" spans="1:8" ht="15" customHeight="1" x14ac:dyDescent="0.25">
      <c r="A2490" t="s">
        <v>4733</v>
      </c>
      <c r="B2490" t="s">
        <v>8773</v>
      </c>
      <c r="C2490" t="s">
        <v>12201</v>
      </c>
      <c r="D2490" t="s">
        <v>13287</v>
      </c>
      <c r="E2490" t="str">
        <f>+VLOOKUP(A2490,[1]PFE4!$A$7:$F$5208,6,0)</f>
        <v>CALLE 93 B  13  44  PISO 5</v>
      </c>
      <c r="F2490" s="17">
        <f>+VLOOKUP(A2490,[1]PFE4!$A$7:$G$5208,7,0)</f>
        <v>11001</v>
      </c>
      <c r="G2490">
        <v>20363960</v>
      </c>
      <c r="H2490">
        <v>4329</v>
      </c>
    </row>
    <row r="2491" spans="1:8" ht="15" customHeight="1" x14ac:dyDescent="0.25">
      <c r="A2491" t="s">
        <v>4734</v>
      </c>
      <c r="B2491" t="s">
        <v>8774</v>
      </c>
      <c r="C2491" t="s">
        <v>12202</v>
      </c>
      <c r="D2491" t="s">
        <v>13287</v>
      </c>
      <c r="E2491" t="str">
        <f>+VLOOKUP(A2491,[1]PFE4!$A$7:$F$5208,6,0)</f>
        <v>CALLE 62  23  34</v>
      </c>
      <c r="F2491" s="17">
        <f>+VLOOKUP(A2491,[1]PFE4!$A$7:$G$5208,7,0)</f>
        <v>11001</v>
      </c>
      <c r="G2491">
        <v>20413130</v>
      </c>
      <c r="H2491">
        <v>4329</v>
      </c>
    </row>
    <row r="2492" spans="1:8" ht="15" customHeight="1" x14ac:dyDescent="0.25">
      <c r="A2492" t="s">
        <v>4735</v>
      </c>
      <c r="B2492" t="s">
        <v>8775</v>
      </c>
      <c r="C2492" t="s">
        <v>12203</v>
      </c>
      <c r="D2492" t="s">
        <v>13287</v>
      </c>
      <c r="E2492" t="str">
        <f>+VLOOKUP(A2492,[1]PFE4!$A$7:$F$5208,6,0)</f>
        <v>CALLE 33  64  94</v>
      </c>
      <c r="F2492" s="17" t="str">
        <f>+VLOOKUP(A2492,[1]PFE4!$A$7:$G$5208,7,0)</f>
        <v>05001</v>
      </c>
      <c r="G2492">
        <v>20418936</v>
      </c>
      <c r="H2492">
        <v>4329</v>
      </c>
    </row>
    <row r="2493" spans="1:8" ht="15" customHeight="1" x14ac:dyDescent="0.25">
      <c r="A2493" t="s">
        <v>4736</v>
      </c>
      <c r="B2493" t="s">
        <v>8776</v>
      </c>
      <c r="C2493" t="s">
        <v>12204</v>
      </c>
      <c r="D2493" t="s">
        <v>13287</v>
      </c>
      <c r="E2493" t="str">
        <f>+VLOOKUP(A2493,[1]PFE4!$A$7:$F$5208,6,0)</f>
        <v>CR 45 96 A 28</v>
      </c>
      <c r="F2493" s="17" t="str">
        <f>+VLOOKUP(A2493,[1]PFE4!$A$7:$G$5208,7,0)</f>
        <v>08001</v>
      </c>
      <c r="G2493">
        <v>20435100</v>
      </c>
      <c r="H2493">
        <v>4329</v>
      </c>
    </row>
    <row r="2494" spans="1:8" ht="15" customHeight="1" x14ac:dyDescent="0.25">
      <c r="A2494" t="s">
        <v>4737</v>
      </c>
      <c r="B2494" t="s">
        <v>8777</v>
      </c>
      <c r="C2494" t="s">
        <v>12205</v>
      </c>
      <c r="D2494" t="s">
        <v>13287</v>
      </c>
      <c r="E2494" t="str">
        <f>+VLOOKUP(A2494,[1]PFE4!$A$7:$F$5208,6,0)</f>
        <v>CR 56 9 41 IN 401</v>
      </c>
      <c r="F2494" s="17">
        <f>+VLOOKUP(A2494,[1]PFE4!$A$7:$G$5208,7,0)</f>
        <v>70221</v>
      </c>
      <c r="G2494">
        <v>20454200</v>
      </c>
      <c r="H2494">
        <v>4329</v>
      </c>
    </row>
    <row r="2495" spans="1:8" ht="15" customHeight="1" x14ac:dyDescent="0.25">
      <c r="A2495" t="s">
        <v>4738</v>
      </c>
      <c r="B2495" t="s">
        <v>8778</v>
      </c>
      <c r="C2495" t="s">
        <v>12206</v>
      </c>
      <c r="D2495" t="s">
        <v>13287</v>
      </c>
      <c r="E2495" t="str">
        <f>+VLOOKUP(A2495,[1]PFE4!$A$7:$F$5208,6,0)</f>
        <v>CR 23 124 87 A D 1</v>
      </c>
      <c r="F2495" s="17">
        <f>+VLOOKUP(A2495,[1]PFE4!$A$7:$G$5208,7,0)</f>
        <v>11001</v>
      </c>
      <c r="G2495">
        <v>20456292</v>
      </c>
      <c r="H2495">
        <v>4329</v>
      </c>
    </row>
    <row r="2496" spans="1:8" ht="15" customHeight="1" x14ac:dyDescent="0.25">
      <c r="A2496" t="s">
        <v>4739</v>
      </c>
      <c r="B2496" t="s">
        <v>8779</v>
      </c>
      <c r="C2496" t="s">
        <v>11866</v>
      </c>
      <c r="D2496" t="s">
        <v>13287</v>
      </c>
      <c r="E2496" t="str">
        <f>+VLOOKUP(A2496,[1]PFE4!$A$7:$F$5208,6,0)</f>
        <v>CR 43 B 82 114</v>
      </c>
      <c r="F2496" s="17" t="str">
        <f>+VLOOKUP(A2496,[1]PFE4!$A$7:$G$5208,7,0)</f>
        <v>08001</v>
      </c>
      <c r="G2496">
        <v>20467700</v>
      </c>
      <c r="H2496">
        <v>4329</v>
      </c>
    </row>
    <row r="2497" spans="1:8" ht="15" customHeight="1" x14ac:dyDescent="0.25">
      <c r="A2497" t="s">
        <v>4740</v>
      </c>
      <c r="B2497" t="s">
        <v>8780</v>
      </c>
      <c r="C2497" t="s">
        <v>12207</v>
      </c>
      <c r="D2497" t="s">
        <v>13287</v>
      </c>
      <c r="E2497" t="str">
        <f>+VLOOKUP(A2497,[1]PFE4!$A$7:$F$5208,6,0)</f>
        <v>CL 219 50 10</v>
      </c>
      <c r="F2497" s="17">
        <f>+VLOOKUP(A2497,[1]PFE4!$A$7:$G$5208,7,0)</f>
        <v>11001</v>
      </c>
      <c r="G2497">
        <v>20468482</v>
      </c>
      <c r="H2497">
        <v>4329</v>
      </c>
    </row>
    <row r="2498" spans="1:8" ht="15" customHeight="1" x14ac:dyDescent="0.25">
      <c r="A2498" t="s">
        <v>4741</v>
      </c>
      <c r="B2498" t="s">
        <v>8781</v>
      </c>
      <c r="C2498" t="s">
        <v>12208</v>
      </c>
      <c r="D2498" t="s">
        <v>13287</v>
      </c>
      <c r="E2498" t="str">
        <f>+VLOOKUP(A2498,[1]PFE4!$A$7:$F$5208,6,0)</f>
        <v>CR 22 20 43</v>
      </c>
      <c r="F2498" s="17">
        <f>+VLOOKUP(A2498,[1]PFE4!$A$7:$G$5208,7,0)</f>
        <v>68001</v>
      </c>
      <c r="G2498">
        <v>20492672</v>
      </c>
      <c r="H2498">
        <v>4329</v>
      </c>
    </row>
    <row r="2499" spans="1:8" ht="15" customHeight="1" x14ac:dyDescent="0.25">
      <c r="A2499" t="s">
        <v>4742</v>
      </c>
      <c r="B2499" t="s">
        <v>8782</v>
      </c>
      <c r="C2499" t="s">
        <v>12209</v>
      </c>
      <c r="D2499" t="s">
        <v>13287</v>
      </c>
      <c r="E2499" t="str">
        <f>+VLOOKUP(A2499,[1]PFE4!$A$7:$F$5208,6,0)</f>
        <v>CALLE 152  13  10</v>
      </c>
      <c r="F2499" s="17">
        <f>+VLOOKUP(A2499,[1]PFE4!$A$7:$G$5208,7,0)</f>
        <v>11001</v>
      </c>
      <c r="G2499">
        <v>20512934</v>
      </c>
      <c r="H2499">
        <v>4329</v>
      </c>
    </row>
    <row r="2500" spans="1:8" ht="15" customHeight="1" x14ac:dyDescent="0.25">
      <c r="A2500" t="s">
        <v>4743</v>
      </c>
      <c r="B2500" t="s">
        <v>8783</v>
      </c>
      <c r="C2500" t="s">
        <v>11392</v>
      </c>
      <c r="D2500" t="s">
        <v>13287</v>
      </c>
      <c r="E2500" t="str">
        <f>+VLOOKUP(A2500,[1]PFE4!$A$7:$F$5208,6,0)</f>
        <v>CARRERA 15  87  76  OFICINA 502</v>
      </c>
      <c r="F2500" s="17">
        <f>+VLOOKUP(A2500,[1]PFE4!$A$7:$G$5208,7,0)</f>
        <v>11001</v>
      </c>
      <c r="G2500">
        <v>20518529</v>
      </c>
      <c r="H2500">
        <v>4329</v>
      </c>
    </row>
    <row r="2501" spans="1:8" ht="15" customHeight="1" x14ac:dyDescent="0.25">
      <c r="A2501" t="s">
        <v>4744</v>
      </c>
      <c r="B2501" t="s">
        <v>8784</v>
      </c>
      <c r="C2501" t="s">
        <v>12210</v>
      </c>
      <c r="D2501" t="s">
        <v>13287</v>
      </c>
      <c r="E2501" t="str">
        <f>+VLOOKUP(A2501,[1]PFE4!$A$7:$F$5208,6,0)</f>
        <v>CALLE 1 N D  2  75</v>
      </c>
      <c r="F2501" s="17">
        <f>+VLOOKUP(A2501,[1]PFE4!$A$7:$G$5208,7,0)</f>
        <v>68547</v>
      </c>
      <c r="G2501">
        <v>20524848</v>
      </c>
      <c r="H2501">
        <v>4329</v>
      </c>
    </row>
    <row r="2502" spans="1:8" ht="15" customHeight="1" x14ac:dyDescent="0.25">
      <c r="A2502" t="s">
        <v>4745</v>
      </c>
      <c r="B2502" t="s">
        <v>8785</v>
      </c>
      <c r="C2502" t="s">
        <v>12211</v>
      </c>
      <c r="D2502" t="s">
        <v>13287</v>
      </c>
      <c r="E2502" t="str">
        <f>+VLOOKUP(A2502,[1]PFE4!$A$7:$F$5208,6,0)</f>
        <v>CALLE 115  2  39</v>
      </c>
      <c r="F2502" s="17">
        <f>+VLOOKUP(A2502,[1]PFE4!$A$7:$G$5208,7,0)</f>
        <v>11001</v>
      </c>
      <c r="G2502">
        <v>20545228</v>
      </c>
      <c r="H2502">
        <v>4329</v>
      </c>
    </row>
    <row r="2503" spans="1:8" ht="15" customHeight="1" x14ac:dyDescent="0.25">
      <c r="A2503" t="s">
        <v>4746</v>
      </c>
      <c r="B2503" t="s">
        <v>8786</v>
      </c>
      <c r="C2503" t="s">
        <v>12212</v>
      </c>
      <c r="D2503" t="s">
        <v>13287</v>
      </c>
      <c r="E2503" t="str">
        <f>+VLOOKUP(A2503,[1]PFE4!$A$7:$F$5208,6,0)</f>
        <v>AVENIDA EL DORADO 69 A  51 TORRE B</v>
      </c>
      <c r="F2503" s="17">
        <f>+VLOOKUP(A2503,[1]PFE4!$A$7:$G$5208,7,0)</f>
        <v>11001</v>
      </c>
      <c r="G2503">
        <v>20556720</v>
      </c>
      <c r="H2503">
        <v>4329</v>
      </c>
    </row>
    <row r="2504" spans="1:8" ht="15" customHeight="1" x14ac:dyDescent="0.25">
      <c r="A2504" t="s">
        <v>4747</v>
      </c>
      <c r="B2504" t="s">
        <v>8787</v>
      </c>
      <c r="C2504" t="s">
        <v>12213</v>
      </c>
      <c r="D2504" t="s">
        <v>13287</v>
      </c>
      <c r="E2504" t="str">
        <f>+VLOOKUP(A2504,[1]PFE4!$A$7:$F$5208,6,0)</f>
        <v>CARRERA 1  14  26</v>
      </c>
      <c r="F2504" s="17">
        <f>+VLOOKUP(A2504,[1]PFE4!$A$7:$G$5208,7,0)</f>
        <v>11001</v>
      </c>
      <c r="G2504">
        <v>20564785</v>
      </c>
      <c r="H2504">
        <v>4329</v>
      </c>
    </row>
    <row r="2505" spans="1:8" ht="15" customHeight="1" x14ac:dyDescent="0.25">
      <c r="A2505" t="s">
        <v>4748</v>
      </c>
      <c r="B2505" t="s">
        <v>8788</v>
      </c>
      <c r="C2505" t="s">
        <v>12214</v>
      </c>
      <c r="D2505" t="s">
        <v>13287</v>
      </c>
      <c r="E2505" t="str">
        <f>+VLOOKUP(A2505,[1]PFE4!$A$7:$F$5208,6,0)</f>
        <v>CARRERA 43 A  7  50 OFICINA 1004</v>
      </c>
      <c r="F2505" s="17" t="str">
        <f>+VLOOKUP(A2505,[1]PFE4!$A$7:$G$5208,7,0)</f>
        <v>05380</v>
      </c>
      <c r="G2505">
        <v>20567075</v>
      </c>
      <c r="H2505">
        <v>4329</v>
      </c>
    </row>
    <row r="2506" spans="1:8" ht="15" customHeight="1" x14ac:dyDescent="0.25">
      <c r="A2506" t="s">
        <v>4749</v>
      </c>
      <c r="B2506" t="s">
        <v>8789</v>
      </c>
      <c r="C2506" t="s">
        <v>12215</v>
      </c>
      <c r="D2506" t="s">
        <v>13287</v>
      </c>
      <c r="E2506" t="str">
        <f>+VLOOKUP(A2506,[1]PFE4!$A$7:$F$5208,6,0)</f>
        <v>CRA 45 75 SUR 81</v>
      </c>
      <c r="F2506" s="17" t="str">
        <f>+VLOOKUP(A2506,[1]PFE4!$A$7:$G$5208,7,0)</f>
        <v>05631</v>
      </c>
      <c r="G2506">
        <v>20568096</v>
      </c>
      <c r="H2506">
        <v>4329</v>
      </c>
    </row>
    <row r="2507" spans="1:8" ht="15" customHeight="1" x14ac:dyDescent="0.25">
      <c r="A2507" t="s">
        <v>4750</v>
      </c>
      <c r="B2507" t="s">
        <v>8790</v>
      </c>
      <c r="C2507" t="s">
        <v>12216</v>
      </c>
      <c r="D2507" t="s">
        <v>13287</v>
      </c>
      <c r="E2507" t="str">
        <f>+VLOOKUP(A2507,[1]PFE4!$A$7:$F$5208,6,0)</f>
        <v>CL 65 SUR 35 12</v>
      </c>
      <c r="F2507" s="17" t="str">
        <f>+VLOOKUP(A2507,[1]PFE4!$A$7:$G$5208,7,0)</f>
        <v>05631</v>
      </c>
      <c r="G2507">
        <v>20573760</v>
      </c>
      <c r="H2507">
        <v>4329</v>
      </c>
    </row>
    <row r="2508" spans="1:8" ht="15" customHeight="1" x14ac:dyDescent="0.25">
      <c r="A2508" t="s">
        <v>4751</v>
      </c>
      <c r="B2508" t="s">
        <v>8791</v>
      </c>
      <c r="C2508" t="s">
        <v>12217</v>
      </c>
      <c r="D2508" t="s">
        <v>13287</v>
      </c>
      <c r="E2508" t="str">
        <f>+VLOOKUP(A2508,[1]PFE4!$A$7:$F$5208,6,0)</f>
        <v>CALLE 54 A  6  38</v>
      </c>
      <c r="F2508" s="17">
        <f>+VLOOKUP(A2508,[1]PFE4!$A$7:$G$5208,7,0)</f>
        <v>11001</v>
      </c>
      <c r="G2508">
        <v>20627884</v>
      </c>
      <c r="H2508">
        <v>4329</v>
      </c>
    </row>
    <row r="2509" spans="1:8" ht="15" customHeight="1" x14ac:dyDescent="0.25">
      <c r="A2509" t="s">
        <v>4752</v>
      </c>
      <c r="B2509" t="s">
        <v>8792</v>
      </c>
      <c r="C2509" t="s">
        <v>12218</v>
      </c>
      <c r="D2509" t="s">
        <v>13287</v>
      </c>
      <c r="E2509" t="str">
        <f>+VLOOKUP(A2509,[1]PFE4!$A$7:$F$5208,6,0)</f>
        <v>CALLE 118  11 A  05</v>
      </c>
      <c r="F2509" s="17">
        <f>+VLOOKUP(A2509,[1]PFE4!$A$7:$G$5208,7,0)</f>
        <v>11001</v>
      </c>
      <c r="G2509">
        <v>20656774</v>
      </c>
      <c r="H2509">
        <v>4329</v>
      </c>
    </row>
    <row r="2510" spans="1:8" ht="15" customHeight="1" x14ac:dyDescent="0.25">
      <c r="A2510" t="s">
        <v>4753</v>
      </c>
      <c r="B2510" t="s">
        <v>8793</v>
      </c>
      <c r="C2510" t="s">
        <v>12219</v>
      </c>
      <c r="D2510" t="s">
        <v>13287</v>
      </c>
      <c r="E2510" t="str">
        <f>+VLOOKUP(A2510,[1]PFE4!$A$7:$F$5208,6,0)</f>
        <v>CARRERA 53  64  72  OFICINA 105</v>
      </c>
      <c r="F2510" s="17" t="str">
        <f>+VLOOKUP(A2510,[1]PFE4!$A$7:$G$5208,7,0)</f>
        <v>08001</v>
      </c>
      <c r="G2510">
        <v>20666803</v>
      </c>
      <c r="H2510">
        <v>4329</v>
      </c>
    </row>
    <row r="2511" spans="1:8" ht="15" customHeight="1" x14ac:dyDescent="0.25">
      <c r="A2511" t="s">
        <v>4754</v>
      </c>
      <c r="B2511" t="s">
        <v>8794</v>
      </c>
      <c r="C2511" t="s">
        <v>11665</v>
      </c>
      <c r="D2511" t="s">
        <v>13287</v>
      </c>
      <c r="E2511" t="str">
        <f>+VLOOKUP(A2511,[1]PFE4!$A$7:$F$5208,6,0)</f>
        <v>CL 52 B 64 25</v>
      </c>
      <c r="F2511" s="17" t="str">
        <f>+VLOOKUP(A2511,[1]PFE4!$A$7:$G$5208,7,0)</f>
        <v>05088</v>
      </c>
      <c r="G2511">
        <v>20694393</v>
      </c>
      <c r="H2511">
        <v>4329</v>
      </c>
    </row>
    <row r="2512" spans="1:8" ht="15" customHeight="1" x14ac:dyDescent="0.25">
      <c r="A2512" t="s">
        <v>4755</v>
      </c>
      <c r="B2512" t="s">
        <v>8795</v>
      </c>
      <c r="C2512" t="s">
        <v>12220</v>
      </c>
      <c r="D2512" t="s">
        <v>13287</v>
      </c>
      <c r="E2512" t="str">
        <f>+VLOOKUP(A2512,[1]PFE4!$A$7:$F$5208,6,0)</f>
        <v>CARRERA 56  161  71</v>
      </c>
      <c r="F2512" s="17">
        <f>+VLOOKUP(A2512,[1]PFE4!$A$7:$G$5208,7,0)</f>
        <v>11001</v>
      </c>
      <c r="G2512">
        <v>20712178</v>
      </c>
      <c r="H2512">
        <v>4329</v>
      </c>
    </row>
    <row r="2513" spans="1:8" ht="15" customHeight="1" x14ac:dyDescent="0.25">
      <c r="A2513" t="s">
        <v>4756</v>
      </c>
      <c r="B2513" t="s">
        <v>8796</v>
      </c>
      <c r="C2513" t="s">
        <v>11557</v>
      </c>
      <c r="D2513" t="s">
        <v>13287</v>
      </c>
      <c r="E2513" t="str">
        <f>+VLOOKUP(A2513,[1]PFE4!$A$7:$F$5208,6,0)</f>
        <v>CALLE 19 NORTE  19  23</v>
      </c>
      <c r="F2513" s="17">
        <f>+VLOOKUP(A2513,[1]PFE4!$A$7:$G$5208,7,0)</f>
        <v>63001</v>
      </c>
      <c r="G2513">
        <v>20745070</v>
      </c>
      <c r="H2513">
        <v>4329</v>
      </c>
    </row>
    <row r="2514" spans="1:8" ht="15" customHeight="1" x14ac:dyDescent="0.25">
      <c r="A2514" t="s">
        <v>4757</v>
      </c>
      <c r="B2514" t="s">
        <v>8797</v>
      </c>
      <c r="C2514" t="s">
        <v>12221</v>
      </c>
      <c r="D2514" t="s">
        <v>13287</v>
      </c>
      <c r="E2514" t="str">
        <f>+VLOOKUP(A2514,[1]PFE4!$A$7:$F$5208,6,0)</f>
        <v>CARRERA 8  127 C  88</v>
      </c>
      <c r="F2514" s="17">
        <f>+VLOOKUP(A2514,[1]PFE4!$A$7:$G$5208,7,0)</f>
        <v>11001</v>
      </c>
      <c r="G2514">
        <v>20745481</v>
      </c>
      <c r="H2514">
        <v>4329</v>
      </c>
    </row>
    <row r="2515" spans="1:8" ht="15" customHeight="1" x14ac:dyDescent="0.25">
      <c r="A2515" t="s">
        <v>4758</v>
      </c>
      <c r="B2515" t="s">
        <v>8798</v>
      </c>
      <c r="C2515" t="s">
        <v>12222</v>
      </c>
      <c r="D2515" t="s">
        <v>13287</v>
      </c>
      <c r="E2515" t="str">
        <f>+VLOOKUP(A2515,[1]PFE4!$A$7:$F$5208,6,0)</f>
        <v>AVENIDA 3 N  26 N  83</v>
      </c>
      <c r="F2515" s="17">
        <f>+VLOOKUP(A2515,[1]PFE4!$A$7:$G$5208,7,0)</f>
        <v>11001</v>
      </c>
      <c r="G2515">
        <v>20754288</v>
      </c>
      <c r="H2515">
        <v>4329</v>
      </c>
    </row>
    <row r="2516" spans="1:8" ht="15" customHeight="1" x14ac:dyDescent="0.25">
      <c r="A2516" t="s">
        <v>4759</v>
      </c>
      <c r="B2516" t="s">
        <v>8799</v>
      </c>
      <c r="C2516" t="s">
        <v>11225</v>
      </c>
      <c r="D2516" t="s">
        <v>13287</v>
      </c>
      <c r="E2516" t="str">
        <f>+VLOOKUP(A2516,[1]PFE4!$A$7:$F$5208,6,0)</f>
        <v>CARRERA 18  79 A  33</v>
      </c>
      <c r="F2516" s="17">
        <f>+VLOOKUP(A2516,[1]PFE4!$A$7:$G$5208,7,0)</f>
        <v>11001</v>
      </c>
      <c r="G2516">
        <v>20783472</v>
      </c>
      <c r="H2516">
        <v>4329</v>
      </c>
    </row>
    <row r="2517" spans="1:8" ht="15" customHeight="1" x14ac:dyDescent="0.25">
      <c r="A2517" t="s">
        <v>4760</v>
      </c>
      <c r="B2517" t="s">
        <v>8800</v>
      </c>
      <c r="C2517" t="s">
        <v>11727</v>
      </c>
      <c r="D2517" t="s">
        <v>13287</v>
      </c>
      <c r="E2517" t="str">
        <f>+VLOOKUP(A2517,[1]PFE4!$A$7:$F$5208,6,0)</f>
        <v>CL 59 98 C 114 BRR CIUDAD MELENDEZ</v>
      </c>
      <c r="F2517" s="17">
        <f>+VLOOKUP(A2517,[1]PFE4!$A$7:$G$5208,7,0)</f>
        <v>76001</v>
      </c>
      <c r="G2517">
        <v>20798700</v>
      </c>
      <c r="H2517">
        <v>4329</v>
      </c>
    </row>
    <row r="2518" spans="1:8" ht="15" customHeight="1" x14ac:dyDescent="0.25">
      <c r="A2518" t="s">
        <v>4761</v>
      </c>
      <c r="B2518" t="s">
        <v>8801</v>
      </c>
      <c r="C2518" t="s">
        <v>12223</v>
      </c>
      <c r="D2518" t="s">
        <v>13287</v>
      </c>
      <c r="E2518" t="str">
        <f>+VLOOKUP(A2518,[1]PFE4!$A$7:$F$5208,6,0)</f>
        <v>CL 11A 1 E 132</v>
      </c>
      <c r="F2518" s="17">
        <f>+VLOOKUP(A2518,[1]PFE4!$A$7:$G$5208,7,0)</f>
        <v>11001</v>
      </c>
      <c r="G2518">
        <v>20803632</v>
      </c>
      <c r="H2518">
        <v>4329</v>
      </c>
    </row>
    <row r="2519" spans="1:8" ht="15" customHeight="1" x14ac:dyDescent="0.25">
      <c r="A2519" t="s">
        <v>4762</v>
      </c>
      <c r="B2519" t="s">
        <v>8802</v>
      </c>
      <c r="C2519" t="s">
        <v>11198</v>
      </c>
      <c r="D2519" t="s">
        <v>13287</v>
      </c>
      <c r="E2519" t="str">
        <f>+VLOOKUP(A2519,[1]PFE4!$A$7:$F$5208,6,0)</f>
        <v>CALLE 72  1  65</v>
      </c>
      <c r="F2519" s="17">
        <f>+VLOOKUP(A2519,[1]PFE4!$A$7:$G$5208,7,0)</f>
        <v>11001</v>
      </c>
      <c r="G2519">
        <v>20826490</v>
      </c>
      <c r="H2519">
        <v>4329</v>
      </c>
    </row>
    <row r="2520" spans="1:8" ht="15" customHeight="1" x14ac:dyDescent="0.25">
      <c r="A2520" t="s">
        <v>4763</v>
      </c>
      <c r="B2520" t="s">
        <v>8803</v>
      </c>
      <c r="C2520" t="s">
        <v>12224</v>
      </c>
      <c r="D2520" t="s">
        <v>13287</v>
      </c>
      <c r="E2520" t="str">
        <f>+VLOOKUP(A2520,[1]PFE4!$A$7:$F$5208,6,0)</f>
        <v>CARRERA 43 A  24 C  06</v>
      </c>
      <c r="F2520" s="17">
        <f>+VLOOKUP(A2520,[1]PFE4!$A$7:$G$5208,7,0)</f>
        <v>11001</v>
      </c>
      <c r="G2520">
        <v>20843108</v>
      </c>
      <c r="H2520">
        <v>4329</v>
      </c>
    </row>
    <row r="2521" spans="1:8" ht="15" customHeight="1" x14ac:dyDescent="0.25">
      <c r="A2521" t="s">
        <v>4764</v>
      </c>
      <c r="B2521" t="s">
        <v>8804</v>
      </c>
      <c r="C2521" t="s">
        <v>12225</v>
      </c>
      <c r="D2521" t="s">
        <v>13287</v>
      </c>
      <c r="E2521" t="str">
        <f>+VLOOKUP(A2521,[1]PFE4!$A$7:$F$5208,6,0)</f>
        <v>CALLE 57  23  05</v>
      </c>
      <c r="F2521" s="17">
        <f>+VLOOKUP(A2521,[1]PFE4!$A$7:$G$5208,7,0)</f>
        <v>68081</v>
      </c>
      <c r="G2521">
        <v>20846336</v>
      </c>
      <c r="H2521">
        <v>4329</v>
      </c>
    </row>
    <row r="2522" spans="1:8" ht="15" customHeight="1" x14ac:dyDescent="0.25">
      <c r="A2522" t="s">
        <v>4765</v>
      </c>
      <c r="B2522" t="s">
        <v>8805</v>
      </c>
      <c r="C2522" t="s">
        <v>12226</v>
      </c>
      <c r="D2522" t="s">
        <v>13287</v>
      </c>
      <c r="E2522" t="str">
        <f>+VLOOKUP(A2522,[1]PFE4!$A$7:$F$5208,6,0)</f>
        <v>CL 48 F SUR 39B 220</v>
      </c>
      <c r="F2522" s="17" t="str">
        <f>+VLOOKUP(A2522,[1]PFE4!$A$7:$G$5208,7,0)</f>
        <v>05266</v>
      </c>
      <c r="G2522">
        <v>20866608</v>
      </c>
      <c r="H2522">
        <v>4329</v>
      </c>
    </row>
    <row r="2523" spans="1:8" ht="15" customHeight="1" x14ac:dyDescent="0.25">
      <c r="A2523" t="s">
        <v>4766</v>
      </c>
      <c r="B2523" t="s">
        <v>8806</v>
      </c>
      <c r="C2523" t="s">
        <v>12227</v>
      </c>
      <c r="D2523" t="s">
        <v>13287</v>
      </c>
      <c r="E2523" t="str">
        <f>+VLOOKUP(A2523,[1]PFE4!$A$7:$F$5208,6,0)</f>
        <v>CARRERA 63  32 E  39</v>
      </c>
      <c r="F2523" s="17" t="str">
        <f>+VLOOKUP(A2523,[1]PFE4!$A$7:$G$5208,7,0)</f>
        <v>05001</v>
      </c>
      <c r="G2523">
        <v>20881302</v>
      </c>
      <c r="H2523">
        <v>4329</v>
      </c>
    </row>
    <row r="2524" spans="1:8" ht="15" customHeight="1" x14ac:dyDescent="0.25">
      <c r="A2524" t="s">
        <v>4767</v>
      </c>
      <c r="B2524" t="s">
        <v>8807</v>
      </c>
      <c r="C2524" t="s">
        <v>12228</v>
      </c>
      <c r="D2524" t="s">
        <v>13287</v>
      </c>
      <c r="E2524" t="str">
        <f>+VLOOKUP(A2524,[1]PFE4!$A$7:$F$5208,6,0)</f>
        <v>CARRERA 63  33  60</v>
      </c>
      <c r="F2524" s="17" t="str">
        <f>+VLOOKUP(A2524,[1]PFE4!$A$7:$G$5208,7,0)</f>
        <v>05360</v>
      </c>
      <c r="G2524">
        <v>20886360</v>
      </c>
      <c r="H2524">
        <v>4329</v>
      </c>
    </row>
    <row r="2525" spans="1:8" ht="15" customHeight="1" x14ac:dyDescent="0.25">
      <c r="A2525" t="s">
        <v>4768</v>
      </c>
      <c r="B2525" t="s">
        <v>8808</v>
      </c>
      <c r="C2525" t="s">
        <v>12229</v>
      </c>
      <c r="D2525" t="s">
        <v>13287</v>
      </c>
      <c r="E2525" t="str">
        <f>+VLOOKUP(A2525,[1]PFE4!$A$7:$F$5208,6,0)</f>
        <v>CALLE 24  20  54</v>
      </c>
      <c r="F2525" s="17">
        <f>+VLOOKUP(A2525,[1]PFE4!$A$7:$G$5208,7,0)</f>
        <v>68001</v>
      </c>
      <c r="G2525">
        <v>20900988</v>
      </c>
      <c r="H2525">
        <v>4329</v>
      </c>
    </row>
    <row r="2526" spans="1:8" ht="15" customHeight="1" x14ac:dyDescent="0.25">
      <c r="A2526" t="s">
        <v>4769</v>
      </c>
      <c r="B2526" t="s">
        <v>8809</v>
      </c>
      <c r="C2526" t="s">
        <v>10712</v>
      </c>
      <c r="D2526" t="s">
        <v>13287</v>
      </c>
      <c r="E2526" t="str">
        <f>+VLOOKUP(A2526,[1]PFE4!$A$7:$F$5208,6,0)</f>
        <v>CARRERA 3 B  63  42</v>
      </c>
      <c r="F2526" s="17">
        <f>+VLOOKUP(A2526,[1]PFE4!$A$7:$G$5208,7,0)</f>
        <v>11001</v>
      </c>
      <c r="G2526">
        <v>20915899</v>
      </c>
      <c r="H2526">
        <v>4329</v>
      </c>
    </row>
    <row r="2527" spans="1:8" ht="15" customHeight="1" x14ac:dyDescent="0.25">
      <c r="A2527" t="s">
        <v>4770</v>
      </c>
      <c r="B2527" t="s">
        <v>8810</v>
      </c>
      <c r="C2527" t="s">
        <v>12230</v>
      </c>
      <c r="D2527" t="s">
        <v>13287</v>
      </c>
      <c r="E2527" t="str">
        <f>+VLOOKUP(A2527,[1]PFE4!$A$7:$F$5208,6,0)</f>
        <v>CALLE 86  8  07</v>
      </c>
      <c r="F2527" s="17">
        <f>+VLOOKUP(A2527,[1]PFE4!$A$7:$G$5208,7,0)</f>
        <v>11001</v>
      </c>
      <c r="G2527">
        <v>20929931</v>
      </c>
      <c r="H2527">
        <v>4329</v>
      </c>
    </row>
    <row r="2528" spans="1:8" ht="15" customHeight="1" x14ac:dyDescent="0.25">
      <c r="A2528" t="s">
        <v>4771</v>
      </c>
      <c r="B2528" t="s">
        <v>8811</v>
      </c>
      <c r="C2528" t="s">
        <v>12231</v>
      </c>
      <c r="D2528" t="s">
        <v>13287</v>
      </c>
      <c r="E2528" t="str">
        <f>+VLOOKUP(A2528,[1]PFE4!$A$7:$F$5208,6,0)</f>
        <v>CARRERA 4  26  40</v>
      </c>
      <c r="F2528" s="17">
        <f>+VLOOKUP(A2528,[1]PFE4!$A$7:$G$5208,7,0)</f>
        <v>47001</v>
      </c>
      <c r="G2528">
        <v>20971936</v>
      </c>
      <c r="H2528">
        <v>4329</v>
      </c>
    </row>
    <row r="2529" spans="1:8" ht="15" customHeight="1" x14ac:dyDescent="0.25">
      <c r="A2529" t="s">
        <v>4772</v>
      </c>
      <c r="B2529" t="s">
        <v>8812</v>
      </c>
      <c r="C2529" t="s">
        <v>12232</v>
      </c>
      <c r="D2529" t="s">
        <v>13287</v>
      </c>
      <c r="E2529" t="str">
        <f>+VLOOKUP(A2529,[1]PFE4!$A$7:$F$5208,6,0)</f>
        <v>CARRERA 38  41  77</v>
      </c>
      <c r="F2529" s="17">
        <f>+VLOOKUP(A2529,[1]PFE4!$A$7:$G$5208,7,0)</f>
        <v>68001</v>
      </c>
      <c r="G2529">
        <v>20974357</v>
      </c>
      <c r="H2529">
        <v>4329</v>
      </c>
    </row>
    <row r="2530" spans="1:8" ht="15" customHeight="1" x14ac:dyDescent="0.25">
      <c r="A2530" t="s">
        <v>4773</v>
      </c>
      <c r="B2530" t="s">
        <v>8813</v>
      </c>
      <c r="C2530" t="s">
        <v>12233</v>
      </c>
      <c r="D2530" t="s">
        <v>13287</v>
      </c>
      <c r="E2530" t="str">
        <f>+VLOOKUP(A2530,[1]PFE4!$A$7:$F$5208,6,0)</f>
        <v>CALLE 40 NORTE  6 D  18</v>
      </c>
      <c r="F2530" s="17">
        <f>+VLOOKUP(A2530,[1]PFE4!$A$7:$G$5208,7,0)</f>
        <v>11001</v>
      </c>
      <c r="G2530">
        <v>20978704</v>
      </c>
      <c r="H2530">
        <v>4329</v>
      </c>
    </row>
    <row r="2531" spans="1:8" ht="15" customHeight="1" x14ac:dyDescent="0.25">
      <c r="A2531" t="s">
        <v>4774</v>
      </c>
      <c r="B2531" t="s">
        <v>8814</v>
      </c>
      <c r="C2531" t="s">
        <v>10850</v>
      </c>
      <c r="D2531" t="s">
        <v>13287</v>
      </c>
      <c r="E2531" t="str">
        <f>+VLOOKUP(A2531,[1]PFE4!$A$7:$F$5208,6,0)</f>
        <v>TRANSVERSAL 7 A  30  271</v>
      </c>
      <c r="F2531" s="17" t="str">
        <f>+VLOOKUP(A2531,[1]PFE4!$A$7:$G$5208,7,0)</f>
        <v>05001</v>
      </c>
      <c r="G2531">
        <v>20981580</v>
      </c>
      <c r="H2531">
        <v>4329</v>
      </c>
    </row>
    <row r="2532" spans="1:8" ht="15" customHeight="1" x14ac:dyDescent="0.25">
      <c r="A2532" t="s">
        <v>4775</v>
      </c>
      <c r="B2532" t="s">
        <v>8815</v>
      </c>
      <c r="C2532" t="s">
        <v>12234</v>
      </c>
      <c r="D2532" t="s">
        <v>13287</v>
      </c>
      <c r="E2532" t="str">
        <f>+VLOOKUP(A2532,[1]PFE4!$A$7:$F$5208,6,0)</f>
        <v>CALLE 157 A  92  10</v>
      </c>
      <c r="F2532" s="17">
        <f>+VLOOKUP(A2532,[1]PFE4!$A$7:$G$5208,7,0)</f>
        <v>11001</v>
      </c>
      <c r="G2532">
        <v>21000772</v>
      </c>
      <c r="H2532">
        <v>4329</v>
      </c>
    </row>
    <row r="2533" spans="1:8" ht="15" customHeight="1" x14ac:dyDescent="0.25">
      <c r="A2533" t="s">
        <v>4776</v>
      </c>
      <c r="B2533" t="s">
        <v>8816</v>
      </c>
      <c r="C2533" t="s">
        <v>12235</v>
      </c>
      <c r="D2533" t="s">
        <v>13287</v>
      </c>
      <c r="E2533" t="str">
        <f>+VLOOKUP(A2533,[1]PFE4!$A$7:$F$5208,6,0)</f>
        <v>CARRERA 14  98  51</v>
      </c>
      <c r="F2533" s="17">
        <f>+VLOOKUP(A2533,[1]PFE4!$A$7:$G$5208,7,0)</f>
        <v>11001</v>
      </c>
      <c r="G2533">
        <v>21027675</v>
      </c>
      <c r="H2533">
        <v>4329</v>
      </c>
    </row>
    <row r="2534" spans="1:8" ht="15" customHeight="1" x14ac:dyDescent="0.25">
      <c r="A2534" t="s">
        <v>4777</v>
      </c>
      <c r="B2534" t="s">
        <v>8817</v>
      </c>
      <c r="C2534" t="s">
        <v>12236</v>
      </c>
      <c r="D2534" t="s">
        <v>13287</v>
      </c>
      <c r="E2534" t="str">
        <f>+VLOOKUP(A2534,[1]PFE4!$A$7:$F$5208,6,0)</f>
        <v>CARRERA 18 A N 151 06</v>
      </c>
      <c r="F2534" s="17">
        <f>+VLOOKUP(A2534,[1]PFE4!$A$7:$G$5208,7,0)</f>
        <v>11001</v>
      </c>
      <c r="G2534">
        <v>21031000</v>
      </c>
      <c r="H2534">
        <v>4329</v>
      </c>
    </row>
    <row r="2535" spans="1:8" ht="15" customHeight="1" x14ac:dyDescent="0.25">
      <c r="A2535" t="s">
        <v>4778</v>
      </c>
      <c r="B2535" t="s">
        <v>8818</v>
      </c>
      <c r="C2535" t="s">
        <v>11915</v>
      </c>
      <c r="D2535" t="s">
        <v>13287</v>
      </c>
      <c r="E2535" t="str">
        <f>+VLOOKUP(A2535,[1]PFE4!$A$7:$F$5208,6,0)</f>
        <v>CL 32 20 51</v>
      </c>
      <c r="F2535" s="17" t="str">
        <f>+VLOOKUP(A2535,[1]PFE4!$A$7:$G$5208,7,0)</f>
        <v>05607</v>
      </c>
      <c r="G2535">
        <v>21065939</v>
      </c>
      <c r="H2535">
        <v>4329</v>
      </c>
    </row>
    <row r="2536" spans="1:8" ht="15" customHeight="1" x14ac:dyDescent="0.25">
      <c r="A2536" t="s">
        <v>4779</v>
      </c>
      <c r="B2536" t="s">
        <v>8819</v>
      </c>
      <c r="C2536" t="s">
        <v>12237</v>
      </c>
      <c r="D2536" t="s">
        <v>13287</v>
      </c>
      <c r="E2536" t="str">
        <f>+VLOOKUP(A2536,[1]PFE4!$A$7:$F$5208,6,0)</f>
        <v>CALLE 5 C  72 B  75</v>
      </c>
      <c r="F2536" s="17">
        <f>+VLOOKUP(A2536,[1]PFE4!$A$7:$G$5208,7,0)</f>
        <v>11001</v>
      </c>
      <c r="G2536">
        <v>21056808</v>
      </c>
      <c r="H2536">
        <v>4329</v>
      </c>
    </row>
    <row r="2537" spans="1:8" ht="15" customHeight="1" x14ac:dyDescent="0.25">
      <c r="A2537" t="s">
        <v>4780</v>
      </c>
      <c r="B2537" t="s">
        <v>8820</v>
      </c>
      <c r="C2537">
        <v>3219664011</v>
      </c>
      <c r="D2537" t="s">
        <v>13287</v>
      </c>
      <c r="E2537" t="str">
        <f>+VLOOKUP(A2537,[1]PFE4!$A$7:$F$5208,6,0)</f>
        <v>CARRERA 9  127 B  90</v>
      </c>
      <c r="F2537" s="17">
        <f>+VLOOKUP(A2537,[1]PFE4!$A$7:$G$5208,7,0)</f>
        <v>11001</v>
      </c>
      <c r="G2537">
        <v>21068726</v>
      </c>
      <c r="H2537">
        <v>4329</v>
      </c>
    </row>
    <row r="2538" spans="1:8" ht="15" customHeight="1" x14ac:dyDescent="0.25">
      <c r="A2538" t="s">
        <v>4781</v>
      </c>
      <c r="B2538" t="s">
        <v>8821</v>
      </c>
      <c r="C2538" t="s">
        <v>12021</v>
      </c>
      <c r="D2538" t="s">
        <v>13287</v>
      </c>
      <c r="E2538" t="str">
        <f>+VLOOKUP(A2538,[1]PFE4!$A$7:$F$5208,6,0)</f>
        <v>CALLE 5 N  1  74</v>
      </c>
      <c r="F2538" s="17">
        <f>+VLOOKUP(A2538,[1]PFE4!$A$7:$G$5208,7,0)</f>
        <v>76001</v>
      </c>
      <c r="G2538">
        <v>21128102</v>
      </c>
      <c r="H2538">
        <v>4329</v>
      </c>
    </row>
    <row r="2539" spans="1:8" ht="15" customHeight="1" x14ac:dyDescent="0.25">
      <c r="A2539" t="s">
        <v>4782</v>
      </c>
      <c r="B2539" t="s">
        <v>8822</v>
      </c>
      <c r="C2539" t="s">
        <v>12238</v>
      </c>
      <c r="D2539" t="s">
        <v>13287</v>
      </c>
      <c r="E2539" t="str">
        <f>+VLOOKUP(A2539,[1]PFE4!$A$7:$F$5208,6,0)</f>
        <v>BRR  MANGA CR  18 24</v>
      </c>
      <c r="F2539" s="17">
        <f>+VLOOKUP(A2539,[1]PFE4!$A$7:$G$5208,7,0)</f>
        <v>13001</v>
      </c>
      <c r="G2539">
        <v>21129145</v>
      </c>
      <c r="H2539">
        <v>4329</v>
      </c>
    </row>
    <row r="2540" spans="1:8" ht="15" customHeight="1" x14ac:dyDescent="0.25">
      <c r="A2540" t="s">
        <v>4783</v>
      </c>
      <c r="B2540" t="s">
        <v>8823</v>
      </c>
      <c r="C2540" t="s">
        <v>12239</v>
      </c>
      <c r="D2540" t="s">
        <v>13287</v>
      </c>
      <c r="E2540" t="str">
        <f>+VLOOKUP(A2540,[1]PFE4!$A$7:$F$5208,6,0)</f>
        <v>CARRERA 10  34 RTE  47</v>
      </c>
      <c r="F2540" s="17">
        <f>+VLOOKUP(A2540,[1]PFE4!$A$7:$G$5208,7,0)</f>
        <v>19001</v>
      </c>
      <c r="G2540">
        <v>21139320</v>
      </c>
      <c r="H2540">
        <v>4329</v>
      </c>
    </row>
    <row r="2541" spans="1:8" ht="15" customHeight="1" x14ac:dyDescent="0.25">
      <c r="A2541" t="s">
        <v>4784</v>
      </c>
      <c r="B2541" t="s">
        <v>8824</v>
      </c>
      <c r="C2541" t="s">
        <v>12240</v>
      </c>
      <c r="D2541" t="s">
        <v>13287</v>
      </c>
      <c r="E2541" t="str">
        <f>+VLOOKUP(A2541,[1]PFE4!$A$7:$F$5208,6,0)</f>
        <v>CARRERA 73 C  74  247</v>
      </c>
      <c r="F2541" s="17" t="str">
        <f>+VLOOKUP(A2541,[1]PFE4!$A$7:$G$5208,7,0)</f>
        <v>05001</v>
      </c>
      <c r="G2541">
        <v>21142952</v>
      </c>
      <c r="H2541">
        <v>4329</v>
      </c>
    </row>
    <row r="2542" spans="1:8" ht="15" customHeight="1" x14ac:dyDescent="0.25">
      <c r="A2542" t="s">
        <v>4785</v>
      </c>
      <c r="B2542" t="s">
        <v>8825</v>
      </c>
      <c r="C2542" t="s">
        <v>12241</v>
      </c>
      <c r="D2542" t="s">
        <v>13287</v>
      </c>
      <c r="E2542" t="str">
        <f>+VLOOKUP(A2542,[1]PFE4!$A$7:$F$5208,6,0)</f>
        <v>CARRERA 39 A  41  22</v>
      </c>
      <c r="F2542" s="17">
        <f>+VLOOKUP(A2542,[1]PFE4!$A$7:$G$5208,7,0)</f>
        <v>68001</v>
      </c>
      <c r="G2542">
        <v>21174523</v>
      </c>
      <c r="H2542">
        <v>4329</v>
      </c>
    </row>
    <row r="2543" spans="1:8" ht="15" customHeight="1" x14ac:dyDescent="0.25">
      <c r="A2543" t="s">
        <v>4786</v>
      </c>
      <c r="B2543" t="s">
        <v>8826</v>
      </c>
      <c r="C2543" t="s">
        <v>12242</v>
      </c>
      <c r="D2543" t="s">
        <v>13287</v>
      </c>
      <c r="E2543" t="str">
        <f>+VLOOKUP(A2543,[1]PFE4!$A$7:$F$5208,6,0)</f>
        <v>TRANSVERSAL 32 D  74 C  26</v>
      </c>
      <c r="F2543" s="17" t="str">
        <f>+VLOOKUP(A2543,[1]PFE4!$A$7:$G$5208,7,0)</f>
        <v>05001</v>
      </c>
      <c r="G2543">
        <v>21178310</v>
      </c>
      <c r="H2543">
        <v>4329</v>
      </c>
    </row>
    <row r="2544" spans="1:8" ht="15" customHeight="1" x14ac:dyDescent="0.25">
      <c r="A2544" t="s">
        <v>4787</v>
      </c>
      <c r="B2544" t="s">
        <v>8827</v>
      </c>
      <c r="C2544">
        <v>0</v>
      </c>
      <c r="D2544" t="s">
        <v>13287</v>
      </c>
      <c r="E2544">
        <v>0</v>
      </c>
      <c r="F2544" s="17">
        <v>11001</v>
      </c>
      <c r="G2544">
        <v>21193511</v>
      </c>
      <c r="H2544">
        <v>4329</v>
      </c>
    </row>
    <row r="2545" spans="1:8" ht="15" customHeight="1" x14ac:dyDescent="0.25">
      <c r="A2545" t="s">
        <v>4788</v>
      </c>
      <c r="B2545" t="s">
        <v>8828</v>
      </c>
      <c r="C2545" t="s">
        <v>12243</v>
      </c>
      <c r="D2545" t="s">
        <v>13287</v>
      </c>
      <c r="E2545" t="str">
        <f>+VLOOKUP(A2545,[1]PFE4!$A$7:$F$5208,6,0)</f>
        <v>CARRERA 24  31  40</v>
      </c>
      <c r="F2545" s="17">
        <f>+VLOOKUP(A2545,[1]PFE4!$A$7:$G$5208,7,0)</f>
        <v>68001</v>
      </c>
      <c r="G2545">
        <v>21223960</v>
      </c>
      <c r="H2545">
        <v>4329</v>
      </c>
    </row>
    <row r="2546" spans="1:8" ht="15" customHeight="1" x14ac:dyDescent="0.25">
      <c r="A2546" t="s">
        <v>4789</v>
      </c>
      <c r="B2546" t="s">
        <v>8829</v>
      </c>
      <c r="C2546" t="s">
        <v>10510</v>
      </c>
      <c r="D2546" t="s">
        <v>13287</v>
      </c>
      <c r="E2546" t="str">
        <f>+VLOOKUP(A2546,[1]PFE4!$A$7:$F$5208,6,0)</f>
        <v>CALLE 45 A SUR  39 B  226</v>
      </c>
      <c r="F2546" s="17" t="str">
        <f>+VLOOKUP(A2546,[1]PFE4!$A$7:$G$5208,7,0)</f>
        <v>05266</v>
      </c>
      <c r="G2546">
        <v>21242134</v>
      </c>
      <c r="H2546">
        <v>4329</v>
      </c>
    </row>
    <row r="2547" spans="1:8" ht="15" customHeight="1" x14ac:dyDescent="0.25">
      <c r="A2547" t="s">
        <v>4790</v>
      </c>
      <c r="B2547" t="s">
        <v>8830</v>
      </c>
      <c r="C2547" t="s">
        <v>12244</v>
      </c>
      <c r="D2547" t="s">
        <v>13287</v>
      </c>
      <c r="E2547" t="str">
        <f>+VLOOKUP(A2547,[1]PFE4!$A$7:$F$5208,6,0)</f>
        <v>CALLE 11 30 A - 117</v>
      </c>
      <c r="F2547" s="17" t="str">
        <f>+VLOOKUP(A2547,[1]PFE4!$A$7:$G$5208,7,0)</f>
        <v>05001</v>
      </c>
      <c r="G2547">
        <v>21251584</v>
      </c>
      <c r="H2547">
        <v>4329</v>
      </c>
    </row>
    <row r="2548" spans="1:8" ht="15" customHeight="1" x14ac:dyDescent="0.25">
      <c r="A2548" t="s">
        <v>4791</v>
      </c>
      <c r="B2548" t="s">
        <v>8831</v>
      </c>
      <c r="C2548" t="s">
        <v>12245</v>
      </c>
      <c r="D2548" t="s">
        <v>13287</v>
      </c>
      <c r="E2548" t="str">
        <f>+VLOOKUP(A2548,[1]PFE4!$A$7:$F$5208,6,0)</f>
        <v>CALLE 35  29  50</v>
      </c>
      <c r="F2548" s="17">
        <f>+VLOOKUP(A2548,[1]PFE4!$A$7:$G$5208,7,0)</f>
        <v>11001</v>
      </c>
      <c r="G2548">
        <v>21276359</v>
      </c>
      <c r="H2548">
        <v>4329</v>
      </c>
    </row>
    <row r="2549" spans="1:8" ht="15" customHeight="1" x14ac:dyDescent="0.25">
      <c r="A2549" t="s">
        <v>4792</v>
      </c>
      <c r="B2549" t="s">
        <v>8832</v>
      </c>
      <c r="C2549" t="s">
        <v>12246</v>
      </c>
      <c r="D2549" t="s">
        <v>13287</v>
      </c>
      <c r="E2549" t="str">
        <f>+VLOOKUP(A2549,[1]PFE4!$A$7:$F$5208,6,0)</f>
        <v>CALLE 22  17  15</v>
      </c>
      <c r="F2549" s="17">
        <f>+VLOOKUP(A2549,[1]PFE4!$A$7:$G$5208,7,0)</f>
        <v>63001</v>
      </c>
      <c r="G2549">
        <v>21296230</v>
      </c>
      <c r="H2549">
        <v>4329</v>
      </c>
    </row>
    <row r="2550" spans="1:8" ht="15" customHeight="1" x14ac:dyDescent="0.25">
      <c r="A2550" t="s">
        <v>4793</v>
      </c>
      <c r="B2550" t="s">
        <v>8833</v>
      </c>
      <c r="C2550" t="s">
        <v>12247</v>
      </c>
      <c r="D2550" t="s">
        <v>13287</v>
      </c>
      <c r="E2550" t="str">
        <f>+VLOOKUP(A2550,[1]PFE4!$A$7:$F$5208,6,0)</f>
        <v>CARRERA 17  10  81</v>
      </c>
      <c r="F2550" s="17">
        <f>+VLOOKUP(A2550,[1]PFE4!$A$7:$G$5208,7,0)</f>
        <v>11001</v>
      </c>
      <c r="G2550">
        <v>21336882</v>
      </c>
      <c r="H2550">
        <v>4329</v>
      </c>
    </row>
    <row r="2551" spans="1:8" ht="15" customHeight="1" x14ac:dyDescent="0.25">
      <c r="A2551" t="s">
        <v>4794</v>
      </c>
      <c r="B2551" t="s">
        <v>8834</v>
      </c>
      <c r="C2551" t="s">
        <v>12248</v>
      </c>
      <c r="D2551" t="s">
        <v>13287</v>
      </c>
      <c r="E2551" t="str">
        <f>+VLOOKUP(A2551,[1]PFE4!$A$7:$F$5208,6,0)</f>
        <v>CALLE 5  2  51</v>
      </c>
      <c r="F2551" s="17">
        <f>+VLOOKUP(A2551,[1]PFE4!$A$7:$G$5208,7,0)</f>
        <v>11001</v>
      </c>
      <c r="G2551">
        <v>21342536</v>
      </c>
      <c r="H2551">
        <v>4329</v>
      </c>
    </row>
    <row r="2552" spans="1:8" ht="15" customHeight="1" x14ac:dyDescent="0.25">
      <c r="A2552" t="s">
        <v>4795</v>
      </c>
      <c r="B2552" t="s">
        <v>8835</v>
      </c>
      <c r="C2552" t="s">
        <v>12249</v>
      </c>
      <c r="D2552" t="s">
        <v>13287</v>
      </c>
      <c r="E2552" t="str">
        <f>+VLOOKUP(A2552,[1]PFE4!$A$7:$F$5208,6,0)</f>
        <v>CR 55 80 176</v>
      </c>
      <c r="F2552" s="17" t="str">
        <f>+VLOOKUP(A2552,[1]PFE4!$A$7:$G$5208,7,0)</f>
        <v>08001</v>
      </c>
      <c r="G2552">
        <v>21349704</v>
      </c>
      <c r="H2552">
        <v>4329</v>
      </c>
    </row>
    <row r="2553" spans="1:8" ht="15" customHeight="1" x14ac:dyDescent="0.25">
      <c r="A2553" t="s">
        <v>4796</v>
      </c>
      <c r="B2553" t="s">
        <v>8836</v>
      </c>
      <c r="C2553" t="s">
        <v>12250</v>
      </c>
      <c r="D2553" t="s">
        <v>13287</v>
      </c>
      <c r="E2553" t="str">
        <f>+VLOOKUP(A2553,[1]PFE4!$A$7:$F$5208,6,0)</f>
        <v>CARRERA 25  58  72</v>
      </c>
      <c r="F2553" s="17">
        <f>+VLOOKUP(A2553,[1]PFE4!$A$7:$G$5208,7,0)</f>
        <v>11001</v>
      </c>
      <c r="G2553">
        <v>21375474</v>
      </c>
      <c r="H2553">
        <v>4329</v>
      </c>
    </row>
    <row r="2554" spans="1:8" ht="15" customHeight="1" x14ac:dyDescent="0.25">
      <c r="A2554" t="s">
        <v>4797</v>
      </c>
      <c r="B2554" t="s">
        <v>8837</v>
      </c>
      <c r="C2554" t="s">
        <v>12251</v>
      </c>
      <c r="D2554" t="s">
        <v>13287</v>
      </c>
      <c r="E2554" t="str">
        <f>+VLOOKUP(A2554,[1]PFE4!$A$7:$F$5208,6,0)</f>
        <v>CARRERA 27  63  18</v>
      </c>
      <c r="F2554" s="17">
        <f>+VLOOKUP(A2554,[1]PFE4!$A$7:$G$5208,7,0)</f>
        <v>68001</v>
      </c>
      <c r="G2554">
        <v>21376136</v>
      </c>
      <c r="H2554">
        <v>4329</v>
      </c>
    </row>
    <row r="2555" spans="1:8" ht="15" customHeight="1" x14ac:dyDescent="0.25">
      <c r="A2555" t="s">
        <v>4798</v>
      </c>
      <c r="B2555" t="s">
        <v>8838</v>
      </c>
      <c r="C2555" t="s">
        <v>12252</v>
      </c>
      <c r="D2555" t="s">
        <v>13287</v>
      </c>
      <c r="E2555" t="str">
        <f>+VLOOKUP(A2555,[1]PFE4!$A$7:$F$5208,6,0)</f>
        <v>BRR TESCA AV PEDRO HEREDIA SEC LA VILLA 50 A 57 P 2</v>
      </c>
      <c r="F2555" s="17">
        <f>+VLOOKUP(A2555,[1]PFE4!$A$7:$G$5208,7,0)</f>
        <v>13001</v>
      </c>
      <c r="G2555">
        <v>21376304</v>
      </c>
      <c r="H2555">
        <v>4329</v>
      </c>
    </row>
    <row r="2556" spans="1:8" ht="15" customHeight="1" x14ac:dyDescent="0.25">
      <c r="A2556" t="s">
        <v>4799</v>
      </c>
      <c r="B2556" t="s">
        <v>8839</v>
      </c>
      <c r="C2556" t="s">
        <v>12253</v>
      </c>
      <c r="D2556" t="s">
        <v>13287</v>
      </c>
      <c r="E2556" t="str">
        <f>+VLOOKUP(A2556,[1]PFE4!$A$7:$F$5208,6,0)</f>
        <v>CARRERA 19  90  56</v>
      </c>
      <c r="F2556" s="17">
        <f>+VLOOKUP(A2556,[1]PFE4!$A$7:$G$5208,7,0)</f>
        <v>11001</v>
      </c>
      <c r="G2556">
        <v>21391369</v>
      </c>
      <c r="H2556">
        <v>4329</v>
      </c>
    </row>
    <row r="2557" spans="1:8" ht="15" customHeight="1" x14ac:dyDescent="0.25">
      <c r="A2557" t="s">
        <v>4800</v>
      </c>
      <c r="B2557" t="s">
        <v>8840</v>
      </c>
      <c r="C2557" t="s">
        <v>12254</v>
      </c>
      <c r="D2557" t="s">
        <v>13287</v>
      </c>
      <c r="E2557" t="str">
        <f>+VLOOKUP(A2557,[1]PFE4!$A$7:$F$5208,6,0)</f>
        <v>CALLE 15 A  68  51</v>
      </c>
      <c r="F2557" s="17">
        <f>+VLOOKUP(A2557,[1]PFE4!$A$7:$G$5208,7,0)</f>
        <v>76001</v>
      </c>
      <c r="G2557">
        <v>21392564</v>
      </c>
      <c r="H2557">
        <v>4329</v>
      </c>
    </row>
    <row r="2558" spans="1:8" ht="15" customHeight="1" x14ac:dyDescent="0.25">
      <c r="A2558" t="s">
        <v>4801</v>
      </c>
      <c r="B2558" t="s">
        <v>8841</v>
      </c>
      <c r="C2558" t="s">
        <v>12255</v>
      </c>
      <c r="D2558" t="s">
        <v>13287</v>
      </c>
      <c r="E2558" t="str">
        <f>+VLOOKUP(A2558,[1]PFE4!$A$7:$F$5208,6,0)</f>
        <v>CALLE 10  5  32</v>
      </c>
      <c r="F2558" s="17">
        <f>+VLOOKUP(A2558,[1]PFE4!$A$7:$G$5208,7,0)</f>
        <v>11001</v>
      </c>
      <c r="G2558">
        <v>21403393</v>
      </c>
      <c r="H2558">
        <v>4329</v>
      </c>
    </row>
    <row r="2559" spans="1:8" ht="15" customHeight="1" x14ac:dyDescent="0.25">
      <c r="A2559" t="s">
        <v>4802</v>
      </c>
      <c r="B2559" t="s">
        <v>8842</v>
      </c>
      <c r="C2559" t="s">
        <v>11285</v>
      </c>
      <c r="D2559" t="s">
        <v>13287</v>
      </c>
      <c r="E2559" t="str">
        <f>+VLOOKUP(A2559,[1]PFE4!$A$7:$F$5208,6,0)</f>
        <v>CR 5 20 89</v>
      </c>
      <c r="F2559" s="17">
        <f>+VLOOKUP(A2559,[1]PFE4!$A$7:$G$5208,7,0)</f>
        <v>11001</v>
      </c>
      <c r="G2559">
        <v>21450198</v>
      </c>
      <c r="H2559">
        <v>4329</v>
      </c>
    </row>
    <row r="2560" spans="1:8" ht="15" customHeight="1" x14ac:dyDescent="0.25">
      <c r="A2560" t="s">
        <v>4803</v>
      </c>
      <c r="B2560" t="s">
        <v>8843</v>
      </c>
      <c r="C2560" t="s">
        <v>12256</v>
      </c>
      <c r="D2560" t="s">
        <v>13287</v>
      </c>
      <c r="E2560" t="str">
        <f>+VLOOKUP(A2560,[1]PFE4!$A$7:$F$5208,6,0)</f>
        <v>CARRERA 61  92  30</v>
      </c>
      <c r="F2560" s="17">
        <f>+VLOOKUP(A2560,[1]PFE4!$A$7:$G$5208,7,0)</f>
        <v>11001</v>
      </c>
      <c r="G2560">
        <v>21477092</v>
      </c>
      <c r="H2560">
        <v>4329</v>
      </c>
    </row>
    <row r="2561" spans="1:8" ht="15" customHeight="1" x14ac:dyDescent="0.25">
      <c r="A2561" t="s">
        <v>4804</v>
      </c>
      <c r="B2561" t="s">
        <v>8844</v>
      </c>
      <c r="C2561">
        <v>3219664011</v>
      </c>
      <c r="D2561" t="s">
        <v>13287</v>
      </c>
      <c r="E2561" t="str">
        <f>+VLOOKUP(A2561,[1]PFE4!$A$7:$F$5208,6,0)</f>
        <v>BARRIO MANGA CARRERA 19 24 127</v>
      </c>
      <c r="F2561" s="17">
        <f>+VLOOKUP(A2561,[1]PFE4!$A$7:$G$5208,7,0)</f>
        <v>13001</v>
      </c>
      <c r="G2561">
        <v>21483126</v>
      </c>
      <c r="H2561">
        <v>4329</v>
      </c>
    </row>
    <row r="2562" spans="1:8" ht="15" customHeight="1" x14ac:dyDescent="0.25">
      <c r="A2562" t="s">
        <v>4805</v>
      </c>
      <c r="B2562" t="s">
        <v>8845</v>
      </c>
      <c r="C2562" t="s">
        <v>11727</v>
      </c>
      <c r="D2562" t="s">
        <v>13287</v>
      </c>
      <c r="E2562" t="str">
        <f>+VLOOKUP(A2562,[1]PFE4!$A$7:$F$5208,6,0)</f>
        <v>CL 58 98 C 91</v>
      </c>
      <c r="F2562" s="17">
        <f>+VLOOKUP(A2562,[1]PFE4!$A$7:$G$5208,7,0)</f>
        <v>76001</v>
      </c>
      <c r="G2562">
        <v>21489116</v>
      </c>
      <c r="H2562">
        <v>4329</v>
      </c>
    </row>
    <row r="2563" spans="1:8" ht="15" customHeight="1" x14ac:dyDescent="0.25">
      <c r="A2563" t="s">
        <v>4806</v>
      </c>
      <c r="B2563" t="s">
        <v>8846</v>
      </c>
      <c r="C2563" t="s">
        <v>12257</v>
      </c>
      <c r="D2563" t="s">
        <v>13287</v>
      </c>
      <c r="E2563" t="str">
        <f>+VLOOKUP(A2563,[1]PFE4!$A$7:$F$5208,6,0)</f>
        <v>CALLE 78 B # 120 - 87</v>
      </c>
      <c r="F2563" s="17">
        <f>+VLOOKUP(A2563,[1]PFE4!$A$7:$G$5208,7,0)</f>
        <v>11001</v>
      </c>
      <c r="G2563">
        <v>21517400</v>
      </c>
      <c r="H2563">
        <v>4329</v>
      </c>
    </row>
    <row r="2564" spans="1:8" ht="15" customHeight="1" x14ac:dyDescent="0.25">
      <c r="A2564" t="s">
        <v>4807</v>
      </c>
      <c r="B2564" t="s">
        <v>8847</v>
      </c>
      <c r="C2564" t="s">
        <v>12258</v>
      </c>
      <c r="D2564" t="s">
        <v>13287</v>
      </c>
      <c r="E2564" t="str">
        <f>+VLOOKUP(A2564,[1]PFE4!$A$7:$F$5208,6,0)</f>
        <v>CARRERA 22 A  87  51</v>
      </c>
      <c r="F2564" s="17">
        <f>+VLOOKUP(A2564,[1]PFE4!$A$7:$G$5208,7,0)</f>
        <v>11001</v>
      </c>
      <c r="G2564">
        <v>21528288</v>
      </c>
      <c r="H2564">
        <v>4329</v>
      </c>
    </row>
    <row r="2565" spans="1:8" ht="15" customHeight="1" x14ac:dyDescent="0.25">
      <c r="A2565" t="s">
        <v>4808</v>
      </c>
      <c r="B2565" t="s">
        <v>8848</v>
      </c>
      <c r="C2565" t="s">
        <v>11266</v>
      </c>
      <c r="D2565" t="s">
        <v>13287</v>
      </c>
      <c r="E2565" t="str">
        <f>+VLOOKUP(A2565,[1]PFE4!$A$7:$F$5208,6,0)</f>
        <v>CALLE 74  72 A  126</v>
      </c>
      <c r="F2565" s="17" t="str">
        <f>+VLOOKUP(A2565,[1]PFE4!$A$7:$G$5208,7,0)</f>
        <v>05001</v>
      </c>
      <c r="G2565">
        <v>21589868</v>
      </c>
      <c r="H2565">
        <v>4329</v>
      </c>
    </row>
    <row r="2566" spans="1:8" ht="15" customHeight="1" x14ac:dyDescent="0.25">
      <c r="A2566" t="s">
        <v>4809</v>
      </c>
      <c r="B2566" t="s">
        <v>8849</v>
      </c>
      <c r="C2566" t="s">
        <v>12259</v>
      </c>
      <c r="D2566" t="s">
        <v>13287</v>
      </c>
      <c r="E2566" t="str">
        <f>+VLOOKUP(A2566,[1]PFE4!$A$7:$F$5208,6,0)</f>
        <v>CR 32 B 63B SUR 33</v>
      </c>
      <c r="F2566" s="17" t="str">
        <f>+VLOOKUP(A2566,[1]PFE4!$A$7:$G$5208,7,0)</f>
        <v>05631</v>
      </c>
      <c r="G2566">
        <v>21592154</v>
      </c>
      <c r="H2566">
        <v>4329</v>
      </c>
    </row>
    <row r="2567" spans="1:8" ht="15" customHeight="1" x14ac:dyDescent="0.25">
      <c r="A2567" t="s">
        <v>4810</v>
      </c>
      <c r="B2567" t="s">
        <v>8850</v>
      </c>
      <c r="C2567" t="s">
        <v>12260</v>
      </c>
      <c r="D2567" t="s">
        <v>13287</v>
      </c>
      <c r="E2567" t="str">
        <f>+VLOOKUP(A2567,[1]PFE4!$A$7:$F$5208,6,0)</f>
        <v>CARRERA 2 A OESTE  5  15</v>
      </c>
      <c r="F2567" s="17">
        <f>+VLOOKUP(A2567,[1]PFE4!$A$7:$G$5208,7,0)</f>
        <v>76001</v>
      </c>
      <c r="G2567">
        <v>21623232</v>
      </c>
      <c r="H2567">
        <v>4329</v>
      </c>
    </row>
    <row r="2568" spans="1:8" ht="15" customHeight="1" x14ac:dyDescent="0.25">
      <c r="A2568" t="s">
        <v>4811</v>
      </c>
      <c r="B2568" t="s">
        <v>8851</v>
      </c>
      <c r="C2568">
        <v>3219664011</v>
      </c>
      <c r="D2568" t="s">
        <v>13287</v>
      </c>
      <c r="E2568" t="str">
        <f>+VLOOKUP(A2568,[1]PFE4!$A$7:$F$5208,6,0)</f>
        <v>CARRERA 38  10  36 OFICINA TORRE MILENIO</v>
      </c>
      <c r="F2568" s="17" t="str">
        <f>+VLOOKUP(A2568,[1]PFE4!$A$7:$G$5208,7,0)</f>
        <v>05001</v>
      </c>
      <c r="G2568">
        <v>21624904</v>
      </c>
      <c r="H2568">
        <v>4329</v>
      </c>
    </row>
    <row r="2569" spans="1:8" ht="15" customHeight="1" x14ac:dyDescent="0.25">
      <c r="A2569" t="s">
        <v>4812</v>
      </c>
      <c r="B2569" t="s">
        <v>8852</v>
      </c>
      <c r="C2569" t="s">
        <v>12261</v>
      </c>
      <c r="D2569" t="s">
        <v>13287</v>
      </c>
      <c r="E2569" t="str">
        <f>+VLOOKUP(A2569,[1]PFE4!$A$7:$F$5208,6,0)</f>
        <v>Carrera 43 b No. 16 - 95 oF 1613</v>
      </c>
      <c r="F2569" s="17" t="str">
        <f>+VLOOKUP(A2569,[1]PFE4!$A$7:$G$5208,7,0)</f>
        <v>05001</v>
      </c>
      <c r="G2569">
        <v>21627708</v>
      </c>
      <c r="H2569">
        <v>4329</v>
      </c>
    </row>
    <row r="2570" spans="1:8" ht="15" customHeight="1" x14ac:dyDescent="0.25">
      <c r="A2570" t="s">
        <v>4813</v>
      </c>
      <c r="B2570" t="s">
        <v>8853</v>
      </c>
      <c r="C2570" t="s">
        <v>11276</v>
      </c>
      <c r="D2570" t="s">
        <v>13287</v>
      </c>
      <c r="E2570" t="str">
        <f>+VLOOKUP(A2570,[1]PFE4!$A$7:$F$5208,6,0)</f>
        <v>CL 48 23 24 20 26</v>
      </c>
      <c r="F2570" s="17">
        <f>+VLOOKUP(A2570,[1]PFE4!$A$7:$G$5208,7,0)</f>
        <v>68001</v>
      </c>
      <c r="G2570">
        <v>21627712</v>
      </c>
      <c r="H2570">
        <v>4329</v>
      </c>
    </row>
    <row r="2571" spans="1:8" ht="15" customHeight="1" x14ac:dyDescent="0.25">
      <c r="A2571" t="s">
        <v>4814</v>
      </c>
      <c r="B2571" t="s">
        <v>8854</v>
      </c>
      <c r="C2571" t="s">
        <v>12262</v>
      </c>
      <c r="D2571" t="s">
        <v>13287</v>
      </c>
      <c r="E2571" t="str">
        <f>+VLOOKUP(A2571,[1]PFE4!$A$7:$F$5208,6,0)</f>
        <v>CALLE 71 SUR  35  40</v>
      </c>
      <c r="F2571" s="17" t="str">
        <f>+VLOOKUP(A2571,[1]PFE4!$A$7:$G$5208,7,0)</f>
        <v>05631</v>
      </c>
      <c r="G2571">
        <v>21650000</v>
      </c>
      <c r="H2571">
        <v>4329</v>
      </c>
    </row>
    <row r="2572" spans="1:8" ht="15" customHeight="1" x14ac:dyDescent="0.25">
      <c r="A2572" t="s">
        <v>4815</v>
      </c>
      <c r="B2572" t="s">
        <v>8855</v>
      </c>
      <c r="C2572" t="s">
        <v>12263</v>
      </c>
      <c r="D2572" t="s">
        <v>13287</v>
      </c>
      <c r="E2572" t="str">
        <f>+VLOOKUP(A2572,[1]PFE4!$A$7:$F$5208,6,0)</f>
        <v>AVENIDA CARRERA 9  123  76</v>
      </c>
      <c r="F2572" s="17">
        <f>+VLOOKUP(A2572,[1]PFE4!$A$7:$G$5208,7,0)</f>
        <v>11001</v>
      </c>
      <c r="G2572">
        <v>21661268</v>
      </c>
      <c r="H2572">
        <v>4329</v>
      </c>
    </row>
    <row r="2573" spans="1:8" ht="15" customHeight="1" x14ac:dyDescent="0.25">
      <c r="A2573" t="s">
        <v>4816</v>
      </c>
      <c r="B2573" t="s">
        <v>8856</v>
      </c>
      <c r="C2573" t="s">
        <v>12264</v>
      </c>
      <c r="D2573" t="s">
        <v>13287</v>
      </c>
      <c r="E2573" t="str">
        <f>+VLOOKUP(A2573,[1]PFE4!$A$7:$F$5208,6,0)</f>
        <v>CARRERA 43 A  75 SUR  38</v>
      </c>
      <c r="F2573" s="17" t="str">
        <f>+VLOOKUP(A2573,[1]PFE4!$A$7:$G$5208,7,0)</f>
        <v>05631</v>
      </c>
      <c r="G2573">
        <v>21663461</v>
      </c>
      <c r="H2573">
        <v>4329</v>
      </c>
    </row>
    <row r="2574" spans="1:8" ht="15" customHeight="1" x14ac:dyDescent="0.25">
      <c r="A2574" t="s">
        <v>4817</v>
      </c>
      <c r="B2574" t="s">
        <v>8857</v>
      </c>
      <c r="C2574" t="s">
        <v>12265</v>
      </c>
      <c r="D2574" t="s">
        <v>13287</v>
      </c>
      <c r="E2574" t="str">
        <f>+VLOOKUP(A2574,[1]PFE4!$A$7:$F$5208,6,0)</f>
        <v>TURBACO SECTOR LA ESQ. LAMBARENE DETRAS DETRAS DE
ROSARIO LT2</v>
      </c>
      <c r="F2574" s="17">
        <f>+VLOOKUP(A2574,[1]PFE4!$A$7:$G$5208,7,0)</f>
        <v>13836</v>
      </c>
      <c r="G2574">
        <v>21668680</v>
      </c>
      <c r="H2574">
        <v>4329</v>
      </c>
    </row>
    <row r="2575" spans="1:8" ht="15" customHeight="1" x14ac:dyDescent="0.25">
      <c r="A2575" t="s">
        <v>4818</v>
      </c>
      <c r="B2575" t="s">
        <v>8858</v>
      </c>
      <c r="C2575" t="s">
        <v>12266</v>
      </c>
      <c r="D2575" t="s">
        <v>13287</v>
      </c>
      <c r="E2575" t="str">
        <f>+VLOOKUP(A2575,[1]PFE4!$A$7:$F$5208,6,0)</f>
        <v>CL 47 S 64 D 92</v>
      </c>
      <c r="F2575" s="17" t="str">
        <f>+VLOOKUP(A2575,[1]PFE4!$A$7:$G$5208,7,0)</f>
        <v>05001</v>
      </c>
      <c r="G2575">
        <v>21673532</v>
      </c>
      <c r="H2575">
        <v>4329</v>
      </c>
    </row>
    <row r="2576" spans="1:8" ht="15" customHeight="1" x14ac:dyDescent="0.25">
      <c r="A2576" t="s">
        <v>4819</v>
      </c>
      <c r="B2576" t="s">
        <v>8859</v>
      </c>
      <c r="C2576" t="s">
        <v>12267</v>
      </c>
      <c r="D2576" t="s">
        <v>13287</v>
      </c>
      <c r="E2576" t="str">
        <f>+VLOOKUP(A2576,[1]PFE4!$A$7:$F$5208,6,0)</f>
        <v>CR 11 5 55 BRR CASTILLOGRANDE</v>
      </c>
      <c r="F2576" s="17">
        <f>+VLOOKUP(A2576,[1]PFE4!$A$7:$G$5208,7,0)</f>
        <v>11001</v>
      </c>
      <c r="G2576">
        <v>21706726</v>
      </c>
      <c r="H2576">
        <v>4329</v>
      </c>
    </row>
    <row r="2577" spans="1:8" ht="15" customHeight="1" x14ac:dyDescent="0.25">
      <c r="A2577" t="s">
        <v>4820</v>
      </c>
      <c r="B2577" t="s">
        <v>8860</v>
      </c>
      <c r="C2577" t="s">
        <v>12268</v>
      </c>
      <c r="D2577" t="s">
        <v>13287</v>
      </c>
      <c r="E2577" t="str">
        <f>+VLOOKUP(A2577,[1]PFE4!$A$7:$F$5208,6,0)</f>
        <v>CARRERA 17  9  50</v>
      </c>
      <c r="F2577" s="17">
        <f>+VLOOKUP(A2577,[1]PFE4!$A$7:$G$5208,7,0)</f>
        <v>11001</v>
      </c>
      <c r="G2577">
        <v>21742688</v>
      </c>
      <c r="H2577">
        <v>4329</v>
      </c>
    </row>
    <row r="2578" spans="1:8" ht="15" customHeight="1" x14ac:dyDescent="0.25">
      <c r="A2578" t="s">
        <v>4821</v>
      </c>
      <c r="B2578" t="s">
        <v>8861</v>
      </c>
      <c r="C2578" t="s">
        <v>12269</v>
      </c>
      <c r="D2578" t="s">
        <v>13287</v>
      </c>
      <c r="E2578" t="str">
        <f>+VLOOKUP(A2578,[1]PFE4!$A$7:$F$5208,6,0)</f>
        <v>CR 72 No. 39 A - 12</v>
      </c>
      <c r="F2578" s="17" t="str">
        <f>+VLOOKUP(A2578,[1]PFE4!$A$7:$G$5208,7,0)</f>
        <v>05001</v>
      </c>
      <c r="G2578">
        <v>21767344</v>
      </c>
      <c r="H2578">
        <v>4329</v>
      </c>
    </row>
    <row r="2579" spans="1:8" ht="15" customHeight="1" x14ac:dyDescent="0.25">
      <c r="A2579" t="s">
        <v>4822</v>
      </c>
      <c r="B2579" t="s">
        <v>8862</v>
      </c>
      <c r="C2579" t="s">
        <v>12270</v>
      </c>
      <c r="D2579" t="s">
        <v>13287</v>
      </c>
      <c r="E2579" t="str">
        <f>+VLOOKUP(A2579,[1]PFE4!$A$7:$F$5208,6,0)</f>
        <v>CARRERA 29  51  07</v>
      </c>
      <c r="F2579" s="17">
        <f>+VLOOKUP(A2579,[1]PFE4!$A$7:$G$5208,7,0)</f>
        <v>68001</v>
      </c>
      <c r="G2579">
        <v>21780384</v>
      </c>
      <c r="H2579">
        <v>4329</v>
      </c>
    </row>
    <row r="2580" spans="1:8" ht="15" customHeight="1" x14ac:dyDescent="0.25">
      <c r="A2580" t="s">
        <v>4823</v>
      </c>
      <c r="B2580" t="s">
        <v>8863</v>
      </c>
      <c r="C2580" t="s">
        <v>10850</v>
      </c>
      <c r="D2580" t="s">
        <v>13287</v>
      </c>
      <c r="E2580" t="str">
        <f>+VLOOKUP(A2580,[1]PFE4!$A$7:$F$5208,6,0)</f>
        <v>CALLE 54  81  58</v>
      </c>
      <c r="F2580" s="17" t="str">
        <f>+VLOOKUP(A2580,[1]PFE4!$A$7:$G$5208,7,0)</f>
        <v>05001</v>
      </c>
      <c r="G2580">
        <v>21836040</v>
      </c>
      <c r="H2580">
        <v>4329</v>
      </c>
    </row>
    <row r="2581" spans="1:8" ht="15" customHeight="1" x14ac:dyDescent="0.25">
      <c r="A2581" t="s">
        <v>4824</v>
      </c>
      <c r="B2581" t="s">
        <v>8864</v>
      </c>
      <c r="C2581" t="s">
        <v>11036</v>
      </c>
      <c r="D2581" t="s">
        <v>13287</v>
      </c>
      <c r="E2581" t="str">
        <f>+VLOOKUP(A2581,[1]PFE4!$A$7:$F$5208,6,0)</f>
        <v>CALLE 104 A  11 B  45</v>
      </c>
      <c r="F2581" s="17">
        <f>+VLOOKUP(A2581,[1]PFE4!$A$7:$G$5208,7,0)</f>
        <v>11001</v>
      </c>
      <c r="G2581">
        <v>21873114</v>
      </c>
      <c r="H2581">
        <v>4329</v>
      </c>
    </row>
    <row r="2582" spans="1:8" ht="15" customHeight="1" x14ac:dyDescent="0.25">
      <c r="A2582" t="s">
        <v>4825</v>
      </c>
      <c r="B2582" t="s">
        <v>8865</v>
      </c>
      <c r="C2582" t="s">
        <v>12271</v>
      </c>
      <c r="D2582" t="s">
        <v>13287</v>
      </c>
      <c r="E2582" t="str">
        <f>+VLOOKUP(A2582,[1]PFE4!$A$7:$F$5208,6,0)</f>
        <v>CARRERA 67  75  12</v>
      </c>
      <c r="F2582" s="17" t="str">
        <f>+VLOOKUP(A2582,[1]PFE4!$A$7:$G$5208,7,0)</f>
        <v>08001</v>
      </c>
      <c r="G2582">
        <v>21874372</v>
      </c>
      <c r="H2582">
        <v>4329</v>
      </c>
    </row>
    <row r="2583" spans="1:8" ht="15" customHeight="1" x14ac:dyDescent="0.25">
      <c r="A2583" t="s">
        <v>4826</v>
      </c>
      <c r="B2583" t="s">
        <v>8866</v>
      </c>
      <c r="C2583" t="s">
        <v>12272</v>
      </c>
      <c r="D2583" t="s">
        <v>13287</v>
      </c>
      <c r="E2583" t="str">
        <f>+VLOOKUP(A2583,[1]PFE4!$A$7:$F$5208,6,0)</f>
        <v>CARRERA 37  2 SUR  15</v>
      </c>
      <c r="F2583" s="17" t="str">
        <f>+VLOOKUP(A2583,[1]PFE4!$A$7:$G$5208,7,0)</f>
        <v>05001</v>
      </c>
      <c r="G2583">
        <v>21877516</v>
      </c>
      <c r="H2583">
        <v>4329</v>
      </c>
    </row>
    <row r="2584" spans="1:8" ht="15" customHeight="1" x14ac:dyDescent="0.25">
      <c r="A2584" t="s">
        <v>4827</v>
      </c>
      <c r="B2584" t="s">
        <v>8867</v>
      </c>
      <c r="C2584" t="s">
        <v>12273</v>
      </c>
      <c r="D2584" t="s">
        <v>13287</v>
      </c>
      <c r="E2584" t="str">
        <f>+VLOOKUP(A2584,[1]PFE4!$A$7:$F$5208,6,0)</f>
        <v>CARRERA 10  60  91  OFICINA 601</v>
      </c>
      <c r="F2584" s="17">
        <f>+VLOOKUP(A2584,[1]PFE4!$A$7:$G$5208,7,0)</f>
        <v>11001</v>
      </c>
      <c r="G2584">
        <v>21882109</v>
      </c>
      <c r="H2584">
        <v>4329</v>
      </c>
    </row>
    <row r="2585" spans="1:8" ht="15" customHeight="1" x14ac:dyDescent="0.25">
      <c r="A2585" t="s">
        <v>4828</v>
      </c>
      <c r="B2585" t="s">
        <v>8868</v>
      </c>
      <c r="C2585" t="s">
        <v>12274</v>
      </c>
      <c r="D2585" t="s">
        <v>13287</v>
      </c>
      <c r="E2585" t="str">
        <f>+VLOOKUP(A2585,[1]PFE4!$A$7:$F$5208,6,0)</f>
        <v>CALLE 28  22  114</v>
      </c>
      <c r="F2585" s="17">
        <f>+VLOOKUP(A2585,[1]PFE4!$A$7:$G$5208,7,0)</f>
        <v>13001</v>
      </c>
      <c r="G2585">
        <v>21917872</v>
      </c>
      <c r="H2585">
        <v>4329</v>
      </c>
    </row>
    <row r="2586" spans="1:8" ht="15" customHeight="1" x14ac:dyDescent="0.25">
      <c r="A2586" t="s">
        <v>4829</v>
      </c>
      <c r="B2586" t="s">
        <v>8869</v>
      </c>
      <c r="C2586" t="s">
        <v>12275</v>
      </c>
      <c r="D2586" t="s">
        <v>13287</v>
      </c>
      <c r="E2586" t="str">
        <f>+VLOOKUP(A2586,[1]PFE4!$A$7:$F$5208,6,0)</f>
        <v>CL 153 109 B 18</v>
      </c>
      <c r="F2586" s="17">
        <f>+VLOOKUP(A2586,[1]PFE4!$A$7:$G$5208,7,0)</f>
        <v>11001</v>
      </c>
      <c r="G2586">
        <v>21952717</v>
      </c>
      <c r="H2586">
        <v>4329</v>
      </c>
    </row>
    <row r="2587" spans="1:8" ht="15" customHeight="1" x14ac:dyDescent="0.25">
      <c r="A2587" t="s">
        <v>4830</v>
      </c>
      <c r="B2587" t="s">
        <v>8870</v>
      </c>
      <c r="C2587" t="s">
        <v>12276</v>
      </c>
      <c r="D2587" t="s">
        <v>13287</v>
      </c>
      <c r="E2587" t="str">
        <f>+VLOOKUP(A2587,[1]PFE4!$A$7:$F$5208,6,0)</f>
        <v>CARRERA 13  142  71</v>
      </c>
      <c r="F2587" s="17">
        <f>+VLOOKUP(A2587,[1]PFE4!$A$7:$G$5208,7,0)</f>
        <v>11001</v>
      </c>
      <c r="G2587">
        <v>22015858</v>
      </c>
      <c r="H2587">
        <v>4329</v>
      </c>
    </row>
    <row r="2588" spans="1:8" ht="15" customHeight="1" x14ac:dyDescent="0.25">
      <c r="A2588" t="s">
        <v>4831</v>
      </c>
      <c r="B2588" t="s">
        <v>8871</v>
      </c>
      <c r="C2588" t="s">
        <v>12277</v>
      </c>
      <c r="D2588" t="s">
        <v>13287</v>
      </c>
      <c r="E2588" t="str">
        <f>+VLOOKUP(A2588,[1]PFE4!$A$7:$F$5208,6,0)</f>
        <v>CR 26 3 A 20</v>
      </c>
      <c r="F2588" s="17" t="str">
        <f>+VLOOKUP(A2588,[1]PFE4!$A$7:$G$5208,7,0)</f>
        <v>08001</v>
      </c>
      <c r="G2588">
        <v>22040844</v>
      </c>
      <c r="H2588">
        <v>4329</v>
      </c>
    </row>
    <row r="2589" spans="1:8" ht="15" customHeight="1" x14ac:dyDescent="0.25">
      <c r="A2589" t="s">
        <v>4832</v>
      </c>
      <c r="B2589" t="s">
        <v>8872</v>
      </c>
      <c r="C2589" t="s">
        <v>12278</v>
      </c>
      <c r="D2589" t="s">
        <v>13287</v>
      </c>
      <c r="E2589" t="str">
        <f>+VLOOKUP(A2589,[1]PFE4!$A$7:$F$5208,6,0)</f>
        <v>CALLE 10 A  3  76</v>
      </c>
      <c r="F2589" s="17">
        <f>+VLOOKUP(A2589,[1]PFE4!$A$7:$G$5208,7,0)</f>
        <v>11001</v>
      </c>
      <c r="G2589">
        <v>22065084</v>
      </c>
      <c r="H2589">
        <v>4329</v>
      </c>
    </row>
    <row r="2590" spans="1:8" ht="15" customHeight="1" x14ac:dyDescent="0.25">
      <c r="A2590" t="s">
        <v>4833</v>
      </c>
      <c r="B2590" t="s">
        <v>8873</v>
      </c>
      <c r="C2590" t="s">
        <v>11363</v>
      </c>
      <c r="D2590" t="s">
        <v>13287</v>
      </c>
      <c r="E2590" t="str">
        <f>+VLOOKUP(A2590,[1]PFE4!$A$7:$F$5208,6,0)</f>
        <v>CARRERA 41  49  52</v>
      </c>
      <c r="F2590" s="17" t="str">
        <f>+VLOOKUP(A2590,[1]PFE4!$A$7:$G$5208,7,0)</f>
        <v>05001</v>
      </c>
      <c r="G2590">
        <v>22066692</v>
      </c>
      <c r="H2590">
        <v>4329</v>
      </c>
    </row>
    <row r="2591" spans="1:8" ht="15" customHeight="1" x14ac:dyDescent="0.25">
      <c r="A2591" t="s">
        <v>4834</v>
      </c>
      <c r="B2591" t="s">
        <v>8874</v>
      </c>
      <c r="C2591" t="s">
        <v>12279</v>
      </c>
      <c r="D2591" t="s">
        <v>13287</v>
      </c>
      <c r="E2591" t="str">
        <f>+VLOOKUP(A2591,[1]PFE4!$A$7:$F$5208,6,0)</f>
        <v>CARRERA 55  82  166</v>
      </c>
      <c r="F2591" s="17" t="str">
        <f>+VLOOKUP(A2591,[1]PFE4!$A$7:$G$5208,7,0)</f>
        <v>08001</v>
      </c>
      <c r="G2591">
        <v>22068225</v>
      </c>
      <c r="H2591">
        <v>4329</v>
      </c>
    </row>
    <row r="2592" spans="1:8" ht="15" customHeight="1" x14ac:dyDescent="0.25">
      <c r="A2592" t="s">
        <v>4835</v>
      </c>
      <c r="B2592" t="s">
        <v>8875</v>
      </c>
      <c r="C2592" t="s">
        <v>12280</v>
      </c>
      <c r="D2592" t="s">
        <v>13287</v>
      </c>
      <c r="E2592" t="str">
        <f>+VLOOKUP(A2592,[1]PFE4!$A$7:$F$5208,6,0)</f>
        <v>CALLE 42  63  35</v>
      </c>
      <c r="F2592" s="17" t="str">
        <f>+VLOOKUP(A2592,[1]PFE4!$A$7:$G$5208,7,0)</f>
        <v>05001</v>
      </c>
      <c r="G2592">
        <v>22076902</v>
      </c>
      <c r="H2592">
        <v>4329</v>
      </c>
    </row>
    <row r="2593" spans="1:8" ht="15" customHeight="1" x14ac:dyDescent="0.25">
      <c r="A2593" t="s">
        <v>4836</v>
      </c>
      <c r="B2593" t="s">
        <v>8876</v>
      </c>
      <c r="C2593" t="s">
        <v>12281</v>
      </c>
      <c r="D2593" t="s">
        <v>13287</v>
      </c>
      <c r="E2593" t="str">
        <f>+VLOOKUP(A2593,[1]PFE4!$A$7:$F$5208,6,0)</f>
        <v>CL 75 SUR 24 140</v>
      </c>
      <c r="F2593" s="17" t="str">
        <f>+VLOOKUP(A2593,[1]PFE4!$A$7:$G$5208,7,0)</f>
        <v>05631</v>
      </c>
      <c r="G2593">
        <v>22080000</v>
      </c>
      <c r="H2593">
        <v>4329</v>
      </c>
    </row>
    <row r="2594" spans="1:8" ht="15" customHeight="1" x14ac:dyDescent="0.25">
      <c r="A2594" t="s">
        <v>4837</v>
      </c>
      <c r="B2594" t="s">
        <v>8877</v>
      </c>
      <c r="C2594" t="s">
        <v>12282</v>
      </c>
      <c r="D2594" t="s">
        <v>13287</v>
      </c>
      <c r="E2594" t="str">
        <f>+VLOOKUP(A2594,[1]PFE4!$A$7:$F$5208,6,0)</f>
        <v>CARRERA 55  79  197</v>
      </c>
      <c r="F2594" s="17" t="str">
        <f>+VLOOKUP(A2594,[1]PFE4!$A$7:$G$5208,7,0)</f>
        <v>08001</v>
      </c>
      <c r="G2594">
        <v>22082444</v>
      </c>
      <c r="H2594">
        <v>4329</v>
      </c>
    </row>
    <row r="2595" spans="1:8" ht="15" customHeight="1" x14ac:dyDescent="0.25">
      <c r="A2595" t="s">
        <v>4838</v>
      </c>
      <c r="B2595" t="s">
        <v>8878</v>
      </c>
      <c r="C2595" t="s">
        <v>12283</v>
      </c>
      <c r="D2595" t="s">
        <v>13287</v>
      </c>
      <c r="E2595" t="str">
        <f>+VLOOKUP(A2595,[1]PFE4!$A$7:$F$5208,6,0)</f>
        <v>BRR CRESPO  CR 3 67 08 ED MARE CLUB HOUSE P 1 AD</v>
      </c>
      <c r="F2595" s="17">
        <f>+VLOOKUP(A2595,[1]PFE4!$A$7:$G$5208,7,0)</f>
        <v>11001</v>
      </c>
      <c r="G2595">
        <v>22128315</v>
      </c>
      <c r="H2595">
        <v>4329</v>
      </c>
    </row>
    <row r="2596" spans="1:8" ht="15" customHeight="1" x14ac:dyDescent="0.25">
      <c r="A2596" t="s">
        <v>4839</v>
      </c>
      <c r="B2596" t="s">
        <v>8879</v>
      </c>
      <c r="C2596" t="s">
        <v>12284</v>
      </c>
      <c r="D2596" t="s">
        <v>13287</v>
      </c>
      <c r="E2596" t="str">
        <f>+VLOOKUP(A2596,[1]PFE4!$A$7:$F$5208,6,0)</f>
        <v>CR 52 76 167</v>
      </c>
      <c r="F2596" s="17" t="str">
        <f>+VLOOKUP(A2596,[1]PFE4!$A$7:$G$5208,7,0)</f>
        <v>08001</v>
      </c>
      <c r="G2596">
        <v>22232755</v>
      </c>
      <c r="H2596">
        <v>4329</v>
      </c>
    </row>
    <row r="2597" spans="1:8" ht="15" customHeight="1" x14ac:dyDescent="0.25">
      <c r="A2597" t="s">
        <v>4840</v>
      </c>
      <c r="B2597" t="s">
        <v>8880</v>
      </c>
      <c r="C2597" t="s">
        <v>12285</v>
      </c>
      <c r="D2597" t="s">
        <v>13287</v>
      </c>
      <c r="E2597" t="str">
        <f>+VLOOKUP(A2597,[1]PFE4!$A$7:$F$5208,6,0)</f>
        <v>CALLE 11  21  15</v>
      </c>
      <c r="F2597" s="17">
        <f>+VLOOKUP(A2597,[1]PFE4!$A$7:$G$5208,7,0)</f>
        <v>54498</v>
      </c>
      <c r="G2597">
        <v>22244015</v>
      </c>
      <c r="H2597">
        <v>4329</v>
      </c>
    </row>
    <row r="2598" spans="1:8" ht="15" customHeight="1" x14ac:dyDescent="0.25">
      <c r="A2598" t="s">
        <v>4841</v>
      </c>
      <c r="B2598" t="s">
        <v>8881</v>
      </c>
      <c r="C2598" t="s">
        <v>11074</v>
      </c>
      <c r="D2598" t="s">
        <v>13287</v>
      </c>
      <c r="E2598" t="str">
        <f>+VLOOKUP(A2598,[1]PFE4!$A$7:$F$5208,6,0)</f>
        <v>CL 33 75 C 79 Y CL 32 F 75 C 78</v>
      </c>
      <c r="F2598" s="17" t="str">
        <f>+VLOOKUP(A2598,[1]PFE4!$A$7:$G$5208,7,0)</f>
        <v>05001</v>
      </c>
      <c r="G2598">
        <v>22253900</v>
      </c>
      <c r="H2598">
        <v>4329</v>
      </c>
    </row>
    <row r="2599" spans="1:8" ht="15" customHeight="1" x14ac:dyDescent="0.25">
      <c r="A2599" t="s">
        <v>4842</v>
      </c>
      <c r="B2599" t="s">
        <v>8882</v>
      </c>
      <c r="C2599" t="s">
        <v>12286</v>
      </c>
      <c r="D2599" t="s">
        <v>13287</v>
      </c>
      <c r="E2599" t="str">
        <f>+VLOOKUP(A2599,[1]PFE4!$A$7:$F$5208,6,0)</f>
        <v>CALLE 55  28  25 BRR BOLARQUI</v>
      </c>
      <c r="F2599" s="17">
        <f>+VLOOKUP(A2599,[1]PFE4!$A$7:$G$5208,7,0)</f>
        <v>68001</v>
      </c>
      <c r="G2599">
        <v>22256318</v>
      </c>
      <c r="H2599">
        <v>4329</v>
      </c>
    </row>
    <row r="2600" spans="1:8" ht="15" customHeight="1" x14ac:dyDescent="0.25">
      <c r="A2600" t="s">
        <v>4843</v>
      </c>
      <c r="B2600" t="s">
        <v>8883</v>
      </c>
      <c r="C2600" t="s">
        <v>12287</v>
      </c>
      <c r="D2600" t="s">
        <v>13287</v>
      </c>
      <c r="E2600" t="str">
        <f>+VLOOKUP(A2600,[1]PFE4!$A$7:$F$5208,6,0)</f>
        <v>CALLE 4  7  82  OFICINA 102</v>
      </c>
      <c r="F2600" s="17">
        <f>+VLOOKUP(A2600,[1]PFE4!$A$7:$G$5208,7,0)</f>
        <v>19001</v>
      </c>
      <c r="G2600">
        <v>22278453</v>
      </c>
      <c r="H2600">
        <v>4329</v>
      </c>
    </row>
    <row r="2601" spans="1:8" ht="15" customHeight="1" x14ac:dyDescent="0.25">
      <c r="A2601" t="s">
        <v>4844</v>
      </c>
      <c r="B2601" t="s">
        <v>8884</v>
      </c>
      <c r="C2601" t="s">
        <v>12288</v>
      </c>
      <c r="D2601" t="s">
        <v>13287</v>
      </c>
      <c r="E2601" t="str">
        <f>+VLOOKUP(A2601,[1]PFE4!$A$7:$F$5208,6,0)</f>
        <v>CL 53 45 46</v>
      </c>
      <c r="F2601" s="17" t="str">
        <f>+VLOOKUP(A2601,[1]PFE4!$A$7:$G$5208,7,0)</f>
        <v>05088</v>
      </c>
      <c r="G2601">
        <v>22283116</v>
      </c>
      <c r="H2601">
        <v>4329</v>
      </c>
    </row>
    <row r="2602" spans="1:8" ht="15" customHeight="1" x14ac:dyDescent="0.25">
      <c r="A2602" t="s">
        <v>4845</v>
      </c>
      <c r="B2602" t="s">
        <v>8885</v>
      </c>
      <c r="C2602" t="s">
        <v>12289</v>
      </c>
      <c r="D2602" t="s">
        <v>13287</v>
      </c>
      <c r="E2602" t="str">
        <f>+VLOOKUP(A2602,[1]PFE4!$A$7:$F$5208,6,0)</f>
        <v>CR 16 17 12 SUR</v>
      </c>
      <c r="F2602" s="17">
        <f>+VLOOKUP(A2602,[1]PFE4!$A$7:$G$5208,7,0)</f>
        <v>73001</v>
      </c>
      <c r="G2602">
        <v>22283641</v>
      </c>
      <c r="H2602">
        <v>4329</v>
      </c>
    </row>
    <row r="2603" spans="1:8" ht="15" customHeight="1" x14ac:dyDescent="0.25">
      <c r="A2603" t="s">
        <v>4846</v>
      </c>
      <c r="B2603" t="s">
        <v>8886</v>
      </c>
      <c r="C2603" t="s">
        <v>12290</v>
      </c>
      <c r="D2603" t="s">
        <v>13287</v>
      </c>
      <c r="E2603" t="str">
        <f>+VLOOKUP(A2603,[1]PFE4!$A$7:$F$5208,6,0)</f>
        <v>CARRERA 43 A  60 B SUR  25</v>
      </c>
      <c r="F2603" s="17" t="str">
        <f>+VLOOKUP(A2603,[1]PFE4!$A$7:$G$5208,7,0)</f>
        <v>05631</v>
      </c>
      <c r="G2603">
        <v>22308756</v>
      </c>
      <c r="H2603">
        <v>4329</v>
      </c>
    </row>
    <row r="2604" spans="1:8" ht="15" customHeight="1" x14ac:dyDescent="0.25">
      <c r="A2604" t="s">
        <v>4847</v>
      </c>
      <c r="B2604" t="s">
        <v>8887</v>
      </c>
      <c r="C2604" t="s">
        <v>12291</v>
      </c>
      <c r="D2604" t="s">
        <v>13287</v>
      </c>
      <c r="E2604" t="str">
        <f>+VLOOKUP(A2604,[1]PFE4!$A$7:$F$5208,6,0)</f>
        <v>CARRERA 8  15 N  10</v>
      </c>
      <c r="F2604" s="17">
        <f>+VLOOKUP(A2604,[1]PFE4!$A$7:$G$5208,7,0)</f>
        <v>19001</v>
      </c>
      <c r="G2604">
        <v>22330566</v>
      </c>
      <c r="H2604">
        <v>4329</v>
      </c>
    </row>
    <row r="2605" spans="1:8" ht="15" customHeight="1" x14ac:dyDescent="0.25">
      <c r="A2605" t="s">
        <v>4848</v>
      </c>
      <c r="B2605" t="s">
        <v>8888</v>
      </c>
      <c r="C2605" t="s">
        <v>12292</v>
      </c>
      <c r="D2605" t="s">
        <v>13287</v>
      </c>
      <c r="E2605" t="str">
        <f>+VLOOKUP(A2605,[1]PFE4!$A$7:$F$5208,6,0)</f>
        <v>CARERRA 8  10  46</v>
      </c>
      <c r="F2605" s="17">
        <f>+VLOOKUP(A2605,[1]PFE4!$A$7:$G$5208,7,0)</f>
        <v>68276</v>
      </c>
      <c r="G2605">
        <v>22333696</v>
      </c>
      <c r="H2605">
        <v>4329</v>
      </c>
    </row>
    <row r="2606" spans="1:8" ht="15" customHeight="1" x14ac:dyDescent="0.25">
      <c r="A2606" t="s">
        <v>4849</v>
      </c>
      <c r="B2606" t="s">
        <v>8889</v>
      </c>
      <c r="C2606" t="s">
        <v>12293</v>
      </c>
      <c r="D2606" t="s">
        <v>13287</v>
      </c>
      <c r="E2606" t="str">
        <f>+VLOOKUP(A2606,[1]PFE4!$A$7:$F$5208,6,0)</f>
        <v>CALLE 32 38-33</v>
      </c>
      <c r="F2606" s="17">
        <f>+VLOOKUP(A2606,[1]PFE4!$A$7:$G$5208,7,0)</f>
        <v>68001</v>
      </c>
      <c r="G2606">
        <v>22341264</v>
      </c>
      <c r="H2606">
        <v>4329</v>
      </c>
    </row>
    <row r="2607" spans="1:8" ht="15" customHeight="1" x14ac:dyDescent="0.25">
      <c r="A2607" t="s">
        <v>4850</v>
      </c>
      <c r="B2607" t="s">
        <v>8890</v>
      </c>
      <c r="C2607" t="s">
        <v>11543</v>
      </c>
      <c r="D2607" t="s">
        <v>13287</v>
      </c>
      <c r="E2607" t="str">
        <f>+VLOOKUP(A2607,[1]PFE4!$A$7:$F$5208,6,0)</f>
        <v>CARRERA 18  91  13</v>
      </c>
      <c r="F2607" s="17">
        <f>+VLOOKUP(A2607,[1]PFE4!$A$7:$G$5208,7,0)</f>
        <v>11001</v>
      </c>
      <c r="G2607">
        <v>22347676</v>
      </c>
      <c r="H2607">
        <v>4329</v>
      </c>
    </row>
    <row r="2608" spans="1:8" ht="15" customHeight="1" x14ac:dyDescent="0.25">
      <c r="A2608" t="s">
        <v>4851</v>
      </c>
      <c r="B2608" t="s">
        <v>8891</v>
      </c>
      <c r="C2608" t="s">
        <v>12294</v>
      </c>
      <c r="D2608" t="s">
        <v>13287</v>
      </c>
      <c r="E2608" t="str">
        <f>+VLOOKUP(A2608,[1]PFE4!$A$7:$F$5208,6,0)</f>
        <v>CARRERA 39  13 SUR  28</v>
      </c>
      <c r="F2608" s="17" t="str">
        <f>+VLOOKUP(A2608,[1]PFE4!$A$7:$G$5208,7,0)</f>
        <v>05001</v>
      </c>
      <c r="G2608">
        <v>22350160</v>
      </c>
      <c r="H2608">
        <v>4329</v>
      </c>
    </row>
    <row r="2609" spans="1:8" ht="15" customHeight="1" x14ac:dyDescent="0.25">
      <c r="A2609" t="s">
        <v>4852</v>
      </c>
      <c r="B2609" t="s">
        <v>8892</v>
      </c>
      <c r="C2609" t="s">
        <v>10747</v>
      </c>
      <c r="D2609" t="s">
        <v>13287</v>
      </c>
      <c r="E2609" t="str">
        <f>+VLOOKUP(A2609,[1]PFE4!$A$7:$F$5208,6,0)</f>
        <v>CALLE 77  14  46  OFICINA 503</v>
      </c>
      <c r="F2609" s="17">
        <f>+VLOOKUP(A2609,[1]PFE4!$A$7:$G$5208,7,0)</f>
        <v>11001</v>
      </c>
      <c r="G2609">
        <v>22358994</v>
      </c>
      <c r="H2609">
        <v>4329</v>
      </c>
    </row>
    <row r="2610" spans="1:8" ht="15" customHeight="1" x14ac:dyDescent="0.25">
      <c r="A2610" t="s">
        <v>4853</v>
      </c>
      <c r="B2610" t="s">
        <v>8893</v>
      </c>
      <c r="C2610" t="s">
        <v>12295</v>
      </c>
      <c r="D2610" t="s">
        <v>13287</v>
      </c>
      <c r="E2610" t="str">
        <f>+VLOOKUP(A2610,[1]PFE4!$A$7:$F$5208,6,0)</f>
        <v>CALLE 27 SUR  28  56</v>
      </c>
      <c r="F2610" s="17" t="str">
        <f>+VLOOKUP(A2610,[1]PFE4!$A$7:$G$5208,7,0)</f>
        <v>05266</v>
      </c>
      <c r="G2610">
        <v>22359636</v>
      </c>
      <c r="H2610">
        <v>4329</v>
      </c>
    </row>
    <row r="2611" spans="1:8" ht="15" customHeight="1" x14ac:dyDescent="0.25">
      <c r="A2611" t="s">
        <v>4854</v>
      </c>
      <c r="B2611" t="s">
        <v>8894</v>
      </c>
      <c r="C2611" t="s">
        <v>12296</v>
      </c>
      <c r="D2611" t="s">
        <v>13287</v>
      </c>
      <c r="E2611" t="str">
        <f>+VLOOKUP(A2611,[1]PFE4!$A$7:$F$5208,6,0)</f>
        <v>CARRERA 100  16  20</v>
      </c>
      <c r="F2611" s="17">
        <f>+VLOOKUP(A2611,[1]PFE4!$A$7:$G$5208,7,0)</f>
        <v>11001</v>
      </c>
      <c r="G2611">
        <v>22410720</v>
      </c>
      <c r="H2611">
        <v>4329</v>
      </c>
    </row>
    <row r="2612" spans="1:8" ht="15" customHeight="1" x14ac:dyDescent="0.25">
      <c r="A2612" t="s">
        <v>4855</v>
      </c>
      <c r="B2612" t="s">
        <v>8895</v>
      </c>
      <c r="C2612" t="s">
        <v>12297</v>
      </c>
      <c r="D2612" t="s">
        <v>13287</v>
      </c>
      <c r="E2612" t="str">
        <f>+VLOOKUP(A2612,[1]PFE4!$A$7:$F$5208,6,0)</f>
        <v>AVENIDA 1  31  79</v>
      </c>
      <c r="F2612" s="17">
        <f>+VLOOKUP(A2612,[1]PFE4!$A$7:$G$5208,7,0)</f>
        <v>54001</v>
      </c>
      <c r="G2612">
        <v>22418412</v>
      </c>
      <c r="H2612">
        <v>4329</v>
      </c>
    </row>
    <row r="2613" spans="1:8" ht="15" customHeight="1" x14ac:dyDescent="0.25">
      <c r="A2613" t="s">
        <v>4856</v>
      </c>
      <c r="B2613" t="s">
        <v>8896</v>
      </c>
      <c r="C2613">
        <v>0</v>
      </c>
      <c r="D2613" t="s">
        <v>13287</v>
      </c>
      <c r="E2613">
        <v>0</v>
      </c>
      <c r="F2613" s="17">
        <v>11001</v>
      </c>
      <c r="G2613">
        <v>22428800</v>
      </c>
      <c r="H2613">
        <v>4329</v>
      </c>
    </row>
    <row r="2614" spans="1:8" ht="15" customHeight="1" x14ac:dyDescent="0.25">
      <c r="A2614" t="s">
        <v>4857</v>
      </c>
      <c r="B2614" t="s">
        <v>8897</v>
      </c>
      <c r="C2614" t="s">
        <v>11192</v>
      </c>
      <c r="D2614" t="s">
        <v>13287</v>
      </c>
      <c r="E2614" t="str">
        <f>+VLOOKUP(A2614,[1]PFE4!$A$7:$F$5208,6,0)</f>
        <v>CALLE 100  23  17</v>
      </c>
      <c r="F2614" s="17">
        <f>+VLOOKUP(A2614,[1]PFE4!$A$7:$G$5208,7,0)</f>
        <v>68001</v>
      </c>
      <c r="G2614">
        <v>22436500</v>
      </c>
      <c r="H2614">
        <v>4329</v>
      </c>
    </row>
    <row r="2615" spans="1:8" ht="15" customHeight="1" x14ac:dyDescent="0.25">
      <c r="A2615" t="s">
        <v>4858</v>
      </c>
      <c r="B2615" t="s">
        <v>8898</v>
      </c>
      <c r="C2615" t="s">
        <v>12298</v>
      </c>
      <c r="D2615" t="s">
        <v>13287</v>
      </c>
      <c r="E2615" t="str">
        <f>+VLOOKUP(A2615,[1]PFE4!$A$7:$F$5208,6,0)</f>
        <v>CARRERA 102  155  50</v>
      </c>
      <c r="F2615" s="17">
        <f>+VLOOKUP(A2615,[1]PFE4!$A$7:$G$5208,7,0)</f>
        <v>11001</v>
      </c>
      <c r="G2615">
        <v>22491830</v>
      </c>
      <c r="H2615">
        <v>4329</v>
      </c>
    </row>
    <row r="2616" spans="1:8" ht="15" customHeight="1" x14ac:dyDescent="0.25">
      <c r="A2616" t="s">
        <v>4859</v>
      </c>
      <c r="B2616" t="s">
        <v>8899</v>
      </c>
      <c r="C2616" t="s">
        <v>12299</v>
      </c>
      <c r="D2616" t="s">
        <v>13287</v>
      </c>
      <c r="E2616" t="str">
        <f>+VLOOKUP(A2616,[1]PFE4!$A$7:$F$5208,6,0)</f>
        <v>AVENIDA CALLE 26  78  41</v>
      </c>
      <c r="F2616" s="17">
        <f>+VLOOKUP(A2616,[1]PFE4!$A$7:$G$5208,7,0)</f>
        <v>11001</v>
      </c>
      <c r="G2616">
        <v>22492264</v>
      </c>
      <c r="H2616">
        <v>4329</v>
      </c>
    </row>
    <row r="2617" spans="1:8" ht="15" customHeight="1" x14ac:dyDescent="0.25">
      <c r="A2617" t="s">
        <v>4860</v>
      </c>
      <c r="B2617" t="s">
        <v>8900</v>
      </c>
      <c r="C2617" t="s">
        <v>12300</v>
      </c>
      <c r="D2617" t="s">
        <v>13287</v>
      </c>
      <c r="E2617" t="str">
        <f>+VLOOKUP(A2617,[1]PFE4!$A$7:$F$5208,6,0)</f>
        <v>CALLE 93  14  71</v>
      </c>
      <c r="F2617" s="17">
        <f>+VLOOKUP(A2617,[1]PFE4!$A$7:$G$5208,7,0)</f>
        <v>11001</v>
      </c>
      <c r="G2617">
        <v>22497542</v>
      </c>
      <c r="H2617">
        <v>4329</v>
      </c>
    </row>
    <row r="2618" spans="1:8" ht="15" customHeight="1" x14ac:dyDescent="0.25">
      <c r="A2618" t="s">
        <v>4861</v>
      </c>
      <c r="B2618" t="s">
        <v>8901</v>
      </c>
      <c r="C2618" t="s">
        <v>12301</v>
      </c>
      <c r="D2618" t="s">
        <v>13287</v>
      </c>
      <c r="E2618" t="str">
        <f>+VLOOKUP(A2618,[1]PFE4!$A$7:$F$5208,6,0)</f>
        <v>CARRERA 17  90  57</v>
      </c>
      <c r="F2618" s="17">
        <f>+VLOOKUP(A2618,[1]PFE4!$A$7:$G$5208,7,0)</f>
        <v>11001</v>
      </c>
      <c r="G2618">
        <v>22521961</v>
      </c>
      <c r="H2618">
        <v>4329</v>
      </c>
    </row>
    <row r="2619" spans="1:8" ht="15" customHeight="1" x14ac:dyDescent="0.25">
      <c r="A2619" t="s">
        <v>4862</v>
      </c>
      <c r="B2619" t="s">
        <v>8902</v>
      </c>
      <c r="C2619" t="s">
        <v>12302</v>
      </c>
      <c r="D2619" t="s">
        <v>13287</v>
      </c>
      <c r="E2619" t="str">
        <f>+VLOOKUP(A2619,[1]PFE4!$A$7:$F$5208,6,0)</f>
        <v>CARRERA 74 D  75  114</v>
      </c>
      <c r="F2619" s="17" t="str">
        <f>+VLOOKUP(A2619,[1]PFE4!$A$7:$G$5208,7,0)</f>
        <v>05001</v>
      </c>
      <c r="G2619">
        <v>22550968</v>
      </c>
      <c r="H2619">
        <v>4329</v>
      </c>
    </row>
    <row r="2620" spans="1:8" ht="15" customHeight="1" x14ac:dyDescent="0.25">
      <c r="A2620" t="s">
        <v>4863</v>
      </c>
      <c r="B2620" t="s">
        <v>8903</v>
      </c>
      <c r="C2620" t="s">
        <v>12303</v>
      </c>
      <c r="D2620" t="s">
        <v>13287</v>
      </c>
      <c r="E2620" t="str">
        <f>+VLOOKUP(A2620,[1]PFE4!$A$7:$F$5208,6,0)</f>
        <v>AV 7 66 NORTE 15</v>
      </c>
      <c r="F2620" s="17">
        <f>+VLOOKUP(A2620,[1]PFE4!$A$7:$G$5208,7,0)</f>
        <v>76001</v>
      </c>
      <c r="G2620">
        <v>22611395</v>
      </c>
      <c r="H2620">
        <v>4329</v>
      </c>
    </row>
    <row r="2621" spans="1:8" ht="15" customHeight="1" x14ac:dyDescent="0.25">
      <c r="A2621" t="s">
        <v>4864</v>
      </c>
      <c r="B2621" t="s">
        <v>8904</v>
      </c>
      <c r="C2621" t="s">
        <v>12304</v>
      </c>
      <c r="D2621" t="s">
        <v>13287</v>
      </c>
      <c r="E2621" t="str">
        <f>+VLOOKUP(A2621,[1]PFE4!$A$7:$F$5208,6,0)</f>
        <v>CARRERA 8 A  69  11</v>
      </c>
      <c r="F2621" s="17">
        <f>+VLOOKUP(A2621,[1]PFE4!$A$7:$G$5208,7,0)</f>
        <v>11001</v>
      </c>
      <c r="G2621">
        <v>22627107</v>
      </c>
      <c r="H2621">
        <v>4329</v>
      </c>
    </row>
    <row r="2622" spans="1:8" ht="15" customHeight="1" x14ac:dyDescent="0.25">
      <c r="A2622" t="s">
        <v>4865</v>
      </c>
      <c r="B2622" t="s">
        <v>8905</v>
      </c>
      <c r="C2622" t="s">
        <v>12305</v>
      </c>
      <c r="D2622" t="s">
        <v>13287</v>
      </c>
      <c r="E2622" t="str">
        <f>+VLOOKUP(A2622,[1]PFE4!$A$7:$F$5208,6,0)</f>
        <v>CALLE 5  76 A  201</v>
      </c>
      <c r="F2622" s="17" t="str">
        <f>+VLOOKUP(A2622,[1]PFE4!$A$7:$G$5208,7,0)</f>
        <v>05001</v>
      </c>
      <c r="G2622">
        <v>22651440</v>
      </c>
      <c r="H2622">
        <v>4329</v>
      </c>
    </row>
    <row r="2623" spans="1:8" ht="15" customHeight="1" x14ac:dyDescent="0.25">
      <c r="A2623" t="s">
        <v>4866</v>
      </c>
      <c r="B2623" t="s">
        <v>8906</v>
      </c>
      <c r="C2623" t="s">
        <v>12306</v>
      </c>
      <c r="D2623" t="s">
        <v>13287</v>
      </c>
      <c r="E2623" t="str">
        <f>+VLOOKUP(A2623,[1]PFE4!$A$7:$F$5208,6,0)</f>
        <v>CALLE 50  9  67</v>
      </c>
      <c r="F2623" s="17">
        <f>+VLOOKUP(A2623,[1]PFE4!$A$7:$G$5208,7,0)</f>
        <v>11001</v>
      </c>
      <c r="G2623">
        <v>22662208</v>
      </c>
      <c r="H2623">
        <v>4329</v>
      </c>
    </row>
    <row r="2624" spans="1:8" ht="15" customHeight="1" x14ac:dyDescent="0.25">
      <c r="A2624" t="s">
        <v>4867</v>
      </c>
      <c r="B2624" t="s">
        <v>8907</v>
      </c>
      <c r="C2624" t="s">
        <v>12307</v>
      </c>
      <c r="D2624" t="s">
        <v>13287</v>
      </c>
      <c r="E2624" t="str">
        <f>+VLOOKUP(A2624,[1]PFE4!$A$7:$F$5208,6,0)</f>
        <v>CALLE 15 2E 07 CAOBOS</v>
      </c>
      <c r="F2624" s="17">
        <f>+VLOOKUP(A2624,[1]PFE4!$A$7:$G$5208,7,0)</f>
        <v>11001</v>
      </c>
      <c r="G2624">
        <v>22674472</v>
      </c>
      <c r="H2624">
        <v>4329</v>
      </c>
    </row>
    <row r="2625" spans="1:8" ht="15" customHeight="1" x14ac:dyDescent="0.25">
      <c r="A2625" t="s">
        <v>4868</v>
      </c>
      <c r="B2625" t="s">
        <v>8908</v>
      </c>
      <c r="C2625" t="s">
        <v>12308</v>
      </c>
      <c r="D2625" t="s">
        <v>13287</v>
      </c>
      <c r="E2625" t="str">
        <f>+VLOOKUP(A2625,[1]PFE4!$A$7:$F$5208,6,0)</f>
        <v>CARRERA 25  47  98</v>
      </c>
      <c r="F2625" s="17" t="str">
        <f>+VLOOKUP(A2625,[1]PFE4!$A$7:$G$5208,7,0)</f>
        <v>05001</v>
      </c>
      <c r="G2625">
        <v>22678500</v>
      </c>
      <c r="H2625">
        <v>4329</v>
      </c>
    </row>
    <row r="2626" spans="1:8" ht="15" customHeight="1" x14ac:dyDescent="0.25">
      <c r="A2626" t="s">
        <v>4869</v>
      </c>
      <c r="B2626" t="s">
        <v>8909</v>
      </c>
      <c r="C2626" t="s">
        <v>12309</v>
      </c>
      <c r="D2626" t="s">
        <v>13287</v>
      </c>
      <c r="E2626" t="str">
        <f>+VLOOKUP(A2626,[1]PFE4!$A$7:$F$5208,6,0)</f>
        <v>CARRERA 11 B  124 A  11</v>
      </c>
      <c r="F2626" s="17">
        <f>+VLOOKUP(A2626,[1]PFE4!$A$7:$G$5208,7,0)</f>
        <v>11001</v>
      </c>
      <c r="G2626">
        <v>22696372</v>
      </c>
      <c r="H2626">
        <v>4329</v>
      </c>
    </row>
    <row r="2627" spans="1:8" ht="15" customHeight="1" x14ac:dyDescent="0.25">
      <c r="A2627" t="s">
        <v>4870</v>
      </c>
      <c r="B2627" t="s">
        <v>8910</v>
      </c>
      <c r="C2627" t="s">
        <v>12310</v>
      </c>
      <c r="D2627" t="s">
        <v>13287</v>
      </c>
      <c r="E2627" t="str">
        <f>+VLOOKUP(A2627,[1]PFE4!$A$7:$F$5208,6,0)</f>
        <v>CR 9 G 122 94</v>
      </c>
      <c r="F2627" s="17" t="str">
        <f>+VLOOKUP(A2627,[1]PFE4!$A$7:$G$5208,7,0)</f>
        <v>08001</v>
      </c>
      <c r="G2627">
        <v>22754118</v>
      </c>
      <c r="H2627">
        <v>4329</v>
      </c>
    </row>
    <row r="2628" spans="1:8" ht="15" customHeight="1" x14ac:dyDescent="0.25">
      <c r="A2628" t="s">
        <v>4871</v>
      </c>
      <c r="B2628" t="s">
        <v>8911</v>
      </c>
      <c r="C2628" t="s">
        <v>12311</v>
      </c>
      <c r="D2628" t="s">
        <v>13287</v>
      </c>
      <c r="E2628" t="str">
        <f>+VLOOKUP(A2628,[1]PFE4!$A$7:$F$5208,6,0)</f>
        <v>CARRERA 5  10 N  25</v>
      </c>
      <c r="F2628" s="17">
        <f>+VLOOKUP(A2628,[1]PFE4!$A$7:$G$5208,7,0)</f>
        <v>11001</v>
      </c>
      <c r="G2628">
        <v>22765200</v>
      </c>
      <c r="H2628">
        <v>4329</v>
      </c>
    </row>
    <row r="2629" spans="1:8" ht="15" customHeight="1" x14ac:dyDescent="0.25">
      <c r="A2629" t="s">
        <v>4872</v>
      </c>
      <c r="B2629" t="s">
        <v>8912</v>
      </c>
      <c r="C2629" t="s">
        <v>11661</v>
      </c>
      <c r="D2629" t="s">
        <v>13287</v>
      </c>
      <c r="E2629" t="str">
        <f>+VLOOKUP(A2629,[1]PFE4!$A$7:$F$5208,6,0)</f>
        <v>CARRERA 57 75-113</v>
      </c>
      <c r="F2629" s="17" t="str">
        <f>+VLOOKUP(A2629,[1]PFE4!$A$7:$G$5208,7,0)</f>
        <v>08001</v>
      </c>
      <c r="G2629">
        <v>22784716</v>
      </c>
      <c r="H2629">
        <v>4329</v>
      </c>
    </row>
    <row r="2630" spans="1:8" ht="15" customHeight="1" x14ac:dyDescent="0.25">
      <c r="A2630" t="s">
        <v>4873</v>
      </c>
      <c r="B2630" t="s">
        <v>8913</v>
      </c>
      <c r="C2630" t="s">
        <v>11875</v>
      </c>
      <c r="D2630" t="s">
        <v>13287</v>
      </c>
      <c r="E2630" t="str">
        <f>+VLOOKUP(A2630,[1]PFE4!$A$7:$F$5208,6,0)</f>
        <v>CR 120 77 B 82</v>
      </c>
      <c r="F2630" s="17">
        <f>+VLOOKUP(A2630,[1]PFE4!$A$7:$G$5208,7,0)</f>
        <v>11001</v>
      </c>
      <c r="G2630">
        <v>22789995</v>
      </c>
      <c r="H2630">
        <v>4329</v>
      </c>
    </row>
    <row r="2631" spans="1:8" ht="15" customHeight="1" x14ac:dyDescent="0.25">
      <c r="A2631" t="s">
        <v>4874</v>
      </c>
      <c r="B2631" t="s">
        <v>8914</v>
      </c>
      <c r="C2631" t="s">
        <v>11684</v>
      </c>
      <c r="D2631" t="s">
        <v>13287</v>
      </c>
      <c r="E2631" t="str">
        <f>+VLOOKUP(A2631,[1]PFE4!$A$7:$F$5208,6,0)</f>
        <v>CALLE 93 B  18  45  OFICINA 305</v>
      </c>
      <c r="F2631" s="17">
        <f>+VLOOKUP(A2631,[1]PFE4!$A$7:$G$5208,7,0)</f>
        <v>11001</v>
      </c>
      <c r="G2631">
        <v>22796790</v>
      </c>
      <c r="H2631">
        <v>4329</v>
      </c>
    </row>
    <row r="2632" spans="1:8" ht="15" customHeight="1" x14ac:dyDescent="0.25">
      <c r="A2632" t="s">
        <v>4875</v>
      </c>
      <c r="B2632" t="s">
        <v>8915</v>
      </c>
      <c r="C2632" t="s">
        <v>12312</v>
      </c>
      <c r="D2632" t="s">
        <v>13287</v>
      </c>
      <c r="E2632" t="str">
        <f>+VLOOKUP(A2632,[1]PFE4!$A$7:$F$5208,6,0)</f>
        <v>CALLE 19  31  45</v>
      </c>
      <c r="F2632" s="17">
        <f>+VLOOKUP(A2632,[1]PFE4!$A$7:$G$5208,7,0)</f>
        <v>68001</v>
      </c>
      <c r="G2632">
        <v>22850216</v>
      </c>
      <c r="H2632">
        <v>4329</v>
      </c>
    </row>
    <row r="2633" spans="1:8" ht="15" customHeight="1" x14ac:dyDescent="0.25">
      <c r="A2633" t="s">
        <v>4876</v>
      </c>
      <c r="B2633" t="s">
        <v>8916</v>
      </c>
      <c r="C2633" t="s">
        <v>10516</v>
      </c>
      <c r="D2633" t="s">
        <v>13287</v>
      </c>
      <c r="E2633" t="str">
        <f>+VLOOKUP(A2633,[1]PFE4!$A$7:$F$5208,6,0)</f>
        <v>DIAGONAL 72  2  30 ESTE</v>
      </c>
      <c r="F2633" s="17">
        <f>+VLOOKUP(A2633,[1]PFE4!$A$7:$G$5208,7,0)</f>
        <v>11001</v>
      </c>
      <c r="G2633">
        <v>22851434</v>
      </c>
      <c r="H2633">
        <v>4329</v>
      </c>
    </row>
    <row r="2634" spans="1:8" ht="15" customHeight="1" x14ac:dyDescent="0.25">
      <c r="A2634" t="s">
        <v>4877</v>
      </c>
      <c r="B2634" t="s">
        <v>8917</v>
      </c>
      <c r="C2634" t="s">
        <v>12313</v>
      </c>
      <c r="D2634" t="s">
        <v>13287</v>
      </c>
      <c r="E2634" t="str">
        <f>+VLOOKUP(A2634,[1]PFE4!$A$7:$F$5208,6,0)</f>
        <v>CL 90 58 51</v>
      </c>
      <c r="F2634" s="17" t="str">
        <f>+VLOOKUP(A2634,[1]PFE4!$A$7:$G$5208,7,0)</f>
        <v>08001</v>
      </c>
      <c r="G2634">
        <v>22877543</v>
      </c>
      <c r="H2634">
        <v>4329</v>
      </c>
    </row>
    <row r="2635" spans="1:8" ht="15" customHeight="1" x14ac:dyDescent="0.25">
      <c r="A2635" t="s">
        <v>4878</v>
      </c>
      <c r="B2635" t="s">
        <v>8918</v>
      </c>
      <c r="C2635" t="s">
        <v>12314</v>
      </c>
      <c r="D2635" t="s">
        <v>13287</v>
      </c>
      <c r="E2635" t="str">
        <f>+VLOOKUP(A2635,[1]PFE4!$A$7:$F$5208,6,0)</f>
        <v>CR 87 39 03 BRR MACHADO ZONA URBANA DEL MUNICIPIO DE COPACABANA</v>
      </c>
      <c r="F2635" s="17" t="str">
        <f>+VLOOKUP(A2635,[1]PFE4!$A$7:$G$5208,7,0)</f>
        <v>05212</v>
      </c>
      <c r="G2635">
        <v>22884576</v>
      </c>
      <c r="H2635">
        <v>4329</v>
      </c>
    </row>
    <row r="2636" spans="1:8" ht="15" customHeight="1" x14ac:dyDescent="0.25">
      <c r="A2636" t="s">
        <v>4879</v>
      </c>
      <c r="B2636" t="s">
        <v>8919</v>
      </c>
      <c r="C2636" t="s">
        <v>12315</v>
      </c>
      <c r="D2636" t="s">
        <v>13287</v>
      </c>
      <c r="E2636" t="str">
        <f>+VLOOKUP(A2636,[1]PFE4!$A$7:$F$5208,6,0)</f>
        <v>CALLE 79 B  5  80</v>
      </c>
      <c r="F2636" s="17">
        <f>+VLOOKUP(A2636,[1]PFE4!$A$7:$G$5208,7,0)</f>
        <v>11001</v>
      </c>
      <c r="G2636">
        <v>22899426</v>
      </c>
      <c r="H2636">
        <v>4329</v>
      </c>
    </row>
    <row r="2637" spans="1:8" ht="15" customHeight="1" x14ac:dyDescent="0.25">
      <c r="A2637" t="s">
        <v>4880</v>
      </c>
      <c r="B2637" t="s">
        <v>8920</v>
      </c>
      <c r="C2637" t="s">
        <v>12316</v>
      </c>
      <c r="D2637" t="s">
        <v>13287</v>
      </c>
      <c r="E2637" t="str">
        <f>+VLOOKUP(A2637,[1]PFE4!$A$7:$F$5208,6,0)</f>
        <v>CALLE 152 B  72  52</v>
      </c>
      <c r="F2637" s="17">
        <f>+VLOOKUP(A2637,[1]PFE4!$A$7:$G$5208,7,0)</f>
        <v>11001</v>
      </c>
      <c r="G2637">
        <v>22968220</v>
      </c>
      <c r="H2637">
        <v>4329</v>
      </c>
    </row>
    <row r="2638" spans="1:8" ht="15" customHeight="1" x14ac:dyDescent="0.25">
      <c r="A2638" t="s">
        <v>4881</v>
      </c>
      <c r="B2638" t="s">
        <v>8921</v>
      </c>
      <c r="C2638" t="s">
        <v>11542</v>
      </c>
      <c r="D2638" t="s">
        <v>13287</v>
      </c>
      <c r="E2638" t="str">
        <f>+VLOOKUP(A2638,[1]PFE4!$A$7:$F$5208,6,0)</f>
        <v>CARRERA 1  68  15</v>
      </c>
      <c r="F2638" s="17">
        <f>+VLOOKUP(A2638,[1]PFE4!$A$7:$G$5208,7,0)</f>
        <v>11001</v>
      </c>
      <c r="G2638">
        <v>22969389</v>
      </c>
      <c r="H2638">
        <v>4329</v>
      </c>
    </row>
    <row r="2639" spans="1:8" ht="15" customHeight="1" x14ac:dyDescent="0.25">
      <c r="A2639" t="s">
        <v>4882</v>
      </c>
      <c r="B2639" t="s">
        <v>8922</v>
      </c>
      <c r="C2639">
        <v>3219664011</v>
      </c>
      <c r="D2639" t="s">
        <v>13287</v>
      </c>
      <c r="E2639" t="str">
        <f>+VLOOKUP(A2639,[1]PFE4!$A$7:$F$5208,6,0)</f>
        <v>CARRERA 45 A 106A-20</v>
      </c>
      <c r="F2639" s="17">
        <f>+VLOOKUP(A2639,[1]PFE4!$A$7:$G$5208,7,0)</f>
        <v>11001</v>
      </c>
      <c r="G2639">
        <v>22985540</v>
      </c>
      <c r="H2639">
        <v>4329</v>
      </c>
    </row>
    <row r="2640" spans="1:8" ht="15" customHeight="1" x14ac:dyDescent="0.25">
      <c r="A2640" t="s">
        <v>4883</v>
      </c>
      <c r="B2640" t="s">
        <v>8923</v>
      </c>
      <c r="C2640" t="s">
        <v>12317</v>
      </c>
      <c r="D2640" t="s">
        <v>13287</v>
      </c>
      <c r="E2640" t="str">
        <f>+VLOOKUP(A2640,[1]PFE4!$A$7:$F$5208,6,0)</f>
        <v>CARRERA 28  42  47</v>
      </c>
      <c r="F2640" s="17">
        <f>+VLOOKUP(A2640,[1]PFE4!$A$7:$G$5208,7,0)</f>
        <v>68001</v>
      </c>
      <c r="G2640">
        <v>23007840</v>
      </c>
      <c r="H2640">
        <v>4329</v>
      </c>
    </row>
    <row r="2641" spans="1:8" ht="15" customHeight="1" x14ac:dyDescent="0.25">
      <c r="A2641" t="s">
        <v>4884</v>
      </c>
      <c r="B2641" t="s">
        <v>8924</v>
      </c>
      <c r="C2641" t="s">
        <v>12318</v>
      </c>
      <c r="D2641" t="s">
        <v>13287</v>
      </c>
      <c r="E2641" t="str">
        <f>+VLOOKUP(A2641,[1]PFE4!$A$7:$F$5208,6,0)</f>
        <v>AV 9 56 NORTE 140</v>
      </c>
      <c r="F2641" s="17">
        <f>+VLOOKUP(A2641,[1]PFE4!$A$7:$G$5208,7,0)</f>
        <v>76001</v>
      </c>
      <c r="G2641">
        <v>23013980</v>
      </c>
      <c r="H2641">
        <v>4329</v>
      </c>
    </row>
    <row r="2642" spans="1:8" ht="15" customHeight="1" x14ac:dyDescent="0.25">
      <c r="A2642" t="s">
        <v>4885</v>
      </c>
      <c r="B2642" t="s">
        <v>8925</v>
      </c>
      <c r="C2642" t="s">
        <v>12319</v>
      </c>
      <c r="D2642" t="s">
        <v>13287</v>
      </c>
      <c r="E2642" t="str">
        <f>+VLOOKUP(A2642,[1]PFE4!$A$7:$F$5208,6,0)</f>
        <v>CARRERA 8  97  47</v>
      </c>
      <c r="F2642" s="17">
        <f>+VLOOKUP(A2642,[1]PFE4!$A$7:$G$5208,7,0)</f>
        <v>11001</v>
      </c>
      <c r="G2642">
        <v>23072436</v>
      </c>
      <c r="H2642">
        <v>4329</v>
      </c>
    </row>
    <row r="2643" spans="1:8" ht="15" customHeight="1" x14ac:dyDescent="0.25">
      <c r="A2643" t="s">
        <v>4886</v>
      </c>
      <c r="B2643" t="s">
        <v>8926</v>
      </c>
      <c r="C2643" t="s">
        <v>11990</v>
      </c>
      <c r="D2643" t="s">
        <v>13287</v>
      </c>
      <c r="E2643" t="str">
        <f>+VLOOKUP(A2643,[1]PFE4!$A$7:$F$5208,6,0)</f>
        <v>CARRERA 18 A  143  61</v>
      </c>
      <c r="F2643" s="17">
        <f>+VLOOKUP(A2643,[1]PFE4!$A$7:$G$5208,7,0)</f>
        <v>11001</v>
      </c>
      <c r="G2643">
        <v>23076020</v>
      </c>
      <c r="H2643">
        <v>4329</v>
      </c>
    </row>
    <row r="2644" spans="1:8" ht="15" customHeight="1" x14ac:dyDescent="0.25">
      <c r="A2644" t="s">
        <v>4887</v>
      </c>
      <c r="B2644" t="s">
        <v>8927</v>
      </c>
      <c r="C2644" t="s">
        <v>12320</v>
      </c>
      <c r="D2644" t="s">
        <v>13287</v>
      </c>
      <c r="E2644" t="str">
        <f>+VLOOKUP(A2644,[1]PFE4!$A$7:$F$5208,6,0)</f>
        <v>CARRERA 36  38  28  APARTAMENTO 1304</v>
      </c>
      <c r="F2644" s="17">
        <f>+VLOOKUP(A2644,[1]PFE4!$A$7:$G$5208,7,0)</f>
        <v>11001</v>
      </c>
      <c r="G2644">
        <v>23113883</v>
      </c>
      <c r="H2644">
        <v>4329</v>
      </c>
    </row>
    <row r="2645" spans="1:8" ht="15" customHeight="1" x14ac:dyDescent="0.25">
      <c r="A2645" t="s">
        <v>4888</v>
      </c>
      <c r="B2645" t="s">
        <v>8928</v>
      </c>
      <c r="C2645" t="s">
        <v>12321</v>
      </c>
      <c r="D2645" t="s">
        <v>13287</v>
      </c>
      <c r="E2645" t="str">
        <f>+VLOOKUP(A2645,[1]PFE4!$A$7:$F$5208,6,0)</f>
        <v>CALLE 27 D  36  52 SUR</v>
      </c>
      <c r="F2645" s="17" t="str">
        <f>+VLOOKUP(A2645,[1]PFE4!$A$7:$G$5208,7,0)</f>
        <v>05266</v>
      </c>
      <c r="G2645">
        <v>23141232</v>
      </c>
      <c r="H2645">
        <v>4329</v>
      </c>
    </row>
    <row r="2646" spans="1:8" ht="15" customHeight="1" x14ac:dyDescent="0.25">
      <c r="A2646" t="s">
        <v>4889</v>
      </c>
      <c r="B2646" t="s">
        <v>8929</v>
      </c>
      <c r="C2646" t="s">
        <v>12322</v>
      </c>
      <c r="D2646" t="s">
        <v>13287</v>
      </c>
      <c r="E2646" t="str">
        <f>+VLOOKUP(A2646,[1]PFE4!$A$7:$F$5208,6,0)</f>
        <v>CALLE 121  3 A  20</v>
      </c>
      <c r="F2646" s="17">
        <f>+VLOOKUP(A2646,[1]PFE4!$A$7:$G$5208,7,0)</f>
        <v>11001</v>
      </c>
      <c r="G2646">
        <v>23145748</v>
      </c>
      <c r="H2646">
        <v>4329</v>
      </c>
    </row>
    <row r="2647" spans="1:8" ht="15" customHeight="1" x14ac:dyDescent="0.25">
      <c r="A2647" t="s">
        <v>4890</v>
      </c>
      <c r="B2647" t="s">
        <v>8930</v>
      </c>
      <c r="C2647" t="s">
        <v>11181</v>
      </c>
      <c r="D2647" t="s">
        <v>13287</v>
      </c>
      <c r="E2647" t="str">
        <f>+VLOOKUP(A2647,[1]PFE4!$A$7:$F$5208,6,0)</f>
        <v>CR 20 A 29 B 24</v>
      </c>
      <c r="F2647" s="17">
        <f>+VLOOKUP(A2647,[1]PFE4!$A$7:$G$5208,7,0)</f>
        <v>11001</v>
      </c>
      <c r="G2647">
        <v>23150288</v>
      </c>
      <c r="H2647">
        <v>4329</v>
      </c>
    </row>
    <row r="2648" spans="1:8" ht="15" customHeight="1" x14ac:dyDescent="0.25">
      <c r="A2648" t="s">
        <v>4891</v>
      </c>
      <c r="B2648" t="s">
        <v>8931</v>
      </c>
      <c r="C2648" t="s">
        <v>12323</v>
      </c>
      <c r="D2648" t="s">
        <v>13287</v>
      </c>
      <c r="E2648" t="str">
        <f>+VLOOKUP(A2648,[1]PFE4!$A$7:$F$5208,6,0)</f>
        <v>CARRERA 54 D  169  60</v>
      </c>
      <c r="F2648" s="17">
        <f>+VLOOKUP(A2648,[1]PFE4!$A$7:$G$5208,7,0)</f>
        <v>11001</v>
      </c>
      <c r="G2648">
        <v>23150680</v>
      </c>
      <c r="H2648">
        <v>4329</v>
      </c>
    </row>
    <row r="2649" spans="1:8" ht="15" customHeight="1" x14ac:dyDescent="0.25">
      <c r="A2649" t="s">
        <v>4892</v>
      </c>
      <c r="B2649" t="s">
        <v>8932</v>
      </c>
      <c r="C2649" t="s">
        <v>12324</v>
      </c>
      <c r="D2649" t="s">
        <v>13287</v>
      </c>
      <c r="E2649" t="str">
        <f>+VLOOKUP(A2649,[1]PFE4!$A$7:$F$5208,6,0)</f>
        <v>CALLE 79  16 A  20</v>
      </c>
      <c r="F2649" s="17">
        <f>+VLOOKUP(A2649,[1]PFE4!$A$7:$G$5208,7,0)</f>
        <v>11001</v>
      </c>
      <c r="G2649">
        <v>23152069</v>
      </c>
      <c r="H2649">
        <v>4329</v>
      </c>
    </row>
    <row r="2650" spans="1:8" ht="15" customHeight="1" x14ac:dyDescent="0.25">
      <c r="A2650" t="s">
        <v>4893</v>
      </c>
      <c r="B2650" t="s">
        <v>8933</v>
      </c>
      <c r="C2650" t="s">
        <v>12325</v>
      </c>
      <c r="D2650" t="s">
        <v>13287</v>
      </c>
      <c r="E2650" t="str">
        <f>+VLOOKUP(A2650,[1]PFE4!$A$7:$F$5208,6,0)</f>
        <v>CL 42 N 75</v>
      </c>
      <c r="F2650" s="17">
        <f>+VLOOKUP(A2650,[1]PFE4!$A$7:$G$5208,7,0)</f>
        <v>19001</v>
      </c>
      <c r="G2650">
        <v>23172372</v>
      </c>
      <c r="H2650">
        <v>4329</v>
      </c>
    </row>
    <row r="2651" spans="1:8" ht="15" customHeight="1" x14ac:dyDescent="0.25">
      <c r="A2651" t="s">
        <v>4894</v>
      </c>
      <c r="B2651" t="s">
        <v>8934</v>
      </c>
      <c r="C2651" t="s">
        <v>12326</v>
      </c>
      <c r="D2651" t="s">
        <v>13287</v>
      </c>
      <c r="E2651" t="str">
        <f>+VLOOKUP(A2651,[1]PFE4!$A$7:$F$5208,6,0)</f>
        <v>CARRERA 13 A  28  58  OFICINA 247</v>
      </c>
      <c r="F2651" s="17">
        <f>+VLOOKUP(A2651,[1]PFE4!$A$7:$G$5208,7,0)</f>
        <v>11001</v>
      </c>
      <c r="G2651">
        <v>23217984</v>
      </c>
      <c r="H2651">
        <v>4329</v>
      </c>
    </row>
    <row r="2652" spans="1:8" ht="15" customHeight="1" x14ac:dyDescent="0.25">
      <c r="A2652" t="s">
        <v>4895</v>
      </c>
      <c r="B2652" t="s">
        <v>8935</v>
      </c>
      <c r="C2652" t="s">
        <v>10644</v>
      </c>
      <c r="D2652" t="s">
        <v>13287</v>
      </c>
      <c r="E2652" t="str">
        <f>+VLOOKUP(A2652,[1]PFE4!$A$7:$F$5208,6,0)</f>
        <v>CR 16 93 78</v>
      </c>
      <c r="F2652" s="17">
        <f>+VLOOKUP(A2652,[1]PFE4!$A$7:$G$5208,7,0)</f>
        <v>11001</v>
      </c>
      <c r="G2652">
        <v>23277776</v>
      </c>
      <c r="H2652">
        <v>4329</v>
      </c>
    </row>
    <row r="2653" spans="1:8" ht="15" customHeight="1" x14ac:dyDescent="0.25">
      <c r="A2653" t="s">
        <v>4896</v>
      </c>
      <c r="B2653" t="s">
        <v>8936</v>
      </c>
      <c r="C2653" t="s">
        <v>12327</v>
      </c>
      <c r="D2653" t="s">
        <v>13287</v>
      </c>
      <c r="E2653" t="str">
        <f>+VLOOKUP(A2653,[1]PFE4!$A$7:$F$5208,6,0)</f>
        <v>CARRERA 28 A  7  152 BRR INMACULADA VIA INTERNA ALTERNA</v>
      </c>
      <c r="F2653" s="17">
        <f>+VLOOKUP(A2653,[1]PFE4!$A$7:$G$5208,7,0)</f>
        <v>76109</v>
      </c>
      <c r="G2653">
        <v>5956992</v>
      </c>
      <c r="H2653">
        <v>4329</v>
      </c>
    </row>
    <row r="2654" spans="1:8" ht="15" customHeight="1" x14ac:dyDescent="0.25">
      <c r="A2654" t="s">
        <v>4896</v>
      </c>
      <c r="B2654" t="s">
        <v>8936</v>
      </c>
      <c r="C2654" t="s">
        <v>12327</v>
      </c>
      <c r="D2654" t="s">
        <v>13287</v>
      </c>
      <c r="E2654" t="str">
        <f>+VLOOKUP(A2654,[1]PFE4!$A$7:$F$5208,6,0)</f>
        <v>CARRERA 28 A  7  152 BRR INMACULADA VIA INTERNA ALTERNA</v>
      </c>
      <c r="F2654" s="17">
        <f>+VLOOKUP(A2654,[1]PFE4!$A$7:$G$5208,7,0)</f>
        <v>76109</v>
      </c>
      <c r="G2654">
        <v>17402754</v>
      </c>
      <c r="H2654">
        <v>4329</v>
      </c>
    </row>
    <row r="2655" spans="1:8" ht="15" customHeight="1" x14ac:dyDescent="0.25">
      <c r="A2655" t="s">
        <v>4897</v>
      </c>
      <c r="B2655" t="s">
        <v>8937</v>
      </c>
      <c r="C2655" t="s">
        <v>12328</v>
      </c>
      <c r="D2655" t="s">
        <v>13287</v>
      </c>
      <c r="E2655" t="str">
        <f>+VLOOKUP(A2655,[1]PFE4!$A$7:$F$5208,6,0)</f>
        <v>TV 26 42 30 CONJUNTO CERRADO PARQUE JARDIN</v>
      </c>
      <c r="F2655" s="17">
        <f>+VLOOKUP(A2655,[1]PFE4!$A$7:$G$5208,7,0)</f>
        <v>66170</v>
      </c>
      <c r="G2655">
        <v>23362281</v>
      </c>
      <c r="H2655">
        <v>4329</v>
      </c>
    </row>
    <row r="2656" spans="1:8" ht="15" customHeight="1" x14ac:dyDescent="0.25">
      <c r="A2656" t="s">
        <v>4898</v>
      </c>
      <c r="B2656" t="s">
        <v>8938</v>
      </c>
      <c r="C2656" t="s">
        <v>12329</v>
      </c>
      <c r="D2656" t="s">
        <v>13287</v>
      </c>
      <c r="E2656" t="str">
        <f>+VLOOKUP(A2656,[1]PFE4!$A$7:$F$5208,6,0)</f>
        <v>CARRERA 43 A 6 SUR 26 OF 212</v>
      </c>
      <c r="F2656" s="17" t="str">
        <f>+VLOOKUP(A2656,[1]PFE4!$A$7:$G$5208,7,0)</f>
        <v>05001</v>
      </c>
      <c r="G2656">
        <v>23363892</v>
      </c>
      <c r="H2656">
        <v>4329</v>
      </c>
    </row>
    <row r="2657" spans="1:8" ht="15" customHeight="1" x14ac:dyDescent="0.25">
      <c r="A2657" t="s">
        <v>4899</v>
      </c>
      <c r="B2657" t="s">
        <v>8939</v>
      </c>
      <c r="C2657" t="s">
        <v>12330</v>
      </c>
      <c r="D2657" t="s">
        <v>13287</v>
      </c>
      <c r="E2657" t="str">
        <f>+VLOOKUP(A2657,[1]PFE4!$A$7:$F$5208,6,0)</f>
        <v>CALLE 39 D SUR  24 D  12</v>
      </c>
      <c r="F2657" s="17" t="str">
        <f>+VLOOKUP(A2657,[1]PFE4!$A$7:$G$5208,7,0)</f>
        <v>05266</v>
      </c>
      <c r="G2657">
        <v>23371332</v>
      </c>
      <c r="H2657">
        <v>4329</v>
      </c>
    </row>
    <row r="2658" spans="1:8" ht="15" customHeight="1" x14ac:dyDescent="0.25">
      <c r="A2658" t="s">
        <v>4900</v>
      </c>
      <c r="B2658" t="s">
        <v>8940</v>
      </c>
      <c r="C2658" t="s">
        <v>12331</v>
      </c>
      <c r="D2658" t="s">
        <v>13287</v>
      </c>
      <c r="E2658" t="str">
        <f>+VLOOKUP(A2658,[1]PFE4!$A$7:$F$5208,6,0)</f>
        <v>CRESPO ED TERRAZAS DEL CARIBE 63 1 42 SEGE 1</v>
      </c>
      <c r="F2658" s="17">
        <f>+VLOOKUP(A2658,[1]PFE4!$A$7:$G$5208,7,0)</f>
        <v>11001</v>
      </c>
      <c r="G2658">
        <v>23400000</v>
      </c>
      <c r="H2658">
        <v>4329</v>
      </c>
    </row>
    <row r="2659" spans="1:8" ht="15" customHeight="1" x14ac:dyDescent="0.25">
      <c r="A2659" t="s">
        <v>4901</v>
      </c>
      <c r="B2659" t="s">
        <v>8941</v>
      </c>
      <c r="C2659" t="s">
        <v>11214</v>
      </c>
      <c r="D2659" t="s">
        <v>13287</v>
      </c>
      <c r="E2659" t="str">
        <f>+VLOOKUP(A2659,[1]PFE4!$A$7:$F$5208,6,0)</f>
        <v>TRANSVERSAL 5  87  06</v>
      </c>
      <c r="F2659" s="17">
        <f>+VLOOKUP(A2659,[1]PFE4!$A$7:$G$5208,7,0)</f>
        <v>11001</v>
      </c>
      <c r="G2659">
        <v>23403632</v>
      </c>
      <c r="H2659">
        <v>4329</v>
      </c>
    </row>
    <row r="2660" spans="1:8" ht="15" customHeight="1" x14ac:dyDescent="0.25">
      <c r="A2660" t="s">
        <v>4902</v>
      </c>
      <c r="B2660" t="s">
        <v>8942</v>
      </c>
      <c r="C2660" t="s">
        <v>12332</v>
      </c>
      <c r="D2660" t="s">
        <v>13287</v>
      </c>
      <c r="E2660" t="str">
        <f>+VLOOKUP(A2660,[1]PFE4!$A$7:$F$5208,6,0)</f>
        <v>CALLE 73  7  31</v>
      </c>
      <c r="F2660" s="17">
        <f>+VLOOKUP(A2660,[1]PFE4!$A$7:$G$5208,7,0)</f>
        <v>11001</v>
      </c>
      <c r="G2660">
        <v>23501634</v>
      </c>
      <c r="H2660">
        <v>4329</v>
      </c>
    </row>
    <row r="2661" spans="1:8" ht="15" customHeight="1" x14ac:dyDescent="0.25">
      <c r="A2661" t="s">
        <v>4903</v>
      </c>
      <c r="B2661" t="s">
        <v>8943</v>
      </c>
      <c r="C2661" t="s">
        <v>12333</v>
      </c>
      <c r="D2661" t="s">
        <v>13287</v>
      </c>
      <c r="E2661" t="str">
        <f>+VLOOKUP(A2661,[1]PFE4!$A$7:$F$5208,6,0)</f>
        <v>CARRERA 57  94  73</v>
      </c>
      <c r="F2661" s="17" t="str">
        <f>+VLOOKUP(A2661,[1]PFE4!$A$7:$G$5208,7,0)</f>
        <v>08001</v>
      </c>
      <c r="G2661">
        <v>23514546</v>
      </c>
      <c r="H2661">
        <v>4329</v>
      </c>
    </row>
    <row r="2662" spans="1:8" ht="15" customHeight="1" x14ac:dyDescent="0.25">
      <c r="A2662" t="s">
        <v>4904</v>
      </c>
      <c r="B2662" t="s">
        <v>8944</v>
      </c>
      <c r="C2662" t="s">
        <v>12334</v>
      </c>
      <c r="D2662" t="s">
        <v>13287</v>
      </c>
      <c r="E2662" t="str">
        <f>+VLOOKUP(A2662,[1]PFE4!$A$7:$F$5208,6,0)</f>
        <v>CARRERA 12  90  19  OFICINA 401</v>
      </c>
      <c r="F2662" s="17">
        <f>+VLOOKUP(A2662,[1]PFE4!$A$7:$G$5208,7,0)</f>
        <v>11001</v>
      </c>
      <c r="G2662">
        <v>23516628</v>
      </c>
      <c r="H2662">
        <v>4329</v>
      </c>
    </row>
    <row r="2663" spans="1:8" ht="15" customHeight="1" x14ac:dyDescent="0.25">
      <c r="A2663" t="s">
        <v>4905</v>
      </c>
      <c r="B2663" t="s">
        <v>8945</v>
      </c>
      <c r="C2663" t="s">
        <v>12335</v>
      </c>
      <c r="D2663" t="s">
        <v>13287</v>
      </c>
      <c r="E2663" t="str">
        <f>+VLOOKUP(A2663,[1]PFE4!$A$7:$F$5208,6,0)</f>
        <v>CR 16 88 81</v>
      </c>
      <c r="F2663" s="17">
        <f>+VLOOKUP(A2663,[1]PFE4!$A$7:$G$5208,7,0)</f>
        <v>11001</v>
      </c>
      <c r="G2663">
        <v>23538076</v>
      </c>
      <c r="H2663">
        <v>4329</v>
      </c>
    </row>
    <row r="2664" spans="1:8" ht="15" customHeight="1" x14ac:dyDescent="0.25">
      <c r="A2664" t="s">
        <v>4906</v>
      </c>
      <c r="B2664" t="s">
        <v>8946</v>
      </c>
      <c r="C2664">
        <v>3219664011</v>
      </c>
      <c r="D2664" t="s">
        <v>13287</v>
      </c>
      <c r="E2664" t="str">
        <f>+VLOOKUP(A2664,[1]PFE4!$A$7:$F$5208,6,0)</f>
        <v>CARRERA 2  22 B N  115</v>
      </c>
      <c r="F2664" s="17">
        <f>+VLOOKUP(A2664,[1]PFE4!$A$7:$G$5208,7,0)</f>
        <v>11001</v>
      </c>
      <c r="G2664">
        <v>23578260</v>
      </c>
      <c r="H2664">
        <v>4329</v>
      </c>
    </row>
    <row r="2665" spans="1:8" ht="15" customHeight="1" x14ac:dyDescent="0.25">
      <c r="A2665" t="s">
        <v>4907</v>
      </c>
      <c r="B2665" t="s">
        <v>8947</v>
      </c>
      <c r="C2665" t="s">
        <v>12336</v>
      </c>
      <c r="D2665" t="s">
        <v>13287</v>
      </c>
      <c r="E2665" t="str">
        <f>+VLOOKUP(A2665,[1]PFE4!$A$7:$F$5208,6,0)</f>
        <v>CALLE 74  14  14</v>
      </c>
      <c r="F2665" s="17" t="str">
        <f>+VLOOKUP(A2665,[1]PFE4!$A$7:$G$5208,7,0)</f>
        <v>08573</v>
      </c>
      <c r="G2665">
        <v>23597540</v>
      </c>
      <c r="H2665">
        <v>4329</v>
      </c>
    </row>
    <row r="2666" spans="1:8" ht="15" customHeight="1" x14ac:dyDescent="0.25">
      <c r="A2666" t="s">
        <v>4908</v>
      </c>
      <c r="B2666" t="s">
        <v>8948</v>
      </c>
      <c r="C2666" t="s">
        <v>12337</v>
      </c>
      <c r="D2666" t="s">
        <v>13287</v>
      </c>
      <c r="E2666" t="str">
        <f>+VLOOKUP(A2666,[1]PFE4!$A$7:$F$5208,6,0)</f>
        <v>CALLE 43  35  44</v>
      </c>
      <c r="F2666" s="17">
        <f>+VLOOKUP(A2666,[1]PFE4!$A$7:$G$5208,7,0)</f>
        <v>11001</v>
      </c>
      <c r="G2666">
        <v>23608826</v>
      </c>
      <c r="H2666">
        <v>4329</v>
      </c>
    </row>
    <row r="2667" spans="1:8" ht="15" customHeight="1" x14ac:dyDescent="0.25">
      <c r="A2667" t="s">
        <v>4909</v>
      </c>
      <c r="B2667" t="s">
        <v>8949</v>
      </c>
      <c r="C2667" t="s">
        <v>12338</v>
      </c>
      <c r="D2667" t="s">
        <v>13287</v>
      </c>
      <c r="E2667" t="str">
        <f>+VLOOKUP(A2667,[1]PFE4!$A$7:$F$5208,6,0)</f>
        <v>CARRERA 8  7 N  95</v>
      </c>
      <c r="F2667" s="17">
        <f>+VLOOKUP(A2667,[1]PFE4!$A$7:$G$5208,7,0)</f>
        <v>11001</v>
      </c>
      <c r="G2667">
        <v>23689064</v>
      </c>
      <c r="H2667">
        <v>4329</v>
      </c>
    </row>
    <row r="2668" spans="1:8" ht="15" customHeight="1" x14ac:dyDescent="0.25">
      <c r="A2668" t="s">
        <v>4910</v>
      </c>
      <c r="B2668" t="s">
        <v>8950</v>
      </c>
      <c r="C2668" t="s">
        <v>12339</v>
      </c>
      <c r="D2668" t="s">
        <v>13287</v>
      </c>
      <c r="E2668" t="str">
        <f>+VLOOKUP(A2668,[1]PFE4!$A$7:$F$5208,6,0)</f>
        <v>TRANSVERSAL 1 A  68  80</v>
      </c>
      <c r="F2668" s="17">
        <f>+VLOOKUP(A2668,[1]PFE4!$A$7:$G$5208,7,0)</f>
        <v>11001</v>
      </c>
      <c r="G2668">
        <v>23729732</v>
      </c>
      <c r="H2668">
        <v>4329</v>
      </c>
    </row>
    <row r="2669" spans="1:8" ht="15" customHeight="1" x14ac:dyDescent="0.25">
      <c r="A2669" t="s">
        <v>4911</v>
      </c>
      <c r="B2669" t="s">
        <v>8951</v>
      </c>
      <c r="C2669" t="s">
        <v>12340</v>
      </c>
      <c r="D2669" t="s">
        <v>13287</v>
      </c>
      <c r="E2669" t="str">
        <f>+VLOOKUP(A2669,[1]PFE4!$A$7:$F$5208,6,0)</f>
        <v>CALLE 136  59 A  44</v>
      </c>
      <c r="F2669" s="17">
        <f>+VLOOKUP(A2669,[1]PFE4!$A$7:$G$5208,7,0)</f>
        <v>11001</v>
      </c>
      <c r="G2669">
        <v>23746798</v>
      </c>
      <c r="H2669">
        <v>4329</v>
      </c>
    </row>
    <row r="2670" spans="1:8" ht="15" customHeight="1" x14ac:dyDescent="0.25">
      <c r="A2670" t="s">
        <v>4912</v>
      </c>
      <c r="B2670" t="s">
        <v>8952</v>
      </c>
      <c r="C2670" t="s">
        <v>12341</v>
      </c>
      <c r="D2670" t="s">
        <v>13287</v>
      </c>
      <c r="E2670" t="str">
        <f>+VLOOKUP(A2670,[1]PFE4!$A$7:$F$5208,6,0)</f>
        <v>CARRERA 3  5  28</v>
      </c>
      <c r="F2670" s="17">
        <f>+VLOOKUP(A2670,[1]PFE4!$A$7:$G$5208,7,0)</f>
        <v>11001</v>
      </c>
      <c r="G2670">
        <v>23784604</v>
      </c>
      <c r="H2670">
        <v>4329</v>
      </c>
    </row>
    <row r="2671" spans="1:8" ht="15" customHeight="1" x14ac:dyDescent="0.25">
      <c r="A2671" t="s">
        <v>4913</v>
      </c>
      <c r="B2671" t="s">
        <v>8953</v>
      </c>
      <c r="C2671" t="s">
        <v>12342</v>
      </c>
      <c r="D2671" t="s">
        <v>13287</v>
      </c>
      <c r="E2671" t="str">
        <f>+VLOOKUP(A2671,[1]PFE4!$A$7:$F$5208,6,0)</f>
        <v>CR 67 A 50 03</v>
      </c>
      <c r="F2671" s="17" t="str">
        <f>+VLOOKUP(A2671,[1]PFE4!$A$7:$G$5208,7,0)</f>
        <v>05615</v>
      </c>
      <c r="G2671">
        <v>23798700</v>
      </c>
      <c r="H2671">
        <v>4329</v>
      </c>
    </row>
    <row r="2672" spans="1:8" ht="15" customHeight="1" x14ac:dyDescent="0.25">
      <c r="A2672" t="s">
        <v>4914</v>
      </c>
      <c r="B2672" t="s">
        <v>8954</v>
      </c>
      <c r="C2672" t="s">
        <v>12343</v>
      </c>
      <c r="D2672" t="s">
        <v>13287</v>
      </c>
      <c r="E2672" t="str">
        <f>+VLOOKUP(A2672,[1]PFE4!$A$7:$F$5208,6,0)</f>
        <v>CARRERA 24  52  50</v>
      </c>
      <c r="F2672" s="17">
        <f>+VLOOKUP(A2672,[1]PFE4!$A$7:$G$5208,7,0)</f>
        <v>68001</v>
      </c>
      <c r="G2672">
        <v>23809689</v>
      </c>
      <c r="H2672">
        <v>4329</v>
      </c>
    </row>
    <row r="2673" spans="1:8" ht="15" customHeight="1" x14ac:dyDescent="0.25">
      <c r="A2673" t="s">
        <v>4915</v>
      </c>
      <c r="B2673" t="s">
        <v>8955</v>
      </c>
      <c r="C2673" t="s">
        <v>12344</v>
      </c>
      <c r="D2673" t="s">
        <v>13287</v>
      </c>
      <c r="E2673" t="str">
        <f>+VLOOKUP(A2673,[1]PFE4!$A$7:$F$5208,6,0)</f>
        <v>CALLE 70 SUR  46  41</v>
      </c>
      <c r="F2673" s="17" t="str">
        <f>+VLOOKUP(A2673,[1]PFE4!$A$7:$G$5208,7,0)</f>
        <v>05631</v>
      </c>
      <c r="G2673">
        <v>23837331</v>
      </c>
      <c r="H2673">
        <v>4329</v>
      </c>
    </row>
    <row r="2674" spans="1:8" ht="15" customHeight="1" x14ac:dyDescent="0.25">
      <c r="A2674" t="s">
        <v>4916</v>
      </c>
      <c r="B2674" t="s">
        <v>8956</v>
      </c>
      <c r="C2674" t="s">
        <v>12345</v>
      </c>
      <c r="D2674" t="s">
        <v>13287</v>
      </c>
      <c r="E2674" t="str">
        <f>+VLOOKUP(A2674,[1]PFE4!$A$7:$F$5208,6,0)</f>
        <v>CARRERA 37  1  25</v>
      </c>
      <c r="F2674" s="17">
        <f>+VLOOKUP(A2674,[1]PFE4!$A$7:$G$5208,7,0)</f>
        <v>11001</v>
      </c>
      <c r="G2674">
        <v>23856472</v>
      </c>
      <c r="H2674">
        <v>4329</v>
      </c>
    </row>
    <row r="2675" spans="1:8" ht="15" customHeight="1" x14ac:dyDescent="0.25">
      <c r="A2675" t="s">
        <v>4917</v>
      </c>
      <c r="B2675" t="s">
        <v>8957</v>
      </c>
      <c r="C2675" t="s">
        <v>12346</v>
      </c>
      <c r="D2675" t="s">
        <v>13287</v>
      </c>
      <c r="E2675" t="str">
        <f>+VLOOKUP(A2675,[1]PFE4!$A$7:$F$5208,6,0)</f>
        <v>CALLE 39 D SUR 25 - 121</v>
      </c>
      <c r="F2675" s="17" t="str">
        <f>+VLOOKUP(A2675,[1]PFE4!$A$7:$G$5208,7,0)</f>
        <v>05266</v>
      </c>
      <c r="G2675">
        <v>23871520</v>
      </c>
      <c r="H2675">
        <v>4329</v>
      </c>
    </row>
    <row r="2676" spans="1:8" ht="15" customHeight="1" x14ac:dyDescent="0.25">
      <c r="A2676" t="s">
        <v>4918</v>
      </c>
      <c r="B2676" t="s">
        <v>8958</v>
      </c>
      <c r="C2676" t="s">
        <v>12347</v>
      </c>
      <c r="D2676" t="s">
        <v>13287</v>
      </c>
      <c r="E2676" t="str">
        <f>+VLOOKUP(A2676,[1]PFE4!$A$7:$F$5208,6,0)</f>
        <v>CL 40 A A 50 B B 90</v>
      </c>
      <c r="F2676" s="17" t="str">
        <f>+VLOOKUP(A2676,[1]PFE4!$A$7:$G$5208,7,0)</f>
        <v>05615</v>
      </c>
      <c r="G2676">
        <v>23874600</v>
      </c>
      <c r="H2676">
        <v>4329</v>
      </c>
    </row>
    <row r="2677" spans="1:8" ht="15" customHeight="1" x14ac:dyDescent="0.25">
      <c r="A2677" t="s">
        <v>4919</v>
      </c>
      <c r="B2677" t="s">
        <v>8959</v>
      </c>
      <c r="C2677" t="s">
        <v>12348</v>
      </c>
      <c r="D2677" t="s">
        <v>13287</v>
      </c>
      <c r="E2677" t="str">
        <f>+VLOOKUP(A2677,[1]PFE4!$A$7:$F$5208,6,0)</f>
        <v xml:space="preserve">CL 14 25 28 30 BRR SAN FRANCISCO
</v>
      </c>
      <c r="F2677" s="17">
        <f>+VLOOKUP(A2677,[1]PFE4!$A$7:$G$5208,7,0)</f>
        <v>68001</v>
      </c>
      <c r="G2677">
        <v>23919441</v>
      </c>
      <c r="H2677">
        <v>4329</v>
      </c>
    </row>
    <row r="2678" spans="1:8" ht="15" customHeight="1" x14ac:dyDescent="0.25">
      <c r="A2678" t="s">
        <v>4920</v>
      </c>
      <c r="B2678" t="s">
        <v>8960</v>
      </c>
      <c r="C2678" t="s">
        <v>12349</v>
      </c>
      <c r="D2678" t="s">
        <v>13287</v>
      </c>
      <c r="E2678" t="str">
        <f>+VLOOKUP(A2678,[1]PFE4!$A$7:$F$5208,6,0)</f>
        <v>CALLE 22  21  45</v>
      </c>
      <c r="F2678" s="17">
        <f>+VLOOKUP(A2678,[1]PFE4!$A$7:$G$5208,7,0)</f>
        <v>11001</v>
      </c>
      <c r="G2678">
        <v>23971300</v>
      </c>
      <c r="H2678">
        <v>4329</v>
      </c>
    </row>
    <row r="2679" spans="1:8" ht="15" customHeight="1" x14ac:dyDescent="0.25">
      <c r="A2679" t="s">
        <v>4921</v>
      </c>
      <c r="B2679" t="s">
        <v>8961</v>
      </c>
      <c r="C2679">
        <v>3219664011</v>
      </c>
      <c r="D2679" t="s">
        <v>13287</v>
      </c>
      <c r="E2679" t="str">
        <f>+VLOOKUP(A2679,[1]PFE4!$A$7:$F$5208,6,0)</f>
        <v>AVENIDA 3  27  05</v>
      </c>
      <c r="F2679" s="17">
        <f>+VLOOKUP(A2679,[1]PFE4!$A$7:$G$5208,7,0)</f>
        <v>11001</v>
      </c>
      <c r="G2679">
        <v>24028068</v>
      </c>
      <c r="H2679">
        <v>4329</v>
      </c>
    </row>
    <row r="2680" spans="1:8" ht="15" customHeight="1" x14ac:dyDescent="0.25">
      <c r="A2680" t="s">
        <v>4922</v>
      </c>
      <c r="B2680" t="s">
        <v>8962</v>
      </c>
      <c r="C2680" t="s">
        <v>12350</v>
      </c>
      <c r="D2680" t="s">
        <v>13287</v>
      </c>
      <c r="E2680" t="str">
        <f>+VLOOKUP(A2680,[1]PFE4!$A$7:$F$5208,6,0)</f>
        <v>CARRERA 10  60  91  OFICINA 601</v>
      </c>
      <c r="F2680" s="17">
        <f>+VLOOKUP(A2680,[1]PFE4!$A$7:$G$5208,7,0)</f>
        <v>11001</v>
      </c>
      <c r="G2680">
        <v>24034221</v>
      </c>
      <c r="H2680">
        <v>4329</v>
      </c>
    </row>
    <row r="2681" spans="1:8" ht="15" customHeight="1" x14ac:dyDescent="0.25">
      <c r="A2681" t="s">
        <v>4923</v>
      </c>
      <c r="B2681" t="s">
        <v>8963</v>
      </c>
      <c r="C2681" t="s">
        <v>12351</v>
      </c>
      <c r="D2681" t="s">
        <v>13287</v>
      </c>
      <c r="E2681" t="str">
        <f>+VLOOKUP(A2681,[1]PFE4!$A$7:$F$5208,6,0)</f>
        <v>CALLE 91  49 C  46</v>
      </c>
      <c r="F2681" s="17" t="str">
        <f>+VLOOKUP(A2681,[1]PFE4!$A$7:$G$5208,7,0)</f>
        <v>08001</v>
      </c>
      <c r="G2681">
        <v>24048354</v>
      </c>
      <c r="H2681">
        <v>4329</v>
      </c>
    </row>
    <row r="2682" spans="1:8" ht="15" customHeight="1" x14ac:dyDescent="0.25">
      <c r="A2682" t="s">
        <v>4924</v>
      </c>
      <c r="B2682" t="s">
        <v>7335</v>
      </c>
      <c r="C2682" t="s">
        <v>12352</v>
      </c>
      <c r="D2682" t="s">
        <v>13287</v>
      </c>
      <c r="E2682" t="str">
        <f>+VLOOKUP(A2682,[1]PFE4!$A$7:$F$5208,6,0)</f>
        <v>CARRERA 8  6 A  51</v>
      </c>
      <c r="F2682" s="17" t="str">
        <f>+VLOOKUP(A2682,[1]PFE4!$A$7:$G$5208,7,0)</f>
        <v>05001</v>
      </c>
      <c r="G2682">
        <v>24067016</v>
      </c>
      <c r="H2682">
        <v>4329</v>
      </c>
    </row>
    <row r="2683" spans="1:8" ht="15" customHeight="1" x14ac:dyDescent="0.25">
      <c r="A2683" t="s">
        <v>4925</v>
      </c>
      <c r="B2683" t="s">
        <v>8964</v>
      </c>
      <c r="C2683" t="s">
        <v>12353</v>
      </c>
      <c r="D2683" t="s">
        <v>13287</v>
      </c>
      <c r="E2683" t="str">
        <f>+VLOOKUP(A2683,[1]PFE4!$A$7:$F$5208,6,0)</f>
        <v>CALLE 7  21 A  04</v>
      </c>
      <c r="F2683" s="17">
        <f>+VLOOKUP(A2683,[1]PFE4!$A$7:$G$5208,7,0)</f>
        <v>54498</v>
      </c>
      <c r="G2683">
        <v>24107476</v>
      </c>
      <c r="H2683">
        <v>4329</v>
      </c>
    </row>
    <row r="2684" spans="1:8" ht="15" customHeight="1" x14ac:dyDescent="0.25">
      <c r="A2684" t="s">
        <v>4926</v>
      </c>
      <c r="B2684" t="s">
        <v>8965</v>
      </c>
      <c r="C2684" t="s">
        <v>12354</v>
      </c>
      <c r="D2684" t="s">
        <v>13287</v>
      </c>
      <c r="E2684" t="str">
        <f>+VLOOKUP(A2684,[1]PFE4!$A$7:$F$5208,6,0)</f>
        <v>CL 34 29 11 27 33</v>
      </c>
      <c r="F2684" s="17">
        <f>+VLOOKUP(A2684,[1]PFE4!$A$7:$G$5208,7,0)</f>
        <v>68001</v>
      </c>
      <c r="G2684">
        <v>24113136</v>
      </c>
      <c r="H2684">
        <v>4329</v>
      </c>
    </row>
    <row r="2685" spans="1:8" ht="15" customHeight="1" x14ac:dyDescent="0.25">
      <c r="A2685" t="s">
        <v>4927</v>
      </c>
      <c r="B2685" t="s">
        <v>8966</v>
      </c>
      <c r="C2685">
        <v>0</v>
      </c>
      <c r="D2685" t="s">
        <v>13287</v>
      </c>
      <c r="E2685">
        <v>0</v>
      </c>
      <c r="F2685" s="17">
        <v>11001</v>
      </c>
      <c r="G2685">
        <v>24140000</v>
      </c>
      <c r="H2685">
        <v>4329</v>
      </c>
    </row>
    <row r="2686" spans="1:8" ht="15" customHeight="1" x14ac:dyDescent="0.25">
      <c r="A2686" t="s">
        <v>4928</v>
      </c>
      <c r="B2686" t="s">
        <v>8967</v>
      </c>
      <c r="C2686" t="s">
        <v>12355</v>
      </c>
      <c r="D2686" t="s">
        <v>13287</v>
      </c>
      <c r="E2686" t="str">
        <f>+VLOOKUP(A2686,[1]PFE4!$A$7:$F$5208,6,0)</f>
        <v>CR 46 84 78</v>
      </c>
      <c r="F2686" s="17" t="str">
        <f>+VLOOKUP(A2686,[1]PFE4!$A$7:$G$5208,7,0)</f>
        <v>08001</v>
      </c>
      <c r="G2686">
        <v>24144348</v>
      </c>
      <c r="H2686">
        <v>4329</v>
      </c>
    </row>
    <row r="2687" spans="1:8" ht="15" customHeight="1" x14ac:dyDescent="0.25">
      <c r="A2687" t="s">
        <v>4929</v>
      </c>
      <c r="B2687" t="s">
        <v>8968</v>
      </c>
      <c r="C2687" t="s">
        <v>12356</v>
      </c>
      <c r="D2687" t="s">
        <v>13287</v>
      </c>
      <c r="E2687" t="str">
        <f>+VLOOKUP(A2687,[1]PFE4!$A$7:$F$5208,6,0)</f>
        <v>CARRERA 11 A  93  35</v>
      </c>
      <c r="F2687" s="17">
        <f>+VLOOKUP(A2687,[1]PFE4!$A$7:$G$5208,7,0)</f>
        <v>11001</v>
      </c>
      <c r="G2687">
        <v>24150680</v>
      </c>
      <c r="H2687">
        <v>4329</v>
      </c>
    </row>
    <row r="2688" spans="1:8" ht="15" customHeight="1" x14ac:dyDescent="0.25">
      <c r="A2688" t="s">
        <v>4930</v>
      </c>
      <c r="B2688" t="s">
        <v>8969</v>
      </c>
      <c r="C2688" t="s">
        <v>12357</v>
      </c>
      <c r="D2688" t="s">
        <v>13287</v>
      </c>
      <c r="E2688" t="str">
        <f>+VLOOKUP(A2688,[1]PFE4!$A$7:$F$5208,6,0)</f>
        <v>CALLE 5 A  4  40</v>
      </c>
      <c r="F2688" s="17">
        <f>+VLOOKUP(A2688,[1]PFE4!$A$7:$G$5208,7,0)</f>
        <v>47001</v>
      </c>
      <c r="G2688">
        <v>24190532</v>
      </c>
      <c r="H2688">
        <v>4329</v>
      </c>
    </row>
    <row r="2689" spans="1:8" ht="15" customHeight="1" x14ac:dyDescent="0.25">
      <c r="A2689" t="s">
        <v>4931</v>
      </c>
      <c r="B2689" t="s">
        <v>8970</v>
      </c>
      <c r="C2689" t="s">
        <v>12358</v>
      </c>
      <c r="D2689" t="s">
        <v>13287</v>
      </c>
      <c r="E2689" t="str">
        <f>+VLOOKUP(A2689,[1]PFE4!$A$7:$F$5208,6,0)</f>
        <v>CALLE 85 N° 25 A 120 BARRIO LA ALHAMBRA</v>
      </c>
      <c r="F2689" s="17">
        <f>+VLOOKUP(A2689,[1]PFE4!$A$7:$G$5208,7,0)</f>
        <v>17001</v>
      </c>
      <c r="G2689">
        <v>24200000</v>
      </c>
      <c r="H2689">
        <v>4329</v>
      </c>
    </row>
    <row r="2690" spans="1:8" ht="15" customHeight="1" x14ac:dyDescent="0.25">
      <c r="A2690" t="s">
        <v>4932</v>
      </c>
      <c r="B2690" t="s">
        <v>8971</v>
      </c>
      <c r="C2690" t="s">
        <v>12359</v>
      </c>
      <c r="D2690" t="s">
        <v>13287</v>
      </c>
      <c r="E2690" t="str">
        <f>+VLOOKUP(A2690,[1]PFE4!$A$7:$F$5208,6,0)</f>
        <v>CALLE 1 A  71 C  30</v>
      </c>
      <c r="F2690" s="17">
        <f>+VLOOKUP(A2690,[1]PFE4!$A$7:$G$5208,7,0)</f>
        <v>13001</v>
      </c>
      <c r="G2690">
        <v>24235240</v>
      </c>
      <c r="H2690">
        <v>4329</v>
      </c>
    </row>
    <row r="2691" spans="1:8" ht="15" customHeight="1" x14ac:dyDescent="0.25">
      <c r="A2691" t="s">
        <v>4933</v>
      </c>
      <c r="B2691" t="s">
        <v>8972</v>
      </c>
      <c r="C2691" t="s">
        <v>12360</v>
      </c>
      <c r="D2691" t="s">
        <v>13287</v>
      </c>
      <c r="E2691" t="str">
        <f>+VLOOKUP(A2691,[1]PFE4!$A$7:$F$5208,6,0)</f>
        <v>AVENIDA CALLE 116  18  96</v>
      </c>
      <c r="F2691" s="17">
        <f>+VLOOKUP(A2691,[1]PFE4!$A$7:$G$5208,7,0)</f>
        <v>11001</v>
      </c>
      <c r="G2691">
        <v>24245196</v>
      </c>
      <c r="H2691">
        <v>4329</v>
      </c>
    </row>
    <row r="2692" spans="1:8" ht="15" customHeight="1" x14ac:dyDescent="0.25">
      <c r="A2692" t="s">
        <v>4934</v>
      </c>
      <c r="B2692" t="s">
        <v>8973</v>
      </c>
      <c r="C2692" t="s">
        <v>12361</v>
      </c>
      <c r="D2692" t="s">
        <v>13287</v>
      </c>
      <c r="E2692" t="str">
        <f>+VLOOKUP(A2692,[1]PFE4!$A$7:$F$5208,6,0)</f>
        <v>CARRERA 26  2 F  10</v>
      </c>
      <c r="F2692" s="17" t="str">
        <f>+VLOOKUP(A2692,[1]PFE4!$A$7:$G$5208,7,0)</f>
        <v>08573</v>
      </c>
      <c r="G2692">
        <v>24253160</v>
      </c>
      <c r="H2692">
        <v>4329</v>
      </c>
    </row>
    <row r="2693" spans="1:8" ht="15" customHeight="1" x14ac:dyDescent="0.25">
      <c r="A2693" t="s">
        <v>4935</v>
      </c>
      <c r="B2693" t="s">
        <v>8974</v>
      </c>
      <c r="C2693" t="s">
        <v>12362</v>
      </c>
      <c r="D2693" t="s">
        <v>13287</v>
      </c>
      <c r="E2693" t="str">
        <f>+VLOOKUP(A2693,[1]PFE4!$A$7:$F$5208,6,0)</f>
        <v>CARRERA 29 A  5 SUR  95</v>
      </c>
      <c r="F2693" s="17" t="str">
        <f>+VLOOKUP(A2693,[1]PFE4!$A$7:$G$5208,7,0)</f>
        <v>05001</v>
      </c>
      <c r="G2693">
        <v>24371756</v>
      </c>
      <c r="H2693">
        <v>4329</v>
      </c>
    </row>
    <row r="2694" spans="1:8" ht="15" customHeight="1" x14ac:dyDescent="0.25">
      <c r="A2694" t="s">
        <v>4936</v>
      </c>
      <c r="B2694" t="s">
        <v>8975</v>
      </c>
      <c r="C2694" t="s">
        <v>12363</v>
      </c>
      <c r="D2694" t="s">
        <v>13287</v>
      </c>
      <c r="E2694" t="str">
        <f>+VLOOKUP(A2694,[1]PFE4!$A$7:$F$5208,6,0)</f>
        <v>CALLE 135  7  41</v>
      </c>
      <c r="F2694" s="17">
        <f>+VLOOKUP(A2694,[1]PFE4!$A$7:$G$5208,7,0)</f>
        <v>11001</v>
      </c>
      <c r="G2694">
        <v>24407656</v>
      </c>
      <c r="H2694">
        <v>4329</v>
      </c>
    </row>
    <row r="2695" spans="1:8" ht="15" customHeight="1" x14ac:dyDescent="0.25">
      <c r="A2695" t="s">
        <v>4937</v>
      </c>
      <c r="B2695" t="s">
        <v>8976</v>
      </c>
      <c r="C2695">
        <v>0</v>
      </c>
      <c r="D2695" t="s">
        <v>13287</v>
      </c>
      <c r="E2695">
        <v>0</v>
      </c>
      <c r="F2695" s="17">
        <v>11001</v>
      </c>
      <c r="G2695">
        <v>24431100</v>
      </c>
      <c r="H2695">
        <v>4329</v>
      </c>
    </row>
    <row r="2696" spans="1:8" ht="15" customHeight="1" x14ac:dyDescent="0.25">
      <c r="A2696" t="s">
        <v>4938</v>
      </c>
      <c r="B2696" t="s">
        <v>8977</v>
      </c>
      <c r="C2696" t="s">
        <v>10841</v>
      </c>
      <c r="D2696" t="s">
        <v>13287</v>
      </c>
      <c r="E2696" t="str">
        <f>+VLOOKUP(A2696,[1]PFE4!$A$7:$F$5208,6,0)</f>
        <v>CARRERA 6 A  86  57</v>
      </c>
      <c r="F2696" s="17">
        <f>+VLOOKUP(A2696,[1]PFE4!$A$7:$G$5208,7,0)</f>
        <v>11001</v>
      </c>
      <c r="G2696">
        <v>24471457</v>
      </c>
      <c r="H2696">
        <v>4329</v>
      </c>
    </row>
    <row r="2697" spans="1:8" ht="15" customHeight="1" x14ac:dyDescent="0.25">
      <c r="A2697" t="s">
        <v>4939</v>
      </c>
      <c r="B2697" t="s">
        <v>8978</v>
      </c>
      <c r="C2697" t="s">
        <v>12364</v>
      </c>
      <c r="D2697" t="s">
        <v>13287</v>
      </c>
      <c r="E2697" t="str">
        <f>+VLOOKUP(A2697,[1]PFE4!$A$7:$F$5208,6,0)</f>
        <v>CARRERA 51 B  87  50  SOTANO 1</v>
      </c>
      <c r="F2697" s="17" t="str">
        <f>+VLOOKUP(A2697,[1]PFE4!$A$7:$G$5208,7,0)</f>
        <v>08001</v>
      </c>
      <c r="G2697">
        <v>24487440</v>
      </c>
      <c r="H2697">
        <v>4329</v>
      </c>
    </row>
    <row r="2698" spans="1:8" ht="15" customHeight="1" x14ac:dyDescent="0.25">
      <c r="A2698" t="s">
        <v>4940</v>
      </c>
      <c r="B2698" t="s">
        <v>8979</v>
      </c>
      <c r="C2698" t="s">
        <v>12365</v>
      </c>
      <c r="D2698" t="s">
        <v>13287</v>
      </c>
      <c r="E2698" t="str">
        <f>+VLOOKUP(A2698,[1]PFE4!$A$7:$F$5208,6,0)</f>
        <v>CARRERA 43 A  71 SUR  41</v>
      </c>
      <c r="F2698" s="17" t="str">
        <f>+VLOOKUP(A2698,[1]PFE4!$A$7:$G$5208,7,0)</f>
        <v>05631</v>
      </c>
      <c r="G2698">
        <v>24512670</v>
      </c>
      <c r="H2698">
        <v>4329</v>
      </c>
    </row>
    <row r="2699" spans="1:8" ht="15" customHeight="1" x14ac:dyDescent="0.25">
      <c r="A2699" t="s">
        <v>4941</v>
      </c>
      <c r="B2699" t="s">
        <v>8980</v>
      </c>
      <c r="C2699" t="s">
        <v>12366</v>
      </c>
      <c r="D2699" t="s">
        <v>13287</v>
      </c>
      <c r="E2699" t="str">
        <f>+VLOOKUP(A2699,[1]PFE4!$A$7:$F$5208,6,0)</f>
        <v>CARRERA 51 D  82  254  PISO 2</v>
      </c>
      <c r="F2699" s="17" t="str">
        <f>+VLOOKUP(A2699,[1]PFE4!$A$7:$G$5208,7,0)</f>
        <v>08001</v>
      </c>
      <c r="G2699">
        <v>24513126</v>
      </c>
      <c r="H2699">
        <v>4329</v>
      </c>
    </row>
    <row r="2700" spans="1:8" ht="15" customHeight="1" x14ac:dyDescent="0.25">
      <c r="A2700" t="s">
        <v>4942</v>
      </c>
      <c r="B2700" t="s">
        <v>8981</v>
      </c>
      <c r="C2700" t="s">
        <v>12367</v>
      </c>
      <c r="D2700" t="s">
        <v>13287</v>
      </c>
      <c r="E2700" t="str">
        <f>+VLOOKUP(A2700,[1]PFE4!$A$7:$F$5208,6,0)</f>
        <v>CALLE 41  19  79</v>
      </c>
      <c r="F2700" s="17">
        <f>+VLOOKUP(A2700,[1]PFE4!$A$7:$G$5208,7,0)</f>
        <v>68001</v>
      </c>
      <c r="G2700">
        <v>24558340</v>
      </c>
      <c r="H2700">
        <v>4329</v>
      </c>
    </row>
    <row r="2701" spans="1:8" ht="15" customHeight="1" x14ac:dyDescent="0.25">
      <c r="A2701" t="s">
        <v>4943</v>
      </c>
      <c r="B2701" t="s">
        <v>8982</v>
      </c>
      <c r="C2701" t="s">
        <v>12368</v>
      </c>
      <c r="D2701" t="s">
        <v>13287</v>
      </c>
      <c r="E2701" t="str">
        <f>+VLOOKUP(A2701,[1]PFE4!$A$7:$F$5208,6,0)</f>
        <v>CARRERA 16  94 A  62  OFICINA 4</v>
      </c>
      <c r="F2701" s="17">
        <f>+VLOOKUP(A2701,[1]PFE4!$A$7:$G$5208,7,0)</f>
        <v>11001</v>
      </c>
      <c r="G2701">
        <v>24589888</v>
      </c>
      <c r="H2701">
        <v>4329</v>
      </c>
    </row>
    <row r="2702" spans="1:8" ht="15" customHeight="1" x14ac:dyDescent="0.25">
      <c r="A2702" t="s">
        <v>4944</v>
      </c>
      <c r="B2702" t="s">
        <v>8983</v>
      </c>
      <c r="C2702" t="s">
        <v>12369</v>
      </c>
      <c r="D2702" t="s">
        <v>13287</v>
      </c>
      <c r="E2702" t="str">
        <f>+VLOOKUP(A2702,[1]PFE4!$A$7:$F$5208,6,0)</f>
        <v>CALLE 26  22  218</v>
      </c>
      <c r="F2702" s="17">
        <f>+VLOOKUP(A2702,[1]PFE4!$A$7:$G$5208,7,0)</f>
        <v>11001</v>
      </c>
      <c r="G2702">
        <v>24599480</v>
      </c>
      <c r="H2702">
        <v>4329</v>
      </c>
    </row>
    <row r="2703" spans="1:8" ht="15" customHeight="1" x14ac:dyDescent="0.25">
      <c r="A2703" t="s">
        <v>4945</v>
      </c>
      <c r="B2703" t="s">
        <v>8984</v>
      </c>
      <c r="C2703" t="s">
        <v>12370</v>
      </c>
      <c r="D2703" t="s">
        <v>13287</v>
      </c>
      <c r="E2703" t="str">
        <f>+VLOOKUP(A2703,[1]PFE4!$A$7:$F$5208,6,0)</f>
        <v>CL 67  N  7 N 59 BRR MENGA</v>
      </c>
      <c r="F2703" s="17">
        <f>+VLOOKUP(A2703,[1]PFE4!$A$7:$G$5208,7,0)</f>
        <v>76001</v>
      </c>
      <c r="G2703">
        <v>24603730</v>
      </c>
      <c r="H2703">
        <v>4329</v>
      </c>
    </row>
    <row r="2704" spans="1:8" ht="15" customHeight="1" x14ac:dyDescent="0.25">
      <c r="A2704" t="s">
        <v>4946</v>
      </c>
      <c r="B2704" t="s">
        <v>8985</v>
      </c>
      <c r="C2704" t="s">
        <v>12371</v>
      </c>
      <c r="D2704" t="s">
        <v>13287</v>
      </c>
      <c r="E2704" t="str">
        <f>+VLOOKUP(A2704,[1]PFE4!$A$7:$F$5208,6,0)</f>
        <v>CARRERA 39  13 A SUR  55</v>
      </c>
      <c r="F2704" s="17" t="str">
        <f>+VLOOKUP(A2704,[1]PFE4!$A$7:$G$5208,7,0)</f>
        <v>05001</v>
      </c>
      <c r="G2704">
        <v>24618000</v>
      </c>
      <c r="H2704">
        <v>4329</v>
      </c>
    </row>
    <row r="2705" spans="1:8" ht="15" customHeight="1" x14ac:dyDescent="0.25">
      <c r="A2705" t="s">
        <v>4947</v>
      </c>
      <c r="B2705" t="s">
        <v>8986</v>
      </c>
      <c r="C2705" t="s">
        <v>12372</v>
      </c>
      <c r="D2705" t="s">
        <v>13287</v>
      </c>
      <c r="E2705" t="str">
        <f>+VLOOKUP(A2705,[1]PFE4!$A$7:$F$5208,6,0)</f>
        <v>CR 38 42 101 BRR CABECERA DEL LLANO</v>
      </c>
      <c r="F2705" s="17">
        <f>+VLOOKUP(A2705,[1]PFE4!$A$7:$G$5208,7,0)</f>
        <v>68001</v>
      </c>
      <c r="G2705">
        <v>24625630</v>
      </c>
      <c r="H2705">
        <v>4329</v>
      </c>
    </row>
    <row r="2706" spans="1:8" ht="15" customHeight="1" x14ac:dyDescent="0.25">
      <c r="A2706" t="s">
        <v>4948</v>
      </c>
      <c r="B2706" t="s">
        <v>8987</v>
      </c>
      <c r="C2706" t="s">
        <v>11632</v>
      </c>
      <c r="D2706" t="s">
        <v>13287</v>
      </c>
      <c r="E2706" t="str">
        <f>+VLOOKUP(A2706,[1]PFE4!$A$7:$F$5208,6,0)</f>
        <v>CR 17 F 74B 21 SUR</v>
      </c>
      <c r="F2706" s="17">
        <f>+VLOOKUP(A2706,[1]PFE4!$A$7:$G$5208,7,0)</f>
        <v>11001</v>
      </c>
      <c r="G2706">
        <v>24643112</v>
      </c>
      <c r="H2706">
        <v>4329</v>
      </c>
    </row>
    <row r="2707" spans="1:8" ht="15" customHeight="1" x14ac:dyDescent="0.25">
      <c r="A2707" t="s">
        <v>4949</v>
      </c>
      <c r="B2707" t="s">
        <v>8988</v>
      </c>
      <c r="C2707" t="s">
        <v>12373</v>
      </c>
      <c r="D2707" t="s">
        <v>13287</v>
      </c>
      <c r="E2707" t="str">
        <f>+VLOOKUP(A2707,[1]PFE4!$A$7:$F$5208,6,0)</f>
        <v>CALLE 79  57  140</v>
      </c>
      <c r="F2707" s="17" t="str">
        <f>+VLOOKUP(A2707,[1]PFE4!$A$7:$G$5208,7,0)</f>
        <v>08001</v>
      </c>
      <c r="G2707">
        <v>24661960</v>
      </c>
      <c r="H2707">
        <v>4329</v>
      </c>
    </row>
    <row r="2708" spans="1:8" ht="15" customHeight="1" x14ac:dyDescent="0.25">
      <c r="A2708" t="s">
        <v>4950</v>
      </c>
      <c r="B2708" t="s">
        <v>8989</v>
      </c>
      <c r="C2708" t="s">
        <v>12374</v>
      </c>
      <c r="D2708" t="s">
        <v>13287</v>
      </c>
      <c r="E2708" t="str">
        <f>+VLOOKUP(A2708,[1]PFE4!$A$7:$F$5208,6,0)</f>
        <v>CALLE 9  72  50</v>
      </c>
      <c r="F2708" s="17" t="str">
        <f>+VLOOKUP(A2708,[1]PFE4!$A$7:$G$5208,7,0)</f>
        <v>05001</v>
      </c>
      <c r="G2708">
        <v>24667512</v>
      </c>
      <c r="H2708">
        <v>4329</v>
      </c>
    </row>
    <row r="2709" spans="1:8" ht="15" customHeight="1" x14ac:dyDescent="0.25">
      <c r="A2709" t="s">
        <v>4951</v>
      </c>
      <c r="B2709" t="s">
        <v>8990</v>
      </c>
      <c r="C2709" t="s">
        <v>12375</v>
      </c>
      <c r="D2709" t="s">
        <v>13287</v>
      </c>
      <c r="E2709" t="str">
        <f>+VLOOKUP(A2709,[1]PFE4!$A$7:$F$5208,6,0)</f>
        <v>CALLE 82 10 39</v>
      </c>
      <c r="F2709" s="17">
        <f>+VLOOKUP(A2709,[1]PFE4!$A$7:$G$5208,7,0)</f>
        <v>11001</v>
      </c>
      <c r="G2709">
        <v>24677480</v>
      </c>
      <c r="H2709">
        <v>4329</v>
      </c>
    </row>
    <row r="2710" spans="1:8" ht="15" customHeight="1" x14ac:dyDescent="0.25">
      <c r="A2710" t="s">
        <v>4952</v>
      </c>
      <c r="B2710" t="s">
        <v>8991</v>
      </c>
      <c r="C2710" t="s">
        <v>12376</v>
      </c>
      <c r="D2710" t="s">
        <v>13287</v>
      </c>
      <c r="E2710" t="str">
        <f>+VLOOKUP(A2710,[1]PFE4!$A$7:$F$5208,6,0)</f>
        <v>CALLE REAL DEL CABRERO  42  28</v>
      </c>
      <c r="F2710" s="17">
        <f>+VLOOKUP(A2710,[1]PFE4!$A$7:$G$5208,7,0)</f>
        <v>11001</v>
      </c>
      <c r="G2710">
        <v>24688500</v>
      </c>
      <c r="H2710">
        <v>4329</v>
      </c>
    </row>
    <row r="2711" spans="1:8" ht="15" customHeight="1" x14ac:dyDescent="0.25">
      <c r="A2711" t="s">
        <v>4953</v>
      </c>
      <c r="B2711" t="s">
        <v>8992</v>
      </c>
      <c r="C2711" t="s">
        <v>12377</v>
      </c>
      <c r="D2711" t="s">
        <v>13287</v>
      </c>
      <c r="E2711" t="str">
        <f>+VLOOKUP(A2711,[1]PFE4!$A$7:$F$5208,6,0)</f>
        <v>CALLE 9 BIS  20  51</v>
      </c>
      <c r="F2711" s="17">
        <f>+VLOOKUP(A2711,[1]PFE4!$A$7:$G$5208,7,0)</f>
        <v>11001</v>
      </c>
      <c r="G2711">
        <v>24694164</v>
      </c>
      <c r="H2711">
        <v>4329</v>
      </c>
    </row>
    <row r="2712" spans="1:8" ht="15" customHeight="1" x14ac:dyDescent="0.25">
      <c r="A2712" t="s">
        <v>4954</v>
      </c>
      <c r="B2712" t="s">
        <v>8993</v>
      </c>
      <c r="C2712" t="s">
        <v>12378</v>
      </c>
      <c r="D2712" t="s">
        <v>13287</v>
      </c>
      <c r="E2712" t="str">
        <f>+VLOOKUP(A2712,[1]PFE4!$A$7:$F$5208,6,0)</f>
        <v>CARRERA 24  36  59</v>
      </c>
      <c r="F2712" s="17">
        <f>+VLOOKUP(A2712,[1]PFE4!$A$7:$G$5208,7,0)</f>
        <v>68001</v>
      </c>
      <c r="G2712">
        <v>24746056</v>
      </c>
      <c r="H2712">
        <v>4329</v>
      </c>
    </row>
    <row r="2713" spans="1:8" ht="15" customHeight="1" x14ac:dyDescent="0.25">
      <c r="A2713" t="s">
        <v>4955</v>
      </c>
      <c r="B2713" t="s">
        <v>8994</v>
      </c>
      <c r="C2713" t="s">
        <v>12379</v>
      </c>
      <c r="D2713" t="s">
        <v>13287</v>
      </c>
      <c r="E2713" t="str">
        <f>+VLOOKUP(A2713,[1]PFE4!$A$7:$F$5208,6,0)</f>
        <v>CALLE 20A SUR 22-394</v>
      </c>
      <c r="F2713" s="17" t="str">
        <f>+VLOOKUP(A2713,[1]PFE4!$A$7:$G$5208,7,0)</f>
        <v>05001</v>
      </c>
      <c r="G2713">
        <v>24752204</v>
      </c>
      <c r="H2713">
        <v>4329</v>
      </c>
    </row>
    <row r="2714" spans="1:8" ht="15" customHeight="1" x14ac:dyDescent="0.25">
      <c r="A2714" t="s">
        <v>4956</v>
      </c>
      <c r="B2714" t="s">
        <v>8995</v>
      </c>
      <c r="C2714" t="s">
        <v>12380</v>
      </c>
      <c r="D2714" t="s">
        <v>13287</v>
      </c>
      <c r="E2714" t="str">
        <f>+VLOOKUP(A2714,[1]PFE4!$A$7:$F$5208,6,0)</f>
        <v>CL 10 38 43 URB INDUSTRIAL ACOPI YUMBO</v>
      </c>
      <c r="F2714" s="17">
        <f>+VLOOKUP(A2714,[1]PFE4!$A$7:$G$5208,7,0)</f>
        <v>11001</v>
      </c>
      <c r="G2714">
        <v>24772757</v>
      </c>
      <c r="H2714">
        <v>4329</v>
      </c>
    </row>
    <row r="2715" spans="1:8" ht="15" customHeight="1" x14ac:dyDescent="0.25">
      <c r="A2715" t="s">
        <v>4957</v>
      </c>
      <c r="B2715" t="s">
        <v>8996</v>
      </c>
      <c r="C2715" t="s">
        <v>12381</v>
      </c>
      <c r="D2715" t="s">
        <v>13287</v>
      </c>
      <c r="E2715" t="str">
        <f>+VLOOKUP(A2715,[1]PFE4!$A$7:$F$5208,6,0)</f>
        <v>AV DEL RIO 29 85</v>
      </c>
      <c r="F2715" s="17">
        <f>+VLOOKUP(A2715,[1]PFE4!$A$7:$G$5208,7,0)</f>
        <v>47001</v>
      </c>
      <c r="G2715">
        <v>24791500</v>
      </c>
      <c r="H2715">
        <v>4329</v>
      </c>
    </row>
    <row r="2716" spans="1:8" ht="15" customHeight="1" x14ac:dyDescent="0.25">
      <c r="A2716" t="s">
        <v>4958</v>
      </c>
      <c r="B2716" t="s">
        <v>8997</v>
      </c>
      <c r="C2716" t="s">
        <v>10613</v>
      </c>
      <c r="D2716" t="s">
        <v>13287</v>
      </c>
      <c r="E2716" t="str">
        <f>+VLOOKUP(A2716,[1]PFE4!$A$7:$F$5208,6,0)</f>
        <v>AV EL LAGO 25 129</v>
      </c>
      <c r="F2716" s="17">
        <f>+VLOOKUP(A2716,[1]PFE4!$A$7:$G$5208,7,0)</f>
        <v>76364</v>
      </c>
      <c r="G2716">
        <v>24793160</v>
      </c>
      <c r="H2716">
        <v>4329</v>
      </c>
    </row>
    <row r="2717" spans="1:8" ht="15" customHeight="1" x14ac:dyDescent="0.25">
      <c r="A2717" t="s">
        <v>4959</v>
      </c>
      <c r="B2717" t="s">
        <v>8998</v>
      </c>
      <c r="C2717" t="s">
        <v>12382</v>
      </c>
      <c r="D2717" t="s">
        <v>13287</v>
      </c>
      <c r="E2717" t="str">
        <f>+VLOOKUP(A2717,[1]PFE4!$A$7:$F$5208,6,0)</f>
        <v>CALLE 17 C SUR  44  177</v>
      </c>
      <c r="F2717" s="17" t="str">
        <f>+VLOOKUP(A2717,[1]PFE4!$A$7:$G$5208,7,0)</f>
        <v>05001</v>
      </c>
      <c r="G2717">
        <v>24823432</v>
      </c>
      <c r="H2717">
        <v>4329</v>
      </c>
    </row>
    <row r="2718" spans="1:8" ht="15" customHeight="1" x14ac:dyDescent="0.25">
      <c r="A2718" t="s">
        <v>4960</v>
      </c>
      <c r="B2718" t="s">
        <v>8999</v>
      </c>
      <c r="C2718" t="s">
        <v>12383</v>
      </c>
      <c r="D2718" t="s">
        <v>13287</v>
      </c>
      <c r="E2718" t="str">
        <f>+VLOOKUP(A2718,[1]PFE4!$A$7:$F$5208,6,0)</f>
        <v>AV. SAMANES
9 140 P 3 ADMON</v>
      </c>
      <c r="F2718" s="17">
        <f>+VLOOKUP(A2718,[1]PFE4!$A$7:$G$5208,7,0)</f>
        <v>68001</v>
      </c>
      <c r="G2718">
        <v>24717188</v>
      </c>
      <c r="H2718">
        <v>4329</v>
      </c>
    </row>
    <row r="2719" spans="1:8" ht="15" customHeight="1" x14ac:dyDescent="0.25">
      <c r="A2719" t="s">
        <v>4961</v>
      </c>
      <c r="B2719" t="s">
        <v>9000</v>
      </c>
      <c r="C2719" t="s">
        <v>12384</v>
      </c>
      <c r="D2719" t="s">
        <v>13287</v>
      </c>
      <c r="E2719" t="str">
        <f>+VLOOKUP(A2719,[1]PFE4!$A$7:$F$5208,6,0)</f>
        <v>CL 6 8 16</v>
      </c>
      <c r="F2719" s="17">
        <f>+VLOOKUP(A2719,[1]PFE4!$A$7:$G$5208,7,0)</f>
        <v>11001</v>
      </c>
      <c r="G2719">
        <v>24831964</v>
      </c>
      <c r="H2719">
        <v>4329</v>
      </c>
    </row>
    <row r="2720" spans="1:8" ht="15" customHeight="1" x14ac:dyDescent="0.25">
      <c r="A2720" t="s">
        <v>4962</v>
      </c>
      <c r="B2720" t="s">
        <v>9001</v>
      </c>
      <c r="C2720">
        <v>0</v>
      </c>
      <c r="D2720" t="s">
        <v>13287</v>
      </c>
      <c r="E2720">
        <v>0</v>
      </c>
      <c r="F2720" s="17">
        <v>11001</v>
      </c>
      <c r="G2720">
        <v>24844400</v>
      </c>
      <c r="H2720">
        <v>4329</v>
      </c>
    </row>
    <row r="2721" spans="1:8" ht="15" customHeight="1" x14ac:dyDescent="0.25">
      <c r="A2721" t="s">
        <v>4963</v>
      </c>
      <c r="B2721" t="s">
        <v>9002</v>
      </c>
      <c r="C2721" t="s">
        <v>12385</v>
      </c>
      <c r="D2721" t="s">
        <v>13287</v>
      </c>
      <c r="E2721" t="str">
        <f>+VLOOKUP(A2721,[1]PFE4!$A$7:$F$5208,6,0)</f>
        <v>CARRERA 4  114  76</v>
      </c>
      <c r="F2721" s="17">
        <f>+VLOOKUP(A2721,[1]PFE4!$A$7:$G$5208,7,0)</f>
        <v>11001</v>
      </c>
      <c r="G2721">
        <v>24851000</v>
      </c>
      <c r="H2721">
        <v>4329</v>
      </c>
    </row>
    <row r="2722" spans="1:8" ht="15" customHeight="1" x14ac:dyDescent="0.25">
      <c r="A2722" t="s">
        <v>4964</v>
      </c>
      <c r="B2722" t="s">
        <v>9003</v>
      </c>
      <c r="C2722" t="s">
        <v>12386</v>
      </c>
      <c r="D2722" t="s">
        <v>13287</v>
      </c>
      <c r="E2722" t="str">
        <f>+VLOOKUP(A2722,[1]PFE4!$A$7:$F$5208,6,0)</f>
        <v>CARRERA 11  93  43</v>
      </c>
      <c r="F2722" s="17">
        <f>+VLOOKUP(A2722,[1]PFE4!$A$7:$G$5208,7,0)</f>
        <v>11001</v>
      </c>
      <c r="G2722">
        <v>24914369</v>
      </c>
      <c r="H2722">
        <v>4329</v>
      </c>
    </row>
    <row r="2723" spans="1:8" ht="15" customHeight="1" x14ac:dyDescent="0.25">
      <c r="A2723" t="s">
        <v>4965</v>
      </c>
      <c r="B2723" t="s">
        <v>9004</v>
      </c>
      <c r="C2723" t="s">
        <v>11685</v>
      </c>
      <c r="D2723" t="s">
        <v>13287</v>
      </c>
      <c r="E2723" t="str">
        <f>+VLOOKUP(A2723,[1]PFE4!$A$7:$F$5208,6,0)</f>
        <v>CL 35 2 SUR 116 120 140</v>
      </c>
      <c r="F2723" s="17" t="str">
        <f>+VLOOKUP(A2723,[1]PFE4!$A$7:$G$5208,7,0)</f>
        <v>05001</v>
      </c>
      <c r="G2723">
        <v>24915352</v>
      </c>
      <c r="H2723">
        <v>4329</v>
      </c>
    </row>
    <row r="2724" spans="1:8" ht="15" customHeight="1" x14ac:dyDescent="0.25">
      <c r="A2724" t="s">
        <v>4966</v>
      </c>
      <c r="B2724" t="s">
        <v>9005</v>
      </c>
      <c r="C2724" t="s">
        <v>12387</v>
      </c>
      <c r="D2724" t="s">
        <v>13287</v>
      </c>
      <c r="E2724" t="str">
        <f>+VLOOKUP(A2724,[1]PFE4!$A$7:$F$5208,6,0)</f>
        <v>AVENIDA DEL FERROCARRIL  28 C  28</v>
      </c>
      <c r="F2724" s="17">
        <f>+VLOOKUP(A2724,[1]PFE4!$A$7:$G$5208,7,0)</f>
        <v>47001</v>
      </c>
      <c r="G2724">
        <v>24925965</v>
      </c>
      <c r="H2724">
        <v>4329</v>
      </c>
    </row>
    <row r="2725" spans="1:8" ht="15" customHeight="1" x14ac:dyDescent="0.25">
      <c r="A2725" t="s">
        <v>4967</v>
      </c>
      <c r="B2725" t="s">
        <v>9006</v>
      </c>
      <c r="C2725" t="s">
        <v>12388</v>
      </c>
      <c r="D2725" t="s">
        <v>13287</v>
      </c>
      <c r="E2725" t="str">
        <f>+VLOOKUP(A2725,[1]PFE4!$A$7:$F$5208,6,0)</f>
        <v>CL 137 12 B 70</v>
      </c>
      <c r="F2725" s="17">
        <f>+VLOOKUP(A2725,[1]PFE4!$A$7:$G$5208,7,0)</f>
        <v>11001</v>
      </c>
      <c r="G2725">
        <v>24964030</v>
      </c>
      <c r="H2725">
        <v>4329</v>
      </c>
    </row>
    <row r="2726" spans="1:8" ht="15" customHeight="1" x14ac:dyDescent="0.25">
      <c r="A2726" t="s">
        <v>4968</v>
      </c>
      <c r="B2726" t="s">
        <v>9007</v>
      </c>
      <c r="C2726" t="s">
        <v>12389</v>
      </c>
      <c r="D2726" t="s">
        <v>13287</v>
      </c>
      <c r="E2726" t="str">
        <f>+VLOOKUP(A2726,[1]PFE4!$A$7:$F$5208,6,0)</f>
        <v>CL 49 38 43</v>
      </c>
      <c r="F2726" s="17" t="str">
        <f>+VLOOKUP(A2726,[1]PFE4!$A$7:$G$5208,7,0)</f>
        <v>05001</v>
      </c>
      <c r="G2726">
        <v>24972169</v>
      </c>
      <c r="H2726">
        <v>4329</v>
      </c>
    </row>
    <row r="2727" spans="1:8" ht="15" customHeight="1" x14ac:dyDescent="0.25">
      <c r="A2727" t="s">
        <v>4969</v>
      </c>
      <c r="B2727" t="s">
        <v>9008</v>
      </c>
      <c r="C2727">
        <v>0</v>
      </c>
      <c r="D2727" t="s">
        <v>13287</v>
      </c>
      <c r="E2727">
        <v>0</v>
      </c>
      <c r="F2727" s="17">
        <v>11001</v>
      </c>
      <c r="G2727">
        <v>24978700</v>
      </c>
      <c r="H2727">
        <v>4329</v>
      </c>
    </row>
    <row r="2728" spans="1:8" ht="15" customHeight="1" x14ac:dyDescent="0.25">
      <c r="A2728" t="s">
        <v>4970</v>
      </c>
      <c r="B2728" t="s">
        <v>9009</v>
      </c>
      <c r="C2728" t="s">
        <v>12390</v>
      </c>
      <c r="D2728" t="s">
        <v>13287</v>
      </c>
      <c r="E2728" t="str">
        <f>+VLOOKUP(A2728,[1]PFE4!$A$7:$F$5208,6,0)</f>
        <v>CARRERA 34  34  41</v>
      </c>
      <c r="F2728" s="17">
        <f>+VLOOKUP(A2728,[1]PFE4!$A$7:$G$5208,7,0)</f>
        <v>11001</v>
      </c>
      <c r="G2728">
        <v>24998100</v>
      </c>
      <c r="H2728">
        <v>4329</v>
      </c>
    </row>
    <row r="2729" spans="1:8" ht="15" customHeight="1" x14ac:dyDescent="0.25">
      <c r="A2729" t="s">
        <v>4971</v>
      </c>
      <c r="B2729" t="s">
        <v>9010</v>
      </c>
      <c r="C2729" t="s">
        <v>12391</v>
      </c>
      <c r="D2729" t="s">
        <v>13287</v>
      </c>
      <c r="E2729" t="str">
        <f>+VLOOKUP(A2729,[1]PFE4!$A$7:$F$5208,6,0)</f>
        <v>CALLE 20  31  78</v>
      </c>
      <c r="F2729" s="17">
        <f>+VLOOKUP(A2729,[1]PFE4!$A$7:$G$5208,7,0)</f>
        <v>68001</v>
      </c>
      <c r="G2729">
        <v>25018118</v>
      </c>
      <c r="H2729">
        <v>4329</v>
      </c>
    </row>
    <row r="2730" spans="1:8" ht="15" customHeight="1" x14ac:dyDescent="0.25">
      <c r="A2730" t="s">
        <v>4972</v>
      </c>
      <c r="B2730" t="s">
        <v>9011</v>
      </c>
      <c r="C2730" t="s">
        <v>12392</v>
      </c>
      <c r="D2730" t="s">
        <v>13287</v>
      </c>
      <c r="E2730" t="str">
        <f>+VLOOKUP(A2730,[1]PFE4!$A$7:$F$5208,6,0)</f>
        <v>CL 56 8 E 1 238</v>
      </c>
      <c r="F2730" s="17" t="str">
        <f>+VLOOKUP(A2730,[1]PFE4!$A$7:$G$5208,7,0)</f>
        <v>08001</v>
      </c>
      <c r="G2730">
        <v>25048378</v>
      </c>
      <c r="H2730">
        <v>4329</v>
      </c>
    </row>
    <row r="2731" spans="1:8" ht="15" customHeight="1" x14ac:dyDescent="0.25">
      <c r="A2731" t="s">
        <v>4973</v>
      </c>
      <c r="B2731" t="s">
        <v>9012</v>
      </c>
      <c r="C2731" t="s">
        <v>12393</v>
      </c>
      <c r="D2731" t="s">
        <v>13287</v>
      </c>
      <c r="E2731" t="str">
        <f>+VLOOKUP(A2731,[1]PFE4!$A$7:$F$5208,6,0)</f>
        <v>CALLE 42 B SUR  72 H  15</v>
      </c>
      <c r="F2731" s="17">
        <f>+VLOOKUP(A2731,[1]PFE4!$A$7:$G$5208,7,0)</f>
        <v>11001</v>
      </c>
      <c r="G2731">
        <v>25121114</v>
      </c>
      <c r="H2731">
        <v>4329</v>
      </c>
    </row>
    <row r="2732" spans="1:8" ht="15" customHeight="1" x14ac:dyDescent="0.25">
      <c r="A2732" t="s">
        <v>4974</v>
      </c>
      <c r="B2732" t="s">
        <v>9013</v>
      </c>
      <c r="C2732" t="s">
        <v>12394</v>
      </c>
      <c r="D2732" t="s">
        <v>13287</v>
      </c>
      <c r="E2732" t="str">
        <f>+VLOOKUP(A2732,[1]PFE4!$A$7:$F$5208,6,0)</f>
        <v>CR 14 A 45 67 BRR CHIRRERAS DE DON JUAN</v>
      </c>
      <c r="F2732" s="17">
        <f>+VLOOKUP(A2732,[1]PFE4!$A$7:$G$5208,7,0)</f>
        <v>68001</v>
      </c>
      <c r="G2732">
        <v>25135486</v>
      </c>
      <c r="H2732">
        <v>4329</v>
      </c>
    </row>
    <row r="2733" spans="1:8" ht="15" customHeight="1" x14ac:dyDescent="0.25">
      <c r="A2733" t="s">
        <v>4975</v>
      </c>
      <c r="B2733" t="s">
        <v>9014</v>
      </c>
      <c r="C2733" t="s">
        <v>12395</v>
      </c>
      <c r="D2733" t="s">
        <v>13287</v>
      </c>
      <c r="E2733" t="str">
        <f>+VLOOKUP(A2733,[1]PFE4!$A$7:$F$5208,6,0)</f>
        <v>DG 75 B 32 A 196</v>
      </c>
      <c r="F2733" s="17" t="str">
        <f>+VLOOKUP(A2733,[1]PFE4!$A$7:$G$5208,7,0)</f>
        <v>05001</v>
      </c>
      <c r="G2733">
        <v>25196068</v>
      </c>
      <c r="H2733">
        <v>4329</v>
      </c>
    </row>
    <row r="2734" spans="1:8" ht="15" customHeight="1" x14ac:dyDescent="0.25">
      <c r="A2734" t="s">
        <v>4976</v>
      </c>
      <c r="B2734" t="s">
        <v>9015</v>
      </c>
      <c r="C2734" t="s">
        <v>12396</v>
      </c>
      <c r="D2734" t="s">
        <v>13287</v>
      </c>
      <c r="E2734" t="str">
        <f>+VLOOKUP(A2734,[1]PFE4!$A$7:$F$5208,6,0)</f>
        <v>CALLE 46  3  35</v>
      </c>
      <c r="F2734" s="17">
        <f>+VLOOKUP(A2734,[1]PFE4!$A$7:$G$5208,7,0)</f>
        <v>11001</v>
      </c>
      <c r="G2734">
        <v>25201608</v>
      </c>
      <c r="H2734">
        <v>4329</v>
      </c>
    </row>
    <row r="2735" spans="1:8" ht="15" customHeight="1" x14ac:dyDescent="0.25">
      <c r="A2735" t="s">
        <v>4977</v>
      </c>
      <c r="B2735" t="s">
        <v>9016</v>
      </c>
      <c r="C2735">
        <v>0</v>
      </c>
      <c r="D2735" t="s">
        <v>13287</v>
      </c>
      <c r="E2735">
        <v>0</v>
      </c>
      <c r="F2735" s="17">
        <v>11001</v>
      </c>
      <c r="G2735">
        <v>25210084</v>
      </c>
      <c r="H2735">
        <v>4329</v>
      </c>
    </row>
    <row r="2736" spans="1:8" ht="15" customHeight="1" x14ac:dyDescent="0.25">
      <c r="A2736" t="s">
        <v>4978</v>
      </c>
      <c r="B2736" t="s">
        <v>9017</v>
      </c>
      <c r="C2736" t="s">
        <v>12397</v>
      </c>
      <c r="D2736" t="s">
        <v>13287</v>
      </c>
      <c r="E2736" t="str">
        <f>+VLOOKUP(A2736,[1]PFE4!$A$7:$F$5208,6,0)</f>
        <v>CL 127 BIS 19 25</v>
      </c>
      <c r="F2736" s="17">
        <f>+VLOOKUP(A2736,[1]PFE4!$A$7:$G$5208,7,0)</f>
        <v>11001</v>
      </c>
      <c r="G2736">
        <v>25264871</v>
      </c>
      <c r="H2736">
        <v>4329</v>
      </c>
    </row>
    <row r="2737" spans="1:8" ht="15" customHeight="1" x14ac:dyDescent="0.25">
      <c r="A2737" t="s">
        <v>4979</v>
      </c>
      <c r="B2737" t="s">
        <v>9018</v>
      </c>
      <c r="C2737" t="s">
        <v>12398</v>
      </c>
      <c r="D2737" t="s">
        <v>13287</v>
      </c>
      <c r="E2737" t="str">
        <f>+VLOOKUP(A2737,[1]PFE4!$A$7:$F$5208,6,0)</f>
        <v>CL 200 25 18 URB BAVIERA I ETAPA</v>
      </c>
      <c r="F2737" s="17">
        <f>+VLOOKUP(A2737,[1]PFE4!$A$7:$G$5208,7,0)</f>
        <v>11001</v>
      </c>
      <c r="G2737">
        <v>25280064</v>
      </c>
      <c r="H2737">
        <v>4329</v>
      </c>
    </row>
    <row r="2738" spans="1:8" ht="15" customHeight="1" x14ac:dyDescent="0.25">
      <c r="A2738" t="s">
        <v>4980</v>
      </c>
      <c r="B2738" t="s">
        <v>9019</v>
      </c>
      <c r="C2738" t="s">
        <v>12399</v>
      </c>
      <c r="D2738" t="s">
        <v>13287</v>
      </c>
      <c r="E2738" t="str">
        <f>+VLOOKUP(A2738,[1]PFE4!$A$7:$F$5208,6,0)</f>
        <v>CARRERA 92  151 B  86</v>
      </c>
      <c r="F2738" s="17">
        <f>+VLOOKUP(A2738,[1]PFE4!$A$7:$G$5208,7,0)</f>
        <v>11001</v>
      </c>
      <c r="G2738">
        <v>25302651</v>
      </c>
      <c r="H2738">
        <v>4329</v>
      </c>
    </row>
    <row r="2739" spans="1:8" ht="15" customHeight="1" x14ac:dyDescent="0.25">
      <c r="A2739" t="s">
        <v>4981</v>
      </c>
      <c r="B2739" t="s">
        <v>9020</v>
      </c>
      <c r="C2739" t="s">
        <v>12400</v>
      </c>
      <c r="D2739" t="s">
        <v>13287</v>
      </c>
      <c r="E2739" t="str">
        <f>+VLOOKUP(A2739,[1]PFE4!$A$7:$F$5208,6,0)</f>
        <v>CALLE 21  29  41</v>
      </c>
      <c r="F2739" s="17">
        <f>+VLOOKUP(A2739,[1]PFE4!$A$7:$G$5208,7,0)</f>
        <v>68001</v>
      </c>
      <c r="G2739">
        <v>25303980</v>
      </c>
      <c r="H2739">
        <v>4329</v>
      </c>
    </row>
    <row r="2740" spans="1:8" ht="15" customHeight="1" x14ac:dyDescent="0.25">
      <c r="A2740" t="s">
        <v>4982</v>
      </c>
      <c r="B2740" t="s">
        <v>9021</v>
      </c>
      <c r="C2740" t="s">
        <v>12401</v>
      </c>
      <c r="D2740" t="s">
        <v>13287</v>
      </c>
      <c r="E2740" t="str">
        <f>+VLOOKUP(A2740,[1]PFE4!$A$7:$F$5208,6,0)</f>
        <v>CARRERA 23  70 B  57</v>
      </c>
      <c r="F2740" s="17">
        <f>+VLOOKUP(A2740,[1]PFE4!$A$7:$G$5208,7,0)</f>
        <v>11001</v>
      </c>
      <c r="G2740">
        <v>25310568</v>
      </c>
      <c r="H2740">
        <v>4329</v>
      </c>
    </row>
    <row r="2741" spans="1:8" ht="15" customHeight="1" x14ac:dyDescent="0.25">
      <c r="A2741" t="s">
        <v>4983</v>
      </c>
      <c r="B2741" t="s">
        <v>9022</v>
      </c>
      <c r="C2741" t="s">
        <v>12402</v>
      </c>
      <c r="D2741" t="s">
        <v>13287</v>
      </c>
      <c r="E2741" t="str">
        <f>+VLOOKUP(A2741,[1]PFE4!$A$7:$F$5208,6,0)</f>
        <v>CALLE 24  23  16</v>
      </c>
      <c r="F2741" s="17">
        <f>+VLOOKUP(A2741,[1]PFE4!$A$7:$G$5208,7,0)</f>
        <v>68001</v>
      </c>
      <c r="G2741">
        <v>25360857</v>
      </c>
      <c r="H2741">
        <v>4329</v>
      </c>
    </row>
    <row r="2742" spans="1:8" ht="15" customHeight="1" x14ac:dyDescent="0.25">
      <c r="A2742" t="s">
        <v>4984</v>
      </c>
      <c r="B2742" t="s">
        <v>9023</v>
      </c>
      <c r="C2742" t="s">
        <v>12403</v>
      </c>
      <c r="D2742" t="s">
        <v>13287</v>
      </c>
      <c r="E2742" t="str">
        <f>+VLOOKUP(A2742,[1]PFE4!$A$7:$F$5208,6,0)</f>
        <v>CR 25 7 A 224 228</v>
      </c>
      <c r="F2742" s="17" t="str">
        <f>+VLOOKUP(A2742,[1]PFE4!$A$7:$G$5208,7,0)</f>
        <v>05001</v>
      </c>
      <c r="G2742">
        <v>25370180</v>
      </c>
      <c r="H2742">
        <v>4329</v>
      </c>
    </row>
    <row r="2743" spans="1:8" ht="15" customHeight="1" x14ac:dyDescent="0.25">
      <c r="A2743" t="s">
        <v>4985</v>
      </c>
      <c r="B2743" t="s">
        <v>9024</v>
      </c>
      <c r="C2743" t="s">
        <v>10856</v>
      </c>
      <c r="D2743" t="s">
        <v>13287</v>
      </c>
      <c r="E2743" t="str">
        <f>+VLOOKUP(A2743,[1]PFE4!$A$7:$F$5208,6,0)</f>
        <v>CARRERA 7 140B 48</v>
      </c>
      <c r="F2743" s="17">
        <f>+VLOOKUP(A2743,[1]PFE4!$A$7:$G$5208,7,0)</f>
        <v>11001</v>
      </c>
      <c r="G2743">
        <v>25370510</v>
      </c>
      <c r="H2743">
        <v>4329</v>
      </c>
    </row>
    <row r="2744" spans="1:8" ht="15" customHeight="1" x14ac:dyDescent="0.25">
      <c r="A2744" t="s">
        <v>4986</v>
      </c>
      <c r="B2744" t="s">
        <v>9025</v>
      </c>
      <c r="C2744" t="s">
        <v>12404</v>
      </c>
      <c r="D2744" t="s">
        <v>13287</v>
      </c>
      <c r="E2744" t="str">
        <f>+VLOOKUP(A2744,[1]PFE4!$A$7:$F$5208,6,0)</f>
        <v>CL 71 SUR 33 150</v>
      </c>
      <c r="F2744" s="17" t="str">
        <f>+VLOOKUP(A2744,[1]PFE4!$A$7:$G$5208,7,0)</f>
        <v>05631</v>
      </c>
      <c r="G2744">
        <v>25382932</v>
      </c>
      <c r="H2744">
        <v>4329</v>
      </c>
    </row>
    <row r="2745" spans="1:8" ht="15" customHeight="1" x14ac:dyDescent="0.25">
      <c r="A2745" t="s">
        <v>4987</v>
      </c>
      <c r="B2745" t="s">
        <v>9026</v>
      </c>
      <c r="C2745" t="s">
        <v>12405</v>
      </c>
      <c r="D2745" t="s">
        <v>13287</v>
      </c>
      <c r="E2745" t="str">
        <f>+VLOOKUP(A2745,[1]PFE4!$A$7:$F$5208,6,0)</f>
        <v>BRR CRESPO CR 4 65 81</v>
      </c>
      <c r="F2745" s="17">
        <f>+VLOOKUP(A2745,[1]PFE4!$A$7:$G$5208,7,0)</f>
        <v>11001</v>
      </c>
      <c r="G2745">
        <v>25387158</v>
      </c>
      <c r="H2745">
        <v>4329</v>
      </c>
    </row>
    <row r="2746" spans="1:8" ht="15" customHeight="1" x14ac:dyDescent="0.25">
      <c r="A2746" t="s">
        <v>4988</v>
      </c>
      <c r="B2746" t="s">
        <v>9027</v>
      </c>
      <c r="C2746" t="s">
        <v>12406</v>
      </c>
      <c r="D2746" t="s">
        <v>13287</v>
      </c>
      <c r="E2746" t="str">
        <f>+VLOOKUP(A2746,[1]PFE4!$A$7:$F$5208,6,0)</f>
        <v>CALLE 28  20  36</v>
      </c>
      <c r="F2746" s="17">
        <f>+VLOOKUP(A2746,[1]PFE4!$A$7:$G$5208,7,0)</f>
        <v>13001</v>
      </c>
      <c r="G2746">
        <v>25397468</v>
      </c>
      <c r="H2746">
        <v>4329</v>
      </c>
    </row>
    <row r="2747" spans="1:8" ht="15" customHeight="1" x14ac:dyDescent="0.25">
      <c r="A2747" t="s">
        <v>4989</v>
      </c>
      <c r="B2747" t="s">
        <v>9028</v>
      </c>
      <c r="C2747" t="s">
        <v>12407</v>
      </c>
      <c r="D2747" t="s">
        <v>13287</v>
      </c>
      <c r="E2747" t="str">
        <f>+VLOOKUP(A2747,[1]PFE4!$A$7:$F$5208,6,0)</f>
        <v>TRANSVERSAL 21 DIAGONAL 25 F 15</v>
      </c>
      <c r="F2747" s="17">
        <f>+VLOOKUP(A2747,[1]PFE4!$A$7:$G$5208,7,0)</f>
        <v>11001</v>
      </c>
      <c r="G2747">
        <v>25431632</v>
      </c>
      <c r="H2747">
        <v>4329</v>
      </c>
    </row>
    <row r="2748" spans="1:8" ht="15" customHeight="1" x14ac:dyDescent="0.25">
      <c r="A2748" t="s">
        <v>4990</v>
      </c>
      <c r="B2748" t="s">
        <v>9029</v>
      </c>
      <c r="C2748" t="s">
        <v>12408</v>
      </c>
      <c r="D2748" t="s">
        <v>13287</v>
      </c>
      <c r="E2748" t="str">
        <f>+VLOOKUP(A2748,[1]PFE4!$A$7:$F$5208,6,0)</f>
        <v>CALLE 98 18 71</v>
      </c>
      <c r="F2748" s="17">
        <f>+VLOOKUP(A2748,[1]PFE4!$A$7:$G$5208,7,0)</f>
        <v>11001</v>
      </c>
      <c r="G2748">
        <v>25432956</v>
      </c>
      <c r="H2748">
        <v>4329</v>
      </c>
    </row>
    <row r="2749" spans="1:8" ht="15" customHeight="1" x14ac:dyDescent="0.25">
      <c r="A2749" t="s">
        <v>4991</v>
      </c>
      <c r="B2749" t="s">
        <v>9030</v>
      </c>
      <c r="C2749" t="s">
        <v>12409</v>
      </c>
      <c r="D2749" t="s">
        <v>13287</v>
      </c>
      <c r="E2749" t="str">
        <f>+VLOOKUP(A2749,[1]PFE4!$A$7:$F$5208,6,0)</f>
        <v>SERENA DEL MAR SECTOR MANZANILLO KM 10 LT4 EDIFICIO MORROS ZOE</v>
      </c>
      <c r="F2749" s="17">
        <f>+VLOOKUP(A2749,[1]PFE4!$A$7:$G$5208,7,0)</f>
        <v>13001</v>
      </c>
      <c r="G2749">
        <v>25461831</v>
      </c>
      <c r="H2749">
        <v>4329</v>
      </c>
    </row>
    <row r="2750" spans="1:8" ht="15" customHeight="1" x14ac:dyDescent="0.25">
      <c r="A2750" t="s">
        <v>4992</v>
      </c>
      <c r="B2750" t="s">
        <v>9031</v>
      </c>
      <c r="C2750" t="s">
        <v>11439</v>
      </c>
      <c r="D2750" t="s">
        <v>13287</v>
      </c>
      <c r="E2750" t="str">
        <f>+VLOOKUP(A2750,[1]PFE4!$A$7:$F$5208,6,0)</f>
        <v>CALLE 40  28 A  20</v>
      </c>
      <c r="F2750" s="17">
        <f>+VLOOKUP(A2750,[1]PFE4!$A$7:$G$5208,7,0)</f>
        <v>68001</v>
      </c>
      <c r="G2750">
        <v>25474611</v>
      </c>
      <c r="H2750">
        <v>4329</v>
      </c>
    </row>
    <row r="2751" spans="1:8" ht="15" customHeight="1" x14ac:dyDescent="0.25">
      <c r="A2751" t="s">
        <v>4993</v>
      </c>
      <c r="B2751" t="s">
        <v>9032</v>
      </c>
      <c r="C2751" t="s">
        <v>12047</v>
      </c>
      <c r="D2751" t="s">
        <v>13287</v>
      </c>
      <c r="E2751" t="str">
        <f>+VLOOKUP(A2751,[1]PFE4!$A$7:$F$5208,6,0)</f>
        <v>CR 1 F 40 63 ED MURANO</v>
      </c>
      <c r="F2751" s="17">
        <f>+VLOOKUP(A2751,[1]PFE4!$A$7:$G$5208,7,0)</f>
        <v>15001</v>
      </c>
      <c r="G2751">
        <v>25494800</v>
      </c>
      <c r="H2751">
        <v>4329</v>
      </c>
    </row>
    <row r="2752" spans="1:8" ht="15" customHeight="1" x14ac:dyDescent="0.25">
      <c r="A2752" t="s">
        <v>4994</v>
      </c>
      <c r="B2752" t="s">
        <v>9033</v>
      </c>
      <c r="C2752" t="s">
        <v>12410</v>
      </c>
      <c r="D2752" t="s">
        <v>13287</v>
      </c>
      <c r="E2752" t="str">
        <f>+VLOOKUP(A2752,[1]PFE4!$A$7:$F$5208,6,0)</f>
        <v>CARRERA 6  6  37</v>
      </c>
      <c r="F2752" s="17">
        <f>+VLOOKUP(A2752,[1]PFE4!$A$7:$G$5208,7,0)</f>
        <v>13001</v>
      </c>
      <c r="G2752">
        <v>25540088</v>
      </c>
      <c r="H2752">
        <v>4329</v>
      </c>
    </row>
    <row r="2753" spans="1:8" ht="15" customHeight="1" x14ac:dyDescent="0.25">
      <c r="A2753" t="s">
        <v>4995</v>
      </c>
      <c r="B2753" t="s">
        <v>9034</v>
      </c>
      <c r="C2753" t="s">
        <v>12411</v>
      </c>
      <c r="D2753" t="s">
        <v>13287</v>
      </c>
      <c r="E2753" t="str">
        <f>+VLOOKUP(A2753,[1]PFE4!$A$7:$F$5208,6,0)</f>
        <v>CARRERA 32  10  224</v>
      </c>
      <c r="F2753" s="17" t="str">
        <f>+VLOOKUP(A2753,[1]PFE4!$A$7:$G$5208,7,0)</f>
        <v>05001</v>
      </c>
      <c r="G2753">
        <v>25556054</v>
      </c>
      <c r="H2753">
        <v>4329</v>
      </c>
    </row>
    <row r="2754" spans="1:8" ht="15" customHeight="1" x14ac:dyDescent="0.25">
      <c r="A2754" t="s">
        <v>4996</v>
      </c>
      <c r="B2754" t="s">
        <v>9035</v>
      </c>
      <c r="C2754" t="s">
        <v>12412</v>
      </c>
      <c r="D2754" t="s">
        <v>13287</v>
      </c>
      <c r="E2754" t="str">
        <f>+VLOOKUP(A2754,[1]PFE4!$A$7:$F$5208,6,0)</f>
        <v>CALLE 90 No.  49 C 29</v>
      </c>
      <c r="F2754" s="17" t="str">
        <f>+VLOOKUP(A2754,[1]PFE4!$A$7:$G$5208,7,0)</f>
        <v>08001</v>
      </c>
      <c r="G2754">
        <v>25562118</v>
      </c>
      <c r="H2754">
        <v>4329</v>
      </c>
    </row>
    <row r="2755" spans="1:8" ht="15" customHeight="1" x14ac:dyDescent="0.25">
      <c r="A2755" t="s">
        <v>4997</v>
      </c>
      <c r="B2755" t="s">
        <v>9036</v>
      </c>
      <c r="C2755" t="s">
        <v>12413</v>
      </c>
      <c r="D2755" t="s">
        <v>13287</v>
      </c>
      <c r="E2755" t="str">
        <f>+VLOOKUP(A2755,[1]PFE4!$A$7:$F$5208,6,0)</f>
        <v>CARRERA 48  17 A SUR  47</v>
      </c>
      <c r="F2755" s="17" t="str">
        <f>+VLOOKUP(A2755,[1]PFE4!$A$7:$G$5208,7,0)</f>
        <v>05001</v>
      </c>
      <c r="G2755">
        <v>25579632</v>
      </c>
      <c r="H2755">
        <v>4329</v>
      </c>
    </row>
    <row r="2756" spans="1:8" ht="15" customHeight="1" x14ac:dyDescent="0.25">
      <c r="A2756" t="s">
        <v>4998</v>
      </c>
      <c r="B2756" t="s">
        <v>9037</v>
      </c>
      <c r="C2756" t="s">
        <v>12414</v>
      </c>
      <c r="D2756" t="s">
        <v>13287</v>
      </c>
      <c r="E2756" t="str">
        <f>+VLOOKUP(A2756,[1]PFE4!$A$7:$F$5208,6,0)</f>
        <v>TV 15 OESTE 3A 21</v>
      </c>
      <c r="F2756" s="17">
        <f>+VLOOKUP(A2756,[1]PFE4!$A$7:$G$5208,7,0)</f>
        <v>76001</v>
      </c>
      <c r="G2756">
        <v>25587600</v>
      </c>
      <c r="H2756">
        <v>4329</v>
      </c>
    </row>
    <row r="2757" spans="1:8" ht="15" customHeight="1" x14ac:dyDescent="0.25">
      <c r="A2757" t="s">
        <v>4999</v>
      </c>
      <c r="B2757" t="s">
        <v>9038</v>
      </c>
      <c r="C2757" t="s">
        <v>12415</v>
      </c>
      <c r="D2757" t="s">
        <v>13287</v>
      </c>
      <c r="E2757" t="str">
        <f>+VLOOKUP(A2757,[1]PFE4!$A$7:$F$5208,6,0)</f>
        <v>CARRERA 19  10 N  89</v>
      </c>
      <c r="F2757" s="17">
        <f>+VLOOKUP(A2757,[1]PFE4!$A$7:$G$5208,7,0)</f>
        <v>11001</v>
      </c>
      <c r="G2757">
        <v>25627824</v>
      </c>
      <c r="H2757">
        <v>4329</v>
      </c>
    </row>
    <row r="2758" spans="1:8" ht="15" customHeight="1" x14ac:dyDescent="0.25">
      <c r="A2758" t="s">
        <v>5000</v>
      </c>
      <c r="B2758" t="s">
        <v>9039</v>
      </c>
      <c r="C2758">
        <v>3219664011</v>
      </c>
      <c r="D2758" t="s">
        <v>13287</v>
      </c>
      <c r="E2758" t="str">
        <f>+VLOOKUP(A2758,[1]PFE4!$A$7:$F$5208,6,0)</f>
        <v>CR 14 106 A 89 83</v>
      </c>
      <c r="F2758" s="17">
        <f>+VLOOKUP(A2758,[1]PFE4!$A$7:$G$5208,7,0)</f>
        <v>11001</v>
      </c>
      <c r="G2758">
        <v>25670736</v>
      </c>
      <c r="H2758">
        <v>4329</v>
      </c>
    </row>
    <row r="2759" spans="1:8" ht="15" customHeight="1" x14ac:dyDescent="0.25">
      <c r="A2759" t="s">
        <v>5001</v>
      </c>
      <c r="B2759" t="s">
        <v>9040</v>
      </c>
      <c r="C2759" t="s">
        <v>12416</v>
      </c>
      <c r="D2759" t="s">
        <v>13287</v>
      </c>
      <c r="E2759" t="str">
        <f>+VLOOKUP(A2759,[1]PFE4!$A$7:$F$5208,6,0)</f>
        <v>CARRERA 3  3  26</v>
      </c>
      <c r="F2759" s="17">
        <f>+VLOOKUP(A2759,[1]PFE4!$A$7:$G$5208,7,0)</f>
        <v>76109</v>
      </c>
      <c r="G2759">
        <v>25684000</v>
      </c>
      <c r="H2759">
        <v>4329</v>
      </c>
    </row>
    <row r="2760" spans="1:8" ht="15" customHeight="1" x14ac:dyDescent="0.25">
      <c r="A2760" t="s">
        <v>5002</v>
      </c>
      <c r="B2760" t="s">
        <v>9041</v>
      </c>
      <c r="C2760" t="s">
        <v>12417</v>
      </c>
      <c r="D2760" t="s">
        <v>13287</v>
      </c>
      <c r="E2760" t="str">
        <f>+VLOOKUP(A2760,[1]PFE4!$A$7:$F$5208,6,0)</f>
        <v>CARRERA 20  51 A  25</v>
      </c>
      <c r="F2760" s="17">
        <f>+VLOOKUP(A2760,[1]PFE4!$A$7:$G$5208,7,0)</f>
        <v>11001</v>
      </c>
      <c r="G2760">
        <v>25784310</v>
      </c>
      <c r="H2760">
        <v>4329</v>
      </c>
    </row>
    <row r="2761" spans="1:8" ht="15" customHeight="1" x14ac:dyDescent="0.25">
      <c r="A2761" t="s">
        <v>5003</v>
      </c>
      <c r="B2761" t="s">
        <v>9042</v>
      </c>
      <c r="C2761">
        <v>0</v>
      </c>
      <c r="D2761" t="s">
        <v>13287</v>
      </c>
      <c r="E2761">
        <v>0</v>
      </c>
      <c r="F2761" s="17">
        <v>11001</v>
      </c>
      <c r="G2761">
        <v>25832000</v>
      </c>
      <c r="H2761">
        <v>4329</v>
      </c>
    </row>
    <row r="2762" spans="1:8" ht="15" customHeight="1" x14ac:dyDescent="0.25">
      <c r="A2762" t="s">
        <v>5004</v>
      </c>
      <c r="B2762" t="s">
        <v>9043</v>
      </c>
      <c r="C2762" t="s">
        <v>12418</v>
      </c>
      <c r="D2762" t="s">
        <v>13287</v>
      </c>
      <c r="E2762" t="str">
        <f>+VLOOKUP(A2762,[1]PFE4!$A$7:$F$5208,6,0)</f>
        <v>CALLE 81  9  86</v>
      </c>
      <c r="F2762" s="17">
        <f>+VLOOKUP(A2762,[1]PFE4!$A$7:$G$5208,7,0)</f>
        <v>11001</v>
      </c>
      <c r="G2762">
        <v>25878158</v>
      </c>
      <c r="H2762">
        <v>4329</v>
      </c>
    </row>
    <row r="2763" spans="1:8" ht="15" customHeight="1" x14ac:dyDescent="0.25">
      <c r="A2763" t="s">
        <v>5005</v>
      </c>
      <c r="B2763" t="s">
        <v>9044</v>
      </c>
      <c r="C2763" t="s">
        <v>12419</v>
      </c>
      <c r="D2763" t="s">
        <v>13287</v>
      </c>
      <c r="E2763" t="str">
        <f>+VLOOKUP(A2763,[1]PFE4!$A$7:$F$5208,6,0)</f>
        <v>CALLE 10 NO 39 151</v>
      </c>
      <c r="F2763" s="17">
        <f>+VLOOKUP(A2763,[1]PFE4!$A$7:$G$5208,7,0)</f>
        <v>17001</v>
      </c>
      <c r="G2763">
        <v>25881950</v>
      </c>
      <c r="H2763">
        <v>4329</v>
      </c>
    </row>
    <row r="2764" spans="1:8" ht="15" customHeight="1" x14ac:dyDescent="0.25">
      <c r="A2764" t="s">
        <v>5006</v>
      </c>
      <c r="B2764" t="s">
        <v>9045</v>
      </c>
      <c r="C2764" t="s">
        <v>12420</v>
      </c>
      <c r="D2764" t="s">
        <v>13287</v>
      </c>
      <c r="E2764" t="str">
        <f>+VLOOKUP(A2764,[1]PFE4!$A$7:$F$5208,6,0)</f>
        <v>CARRERA 10 A  138  10</v>
      </c>
      <c r="F2764" s="17">
        <f>+VLOOKUP(A2764,[1]PFE4!$A$7:$G$5208,7,0)</f>
        <v>11001</v>
      </c>
      <c r="G2764">
        <v>25897932</v>
      </c>
      <c r="H2764">
        <v>4329</v>
      </c>
    </row>
    <row r="2765" spans="1:8" ht="15" customHeight="1" x14ac:dyDescent="0.25">
      <c r="A2765" t="s">
        <v>5007</v>
      </c>
      <c r="B2765" t="s">
        <v>9046</v>
      </c>
      <c r="C2765" t="s">
        <v>12421</v>
      </c>
      <c r="D2765" t="s">
        <v>13287</v>
      </c>
      <c r="E2765" t="str">
        <f>+VLOOKUP(A2765,[1]PFE4!$A$7:$F$5208,6,0)</f>
        <v>CR 30 A 1 B 245 LT D 5 CORR SABANILLA NORTE CARMELO</v>
      </c>
      <c r="F2765" s="17" t="str">
        <f>+VLOOKUP(A2765,[1]PFE4!$A$7:$G$5208,7,0)</f>
        <v>08573</v>
      </c>
      <c r="G2765">
        <v>25898300</v>
      </c>
      <c r="H2765">
        <v>4329</v>
      </c>
    </row>
    <row r="2766" spans="1:8" ht="15" customHeight="1" x14ac:dyDescent="0.25">
      <c r="A2766" t="s">
        <v>5008</v>
      </c>
      <c r="B2766" t="s">
        <v>9047</v>
      </c>
      <c r="C2766" t="s">
        <v>12422</v>
      </c>
      <c r="D2766" t="s">
        <v>13287</v>
      </c>
      <c r="E2766" t="str">
        <f>+VLOOKUP(A2766,[1]PFE4!$A$7:$F$5208,6,0)</f>
        <v>CARRERA 27  35 SUR  162</v>
      </c>
      <c r="F2766" s="17" t="str">
        <f>+VLOOKUP(A2766,[1]PFE4!$A$7:$G$5208,7,0)</f>
        <v>05266</v>
      </c>
      <c r="G2766">
        <v>25920502</v>
      </c>
      <c r="H2766">
        <v>4329</v>
      </c>
    </row>
    <row r="2767" spans="1:8" ht="15" customHeight="1" x14ac:dyDescent="0.25">
      <c r="A2767" t="s">
        <v>5009</v>
      </c>
      <c r="B2767" t="s">
        <v>9048</v>
      </c>
      <c r="C2767" t="s">
        <v>12423</v>
      </c>
      <c r="D2767" t="s">
        <v>13287</v>
      </c>
      <c r="E2767" t="str">
        <f>+VLOOKUP(A2767,[1]PFE4!$A$7:$F$5208,6,0)</f>
        <v>AV 3 N 43 80</v>
      </c>
      <c r="F2767" s="17">
        <f>+VLOOKUP(A2767,[1]PFE4!$A$7:$G$5208,7,0)</f>
        <v>54405</v>
      </c>
      <c r="G2767">
        <v>25934020</v>
      </c>
      <c r="H2767">
        <v>4329</v>
      </c>
    </row>
    <row r="2768" spans="1:8" ht="15" customHeight="1" x14ac:dyDescent="0.25">
      <c r="A2768" t="s">
        <v>5010</v>
      </c>
      <c r="B2768" t="s">
        <v>9049</v>
      </c>
      <c r="C2768" t="s">
        <v>12086</v>
      </c>
      <c r="D2768" t="s">
        <v>13287</v>
      </c>
      <c r="E2768" t="str">
        <f>+VLOOKUP(A2768,[1]PFE4!$A$7:$F$5208,6,0)</f>
        <v>CALLE 30  11  40</v>
      </c>
      <c r="F2768" s="17">
        <f>+VLOOKUP(A2768,[1]PFE4!$A$7:$G$5208,7,0)</f>
        <v>54001</v>
      </c>
      <c r="G2768">
        <v>25991678</v>
      </c>
      <c r="H2768">
        <v>4329</v>
      </c>
    </row>
    <row r="2769" spans="1:8" ht="15" customHeight="1" x14ac:dyDescent="0.25">
      <c r="A2769" t="s">
        <v>5011</v>
      </c>
      <c r="B2769" t="s">
        <v>9050</v>
      </c>
      <c r="C2769" t="s">
        <v>12424</v>
      </c>
      <c r="D2769" t="s">
        <v>13287</v>
      </c>
      <c r="E2769" t="str">
        <f>+VLOOKUP(A2769,[1]PFE4!$A$7:$F$5208,6,0)</f>
        <v>CL 34 39 66</v>
      </c>
      <c r="F2769" s="17">
        <f>+VLOOKUP(A2769,[1]PFE4!$A$7:$G$5208,7,0)</f>
        <v>11001</v>
      </c>
      <c r="G2769">
        <v>26034398</v>
      </c>
      <c r="H2769">
        <v>4329</v>
      </c>
    </row>
    <row r="2770" spans="1:8" ht="15" customHeight="1" x14ac:dyDescent="0.25">
      <c r="A2770" t="s">
        <v>5012</v>
      </c>
      <c r="B2770" t="s">
        <v>9051</v>
      </c>
      <c r="C2770" t="s">
        <v>12425</v>
      </c>
      <c r="D2770" t="s">
        <v>13287</v>
      </c>
      <c r="E2770" t="str">
        <f>+VLOOKUP(A2770,[1]PFE4!$A$7:$F$5208,6,0)</f>
        <v>CALLE 32  2  11</v>
      </c>
      <c r="F2770" s="17">
        <f>+VLOOKUP(A2770,[1]PFE4!$A$7:$G$5208,7,0)</f>
        <v>47001</v>
      </c>
      <c r="G2770">
        <v>26071971</v>
      </c>
      <c r="H2770">
        <v>4329</v>
      </c>
    </row>
    <row r="2771" spans="1:8" ht="15" customHeight="1" x14ac:dyDescent="0.25">
      <c r="A2771" t="s">
        <v>5013</v>
      </c>
      <c r="B2771" t="s">
        <v>9052</v>
      </c>
      <c r="C2771">
        <v>3219664011</v>
      </c>
      <c r="D2771" t="s">
        <v>13287</v>
      </c>
      <c r="E2771" t="str">
        <f>+VLOOKUP(A2771,[1]PFE4!$A$7:$F$5208,6,0)</f>
        <v>CL 83 42 D 123</v>
      </c>
      <c r="F2771" s="17" t="str">
        <f>+VLOOKUP(A2771,[1]PFE4!$A$7:$G$5208,7,0)</f>
        <v>08001</v>
      </c>
      <c r="G2771">
        <v>26092174</v>
      </c>
      <c r="H2771">
        <v>4329</v>
      </c>
    </row>
    <row r="2772" spans="1:8" ht="15" customHeight="1" x14ac:dyDescent="0.25">
      <c r="A2772" t="s">
        <v>5014</v>
      </c>
      <c r="B2772" t="s">
        <v>9053</v>
      </c>
      <c r="C2772" t="s">
        <v>12426</v>
      </c>
      <c r="D2772" t="s">
        <v>13287</v>
      </c>
      <c r="E2772" t="str">
        <f>+VLOOKUP(A2772,[1]PFE4!$A$7:$F$5208,6,0)</f>
        <v>CARRERA 52  23  54</v>
      </c>
      <c r="F2772" s="17" t="str">
        <f>+VLOOKUP(A2772,[1]PFE4!$A$7:$G$5208,7,0)</f>
        <v>05001</v>
      </c>
      <c r="G2772">
        <v>26102368</v>
      </c>
      <c r="H2772">
        <v>4329</v>
      </c>
    </row>
    <row r="2773" spans="1:8" ht="15" customHeight="1" x14ac:dyDescent="0.25">
      <c r="A2773" t="s">
        <v>5015</v>
      </c>
      <c r="B2773" t="s">
        <v>9054</v>
      </c>
      <c r="C2773" t="s">
        <v>12427</v>
      </c>
      <c r="D2773" t="s">
        <v>13287</v>
      </c>
      <c r="E2773" t="str">
        <f>+VLOOKUP(A2773,[1]PFE4!$A$7:$F$5208,6,0)</f>
        <v>CL 63 2 54</v>
      </c>
      <c r="F2773" s="17">
        <f>+VLOOKUP(A2773,[1]PFE4!$A$7:$G$5208,7,0)</f>
        <v>11001</v>
      </c>
      <c r="G2773">
        <v>26106680</v>
      </c>
      <c r="H2773">
        <v>4329</v>
      </c>
    </row>
    <row r="2774" spans="1:8" ht="15" customHeight="1" x14ac:dyDescent="0.25">
      <c r="A2774" t="s">
        <v>5016</v>
      </c>
      <c r="B2774" t="s">
        <v>9055</v>
      </c>
      <c r="C2774" t="s">
        <v>10561</v>
      </c>
      <c r="D2774" t="s">
        <v>13287</v>
      </c>
      <c r="E2774" t="str">
        <f>+VLOOKUP(A2774,[1]PFE4!$A$7:$F$5208,6,0)</f>
        <v>CARRERA 23  63  15</v>
      </c>
      <c r="F2774" s="17">
        <f>+VLOOKUP(A2774,[1]PFE4!$A$7:$G$5208,7,0)</f>
        <v>17001</v>
      </c>
      <c r="G2774">
        <v>26109180</v>
      </c>
      <c r="H2774">
        <v>4329</v>
      </c>
    </row>
    <row r="2775" spans="1:8" ht="15" customHeight="1" x14ac:dyDescent="0.25">
      <c r="A2775" t="s">
        <v>5017</v>
      </c>
      <c r="B2775" t="s">
        <v>9056</v>
      </c>
      <c r="C2775" t="s">
        <v>12428</v>
      </c>
      <c r="D2775" t="s">
        <v>13287</v>
      </c>
      <c r="E2775" t="str">
        <f>+VLOOKUP(A2775,[1]PFE4!$A$7:$F$5208,6,0)</f>
        <v>CALLE 39  24  43</v>
      </c>
      <c r="F2775" s="17">
        <f>+VLOOKUP(A2775,[1]PFE4!$A$7:$G$5208,7,0)</f>
        <v>11001</v>
      </c>
      <c r="G2775">
        <v>26109420</v>
      </c>
      <c r="H2775">
        <v>4329</v>
      </c>
    </row>
    <row r="2776" spans="1:8" ht="15" customHeight="1" x14ac:dyDescent="0.25">
      <c r="A2776" t="s">
        <v>5018</v>
      </c>
      <c r="B2776" t="s">
        <v>9057</v>
      </c>
      <c r="C2776" t="s">
        <v>11945</v>
      </c>
      <c r="D2776" t="s">
        <v>13287</v>
      </c>
      <c r="E2776" t="str">
        <f>+VLOOKUP(A2776,[1]PFE4!$A$7:$F$5208,6,0)</f>
        <v>CALLE 98  50  50</v>
      </c>
      <c r="F2776" s="17" t="str">
        <f>+VLOOKUP(A2776,[1]PFE4!$A$7:$G$5208,7,0)</f>
        <v>08001</v>
      </c>
      <c r="G2776">
        <v>26161745</v>
      </c>
      <c r="H2776">
        <v>4329</v>
      </c>
    </row>
    <row r="2777" spans="1:8" ht="15" customHeight="1" x14ac:dyDescent="0.25">
      <c r="A2777" t="s">
        <v>5019</v>
      </c>
      <c r="B2777" t="s">
        <v>9058</v>
      </c>
      <c r="C2777" t="s">
        <v>12113</v>
      </c>
      <c r="D2777" t="s">
        <v>13287</v>
      </c>
      <c r="E2777" t="str">
        <f>+VLOOKUP(A2777,[1]PFE4!$A$7:$F$5208,6,0)</f>
        <v>CARRERA 32  65  50 BBR FLORESTA</v>
      </c>
      <c r="F2777" s="17">
        <f>+VLOOKUP(A2777,[1]PFE4!$A$7:$G$5208,7,0)</f>
        <v>11001</v>
      </c>
      <c r="G2777">
        <v>26193364</v>
      </c>
      <c r="H2777">
        <v>4329</v>
      </c>
    </row>
    <row r="2778" spans="1:8" ht="15" customHeight="1" x14ac:dyDescent="0.25">
      <c r="A2778" t="s">
        <v>5020</v>
      </c>
      <c r="B2778" t="s">
        <v>9059</v>
      </c>
      <c r="C2778" t="s">
        <v>12429</v>
      </c>
      <c r="D2778" t="s">
        <v>13287</v>
      </c>
      <c r="E2778" t="str">
        <f>+VLOOKUP(A2778,[1]PFE4!$A$7:$F$5208,6,0)</f>
        <v>CL 87 SUR 55 361</v>
      </c>
      <c r="F2778" s="17" t="str">
        <f>+VLOOKUP(A2778,[1]PFE4!$A$7:$G$5208,7,0)</f>
        <v>05380</v>
      </c>
      <c r="G2778">
        <v>26205750</v>
      </c>
      <c r="H2778">
        <v>4329</v>
      </c>
    </row>
    <row r="2779" spans="1:8" ht="15" customHeight="1" x14ac:dyDescent="0.25">
      <c r="A2779" t="s">
        <v>5021</v>
      </c>
      <c r="B2779" t="s">
        <v>9060</v>
      </c>
      <c r="C2779" t="s">
        <v>12430</v>
      </c>
      <c r="D2779" t="s">
        <v>13287</v>
      </c>
      <c r="E2779" t="str">
        <f>+VLOOKUP(A2779,[1]PFE4!$A$7:$F$5208,6,0)</f>
        <v>CARRERA 30  16 A SUR  116</v>
      </c>
      <c r="F2779" s="17" t="str">
        <f>+VLOOKUP(A2779,[1]PFE4!$A$7:$G$5208,7,0)</f>
        <v>05001</v>
      </c>
      <c r="G2779">
        <v>26210676</v>
      </c>
      <c r="H2779">
        <v>4329</v>
      </c>
    </row>
    <row r="2780" spans="1:8" ht="15" customHeight="1" x14ac:dyDescent="0.25">
      <c r="A2780" t="s">
        <v>5022</v>
      </c>
      <c r="B2780" t="s">
        <v>9061</v>
      </c>
      <c r="C2780" t="s">
        <v>12431</v>
      </c>
      <c r="D2780" t="s">
        <v>13287</v>
      </c>
      <c r="E2780" t="str">
        <f>+VLOOKUP(A2780,[1]PFE4!$A$7:$F$5208,6,0)</f>
        <v>CALLE 32 E E  83  20</v>
      </c>
      <c r="F2780" s="17" t="str">
        <f>+VLOOKUP(A2780,[1]PFE4!$A$7:$G$5208,7,0)</f>
        <v>05001</v>
      </c>
      <c r="G2780">
        <v>26216620</v>
      </c>
      <c r="H2780">
        <v>4329</v>
      </c>
    </row>
    <row r="2781" spans="1:8" ht="15" customHeight="1" x14ac:dyDescent="0.25">
      <c r="A2781" t="s">
        <v>5023</v>
      </c>
      <c r="B2781" t="s">
        <v>9062</v>
      </c>
      <c r="C2781">
        <v>0</v>
      </c>
      <c r="D2781" t="s">
        <v>13287</v>
      </c>
      <c r="E2781">
        <v>0</v>
      </c>
      <c r="F2781" s="17">
        <v>11001</v>
      </c>
      <c r="G2781">
        <v>26228002</v>
      </c>
      <c r="H2781">
        <v>4329</v>
      </c>
    </row>
    <row r="2782" spans="1:8" ht="15" customHeight="1" x14ac:dyDescent="0.25">
      <c r="A2782" t="s">
        <v>5024</v>
      </c>
      <c r="B2782" t="s">
        <v>9063</v>
      </c>
      <c r="C2782" t="s">
        <v>12432</v>
      </c>
      <c r="D2782" t="s">
        <v>13287</v>
      </c>
      <c r="E2782" t="str">
        <f>+VLOOKUP(A2782,[1]PFE4!$A$7:$F$5208,6,0)</f>
        <v>CARRERA 52  6 SUR  182</v>
      </c>
      <c r="F2782" s="17" t="str">
        <f>+VLOOKUP(A2782,[1]PFE4!$A$7:$G$5208,7,0)</f>
        <v>05001</v>
      </c>
      <c r="G2782">
        <v>26239160</v>
      </c>
      <c r="H2782">
        <v>4329</v>
      </c>
    </row>
    <row r="2783" spans="1:8" ht="15" customHeight="1" x14ac:dyDescent="0.25">
      <c r="A2783" t="s">
        <v>5025</v>
      </c>
      <c r="B2783" t="s">
        <v>9064</v>
      </c>
      <c r="C2783" t="s">
        <v>12433</v>
      </c>
      <c r="D2783" t="s">
        <v>13287</v>
      </c>
      <c r="E2783" t="str">
        <f>+VLOOKUP(A2783,[1]PFE4!$A$7:$F$5208,6,0)</f>
        <v>CARRERA 7  41  05  PISO 1</v>
      </c>
      <c r="F2783" s="17">
        <f>+VLOOKUP(A2783,[1]PFE4!$A$7:$G$5208,7,0)</f>
        <v>11001</v>
      </c>
      <c r="G2783">
        <v>26250716</v>
      </c>
      <c r="H2783">
        <v>4329</v>
      </c>
    </row>
    <row r="2784" spans="1:8" ht="15" customHeight="1" x14ac:dyDescent="0.25">
      <c r="A2784" t="s">
        <v>5026</v>
      </c>
      <c r="B2784" t="s">
        <v>9065</v>
      </c>
      <c r="C2784" t="s">
        <v>11915</v>
      </c>
      <c r="D2784" t="s">
        <v>13287</v>
      </c>
      <c r="E2784" t="str">
        <f>+VLOOKUP(A2784,[1]PFE4!$A$7:$F$5208,6,0)</f>
        <v>CR 32 20 601</v>
      </c>
      <c r="F2784" s="17" t="str">
        <f>+VLOOKUP(A2784,[1]PFE4!$A$7:$G$5208,7,0)</f>
        <v>05607</v>
      </c>
      <c r="G2784">
        <v>26286886</v>
      </c>
      <c r="H2784">
        <v>4329</v>
      </c>
    </row>
    <row r="2785" spans="1:8" ht="15" customHeight="1" x14ac:dyDescent="0.25">
      <c r="A2785" t="s">
        <v>5027</v>
      </c>
      <c r="B2785" t="s">
        <v>9066</v>
      </c>
      <c r="C2785" t="s">
        <v>10850</v>
      </c>
      <c r="D2785" t="s">
        <v>13287</v>
      </c>
      <c r="E2785" t="str">
        <f>+VLOOKUP(A2785,[1]PFE4!$A$7:$F$5208,6,0)</f>
        <v>CARRERA 44  23 SUR  15</v>
      </c>
      <c r="F2785" s="17" t="str">
        <f>+VLOOKUP(A2785,[1]PFE4!$A$7:$G$5208,7,0)</f>
        <v>05266</v>
      </c>
      <c r="G2785">
        <v>26291215</v>
      </c>
      <c r="H2785">
        <v>4329</v>
      </c>
    </row>
    <row r="2786" spans="1:8" ht="15" customHeight="1" x14ac:dyDescent="0.25">
      <c r="A2786" t="s">
        <v>5028</v>
      </c>
      <c r="B2786" t="s">
        <v>9067</v>
      </c>
      <c r="C2786" t="s">
        <v>12434</v>
      </c>
      <c r="D2786" t="s">
        <v>13287</v>
      </c>
      <c r="E2786" t="str">
        <f>+VLOOKUP(A2786,[1]PFE4!$A$7:$F$5208,6,0)</f>
        <v>CL 127 D 19 93 BRR LA CALLEJA</v>
      </c>
      <c r="F2786" s="17">
        <f>+VLOOKUP(A2786,[1]PFE4!$A$7:$G$5208,7,0)</f>
        <v>11001</v>
      </c>
      <c r="G2786">
        <v>26311600</v>
      </c>
      <c r="H2786">
        <v>4329</v>
      </c>
    </row>
    <row r="2787" spans="1:8" ht="15" customHeight="1" x14ac:dyDescent="0.25">
      <c r="A2787" t="s">
        <v>5029</v>
      </c>
      <c r="B2787" t="s">
        <v>9068</v>
      </c>
      <c r="C2787" t="s">
        <v>12435</v>
      </c>
      <c r="D2787" t="s">
        <v>13287</v>
      </c>
      <c r="E2787" t="str">
        <f>+VLOOKUP(A2787,[1]PFE4!$A$7:$F$5208,6,0)</f>
        <v>CARRERA 1 A  27 A  80</v>
      </c>
      <c r="F2787" s="17">
        <f>+VLOOKUP(A2787,[1]PFE4!$A$7:$G$5208,7,0)</f>
        <v>47001</v>
      </c>
      <c r="G2787">
        <v>26342372</v>
      </c>
      <c r="H2787">
        <v>4329</v>
      </c>
    </row>
    <row r="2788" spans="1:8" ht="15" customHeight="1" x14ac:dyDescent="0.25">
      <c r="A2788" t="s">
        <v>5030</v>
      </c>
      <c r="B2788" t="s">
        <v>9069</v>
      </c>
      <c r="C2788" t="s">
        <v>12436</v>
      </c>
      <c r="D2788" t="s">
        <v>13287</v>
      </c>
      <c r="E2788" t="str">
        <f>+VLOOKUP(A2788,[1]PFE4!$A$7:$F$5208,6,0)</f>
        <v>CALLE 73  7  50  OFICINA 501</v>
      </c>
      <c r="F2788" s="17">
        <f>+VLOOKUP(A2788,[1]PFE4!$A$7:$G$5208,7,0)</f>
        <v>11001</v>
      </c>
      <c r="G2788">
        <v>26355573</v>
      </c>
      <c r="H2788">
        <v>4329</v>
      </c>
    </row>
    <row r="2789" spans="1:8" ht="15" customHeight="1" x14ac:dyDescent="0.25">
      <c r="A2789" t="s">
        <v>5031</v>
      </c>
      <c r="B2789" t="s">
        <v>9070</v>
      </c>
      <c r="C2789" t="s">
        <v>12437</v>
      </c>
      <c r="D2789" t="s">
        <v>13287</v>
      </c>
      <c r="E2789" t="str">
        <f>+VLOOKUP(A2789,[1]PFE4!$A$7:$F$5208,6,0)</f>
        <v>CARRETERA A TURBACO ZONA DE RESERVA MANZANA K</v>
      </c>
      <c r="F2789" s="17">
        <f>+VLOOKUP(A2789,[1]PFE4!$A$7:$G$5208,7,0)</f>
        <v>11001</v>
      </c>
      <c r="G2789">
        <v>26371416</v>
      </c>
      <c r="H2789">
        <v>4329</v>
      </c>
    </row>
    <row r="2790" spans="1:8" ht="15" customHeight="1" x14ac:dyDescent="0.25">
      <c r="A2790" t="s">
        <v>5032</v>
      </c>
      <c r="B2790" t="s">
        <v>9071</v>
      </c>
      <c r="C2790" t="s">
        <v>12438</v>
      </c>
      <c r="D2790" t="s">
        <v>13287</v>
      </c>
      <c r="E2790" t="str">
        <f>+VLOOKUP(A2790,[1]PFE4!$A$7:$F$5208,6,0)</f>
        <v>CARRERA 78 A  9  39</v>
      </c>
      <c r="F2790" s="17">
        <f>+VLOOKUP(A2790,[1]PFE4!$A$7:$G$5208,7,0)</f>
        <v>11001</v>
      </c>
      <c r="G2790">
        <v>26375116</v>
      </c>
      <c r="H2790">
        <v>4329</v>
      </c>
    </row>
    <row r="2791" spans="1:8" ht="15" customHeight="1" x14ac:dyDescent="0.25">
      <c r="A2791" t="s">
        <v>5033</v>
      </c>
      <c r="B2791" t="s">
        <v>9072</v>
      </c>
      <c r="C2791" t="s">
        <v>12439</v>
      </c>
      <c r="D2791" t="s">
        <v>13287</v>
      </c>
      <c r="E2791" t="str">
        <f>+VLOOKUP(A2791,[1]PFE4!$A$7:$F$5208,6,0)</f>
        <v>CARRERA 23  14  37</v>
      </c>
      <c r="F2791" s="17">
        <f>+VLOOKUP(A2791,[1]PFE4!$A$7:$G$5208,7,0)</f>
        <v>11001</v>
      </c>
      <c r="G2791">
        <v>26375784</v>
      </c>
      <c r="H2791">
        <v>4329</v>
      </c>
    </row>
    <row r="2792" spans="1:8" ht="15" customHeight="1" x14ac:dyDescent="0.25">
      <c r="A2792" t="s">
        <v>5034</v>
      </c>
      <c r="B2792" t="s">
        <v>9073</v>
      </c>
      <c r="C2792" t="s">
        <v>12440</v>
      </c>
      <c r="D2792" t="s">
        <v>13287</v>
      </c>
      <c r="E2792" t="str">
        <f>+VLOOKUP(A2792,[1]PFE4!$A$7:$F$5208,6,0)</f>
        <v>AVENIDA 18 E  7 N  166</v>
      </c>
      <c r="F2792" s="17">
        <f>+VLOOKUP(A2792,[1]PFE4!$A$7:$G$5208,7,0)</f>
        <v>11001</v>
      </c>
      <c r="G2792">
        <v>26385176</v>
      </c>
      <c r="H2792">
        <v>4329</v>
      </c>
    </row>
    <row r="2793" spans="1:8" ht="15" customHeight="1" x14ac:dyDescent="0.25">
      <c r="A2793" t="s">
        <v>5035</v>
      </c>
      <c r="B2793" t="s">
        <v>9074</v>
      </c>
      <c r="C2793" t="s">
        <v>12441</v>
      </c>
      <c r="D2793" t="s">
        <v>13287</v>
      </c>
      <c r="E2793" t="str">
        <f>+VLOOKUP(A2793,[1]PFE4!$A$7:$F$5208,6,0)</f>
        <v>CALLE 142  13  83</v>
      </c>
      <c r="F2793" s="17">
        <f>+VLOOKUP(A2793,[1]PFE4!$A$7:$G$5208,7,0)</f>
        <v>11001</v>
      </c>
      <c r="G2793">
        <v>26394465</v>
      </c>
      <c r="H2793">
        <v>4329</v>
      </c>
    </row>
    <row r="2794" spans="1:8" ht="15" customHeight="1" x14ac:dyDescent="0.25">
      <c r="A2794" t="s">
        <v>5036</v>
      </c>
      <c r="B2794" t="s">
        <v>9075</v>
      </c>
      <c r="C2794" t="s">
        <v>12442</v>
      </c>
      <c r="D2794" t="s">
        <v>13287</v>
      </c>
      <c r="E2794" t="str">
        <f>+VLOOKUP(A2794,[1]PFE4!$A$7:$F$5208,6,0)</f>
        <v>AV 18 E 7N  75 CON ASTURIAS IMPERIAL</v>
      </c>
      <c r="F2794" s="17">
        <f>+VLOOKUP(A2794,[1]PFE4!$A$7:$G$5208,7,0)</f>
        <v>11001</v>
      </c>
      <c r="G2794">
        <v>26424976</v>
      </c>
      <c r="H2794">
        <v>4329</v>
      </c>
    </row>
    <row r="2795" spans="1:8" ht="15" customHeight="1" x14ac:dyDescent="0.25">
      <c r="A2795" t="s">
        <v>5037</v>
      </c>
      <c r="B2795" t="s">
        <v>9076</v>
      </c>
      <c r="C2795" t="s">
        <v>12443</v>
      </c>
      <c r="D2795" t="s">
        <v>13287</v>
      </c>
      <c r="E2795" t="str">
        <f>+VLOOKUP(A2795,[1]PFE4!$A$7:$F$5208,6,0)</f>
        <v>CR 63 31 B 123</v>
      </c>
      <c r="F2795" s="17" t="str">
        <f>+VLOOKUP(A2795,[1]PFE4!$A$7:$G$5208,7,0)</f>
        <v>05615</v>
      </c>
      <c r="G2795">
        <v>26464700</v>
      </c>
      <c r="H2795">
        <v>4329</v>
      </c>
    </row>
    <row r="2796" spans="1:8" ht="15" customHeight="1" x14ac:dyDescent="0.25">
      <c r="A2796" t="s">
        <v>5038</v>
      </c>
      <c r="B2796" t="s">
        <v>9077</v>
      </c>
      <c r="C2796" t="s">
        <v>12444</v>
      </c>
      <c r="D2796" t="s">
        <v>13287</v>
      </c>
      <c r="E2796" t="str">
        <f>+VLOOKUP(A2796,[1]PFE4!$A$7:$F$5208,6,0)</f>
        <v>CARRERA 23  103  17</v>
      </c>
      <c r="F2796" s="17">
        <f>+VLOOKUP(A2796,[1]PFE4!$A$7:$G$5208,7,0)</f>
        <v>11001</v>
      </c>
      <c r="G2796">
        <v>26508278</v>
      </c>
      <c r="H2796">
        <v>4329</v>
      </c>
    </row>
    <row r="2797" spans="1:8" ht="15" customHeight="1" x14ac:dyDescent="0.25">
      <c r="A2797" t="s">
        <v>5039</v>
      </c>
      <c r="B2797" t="s">
        <v>9078</v>
      </c>
      <c r="C2797" t="s">
        <v>12445</v>
      </c>
      <c r="D2797" t="s">
        <v>13287</v>
      </c>
      <c r="E2797" t="str">
        <f>+VLOOKUP(A2797,[1]PFE4!$A$7:$F$5208,6,0)</f>
        <v>LOTE BOLONIA ANTIGUA VEREDA CALAHORRA VIA CHIA - CAJICA</v>
      </c>
      <c r="F2797" s="17">
        <f>+VLOOKUP(A2797,[1]PFE4!$A$7:$G$5208,7,0)</f>
        <v>11001</v>
      </c>
      <c r="G2797">
        <v>26549367</v>
      </c>
      <c r="H2797">
        <v>4329</v>
      </c>
    </row>
    <row r="2798" spans="1:8" ht="15" customHeight="1" x14ac:dyDescent="0.25">
      <c r="A2798" t="s">
        <v>5040</v>
      </c>
      <c r="B2798" t="s">
        <v>9079</v>
      </c>
      <c r="C2798" t="s">
        <v>12446</v>
      </c>
      <c r="D2798" t="s">
        <v>13287</v>
      </c>
      <c r="E2798" t="str">
        <f>+VLOOKUP(A2798,[1]PFE4!$A$7:$F$5208,6,0)</f>
        <v>CR 1 15 11 SEC RODADERO</v>
      </c>
      <c r="F2798" s="17">
        <f>+VLOOKUP(A2798,[1]PFE4!$A$7:$G$5208,7,0)</f>
        <v>47001</v>
      </c>
      <c r="G2798">
        <v>26561240</v>
      </c>
      <c r="H2798">
        <v>4329</v>
      </c>
    </row>
    <row r="2799" spans="1:8" ht="15" customHeight="1" x14ac:dyDescent="0.25">
      <c r="A2799" t="s">
        <v>5041</v>
      </c>
      <c r="B2799" t="s">
        <v>9080</v>
      </c>
      <c r="C2799" t="s">
        <v>12447</v>
      </c>
      <c r="D2799" t="s">
        <v>13287</v>
      </c>
      <c r="E2799" t="str">
        <f>+VLOOKUP(A2799,[1]PFE4!$A$7:$F$5208,6,0)</f>
        <v>AVENIDA 2 E  12 A  25</v>
      </c>
      <c r="F2799" s="17">
        <f>+VLOOKUP(A2799,[1]PFE4!$A$7:$G$5208,7,0)</f>
        <v>54405</v>
      </c>
      <c r="G2799">
        <v>26573987</v>
      </c>
      <c r="H2799">
        <v>4329</v>
      </c>
    </row>
    <row r="2800" spans="1:8" ht="15" customHeight="1" x14ac:dyDescent="0.25">
      <c r="A2800" t="s">
        <v>5042</v>
      </c>
      <c r="B2800" t="s">
        <v>9081</v>
      </c>
      <c r="C2800" t="s">
        <v>11542</v>
      </c>
      <c r="D2800" t="s">
        <v>13287</v>
      </c>
      <c r="E2800" t="str">
        <f>+VLOOKUP(A2800,[1]PFE4!$A$7:$F$5208,6,0)</f>
        <v>CL 84 C 8 48</v>
      </c>
      <c r="F2800" s="17">
        <f>+VLOOKUP(A2800,[1]PFE4!$A$7:$G$5208,7,0)</f>
        <v>11001</v>
      </c>
      <c r="G2800">
        <v>26603038</v>
      </c>
      <c r="H2800">
        <v>4329</v>
      </c>
    </row>
    <row r="2801" spans="1:8" ht="15" customHeight="1" x14ac:dyDescent="0.25">
      <c r="A2801" t="s">
        <v>5043</v>
      </c>
      <c r="B2801" t="s">
        <v>9082</v>
      </c>
      <c r="C2801" t="s">
        <v>12448</v>
      </c>
      <c r="D2801" t="s">
        <v>13287</v>
      </c>
      <c r="E2801" t="str">
        <f>+VLOOKUP(A2801,[1]PFE4!$A$7:$F$5208,6,0)</f>
        <v>TRANSVERSAL 25  57  12  OFICINA 404</v>
      </c>
      <c r="F2801" s="17">
        <f>+VLOOKUP(A2801,[1]PFE4!$A$7:$G$5208,7,0)</f>
        <v>11001</v>
      </c>
      <c r="G2801">
        <v>26661399</v>
      </c>
      <c r="H2801">
        <v>4329</v>
      </c>
    </row>
    <row r="2802" spans="1:8" ht="15" customHeight="1" x14ac:dyDescent="0.25">
      <c r="A2802" t="s">
        <v>5044</v>
      </c>
      <c r="B2802" t="s">
        <v>9083</v>
      </c>
      <c r="C2802" t="s">
        <v>12449</v>
      </c>
      <c r="D2802" t="s">
        <v>13287</v>
      </c>
      <c r="E2802" t="str">
        <f>+VLOOKUP(A2802,[1]PFE4!$A$7:$F$5208,6,0)</f>
        <v>CALLE 18  4  31</v>
      </c>
      <c r="F2802" s="17">
        <f>+VLOOKUP(A2802,[1]PFE4!$A$7:$G$5208,7,0)</f>
        <v>54001</v>
      </c>
      <c r="G2802">
        <v>26662487</v>
      </c>
      <c r="H2802">
        <v>4329</v>
      </c>
    </row>
    <row r="2803" spans="1:8" ht="15" customHeight="1" x14ac:dyDescent="0.25">
      <c r="A2803" t="s">
        <v>5045</v>
      </c>
      <c r="B2803" t="s">
        <v>9084</v>
      </c>
      <c r="C2803" t="s">
        <v>12168</v>
      </c>
      <c r="D2803" t="s">
        <v>13287</v>
      </c>
      <c r="E2803" t="str">
        <f>+VLOOKUP(A2803,[1]PFE4!$A$7:$F$5208,6,0)</f>
        <v>LT 2 RESERVA EL PREDIO DEL LOTE B- EL LIMON BRREL ESCOBAL</v>
      </c>
      <c r="F2803" s="17">
        <f>+VLOOKUP(A2803,[1]PFE4!$A$7:$G$5208,7,0)</f>
        <v>54001</v>
      </c>
      <c r="G2803">
        <v>26680668</v>
      </c>
      <c r="H2803">
        <v>4329</v>
      </c>
    </row>
    <row r="2804" spans="1:8" ht="15" customHeight="1" x14ac:dyDescent="0.25">
      <c r="A2804" t="s">
        <v>5046</v>
      </c>
      <c r="B2804" t="s">
        <v>9085</v>
      </c>
      <c r="C2804" t="s">
        <v>12450</v>
      </c>
      <c r="D2804" t="s">
        <v>13287</v>
      </c>
      <c r="E2804" t="str">
        <f>+VLOOKUP(A2804,[1]PFE4!$A$7:$F$5208,6,0)</f>
        <v>AVENIDA SAN MARTIN  11  169</v>
      </c>
      <c r="F2804" s="17">
        <f>+VLOOKUP(A2804,[1]PFE4!$A$7:$G$5208,7,0)</f>
        <v>11001</v>
      </c>
      <c r="G2804">
        <v>26798896</v>
      </c>
      <c r="H2804">
        <v>4329</v>
      </c>
    </row>
    <row r="2805" spans="1:8" ht="15" customHeight="1" x14ac:dyDescent="0.25">
      <c r="A2805" t="s">
        <v>5047</v>
      </c>
      <c r="B2805" t="s">
        <v>9086</v>
      </c>
      <c r="C2805" t="s">
        <v>11965</v>
      </c>
      <c r="D2805" t="s">
        <v>13287</v>
      </c>
      <c r="E2805" t="str">
        <f>+VLOOKUP(A2805,[1]PFE4!$A$7:$F$5208,6,0)</f>
        <v>CARRERA 15  84  24  OFICINA 309</v>
      </c>
      <c r="F2805" s="17">
        <f>+VLOOKUP(A2805,[1]PFE4!$A$7:$G$5208,7,0)</f>
        <v>11001</v>
      </c>
      <c r="G2805">
        <v>26801198</v>
      </c>
      <c r="H2805">
        <v>4329</v>
      </c>
    </row>
    <row r="2806" spans="1:8" ht="15" customHeight="1" x14ac:dyDescent="0.25">
      <c r="A2806" t="s">
        <v>5048</v>
      </c>
      <c r="B2806" t="s">
        <v>9087</v>
      </c>
      <c r="C2806" t="s">
        <v>12451</v>
      </c>
      <c r="D2806" t="s">
        <v>13287</v>
      </c>
      <c r="E2806" t="str">
        <f>+VLOOKUP(A2806,[1]PFE4!$A$7:$F$5208,6,0)</f>
        <v>CR 21 38 11 07 17 21 33 39 45 49</v>
      </c>
      <c r="F2806" s="17">
        <f>+VLOOKUP(A2806,[1]PFE4!$A$7:$G$5208,7,0)</f>
        <v>68001</v>
      </c>
      <c r="G2806">
        <v>26824845</v>
      </c>
      <c r="H2806">
        <v>4329</v>
      </c>
    </row>
    <row r="2807" spans="1:8" ht="15" customHeight="1" x14ac:dyDescent="0.25">
      <c r="A2807" t="s">
        <v>5049</v>
      </c>
      <c r="B2807" t="s">
        <v>9088</v>
      </c>
      <c r="C2807" t="s">
        <v>11364</v>
      </c>
      <c r="D2807" t="s">
        <v>13287</v>
      </c>
      <c r="E2807" t="str">
        <f>+VLOOKUP(A2807,[1]PFE4!$A$7:$F$5208,6,0)</f>
        <v>CARRERA 45  15 SUR  102</v>
      </c>
      <c r="F2807" s="17" t="str">
        <f>+VLOOKUP(A2807,[1]PFE4!$A$7:$G$5208,7,0)</f>
        <v>05001</v>
      </c>
      <c r="G2807">
        <v>26825684</v>
      </c>
      <c r="H2807">
        <v>4329</v>
      </c>
    </row>
    <row r="2808" spans="1:8" ht="15" customHeight="1" x14ac:dyDescent="0.25">
      <c r="A2808" t="s">
        <v>5050</v>
      </c>
      <c r="B2808" t="s">
        <v>9089</v>
      </c>
      <c r="C2808" t="s">
        <v>12452</v>
      </c>
      <c r="D2808" t="s">
        <v>13287</v>
      </c>
      <c r="E2808" t="str">
        <f>+VLOOKUP(A2808,[1]PFE4!$A$7:$F$5208,6,0)</f>
        <v>CALLE 49 D  86  35</v>
      </c>
      <c r="F2808" s="17" t="str">
        <f>+VLOOKUP(A2808,[1]PFE4!$A$7:$G$5208,7,0)</f>
        <v>05001</v>
      </c>
      <c r="G2808">
        <v>26863702</v>
      </c>
      <c r="H2808">
        <v>4329</v>
      </c>
    </row>
    <row r="2809" spans="1:8" ht="15" customHeight="1" x14ac:dyDescent="0.25">
      <c r="A2809" t="s">
        <v>5051</v>
      </c>
      <c r="B2809" t="s">
        <v>9090</v>
      </c>
      <c r="C2809" t="s">
        <v>11494</v>
      </c>
      <c r="D2809" t="s">
        <v>13287</v>
      </c>
      <c r="E2809" t="str">
        <f>+VLOOKUP(A2809,[1]PFE4!$A$7:$F$5208,6,0)</f>
        <v>CARRERA 8  16  71  OFICINA 203</v>
      </c>
      <c r="F2809" s="17">
        <f>+VLOOKUP(A2809,[1]PFE4!$A$7:$G$5208,7,0)</f>
        <v>66001</v>
      </c>
      <c r="G2809">
        <v>26895362</v>
      </c>
      <c r="H2809">
        <v>4329</v>
      </c>
    </row>
    <row r="2810" spans="1:8" ht="15" customHeight="1" x14ac:dyDescent="0.25">
      <c r="A2810" t="s">
        <v>5052</v>
      </c>
      <c r="B2810" t="s">
        <v>9091</v>
      </c>
      <c r="C2810" t="s">
        <v>12453</v>
      </c>
      <c r="D2810" t="s">
        <v>13287</v>
      </c>
      <c r="E2810" t="str">
        <f>+VLOOKUP(A2810,[1]PFE4!$A$7:$F$5208,6,0)</f>
        <v>TV 3 A 83 11 21</v>
      </c>
      <c r="F2810" s="17">
        <f>+VLOOKUP(A2810,[1]PFE4!$A$7:$G$5208,7,0)</f>
        <v>11001</v>
      </c>
      <c r="G2810">
        <v>26928300</v>
      </c>
      <c r="H2810">
        <v>4329</v>
      </c>
    </row>
    <row r="2811" spans="1:8" ht="15" customHeight="1" x14ac:dyDescent="0.25">
      <c r="A2811" t="s">
        <v>5053</v>
      </c>
      <c r="B2811" t="s">
        <v>9092</v>
      </c>
      <c r="C2811" t="s">
        <v>12454</v>
      </c>
      <c r="D2811" t="s">
        <v>13287</v>
      </c>
      <c r="E2811" t="str">
        <f>+VLOOKUP(A2811,[1]PFE4!$A$7:$F$5208,6,0)</f>
        <v>AVENIDA ALMIRANTE BRION  3  109</v>
      </c>
      <c r="F2811" s="17">
        <f>+VLOOKUP(A2811,[1]PFE4!$A$7:$G$5208,7,0)</f>
        <v>13001</v>
      </c>
      <c r="G2811">
        <v>26963918</v>
      </c>
      <c r="H2811">
        <v>4329</v>
      </c>
    </row>
    <row r="2812" spans="1:8" ht="15" customHeight="1" x14ac:dyDescent="0.25">
      <c r="A2812" t="s">
        <v>5054</v>
      </c>
      <c r="B2812" t="s">
        <v>9093</v>
      </c>
      <c r="C2812">
        <v>3219664011</v>
      </c>
      <c r="D2812" t="s">
        <v>13287</v>
      </c>
      <c r="E2812" t="str">
        <f>+VLOOKUP(A2812,[1]PFE4!$A$7:$F$5208,6,0)</f>
        <v>AVENIDA 1 E  1 N  20</v>
      </c>
      <c r="F2812" s="17">
        <f>+VLOOKUP(A2812,[1]PFE4!$A$7:$G$5208,7,0)</f>
        <v>54001</v>
      </c>
      <c r="G2812">
        <v>26996256</v>
      </c>
      <c r="H2812">
        <v>4329</v>
      </c>
    </row>
    <row r="2813" spans="1:8" ht="15" customHeight="1" x14ac:dyDescent="0.25">
      <c r="A2813" t="s">
        <v>5055</v>
      </c>
      <c r="B2813" t="s">
        <v>9094</v>
      </c>
      <c r="C2813" t="s">
        <v>12374</v>
      </c>
      <c r="D2813" t="s">
        <v>13287</v>
      </c>
      <c r="E2813" t="str">
        <f>+VLOOKUP(A2813,[1]PFE4!$A$7:$F$5208,6,0)</f>
        <v>CALLE 73  9  50</v>
      </c>
      <c r="F2813" s="17" t="str">
        <f>+VLOOKUP(A2813,[1]PFE4!$A$7:$G$5208,7,0)</f>
        <v>05001</v>
      </c>
      <c r="G2813">
        <v>26999813</v>
      </c>
      <c r="H2813">
        <v>4329</v>
      </c>
    </row>
    <row r="2814" spans="1:8" ht="15" customHeight="1" x14ac:dyDescent="0.25">
      <c r="A2814" t="s">
        <v>5056</v>
      </c>
      <c r="B2814" t="s">
        <v>9095</v>
      </c>
      <c r="C2814" t="s">
        <v>11557</v>
      </c>
      <c r="D2814" t="s">
        <v>13287</v>
      </c>
      <c r="E2814" t="str">
        <f>+VLOOKUP(A2814,[1]PFE4!$A$7:$F$5208,6,0)</f>
        <v>CR 6 13 N 27</v>
      </c>
      <c r="F2814" s="17">
        <f>+VLOOKUP(A2814,[1]PFE4!$A$7:$G$5208,7,0)</f>
        <v>63001</v>
      </c>
      <c r="G2814">
        <v>27005148</v>
      </c>
      <c r="H2814">
        <v>4329</v>
      </c>
    </row>
    <row r="2815" spans="1:8" ht="15" customHeight="1" x14ac:dyDescent="0.25">
      <c r="A2815" t="s">
        <v>5057</v>
      </c>
      <c r="B2815" t="s">
        <v>9096</v>
      </c>
      <c r="C2815" t="s">
        <v>12455</v>
      </c>
      <c r="D2815" t="s">
        <v>13287</v>
      </c>
      <c r="E2815" t="str">
        <f>+VLOOKUP(A2815,[1]PFE4!$A$7:$F$5208,6,0)</f>
        <v>CARRERA 66  35  04</v>
      </c>
      <c r="F2815" s="17" t="str">
        <f>+VLOOKUP(A2815,[1]PFE4!$A$7:$G$5208,7,0)</f>
        <v>05001</v>
      </c>
      <c r="G2815">
        <v>27015453</v>
      </c>
      <c r="H2815">
        <v>4329</v>
      </c>
    </row>
    <row r="2816" spans="1:8" ht="15" customHeight="1" x14ac:dyDescent="0.25">
      <c r="A2816" t="s">
        <v>5058</v>
      </c>
      <c r="B2816" t="s">
        <v>9097</v>
      </c>
      <c r="C2816" t="s">
        <v>12456</v>
      </c>
      <c r="D2816" t="s">
        <v>13287</v>
      </c>
      <c r="E2816" t="str">
        <f>+VLOOKUP(A2816,[1]PFE4!$A$7:$F$5208,6,0)</f>
        <v>CR 61 33 51</v>
      </c>
      <c r="F2816" s="17" t="str">
        <f>+VLOOKUP(A2816,[1]PFE4!$A$7:$G$5208,7,0)</f>
        <v>05360</v>
      </c>
      <c r="G2816">
        <v>27038408</v>
      </c>
      <c r="H2816">
        <v>4329</v>
      </c>
    </row>
    <row r="2817" spans="1:8" ht="15" customHeight="1" x14ac:dyDescent="0.25">
      <c r="A2817" t="s">
        <v>5059</v>
      </c>
      <c r="B2817" t="s">
        <v>9098</v>
      </c>
      <c r="C2817" t="s">
        <v>12175</v>
      </c>
      <c r="D2817" t="s">
        <v>13287</v>
      </c>
      <c r="E2817" t="str">
        <f>+VLOOKUP(A2817,[1]PFE4!$A$7:$F$5208,6,0)</f>
        <v>CR 19 23 11 19 27 31 33 Y CR 20 22 54 58</v>
      </c>
      <c r="F2817" s="17">
        <f>+VLOOKUP(A2817,[1]PFE4!$A$7:$G$5208,7,0)</f>
        <v>11001</v>
      </c>
      <c r="G2817">
        <v>27071444</v>
      </c>
      <c r="H2817">
        <v>4329</v>
      </c>
    </row>
    <row r="2818" spans="1:8" ht="15" customHeight="1" x14ac:dyDescent="0.25">
      <c r="A2818" t="s">
        <v>5060</v>
      </c>
      <c r="B2818" t="s">
        <v>9099</v>
      </c>
      <c r="C2818" t="s">
        <v>12457</v>
      </c>
      <c r="D2818" t="s">
        <v>13287</v>
      </c>
      <c r="E2818" t="str">
        <f>+VLOOKUP(A2818,[1]PFE4!$A$7:$F$5208,6,0)</f>
        <v>CARRERA 7  21  24</v>
      </c>
      <c r="F2818" s="17">
        <f>+VLOOKUP(A2818,[1]PFE4!$A$7:$G$5208,7,0)</f>
        <v>11001</v>
      </c>
      <c r="G2818">
        <v>27093600</v>
      </c>
      <c r="H2818">
        <v>4329</v>
      </c>
    </row>
    <row r="2819" spans="1:8" ht="15" customHeight="1" x14ac:dyDescent="0.25">
      <c r="A2819" t="s">
        <v>5061</v>
      </c>
      <c r="B2819" t="s">
        <v>9100</v>
      </c>
      <c r="C2819" t="s">
        <v>12458</v>
      </c>
      <c r="D2819" t="s">
        <v>13287</v>
      </c>
      <c r="E2819" t="str">
        <f>+VLOOKUP(A2819,[1]PFE4!$A$7:$F$5208,6,0)</f>
        <v>CARRERA 52  73  298</v>
      </c>
      <c r="F2819" s="17" t="str">
        <f>+VLOOKUP(A2819,[1]PFE4!$A$7:$G$5208,7,0)</f>
        <v>05001</v>
      </c>
      <c r="G2819">
        <v>27104700</v>
      </c>
      <c r="H2819">
        <v>4329</v>
      </c>
    </row>
    <row r="2820" spans="1:8" ht="15" customHeight="1" x14ac:dyDescent="0.25">
      <c r="A2820" t="s">
        <v>5062</v>
      </c>
      <c r="B2820" t="s">
        <v>9101</v>
      </c>
      <c r="C2820" t="s">
        <v>12459</v>
      </c>
      <c r="D2820" t="s">
        <v>13287</v>
      </c>
      <c r="E2820" t="str">
        <f>+VLOOKUP(A2820,[1]PFE4!$A$7:$F$5208,6,0)</f>
        <v>CARRERA 43 A  53 D SUR  46</v>
      </c>
      <c r="F2820" s="17" t="str">
        <f>+VLOOKUP(A2820,[1]PFE4!$A$7:$G$5208,7,0)</f>
        <v>05631</v>
      </c>
      <c r="G2820">
        <v>27107040</v>
      </c>
      <c r="H2820">
        <v>4329</v>
      </c>
    </row>
    <row r="2821" spans="1:8" ht="15" customHeight="1" x14ac:dyDescent="0.25">
      <c r="A2821" t="s">
        <v>5063</v>
      </c>
      <c r="B2821" t="s">
        <v>9102</v>
      </c>
      <c r="C2821">
        <v>0</v>
      </c>
      <c r="D2821" t="s">
        <v>13287</v>
      </c>
      <c r="E2821">
        <v>0</v>
      </c>
      <c r="F2821" s="17">
        <v>11001</v>
      </c>
      <c r="G2821">
        <v>27148900</v>
      </c>
      <c r="H2821">
        <v>4329</v>
      </c>
    </row>
    <row r="2822" spans="1:8" ht="15" customHeight="1" x14ac:dyDescent="0.25">
      <c r="A2822" t="s">
        <v>5064</v>
      </c>
      <c r="B2822" t="s">
        <v>9103</v>
      </c>
      <c r="C2822" t="s">
        <v>12460</v>
      </c>
      <c r="D2822" t="s">
        <v>13287</v>
      </c>
      <c r="E2822" t="str">
        <f>+VLOOKUP(A2822,[1]PFE4!$A$7:$F$5208,6,0)</f>
        <v>CARRERA 15  135  25</v>
      </c>
      <c r="F2822" s="17">
        <f>+VLOOKUP(A2822,[1]PFE4!$A$7:$G$5208,7,0)</f>
        <v>11001</v>
      </c>
      <c r="G2822">
        <v>27163402</v>
      </c>
      <c r="H2822">
        <v>4329</v>
      </c>
    </row>
    <row r="2823" spans="1:8" ht="15" customHeight="1" x14ac:dyDescent="0.25">
      <c r="A2823" t="s">
        <v>5065</v>
      </c>
      <c r="B2823" t="s">
        <v>9104</v>
      </c>
      <c r="C2823" t="s">
        <v>12461</v>
      </c>
      <c r="D2823" t="s">
        <v>13287</v>
      </c>
      <c r="E2823" t="str">
        <f>+VLOOKUP(A2823,[1]PFE4!$A$7:$F$5208,6,0)</f>
        <v>CARRERA 65 B  103  52</v>
      </c>
      <c r="F2823" s="17">
        <f>+VLOOKUP(A2823,[1]PFE4!$A$7:$G$5208,7,0)</f>
        <v>11001</v>
      </c>
      <c r="G2823">
        <v>27190532</v>
      </c>
      <c r="H2823">
        <v>4329</v>
      </c>
    </row>
    <row r="2824" spans="1:8" ht="15" customHeight="1" x14ac:dyDescent="0.25">
      <c r="A2824" t="s">
        <v>5066</v>
      </c>
      <c r="B2824" t="s">
        <v>9105</v>
      </c>
      <c r="C2824" t="s">
        <v>12462</v>
      </c>
      <c r="D2824" t="s">
        <v>13287</v>
      </c>
      <c r="E2824" t="str">
        <f>+VLOOKUP(A2824,[1]PFE4!$A$7:$F$5208,6,0)</f>
        <v>CALLE 151 C  104  50</v>
      </c>
      <c r="F2824" s="17">
        <f>+VLOOKUP(A2824,[1]PFE4!$A$7:$G$5208,7,0)</f>
        <v>11001</v>
      </c>
      <c r="G2824">
        <v>27201936</v>
      </c>
      <c r="H2824">
        <v>4329</v>
      </c>
    </row>
    <row r="2825" spans="1:8" ht="15" customHeight="1" x14ac:dyDescent="0.25">
      <c r="A2825" t="s">
        <v>5067</v>
      </c>
      <c r="B2825" t="s">
        <v>9106</v>
      </c>
      <c r="C2825" t="s">
        <v>12463</v>
      </c>
      <c r="D2825" t="s">
        <v>13287</v>
      </c>
      <c r="E2825" t="str">
        <f>+VLOOKUP(A2825,[1]PFE4!$A$7:$F$5208,6,0)</f>
        <v>CR 28 70 100</v>
      </c>
      <c r="F2825" s="17">
        <f>+VLOOKUP(A2825,[1]PFE4!$A$7:$G$5208,7,0)</f>
        <v>76520</v>
      </c>
      <c r="G2825">
        <v>27303268</v>
      </c>
      <c r="H2825">
        <v>4329</v>
      </c>
    </row>
    <row r="2826" spans="1:8" ht="15" customHeight="1" x14ac:dyDescent="0.25">
      <c r="A2826" t="s">
        <v>5068</v>
      </c>
      <c r="B2826" t="s">
        <v>9107</v>
      </c>
      <c r="C2826" t="s">
        <v>11483</v>
      </c>
      <c r="D2826" t="s">
        <v>13287</v>
      </c>
      <c r="E2826" t="str">
        <f>+VLOOKUP(A2826,[1]PFE4!$A$7:$F$5208,6,0)</f>
        <v>CALLE 93  15  27</v>
      </c>
      <c r="F2826" s="17">
        <f>+VLOOKUP(A2826,[1]PFE4!$A$7:$G$5208,7,0)</f>
        <v>11001</v>
      </c>
      <c r="G2826">
        <v>27307452</v>
      </c>
      <c r="H2826">
        <v>4329</v>
      </c>
    </row>
    <row r="2827" spans="1:8" ht="15" customHeight="1" x14ac:dyDescent="0.25">
      <c r="A2827" t="s">
        <v>5069</v>
      </c>
      <c r="B2827" t="s">
        <v>9108</v>
      </c>
      <c r="C2827" t="s">
        <v>12464</v>
      </c>
      <c r="D2827" t="s">
        <v>13287</v>
      </c>
      <c r="E2827" t="str">
        <f>+VLOOKUP(A2827,[1]PFE4!$A$7:$F$5208,6,0)</f>
        <v>CARRERA 3 ESTE  6 C  82 SUR</v>
      </c>
      <c r="F2827" s="17">
        <f>+VLOOKUP(A2827,[1]PFE4!$A$7:$G$5208,7,0)</f>
        <v>11001</v>
      </c>
      <c r="G2827">
        <v>27316628</v>
      </c>
      <c r="H2827">
        <v>4329</v>
      </c>
    </row>
    <row r="2828" spans="1:8" ht="15" customHeight="1" x14ac:dyDescent="0.25">
      <c r="A2828" t="s">
        <v>5070</v>
      </c>
      <c r="B2828" t="s">
        <v>9109</v>
      </c>
      <c r="C2828" t="s">
        <v>12465</v>
      </c>
      <c r="D2828" t="s">
        <v>13287</v>
      </c>
      <c r="E2828" t="str">
        <f>+VLOOKUP(A2828,[1]PFE4!$A$7:$F$5208,6,0)</f>
        <v>CARRERA 39 B  4  20</v>
      </c>
      <c r="F2828" s="17">
        <f>+VLOOKUP(A2828,[1]PFE4!$A$7:$G$5208,7,0)</f>
        <v>11001</v>
      </c>
      <c r="G2828">
        <v>27409985</v>
      </c>
      <c r="H2828">
        <v>4329</v>
      </c>
    </row>
    <row r="2829" spans="1:8" ht="15" customHeight="1" x14ac:dyDescent="0.25">
      <c r="A2829" t="s">
        <v>5071</v>
      </c>
      <c r="B2829" t="s">
        <v>9110</v>
      </c>
      <c r="C2829" t="s">
        <v>12466</v>
      </c>
      <c r="D2829" t="s">
        <v>13287</v>
      </c>
      <c r="E2829" t="str">
        <f>+VLOOKUP(A2829,[1]PFE4!$A$7:$F$5208,6,0)</f>
        <v>CARRERA 1  78  24</v>
      </c>
      <c r="F2829" s="17">
        <f>+VLOOKUP(A2829,[1]PFE4!$A$7:$G$5208,7,0)</f>
        <v>11001</v>
      </c>
      <c r="G2829">
        <v>27418451</v>
      </c>
      <c r="H2829">
        <v>4329</v>
      </c>
    </row>
    <row r="2830" spans="1:8" ht="15" customHeight="1" x14ac:dyDescent="0.25">
      <c r="A2830" t="s">
        <v>5072</v>
      </c>
      <c r="B2830" t="s">
        <v>9111</v>
      </c>
      <c r="C2830">
        <v>3219664011</v>
      </c>
      <c r="D2830" t="s">
        <v>13287</v>
      </c>
      <c r="E2830" t="str">
        <f>+VLOOKUP(A2830,[1]PFE4!$A$7:$F$5208,6,0)</f>
        <v>CL 55 103 125</v>
      </c>
      <c r="F2830" s="17">
        <f>+VLOOKUP(A2830,[1]PFE4!$A$7:$G$5208,7,0)</f>
        <v>11001</v>
      </c>
      <c r="G2830">
        <v>27430550</v>
      </c>
      <c r="H2830">
        <v>4329</v>
      </c>
    </row>
    <row r="2831" spans="1:8" ht="15" customHeight="1" x14ac:dyDescent="0.25">
      <c r="A2831" t="s">
        <v>5073</v>
      </c>
      <c r="B2831" t="s">
        <v>9112</v>
      </c>
      <c r="C2831" t="s">
        <v>12467</v>
      </c>
      <c r="D2831" t="s">
        <v>13287</v>
      </c>
      <c r="E2831" t="str">
        <f>+VLOOKUP(A2831,[1]PFE4!$A$7:$F$5208,6,0)</f>
        <v>CALLE 10 N  58  24</v>
      </c>
      <c r="F2831" s="17" t="str">
        <f>+VLOOKUP(A2831,[1]PFE4!$A$7:$G$5208,7,0)</f>
        <v>05001</v>
      </c>
      <c r="G2831">
        <v>27445004</v>
      </c>
      <c r="H2831">
        <v>4329</v>
      </c>
    </row>
    <row r="2832" spans="1:8" ht="15" customHeight="1" x14ac:dyDescent="0.25">
      <c r="A2832" t="s">
        <v>5074</v>
      </c>
      <c r="B2832" t="s">
        <v>9113</v>
      </c>
      <c r="C2832" t="s">
        <v>12468</v>
      </c>
      <c r="D2832" t="s">
        <v>13287</v>
      </c>
      <c r="E2832" t="str">
        <f>+VLOOKUP(A2832,[1]PFE4!$A$7:$F$5208,6,0)</f>
        <v>TV 23 95 53</v>
      </c>
      <c r="F2832" s="17">
        <f>+VLOOKUP(A2832,[1]PFE4!$A$7:$G$5208,7,0)</f>
        <v>11001</v>
      </c>
      <c r="G2832">
        <v>27547760</v>
      </c>
      <c r="H2832">
        <v>4329</v>
      </c>
    </row>
    <row r="2833" spans="1:8" ht="15" customHeight="1" x14ac:dyDescent="0.25">
      <c r="A2833" t="s">
        <v>5075</v>
      </c>
      <c r="B2833" t="s">
        <v>9114</v>
      </c>
      <c r="C2833" t="s">
        <v>12469</v>
      </c>
      <c r="D2833" t="s">
        <v>13287</v>
      </c>
      <c r="E2833" t="str">
        <f>+VLOOKUP(A2833,[1]PFE4!$A$7:$F$5208,6,0)</f>
        <v>CR 25 Y 26 CL 21 Y 22</v>
      </c>
      <c r="F2833" s="17">
        <f>+VLOOKUP(A2833,[1]PFE4!$A$7:$G$5208,7,0)</f>
        <v>17001</v>
      </c>
      <c r="G2833">
        <v>27561466</v>
      </c>
      <c r="H2833">
        <v>4329</v>
      </c>
    </row>
    <row r="2834" spans="1:8" ht="15" customHeight="1" x14ac:dyDescent="0.25">
      <c r="A2834" t="s">
        <v>5076</v>
      </c>
      <c r="B2834" t="s">
        <v>9115</v>
      </c>
      <c r="C2834" t="s">
        <v>12470</v>
      </c>
      <c r="D2834" t="s">
        <v>13287</v>
      </c>
      <c r="E2834" t="str">
        <f>+VLOOKUP(A2834,[1]PFE4!$A$7:$F$5208,6,0)</f>
        <v>CL 79 C SUR 55 C 207</v>
      </c>
      <c r="F2834" s="17" t="str">
        <f>+VLOOKUP(A2834,[1]PFE4!$A$7:$G$5208,7,0)</f>
        <v>05380</v>
      </c>
      <c r="G2834">
        <v>27563388</v>
      </c>
      <c r="H2834">
        <v>4329</v>
      </c>
    </row>
    <row r="2835" spans="1:8" ht="15" customHeight="1" x14ac:dyDescent="0.25">
      <c r="A2835" t="s">
        <v>5077</v>
      </c>
      <c r="B2835" t="s">
        <v>9116</v>
      </c>
      <c r="C2835" t="s">
        <v>12471</v>
      </c>
      <c r="D2835" t="s">
        <v>13287</v>
      </c>
      <c r="E2835" t="str">
        <f>+VLOOKUP(A2835,[1]PFE4!$A$7:$F$5208,6,0)</f>
        <v>CARRERA 69  1  09</v>
      </c>
      <c r="F2835" s="17">
        <f>+VLOOKUP(A2835,[1]PFE4!$A$7:$G$5208,7,0)</f>
        <v>76001</v>
      </c>
      <c r="G2835">
        <v>27572744</v>
      </c>
      <c r="H2835">
        <v>4329</v>
      </c>
    </row>
    <row r="2836" spans="1:8" ht="15" customHeight="1" x14ac:dyDescent="0.25">
      <c r="A2836" t="s">
        <v>5078</v>
      </c>
      <c r="B2836" t="s">
        <v>9117</v>
      </c>
      <c r="C2836" t="s">
        <v>10850</v>
      </c>
      <c r="D2836" t="s">
        <v>13287</v>
      </c>
      <c r="E2836" t="str">
        <f>+VLOOKUP(A2836,[1]PFE4!$A$7:$F$5208,6,0)</f>
        <v>CALLE 11 B  31 A  205</v>
      </c>
      <c r="F2836" s="17" t="str">
        <f>+VLOOKUP(A2836,[1]PFE4!$A$7:$G$5208,7,0)</f>
        <v>05001</v>
      </c>
      <c r="G2836">
        <v>27589800</v>
      </c>
      <c r="H2836">
        <v>4329</v>
      </c>
    </row>
    <row r="2837" spans="1:8" ht="15" customHeight="1" x14ac:dyDescent="0.25">
      <c r="A2837" t="s">
        <v>5079</v>
      </c>
      <c r="B2837" t="s">
        <v>9118</v>
      </c>
      <c r="C2837" t="s">
        <v>12472</v>
      </c>
      <c r="D2837" t="s">
        <v>13287</v>
      </c>
      <c r="E2837" t="str">
        <f>+VLOOKUP(A2837,[1]PFE4!$A$7:$F$5208,6,0)</f>
        <v>CALLE 18 B SUR  36  120</v>
      </c>
      <c r="F2837" s="17" t="str">
        <f>+VLOOKUP(A2837,[1]PFE4!$A$7:$G$5208,7,0)</f>
        <v>05001</v>
      </c>
      <c r="G2837">
        <v>27592070</v>
      </c>
      <c r="H2837">
        <v>4329</v>
      </c>
    </row>
    <row r="2838" spans="1:8" ht="15" customHeight="1" x14ac:dyDescent="0.25">
      <c r="A2838" t="s">
        <v>5080</v>
      </c>
      <c r="B2838" t="s">
        <v>9119</v>
      </c>
      <c r="C2838" t="s">
        <v>12047</v>
      </c>
      <c r="D2838" t="s">
        <v>13287</v>
      </c>
      <c r="E2838" t="str">
        <f>+VLOOKUP(A2838,[1]PFE4!$A$7:$F$5208,6,0)</f>
        <v>CRA 13 1B No 74 - 78 SUR</v>
      </c>
      <c r="F2838" s="17">
        <f>+VLOOKUP(A2838,[1]PFE4!$A$7:$G$5208,7,0)</f>
        <v>11001</v>
      </c>
      <c r="G2838">
        <v>27604080</v>
      </c>
      <c r="H2838">
        <v>4329</v>
      </c>
    </row>
    <row r="2839" spans="1:8" ht="15" customHeight="1" x14ac:dyDescent="0.25">
      <c r="A2839" t="s">
        <v>5081</v>
      </c>
      <c r="B2839" t="s">
        <v>9120</v>
      </c>
      <c r="C2839">
        <v>3219664011</v>
      </c>
      <c r="D2839" t="s">
        <v>13287</v>
      </c>
      <c r="E2839" t="str">
        <f>+VLOOKUP(A2839,[1]PFE4!$A$7:$F$5208,6,0)</f>
        <v>AVENIDA 5 A  17 N  98 OFICINA 803</v>
      </c>
      <c r="F2839" s="17">
        <f>+VLOOKUP(A2839,[1]PFE4!$A$7:$G$5208,7,0)</f>
        <v>11001</v>
      </c>
      <c r="G2839">
        <v>27606742</v>
      </c>
      <c r="H2839">
        <v>4329</v>
      </c>
    </row>
    <row r="2840" spans="1:8" ht="15" customHeight="1" x14ac:dyDescent="0.25">
      <c r="A2840" t="s">
        <v>5082</v>
      </c>
      <c r="B2840" t="s">
        <v>9121</v>
      </c>
      <c r="C2840" t="s">
        <v>12473</v>
      </c>
      <c r="D2840" t="s">
        <v>13287</v>
      </c>
      <c r="E2840" t="str">
        <f>+VLOOKUP(A2840,[1]PFE4!$A$7:$F$5208,6,0)</f>
        <v>CALLE 3  25  74</v>
      </c>
      <c r="F2840" s="17" t="str">
        <f>+VLOOKUP(A2840,[1]PFE4!$A$7:$G$5208,7,0)</f>
        <v>08573</v>
      </c>
      <c r="G2840">
        <v>27627474</v>
      </c>
      <c r="H2840">
        <v>4329</v>
      </c>
    </row>
    <row r="2841" spans="1:8" ht="15" customHeight="1" x14ac:dyDescent="0.25">
      <c r="A2841" t="s">
        <v>5083</v>
      </c>
      <c r="B2841" t="s">
        <v>9122</v>
      </c>
      <c r="C2841" t="s">
        <v>12474</v>
      </c>
      <c r="D2841" t="s">
        <v>13287</v>
      </c>
      <c r="E2841" t="str">
        <f>+VLOOKUP(A2841,[1]PFE4!$A$7:$F$5208,6,0)</f>
        <v>CRA 43 B 90 141</v>
      </c>
      <c r="F2841" s="17" t="str">
        <f>+VLOOKUP(A2841,[1]PFE4!$A$7:$G$5208,7,0)</f>
        <v>08001</v>
      </c>
      <c r="G2841">
        <v>27639619</v>
      </c>
      <c r="H2841">
        <v>4329</v>
      </c>
    </row>
    <row r="2842" spans="1:8" ht="15" customHeight="1" x14ac:dyDescent="0.25">
      <c r="A2842" t="s">
        <v>5084</v>
      </c>
      <c r="B2842" t="s">
        <v>9123</v>
      </c>
      <c r="C2842" t="s">
        <v>12475</v>
      </c>
      <c r="D2842" t="s">
        <v>13287</v>
      </c>
      <c r="E2842" t="str">
        <f>+VLOOKUP(A2842,[1]PFE4!$A$7:$F$5208,6,0)</f>
        <v>CARRERA 47  106 A  08</v>
      </c>
      <c r="F2842" s="17">
        <f>+VLOOKUP(A2842,[1]PFE4!$A$7:$G$5208,7,0)</f>
        <v>11001</v>
      </c>
      <c r="G2842">
        <v>27674900</v>
      </c>
      <c r="H2842">
        <v>4329</v>
      </c>
    </row>
    <row r="2843" spans="1:8" ht="15" customHeight="1" x14ac:dyDescent="0.25">
      <c r="A2843" t="s">
        <v>5085</v>
      </c>
      <c r="B2843" t="s">
        <v>9124</v>
      </c>
      <c r="C2843" t="s">
        <v>12476</v>
      </c>
      <c r="D2843" t="s">
        <v>13287</v>
      </c>
      <c r="E2843" t="str">
        <f>+VLOOKUP(A2843,[1]PFE4!$A$7:$F$5208,6,0)</f>
        <v>CL 93 A 9 51</v>
      </c>
      <c r="F2843" s="17">
        <f>+VLOOKUP(A2843,[1]PFE4!$A$7:$G$5208,7,0)</f>
        <v>11001</v>
      </c>
      <c r="G2843">
        <v>27679372</v>
      </c>
      <c r="H2843">
        <v>4329</v>
      </c>
    </row>
    <row r="2844" spans="1:8" ht="15" customHeight="1" x14ac:dyDescent="0.25">
      <c r="A2844" t="s">
        <v>5086</v>
      </c>
      <c r="B2844" t="s">
        <v>9125</v>
      </c>
      <c r="C2844" t="s">
        <v>12477</v>
      </c>
      <c r="D2844" t="s">
        <v>13287</v>
      </c>
      <c r="E2844" t="str">
        <f>+VLOOKUP(A2844,[1]PFE4!$A$7:$F$5208,6,0)</f>
        <v>CL 58 1 W 98</v>
      </c>
      <c r="F2844" s="17">
        <f>+VLOOKUP(A2844,[1]PFE4!$A$7:$G$5208,7,0)</f>
        <v>41001</v>
      </c>
      <c r="G2844">
        <v>27734388</v>
      </c>
      <c r="H2844">
        <v>4329</v>
      </c>
    </row>
    <row r="2845" spans="1:8" ht="15" customHeight="1" x14ac:dyDescent="0.25">
      <c r="A2845" t="s">
        <v>5087</v>
      </c>
      <c r="B2845" t="s">
        <v>9126</v>
      </c>
      <c r="C2845">
        <v>3219664011</v>
      </c>
      <c r="D2845" t="s">
        <v>13287</v>
      </c>
      <c r="E2845" t="str">
        <f>+VLOOKUP(A2845,[1]PFE4!$A$7:$F$5208,6,0)</f>
        <v>CR 43 C 2 SUR 33</v>
      </c>
      <c r="F2845" s="17" t="str">
        <f>+VLOOKUP(A2845,[1]PFE4!$A$7:$G$5208,7,0)</f>
        <v>05001</v>
      </c>
      <c r="G2845">
        <v>27772708</v>
      </c>
      <c r="H2845">
        <v>4329</v>
      </c>
    </row>
    <row r="2846" spans="1:8" ht="15" customHeight="1" x14ac:dyDescent="0.25">
      <c r="A2846" t="s">
        <v>5088</v>
      </c>
      <c r="B2846" t="s">
        <v>9127</v>
      </c>
      <c r="C2846" t="s">
        <v>12478</v>
      </c>
      <c r="D2846" t="s">
        <v>13287</v>
      </c>
      <c r="E2846" t="str">
        <f>+VLOOKUP(A2846,[1]PFE4!$A$7:$F$5208,6,0)</f>
        <v>CALLE 60  27 A  18</v>
      </c>
      <c r="F2846" s="17">
        <f>+VLOOKUP(A2846,[1]PFE4!$A$7:$G$5208,7,0)</f>
        <v>76520</v>
      </c>
      <c r="G2846">
        <v>27773328</v>
      </c>
      <c r="H2846">
        <v>4329</v>
      </c>
    </row>
    <row r="2847" spans="1:8" ht="15" customHeight="1" x14ac:dyDescent="0.25">
      <c r="A2847" t="s">
        <v>5089</v>
      </c>
      <c r="B2847" t="s">
        <v>9128</v>
      </c>
      <c r="C2847" t="s">
        <v>12479</v>
      </c>
      <c r="D2847" t="s">
        <v>13287</v>
      </c>
      <c r="E2847" t="str">
        <f>+VLOOKUP(A2847,[1]PFE4!$A$7:$F$5208,6,0)</f>
        <v>CR 4 CL 6 N</v>
      </c>
      <c r="F2847" s="17">
        <f>+VLOOKUP(A2847,[1]PFE4!$A$7:$G$5208,7,0)</f>
        <v>68547</v>
      </c>
      <c r="G2847">
        <v>27812140</v>
      </c>
      <c r="H2847">
        <v>4329</v>
      </c>
    </row>
    <row r="2848" spans="1:8" ht="15" customHeight="1" x14ac:dyDescent="0.25">
      <c r="A2848" t="s">
        <v>5090</v>
      </c>
      <c r="B2848" t="s">
        <v>9129</v>
      </c>
      <c r="C2848" t="s">
        <v>12480</v>
      </c>
      <c r="D2848" t="s">
        <v>13287</v>
      </c>
      <c r="E2848" t="str">
        <f>+VLOOKUP(A2848,[1]PFE4!$A$7:$F$5208,6,0)</f>
        <v>CR 49 C 99 30</v>
      </c>
      <c r="F2848" s="17" t="str">
        <f>+VLOOKUP(A2848,[1]PFE4!$A$7:$G$5208,7,0)</f>
        <v>08001</v>
      </c>
      <c r="G2848">
        <v>27819161</v>
      </c>
      <c r="H2848">
        <v>4329</v>
      </c>
    </row>
    <row r="2849" spans="1:8" ht="15" customHeight="1" x14ac:dyDescent="0.25">
      <c r="A2849" t="s">
        <v>5091</v>
      </c>
      <c r="B2849" t="s">
        <v>9130</v>
      </c>
      <c r="C2849" t="s">
        <v>12481</v>
      </c>
      <c r="D2849" t="s">
        <v>13287</v>
      </c>
      <c r="E2849" t="str">
        <f>+VLOOKUP(A2849,[1]PFE4!$A$7:$F$5208,6,0)</f>
        <v>CARRERA 23  33  32</v>
      </c>
      <c r="F2849" s="17">
        <f>+VLOOKUP(A2849,[1]PFE4!$A$7:$G$5208,7,0)</f>
        <v>11001</v>
      </c>
      <c r="G2849">
        <v>27844420</v>
      </c>
      <c r="H2849">
        <v>4329</v>
      </c>
    </row>
    <row r="2850" spans="1:8" ht="15" customHeight="1" x14ac:dyDescent="0.25">
      <c r="A2850" t="s">
        <v>5092</v>
      </c>
      <c r="B2850" t="s">
        <v>9131</v>
      </c>
      <c r="C2850" t="s">
        <v>12482</v>
      </c>
      <c r="D2850" t="s">
        <v>13287</v>
      </c>
      <c r="E2850" t="str">
        <f>+VLOOKUP(A2850,[1]PFE4!$A$7:$F$5208,6,0)</f>
        <v>CARRERA 4  16  03</v>
      </c>
      <c r="F2850" s="17">
        <f>+VLOOKUP(A2850,[1]PFE4!$A$7:$G$5208,7,0)</f>
        <v>11001</v>
      </c>
      <c r="G2850">
        <v>27851700</v>
      </c>
      <c r="H2850">
        <v>4329</v>
      </c>
    </row>
    <row r="2851" spans="1:8" ht="15" customHeight="1" x14ac:dyDescent="0.25">
      <c r="A2851" t="s">
        <v>5093</v>
      </c>
      <c r="B2851" t="s">
        <v>9132</v>
      </c>
      <c r="C2851" t="s">
        <v>12483</v>
      </c>
      <c r="D2851" t="s">
        <v>13287</v>
      </c>
      <c r="E2851" t="str">
        <f>+VLOOKUP(A2851,[1]PFE4!$A$7:$F$5208,6,0)</f>
        <v>CARRERA 15  37  12</v>
      </c>
      <c r="F2851" s="17">
        <f>+VLOOKUP(A2851,[1]PFE4!$A$7:$G$5208,7,0)</f>
        <v>11001</v>
      </c>
      <c r="G2851">
        <v>27867628</v>
      </c>
      <c r="H2851">
        <v>4329</v>
      </c>
    </row>
    <row r="2852" spans="1:8" ht="15" customHeight="1" x14ac:dyDescent="0.25">
      <c r="A2852" t="s">
        <v>5094</v>
      </c>
      <c r="B2852" t="s">
        <v>9133</v>
      </c>
      <c r="C2852" t="s">
        <v>12484</v>
      </c>
      <c r="D2852" t="s">
        <v>13287</v>
      </c>
      <c r="E2852" t="str">
        <f>+VLOOKUP(A2852,[1]PFE4!$A$7:$F$5208,6,0)</f>
        <v>TRANSVERSAL 74 F  40 B  54 SUR</v>
      </c>
      <c r="F2852" s="17">
        <f>+VLOOKUP(A2852,[1]PFE4!$A$7:$G$5208,7,0)</f>
        <v>11001</v>
      </c>
      <c r="G2852">
        <v>27950700</v>
      </c>
      <c r="H2852">
        <v>4329</v>
      </c>
    </row>
    <row r="2853" spans="1:8" ht="15" customHeight="1" x14ac:dyDescent="0.25">
      <c r="A2853" t="s">
        <v>5095</v>
      </c>
      <c r="B2853" t="s">
        <v>9134</v>
      </c>
      <c r="C2853" t="s">
        <v>12485</v>
      </c>
      <c r="D2853" t="s">
        <v>13287</v>
      </c>
      <c r="E2853" t="str">
        <f>+VLOOKUP(A2853,[1]PFE4!$A$7:$F$5208,6,0)</f>
        <v>CL 63 54 38</v>
      </c>
      <c r="F2853" s="17" t="str">
        <f>+VLOOKUP(A2853,[1]PFE4!$A$7:$G$5208,7,0)</f>
        <v>05615</v>
      </c>
      <c r="G2853">
        <v>27961680</v>
      </c>
      <c r="H2853">
        <v>4329</v>
      </c>
    </row>
    <row r="2854" spans="1:8" ht="15" customHeight="1" x14ac:dyDescent="0.25">
      <c r="A2854" t="s">
        <v>5096</v>
      </c>
      <c r="B2854" t="s">
        <v>9135</v>
      </c>
      <c r="C2854" t="s">
        <v>12486</v>
      </c>
      <c r="D2854" t="s">
        <v>13287</v>
      </c>
      <c r="E2854" t="str">
        <f>+VLOOKUP(A2854,[1]PFE4!$A$7:$F$5208,6,0)</f>
        <v>CR 15 48 21</v>
      </c>
      <c r="F2854" s="17">
        <f>+VLOOKUP(A2854,[1]PFE4!$A$7:$G$5208,7,0)</f>
        <v>11001</v>
      </c>
      <c r="G2854">
        <v>28019181</v>
      </c>
      <c r="H2854">
        <v>4329</v>
      </c>
    </row>
    <row r="2855" spans="1:8" ht="15" customHeight="1" x14ac:dyDescent="0.25">
      <c r="A2855" t="s">
        <v>5097</v>
      </c>
      <c r="B2855" t="s">
        <v>9136</v>
      </c>
      <c r="C2855" t="s">
        <v>12487</v>
      </c>
      <c r="D2855" t="s">
        <v>13287</v>
      </c>
      <c r="E2855" t="str">
        <f>+VLOOKUP(A2855,[1]PFE4!$A$7:$F$5208,6,0)</f>
        <v>CARRERA 69  31  139</v>
      </c>
      <c r="F2855" s="17">
        <f>+VLOOKUP(A2855,[1]PFE4!$A$7:$G$5208,7,0)</f>
        <v>11001</v>
      </c>
      <c r="G2855">
        <v>28094381</v>
      </c>
      <c r="H2855">
        <v>4329</v>
      </c>
    </row>
    <row r="2856" spans="1:8" ht="15" customHeight="1" x14ac:dyDescent="0.25">
      <c r="A2856" t="s">
        <v>5098</v>
      </c>
      <c r="B2856" t="s">
        <v>9137</v>
      </c>
      <c r="C2856" t="s">
        <v>11891</v>
      </c>
      <c r="D2856" t="s">
        <v>13287</v>
      </c>
      <c r="E2856" t="str">
        <f>+VLOOKUP(A2856,[1]PFE4!$A$7:$F$5208,6,0)</f>
        <v>CARRERA 50  88  67</v>
      </c>
      <c r="F2856" s="17" t="str">
        <f>+VLOOKUP(A2856,[1]PFE4!$A$7:$G$5208,7,0)</f>
        <v>08001</v>
      </c>
      <c r="G2856">
        <v>28099792</v>
      </c>
      <c r="H2856">
        <v>4329</v>
      </c>
    </row>
    <row r="2857" spans="1:8" ht="15" customHeight="1" x14ac:dyDescent="0.25">
      <c r="A2857" t="s">
        <v>5099</v>
      </c>
      <c r="B2857" t="s">
        <v>9138</v>
      </c>
      <c r="C2857" t="s">
        <v>12488</v>
      </c>
      <c r="D2857" t="s">
        <v>13287</v>
      </c>
      <c r="E2857" t="str">
        <f>+VLOOKUP(A2857,[1]PFE4!$A$7:$F$5208,6,0)</f>
        <v>CR 22 # 36-60</v>
      </c>
      <c r="F2857" s="17">
        <f>+VLOOKUP(A2857,[1]PFE4!$A$7:$G$5208,7,0)</f>
        <v>11001</v>
      </c>
      <c r="G2857">
        <v>28112264</v>
      </c>
      <c r="H2857">
        <v>4329</v>
      </c>
    </row>
    <row r="2858" spans="1:8" ht="15" customHeight="1" x14ac:dyDescent="0.25">
      <c r="A2858" t="s">
        <v>5100</v>
      </c>
      <c r="B2858" t="s">
        <v>9139</v>
      </c>
      <c r="C2858" t="s">
        <v>11980</v>
      </c>
      <c r="D2858" t="s">
        <v>13287</v>
      </c>
      <c r="E2858" t="str">
        <f>+VLOOKUP(A2858,[1]PFE4!$A$7:$F$5208,6,0)</f>
        <v>CALLE 73  7  06</v>
      </c>
      <c r="F2858" s="17">
        <f>+VLOOKUP(A2858,[1]PFE4!$A$7:$G$5208,7,0)</f>
        <v>11001</v>
      </c>
      <c r="G2858">
        <v>28226016</v>
      </c>
      <c r="H2858">
        <v>4329</v>
      </c>
    </row>
    <row r="2859" spans="1:8" ht="15" customHeight="1" x14ac:dyDescent="0.25">
      <c r="A2859" t="s">
        <v>5101</v>
      </c>
      <c r="B2859" t="s">
        <v>9140</v>
      </c>
      <c r="C2859" t="s">
        <v>12489</v>
      </c>
      <c r="D2859" t="s">
        <v>13287</v>
      </c>
      <c r="E2859" t="str">
        <f>+VLOOKUP(A2859,[1]PFE4!$A$7:$F$5208,6,0)</f>
        <v>CARRERA 11  9 A  14</v>
      </c>
      <c r="F2859" s="17">
        <f>+VLOOKUP(A2859,[1]PFE4!$A$7:$G$5208,7,0)</f>
        <v>11001</v>
      </c>
      <c r="G2859">
        <v>28227468</v>
      </c>
      <c r="H2859">
        <v>4329</v>
      </c>
    </row>
    <row r="2860" spans="1:8" ht="15" customHeight="1" x14ac:dyDescent="0.25">
      <c r="A2860" t="s">
        <v>5102</v>
      </c>
      <c r="B2860" t="s">
        <v>9141</v>
      </c>
      <c r="C2860" t="s">
        <v>12490</v>
      </c>
      <c r="D2860" t="s">
        <v>13287</v>
      </c>
      <c r="E2860" t="str">
        <f>+VLOOKUP(A2860,[1]PFE4!$A$7:$F$5208,6,0)</f>
        <v>AVENIDA 2  21  06</v>
      </c>
      <c r="F2860" s="17">
        <f>+VLOOKUP(A2860,[1]PFE4!$A$7:$G$5208,7,0)</f>
        <v>13001</v>
      </c>
      <c r="G2860">
        <v>28270538</v>
      </c>
      <c r="H2860">
        <v>4329</v>
      </c>
    </row>
    <row r="2861" spans="1:8" ht="15" customHeight="1" x14ac:dyDescent="0.25">
      <c r="A2861" t="s">
        <v>5103</v>
      </c>
      <c r="B2861" t="s">
        <v>9142</v>
      </c>
      <c r="C2861" t="s">
        <v>12491</v>
      </c>
      <c r="D2861" t="s">
        <v>13287</v>
      </c>
      <c r="E2861" t="str">
        <f>+VLOOKUP(A2861,[1]PFE4!$A$7:$F$5208,6,0)</f>
        <v>CALLE 19  1  66</v>
      </c>
      <c r="F2861" s="17">
        <f>+VLOOKUP(A2861,[1]PFE4!$A$7:$G$5208,7,0)</f>
        <v>11001</v>
      </c>
      <c r="G2861">
        <v>28294796</v>
      </c>
      <c r="H2861">
        <v>4329</v>
      </c>
    </row>
    <row r="2862" spans="1:8" ht="15" customHeight="1" x14ac:dyDescent="0.25">
      <c r="A2862" t="s">
        <v>5104</v>
      </c>
      <c r="B2862" t="s">
        <v>9143</v>
      </c>
      <c r="C2862" t="s">
        <v>11676</v>
      </c>
      <c r="D2862" t="s">
        <v>13287</v>
      </c>
      <c r="E2862" t="str">
        <f>+VLOOKUP(A2862,[1]PFE4!$A$7:$F$5208,6,0)</f>
        <v>CALLE 128  7 C  22</v>
      </c>
      <c r="F2862" s="17">
        <f>+VLOOKUP(A2862,[1]PFE4!$A$7:$G$5208,7,0)</f>
        <v>11001</v>
      </c>
      <c r="G2862">
        <v>28322991</v>
      </c>
      <c r="H2862">
        <v>4329</v>
      </c>
    </row>
    <row r="2863" spans="1:8" ht="15" customHeight="1" x14ac:dyDescent="0.25">
      <c r="A2863" t="s">
        <v>5105</v>
      </c>
      <c r="B2863" t="s">
        <v>9144</v>
      </c>
      <c r="C2863" t="s">
        <v>12492</v>
      </c>
      <c r="D2863" t="s">
        <v>13287</v>
      </c>
      <c r="E2863" t="str">
        <f>+VLOOKUP(A2863,[1]PFE4!$A$7:$F$5208,6,0)</f>
        <v>CALLE DEL TORNO  39  114</v>
      </c>
      <c r="F2863" s="17">
        <f>+VLOOKUP(A2863,[1]PFE4!$A$7:$G$5208,7,0)</f>
        <v>11001</v>
      </c>
      <c r="G2863">
        <v>28327599</v>
      </c>
      <c r="H2863">
        <v>4329</v>
      </c>
    </row>
    <row r="2864" spans="1:8" ht="15" customHeight="1" x14ac:dyDescent="0.25">
      <c r="A2864" t="s">
        <v>5106</v>
      </c>
      <c r="B2864" t="s">
        <v>9145</v>
      </c>
      <c r="C2864" t="s">
        <v>12493</v>
      </c>
      <c r="D2864" t="s">
        <v>13287</v>
      </c>
      <c r="E2864" t="str">
        <f>+VLOOKUP(A2864,[1]PFE4!$A$7:$F$5208,6,0)</f>
        <v>CARRERA 30  10 C  134</v>
      </c>
      <c r="F2864" s="17" t="str">
        <f>+VLOOKUP(A2864,[1]PFE4!$A$7:$G$5208,7,0)</f>
        <v>05001</v>
      </c>
      <c r="G2864">
        <v>28335864</v>
      </c>
      <c r="H2864">
        <v>4329</v>
      </c>
    </row>
    <row r="2865" spans="1:8" ht="15" customHeight="1" x14ac:dyDescent="0.25">
      <c r="A2865" t="s">
        <v>5107</v>
      </c>
      <c r="B2865" t="s">
        <v>9146</v>
      </c>
      <c r="C2865" t="s">
        <v>12494</v>
      </c>
      <c r="D2865" t="s">
        <v>13287</v>
      </c>
      <c r="E2865" t="str">
        <f>+VLOOKUP(A2865,[1]PFE4!$A$7:$F$5208,6,0)</f>
        <v>CARRERA 73 B  75  190</v>
      </c>
      <c r="F2865" s="17" t="str">
        <f>+VLOOKUP(A2865,[1]PFE4!$A$7:$G$5208,7,0)</f>
        <v>05001</v>
      </c>
      <c r="G2865">
        <v>28349104</v>
      </c>
      <c r="H2865">
        <v>4329</v>
      </c>
    </row>
    <row r="2866" spans="1:8" ht="15" customHeight="1" x14ac:dyDescent="0.25">
      <c r="A2866" t="s">
        <v>5108</v>
      </c>
      <c r="B2866" t="s">
        <v>9147</v>
      </c>
      <c r="C2866" t="s">
        <v>12495</v>
      </c>
      <c r="D2866" t="s">
        <v>13287</v>
      </c>
      <c r="E2866" t="str">
        <f>+VLOOKUP(A2866,[1]PFE4!$A$7:$F$5208,6,0)</f>
        <v>CL 120 A 7 36</v>
      </c>
      <c r="F2866" s="17">
        <f>+VLOOKUP(A2866,[1]PFE4!$A$7:$G$5208,7,0)</f>
        <v>11001</v>
      </c>
      <c r="G2866">
        <v>28355657</v>
      </c>
      <c r="H2866">
        <v>4329</v>
      </c>
    </row>
    <row r="2867" spans="1:8" ht="15" customHeight="1" x14ac:dyDescent="0.25">
      <c r="A2867" t="s">
        <v>5109</v>
      </c>
      <c r="B2867" t="s">
        <v>9148</v>
      </c>
      <c r="C2867" t="s">
        <v>12400</v>
      </c>
      <c r="D2867" t="s">
        <v>13287</v>
      </c>
      <c r="E2867" t="str">
        <f>+VLOOKUP(A2867,[1]PFE4!$A$7:$F$5208,6,0)</f>
        <v>CARRERA 25  18  31</v>
      </c>
      <c r="F2867" s="17">
        <f>+VLOOKUP(A2867,[1]PFE4!$A$7:$G$5208,7,0)</f>
        <v>11001</v>
      </c>
      <c r="G2867">
        <v>28356233</v>
      </c>
      <c r="H2867">
        <v>4329</v>
      </c>
    </row>
    <row r="2868" spans="1:8" ht="15" customHeight="1" x14ac:dyDescent="0.25">
      <c r="A2868" t="s">
        <v>5110</v>
      </c>
      <c r="B2868" t="s">
        <v>9149</v>
      </c>
      <c r="C2868" t="s">
        <v>12489</v>
      </c>
      <c r="D2868" t="s">
        <v>13287</v>
      </c>
      <c r="E2868" t="str">
        <f>+VLOOKUP(A2868,[1]PFE4!$A$7:$F$5208,6,0)</f>
        <v>CARRERA 19  31 NORTE  91</v>
      </c>
      <c r="F2868" s="17">
        <f>+VLOOKUP(A2868,[1]PFE4!$A$7:$G$5208,7,0)</f>
        <v>63001</v>
      </c>
      <c r="G2868">
        <v>28391736</v>
      </c>
      <c r="H2868">
        <v>4329</v>
      </c>
    </row>
    <row r="2869" spans="1:8" ht="15" customHeight="1" x14ac:dyDescent="0.25">
      <c r="A2869" t="s">
        <v>5111</v>
      </c>
      <c r="B2869" t="s">
        <v>9150</v>
      </c>
      <c r="C2869" t="s">
        <v>11338</v>
      </c>
      <c r="D2869" t="s">
        <v>13287</v>
      </c>
      <c r="E2869" t="str">
        <f>+VLOOKUP(A2869,[1]PFE4!$A$7:$F$5208,6,0)</f>
        <v>CARRERA 15  79  84  OFICINA 303</v>
      </c>
      <c r="F2869" s="17">
        <f>+VLOOKUP(A2869,[1]PFE4!$A$7:$G$5208,7,0)</f>
        <v>11001</v>
      </c>
      <c r="G2869">
        <v>28473262</v>
      </c>
      <c r="H2869">
        <v>4329</v>
      </c>
    </row>
    <row r="2870" spans="1:8" ht="15" customHeight="1" x14ac:dyDescent="0.25">
      <c r="A2870" t="s">
        <v>5112</v>
      </c>
      <c r="B2870" t="s">
        <v>9151</v>
      </c>
      <c r="C2870" t="s">
        <v>12496</v>
      </c>
      <c r="D2870" t="s">
        <v>13287</v>
      </c>
      <c r="E2870" t="str">
        <f>+VLOOKUP(A2870,[1]PFE4!$A$7:$F$5208,6,0)</f>
        <v>CALLE 75 SUR  43 A  202</v>
      </c>
      <c r="F2870" s="17" t="str">
        <f>+VLOOKUP(A2870,[1]PFE4!$A$7:$G$5208,7,0)</f>
        <v>05631</v>
      </c>
      <c r="G2870">
        <v>28474898</v>
      </c>
      <c r="H2870">
        <v>4329</v>
      </c>
    </row>
    <row r="2871" spans="1:8" ht="15" customHeight="1" x14ac:dyDescent="0.25">
      <c r="A2871" t="s">
        <v>5113</v>
      </c>
      <c r="B2871" t="s">
        <v>9152</v>
      </c>
      <c r="C2871">
        <v>3219664011</v>
      </c>
      <c r="D2871" t="s">
        <v>13287</v>
      </c>
      <c r="E2871" t="str">
        <f>+VLOOKUP(A2871,[1]PFE4!$A$7:$F$5208,6,0)</f>
        <v>CALLE 6  3  55</v>
      </c>
      <c r="F2871" s="17">
        <f>+VLOOKUP(A2871,[1]PFE4!$A$7:$G$5208,7,0)</f>
        <v>11001</v>
      </c>
      <c r="G2871">
        <v>28616982</v>
      </c>
      <c r="H2871">
        <v>4329</v>
      </c>
    </row>
    <row r="2872" spans="1:8" ht="15" customHeight="1" x14ac:dyDescent="0.25">
      <c r="A2872" t="s">
        <v>5114</v>
      </c>
      <c r="B2872" t="s">
        <v>9153</v>
      </c>
      <c r="C2872" t="s">
        <v>10613</v>
      </c>
      <c r="D2872" t="s">
        <v>13287</v>
      </c>
      <c r="E2872" t="str">
        <f>+VLOOKUP(A2872,[1]PFE4!$A$7:$F$5208,6,0)</f>
        <v>CALLE 58  109  83</v>
      </c>
      <c r="F2872" s="17">
        <f>+VLOOKUP(A2872,[1]PFE4!$A$7:$G$5208,7,0)</f>
        <v>11001</v>
      </c>
      <c r="G2872">
        <v>28625497</v>
      </c>
      <c r="H2872">
        <v>4329</v>
      </c>
    </row>
    <row r="2873" spans="1:8" ht="15" customHeight="1" x14ac:dyDescent="0.25">
      <c r="A2873" t="s">
        <v>5115</v>
      </c>
      <c r="B2873" t="s">
        <v>9154</v>
      </c>
      <c r="C2873" t="s">
        <v>12497</v>
      </c>
      <c r="D2873" t="s">
        <v>13287</v>
      </c>
      <c r="E2873" t="str">
        <f>+VLOOKUP(A2873,[1]PFE4!$A$7:$F$5208,6,0)</f>
        <v>CARRERA 22  26  01</v>
      </c>
      <c r="F2873" s="17">
        <f>+VLOOKUP(A2873,[1]PFE4!$A$7:$G$5208,7,0)</f>
        <v>13001</v>
      </c>
      <c r="G2873">
        <v>28642368</v>
      </c>
      <c r="H2873">
        <v>4329</v>
      </c>
    </row>
    <row r="2874" spans="1:8" ht="15" customHeight="1" x14ac:dyDescent="0.25">
      <c r="A2874" t="s">
        <v>5116</v>
      </c>
      <c r="B2874" t="s">
        <v>9155</v>
      </c>
      <c r="C2874" t="s">
        <v>12498</v>
      </c>
      <c r="D2874" t="s">
        <v>13287</v>
      </c>
      <c r="E2874" t="str">
        <f>+VLOOKUP(A2874,[1]PFE4!$A$7:$F$5208,6,0)</f>
        <v>DG 83 51 106 PAR BARRO BLANCO EL PORVENIR</v>
      </c>
      <c r="F2874" s="17" t="str">
        <f>+VLOOKUP(A2874,[1]PFE4!$A$7:$G$5208,7,0)</f>
        <v>05615</v>
      </c>
      <c r="G2874">
        <v>28680000</v>
      </c>
      <c r="H2874">
        <v>4329</v>
      </c>
    </row>
    <row r="2875" spans="1:8" ht="15" customHeight="1" x14ac:dyDescent="0.25">
      <c r="A2875" t="s">
        <v>5117</v>
      </c>
      <c r="B2875" t="s">
        <v>9156</v>
      </c>
      <c r="C2875" t="s">
        <v>12499</v>
      </c>
      <c r="D2875" t="s">
        <v>13287</v>
      </c>
      <c r="E2875" t="str">
        <f>+VLOOKUP(A2875,[1]PFE4!$A$7:$F$5208,6,0)</f>
        <v>CALLE 13 B  70  105</v>
      </c>
      <c r="F2875" s="17">
        <f>+VLOOKUP(A2875,[1]PFE4!$A$7:$G$5208,7,0)</f>
        <v>11001</v>
      </c>
      <c r="G2875">
        <v>28782496</v>
      </c>
      <c r="H2875">
        <v>4329</v>
      </c>
    </row>
    <row r="2876" spans="1:8" ht="15" customHeight="1" x14ac:dyDescent="0.25">
      <c r="A2876" t="s">
        <v>5118</v>
      </c>
      <c r="B2876" t="s">
        <v>9157</v>
      </c>
      <c r="C2876" t="s">
        <v>12500</v>
      </c>
      <c r="D2876" t="s">
        <v>13287</v>
      </c>
      <c r="E2876" t="str">
        <f>+VLOOKUP(A2876,[1]PFE4!$A$7:$F$5208,6,0)</f>
        <v>CARRERA 8 A  15  107</v>
      </c>
      <c r="F2876" s="17">
        <f>+VLOOKUP(A2876,[1]PFE4!$A$7:$G$5208,7,0)</f>
        <v>11001</v>
      </c>
      <c r="G2876">
        <v>28820704</v>
      </c>
      <c r="H2876">
        <v>4329</v>
      </c>
    </row>
    <row r="2877" spans="1:8" ht="15" customHeight="1" x14ac:dyDescent="0.25">
      <c r="A2877" t="s">
        <v>5119</v>
      </c>
      <c r="B2877" t="s">
        <v>9158</v>
      </c>
      <c r="C2877" t="s">
        <v>12501</v>
      </c>
      <c r="D2877" t="s">
        <v>13287</v>
      </c>
      <c r="E2877" t="str">
        <f>+VLOOKUP(A2877,[1]PFE4!$A$7:$F$5208,6,0)</f>
        <v>CALLE 122  7 A  18</v>
      </c>
      <c r="F2877" s="17">
        <f>+VLOOKUP(A2877,[1]PFE4!$A$7:$G$5208,7,0)</f>
        <v>11001</v>
      </c>
      <c r="G2877">
        <v>28828695</v>
      </c>
      <c r="H2877">
        <v>4329</v>
      </c>
    </row>
    <row r="2878" spans="1:8" ht="15" customHeight="1" x14ac:dyDescent="0.25">
      <c r="A2878" t="s">
        <v>5120</v>
      </c>
      <c r="B2878" t="s">
        <v>9159</v>
      </c>
      <c r="C2878" t="s">
        <v>12502</v>
      </c>
      <c r="D2878" t="s">
        <v>13287</v>
      </c>
      <c r="E2878" t="str">
        <f>+VLOOKUP(A2878,[1]PFE4!$A$7:$F$5208,6,0)</f>
        <v>CARRERA 85 E  45  66</v>
      </c>
      <c r="F2878" s="17">
        <f>+VLOOKUP(A2878,[1]PFE4!$A$7:$G$5208,7,0)</f>
        <v>11001</v>
      </c>
      <c r="G2878">
        <v>28592447</v>
      </c>
      <c r="H2878">
        <v>4329</v>
      </c>
    </row>
    <row r="2879" spans="1:8" ht="15" customHeight="1" x14ac:dyDescent="0.25">
      <c r="A2879" t="s">
        <v>5121</v>
      </c>
      <c r="B2879" t="s">
        <v>9160</v>
      </c>
      <c r="C2879">
        <v>3219664011</v>
      </c>
      <c r="D2879" t="s">
        <v>13287</v>
      </c>
      <c r="E2879" t="str">
        <f>+VLOOKUP(A2879,[1]PFE4!$A$7:$F$5208,6,0)</f>
        <v>CARRERA 56  18 A  80  LOCAL 10</v>
      </c>
      <c r="F2879" s="17">
        <f>+VLOOKUP(A2879,[1]PFE4!$A$7:$G$5208,7,0)</f>
        <v>11001</v>
      </c>
      <c r="G2879">
        <v>28941563</v>
      </c>
      <c r="H2879">
        <v>4329</v>
      </c>
    </row>
    <row r="2880" spans="1:8" ht="15" customHeight="1" x14ac:dyDescent="0.25">
      <c r="A2880" t="s">
        <v>5122</v>
      </c>
      <c r="B2880" t="s">
        <v>9161</v>
      </c>
      <c r="C2880" t="s">
        <v>12503</v>
      </c>
      <c r="D2880" t="s">
        <v>13287</v>
      </c>
      <c r="E2880" t="str">
        <f>+VLOOKUP(A2880,[1]PFE4!$A$7:$F$5208,6,0)</f>
        <v>CARRERA 17  49  11</v>
      </c>
      <c r="F2880" s="17">
        <f>+VLOOKUP(A2880,[1]PFE4!$A$7:$G$5208,7,0)</f>
        <v>68081</v>
      </c>
      <c r="G2880">
        <v>28947132</v>
      </c>
      <c r="H2880">
        <v>4329</v>
      </c>
    </row>
    <row r="2881" spans="1:8" ht="15" customHeight="1" x14ac:dyDescent="0.25">
      <c r="A2881" t="s">
        <v>5123</v>
      </c>
      <c r="B2881" t="s">
        <v>9162</v>
      </c>
      <c r="C2881" t="s">
        <v>12504</v>
      </c>
      <c r="D2881" t="s">
        <v>13287</v>
      </c>
      <c r="E2881" t="str">
        <f>+VLOOKUP(A2881,[1]PFE4!$A$7:$F$5208,6,0)</f>
        <v>CARRERA 7  80  49</v>
      </c>
      <c r="F2881" s="17">
        <f>+VLOOKUP(A2881,[1]PFE4!$A$7:$G$5208,7,0)</f>
        <v>11001</v>
      </c>
      <c r="G2881">
        <v>28970268</v>
      </c>
      <c r="H2881">
        <v>4329</v>
      </c>
    </row>
    <row r="2882" spans="1:8" ht="15" customHeight="1" x14ac:dyDescent="0.25">
      <c r="A2882" t="s">
        <v>5124</v>
      </c>
      <c r="B2882" t="s">
        <v>9163</v>
      </c>
      <c r="C2882" t="s">
        <v>12498</v>
      </c>
      <c r="D2882" t="s">
        <v>13287</v>
      </c>
      <c r="E2882" t="str">
        <f>+VLOOKUP(A2882,[1]PFE4!$A$7:$F$5208,6,0)</f>
        <v>CR 86 No. 48 A - 142</v>
      </c>
      <c r="F2882" s="17" t="str">
        <f>+VLOOKUP(A2882,[1]PFE4!$A$7:$G$5208,7,0)</f>
        <v>05615</v>
      </c>
      <c r="G2882">
        <v>29062072</v>
      </c>
      <c r="H2882">
        <v>4329</v>
      </c>
    </row>
    <row r="2883" spans="1:8" ht="15" customHeight="1" x14ac:dyDescent="0.25">
      <c r="A2883" t="s">
        <v>5125</v>
      </c>
      <c r="B2883" t="s">
        <v>9164</v>
      </c>
      <c r="C2883" t="s">
        <v>12505</v>
      </c>
      <c r="D2883" t="s">
        <v>13287</v>
      </c>
      <c r="E2883" t="str">
        <f>+VLOOKUP(A2883,[1]PFE4!$A$7:$F$5208,6,0)</f>
        <v>CARRERA 6  40 RTE  179</v>
      </c>
      <c r="F2883" s="17">
        <f>+VLOOKUP(A2883,[1]PFE4!$A$7:$G$5208,7,0)</f>
        <v>11001</v>
      </c>
      <c r="G2883">
        <v>29067816</v>
      </c>
      <c r="H2883">
        <v>4329</v>
      </c>
    </row>
    <row r="2884" spans="1:8" ht="15" customHeight="1" x14ac:dyDescent="0.25">
      <c r="A2884" t="s">
        <v>5126</v>
      </c>
      <c r="B2884" t="s">
        <v>9165</v>
      </c>
      <c r="C2884" t="s">
        <v>12506</v>
      </c>
      <c r="D2884" t="s">
        <v>13287</v>
      </c>
      <c r="E2884" t="str">
        <f>+VLOOKUP(A2884,[1]PFE4!$A$7:$F$5208,6,0)</f>
        <v>CALLE 106  54  86</v>
      </c>
      <c r="F2884" s="17">
        <f>+VLOOKUP(A2884,[1]PFE4!$A$7:$G$5208,7,0)</f>
        <v>11001</v>
      </c>
      <c r="G2884">
        <v>29111820</v>
      </c>
      <c r="H2884">
        <v>4329</v>
      </c>
    </row>
    <row r="2885" spans="1:8" ht="15" customHeight="1" x14ac:dyDescent="0.25">
      <c r="A2885" t="s">
        <v>5127</v>
      </c>
      <c r="B2885" t="s">
        <v>9166</v>
      </c>
      <c r="C2885" t="s">
        <v>12507</v>
      </c>
      <c r="D2885" t="s">
        <v>13287</v>
      </c>
      <c r="E2885" t="str">
        <f>+VLOOKUP(A2885,[1]PFE4!$A$7:$F$5208,6,0)</f>
        <v>CL 93 20 40 SUR</v>
      </c>
      <c r="F2885" s="17">
        <f>+VLOOKUP(A2885,[1]PFE4!$A$7:$G$5208,7,0)</f>
        <v>11001</v>
      </c>
      <c r="G2885">
        <v>29158185</v>
      </c>
      <c r="H2885">
        <v>4329</v>
      </c>
    </row>
    <row r="2886" spans="1:8" ht="15" customHeight="1" x14ac:dyDescent="0.25">
      <c r="A2886" t="s">
        <v>5128</v>
      </c>
      <c r="B2886" t="s">
        <v>9167</v>
      </c>
      <c r="C2886" t="s">
        <v>12508</v>
      </c>
      <c r="D2886" t="s">
        <v>13287</v>
      </c>
      <c r="E2886" t="str">
        <f>+VLOOKUP(A2886,[1]PFE4!$A$7:$F$5208,6,0)</f>
        <v>CALLE 112  110  26 ESTE</v>
      </c>
      <c r="F2886" s="17">
        <f>+VLOOKUP(A2886,[1]PFE4!$A$7:$G$5208,7,0)</f>
        <v>11001</v>
      </c>
      <c r="G2886">
        <v>29249380</v>
      </c>
      <c r="H2886">
        <v>4329</v>
      </c>
    </row>
    <row r="2887" spans="1:8" ht="15" customHeight="1" x14ac:dyDescent="0.25">
      <c r="A2887" t="s">
        <v>5129</v>
      </c>
      <c r="B2887" t="s">
        <v>9168</v>
      </c>
      <c r="C2887">
        <v>3219664011</v>
      </c>
      <c r="D2887" t="s">
        <v>13287</v>
      </c>
      <c r="E2887" t="str">
        <f>+VLOOKUP(A2887,[1]PFE4!$A$7:$F$5208,6,0)</f>
        <v>AVENIDA COLOMBIA  1  40</v>
      </c>
      <c r="F2887" s="17">
        <f>+VLOOKUP(A2887,[1]PFE4!$A$7:$G$5208,7,0)</f>
        <v>76001</v>
      </c>
      <c r="G2887">
        <v>29300344</v>
      </c>
      <c r="H2887">
        <v>4329</v>
      </c>
    </row>
    <row r="2888" spans="1:8" ht="15" customHeight="1" x14ac:dyDescent="0.25">
      <c r="A2888" t="s">
        <v>5130</v>
      </c>
      <c r="B2888" t="s">
        <v>9169</v>
      </c>
      <c r="C2888" t="s">
        <v>12509</v>
      </c>
      <c r="D2888" t="s">
        <v>13287</v>
      </c>
      <c r="E2888" t="str">
        <f>+VLOOKUP(A2888,[1]PFE4!$A$7:$F$5208,6,0)</f>
        <v>CARRERA 56 C  51  90</v>
      </c>
      <c r="F2888" s="17" t="str">
        <f>+VLOOKUP(A2888,[1]PFE4!$A$7:$G$5208,7,0)</f>
        <v>05001</v>
      </c>
      <c r="G2888">
        <v>29329935</v>
      </c>
      <c r="H2888">
        <v>4329</v>
      </c>
    </row>
    <row r="2889" spans="1:8" ht="15" customHeight="1" x14ac:dyDescent="0.25">
      <c r="A2889" t="s">
        <v>5131</v>
      </c>
      <c r="B2889" t="s">
        <v>9170</v>
      </c>
      <c r="C2889" t="s">
        <v>12510</v>
      </c>
      <c r="D2889" t="s">
        <v>13287</v>
      </c>
      <c r="E2889" t="str">
        <f>+VLOOKUP(A2889,[1]PFE4!$A$7:$F$5208,6,0)</f>
        <v>CR 86 48 133</v>
      </c>
      <c r="F2889" s="17" t="str">
        <f>+VLOOKUP(A2889,[1]PFE4!$A$7:$G$5208,7,0)</f>
        <v>05615</v>
      </c>
      <c r="G2889">
        <v>29348000</v>
      </c>
      <c r="H2889">
        <v>4329</v>
      </c>
    </row>
    <row r="2890" spans="1:8" ht="15" customHeight="1" x14ac:dyDescent="0.25">
      <c r="A2890" t="s">
        <v>5132</v>
      </c>
      <c r="B2890" t="s">
        <v>9171</v>
      </c>
      <c r="C2890" t="s">
        <v>12511</v>
      </c>
      <c r="D2890" t="s">
        <v>13287</v>
      </c>
      <c r="E2890" t="str">
        <f>+VLOOKUP(A2890,[1]PFE4!$A$7:$F$5208,6,0)</f>
        <v>CR 66 B 68 71</v>
      </c>
      <c r="F2890" s="17" t="str">
        <f>+VLOOKUP(A2890,[1]PFE4!$A$7:$G$5208,7,0)</f>
        <v>08001</v>
      </c>
      <c r="G2890">
        <v>29356080</v>
      </c>
      <c r="H2890">
        <v>4329</v>
      </c>
    </row>
    <row r="2891" spans="1:8" ht="15" customHeight="1" x14ac:dyDescent="0.25">
      <c r="A2891" t="s">
        <v>5133</v>
      </c>
      <c r="B2891" t="s">
        <v>9172</v>
      </c>
      <c r="C2891" t="s">
        <v>12512</v>
      </c>
      <c r="D2891" t="s">
        <v>13287</v>
      </c>
      <c r="E2891" t="str">
        <f>+VLOOKUP(A2891,[1]PFE4!$A$7:$F$5208,6,0)</f>
        <v>DIAGONAL 1 B  1 A  872</v>
      </c>
      <c r="F2891" s="17">
        <f>+VLOOKUP(A2891,[1]PFE4!$A$7:$G$5208,7,0)</f>
        <v>11001</v>
      </c>
      <c r="G2891">
        <v>29360433</v>
      </c>
      <c r="H2891">
        <v>4329</v>
      </c>
    </row>
    <row r="2892" spans="1:8" ht="15" customHeight="1" x14ac:dyDescent="0.25">
      <c r="A2892" t="s">
        <v>5134</v>
      </c>
      <c r="B2892" t="s">
        <v>9173</v>
      </c>
      <c r="C2892" t="s">
        <v>12513</v>
      </c>
      <c r="D2892" t="s">
        <v>13287</v>
      </c>
      <c r="E2892" t="str">
        <f>+VLOOKUP(A2892,[1]PFE4!$A$7:$F$5208,6,0)</f>
        <v>CALLE 13 28-40</v>
      </c>
      <c r="F2892" s="17">
        <f>+VLOOKUP(A2892,[1]PFE4!$A$7:$G$5208,7,0)</f>
        <v>54001</v>
      </c>
      <c r="G2892">
        <v>29453400</v>
      </c>
      <c r="H2892">
        <v>4329</v>
      </c>
    </row>
    <row r="2893" spans="1:8" ht="15" customHeight="1" x14ac:dyDescent="0.25">
      <c r="A2893" t="s">
        <v>5135</v>
      </c>
      <c r="B2893" t="s">
        <v>9174</v>
      </c>
      <c r="C2893" t="s">
        <v>12514</v>
      </c>
      <c r="D2893" t="s">
        <v>13287</v>
      </c>
      <c r="E2893" t="str">
        <f>+VLOOKUP(A2893,[1]PFE4!$A$7:$F$5208,6,0)</f>
        <v>CR 41 40 131 BRR CABECERA DEL LLANO</v>
      </c>
      <c r="F2893" s="17">
        <f>+VLOOKUP(A2893,[1]PFE4!$A$7:$G$5208,7,0)</f>
        <v>11001</v>
      </c>
      <c r="G2893">
        <v>29480170</v>
      </c>
      <c r="H2893">
        <v>4329</v>
      </c>
    </row>
    <row r="2894" spans="1:8" ht="15" customHeight="1" x14ac:dyDescent="0.25">
      <c r="A2894" t="s">
        <v>5136</v>
      </c>
      <c r="B2894" t="s">
        <v>9175</v>
      </c>
      <c r="C2894" t="s">
        <v>12515</v>
      </c>
      <c r="D2894" t="s">
        <v>13287</v>
      </c>
      <c r="E2894" t="str">
        <f>+VLOOKUP(A2894,[1]PFE4!$A$7:$F$5208,6,0)</f>
        <v>CALLE 152  12 C  12</v>
      </c>
      <c r="F2894" s="17">
        <f>+VLOOKUP(A2894,[1]PFE4!$A$7:$G$5208,7,0)</f>
        <v>11001</v>
      </c>
      <c r="G2894">
        <v>29483908</v>
      </c>
      <c r="H2894">
        <v>4329</v>
      </c>
    </row>
    <row r="2895" spans="1:8" ht="15" customHeight="1" x14ac:dyDescent="0.25">
      <c r="A2895" t="s">
        <v>5137</v>
      </c>
      <c r="B2895" t="s">
        <v>9176</v>
      </c>
      <c r="C2895" t="s">
        <v>12516</v>
      </c>
      <c r="D2895" t="s">
        <v>13287</v>
      </c>
      <c r="E2895" t="str">
        <f>+VLOOKUP(A2895,[1]PFE4!$A$7:$F$5208,6,0)</f>
        <v>CALLE 20  25  51</v>
      </c>
      <c r="F2895" s="17" t="str">
        <f>+VLOOKUP(A2895,[1]PFE4!$A$7:$G$5208,7,0)</f>
        <v>05376</v>
      </c>
      <c r="G2895">
        <v>29525376</v>
      </c>
      <c r="H2895">
        <v>4329</v>
      </c>
    </row>
    <row r="2896" spans="1:8" ht="15" customHeight="1" x14ac:dyDescent="0.25">
      <c r="A2896" t="s">
        <v>5138</v>
      </c>
      <c r="B2896" t="s">
        <v>9177</v>
      </c>
      <c r="C2896" t="s">
        <v>12517</v>
      </c>
      <c r="D2896" t="s">
        <v>13287</v>
      </c>
      <c r="E2896" t="str">
        <f>+VLOOKUP(A2896,[1]PFE4!$A$7:$F$5208,6,0)</f>
        <v>DG 67 31 150 BRR TERRANOVA</v>
      </c>
      <c r="F2896" s="17" t="str">
        <f>+VLOOKUP(A2896,[1]PFE4!$A$7:$G$5208,7,0)</f>
        <v>05088</v>
      </c>
      <c r="G2896">
        <v>29537367</v>
      </c>
      <c r="H2896">
        <v>4329</v>
      </c>
    </row>
    <row r="2897" spans="1:8" ht="15" customHeight="1" x14ac:dyDescent="0.25">
      <c r="A2897" t="s">
        <v>5139</v>
      </c>
      <c r="B2897" t="s">
        <v>9178</v>
      </c>
      <c r="C2897" t="s">
        <v>12518</v>
      </c>
      <c r="D2897" t="s">
        <v>13287</v>
      </c>
      <c r="E2897" t="str">
        <f>+VLOOKUP(A2897,[1]PFE4!$A$7:$F$5208,6,0)</f>
        <v>CARRERA 41  20 A  15</v>
      </c>
      <c r="F2897" s="17">
        <f>+VLOOKUP(A2897,[1]PFE4!$A$7:$G$5208,7,0)</f>
        <v>52001</v>
      </c>
      <c r="G2897">
        <v>29626562</v>
      </c>
      <c r="H2897">
        <v>4329</v>
      </c>
    </row>
    <row r="2898" spans="1:8" ht="15" customHeight="1" x14ac:dyDescent="0.25">
      <c r="A2898" t="s">
        <v>5140</v>
      </c>
      <c r="B2898" t="s">
        <v>9179</v>
      </c>
      <c r="C2898" t="s">
        <v>12519</v>
      </c>
      <c r="D2898" t="s">
        <v>13287</v>
      </c>
      <c r="E2898" t="str">
        <f>+VLOOKUP(A2898,[1]PFE4!$A$7:$F$5208,6,0)</f>
        <v>CL 100 64 84</v>
      </c>
      <c r="F2898" s="17" t="str">
        <f>+VLOOKUP(A2898,[1]PFE4!$A$7:$G$5208,7,0)</f>
        <v>08001</v>
      </c>
      <c r="G2898">
        <v>29642800</v>
      </c>
      <c r="H2898">
        <v>4329</v>
      </c>
    </row>
    <row r="2899" spans="1:8" ht="15" customHeight="1" x14ac:dyDescent="0.25">
      <c r="A2899" t="s">
        <v>5141</v>
      </c>
      <c r="B2899" t="s">
        <v>9180</v>
      </c>
      <c r="C2899" t="s">
        <v>11875</v>
      </c>
      <c r="D2899" t="s">
        <v>13287</v>
      </c>
      <c r="E2899" t="str">
        <f>+VLOOKUP(A2899,[1]PFE4!$A$7:$F$5208,6,0)</f>
        <v>CL 7 1 B 65</v>
      </c>
      <c r="F2899" s="17">
        <f>+VLOOKUP(A2899,[1]PFE4!$A$7:$G$5208,7,0)</f>
        <v>25175</v>
      </c>
      <c r="G2899">
        <v>29717753</v>
      </c>
      <c r="H2899">
        <v>4329</v>
      </c>
    </row>
    <row r="2900" spans="1:8" ht="15" customHeight="1" x14ac:dyDescent="0.25">
      <c r="A2900" t="s">
        <v>5142</v>
      </c>
      <c r="B2900" t="s">
        <v>9181</v>
      </c>
      <c r="C2900" t="s">
        <v>12520</v>
      </c>
      <c r="D2900" t="s">
        <v>13287</v>
      </c>
      <c r="E2900" t="str">
        <f>+VLOOKUP(A2900,[1]PFE4!$A$7:$F$5208,6,0)</f>
        <v>CALLE 72 A  00  86 ESTE</v>
      </c>
      <c r="F2900" s="17">
        <f>+VLOOKUP(A2900,[1]PFE4!$A$7:$G$5208,7,0)</f>
        <v>11001</v>
      </c>
      <c r="G2900">
        <v>29727642</v>
      </c>
      <c r="H2900">
        <v>4329</v>
      </c>
    </row>
    <row r="2901" spans="1:8" ht="15" customHeight="1" x14ac:dyDescent="0.25">
      <c r="A2901" t="s">
        <v>5143</v>
      </c>
      <c r="B2901" t="s">
        <v>9182</v>
      </c>
      <c r="C2901" t="s">
        <v>12521</v>
      </c>
      <c r="D2901" t="s">
        <v>13287</v>
      </c>
      <c r="E2901" t="str">
        <f>+VLOOKUP(A2901,[1]PFE4!$A$7:$F$5208,6,0)</f>
        <v>CRA 21 35 68</v>
      </c>
      <c r="F2901" s="17">
        <f>+VLOOKUP(A2901,[1]PFE4!$A$7:$G$5208,7,0)</f>
        <v>11001</v>
      </c>
      <c r="G2901">
        <v>29864000</v>
      </c>
      <c r="H2901">
        <v>4329</v>
      </c>
    </row>
    <row r="2902" spans="1:8" ht="15" customHeight="1" x14ac:dyDescent="0.25">
      <c r="A2902" t="s">
        <v>5144</v>
      </c>
      <c r="B2902" t="s">
        <v>9183</v>
      </c>
      <c r="C2902" t="s">
        <v>12522</v>
      </c>
      <c r="D2902" t="s">
        <v>13287</v>
      </c>
      <c r="E2902" t="str">
        <f>+VLOOKUP(A2902,[1]PFE4!$A$7:$F$5208,6,0)</f>
        <v>CALLE 10  1  61</v>
      </c>
      <c r="F2902" s="17">
        <f>+VLOOKUP(A2902,[1]PFE4!$A$7:$G$5208,7,0)</f>
        <v>11001</v>
      </c>
      <c r="G2902">
        <v>29866924</v>
      </c>
      <c r="H2902">
        <v>4329</v>
      </c>
    </row>
    <row r="2903" spans="1:8" ht="15" customHeight="1" x14ac:dyDescent="0.25">
      <c r="A2903" t="s">
        <v>5145</v>
      </c>
      <c r="B2903" t="s">
        <v>9184</v>
      </c>
      <c r="C2903">
        <v>3219664011</v>
      </c>
      <c r="D2903" t="s">
        <v>13287</v>
      </c>
      <c r="E2903" t="str">
        <f>+VLOOKUP(A2903,[1]PFE4!$A$7:$F$5208,6,0)</f>
        <v>CL 73 7 06 OF 202</v>
      </c>
      <c r="F2903" s="17">
        <f>+VLOOKUP(A2903,[1]PFE4!$A$7:$G$5208,7,0)</f>
        <v>11001</v>
      </c>
      <c r="G2903">
        <v>29920000</v>
      </c>
      <c r="H2903">
        <v>4329</v>
      </c>
    </row>
    <row r="2904" spans="1:8" ht="15" customHeight="1" x14ac:dyDescent="0.25">
      <c r="A2904" t="s">
        <v>5146</v>
      </c>
      <c r="B2904" t="s">
        <v>9185</v>
      </c>
      <c r="C2904">
        <v>0</v>
      </c>
      <c r="D2904" t="s">
        <v>13287</v>
      </c>
      <c r="E2904">
        <v>0</v>
      </c>
      <c r="F2904" s="17">
        <v>11001</v>
      </c>
      <c r="G2904">
        <v>29959200</v>
      </c>
      <c r="H2904">
        <v>4329</v>
      </c>
    </row>
    <row r="2905" spans="1:8" ht="15" customHeight="1" x14ac:dyDescent="0.25">
      <c r="A2905" t="s">
        <v>5147</v>
      </c>
      <c r="B2905" t="s">
        <v>9186</v>
      </c>
      <c r="C2905" t="s">
        <v>12523</v>
      </c>
      <c r="D2905" t="s">
        <v>13287</v>
      </c>
      <c r="E2905" t="str">
        <f>+VLOOKUP(A2905,[1]PFE4!$A$7:$F$5208,6,0)</f>
        <v>CARRERA 16  82  29</v>
      </c>
      <c r="F2905" s="17">
        <f>+VLOOKUP(A2905,[1]PFE4!$A$7:$G$5208,7,0)</f>
        <v>11001</v>
      </c>
      <c r="G2905">
        <v>30011377</v>
      </c>
      <c r="H2905">
        <v>4329</v>
      </c>
    </row>
    <row r="2906" spans="1:8" ht="15" customHeight="1" x14ac:dyDescent="0.25">
      <c r="A2906" t="s">
        <v>5148</v>
      </c>
      <c r="B2906" t="s">
        <v>9187</v>
      </c>
      <c r="C2906" t="s">
        <v>12524</v>
      </c>
      <c r="D2906" t="s">
        <v>13287</v>
      </c>
      <c r="E2906" t="str">
        <f>+VLOOKUP(A2906,[1]PFE4!$A$7:$F$5208,6,0)</f>
        <v>CALLE 92  13  68</v>
      </c>
      <c r="F2906" s="17">
        <f>+VLOOKUP(A2906,[1]PFE4!$A$7:$G$5208,7,0)</f>
        <v>11001</v>
      </c>
      <c r="G2906">
        <v>30016360</v>
      </c>
      <c r="H2906">
        <v>4329</v>
      </c>
    </row>
    <row r="2907" spans="1:8" ht="15" customHeight="1" x14ac:dyDescent="0.25">
      <c r="A2907" t="s">
        <v>5149</v>
      </c>
      <c r="B2907" t="s">
        <v>9188</v>
      </c>
      <c r="C2907" t="s">
        <v>12525</v>
      </c>
      <c r="D2907" t="s">
        <v>13287</v>
      </c>
      <c r="E2907" t="str">
        <f>+VLOOKUP(A2907,[1]PFE4!$A$7:$F$5208,6,0)</f>
        <v>CR 59 27 B 540</v>
      </c>
      <c r="F2907" s="17" t="str">
        <f>+VLOOKUP(A2907,[1]PFE4!$A$7:$G$5208,7,0)</f>
        <v>05088</v>
      </c>
      <c r="G2907">
        <v>30029738</v>
      </c>
      <c r="H2907">
        <v>4329</v>
      </c>
    </row>
    <row r="2908" spans="1:8" ht="15" customHeight="1" x14ac:dyDescent="0.25">
      <c r="A2908" t="s">
        <v>5150</v>
      </c>
      <c r="B2908" t="s">
        <v>9189</v>
      </c>
      <c r="C2908" t="s">
        <v>12526</v>
      </c>
      <c r="D2908" t="s">
        <v>13287</v>
      </c>
      <c r="E2908" t="str">
        <f>+VLOOKUP(A2908,[1]PFE4!$A$7:$F$5208,6,0)</f>
        <v>CARRERA 13  4 B SUR  75</v>
      </c>
      <c r="F2908" s="17" t="str">
        <f>+VLOOKUP(A2908,[1]PFE4!$A$7:$G$5208,7,0)</f>
        <v>05001</v>
      </c>
      <c r="G2908">
        <v>30048672</v>
      </c>
      <c r="H2908">
        <v>4329</v>
      </c>
    </row>
    <row r="2909" spans="1:8" ht="15" customHeight="1" x14ac:dyDescent="0.25">
      <c r="A2909" t="s">
        <v>5151</v>
      </c>
      <c r="B2909" t="s">
        <v>9190</v>
      </c>
      <c r="C2909" t="s">
        <v>12208</v>
      </c>
      <c r="D2909" t="s">
        <v>13287</v>
      </c>
      <c r="E2909" t="str">
        <f>+VLOOKUP(A2909,[1]PFE4!$A$7:$F$5208,6,0)</f>
        <v>CR 29 34 54 38 CL 35 28 63 71 81</v>
      </c>
      <c r="F2909" s="17">
        <f>+VLOOKUP(A2909,[1]PFE4!$A$7:$G$5208,7,0)</f>
        <v>11001</v>
      </c>
      <c r="G2909">
        <v>30077300</v>
      </c>
      <c r="H2909">
        <v>4329</v>
      </c>
    </row>
    <row r="2910" spans="1:8" ht="15" customHeight="1" x14ac:dyDescent="0.25">
      <c r="A2910" t="s">
        <v>5152</v>
      </c>
      <c r="B2910" t="s">
        <v>9191</v>
      </c>
      <c r="C2910">
        <v>3219664011</v>
      </c>
      <c r="D2910" t="s">
        <v>13287</v>
      </c>
      <c r="E2910" t="str">
        <f>+VLOOKUP(A2910,[1]PFE4!$A$7:$F$5208,6,0)</f>
        <v>CR 4 103 417</v>
      </c>
      <c r="F2910" s="17">
        <f>+VLOOKUP(A2910,[1]PFE4!$A$7:$G$5208,7,0)</f>
        <v>47001</v>
      </c>
      <c r="G2910">
        <v>30093184</v>
      </c>
      <c r="H2910">
        <v>4329</v>
      </c>
    </row>
    <row r="2911" spans="1:8" ht="15" customHeight="1" x14ac:dyDescent="0.25">
      <c r="A2911" t="s">
        <v>5153</v>
      </c>
      <c r="B2911" t="s">
        <v>9192</v>
      </c>
      <c r="C2911" t="s">
        <v>12527</v>
      </c>
      <c r="D2911" t="s">
        <v>13287</v>
      </c>
      <c r="E2911" t="str">
        <f>+VLOOKUP(A2911,[1]PFE4!$A$7:$F$5208,6,0)</f>
        <v>CL  35 28 21</v>
      </c>
      <c r="F2911" s="17">
        <f>+VLOOKUP(A2911,[1]PFE4!$A$7:$G$5208,7,0)</f>
        <v>11001</v>
      </c>
      <c r="G2911">
        <v>30133686</v>
      </c>
      <c r="H2911">
        <v>4329</v>
      </c>
    </row>
    <row r="2912" spans="1:8" ht="15" customHeight="1" x14ac:dyDescent="0.25">
      <c r="A2912" t="s">
        <v>5154</v>
      </c>
      <c r="B2912" t="s">
        <v>9193</v>
      </c>
      <c r="C2912" t="s">
        <v>12528</v>
      </c>
      <c r="D2912" t="s">
        <v>13287</v>
      </c>
      <c r="E2912" t="str">
        <f>+VLOOKUP(A2912,[1]PFE4!$A$7:$F$5208,6,0)</f>
        <v>CALLE 17 A SUR  44  246</v>
      </c>
      <c r="F2912" s="17" t="str">
        <f>+VLOOKUP(A2912,[1]PFE4!$A$7:$G$5208,7,0)</f>
        <v>05001</v>
      </c>
      <c r="G2912">
        <v>30146028</v>
      </c>
      <c r="H2912">
        <v>4329</v>
      </c>
    </row>
    <row r="2913" spans="1:8" ht="15" customHeight="1" x14ac:dyDescent="0.25">
      <c r="A2913" t="s">
        <v>5155</v>
      </c>
      <c r="B2913" t="s">
        <v>9194</v>
      </c>
      <c r="C2913" t="s">
        <v>12494</v>
      </c>
      <c r="D2913" t="s">
        <v>13287</v>
      </c>
      <c r="E2913" t="str">
        <f>+VLOOKUP(A2913,[1]PFE4!$A$7:$F$5208,6,0)</f>
        <v>CALLE 15 A  35 A  100</v>
      </c>
      <c r="F2913" s="17" t="str">
        <f>+VLOOKUP(A2913,[1]PFE4!$A$7:$G$5208,7,0)</f>
        <v>05001</v>
      </c>
      <c r="G2913">
        <v>30218968</v>
      </c>
      <c r="H2913">
        <v>4329</v>
      </c>
    </row>
    <row r="2914" spans="1:8" ht="15" customHeight="1" x14ac:dyDescent="0.25">
      <c r="A2914" t="s">
        <v>5156</v>
      </c>
      <c r="B2914" t="s">
        <v>9195</v>
      </c>
      <c r="C2914" t="s">
        <v>12258</v>
      </c>
      <c r="D2914" t="s">
        <v>13287</v>
      </c>
      <c r="E2914" t="str">
        <f>+VLOOKUP(A2914,[1]PFE4!$A$7:$F$5208,6,0)</f>
        <v>CALLE 131  6  12</v>
      </c>
      <c r="F2914" s="17">
        <f>+VLOOKUP(A2914,[1]PFE4!$A$7:$G$5208,7,0)</f>
        <v>11001</v>
      </c>
      <c r="G2914">
        <v>30245178</v>
      </c>
      <c r="H2914">
        <v>4329</v>
      </c>
    </row>
    <row r="2915" spans="1:8" ht="15" customHeight="1" x14ac:dyDescent="0.25">
      <c r="A2915" t="s">
        <v>5157</v>
      </c>
      <c r="B2915" t="s">
        <v>9196</v>
      </c>
      <c r="C2915" t="s">
        <v>12529</v>
      </c>
      <c r="D2915" t="s">
        <v>13287</v>
      </c>
      <c r="E2915" t="str">
        <f>+VLOOKUP(A2915,[1]PFE4!$A$7:$F$5208,6,0)</f>
        <v>CL 77 SUR 34 82</v>
      </c>
      <c r="F2915" s="17" t="str">
        <f>+VLOOKUP(A2915,[1]PFE4!$A$7:$G$5208,7,0)</f>
        <v>05631</v>
      </c>
      <c r="G2915">
        <v>30258100</v>
      </c>
      <c r="H2915">
        <v>4329</v>
      </c>
    </row>
    <row r="2916" spans="1:8" ht="15" customHeight="1" x14ac:dyDescent="0.25">
      <c r="A2916" t="s">
        <v>5158</v>
      </c>
      <c r="B2916" t="s">
        <v>9197</v>
      </c>
      <c r="C2916" t="s">
        <v>12530</v>
      </c>
      <c r="D2916" t="s">
        <v>13287</v>
      </c>
      <c r="E2916" t="str">
        <f>+VLOOKUP(A2916,[1]PFE4!$A$7:$F$5208,6,0)</f>
        <v>CL 72 SUR 34 125</v>
      </c>
      <c r="F2916" s="17" t="str">
        <f>+VLOOKUP(A2916,[1]PFE4!$A$7:$G$5208,7,0)</f>
        <v>05631</v>
      </c>
      <c r="G2916">
        <v>30260180</v>
      </c>
      <c r="H2916">
        <v>4329</v>
      </c>
    </row>
    <row r="2917" spans="1:8" ht="15" customHeight="1" x14ac:dyDescent="0.25">
      <c r="A2917" t="s">
        <v>5159</v>
      </c>
      <c r="B2917" t="s">
        <v>9198</v>
      </c>
      <c r="C2917">
        <v>3219664011</v>
      </c>
      <c r="D2917" t="s">
        <v>13287</v>
      </c>
      <c r="E2917" t="str">
        <f>+VLOOKUP(A2917,[1]PFE4!$A$7:$F$5208,6,0)</f>
        <v>AVENIDA SANTANDER  46 A  120</v>
      </c>
      <c r="F2917" s="17">
        <f>+VLOOKUP(A2917,[1]PFE4!$A$7:$G$5208,7,0)</f>
        <v>11001</v>
      </c>
      <c r="G2917">
        <v>30302193</v>
      </c>
      <c r="H2917">
        <v>4329</v>
      </c>
    </row>
    <row r="2918" spans="1:8" ht="15" customHeight="1" x14ac:dyDescent="0.25">
      <c r="A2918" t="s">
        <v>5160</v>
      </c>
      <c r="B2918" t="s">
        <v>9199</v>
      </c>
      <c r="C2918" t="s">
        <v>12531</v>
      </c>
      <c r="D2918" t="s">
        <v>13287</v>
      </c>
      <c r="E2918" t="str">
        <f>+VLOOKUP(A2918,[1]PFE4!$A$7:$F$5208,6,0)</f>
        <v>AVENIDA CALLE 72  6  30</v>
      </c>
      <c r="F2918" s="17">
        <f>+VLOOKUP(A2918,[1]PFE4!$A$7:$G$5208,7,0)</f>
        <v>11001</v>
      </c>
      <c r="G2918">
        <v>30324892</v>
      </c>
      <c r="H2918">
        <v>4329</v>
      </c>
    </row>
    <row r="2919" spans="1:8" ht="15" customHeight="1" x14ac:dyDescent="0.25">
      <c r="A2919" t="s">
        <v>5161</v>
      </c>
      <c r="B2919" t="s">
        <v>9200</v>
      </c>
      <c r="C2919" t="s">
        <v>12532</v>
      </c>
      <c r="D2919" t="s">
        <v>13287</v>
      </c>
      <c r="E2919" t="str">
        <f>+VLOOKUP(A2919,[1]PFE4!$A$7:$F$5208,6,0)</f>
        <v>DIAGONAL 73  1  85</v>
      </c>
      <c r="F2919" s="17">
        <f>+VLOOKUP(A2919,[1]PFE4!$A$7:$G$5208,7,0)</f>
        <v>11001</v>
      </c>
      <c r="G2919">
        <v>30334286</v>
      </c>
      <c r="H2919">
        <v>4329</v>
      </c>
    </row>
    <row r="2920" spans="1:8" ht="15" customHeight="1" x14ac:dyDescent="0.25">
      <c r="A2920" t="s">
        <v>5162</v>
      </c>
      <c r="B2920" t="s">
        <v>9201</v>
      </c>
      <c r="C2920" t="s">
        <v>12533</v>
      </c>
      <c r="D2920" t="s">
        <v>13287</v>
      </c>
      <c r="E2920" t="str">
        <f>+VLOOKUP(A2920,[1]PFE4!$A$7:$F$5208,6,0)</f>
        <v>CARRERA 14  41  43</v>
      </c>
      <c r="F2920" s="17">
        <f>+VLOOKUP(A2920,[1]PFE4!$A$7:$G$5208,7,0)</f>
        <v>11001</v>
      </c>
      <c r="G2920">
        <v>30364417</v>
      </c>
      <c r="H2920">
        <v>4329</v>
      </c>
    </row>
    <row r="2921" spans="1:8" ht="15" customHeight="1" x14ac:dyDescent="0.25">
      <c r="A2921" t="s">
        <v>5163</v>
      </c>
      <c r="B2921" t="s">
        <v>9202</v>
      </c>
      <c r="C2921" t="s">
        <v>12534</v>
      </c>
      <c r="D2921" t="s">
        <v>13287</v>
      </c>
      <c r="E2921" t="str">
        <f>+VLOOKUP(A2921,[1]PFE4!$A$7:$F$5208,6,0)</f>
        <v>BRR MANGA CR 28 27 23</v>
      </c>
      <c r="F2921" s="17">
        <f>+VLOOKUP(A2921,[1]PFE4!$A$7:$G$5208,7,0)</f>
        <v>11001</v>
      </c>
      <c r="G2921">
        <v>30421200</v>
      </c>
      <c r="H2921">
        <v>4329</v>
      </c>
    </row>
    <row r="2922" spans="1:8" ht="15" customHeight="1" x14ac:dyDescent="0.25">
      <c r="A2922" t="s">
        <v>5164</v>
      </c>
      <c r="B2922" t="s">
        <v>9203</v>
      </c>
      <c r="C2922">
        <v>0</v>
      </c>
      <c r="D2922" t="s">
        <v>13287</v>
      </c>
      <c r="E2922">
        <v>0</v>
      </c>
      <c r="F2922" s="17">
        <v>11001</v>
      </c>
      <c r="G2922">
        <v>30421500</v>
      </c>
      <c r="H2922">
        <v>4329</v>
      </c>
    </row>
    <row r="2923" spans="1:8" ht="15" customHeight="1" x14ac:dyDescent="0.25">
      <c r="A2923" t="s">
        <v>5165</v>
      </c>
      <c r="B2923" t="s">
        <v>9204</v>
      </c>
      <c r="C2923">
        <v>0</v>
      </c>
      <c r="D2923" t="s">
        <v>13287</v>
      </c>
      <c r="E2923">
        <v>0</v>
      </c>
      <c r="F2923" s="17">
        <v>11001</v>
      </c>
      <c r="G2923">
        <v>30485000</v>
      </c>
      <c r="H2923">
        <v>4329</v>
      </c>
    </row>
    <row r="2924" spans="1:8" ht="15" customHeight="1" x14ac:dyDescent="0.25">
      <c r="A2924" t="s">
        <v>5166</v>
      </c>
      <c r="B2924" t="s">
        <v>9205</v>
      </c>
      <c r="C2924" t="s">
        <v>11345</v>
      </c>
      <c r="D2924" t="s">
        <v>13287</v>
      </c>
      <c r="E2924" t="str">
        <f>+VLOOKUP(A2924,[1]PFE4!$A$7:$F$5208,6,0)</f>
        <v>CR 9 A 96 22</v>
      </c>
      <c r="F2924" s="17">
        <f>+VLOOKUP(A2924,[1]PFE4!$A$7:$G$5208,7,0)</f>
        <v>11001</v>
      </c>
      <c r="G2924">
        <v>30513502</v>
      </c>
      <c r="H2924">
        <v>4329</v>
      </c>
    </row>
    <row r="2925" spans="1:8" ht="15" customHeight="1" x14ac:dyDescent="0.25">
      <c r="A2925" t="s">
        <v>5167</v>
      </c>
      <c r="B2925" t="s">
        <v>9206</v>
      </c>
      <c r="C2925" t="s">
        <v>12535</v>
      </c>
      <c r="D2925" t="s">
        <v>13287</v>
      </c>
      <c r="E2925" t="str">
        <f>+VLOOKUP(A2925,[1]PFE4!$A$7:$F$5208,6,0)</f>
        <v>CARRERA 2 B  12 A  19</v>
      </c>
      <c r="F2925" s="17">
        <f>+VLOOKUP(A2925,[1]PFE4!$A$7:$G$5208,7,0)</f>
        <v>11001</v>
      </c>
      <c r="G2925">
        <v>30562711</v>
      </c>
      <c r="H2925">
        <v>4329</v>
      </c>
    </row>
    <row r="2926" spans="1:8" ht="15" customHeight="1" x14ac:dyDescent="0.25">
      <c r="A2926" t="s">
        <v>5168</v>
      </c>
      <c r="B2926" t="s">
        <v>9207</v>
      </c>
      <c r="C2926" t="s">
        <v>12536</v>
      </c>
      <c r="D2926" t="s">
        <v>13287</v>
      </c>
      <c r="E2926" t="str">
        <f>+VLOOKUP(A2926,[1]PFE4!$A$7:$F$5208,6,0)</f>
        <v>AV. UNIVERSITARIA NO. 42 A - 30</v>
      </c>
      <c r="F2926" s="17">
        <f>+VLOOKUP(A2926,[1]PFE4!$A$7:$G$5208,7,0)</f>
        <v>11001</v>
      </c>
      <c r="G2926">
        <v>30575024</v>
      </c>
      <c r="H2926">
        <v>4329</v>
      </c>
    </row>
    <row r="2927" spans="1:8" ht="15" customHeight="1" x14ac:dyDescent="0.25">
      <c r="A2927" t="s">
        <v>5169</v>
      </c>
      <c r="B2927" t="s">
        <v>9208</v>
      </c>
      <c r="C2927" t="s">
        <v>12537</v>
      </c>
      <c r="D2927" t="s">
        <v>13287</v>
      </c>
      <c r="E2927" t="str">
        <f>+VLOOKUP(A2927,[1]PFE4!$A$7:$F$5208,6,0)</f>
        <v>CARRERA 54 D  135  34</v>
      </c>
      <c r="F2927" s="17">
        <f>+VLOOKUP(A2927,[1]PFE4!$A$7:$G$5208,7,0)</f>
        <v>11001</v>
      </c>
      <c r="G2927">
        <v>30600137</v>
      </c>
      <c r="H2927">
        <v>4329</v>
      </c>
    </row>
    <row r="2928" spans="1:8" ht="15" customHeight="1" x14ac:dyDescent="0.25">
      <c r="A2928" t="s">
        <v>5170</v>
      </c>
      <c r="B2928" t="s">
        <v>9209</v>
      </c>
      <c r="C2928" t="s">
        <v>12538</v>
      </c>
      <c r="D2928" t="s">
        <v>13287</v>
      </c>
      <c r="E2928" t="str">
        <f>+VLOOKUP(A2928,[1]PFE4!$A$7:$F$5208,6,0)</f>
        <v>CARRERA 38  41  74</v>
      </c>
      <c r="F2928" s="17">
        <f>+VLOOKUP(A2928,[1]PFE4!$A$7:$G$5208,7,0)</f>
        <v>11001</v>
      </c>
      <c r="G2928">
        <v>30641640</v>
      </c>
      <c r="H2928">
        <v>4329</v>
      </c>
    </row>
    <row r="2929" spans="1:8" ht="15" customHeight="1" x14ac:dyDescent="0.25">
      <c r="A2929" t="s">
        <v>5171</v>
      </c>
      <c r="B2929" t="s">
        <v>9210</v>
      </c>
      <c r="C2929" t="s">
        <v>12539</v>
      </c>
      <c r="D2929" t="s">
        <v>13287</v>
      </c>
      <c r="E2929" t="str">
        <f>+VLOOKUP(A2929,[1]PFE4!$A$7:$F$5208,6,0)</f>
        <v>CR 3 145 126</v>
      </c>
      <c r="F2929" s="17">
        <f>+VLOOKUP(A2929,[1]PFE4!$A$7:$G$5208,7,0)</f>
        <v>47001</v>
      </c>
      <c r="G2929">
        <v>30701952</v>
      </c>
      <c r="H2929">
        <v>4329</v>
      </c>
    </row>
    <row r="2930" spans="1:8" ht="15" customHeight="1" x14ac:dyDescent="0.25">
      <c r="A2930" t="s">
        <v>5172</v>
      </c>
      <c r="B2930" t="s">
        <v>9211</v>
      </c>
      <c r="C2930" t="s">
        <v>12540</v>
      </c>
      <c r="D2930" t="s">
        <v>13287</v>
      </c>
      <c r="E2930" t="str">
        <f>+VLOOKUP(A2930,[1]PFE4!$A$7:$F$5208,6,0)</f>
        <v>CALLE 16  0  53</v>
      </c>
      <c r="F2930" s="17">
        <f>+VLOOKUP(A2930,[1]PFE4!$A$7:$G$5208,7,0)</f>
        <v>54001</v>
      </c>
      <c r="G2930">
        <v>30767292</v>
      </c>
      <c r="H2930">
        <v>4329</v>
      </c>
    </row>
    <row r="2931" spans="1:8" ht="15" customHeight="1" x14ac:dyDescent="0.25">
      <c r="A2931" t="s">
        <v>5173</v>
      </c>
      <c r="B2931" t="s">
        <v>9212</v>
      </c>
      <c r="C2931" t="s">
        <v>12541</v>
      </c>
      <c r="D2931" t="s">
        <v>13287</v>
      </c>
      <c r="E2931" t="str">
        <f>+VLOOKUP(A2931,[1]PFE4!$A$7:$F$5208,6,0)</f>
        <v>AVENIDA SAN MARTIN  9  13</v>
      </c>
      <c r="F2931" s="17">
        <f>+VLOOKUP(A2931,[1]PFE4!$A$7:$G$5208,7,0)</f>
        <v>11001</v>
      </c>
      <c r="G2931">
        <v>30776346</v>
      </c>
      <c r="H2931">
        <v>4329</v>
      </c>
    </row>
    <row r="2932" spans="1:8" ht="15" customHeight="1" x14ac:dyDescent="0.25">
      <c r="A2932" t="s">
        <v>5174</v>
      </c>
      <c r="B2932" t="s">
        <v>9213</v>
      </c>
      <c r="C2932" t="s">
        <v>12542</v>
      </c>
      <c r="D2932" t="s">
        <v>13287</v>
      </c>
      <c r="E2932" t="str">
        <f>+VLOOKUP(A2932,[1]PFE4!$A$7:$F$5208,6,0)</f>
        <v>CL 100 19 54</v>
      </c>
      <c r="F2932" s="17">
        <f>+VLOOKUP(A2932,[1]PFE4!$A$7:$G$5208,7,0)</f>
        <v>11001</v>
      </c>
      <c r="G2932">
        <v>30812900</v>
      </c>
      <c r="H2932">
        <v>4329</v>
      </c>
    </row>
    <row r="2933" spans="1:8" ht="15" customHeight="1" x14ac:dyDescent="0.25">
      <c r="A2933" t="s">
        <v>5175</v>
      </c>
      <c r="B2933" t="s">
        <v>9214</v>
      </c>
      <c r="C2933" t="s">
        <v>12543</v>
      </c>
      <c r="D2933" t="s">
        <v>13287</v>
      </c>
      <c r="E2933" t="str">
        <f>+VLOOKUP(A2933,[1]PFE4!$A$7:$F$5208,6,0)</f>
        <v>AUT MEDELLIN KM TRES PUNTO CINCO VIA BOGOTA SIBERIA COSTADO NORTE</v>
      </c>
      <c r="F2933" s="17">
        <f>+VLOOKUP(A2933,[1]PFE4!$A$7:$G$5208,7,0)</f>
        <v>25214</v>
      </c>
      <c r="G2933">
        <v>30869062</v>
      </c>
      <c r="H2933">
        <v>4329</v>
      </c>
    </row>
    <row r="2934" spans="1:8" ht="15" customHeight="1" x14ac:dyDescent="0.25">
      <c r="A2934" t="s">
        <v>5176</v>
      </c>
      <c r="B2934" t="s">
        <v>9215</v>
      </c>
      <c r="C2934" t="s">
        <v>12544</v>
      </c>
      <c r="D2934" t="s">
        <v>13287</v>
      </c>
      <c r="E2934" t="str">
        <f>+VLOOKUP(A2934,[1]PFE4!$A$7:$F$5208,6,0)</f>
        <v>CALLE 31 NORTE  20  15</v>
      </c>
      <c r="F2934" s="17">
        <f>+VLOOKUP(A2934,[1]PFE4!$A$7:$G$5208,7,0)</f>
        <v>63001</v>
      </c>
      <c r="G2934">
        <v>30881640</v>
      </c>
      <c r="H2934">
        <v>4329</v>
      </c>
    </row>
    <row r="2935" spans="1:8" ht="15" customHeight="1" x14ac:dyDescent="0.25">
      <c r="A2935" t="s">
        <v>5177</v>
      </c>
      <c r="B2935" t="s">
        <v>9216</v>
      </c>
      <c r="C2935" t="s">
        <v>12545</v>
      </c>
      <c r="D2935" t="s">
        <v>13287</v>
      </c>
      <c r="E2935" t="str">
        <f>+VLOOKUP(A2935,[1]PFE4!$A$7:$F$5208,6,0)</f>
        <v>CL 53 55 A 67</v>
      </c>
      <c r="F2935" s="17" t="str">
        <f>+VLOOKUP(A2935,[1]PFE4!$A$7:$G$5208,7,0)</f>
        <v>05360</v>
      </c>
      <c r="G2935">
        <v>30883891</v>
      </c>
      <c r="H2935">
        <v>4329</v>
      </c>
    </row>
    <row r="2936" spans="1:8" ht="15" customHeight="1" x14ac:dyDescent="0.25">
      <c r="A2936" t="s">
        <v>5178</v>
      </c>
      <c r="B2936" t="s">
        <v>9217</v>
      </c>
      <c r="C2936" t="s">
        <v>12406</v>
      </c>
      <c r="D2936" t="s">
        <v>13287</v>
      </c>
      <c r="E2936" t="str">
        <f>+VLOOKUP(A2936,[1]PFE4!$A$7:$F$5208,6,0)</f>
        <v>CARRERA 2  65  62</v>
      </c>
      <c r="F2936" s="17">
        <f>+VLOOKUP(A2936,[1]PFE4!$A$7:$G$5208,7,0)</f>
        <v>11001</v>
      </c>
      <c r="G2936">
        <v>30935680</v>
      </c>
      <c r="H2936">
        <v>4329</v>
      </c>
    </row>
    <row r="2937" spans="1:8" ht="15" customHeight="1" x14ac:dyDescent="0.25">
      <c r="A2937" t="s">
        <v>5179</v>
      </c>
      <c r="B2937" t="s">
        <v>9218</v>
      </c>
      <c r="C2937" t="s">
        <v>12546</v>
      </c>
      <c r="D2937" t="s">
        <v>13287</v>
      </c>
      <c r="E2937" t="str">
        <f>+VLOOKUP(A2937,[1]PFE4!$A$7:$F$5208,6,0)</f>
        <v>CARRERA 15  6  97</v>
      </c>
      <c r="F2937" s="17">
        <f>+VLOOKUP(A2937,[1]PFE4!$A$7:$G$5208,7,0)</f>
        <v>11001</v>
      </c>
      <c r="G2937">
        <v>30955115</v>
      </c>
      <c r="H2937">
        <v>4329</v>
      </c>
    </row>
    <row r="2938" spans="1:8" ht="15" customHeight="1" x14ac:dyDescent="0.25">
      <c r="A2938" t="s">
        <v>5180</v>
      </c>
      <c r="B2938" t="s">
        <v>9219</v>
      </c>
      <c r="C2938" t="s">
        <v>12547</v>
      </c>
      <c r="D2938" t="s">
        <v>13287</v>
      </c>
      <c r="E2938" t="str">
        <f>+VLOOKUP(A2938,[1]PFE4!$A$7:$F$5208,6,0)</f>
        <v>CARRERA 6 C 35 N 98 BARRIO RESERVA DE LA  HACIENDA</v>
      </c>
      <c r="F2938" s="17">
        <f>+VLOOKUP(A2938,[1]PFE4!$A$7:$G$5208,7,0)</f>
        <v>19001</v>
      </c>
      <c r="G2938">
        <v>30987338</v>
      </c>
      <c r="H2938">
        <v>4329</v>
      </c>
    </row>
    <row r="2939" spans="1:8" ht="15" customHeight="1" x14ac:dyDescent="0.25">
      <c r="A2939" t="s">
        <v>5181</v>
      </c>
      <c r="B2939" t="s">
        <v>9220</v>
      </c>
      <c r="C2939" t="s">
        <v>12548</v>
      </c>
      <c r="D2939" t="s">
        <v>13287</v>
      </c>
      <c r="E2939" t="str">
        <f>+VLOOKUP(A2939,[1]PFE4!$A$7:$F$5208,6,0)</f>
        <v>CR 83 B 36 B 79</v>
      </c>
      <c r="F2939" s="17">
        <f>+VLOOKUP(A2939,[1]PFE4!$A$7:$G$5208,7,0)</f>
        <v>13001</v>
      </c>
      <c r="G2939">
        <v>31026156</v>
      </c>
      <c r="H2939">
        <v>4329</v>
      </c>
    </row>
    <row r="2940" spans="1:8" ht="15" customHeight="1" x14ac:dyDescent="0.25">
      <c r="A2940" t="s">
        <v>5182</v>
      </c>
      <c r="B2940" t="s">
        <v>9221</v>
      </c>
      <c r="C2940">
        <v>3219664011</v>
      </c>
      <c r="D2940" t="s">
        <v>13287</v>
      </c>
      <c r="E2940" t="str">
        <f>+VLOOKUP(A2940,[1]PFE4!$A$7:$F$5208,6,0)</f>
        <v>CARRERA 25  52  30</v>
      </c>
      <c r="F2940" s="17">
        <f>+VLOOKUP(A2940,[1]PFE4!$A$7:$G$5208,7,0)</f>
        <v>11001</v>
      </c>
      <c r="G2940">
        <v>31082970</v>
      </c>
      <c r="H2940">
        <v>4329</v>
      </c>
    </row>
    <row r="2941" spans="1:8" ht="15" customHeight="1" x14ac:dyDescent="0.25">
      <c r="A2941" t="s">
        <v>5183</v>
      </c>
      <c r="B2941" t="s">
        <v>9222</v>
      </c>
      <c r="C2941" t="s">
        <v>12549</v>
      </c>
      <c r="D2941" t="s">
        <v>13287</v>
      </c>
      <c r="E2941" t="str">
        <f>+VLOOKUP(A2941,[1]PFE4!$A$7:$F$5208,6,0)</f>
        <v>CR 98 18 49</v>
      </c>
      <c r="F2941" s="17">
        <f>+VLOOKUP(A2941,[1]PFE4!$A$7:$G$5208,7,0)</f>
        <v>11001</v>
      </c>
      <c r="G2941">
        <v>31085346</v>
      </c>
      <c r="H2941">
        <v>4329</v>
      </c>
    </row>
    <row r="2942" spans="1:8" ht="15" customHeight="1" x14ac:dyDescent="0.25">
      <c r="A2942" t="s">
        <v>5184</v>
      </c>
      <c r="B2942" t="s">
        <v>9223</v>
      </c>
      <c r="C2942" t="s">
        <v>12550</v>
      </c>
      <c r="D2942" t="s">
        <v>13287</v>
      </c>
      <c r="E2942" t="str">
        <f>+VLOOKUP(A2942,[1]PFE4!$A$7:$F$5208,6,0)</f>
        <v>CALLE 17 A NORTE  16 A  18</v>
      </c>
      <c r="F2942" s="17">
        <f>+VLOOKUP(A2942,[1]PFE4!$A$7:$G$5208,7,0)</f>
        <v>19001</v>
      </c>
      <c r="G2942">
        <v>31164312</v>
      </c>
      <c r="H2942">
        <v>4329</v>
      </c>
    </row>
    <row r="2943" spans="1:8" ht="15" customHeight="1" x14ac:dyDescent="0.25">
      <c r="A2943" t="s">
        <v>5185</v>
      </c>
      <c r="B2943" t="s">
        <v>9224</v>
      </c>
      <c r="C2943" t="s">
        <v>12551</v>
      </c>
      <c r="D2943" t="s">
        <v>13287</v>
      </c>
      <c r="E2943" t="str">
        <f>+VLOOKUP(A2943,[1]PFE4!$A$7:$F$5208,6,0)</f>
        <v>CR 7 A 146 89</v>
      </c>
      <c r="F2943" s="17">
        <f>+VLOOKUP(A2943,[1]PFE4!$A$7:$G$5208,7,0)</f>
        <v>11001</v>
      </c>
      <c r="G2943">
        <v>31176356</v>
      </c>
      <c r="H2943">
        <v>4329</v>
      </c>
    </row>
    <row r="2944" spans="1:8" ht="15" customHeight="1" x14ac:dyDescent="0.25">
      <c r="A2944" t="s">
        <v>5186</v>
      </c>
      <c r="B2944" t="s">
        <v>9225</v>
      </c>
      <c r="C2944" t="s">
        <v>12552</v>
      </c>
      <c r="D2944" t="s">
        <v>13287</v>
      </c>
      <c r="E2944" t="str">
        <f>+VLOOKUP(A2944,[1]PFE4!$A$7:$F$5208,6,0)</f>
        <v>CR 30 11 C 09</v>
      </c>
      <c r="F2944" s="17" t="str">
        <f>+VLOOKUP(A2944,[1]PFE4!$A$7:$G$5208,7,0)</f>
        <v>05001</v>
      </c>
      <c r="G2944">
        <v>31200000</v>
      </c>
      <c r="H2944">
        <v>4329</v>
      </c>
    </row>
    <row r="2945" spans="1:8" ht="15" customHeight="1" x14ac:dyDescent="0.25">
      <c r="A2945" t="s">
        <v>5187</v>
      </c>
      <c r="B2945" t="s">
        <v>9226</v>
      </c>
      <c r="C2945" t="s">
        <v>12553</v>
      </c>
      <c r="D2945" t="s">
        <v>13287</v>
      </c>
      <c r="E2945" t="str">
        <f>+VLOOKUP(A2945,[1]PFE4!$A$7:$F$5208,6,0)</f>
        <v>CARRERA 7  52  44</v>
      </c>
      <c r="F2945" s="17">
        <f>+VLOOKUP(A2945,[1]PFE4!$A$7:$G$5208,7,0)</f>
        <v>11001</v>
      </c>
      <c r="G2945">
        <v>31229235</v>
      </c>
      <c r="H2945">
        <v>4329</v>
      </c>
    </row>
    <row r="2946" spans="1:8" ht="15" customHeight="1" x14ac:dyDescent="0.25">
      <c r="A2946" t="s">
        <v>5188</v>
      </c>
      <c r="B2946" t="s">
        <v>9227</v>
      </c>
      <c r="C2946" t="s">
        <v>12554</v>
      </c>
      <c r="D2946" t="s">
        <v>13287</v>
      </c>
      <c r="E2946" t="str">
        <f>+VLOOKUP(A2946,[1]PFE4!$A$7:$F$5208,6,0)</f>
        <v>AVENIDA 3 F  59 NORTE  15</v>
      </c>
      <c r="F2946" s="17">
        <f>+VLOOKUP(A2946,[1]PFE4!$A$7:$G$5208,7,0)</f>
        <v>76001</v>
      </c>
      <c r="G2946">
        <v>31288881</v>
      </c>
      <c r="H2946">
        <v>4329</v>
      </c>
    </row>
    <row r="2947" spans="1:8" ht="15" customHeight="1" x14ac:dyDescent="0.25">
      <c r="A2947" t="s">
        <v>5189</v>
      </c>
      <c r="B2947" t="s">
        <v>9228</v>
      </c>
      <c r="C2947">
        <v>0</v>
      </c>
      <c r="D2947" t="s">
        <v>13287</v>
      </c>
      <c r="E2947">
        <v>0</v>
      </c>
      <c r="F2947" s="17">
        <v>11001</v>
      </c>
      <c r="G2947">
        <v>31046950</v>
      </c>
      <c r="H2947">
        <v>4329</v>
      </c>
    </row>
    <row r="2948" spans="1:8" ht="15" customHeight="1" x14ac:dyDescent="0.25">
      <c r="A2948" t="s">
        <v>5190</v>
      </c>
      <c r="B2948" t="s">
        <v>9229</v>
      </c>
      <c r="C2948" t="s">
        <v>12555</v>
      </c>
      <c r="D2948" t="s">
        <v>13287</v>
      </c>
      <c r="E2948" t="str">
        <f>+VLOOKUP(A2948,[1]PFE4!$A$7:$F$5208,6,0)</f>
        <v>CR 77 21 05</v>
      </c>
      <c r="F2948" s="17">
        <f>+VLOOKUP(A2948,[1]PFE4!$A$7:$G$5208,7,0)</f>
        <v>11001</v>
      </c>
      <c r="G2948">
        <v>31366301</v>
      </c>
      <c r="H2948">
        <v>4329</v>
      </c>
    </row>
    <row r="2949" spans="1:8" ht="15" customHeight="1" x14ac:dyDescent="0.25">
      <c r="A2949" t="s">
        <v>5191</v>
      </c>
      <c r="B2949" t="s">
        <v>9230</v>
      </c>
      <c r="C2949" t="s">
        <v>12556</v>
      </c>
      <c r="D2949" t="s">
        <v>13287</v>
      </c>
      <c r="E2949" t="str">
        <f>+VLOOKUP(A2949,[1]PFE4!$A$7:$F$5208,6,0)</f>
        <v>CALLE 22 20-24</v>
      </c>
      <c r="F2949" s="17">
        <f>+VLOOKUP(A2949,[1]PFE4!$A$7:$G$5208,7,0)</f>
        <v>68001</v>
      </c>
      <c r="G2949">
        <v>31370274</v>
      </c>
      <c r="H2949">
        <v>4329</v>
      </c>
    </row>
    <row r="2950" spans="1:8" ht="15" customHeight="1" x14ac:dyDescent="0.25">
      <c r="A2950" t="s">
        <v>5192</v>
      </c>
      <c r="B2950" t="s">
        <v>9231</v>
      </c>
      <c r="C2950" t="s">
        <v>12557</v>
      </c>
      <c r="D2950" t="s">
        <v>13287</v>
      </c>
      <c r="E2950" t="str">
        <f>+VLOOKUP(A2950,[1]PFE4!$A$7:$F$5208,6,0)</f>
        <v>LT DE TERRENODISTINGUIDO CON 37 DE LA PARCELACION BUENA SUERTE</v>
      </c>
      <c r="F2950" s="17">
        <f>+VLOOKUP(A2950,[1]PFE4!$A$7:$G$5208,7,0)</f>
        <v>25126</v>
      </c>
      <c r="G2950">
        <v>31479886</v>
      </c>
      <c r="H2950">
        <v>4329</v>
      </c>
    </row>
    <row r="2951" spans="1:8" ht="15" customHeight="1" x14ac:dyDescent="0.25">
      <c r="A2951" t="s">
        <v>5193</v>
      </c>
      <c r="B2951" t="s">
        <v>9232</v>
      </c>
      <c r="C2951" t="s">
        <v>12558</v>
      </c>
      <c r="D2951" t="s">
        <v>13287</v>
      </c>
      <c r="E2951" t="str">
        <f>+VLOOKUP(A2951,[1]PFE4!$A$7:$F$5208,6,0)</f>
        <v>CL 34 28 60</v>
      </c>
      <c r="F2951" s="17">
        <f>+VLOOKUP(A2951,[1]PFE4!$A$7:$G$5208,7,0)</f>
        <v>11001</v>
      </c>
      <c r="G2951">
        <v>31483923</v>
      </c>
      <c r="H2951">
        <v>4329</v>
      </c>
    </row>
    <row r="2952" spans="1:8" ht="15" customHeight="1" x14ac:dyDescent="0.25">
      <c r="A2952" t="s">
        <v>5194</v>
      </c>
      <c r="B2952" t="s">
        <v>9233</v>
      </c>
      <c r="C2952" t="s">
        <v>12559</v>
      </c>
      <c r="D2952" t="s">
        <v>13287</v>
      </c>
      <c r="E2952" t="str">
        <f>+VLOOKUP(A2952,[1]PFE4!$A$7:$F$5208,6,0)</f>
        <v>CARRERA 74  160  83</v>
      </c>
      <c r="F2952" s="17">
        <f>+VLOOKUP(A2952,[1]PFE4!$A$7:$G$5208,7,0)</f>
        <v>11001</v>
      </c>
      <c r="G2952">
        <v>31562740</v>
      </c>
      <c r="H2952">
        <v>4329</v>
      </c>
    </row>
    <row r="2953" spans="1:8" ht="15" customHeight="1" x14ac:dyDescent="0.25">
      <c r="A2953" t="s">
        <v>5195</v>
      </c>
      <c r="B2953" t="s">
        <v>9234</v>
      </c>
      <c r="C2953" t="s">
        <v>12560</v>
      </c>
      <c r="D2953" t="s">
        <v>13287</v>
      </c>
      <c r="E2953" t="str">
        <f>+VLOOKUP(A2953,[1]PFE4!$A$7:$F$5208,6,0)</f>
        <v>AVENIDA 19  5  72</v>
      </c>
      <c r="F2953" s="17">
        <f>+VLOOKUP(A2953,[1]PFE4!$A$7:$G$5208,7,0)</f>
        <v>11001</v>
      </c>
      <c r="G2953">
        <v>31580234</v>
      </c>
      <c r="H2953">
        <v>4329</v>
      </c>
    </row>
    <row r="2954" spans="1:8" ht="15" customHeight="1" x14ac:dyDescent="0.25">
      <c r="A2954" t="s">
        <v>5196</v>
      </c>
      <c r="B2954" t="s">
        <v>9235</v>
      </c>
      <c r="C2954" t="s">
        <v>12561</v>
      </c>
      <c r="D2954" t="s">
        <v>13287</v>
      </c>
      <c r="E2954" t="str">
        <f>+VLOOKUP(A2954,[1]PFE4!$A$7:$F$5208,6,0)</f>
        <v>DIAGONAL 23  69  60  OFICINA 105</v>
      </c>
      <c r="F2954" s="17">
        <f>+VLOOKUP(A2954,[1]PFE4!$A$7:$G$5208,7,0)</f>
        <v>11001</v>
      </c>
      <c r="G2954">
        <v>31630828</v>
      </c>
      <c r="H2954">
        <v>4329</v>
      </c>
    </row>
    <row r="2955" spans="1:8" ht="15" customHeight="1" x14ac:dyDescent="0.25">
      <c r="A2955" t="s">
        <v>5197</v>
      </c>
      <c r="B2955" t="s">
        <v>9236</v>
      </c>
      <c r="C2955" t="s">
        <v>12562</v>
      </c>
      <c r="D2955" t="s">
        <v>13287</v>
      </c>
      <c r="E2955" t="str">
        <f>+VLOOKUP(A2955,[1]PFE4!$A$7:$F$5208,6,0)</f>
        <v>BRR CENTRO  CR 38 6 21</v>
      </c>
      <c r="F2955" s="17">
        <f>+VLOOKUP(A2955,[1]PFE4!$A$7:$G$5208,7,0)</f>
        <v>11001</v>
      </c>
      <c r="G2955">
        <v>31637505</v>
      </c>
      <c r="H2955">
        <v>4329</v>
      </c>
    </row>
    <row r="2956" spans="1:8" ht="15" customHeight="1" x14ac:dyDescent="0.25">
      <c r="A2956" t="s">
        <v>5198</v>
      </c>
      <c r="B2956" t="s">
        <v>9237</v>
      </c>
      <c r="C2956" t="s">
        <v>12563</v>
      </c>
      <c r="D2956" t="s">
        <v>13287</v>
      </c>
      <c r="E2956" t="str">
        <f>+VLOOKUP(A2956,[1]PFE4!$A$7:$F$5208,6,0)</f>
        <v>CARRERA 121  18  81</v>
      </c>
      <c r="F2956" s="17">
        <f>+VLOOKUP(A2956,[1]PFE4!$A$7:$G$5208,7,0)</f>
        <v>11001</v>
      </c>
      <c r="G2956">
        <v>31685532</v>
      </c>
      <c r="H2956">
        <v>4329</v>
      </c>
    </row>
    <row r="2957" spans="1:8" ht="15" customHeight="1" x14ac:dyDescent="0.25">
      <c r="A2957" t="s">
        <v>5199</v>
      </c>
      <c r="B2957" t="s">
        <v>9238</v>
      </c>
      <c r="C2957" t="s">
        <v>12564</v>
      </c>
      <c r="D2957" t="s">
        <v>13287</v>
      </c>
      <c r="E2957" t="str">
        <f>+VLOOKUP(A2957,[1]PFE4!$A$7:$F$5208,6,0)</f>
        <v>CALLE 10  12  85</v>
      </c>
      <c r="F2957" s="17">
        <f>+VLOOKUP(A2957,[1]PFE4!$A$7:$G$5208,7,0)</f>
        <v>25126</v>
      </c>
      <c r="G2957">
        <v>31746336</v>
      </c>
      <c r="H2957">
        <v>4329</v>
      </c>
    </row>
    <row r="2958" spans="1:8" ht="15" customHeight="1" x14ac:dyDescent="0.25">
      <c r="A2958" t="s">
        <v>5200</v>
      </c>
      <c r="B2958" t="s">
        <v>9239</v>
      </c>
      <c r="C2958">
        <v>0</v>
      </c>
      <c r="D2958" t="s">
        <v>13287</v>
      </c>
      <c r="E2958">
        <v>0</v>
      </c>
      <c r="F2958" s="17">
        <v>11001</v>
      </c>
      <c r="G2958">
        <v>31776940</v>
      </c>
      <c r="H2958">
        <v>4329</v>
      </c>
    </row>
    <row r="2959" spans="1:8" ht="15" customHeight="1" x14ac:dyDescent="0.25">
      <c r="A2959" t="s">
        <v>5201</v>
      </c>
      <c r="B2959" t="s">
        <v>9240</v>
      </c>
      <c r="C2959">
        <v>3219664011</v>
      </c>
      <c r="D2959" t="s">
        <v>13287</v>
      </c>
      <c r="E2959" t="str">
        <f>+VLOOKUP(A2959,[1]PFE4!$A$7:$F$5208,6,0)</f>
        <v>CARRERA 115 A  64 C  4</v>
      </c>
      <c r="F2959" s="17" t="str">
        <f>+VLOOKUP(A2959,[1]PFE4!$A$7:$G$5208,7,0)</f>
        <v>05001</v>
      </c>
      <c r="G2959">
        <v>31813174</v>
      </c>
      <c r="H2959">
        <v>4329</v>
      </c>
    </row>
    <row r="2960" spans="1:8" ht="15" customHeight="1" x14ac:dyDescent="0.25">
      <c r="A2960" t="s">
        <v>5202</v>
      </c>
      <c r="B2960" t="s">
        <v>9241</v>
      </c>
      <c r="C2960" t="s">
        <v>12565</v>
      </c>
      <c r="D2960" t="s">
        <v>13287</v>
      </c>
      <c r="E2960" t="str">
        <f>+VLOOKUP(A2960,[1]PFE4!$A$7:$F$5208,6,0)</f>
        <v>CR 52 A C 33 A 35</v>
      </c>
      <c r="F2960" s="17" t="str">
        <f>+VLOOKUP(A2960,[1]PFE4!$A$7:$G$5208,7,0)</f>
        <v>05615</v>
      </c>
      <c r="G2960">
        <v>31907580</v>
      </c>
      <c r="H2960">
        <v>4329</v>
      </c>
    </row>
    <row r="2961" spans="1:8" ht="15" customHeight="1" x14ac:dyDescent="0.25">
      <c r="A2961" t="s">
        <v>5203</v>
      </c>
      <c r="B2961" t="s">
        <v>9242</v>
      </c>
      <c r="C2961" t="s">
        <v>12566</v>
      </c>
      <c r="D2961" t="s">
        <v>13287</v>
      </c>
      <c r="E2961" t="str">
        <f>+VLOOKUP(A2961,[1]PFE4!$A$7:$F$5208,6,0)</f>
        <v>VTE LA FLORESTA 7 139</v>
      </c>
      <c r="F2961" s="17">
        <f>+VLOOKUP(A2961,[1]PFE4!$A$7:$G$5208,7,0)</f>
        <v>11001</v>
      </c>
      <c r="G2961">
        <v>31945320</v>
      </c>
      <c r="H2961">
        <v>4329</v>
      </c>
    </row>
    <row r="2962" spans="1:8" ht="15" customHeight="1" x14ac:dyDescent="0.25">
      <c r="A2962" t="s">
        <v>5204</v>
      </c>
      <c r="B2962" t="s">
        <v>9243</v>
      </c>
      <c r="C2962" t="s">
        <v>12567</v>
      </c>
      <c r="D2962" t="s">
        <v>13287</v>
      </c>
      <c r="E2962" t="str">
        <f>+VLOOKUP(A2962,[1]PFE4!$A$7:$F$5208,6,0)</f>
        <v>CALLE 31  29  73</v>
      </c>
      <c r="F2962" s="17">
        <f>+VLOOKUP(A2962,[1]PFE4!$A$7:$G$5208,7,0)</f>
        <v>50606</v>
      </c>
      <c r="G2962">
        <v>32050072</v>
      </c>
      <c r="H2962">
        <v>4329</v>
      </c>
    </row>
    <row r="2963" spans="1:8" ht="15" customHeight="1" x14ac:dyDescent="0.25">
      <c r="A2963" t="s">
        <v>5205</v>
      </c>
      <c r="B2963" t="s">
        <v>9244</v>
      </c>
      <c r="C2963" t="s">
        <v>12568</v>
      </c>
      <c r="D2963" t="s">
        <v>13287</v>
      </c>
      <c r="E2963" t="str">
        <f>+VLOOKUP(A2963,[1]PFE4!$A$7:$F$5208,6,0)</f>
        <v>CALLE 10  26  35</v>
      </c>
      <c r="F2963" s="17">
        <f>+VLOOKUP(A2963,[1]PFE4!$A$7:$G$5208,7,0)</f>
        <v>11001</v>
      </c>
      <c r="G2963">
        <v>32067389</v>
      </c>
      <c r="H2963">
        <v>4329</v>
      </c>
    </row>
    <row r="2964" spans="1:8" ht="15" customHeight="1" x14ac:dyDescent="0.25">
      <c r="A2964" t="s">
        <v>5206</v>
      </c>
      <c r="B2964" t="s">
        <v>9245</v>
      </c>
      <c r="C2964">
        <v>0</v>
      </c>
      <c r="D2964" t="s">
        <v>13287</v>
      </c>
      <c r="E2964">
        <v>0</v>
      </c>
      <c r="F2964" s="17">
        <v>11001</v>
      </c>
      <c r="G2964">
        <v>32132800</v>
      </c>
      <c r="H2964">
        <v>4329</v>
      </c>
    </row>
    <row r="2965" spans="1:8" ht="15" customHeight="1" x14ac:dyDescent="0.25">
      <c r="A2965" t="s">
        <v>5207</v>
      </c>
      <c r="B2965" t="s">
        <v>9246</v>
      </c>
      <c r="C2965" t="s">
        <v>12569</v>
      </c>
      <c r="D2965" t="s">
        <v>13287</v>
      </c>
      <c r="E2965" t="str">
        <f>+VLOOKUP(A2965,[1]PFE4!$A$7:$F$5208,6,0)</f>
        <v>CALLE 29 D  22  62</v>
      </c>
      <c r="F2965" s="17">
        <f>+VLOOKUP(A2965,[1]PFE4!$A$7:$G$5208,7,0)</f>
        <v>13001</v>
      </c>
      <c r="G2965">
        <v>32174155</v>
      </c>
      <c r="H2965">
        <v>4329</v>
      </c>
    </row>
    <row r="2966" spans="1:8" ht="15" customHeight="1" x14ac:dyDescent="0.25">
      <c r="A2966" t="s">
        <v>5208</v>
      </c>
      <c r="B2966" t="s">
        <v>9247</v>
      </c>
      <c r="C2966" t="s">
        <v>12570</v>
      </c>
      <c r="D2966" t="s">
        <v>13287</v>
      </c>
      <c r="E2966" t="str">
        <f>+VLOOKUP(A2966,[1]PFE4!$A$7:$F$5208,6,0)</f>
        <v>CALLE 81  9  36</v>
      </c>
      <c r="F2966" s="17">
        <f>+VLOOKUP(A2966,[1]PFE4!$A$7:$G$5208,7,0)</f>
        <v>11001</v>
      </c>
      <c r="G2966">
        <v>32198166</v>
      </c>
      <c r="H2966">
        <v>4329</v>
      </c>
    </row>
    <row r="2967" spans="1:8" ht="15" customHeight="1" x14ac:dyDescent="0.25">
      <c r="A2967" t="s">
        <v>5209</v>
      </c>
      <c r="B2967" t="s">
        <v>9248</v>
      </c>
      <c r="C2967" t="s">
        <v>12571</v>
      </c>
      <c r="D2967" t="s">
        <v>13287</v>
      </c>
      <c r="E2967" t="str">
        <f>+VLOOKUP(A2967,[1]PFE4!$A$7:$F$5208,6,0)</f>
        <v>CARRERA 54  96  08</v>
      </c>
      <c r="F2967" s="17" t="str">
        <f>+VLOOKUP(A2967,[1]PFE4!$A$7:$G$5208,7,0)</f>
        <v>08001</v>
      </c>
      <c r="G2967">
        <v>32247568</v>
      </c>
      <c r="H2967">
        <v>4329</v>
      </c>
    </row>
    <row r="2968" spans="1:8" ht="15" customHeight="1" x14ac:dyDescent="0.25">
      <c r="A2968" t="s">
        <v>5210</v>
      </c>
      <c r="B2968" t="s">
        <v>9249</v>
      </c>
      <c r="C2968">
        <v>0</v>
      </c>
      <c r="D2968" t="s">
        <v>13287</v>
      </c>
      <c r="E2968">
        <v>0</v>
      </c>
      <c r="F2968" s="17">
        <v>11001</v>
      </c>
      <c r="G2968">
        <v>32307200</v>
      </c>
      <c r="H2968">
        <v>4329</v>
      </c>
    </row>
    <row r="2969" spans="1:8" ht="15" customHeight="1" x14ac:dyDescent="0.25">
      <c r="A2969" t="s">
        <v>5211</v>
      </c>
      <c r="B2969" t="s">
        <v>9250</v>
      </c>
      <c r="C2969" t="s">
        <v>12572</v>
      </c>
      <c r="D2969" t="s">
        <v>13287</v>
      </c>
      <c r="E2969" t="str">
        <f>+VLOOKUP(A2969,[1]PFE4!$A$7:$F$5208,6,0)</f>
        <v>AV CR 30 63 D 45</v>
      </c>
      <c r="F2969" s="17">
        <f>+VLOOKUP(A2969,[1]PFE4!$A$7:$G$5208,7,0)</f>
        <v>11001</v>
      </c>
      <c r="G2969">
        <v>32349172</v>
      </c>
      <c r="H2969">
        <v>4329</v>
      </c>
    </row>
    <row r="2970" spans="1:8" ht="15" customHeight="1" x14ac:dyDescent="0.25">
      <c r="A2970" t="s">
        <v>5212</v>
      </c>
      <c r="B2970" t="s">
        <v>9251</v>
      </c>
      <c r="C2970" t="s">
        <v>12573</v>
      </c>
      <c r="D2970" t="s">
        <v>13287</v>
      </c>
      <c r="E2970" t="str">
        <f>+VLOOKUP(A2970,[1]PFE4!$A$7:$F$5208,6,0)</f>
        <v>CR 99 66 E 43</v>
      </c>
      <c r="F2970" s="17" t="str">
        <f>+VLOOKUP(A2970,[1]PFE4!$A$7:$G$5208,7,0)</f>
        <v>05001</v>
      </c>
      <c r="G2970">
        <v>32354600</v>
      </c>
      <c r="H2970">
        <v>4329</v>
      </c>
    </row>
    <row r="2971" spans="1:8" ht="15" customHeight="1" x14ac:dyDescent="0.25">
      <c r="A2971" t="s">
        <v>5213</v>
      </c>
      <c r="B2971" t="s">
        <v>9252</v>
      </c>
      <c r="C2971" t="s">
        <v>11649</v>
      </c>
      <c r="D2971" t="s">
        <v>13287</v>
      </c>
      <c r="E2971" t="str">
        <f>+VLOOKUP(A2971,[1]PFE4!$A$7:$F$5208,6,0)</f>
        <v>CALLE 104 A  21  87</v>
      </c>
      <c r="F2971" s="17">
        <f>+VLOOKUP(A2971,[1]PFE4!$A$7:$G$5208,7,0)</f>
        <v>11001</v>
      </c>
      <c r="G2971">
        <v>32386392</v>
      </c>
      <c r="H2971">
        <v>4329</v>
      </c>
    </row>
    <row r="2972" spans="1:8" ht="15" customHeight="1" x14ac:dyDescent="0.25">
      <c r="A2972" t="s">
        <v>5214</v>
      </c>
      <c r="B2972" t="s">
        <v>9253</v>
      </c>
      <c r="C2972" t="s">
        <v>12574</v>
      </c>
      <c r="D2972" t="s">
        <v>13287</v>
      </c>
      <c r="E2972" t="str">
        <f>+VLOOKUP(A2972,[1]PFE4!$A$7:$F$5208,6,0)</f>
        <v>CARRERA 7  127  21</v>
      </c>
      <c r="F2972" s="17">
        <f>+VLOOKUP(A2972,[1]PFE4!$A$7:$G$5208,7,0)</f>
        <v>11001</v>
      </c>
      <c r="G2972">
        <v>32514324</v>
      </c>
      <c r="H2972">
        <v>4329</v>
      </c>
    </row>
    <row r="2973" spans="1:8" ht="15" customHeight="1" x14ac:dyDescent="0.25">
      <c r="A2973" t="s">
        <v>5215</v>
      </c>
      <c r="B2973" t="s">
        <v>9254</v>
      </c>
      <c r="C2973" t="s">
        <v>12575</v>
      </c>
      <c r="D2973" t="s">
        <v>13287</v>
      </c>
      <c r="E2973" t="str">
        <f>+VLOOKUP(A2973,[1]PFE4!$A$7:$F$5208,6,0)</f>
        <v>CALLE 27  20  61</v>
      </c>
      <c r="F2973" s="17">
        <f>+VLOOKUP(A2973,[1]PFE4!$A$7:$G$5208,7,0)</f>
        <v>11001</v>
      </c>
      <c r="G2973">
        <v>32618732</v>
      </c>
      <c r="H2973">
        <v>4329</v>
      </c>
    </row>
    <row r="2974" spans="1:8" ht="15" customHeight="1" x14ac:dyDescent="0.25">
      <c r="A2974" t="s">
        <v>5216</v>
      </c>
      <c r="B2974" t="s">
        <v>9255</v>
      </c>
      <c r="C2974" t="s">
        <v>12576</v>
      </c>
      <c r="D2974" t="s">
        <v>13287</v>
      </c>
      <c r="E2974" t="str">
        <f>+VLOOKUP(A2974,[1]PFE4!$A$7:$F$5208,6,0)</f>
        <v>CALLE 100  8 A  37  OFICINA 307</v>
      </c>
      <c r="F2974" s="17">
        <f>+VLOOKUP(A2974,[1]PFE4!$A$7:$G$5208,7,0)</f>
        <v>11001</v>
      </c>
      <c r="G2974">
        <v>32647826</v>
      </c>
      <c r="H2974">
        <v>4329</v>
      </c>
    </row>
    <row r="2975" spans="1:8" ht="15" customHeight="1" x14ac:dyDescent="0.25">
      <c r="A2975" t="s">
        <v>5217</v>
      </c>
      <c r="B2975" t="s">
        <v>9256</v>
      </c>
      <c r="C2975" t="s">
        <v>12577</v>
      </c>
      <c r="D2975" t="s">
        <v>13287</v>
      </c>
      <c r="E2975" t="str">
        <f>+VLOOKUP(A2975,[1]PFE4!$A$7:$F$5208,6,0)</f>
        <v>CALLE 31 F  71  60</v>
      </c>
      <c r="F2975" s="17">
        <f>+VLOOKUP(A2975,[1]PFE4!$A$7:$G$5208,7,0)</f>
        <v>13001</v>
      </c>
      <c r="G2975">
        <v>32668332</v>
      </c>
      <c r="H2975">
        <v>4329</v>
      </c>
    </row>
    <row r="2976" spans="1:8" ht="15" customHeight="1" x14ac:dyDescent="0.25">
      <c r="A2976" t="s">
        <v>5218</v>
      </c>
      <c r="B2976" t="s">
        <v>9257</v>
      </c>
      <c r="C2976" t="s">
        <v>12578</v>
      </c>
      <c r="D2976" t="s">
        <v>13287</v>
      </c>
      <c r="E2976" t="str">
        <f>+VLOOKUP(A2976,[1]PFE4!$A$7:$F$5208,6,0)</f>
        <v>CR 108   42   92</v>
      </c>
      <c r="F2976" s="17">
        <f>+VLOOKUP(A2976,[1]PFE4!$A$7:$G$5208,7,0)</f>
        <v>76001</v>
      </c>
      <c r="G2976">
        <v>32699248</v>
      </c>
      <c r="H2976">
        <v>4329</v>
      </c>
    </row>
    <row r="2977" spans="1:8" ht="15" customHeight="1" x14ac:dyDescent="0.25">
      <c r="A2977" t="s">
        <v>5219</v>
      </c>
      <c r="B2977" t="s">
        <v>9258</v>
      </c>
      <c r="C2977" t="s">
        <v>12579</v>
      </c>
      <c r="D2977" t="s">
        <v>13287</v>
      </c>
      <c r="E2977" t="str">
        <f>+VLOOKUP(A2977,[1]PFE4!$A$7:$F$5208,6,0)</f>
        <v>CARRERA 25 A  38 D SUR  30</v>
      </c>
      <c r="F2977" s="17" t="str">
        <f>+VLOOKUP(A2977,[1]PFE4!$A$7:$G$5208,7,0)</f>
        <v>05266</v>
      </c>
      <c r="G2977">
        <v>32708936</v>
      </c>
      <c r="H2977">
        <v>4329</v>
      </c>
    </row>
    <row r="2978" spans="1:8" ht="15" customHeight="1" x14ac:dyDescent="0.25">
      <c r="A2978" t="s">
        <v>5220</v>
      </c>
      <c r="B2978" t="s">
        <v>9259</v>
      </c>
      <c r="C2978">
        <v>0</v>
      </c>
      <c r="D2978" t="s">
        <v>13287</v>
      </c>
      <c r="E2978">
        <v>0</v>
      </c>
      <c r="F2978" s="17">
        <v>11001</v>
      </c>
      <c r="G2978">
        <v>32724689</v>
      </c>
      <c r="H2978">
        <v>4329</v>
      </c>
    </row>
    <row r="2979" spans="1:8" ht="15" customHeight="1" x14ac:dyDescent="0.25">
      <c r="A2979" t="s">
        <v>5221</v>
      </c>
      <c r="B2979" t="s">
        <v>9260</v>
      </c>
      <c r="C2979" t="s">
        <v>12580</v>
      </c>
      <c r="D2979" t="s">
        <v>13287</v>
      </c>
      <c r="E2979" t="str">
        <f>+VLOOKUP(A2979,[1]PFE4!$A$7:$F$5208,6,0)</f>
        <v>AVENIDA 7  9 N  63</v>
      </c>
      <c r="F2979" s="17">
        <f>+VLOOKUP(A2979,[1]PFE4!$A$7:$G$5208,7,0)</f>
        <v>11001</v>
      </c>
      <c r="G2979">
        <v>32724736</v>
      </c>
      <c r="H2979">
        <v>4329</v>
      </c>
    </row>
    <row r="2980" spans="1:8" ht="15" customHeight="1" x14ac:dyDescent="0.25">
      <c r="A2980" t="s">
        <v>5222</v>
      </c>
      <c r="B2980" t="s">
        <v>9261</v>
      </c>
      <c r="C2980" t="s">
        <v>12581</v>
      </c>
      <c r="D2980" t="s">
        <v>13287</v>
      </c>
      <c r="E2980" t="str">
        <f>+VLOOKUP(A2980,[1]PFE4!$A$7:$F$5208,6,0)</f>
        <v>CL 51 23 45</v>
      </c>
      <c r="F2980" s="17">
        <f>+VLOOKUP(A2980,[1]PFE4!$A$7:$G$5208,7,0)</f>
        <v>11001</v>
      </c>
      <c r="G2980">
        <v>32743776</v>
      </c>
      <c r="H2980">
        <v>4329</v>
      </c>
    </row>
    <row r="2981" spans="1:8" ht="15" customHeight="1" x14ac:dyDescent="0.25">
      <c r="A2981" t="s">
        <v>5223</v>
      </c>
      <c r="B2981" t="s">
        <v>9262</v>
      </c>
      <c r="C2981" t="s">
        <v>12031</v>
      </c>
      <c r="D2981" t="s">
        <v>13287</v>
      </c>
      <c r="E2981" t="str">
        <f>+VLOOKUP(A2981,[1]PFE4!$A$7:$F$5208,6,0)</f>
        <v>AV 5 B 52 NORTE 58</v>
      </c>
      <c r="F2981" s="17">
        <f>+VLOOKUP(A2981,[1]PFE4!$A$7:$G$5208,7,0)</f>
        <v>76001</v>
      </c>
      <c r="G2981">
        <v>32775700</v>
      </c>
      <c r="H2981">
        <v>4329</v>
      </c>
    </row>
    <row r="2982" spans="1:8" ht="15" customHeight="1" x14ac:dyDescent="0.25">
      <c r="A2982" t="s">
        <v>5224</v>
      </c>
      <c r="B2982" t="s">
        <v>9263</v>
      </c>
      <c r="C2982" t="s">
        <v>11216</v>
      </c>
      <c r="D2982" t="s">
        <v>13287</v>
      </c>
      <c r="E2982" t="str">
        <f>+VLOOKUP(A2982,[1]PFE4!$A$7:$F$5208,6,0)</f>
        <v>Cra 97 BIS 58 - 50</v>
      </c>
      <c r="F2982" s="17">
        <f>+VLOOKUP(A2982,[1]PFE4!$A$7:$G$5208,7,0)</f>
        <v>11001</v>
      </c>
      <c r="G2982">
        <v>32791575</v>
      </c>
      <c r="H2982">
        <v>4329</v>
      </c>
    </row>
    <row r="2983" spans="1:8" ht="15" customHeight="1" x14ac:dyDescent="0.25">
      <c r="A2983" t="s">
        <v>5225</v>
      </c>
      <c r="B2983" t="s">
        <v>9264</v>
      </c>
      <c r="C2983" t="s">
        <v>12582</v>
      </c>
      <c r="D2983" t="s">
        <v>13287</v>
      </c>
      <c r="E2983" t="str">
        <f>+VLOOKUP(A2983,[1]PFE4!$A$7:$F$5208,6,0)</f>
        <v>AVENIDA PRADILLA DG 13 3 ESTE 98</v>
      </c>
      <c r="F2983" s="17" t="str">
        <f>+VLOOKUP(A2983,[1]PFE4!$A$7:$G$5208,7,0)</f>
        <v>05001</v>
      </c>
      <c r="G2983">
        <v>32833478</v>
      </c>
      <c r="H2983">
        <v>4329</v>
      </c>
    </row>
    <row r="2984" spans="1:8" ht="15" customHeight="1" x14ac:dyDescent="0.25">
      <c r="A2984" t="s">
        <v>5226</v>
      </c>
      <c r="B2984" t="s">
        <v>9265</v>
      </c>
      <c r="C2984" t="s">
        <v>12583</v>
      </c>
      <c r="D2984" t="s">
        <v>13287</v>
      </c>
      <c r="E2984" t="str">
        <f>+VLOOKUP(A2984,[1]PFE4!$A$7:$F$5208,6,0)</f>
        <v>AV. 38 67-17 NIQUIA QUITASOL</v>
      </c>
      <c r="F2984" s="17" t="str">
        <f>+VLOOKUP(A2984,[1]PFE4!$A$7:$G$5208,7,0)</f>
        <v>05088</v>
      </c>
      <c r="G2984">
        <v>32892222</v>
      </c>
      <c r="H2984">
        <v>4329</v>
      </c>
    </row>
    <row r="2985" spans="1:8" ht="15" customHeight="1" x14ac:dyDescent="0.25">
      <c r="A2985" t="s">
        <v>5227</v>
      </c>
      <c r="B2985" t="s">
        <v>9266</v>
      </c>
      <c r="C2985">
        <v>3219664011</v>
      </c>
      <c r="D2985" t="s">
        <v>13287</v>
      </c>
      <c r="E2985" t="str">
        <f>+VLOOKUP(A2985,[1]PFE4!$A$7:$F$5208,6,0)</f>
        <v>CARRERA 49 C  80  125</v>
      </c>
      <c r="F2985" s="17" t="str">
        <f>+VLOOKUP(A2985,[1]PFE4!$A$7:$G$5208,7,0)</f>
        <v>08001</v>
      </c>
      <c r="G2985">
        <v>33050796</v>
      </c>
      <c r="H2985">
        <v>4329</v>
      </c>
    </row>
    <row r="2986" spans="1:8" ht="15" customHeight="1" x14ac:dyDescent="0.25">
      <c r="A2986" t="s">
        <v>5228</v>
      </c>
      <c r="B2986" t="s">
        <v>9267</v>
      </c>
      <c r="C2986" t="s">
        <v>12584</v>
      </c>
      <c r="D2986" t="s">
        <v>13287</v>
      </c>
      <c r="E2986" t="str">
        <f>+VLOOKUP(A2986,[1]PFE4!$A$7:$F$5208,6,0)</f>
        <v>VIA PANAMERICANA SUR 49-114 GUAMAL</v>
      </c>
      <c r="F2986" s="17">
        <f>+VLOOKUP(A2986,[1]PFE4!$A$7:$G$5208,7,0)</f>
        <v>11001</v>
      </c>
      <c r="G2986">
        <v>33062990</v>
      </c>
      <c r="H2986">
        <v>4329</v>
      </c>
    </row>
    <row r="2987" spans="1:8" ht="15" customHeight="1" x14ac:dyDescent="0.25">
      <c r="A2987" t="s">
        <v>5229</v>
      </c>
      <c r="B2987" t="s">
        <v>9268</v>
      </c>
      <c r="C2987" t="s">
        <v>12585</v>
      </c>
      <c r="D2987" t="s">
        <v>13287</v>
      </c>
      <c r="E2987" t="str">
        <f>+VLOOKUP(A2987,[1]PFE4!$A$7:$F$5208,6,0)</f>
        <v>CARRERA 53  90 B  42</v>
      </c>
      <c r="F2987" s="17" t="str">
        <f>+VLOOKUP(A2987,[1]PFE4!$A$7:$G$5208,7,0)</f>
        <v>08001</v>
      </c>
      <c r="G2987">
        <v>33063960</v>
      </c>
      <c r="H2987">
        <v>4329</v>
      </c>
    </row>
    <row r="2988" spans="1:8" ht="15" customHeight="1" x14ac:dyDescent="0.25">
      <c r="A2988" t="s">
        <v>5230</v>
      </c>
      <c r="B2988" t="s">
        <v>9269</v>
      </c>
      <c r="C2988" t="s">
        <v>12586</v>
      </c>
      <c r="D2988" t="s">
        <v>13287</v>
      </c>
      <c r="E2988" t="str">
        <f>+VLOOKUP(A2988,[1]PFE4!$A$7:$F$5208,6,0)</f>
        <v>CL 39 SUR 25 A A 12</v>
      </c>
      <c r="F2988" s="17" t="str">
        <f>+VLOOKUP(A2988,[1]PFE4!$A$7:$G$5208,7,0)</f>
        <v>05266</v>
      </c>
      <c r="G2988">
        <v>33115636</v>
      </c>
      <c r="H2988">
        <v>4329</v>
      </c>
    </row>
    <row r="2989" spans="1:8" ht="15" customHeight="1" x14ac:dyDescent="0.25">
      <c r="A2989" t="s">
        <v>5231</v>
      </c>
      <c r="B2989" t="s">
        <v>9270</v>
      </c>
      <c r="C2989" t="s">
        <v>12587</v>
      </c>
      <c r="D2989" t="s">
        <v>13287</v>
      </c>
      <c r="E2989" t="str">
        <f>+VLOOKUP(A2989,[1]PFE4!$A$7:$F$5208,6,0)</f>
        <v>CR 111 A 148 50</v>
      </c>
      <c r="F2989" s="17">
        <f>+VLOOKUP(A2989,[1]PFE4!$A$7:$G$5208,7,0)</f>
        <v>11001</v>
      </c>
      <c r="G2989">
        <v>33119700</v>
      </c>
      <c r="H2989">
        <v>4329</v>
      </c>
    </row>
    <row r="2990" spans="1:8" ht="15" customHeight="1" x14ac:dyDescent="0.25">
      <c r="A2990" t="s">
        <v>5232</v>
      </c>
      <c r="B2990" t="s">
        <v>9271</v>
      </c>
      <c r="C2990" t="s">
        <v>12588</v>
      </c>
      <c r="D2990" t="s">
        <v>13287</v>
      </c>
      <c r="E2990" t="str">
        <f>+VLOOKUP(A2990,[1]PFE4!$A$7:$F$5208,6,0)</f>
        <v>CR 28 33 43</v>
      </c>
      <c r="F2990" s="17">
        <f>+VLOOKUP(A2990,[1]PFE4!$A$7:$G$5208,7,0)</f>
        <v>68001</v>
      </c>
      <c r="G2990">
        <v>33126133</v>
      </c>
      <c r="H2990">
        <v>4329</v>
      </c>
    </row>
    <row r="2991" spans="1:8" ht="15" customHeight="1" x14ac:dyDescent="0.25">
      <c r="A2991" t="s">
        <v>5233</v>
      </c>
      <c r="B2991" t="s">
        <v>9272</v>
      </c>
      <c r="C2991" t="s">
        <v>12589</v>
      </c>
      <c r="D2991" t="s">
        <v>13287</v>
      </c>
      <c r="E2991" t="str">
        <f>+VLOOKUP(A2991,[1]PFE4!$A$7:$F$5208,6,0)</f>
        <v>CARRERA 50  145 SUR  81</v>
      </c>
      <c r="F2991" s="17" t="str">
        <f>+VLOOKUP(A2991,[1]PFE4!$A$7:$G$5208,7,0)</f>
        <v>05129</v>
      </c>
      <c r="G2991">
        <v>33153902</v>
      </c>
      <c r="H2991">
        <v>4329</v>
      </c>
    </row>
    <row r="2992" spans="1:8" ht="15" customHeight="1" x14ac:dyDescent="0.25">
      <c r="A2992" t="s">
        <v>5234</v>
      </c>
      <c r="B2992" t="s">
        <v>9273</v>
      </c>
      <c r="C2992" t="s">
        <v>12590</v>
      </c>
      <c r="D2992" t="s">
        <v>13287</v>
      </c>
      <c r="E2992" t="str">
        <f>+VLOOKUP(A2992,[1]PFE4!$A$7:$F$5208,6,0)</f>
        <v>CARRERA 56  169 A  65</v>
      </c>
      <c r="F2992" s="17">
        <f>+VLOOKUP(A2992,[1]PFE4!$A$7:$G$5208,7,0)</f>
        <v>11001</v>
      </c>
      <c r="G2992">
        <v>33207116</v>
      </c>
      <c r="H2992">
        <v>4329</v>
      </c>
    </row>
    <row r="2993" spans="1:8" ht="15" customHeight="1" x14ac:dyDescent="0.25">
      <c r="A2993" t="s">
        <v>5235</v>
      </c>
      <c r="B2993" t="s">
        <v>9274</v>
      </c>
      <c r="C2993" t="s">
        <v>12591</v>
      </c>
      <c r="D2993" t="s">
        <v>13287</v>
      </c>
      <c r="E2993" t="str">
        <f>+VLOOKUP(A2993,[1]PFE4!$A$7:$F$5208,6,0)</f>
        <v>CALLE 5  4  70</v>
      </c>
      <c r="F2993" s="17">
        <f>+VLOOKUP(A2993,[1]PFE4!$A$7:$G$5208,7,0)</f>
        <v>19001</v>
      </c>
      <c r="G2993">
        <v>33284010</v>
      </c>
      <c r="H2993">
        <v>4329</v>
      </c>
    </row>
    <row r="2994" spans="1:8" ht="15" customHeight="1" x14ac:dyDescent="0.25">
      <c r="A2994" t="s">
        <v>5236</v>
      </c>
      <c r="B2994" t="s">
        <v>9275</v>
      </c>
      <c r="C2994" t="s">
        <v>10613</v>
      </c>
      <c r="D2994" t="s">
        <v>13287</v>
      </c>
      <c r="E2994" t="str">
        <f>+VLOOKUP(A2994,[1]PFE4!$A$7:$F$5208,6,0)</f>
        <v>CL 16 A 121 BRR PANCE</v>
      </c>
      <c r="F2994" s="17">
        <f>+VLOOKUP(A2994,[1]PFE4!$A$7:$G$5208,7,0)</f>
        <v>11001</v>
      </c>
      <c r="G2994">
        <v>33309105</v>
      </c>
      <c r="H2994">
        <v>4329</v>
      </c>
    </row>
    <row r="2995" spans="1:8" ht="15" customHeight="1" x14ac:dyDescent="0.25">
      <c r="A2995" t="s">
        <v>5237</v>
      </c>
      <c r="B2995" t="s">
        <v>9276</v>
      </c>
      <c r="C2995" t="s">
        <v>10613</v>
      </c>
      <c r="D2995" t="s">
        <v>13287</v>
      </c>
      <c r="E2995" t="str">
        <f>+VLOOKUP(A2995,[1]PFE4!$A$7:$F$5208,6,0)</f>
        <v>CL 48 99 20</v>
      </c>
      <c r="F2995" s="17">
        <f>+VLOOKUP(A2995,[1]PFE4!$A$7:$G$5208,7,0)</f>
        <v>11001</v>
      </c>
      <c r="G2995">
        <v>33313436</v>
      </c>
      <c r="H2995">
        <v>4329</v>
      </c>
    </row>
    <row r="2996" spans="1:8" ht="15" customHeight="1" x14ac:dyDescent="0.25">
      <c r="A2996" t="s">
        <v>5238</v>
      </c>
      <c r="B2996" t="s">
        <v>9277</v>
      </c>
      <c r="C2996" t="s">
        <v>12592</v>
      </c>
      <c r="D2996" t="s">
        <v>13287</v>
      </c>
      <c r="E2996" t="str">
        <f>+VLOOKUP(A2996,[1]PFE4!$A$7:$F$5208,6,0)</f>
        <v>CALLE 18  7 N  17</v>
      </c>
      <c r="F2996" s="17">
        <f>+VLOOKUP(A2996,[1]PFE4!$A$7:$G$5208,7,0)</f>
        <v>11001</v>
      </c>
      <c r="G2996">
        <v>33360862</v>
      </c>
      <c r="H2996">
        <v>4329</v>
      </c>
    </row>
    <row r="2997" spans="1:8" ht="15" customHeight="1" x14ac:dyDescent="0.25">
      <c r="A2997" t="s">
        <v>5239</v>
      </c>
      <c r="B2997" t="s">
        <v>9278</v>
      </c>
      <c r="C2997" t="s">
        <v>12593</v>
      </c>
      <c r="D2997" t="s">
        <v>13287</v>
      </c>
      <c r="E2997" t="str">
        <f>+VLOOKUP(A2997,[1]PFE4!$A$7:$F$5208,6,0)</f>
        <v>BRR MANGA AV 4 CL 29 25 13</v>
      </c>
      <c r="F2997" s="17">
        <f>+VLOOKUP(A2997,[1]PFE4!$A$7:$G$5208,7,0)</f>
        <v>11001</v>
      </c>
      <c r="G2997">
        <v>33363548</v>
      </c>
      <c r="H2997">
        <v>4329</v>
      </c>
    </row>
    <row r="2998" spans="1:8" ht="15" customHeight="1" x14ac:dyDescent="0.25">
      <c r="A2998" t="s">
        <v>5240</v>
      </c>
      <c r="B2998" t="s">
        <v>9279</v>
      </c>
      <c r="C2998" t="s">
        <v>12594</v>
      </c>
      <c r="D2998" t="s">
        <v>13287</v>
      </c>
      <c r="E2998" t="str">
        <f>+VLOOKUP(A2998,[1]PFE4!$A$7:$F$5208,6,0)</f>
        <v>CARRERA 16 B  48  68</v>
      </c>
      <c r="F2998" s="17">
        <f>+VLOOKUP(A2998,[1]PFE4!$A$7:$G$5208,7,0)</f>
        <v>11001</v>
      </c>
      <c r="G2998">
        <v>33372200</v>
      </c>
      <c r="H2998">
        <v>4329</v>
      </c>
    </row>
    <row r="2999" spans="1:8" ht="15" customHeight="1" x14ac:dyDescent="0.25">
      <c r="A2999" t="s">
        <v>5241</v>
      </c>
      <c r="B2999" t="s">
        <v>9280</v>
      </c>
      <c r="C2999" t="s">
        <v>12595</v>
      </c>
      <c r="D2999" t="s">
        <v>13287</v>
      </c>
      <c r="E2999" t="str">
        <f>+VLOOKUP(A2999,[1]PFE4!$A$7:$F$5208,6,0)</f>
        <v>CALLE 7  18 E  09</v>
      </c>
      <c r="F2999" s="17">
        <f>+VLOOKUP(A2999,[1]PFE4!$A$7:$G$5208,7,0)</f>
        <v>11001</v>
      </c>
      <c r="G2999">
        <v>33391971</v>
      </c>
      <c r="H2999">
        <v>4329</v>
      </c>
    </row>
    <row r="3000" spans="1:8" ht="15" customHeight="1" x14ac:dyDescent="0.25">
      <c r="A3000" t="s">
        <v>5242</v>
      </c>
      <c r="B3000" t="s">
        <v>9281</v>
      </c>
      <c r="C3000" t="s">
        <v>10879</v>
      </c>
      <c r="D3000" t="s">
        <v>13287</v>
      </c>
      <c r="E3000" t="str">
        <f>+VLOOKUP(A3000,[1]PFE4!$A$7:$F$5208,6,0)</f>
        <v>TRANSVERSAL 1 ESTE  57  88</v>
      </c>
      <c r="F3000" s="17">
        <f>+VLOOKUP(A3000,[1]PFE4!$A$7:$G$5208,7,0)</f>
        <v>11001</v>
      </c>
      <c r="G3000">
        <v>33399973</v>
      </c>
      <c r="H3000">
        <v>4329</v>
      </c>
    </row>
    <row r="3001" spans="1:8" ht="15" customHeight="1" x14ac:dyDescent="0.25">
      <c r="A3001" t="s">
        <v>5243</v>
      </c>
      <c r="B3001" t="s">
        <v>9282</v>
      </c>
      <c r="C3001" t="s">
        <v>12596</v>
      </c>
      <c r="D3001" t="s">
        <v>13287</v>
      </c>
      <c r="E3001" t="str">
        <f>+VLOOKUP(A3001,[1]PFE4!$A$7:$F$5208,6,0)</f>
        <v>CARRERA 39  48  80</v>
      </c>
      <c r="F3001" s="17">
        <f>+VLOOKUP(A3001,[1]PFE4!$A$7:$G$5208,7,0)</f>
        <v>68001</v>
      </c>
      <c r="G3001">
        <v>33444176</v>
      </c>
      <c r="H3001">
        <v>4329</v>
      </c>
    </row>
    <row r="3002" spans="1:8" ht="15" customHeight="1" x14ac:dyDescent="0.25">
      <c r="A3002" t="s">
        <v>5244</v>
      </c>
      <c r="B3002" t="s">
        <v>9283</v>
      </c>
      <c r="C3002" t="s">
        <v>12597</v>
      </c>
      <c r="D3002" t="s">
        <v>13287</v>
      </c>
      <c r="E3002" t="str">
        <f>+VLOOKUP(A3002,[1]PFE4!$A$7:$F$5208,6,0)</f>
        <v>CARRERA 20 No. 27-87, Barrio Manga</v>
      </c>
      <c r="F3002" s="17">
        <f>+VLOOKUP(A3002,[1]PFE4!$A$7:$G$5208,7,0)</f>
        <v>11001</v>
      </c>
      <c r="G3002">
        <v>33450458</v>
      </c>
      <c r="H3002">
        <v>4329</v>
      </c>
    </row>
    <row r="3003" spans="1:8" ht="15" customHeight="1" x14ac:dyDescent="0.25">
      <c r="A3003" t="s">
        <v>5245</v>
      </c>
      <c r="B3003" t="s">
        <v>9284</v>
      </c>
      <c r="C3003" t="s">
        <v>12598</v>
      </c>
      <c r="D3003" t="s">
        <v>13287</v>
      </c>
      <c r="E3003" t="str">
        <f>+VLOOKUP(A3003,[1]PFE4!$A$7:$F$5208,6,0)</f>
        <v>CL 17 1 W 50</v>
      </c>
      <c r="F3003" s="17">
        <f>+VLOOKUP(A3003,[1]PFE4!$A$7:$G$5208,7,0)</f>
        <v>11001</v>
      </c>
      <c r="G3003">
        <v>33475772</v>
      </c>
      <c r="H3003">
        <v>4329</v>
      </c>
    </row>
    <row r="3004" spans="1:8" ht="15" customHeight="1" x14ac:dyDescent="0.25">
      <c r="A3004" t="s">
        <v>5246</v>
      </c>
      <c r="B3004" t="s">
        <v>9285</v>
      </c>
      <c r="C3004" t="s">
        <v>12599</v>
      </c>
      <c r="D3004" t="s">
        <v>13287</v>
      </c>
      <c r="E3004" t="str">
        <f>+VLOOKUP(A3004,[1]PFE4!$A$7:$F$5208,6,0)</f>
        <v>CR 1 13 92 SEC RODADERO</v>
      </c>
      <c r="F3004" s="17">
        <f>+VLOOKUP(A3004,[1]PFE4!$A$7:$G$5208,7,0)</f>
        <v>47001</v>
      </c>
      <c r="G3004">
        <v>33531032</v>
      </c>
      <c r="H3004">
        <v>4329</v>
      </c>
    </row>
    <row r="3005" spans="1:8" ht="15" customHeight="1" x14ac:dyDescent="0.25">
      <c r="A3005" t="s">
        <v>5247</v>
      </c>
      <c r="B3005" t="s">
        <v>9286</v>
      </c>
      <c r="C3005" t="s">
        <v>12600</v>
      </c>
      <c r="D3005" t="s">
        <v>13287</v>
      </c>
      <c r="E3005" t="str">
        <f>+VLOOKUP(A3005,[1]PFE4!$A$7:$F$5208,6,0)</f>
        <v>CALLE 22 B  58  21</v>
      </c>
      <c r="F3005" s="17">
        <f>+VLOOKUP(A3005,[1]PFE4!$A$7:$G$5208,7,0)</f>
        <v>11001</v>
      </c>
      <c r="G3005">
        <v>33599216</v>
      </c>
      <c r="H3005">
        <v>4329</v>
      </c>
    </row>
    <row r="3006" spans="1:8" ht="15" customHeight="1" x14ac:dyDescent="0.25">
      <c r="A3006" t="s">
        <v>5248</v>
      </c>
      <c r="B3006" t="s">
        <v>9287</v>
      </c>
      <c r="C3006" t="s">
        <v>12601</v>
      </c>
      <c r="D3006" t="s">
        <v>13287</v>
      </c>
      <c r="E3006" t="str">
        <f>+VLOOKUP(A3006,[1]PFE4!$A$7:$F$5208,6,0)</f>
        <v>CLL 40 21 145</v>
      </c>
      <c r="F3006" s="17" t="str">
        <f>+VLOOKUP(A3006,[1]PFE4!$A$7:$G$5208,7,0)</f>
        <v>05607</v>
      </c>
      <c r="G3006">
        <v>33605854</v>
      </c>
      <c r="H3006">
        <v>4329</v>
      </c>
    </row>
    <row r="3007" spans="1:8" ht="15" customHeight="1" x14ac:dyDescent="0.25">
      <c r="A3007" t="s">
        <v>5249</v>
      </c>
      <c r="B3007" t="s">
        <v>9288</v>
      </c>
      <c r="C3007">
        <v>0</v>
      </c>
      <c r="D3007" t="s">
        <v>13287</v>
      </c>
      <c r="E3007">
        <v>0</v>
      </c>
      <c r="F3007" s="17">
        <v>11001</v>
      </c>
      <c r="G3007">
        <v>33629600</v>
      </c>
      <c r="H3007">
        <v>4329</v>
      </c>
    </row>
    <row r="3008" spans="1:8" ht="15" customHeight="1" x14ac:dyDescent="0.25">
      <c r="A3008" t="s">
        <v>5250</v>
      </c>
      <c r="B3008" t="s">
        <v>9289</v>
      </c>
      <c r="C3008" t="s">
        <v>10994</v>
      </c>
      <c r="D3008" t="s">
        <v>13287</v>
      </c>
      <c r="E3008" t="str">
        <f>+VLOOKUP(A3008,[1]PFE4!$A$7:$F$5208,6,0)</f>
        <v>CARRERA 19  80  17</v>
      </c>
      <c r="F3008" s="17">
        <f>+VLOOKUP(A3008,[1]PFE4!$A$7:$G$5208,7,0)</f>
        <v>11001</v>
      </c>
      <c r="G3008">
        <v>33740262</v>
      </c>
      <c r="H3008">
        <v>4329</v>
      </c>
    </row>
    <row r="3009" spans="1:8" ht="15" customHeight="1" x14ac:dyDescent="0.25">
      <c r="A3009" t="s">
        <v>5251</v>
      </c>
      <c r="B3009" t="s">
        <v>9290</v>
      </c>
      <c r="C3009" t="s">
        <v>12602</v>
      </c>
      <c r="D3009" t="s">
        <v>13287</v>
      </c>
      <c r="E3009" t="str">
        <f>+VLOOKUP(A3009,[1]PFE4!$A$7:$F$5208,6,0)</f>
        <v>CARRERA 3 N° 142-60  SEC BELLO SOL</v>
      </c>
      <c r="F3009" s="17">
        <f>+VLOOKUP(A3009,[1]PFE4!$A$7:$G$5208,7,0)</f>
        <v>47001</v>
      </c>
      <c r="G3009">
        <v>33754188</v>
      </c>
      <c r="H3009">
        <v>4329</v>
      </c>
    </row>
    <row r="3010" spans="1:8" ht="15" customHeight="1" x14ac:dyDescent="0.25">
      <c r="A3010" t="s">
        <v>5252</v>
      </c>
      <c r="B3010" t="s">
        <v>9291</v>
      </c>
      <c r="C3010" t="s">
        <v>12603</v>
      </c>
      <c r="D3010" t="s">
        <v>13287</v>
      </c>
      <c r="E3010" t="str">
        <f>+VLOOKUP(A3010,[1]PFE4!$A$7:$F$5208,6,0)</f>
        <v>CR 27 37 B SUR 39</v>
      </c>
      <c r="F3010" s="17" t="str">
        <f>+VLOOKUP(A3010,[1]PFE4!$A$7:$G$5208,7,0)</f>
        <v>05266</v>
      </c>
      <c r="G3010">
        <v>33777025</v>
      </c>
      <c r="H3010">
        <v>4329</v>
      </c>
    </row>
    <row r="3011" spans="1:8" ht="15" customHeight="1" x14ac:dyDescent="0.25">
      <c r="A3011" t="s">
        <v>5253</v>
      </c>
      <c r="B3011" t="s">
        <v>9292</v>
      </c>
      <c r="C3011">
        <v>0</v>
      </c>
      <c r="D3011" t="s">
        <v>13287</v>
      </c>
      <c r="E3011">
        <v>0</v>
      </c>
      <c r="F3011" s="17">
        <v>11001</v>
      </c>
      <c r="G3011">
        <v>33783900</v>
      </c>
      <c r="H3011">
        <v>4329</v>
      </c>
    </row>
    <row r="3012" spans="1:8" ht="15" customHeight="1" x14ac:dyDescent="0.25">
      <c r="A3012" t="s">
        <v>5254</v>
      </c>
      <c r="B3012" t="s">
        <v>9293</v>
      </c>
      <c r="C3012" t="s">
        <v>12604</v>
      </c>
      <c r="D3012" t="s">
        <v>13287</v>
      </c>
      <c r="E3012" t="str">
        <f>+VLOOKUP(A3012,[1]PFE4!$A$7:$F$5208,6,0)</f>
        <v>CL 17 SUR 28 47</v>
      </c>
      <c r="F3012" s="17">
        <f>+VLOOKUP(A3012,[1]PFE4!$A$7:$G$5208,7,0)</f>
        <v>11001</v>
      </c>
      <c r="G3012">
        <v>33825974</v>
      </c>
      <c r="H3012">
        <v>4329</v>
      </c>
    </row>
    <row r="3013" spans="1:8" ht="15" customHeight="1" x14ac:dyDescent="0.25">
      <c r="A3013" t="s">
        <v>5255</v>
      </c>
      <c r="B3013" t="s">
        <v>9294</v>
      </c>
      <c r="C3013" t="s">
        <v>12605</v>
      </c>
      <c r="D3013" t="s">
        <v>13287</v>
      </c>
      <c r="E3013" t="str">
        <f>+VLOOKUP(A3013,[1]PFE4!$A$7:$F$5208,6,0)</f>
        <v>CARRERA 32  19 B  10</v>
      </c>
      <c r="F3013" s="17">
        <f>+VLOOKUP(A3013,[1]PFE4!$A$7:$G$5208,7,0)</f>
        <v>11001</v>
      </c>
      <c r="G3013">
        <v>33849396</v>
      </c>
      <c r="H3013">
        <v>4329</v>
      </c>
    </row>
    <row r="3014" spans="1:8" ht="15" customHeight="1" x14ac:dyDescent="0.25">
      <c r="A3014" t="s">
        <v>5256</v>
      </c>
      <c r="B3014" t="s">
        <v>9295</v>
      </c>
      <c r="C3014" t="s">
        <v>12606</v>
      </c>
      <c r="D3014" t="s">
        <v>13287</v>
      </c>
      <c r="E3014" t="str">
        <f>+VLOOKUP(A3014,[1]PFE4!$A$7:$F$5208,6,0)</f>
        <v>CALLE 59  56  63</v>
      </c>
      <c r="F3014" s="17">
        <f>+VLOOKUP(A3014,[1]PFE4!$A$7:$G$5208,7,0)</f>
        <v>11001</v>
      </c>
      <c r="G3014">
        <v>33856767</v>
      </c>
      <c r="H3014">
        <v>4329</v>
      </c>
    </row>
    <row r="3015" spans="1:8" ht="15" customHeight="1" x14ac:dyDescent="0.25">
      <c r="A3015" t="s">
        <v>5257</v>
      </c>
      <c r="B3015" t="s">
        <v>9296</v>
      </c>
      <c r="C3015" t="s">
        <v>12607</v>
      </c>
      <c r="D3015" t="s">
        <v>13287</v>
      </c>
      <c r="E3015" t="str">
        <f>+VLOOKUP(A3015,[1]PFE4!$A$7:$F$5208,6,0)</f>
        <v>CL 73 39 196</v>
      </c>
      <c r="F3015" s="17" t="str">
        <f>+VLOOKUP(A3015,[1]PFE4!$A$7:$G$5208,7,0)</f>
        <v>08001</v>
      </c>
      <c r="G3015">
        <v>33862132</v>
      </c>
      <c r="H3015">
        <v>4329</v>
      </c>
    </row>
    <row r="3016" spans="1:8" ht="15" customHeight="1" x14ac:dyDescent="0.25">
      <c r="A3016" t="s">
        <v>5258</v>
      </c>
      <c r="B3016" t="s">
        <v>9297</v>
      </c>
      <c r="C3016" t="s">
        <v>10850</v>
      </c>
      <c r="D3016" t="s">
        <v>13287</v>
      </c>
      <c r="E3016" t="str">
        <f>+VLOOKUP(A3016,[1]PFE4!$A$7:$F$5208,6,0)</f>
        <v>TV 35 SUR 30 02</v>
      </c>
      <c r="F3016" s="17" t="str">
        <f>+VLOOKUP(A3016,[1]PFE4!$A$7:$G$5208,7,0)</f>
        <v>05266</v>
      </c>
      <c r="G3016">
        <v>33868476</v>
      </c>
      <c r="H3016">
        <v>4329</v>
      </c>
    </row>
    <row r="3017" spans="1:8" ht="15" customHeight="1" x14ac:dyDescent="0.25">
      <c r="A3017" t="s">
        <v>5259</v>
      </c>
      <c r="B3017" t="s">
        <v>9298</v>
      </c>
      <c r="C3017" t="s">
        <v>12608</v>
      </c>
      <c r="D3017" t="s">
        <v>13287</v>
      </c>
      <c r="E3017" t="str">
        <f>+VLOOKUP(A3017,[1]PFE4!$A$7:$F$5208,6,0)</f>
        <v>CARRERA 56 C  83 D D SUR  52</v>
      </c>
      <c r="F3017" s="17" t="str">
        <f>+VLOOKUP(A3017,[1]PFE4!$A$7:$G$5208,7,0)</f>
        <v>05380</v>
      </c>
      <c r="G3017">
        <v>33891112</v>
      </c>
      <c r="H3017">
        <v>4329</v>
      </c>
    </row>
    <row r="3018" spans="1:8" ht="15" customHeight="1" x14ac:dyDescent="0.25">
      <c r="A3018" t="s">
        <v>5260</v>
      </c>
      <c r="B3018" t="s">
        <v>9299</v>
      </c>
      <c r="C3018" t="s">
        <v>12609</v>
      </c>
      <c r="D3018" t="s">
        <v>13287</v>
      </c>
      <c r="E3018" t="str">
        <f>+VLOOKUP(A3018,[1]PFE4!$A$7:$F$5208,6,0)</f>
        <v>AV CR 68 90 88</v>
      </c>
      <c r="F3018" s="17" t="str">
        <f>+VLOOKUP(A3018,[1]PFE4!$A$7:$G$5208,7,0)</f>
        <v>08001</v>
      </c>
      <c r="G3018">
        <v>33940735</v>
      </c>
      <c r="H3018">
        <v>4329</v>
      </c>
    </row>
    <row r="3019" spans="1:8" ht="15" customHeight="1" x14ac:dyDescent="0.25">
      <c r="A3019" t="s">
        <v>5261</v>
      </c>
      <c r="B3019" t="s">
        <v>9300</v>
      </c>
      <c r="C3019" t="s">
        <v>12610</v>
      </c>
      <c r="D3019" t="s">
        <v>13287</v>
      </c>
      <c r="E3019" t="str">
        <f>+VLOOKUP(A3019,[1]PFE4!$A$7:$F$5208,6,0)</f>
        <v>CL 106 50 67 OF 203  CC GRAN BOULEVARD</v>
      </c>
      <c r="F3019" s="17" t="str">
        <f>+VLOOKUP(A3019,[1]PFE4!$A$7:$G$5208,7,0)</f>
        <v>08573</v>
      </c>
      <c r="G3019">
        <v>33941400</v>
      </c>
      <c r="H3019">
        <v>4329</v>
      </c>
    </row>
    <row r="3020" spans="1:8" ht="15" customHeight="1" x14ac:dyDescent="0.25">
      <c r="A3020" t="s">
        <v>5262</v>
      </c>
      <c r="B3020" t="s">
        <v>9301</v>
      </c>
      <c r="C3020" t="s">
        <v>12498</v>
      </c>
      <c r="D3020" t="s">
        <v>13287</v>
      </c>
      <c r="E3020" t="str">
        <f>+VLOOKUP(A3020,[1]PFE4!$A$7:$F$5208,6,0)</f>
        <v>DG 56 11 142</v>
      </c>
      <c r="F3020" s="17" t="str">
        <f>+VLOOKUP(A3020,[1]PFE4!$A$7:$G$5208,7,0)</f>
        <v>05615</v>
      </c>
      <c r="G3020">
        <v>33988176</v>
      </c>
      <c r="H3020">
        <v>4329</v>
      </c>
    </row>
    <row r="3021" spans="1:8" ht="15" customHeight="1" x14ac:dyDescent="0.25">
      <c r="A3021" t="s">
        <v>5263</v>
      </c>
      <c r="B3021" t="s">
        <v>9302</v>
      </c>
      <c r="C3021" t="s">
        <v>12611</v>
      </c>
      <c r="D3021" t="s">
        <v>13287</v>
      </c>
      <c r="E3021" t="str">
        <f>+VLOOKUP(A3021,[1]PFE4!$A$7:$F$5208,6,0)</f>
        <v>CL 11 B 58 37</v>
      </c>
      <c r="F3021" s="17">
        <f>+VLOOKUP(A3021,[1]PFE4!$A$7:$G$5208,7,0)</f>
        <v>76001</v>
      </c>
      <c r="G3021">
        <v>34008336</v>
      </c>
      <c r="H3021">
        <v>4329</v>
      </c>
    </row>
    <row r="3022" spans="1:8" ht="15" customHeight="1" x14ac:dyDescent="0.25">
      <c r="A3022" t="s">
        <v>5264</v>
      </c>
      <c r="B3022" t="s">
        <v>9303</v>
      </c>
      <c r="C3022" t="s">
        <v>12612</v>
      </c>
      <c r="D3022" t="s">
        <v>13287</v>
      </c>
      <c r="E3022" t="str">
        <f>+VLOOKUP(A3022,[1]PFE4!$A$7:$F$5208,6,0)</f>
        <v>CARRERA 29  30  25</v>
      </c>
      <c r="F3022" s="17">
        <f>+VLOOKUP(A3022,[1]PFE4!$A$7:$G$5208,7,0)</f>
        <v>68001</v>
      </c>
      <c r="G3022">
        <v>34056432</v>
      </c>
      <c r="H3022">
        <v>4329</v>
      </c>
    </row>
    <row r="3023" spans="1:8" ht="15" customHeight="1" x14ac:dyDescent="0.25">
      <c r="A3023" t="s">
        <v>5265</v>
      </c>
      <c r="B3023" t="s">
        <v>9304</v>
      </c>
      <c r="C3023" t="s">
        <v>12613</v>
      </c>
      <c r="D3023" t="s">
        <v>13287</v>
      </c>
      <c r="E3023" t="str">
        <f>+VLOOKUP(A3023,[1]PFE4!$A$7:$F$5208,6,0)</f>
        <v>BRR ARMENIA CRA 49 3O 104 PIEDRA DE BOLIVAR</v>
      </c>
      <c r="F3023" s="17">
        <f>+VLOOKUP(A3023,[1]PFE4!$A$7:$G$5208,7,0)</f>
        <v>13001</v>
      </c>
      <c r="G3023">
        <v>34139851</v>
      </c>
      <c r="H3023">
        <v>4329</v>
      </c>
    </row>
    <row r="3024" spans="1:8" ht="15" customHeight="1" x14ac:dyDescent="0.25">
      <c r="A3024" t="s">
        <v>5266</v>
      </c>
      <c r="B3024" t="s">
        <v>9305</v>
      </c>
      <c r="C3024" t="s">
        <v>12614</v>
      </c>
      <c r="D3024" t="s">
        <v>13287</v>
      </c>
      <c r="E3024" t="str">
        <f>+VLOOKUP(A3024,[1]PFE4!$A$7:$F$5208,6,0)</f>
        <v>CALLE 26  22  39</v>
      </c>
      <c r="F3024" s="17">
        <f>+VLOOKUP(A3024,[1]PFE4!$A$7:$G$5208,7,0)</f>
        <v>11001</v>
      </c>
      <c r="G3024">
        <v>34142228</v>
      </c>
      <c r="H3024">
        <v>4329</v>
      </c>
    </row>
    <row r="3025" spans="1:8" ht="15" customHeight="1" x14ac:dyDescent="0.25">
      <c r="A3025" t="s">
        <v>5267</v>
      </c>
      <c r="B3025" t="s">
        <v>9306</v>
      </c>
      <c r="C3025" t="s">
        <v>12615</v>
      </c>
      <c r="D3025" t="s">
        <v>13287</v>
      </c>
      <c r="E3025" t="str">
        <f>+VLOOKUP(A3025,[1]PFE4!$A$7:$F$5208,6,0)</f>
        <v>CALLE 46 D SUR  42 D  80</v>
      </c>
      <c r="F3025" s="17" t="str">
        <f>+VLOOKUP(A3025,[1]PFE4!$A$7:$G$5208,7,0)</f>
        <v>05001</v>
      </c>
      <c r="G3025">
        <v>34149136</v>
      </c>
      <c r="H3025">
        <v>4329</v>
      </c>
    </row>
    <row r="3026" spans="1:8" ht="15" customHeight="1" x14ac:dyDescent="0.25">
      <c r="A3026" t="s">
        <v>5268</v>
      </c>
      <c r="B3026" t="s">
        <v>9307</v>
      </c>
      <c r="C3026" t="s">
        <v>12616</v>
      </c>
      <c r="D3026" t="s">
        <v>13287</v>
      </c>
      <c r="E3026" t="str">
        <f>+VLOOKUP(A3026,[1]PFE4!$A$7:$F$5208,6,0)</f>
        <v>CALLE 151 C  107  10</v>
      </c>
      <c r="F3026" s="17">
        <f>+VLOOKUP(A3026,[1]PFE4!$A$7:$G$5208,7,0)</f>
        <v>11001</v>
      </c>
      <c r="G3026">
        <v>34202412</v>
      </c>
      <c r="H3026">
        <v>4329</v>
      </c>
    </row>
    <row r="3027" spans="1:8" ht="15" customHeight="1" x14ac:dyDescent="0.25">
      <c r="A3027" t="s">
        <v>5269</v>
      </c>
      <c r="B3027" t="s">
        <v>9308</v>
      </c>
      <c r="C3027" t="s">
        <v>11875</v>
      </c>
      <c r="D3027" t="s">
        <v>13287</v>
      </c>
      <c r="E3027" t="str">
        <f>+VLOOKUP(A3027,[1]PFE4!$A$7:$F$5208,6,0)</f>
        <v>CL 12 12 60 ZONA URBANA</v>
      </c>
      <c r="F3027" s="17">
        <f>+VLOOKUP(A3027,[1]PFE4!$A$7:$G$5208,7,0)</f>
        <v>11001</v>
      </c>
      <c r="G3027">
        <v>34242280</v>
      </c>
      <c r="H3027">
        <v>4329</v>
      </c>
    </row>
    <row r="3028" spans="1:8" ht="15" customHeight="1" x14ac:dyDescent="0.25">
      <c r="A3028" t="s">
        <v>5270</v>
      </c>
      <c r="B3028" t="s">
        <v>9309</v>
      </c>
      <c r="C3028" t="s">
        <v>12617</v>
      </c>
      <c r="D3028" t="s">
        <v>13287</v>
      </c>
      <c r="E3028" t="str">
        <f>+VLOOKUP(A3028,[1]PFE4!$A$7:$F$5208,6,0)</f>
        <v>CARRERA 89  39  54</v>
      </c>
      <c r="F3028" s="17" t="str">
        <f>+VLOOKUP(A3028,[1]PFE4!$A$7:$G$5208,7,0)</f>
        <v>05001</v>
      </c>
      <c r="G3028">
        <v>34263024</v>
      </c>
      <c r="H3028">
        <v>4329</v>
      </c>
    </row>
    <row r="3029" spans="1:8" ht="15" customHeight="1" x14ac:dyDescent="0.25">
      <c r="A3029" t="s">
        <v>5271</v>
      </c>
      <c r="B3029" t="s">
        <v>9310</v>
      </c>
      <c r="C3029" t="s">
        <v>12618</v>
      </c>
      <c r="D3029" t="s">
        <v>13287</v>
      </c>
      <c r="E3029" t="str">
        <f>+VLOOKUP(A3029,[1]PFE4!$A$7:$F$5208,6,0)</f>
        <v>BARRIO MANGA CARRERA 23 29A-67</v>
      </c>
      <c r="F3029" s="17">
        <f>+VLOOKUP(A3029,[1]PFE4!$A$7:$G$5208,7,0)</f>
        <v>13001</v>
      </c>
      <c r="G3029">
        <v>34320000</v>
      </c>
      <c r="H3029">
        <v>4329</v>
      </c>
    </row>
    <row r="3030" spans="1:8" ht="15" customHeight="1" x14ac:dyDescent="0.25">
      <c r="A3030" t="s">
        <v>5272</v>
      </c>
      <c r="B3030" t="s">
        <v>9311</v>
      </c>
      <c r="C3030" t="s">
        <v>11939</v>
      </c>
      <c r="D3030" t="s">
        <v>13287</v>
      </c>
      <c r="E3030" t="str">
        <f>+VLOOKUP(A3030,[1]PFE4!$A$7:$F$5208,6,0)</f>
        <v>CARRERA 22  25  114</v>
      </c>
      <c r="F3030" s="17">
        <f>+VLOOKUP(A3030,[1]PFE4!$A$7:$G$5208,7,0)</f>
        <v>13001</v>
      </c>
      <c r="G3030">
        <v>34363508</v>
      </c>
      <c r="H3030">
        <v>4329</v>
      </c>
    </row>
    <row r="3031" spans="1:8" ht="15" customHeight="1" x14ac:dyDescent="0.25">
      <c r="A3031" t="s">
        <v>5273</v>
      </c>
      <c r="B3031" t="s">
        <v>9312</v>
      </c>
      <c r="C3031" t="s">
        <v>12619</v>
      </c>
      <c r="D3031" t="s">
        <v>13287</v>
      </c>
      <c r="E3031" t="str">
        <f>+VLOOKUP(A3031,[1]PFE4!$A$7:$F$5208,6,0)</f>
        <v>CALLE 45 B SUR  35  91</v>
      </c>
      <c r="F3031" s="17" t="str">
        <f>+VLOOKUP(A3031,[1]PFE4!$A$7:$G$5208,7,0)</f>
        <v>05266</v>
      </c>
      <c r="G3031">
        <v>34386240</v>
      </c>
      <c r="H3031">
        <v>4329</v>
      </c>
    </row>
    <row r="3032" spans="1:8" ht="15" customHeight="1" x14ac:dyDescent="0.25">
      <c r="A3032" t="s">
        <v>5274</v>
      </c>
      <c r="B3032" t="s">
        <v>9313</v>
      </c>
      <c r="C3032" t="s">
        <v>12620</v>
      </c>
      <c r="D3032" t="s">
        <v>13287</v>
      </c>
      <c r="E3032" t="str">
        <f>+VLOOKUP(A3032,[1]PFE4!$A$7:$F$5208,6,0)</f>
        <v>CR 50 100 D SUR 189</v>
      </c>
      <c r="F3032" s="17" t="str">
        <f>+VLOOKUP(A3032,[1]PFE4!$A$7:$G$5208,7,0)</f>
        <v>05380</v>
      </c>
      <c r="G3032">
        <v>34560000</v>
      </c>
      <c r="H3032">
        <v>4329</v>
      </c>
    </row>
    <row r="3033" spans="1:8" ht="15" customHeight="1" x14ac:dyDescent="0.25">
      <c r="A3033" t="s">
        <v>5275</v>
      </c>
      <c r="B3033" t="s">
        <v>9314</v>
      </c>
      <c r="C3033" t="s">
        <v>12621</v>
      </c>
      <c r="D3033" t="s">
        <v>13287</v>
      </c>
      <c r="E3033" t="str">
        <f>+VLOOKUP(A3033,[1]PFE4!$A$7:$F$5208,6,0)</f>
        <v>BRR PIE DE LA POPA K 20 29 B 98 Y CR 20 A 29 B 91</v>
      </c>
      <c r="F3033" s="17">
        <f>+VLOOKUP(A3033,[1]PFE4!$A$7:$G$5208,7,0)</f>
        <v>11001</v>
      </c>
      <c r="G3033">
        <v>34573164</v>
      </c>
      <c r="H3033">
        <v>4329</v>
      </c>
    </row>
    <row r="3034" spans="1:8" ht="15" customHeight="1" x14ac:dyDescent="0.25">
      <c r="A3034" t="s">
        <v>5276</v>
      </c>
      <c r="B3034" t="s">
        <v>9315</v>
      </c>
      <c r="C3034" t="s">
        <v>11074</v>
      </c>
      <c r="D3034" t="s">
        <v>13287</v>
      </c>
      <c r="E3034" t="str">
        <f>+VLOOKUP(A3034,[1]PFE4!$A$7:$F$5208,6,0)</f>
        <v>CR 27 AA 36 SUR 200</v>
      </c>
      <c r="F3034" s="17" t="str">
        <f>+VLOOKUP(A3034,[1]PFE4!$A$7:$G$5208,7,0)</f>
        <v>05266</v>
      </c>
      <c r="G3034">
        <v>34638192</v>
      </c>
      <c r="H3034">
        <v>4329</v>
      </c>
    </row>
    <row r="3035" spans="1:8" ht="15" customHeight="1" x14ac:dyDescent="0.25">
      <c r="A3035" t="s">
        <v>5277</v>
      </c>
      <c r="B3035" t="s">
        <v>9316</v>
      </c>
      <c r="C3035" t="s">
        <v>12622</v>
      </c>
      <c r="D3035" t="s">
        <v>13287</v>
      </c>
      <c r="E3035" t="str">
        <f>+VLOOKUP(A3035,[1]PFE4!$A$7:$F$5208,6,0)</f>
        <v>CARRERA 20 C  77  19</v>
      </c>
      <c r="F3035" s="17">
        <f>+VLOOKUP(A3035,[1]PFE4!$A$7:$G$5208,7,0)</f>
        <v>11001</v>
      </c>
      <c r="G3035">
        <v>34749956</v>
      </c>
      <c r="H3035">
        <v>4329</v>
      </c>
    </row>
    <row r="3036" spans="1:8" ht="15" customHeight="1" x14ac:dyDescent="0.25">
      <c r="A3036" t="s">
        <v>5278</v>
      </c>
      <c r="B3036" t="s">
        <v>9317</v>
      </c>
      <c r="C3036" t="s">
        <v>12031</v>
      </c>
      <c r="D3036" t="s">
        <v>13287</v>
      </c>
      <c r="E3036" t="str">
        <f>+VLOOKUP(A3036,[1]PFE4!$A$7:$F$5208,6,0)</f>
        <v>CR 121 47 A 123</v>
      </c>
      <c r="F3036" s="17">
        <f>+VLOOKUP(A3036,[1]PFE4!$A$7:$G$5208,7,0)</f>
        <v>76001</v>
      </c>
      <c r="G3036">
        <v>34774510</v>
      </c>
      <c r="H3036">
        <v>4329</v>
      </c>
    </row>
    <row r="3037" spans="1:8" ht="15" customHeight="1" x14ac:dyDescent="0.25">
      <c r="A3037" t="s">
        <v>5279</v>
      </c>
      <c r="B3037" t="s">
        <v>9318</v>
      </c>
      <c r="C3037" t="s">
        <v>12623</v>
      </c>
      <c r="D3037" t="s">
        <v>13287</v>
      </c>
      <c r="E3037" t="str">
        <f>+VLOOKUP(A3037,[1]PFE4!$A$7:$F$5208,6,0)</f>
        <v>CALLE 75 A SUR  52 E  340</v>
      </c>
      <c r="F3037" s="17" t="str">
        <f>+VLOOKUP(A3037,[1]PFE4!$A$7:$G$5208,7,0)</f>
        <v>05360</v>
      </c>
      <c r="G3037">
        <v>34786488</v>
      </c>
      <c r="H3037">
        <v>4329</v>
      </c>
    </row>
    <row r="3038" spans="1:8" ht="15" customHeight="1" x14ac:dyDescent="0.25">
      <c r="A3038" t="s">
        <v>5280</v>
      </c>
      <c r="B3038" t="s">
        <v>9319</v>
      </c>
      <c r="C3038" t="s">
        <v>12624</v>
      </c>
      <c r="D3038" t="s">
        <v>13287</v>
      </c>
      <c r="E3038" t="str">
        <f>+VLOOKUP(A3038,[1]PFE4!$A$7:$F$5208,6,0)</f>
        <v>CALLE 7  1 A  91</v>
      </c>
      <c r="F3038" s="17">
        <f>+VLOOKUP(A3038,[1]PFE4!$A$7:$G$5208,7,0)</f>
        <v>25430</v>
      </c>
      <c r="G3038">
        <v>34818344</v>
      </c>
      <c r="H3038">
        <v>4329</v>
      </c>
    </row>
    <row r="3039" spans="1:8" ht="15" customHeight="1" x14ac:dyDescent="0.25">
      <c r="A3039" t="s">
        <v>5281</v>
      </c>
      <c r="B3039" t="s">
        <v>9320</v>
      </c>
      <c r="C3039" t="s">
        <v>12625</v>
      </c>
      <c r="D3039" t="s">
        <v>13287</v>
      </c>
      <c r="E3039" t="str">
        <f>+VLOOKUP(A3039,[1]PFE4!$A$7:$F$5208,6,0)</f>
        <v>CR 75 A 20 31</v>
      </c>
      <c r="F3039" s="17">
        <f>+VLOOKUP(A3039,[1]PFE4!$A$7:$G$5208,7,0)</f>
        <v>11001</v>
      </c>
      <c r="G3039">
        <v>34845650</v>
      </c>
      <c r="H3039">
        <v>4329</v>
      </c>
    </row>
    <row r="3040" spans="1:8" ht="15" customHeight="1" x14ac:dyDescent="0.25">
      <c r="A3040" t="s">
        <v>5282</v>
      </c>
      <c r="B3040" t="s">
        <v>9321</v>
      </c>
      <c r="C3040" t="s">
        <v>12626</v>
      </c>
      <c r="D3040" t="s">
        <v>13287</v>
      </c>
      <c r="E3040" t="str">
        <f>+VLOOKUP(A3040,[1]PFE4!$A$7:$F$5208,6,0)</f>
        <v>CALLE 38  4 N  170</v>
      </c>
      <c r="F3040" s="17">
        <f>+VLOOKUP(A3040,[1]PFE4!$A$7:$G$5208,7,0)</f>
        <v>11001</v>
      </c>
      <c r="G3040">
        <v>34866219</v>
      </c>
      <c r="H3040">
        <v>4329</v>
      </c>
    </row>
    <row r="3041" spans="1:8" ht="15" customHeight="1" x14ac:dyDescent="0.25">
      <c r="A3041" t="s">
        <v>5283</v>
      </c>
      <c r="B3041" t="s">
        <v>9322</v>
      </c>
      <c r="C3041" t="s">
        <v>12627</v>
      </c>
      <c r="D3041" t="s">
        <v>13287</v>
      </c>
      <c r="E3041" t="str">
        <f>+VLOOKUP(A3041,[1]PFE4!$A$7:$F$5208,6,0)</f>
        <v>CARRERA 9 A  85  32</v>
      </c>
      <c r="F3041" s="17">
        <f>+VLOOKUP(A3041,[1]PFE4!$A$7:$G$5208,7,0)</f>
        <v>11001</v>
      </c>
      <c r="G3041">
        <v>34907420</v>
      </c>
      <c r="H3041">
        <v>4329</v>
      </c>
    </row>
    <row r="3042" spans="1:8" ht="15" customHeight="1" x14ac:dyDescent="0.25">
      <c r="A3042" t="s">
        <v>5284</v>
      </c>
      <c r="B3042" t="s">
        <v>9323</v>
      </c>
      <c r="C3042" t="s">
        <v>12628</v>
      </c>
      <c r="D3042" t="s">
        <v>13287</v>
      </c>
      <c r="E3042" t="str">
        <f>+VLOOKUP(A3042,[1]PFE4!$A$7:$F$5208,6,0)</f>
        <v>CALLE 86 A  69 T  81</v>
      </c>
      <c r="F3042" s="17">
        <f>+VLOOKUP(A3042,[1]PFE4!$A$7:$G$5208,7,0)</f>
        <v>11001</v>
      </c>
      <c r="G3042">
        <v>34987924</v>
      </c>
      <c r="H3042">
        <v>4329</v>
      </c>
    </row>
    <row r="3043" spans="1:8" ht="15" customHeight="1" x14ac:dyDescent="0.25">
      <c r="A3043" t="s">
        <v>5285</v>
      </c>
      <c r="B3043" t="s">
        <v>9324</v>
      </c>
      <c r="C3043" t="s">
        <v>12629</v>
      </c>
      <c r="D3043" t="s">
        <v>13287</v>
      </c>
      <c r="E3043" t="str">
        <f>+VLOOKUP(A3043,[1]PFE4!$A$7:$F$5208,6,0)</f>
        <v>CR 56 B 49 A 29 OF 1007</v>
      </c>
      <c r="F3043" s="17" t="str">
        <f>+VLOOKUP(A3043,[1]PFE4!$A$7:$G$5208,7,0)</f>
        <v>05001</v>
      </c>
      <c r="G3043">
        <v>35000108</v>
      </c>
      <c r="H3043">
        <v>4329</v>
      </c>
    </row>
    <row r="3044" spans="1:8" ht="15" customHeight="1" x14ac:dyDescent="0.25">
      <c r="A3044" t="s">
        <v>5286</v>
      </c>
      <c r="B3044" t="s">
        <v>9325</v>
      </c>
      <c r="C3044" t="s">
        <v>12630</v>
      </c>
      <c r="D3044" t="s">
        <v>13287</v>
      </c>
      <c r="E3044" t="str">
        <f>+VLOOKUP(A3044,[1]PFE4!$A$7:$F$5208,6,0)</f>
        <v>CALLE 27 NORTE 5-02</v>
      </c>
      <c r="F3044" s="17">
        <f>+VLOOKUP(A3044,[1]PFE4!$A$7:$G$5208,7,0)</f>
        <v>63001</v>
      </c>
      <c r="G3044">
        <v>35008516</v>
      </c>
      <c r="H3044">
        <v>4329</v>
      </c>
    </row>
    <row r="3045" spans="1:8" ht="15" customHeight="1" x14ac:dyDescent="0.25">
      <c r="A3045" t="s">
        <v>5287</v>
      </c>
      <c r="B3045" t="s">
        <v>9326</v>
      </c>
      <c r="C3045" t="s">
        <v>11685</v>
      </c>
      <c r="D3045" t="s">
        <v>13287</v>
      </c>
      <c r="E3045" t="str">
        <f>+VLOOKUP(A3045,[1]PFE4!$A$7:$F$5208,6,0)</f>
        <v>CARRERA 30  10  225</v>
      </c>
      <c r="F3045" s="17" t="str">
        <f>+VLOOKUP(A3045,[1]PFE4!$A$7:$G$5208,7,0)</f>
        <v>05001</v>
      </c>
      <c r="G3045">
        <v>35042436</v>
      </c>
      <c r="H3045">
        <v>4329</v>
      </c>
    </row>
    <row r="3046" spans="1:8" ht="15" customHeight="1" x14ac:dyDescent="0.25">
      <c r="A3046" t="s">
        <v>5288</v>
      </c>
      <c r="B3046" t="s">
        <v>9327</v>
      </c>
      <c r="C3046" t="s">
        <v>12631</v>
      </c>
      <c r="D3046" t="s">
        <v>13287</v>
      </c>
      <c r="E3046" t="str">
        <f>+VLOOKUP(A3046,[1]PFE4!$A$7:$F$5208,6,0)</f>
        <v>CARRERA 52 C  94  17</v>
      </c>
      <c r="F3046" s="17" t="str">
        <f>+VLOOKUP(A3046,[1]PFE4!$A$7:$G$5208,7,0)</f>
        <v>08001</v>
      </c>
      <c r="G3046">
        <v>35123154</v>
      </c>
      <c r="H3046">
        <v>4329</v>
      </c>
    </row>
    <row r="3047" spans="1:8" ht="15" customHeight="1" x14ac:dyDescent="0.25">
      <c r="A3047" t="s">
        <v>5289</v>
      </c>
      <c r="B3047" t="s">
        <v>9328</v>
      </c>
      <c r="C3047" t="s">
        <v>11266</v>
      </c>
      <c r="D3047" t="s">
        <v>13287</v>
      </c>
      <c r="E3047" t="str">
        <f>+VLOOKUP(A3047,[1]PFE4!$A$7:$F$5208,6,0)</f>
        <v>CALLE 13  25  68</v>
      </c>
      <c r="F3047" s="17">
        <f>+VLOOKUP(A3047,[1]PFE4!$A$7:$G$5208,7,0)</f>
        <v>11001</v>
      </c>
      <c r="G3047">
        <v>35124892</v>
      </c>
      <c r="H3047">
        <v>4329</v>
      </c>
    </row>
    <row r="3048" spans="1:8" ht="15" customHeight="1" x14ac:dyDescent="0.25">
      <c r="A3048" t="s">
        <v>5290</v>
      </c>
      <c r="B3048" t="s">
        <v>9329</v>
      </c>
      <c r="C3048" t="s">
        <v>12632</v>
      </c>
      <c r="D3048" t="s">
        <v>13287</v>
      </c>
      <c r="E3048" t="str">
        <f>+VLOOKUP(A3048,[1]PFE4!$A$7:$F$5208,6,0)</f>
        <v>AVENIDA 19  24  16</v>
      </c>
      <c r="F3048" s="17">
        <f>+VLOOKUP(A3048,[1]PFE4!$A$7:$G$5208,7,0)</f>
        <v>11001</v>
      </c>
      <c r="G3048">
        <v>35143600</v>
      </c>
      <c r="H3048">
        <v>4329</v>
      </c>
    </row>
    <row r="3049" spans="1:8" ht="15" customHeight="1" x14ac:dyDescent="0.25">
      <c r="A3049" t="s">
        <v>5291</v>
      </c>
      <c r="B3049" t="s">
        <v>9330</v>
      </c>
      <c r="C3049" t="s">
        <v>12556</v>
      </c>
      <c r="D3049" t="s">
        <v>13287</v>
      </c>
      <c r="E3049" t="str">
        <f>+VLOOKUP(A3049,[1]PFE4!$A$7:$F$5208,6,0)</f>
        <v>DIAGONAL 31 A  29  30</v>
      </c>
      <c r="F3049" s="17">
        <f>+VLOOKUP(A3049,[1]PFE4!$A$7:$G$5208,7,0)</f>
        <v>11001</v>
      </c>
      <c r="G3049">
        <v>35294769</v>
      </c>
      <c r="H3049">
        <v>4329</v>
      </c>
    </row>
    <row r="3050" spans="1:8" ht="15" customHeight="1" x14ac:dyDescent="0.25">
      <c r="A3050" t="s">
        <v>5292</v>
      </c>
      <c r="B3050" t="s">
        <v>9331</v>
      </c>
      <c r="C3050" t="s">
        <v>12633</v>
      </c>
      <c r="D3050" t="s">
        <v>13287</v>
      </c>
      <c r="E3050" t="str">
        <f>+VLOOKUP(A3050,[1]PFE4!$A$7:$F$5208,6,0)</f>
        <v>RANSVERSAL 39A 52EA 74</v>
      </c>
      <c r="F3050" s="17" t="str">
        <f>+VLOOKUP(A3050,[1]PFE4!$A$7:$G$5208,7,0)</f>
        <v>05615</v>
      </c>
      <c r="G3050">
        <v>35352456</v>
      </c>
      <c r="H3050">
        <v>4329</v>
      </c>
    </row>
    <row r="3051" spans="1:8" ht="15" customHeight="1" x14ac:dyDescent="0.25">
      <c r="A3051" t="s">
        <v>5293</v>
      </c>
      <c r="B3051" t="s">
        <v>9332</v>
      </c>
      <c r="C3051" t="s">
        <v>12634</v>
      </c>
      <c r="D3051" t="s">
        <v>13287</v>
      </c>
      <c r="E3051" t="str">
        <f>+VLOOKUP(A3051,[1]PFE4!$A$7:$F$5208,6,0)</f>
        <v>CR 50 50 14 02</v>
      </c>
      <c r="F3051" s="17" t="str">
        <f>+VLOOKUP(A3051,[1]PFE4!$A$7:$G$5208,7,0)</f>
        <v>05001</v>
      </c>
      <c r="G3051">
        <v>35460000</v>
      </c>
      <c r="H3051">
        <v>4329</v>
      </c>
    </row>
    <row r="3052" spans="1:8" ht="15" customHeight="1" x14ac:dyDescent="0.25">
      <c r="A3052" t="s">
        <v>5294</v>
      </c>
      <c r="B3052" t="s">
        <v>9333</v>
      </c>
      <c r="C3052" t="s">
        <v>12635</v>
      </c>
      <c r="D3052" t="s">
        <v>13287</v>
      </c>
      <c r="E3052" t="str">
        <f>+VLOOKUP(A3052,[1]PFE4!$A$7:$F$5208,6,0)</f>
        <v>CL 30 19 06</v>
      </c>
      <c r="F3052" s="17" t="str">
        <f>+VLOOKUP(A3052,[1]PFE4!$A$7:$G$5208,7,0)</f>
        <v>05607</v>
      </c>
      <c r="G3052">
        <v>35469708</v>
      </c>
      <c r="H3052">
        <v>4329</v>
      </c>
    </row>
    <row r="3053" spans="1:8" ht="15" customHeight="1" x14ac:dyDescent="0.25">
      <c r="A3053" t="s">
        <v>5295</v>
      </c>
      <c r="B3053" t="s">
        <v>9334</v>
      </c>
      <c r="C3053" t="s">
        <v>12636</v>
      </c>
      <c r="D3053" t="s">
        <v>13287</v>
      </c>
      <c r="E3053" t="str">
        <f>+VLOOKUP(A3053,[1]PFE4!$A$7:$F$5208,6,0)</f>
        <v>CALLE 65 N 12W 84</v>
      </c>
      <c r="F3053" s="17">
        <f>+VLOOKUP(A3053,[1]PFE4!$A$7:$G$5208,7,0)</f>
        <v>68001</v>
      </c>
      <c r="G3053">
        <v>35507268</v>
      </c>
      <c r="H3053">
        <v>4329</v>
      </c>
    </row>
    <row r="3054" spans="1:8" ht="15" customHeight="1" x14ac:dyDescent="0.25">
      <c r="A3054" t="s">
        <v>5296</v>
      </c>
      <c r="B3054" t="s">
        <v>9335</v>
      </c>
      <c r="C3054" t="s">
        <v>12637</v>
      </c>
      <c r="D3054" t="s">
        <v>13287</v>
      </c>
      <c r="E3054" t="str">
        <f>+VLOOKUP(A3054,[1]PFE4!$A$7:$F$5208,6,0)</f>
        <v>CL 12 13 01 ZONA URBANA</v>
      </c>
      <c r="F3054" s="17">
        <f>+VLOOKUP(A3054,[1]PFE4!$A$7:$G$5208,7,0)</f>
        <v>25612</v>
      </c>
      <c r="G3054">
        <v>35643002</v>
      </c>
      <c r="H3054">
        <v>4329</v>
      </c>
    </row>
    <row r="3055" spans="1:8" ht="15" customHeight="1" x14ac:dyDescent="0.25">
      <c r="A3055" t="s">
        <v>5297</v>
      </c>
      <c r="B3055" t="s">
        <v>9336</v>
      </c>
      <c r="C3055" t="s">
        <v>12638</v>
      </c>
      <c r="D3055" t="s">
        <v>13287</v>
      </c>
      <c r="E3055" t="str">
        <f>+VLOOKUP(A3055,[1]PFE4!$A$7:$F$5208,6,0)</f>
        <v>CARRERA 117  10  140</v>
      </c>
      <c r="F3055" s="17">
        <f>+VLOOKUP(A3055,[1]PFE4!$A$7:$G$5208,7,0)</f>
        <v>76001</v>
      </c>
      <c r="G3055">
        <v>35674030</v>
      </c>
      <c r="H3055">
        <v>4329</v>
      </c>
    </row>
    <row r="3056" spans="1:8" ht="15" customHeight="1" x14ac:dyDescent="0.25">
      <c r="A3056" t="s">
        <v>5298</v>
      </c>
      <c r="B3056" t="s">
        <v>9337</v>
      </c>
      <c r="C3056">
        <v>0</v>
      </c>
      <c r="D3056" t="s">
        <v>13287</v>
      </c>
      <c r="E3056">
        <v>0</v>
      </c>
      <c r="F3056" s="17">
        <v>11001</v>
      </c>
      <c r="G3056">
        <v>35675000</v>
      </c>
      <c r="H3056">
        <v>4329</v>
      </c>
    </row>
    <row r="3057" spans="1:8" ht="15" customHeight="1" x14ac:dyDescent="0.25">
      <c r="A3057" t="s">
        <v>5299</v>
      </c>
      <c r="B3057" t="s">
        <v>9338</v>
      </c>
      <c r="C3057" t="s">
        <v>12639</v>
      </c>
      <c r="D3057" t="s">
        <v>13287</v>
      </c>
      <c r="E3057" t="str">
        <f>+VLOOKUP(A3057,[1]PFE4!$A$7:$F$5208,6,0)</f>
        <v>CL 78 16  63 73</v>
      </c>
      <c r="F3057" s="17">
        <f>+VLOOKUP(A3057,[1]PFE4!$A$7:$G$5208,7,0)</f>
        <v>11001</v>
      </c>
      <c r="G3057">
        <v>35705051</v>
      </c>
      <c r="H3057">
        <v>4329</v>
      </c>
    </row>
    <row r="3058" spans="1:8" ht="15" customHeight="1" x14ac:dyDescent="0.25">
      <c r="A3058" t="s">
        <v>5300</v>
      </c>
      <c r="B3058" t="s">
        <v>9339</v>
      </c>
      <c r="C3058" t="s">
        <v>12640</v>
      </c>
      <c r="D3058" t="s">
        <v>13287</v>
      </c>
      <c r="E3058" t="str">
        <f>+VLOOKUP(A3058,[1]PFE4!$A$7:$F$5208,6,0)</f>
        <v>CR 49 A 100 CC SUR 79</v>
      </c>
      <c r="F3058" s="17" t="str">
        <f>+VLOOKUP(A3058,[1]PFE4!$A$7:$G$5208,7,0)</f>
        <v>05380</v>
      </c>
      <c r="G3058">
        <v>35717682</v>
      </c>
      <c r="H3058">
        <v>4329</v>
      </c>
    </row>
    <row r="3059" spans="1:8" ht="15" customHeight="1" x14ac:dyDescent="0.25">
      <c r="A3059" t="s">
        <v>5301</v>
      </c>
      <c r="B3059" t="s">
        <v>9340</v>
      </c>
      <c r="C3059" t="s">
        <v>11392</v>
      </c>
      <c r="D3059" t="s">
        <v>13287</v>
      </c>
      <c r="E3059" t="str">
        <f>+VLOOKUP(A3059,[1]PFE4!$A$7:$F$5208,6,0)</f>
        <v>CALLE 86  11  84</v>
      </c>
      <c r="F3059" s="17">
        <f>+VLOOKUP(A3059,[1]PFE4!$A$7:$G$5208,7,0)</f>
        <v>11001</v>
      </c>
      <c r="G3059">
        <v>35754833</v>
      </c>
      <c r="H3059">
        <v>4329</v>
      </c>
    </row>
    <row r="3060" spans="1:8" ht="15" customHeight="1" x14ac:dyDescent="0.25">
      <c r="A3060" t="s">
        <v>5302</v>
      </c>
      <c r="B3060" t="s">
        <v>9341</v>
      </c>
      <c r="C3060">
        <v>3219664011</v>
      </c>
      <c r="D3060" t="s">
        <v>13287</v>
      </c>
      <c r="E3060" t="str">
        <f>+VLOOKUP(A3060,[1]PFE4!$A$7:$F$5208,6,0)</f>
        <v>CALLE 72 No. 54 35 EL PRADO</v>
      </c>
      <c r="F3060" s="17" t="str">
        <f>+VLOOKUP(A3060,[1]PFE4!$A$7:$G$5208,7,0)</f>
        <v>08001</v>
      </c>
      <c r="G3060">
        <v>35805908</v>
      </c>
      <c r="H3060">
        <v>4329</v>
      </c>
    </row>
    <row r="3061" spans="1:8" ht="15" customHeight="1" x14ac:dyDescent="0.25">
      <c r="A3061" t="s">
        <v>5303</v>
      </c>
      <c r="B3061" t="s">
        <v>9342</v>
      </c>
      <c r="C3061" t="s">
        <v>12641</v>
      </c>
      <c r="D3061" t="s">
        <v>13287</v>
      </c>
      <c r="E3061" t="str">
        <f>+VLOOKUP(A3061,[1]PFE4!$A$7:$F$5208,6,0)</f>
        <v>CARRERA 58  70  93</v>
      </c>
      <c r="F3061" s="17" t="str">
        <f>+VLOOKUP(A3061,[1]PFE4!$A$7:$G$5208,7,0)</f>
        <v>08001</v>
      </c>
      <c r="G3061">
        <v>35914828</v>
      </c>
      <c r="H3061">
        <v>4329</v>
      </c>
    </row>
    <row r="3062" spans="1:8" ht="15" customHeight="1" x14ac:dyDescent="0.25">
      <c r="A3062" t="s">
        <v>5304</v>
      </c>
      <c r="B3062" t="s">
        <v>9343</v>
      </c>
      <c r="C3062" t="s">
        <v>12347</v>
      </c>
      <c r="D3062" t="s">
        <v>13287</v>
      </c>
      <c r="E3062" t="str">
        <f>+VLOOKUP(A3062,[1]PFE4!$A$7:$F$5208,6,0)</f>
        <v>CALLE 40E 49 21BRR SANTA ANA</v>
      </c>
      <c r="F3062" s="17" t="str">
        <f>+VLOOKUP(A3062,[1]PFE4!$A$7:$G$5208,7,0)</f>
        <v>05615</v>
      </c>
      <c r="G3062">
        <v>35954172</v>
      </c>
      <c r="H3062">
        <v>4329</v>
      </c>
    </row>
    <row r="3063" spans="1:8" ht="15" customHeight="1" x14ac:dyDescent="0.25">
      <c r="A3063" t="s">
        <v>5305</v>
      </c>
      <c r="B3063" t="s">
        <v>9344</v>
      </c>
      <c r="C3063" t="s">
        <v>12642</v>
      </c>
      <c r="D3063" t="s">
        <v>13287</v>
      </c>
      <c r="E3063" t="str">
        <f>+VLOOKUP(A3063,[1]PFE4!$A$7:$F$5208,6,0)</f>
        <v>CALLE 81  56  21</v>
      </c>
      <c r="F3063" s="17" t="str">
        <f>+VLOOKUP(A3063,[1]PFE4!$A$7:$G$5208,7,0)</f>
        <v>08001</v>
      </c>
      <c r="G3063">
        <v>35965655</v>
      </c>
      <c r="H3063">
        <v>4329</v>
      </c>
    </row>
    <row r="3064" spans="1:8" ht="15" customHeight="1" x14ac:dyDescent="0.25">
      <c r="A3064" t="s">
        <v>5306</v>
      </c>
      <c r="B3064" t="s">
        <v>9345</v>
      </c>
      <c r="C3064">
        <v>3219664011</v>
      </c>
      <c r="D3064" t="s">
        <v>13287</v>
      </c>
      <c r="E3064" t="str">
        <f>+VLOOKUP(A3064,[1]PFE4!$A$7:$F$5208,6,0)</f>
        <v>CL 10 32 115</v>
      </c>
      <c r="F3064" s="17" t="str">
        <f>+VLOOKUP(A3064,[1]PFE4!$A$7:$G$5208,7,0)</f>
        <v>05001</v>
      </c>
      <c r="G3064">
        <v>35996856</v>
      </c>
      <c r="H3064">
        <v>4329</v>
      </c>
    </row>
    <row r="3065" spans="1:8" ht="15" customHeight="1" x14ac:dyDescent="0.25">
      <c r="A3065" t="s">
        <v>5307</v>
      </c>
      <c r="B3065" t="s">
        <v>9346</v>
      </c>
      <c r="C3065" t="s">
        <v>12643</v>
      </c>
      <c r="D3065" t="s">
        <v>13287</v>
      </c>
      <c r="E3065" t="str">
        <f>+VLOOKUP(A3065,[1]PFE4!$A$7:$F$5208,6,0)</f>
        <v>CR 20 17 02</v>
      </c>
      <c r="F3065" s="17" t="str">
        <f>+VLOOKUP(A3065,[1]PFE4!$A$7:$G$5208,7,0)</f>
        <v>05440</v>
      </c>
      <c r="G3065">
        <v>36003142</v>
      </c>
      <c r="H3065">
        <v>4329</v>
      </c>
    </row>
    <row r="3066" spans="1:8" ht="15" customHeight="1" x14ac:dyDescent="0.25">
      <c r="A3066" t="s">
        <v>5308</v>
      </c>
      <c r="B3066" t="s">
        <v>9347</v>
      </c>
      <c r="C3066" t="s">
        <v>12644</v>
      </c>
      <c r="D3066" t="s">
        <v>13287</v>
      </c>
      <c r="E3066" t="str">
        <f>+VLOOKUP(A3066,[1]PFE4!$A$7:$F$5208,6,0)</f>
        <v>CALLE 86  8  05</v>
      </c>
      <c r="F3066" s="17">
        <f>+VLOOKUP(A3066,[1]PFE4!$A$7:$G$5208,7,0)</f>
        <v>11001</v>
      </c>
      <c r="G3066">
        <v>36028544</v>
      </c>
      <c r="H3066">
        <v>4329</v>
      </c>
    </row>
    <row r="3067" spans="1:8" ht="15" customHeight="1" x14ac:dyDescent="0.25">
      <c r="A3067" t="s">
        <v>5309</v>
      </c>
      <c r="B3067" t="s">
        <v>9348</v>
      </c>
      <c r="C3067" t="s">
        <v>12645</v>
      </c>
      <c r="D3067" t="s">
        <v>13287</v>
      </c>
      <c r="E3067" t="str">
        <f>+VLOOKUP(A3067,[1]PFE4!$A$7:$F$5208,6,0)</f>
        <v>cr 5 67 130</v>
      </c>
      <c r="F3067" s="17">
        <f>+VLOOKUP(A3067,[1]PFE4!$A$7:$G$5208,7,0)</f>
        <v>11001</v>
      </c>
      <c r="G3067">
        <v>36117321</v>
      </c>
      <c r="H3067">
        <v>4329</v>
      </c>
    </row>
    <row r="3068" spans="1:8" ht="15" customHeight="1" x14ac:dyDescent="0.25">
      <c r="A3068" t="s">
        <v>5310</v>
      </c>
      <c r="B3068" t="s">
        <v>9349</v>
      </c>
      <c r="C3068" t="s">
        <v>11815</v>
      </c>
      <c r="D3068" t="s">
        <v>13287</v>
      </c>
      <c r="E3068" t="str">
        <f>+VLOOKUP(A3068,[1]PFE4!$A$7:$F$5208,6,0)</f>
        <v>CALLE 23 A  1  52</v>
      </c>
      <c r="F3068" s="17">
        <f>+VLOOKUP(A3068,[1]PFE4!$A$7:$G$5208,7,0)</f>
        <v>11001</v>
      </c>
      <c r="G3068">
        <v>36127963</v>
      </c>
      <c r="H3068">
        <v>4329</v>
      </c>
    </row>
    <row r="3069" spans="1:8" ht="15" customHeight="1" x14ac:dyDescent="0.25">
      <c r="A3069" t="s">
        <v>5311</v>
      </c>
      <c r="B3069" t="s">
        <v>9350</v>
      </c>
      <c r="C3069" t="s">
        <v>12646</v>
      </c>
      <c r="D3069" t="s">
        <v>13287</v>
      </c>
      <c r="E3069" t="str">
        <f>+VLOOKUP(A3069,[1]PFE4!$A$7:$F$5208,6,0)</f>
        <v>CALLE 46  111  59</v>
      </c>
      <c r="F3069" s="17">
        <f>+VLOOKUP(A3069,[1]PFE4!$A$7:$G$5208,7,0)</f>
        <v>76001</v>
      </c>
      <c r="G3069">
        <v>36137170</v>
      </c>
      <c r="H3069">
        <v>4329</v>
      </c>
    </row>
    <row r="3070" spans="1:8" ht="15" customHeight="1" x14ac:dyDescent="0.25">
      <c r="A3070" t="s">
        <v>5312</v>
      </c>
      <c r="B3070" t="s">
        <v>9351</v>
      </c>
      <c r="C3070" t="s">
        <v>12647</v>
      </c>
      <c r="D3070" t="s">
        <v>13287</v>
      </c>
      <c r="E3070" t="str">
        <f>+VLOOKUP(A3070,[1]PFE4!$A$7:$F$5208,6,0)</f>
        <v>CALLE 11 C  73  82</v>
      </c>
      <c r="F3070" s="17">
        <f>+VLOOKUP(A3070,[1]PFE4!$A$7:$G$5208,7,0)</f>
        <v>11001</v>
      </c>
      <c r="G3070">
        <v>36140981</v>
      </c>
      <c r="H3070">
        <v>4329</v>
      </c>
    </row>
    <row r="3071" spans="1:8" ht="15" customHeight="1" x14ac:dyDescent="0.25">
      <c r="A3071" t="s">
        <v>5313</v>
      </c>
      <c r="B3071" t="s">
        <v>9352</v>
      </c>
      <c r="C3071" t="s">
        <v>12215</v>
      </c>
      <c r="D3071" t="s">
        <v>13287</v>
      </c>
      <c r="E3071" t="str">
        <f>+VLOOKUP(A3071,[1]PFE4!$A$7:$F$5208,6,0)</f>
        <v>CR 52 E 75 A 86</v>
      </c>
      <c r="F3071" s="17" t="str">
        <f>+VLOOKUP(A3071,[1]PFE4!$A$7:$G$5208,7,0)</f>
        <v>05360</v>
      </c>
      <c r="G3071">
        <v>36146065</v>
      </c>
      <c r="H3071">
        <v>4329</v>
      </c>
    </row>
    <row r="3072" spans="1:8" ht="15" customHeight="1" x14ac:dyDescent="0.25">
      <c r="A3072" t="s">
        <v>5314</v>
      </c>
      <c r="B3072" t="s">
        <v>9353</v>
      </c>
      <c r="C3072" t="s">
        <v>12648</v>
      </c>
      <c r="D3072" t="s">
        <v>13287</v>
      </c>
      <c r="E3072" t="str">
        <f>+VLOOKUP(A3072,[1]PFE4!$A$7:$F$5208,6,0)</f>
        <v>CARRERA 85 E  33  20</v>
      </c>
      <c r="F3072" s="17">
        <f>+VLOOKUP(A3072,[1]PFE4!$A$7:$G$5208,7,0)</f>
        <v>11001</v>
      </c>
      <c r="G3072">
        <v>36224396</v>
      </c>
      <c r="H3072">
        <v>4329</v>
      </c>
    </row>
    <row r="3073" spans="1:8" ht="15" customHeight="1" x14ac:dyDescent="0.25">
      <c r="A3073" t="s">
        <v>5315</v>
      </c>
      <c r="B3073" t="s">
        <v>9354</v>
      </c>
      <c r="C3073" t="s">
        <v>12649</v>
      </c>
      <c r="D3073" t="s">
        <v>13287</v>
      </c>
      <c r="E3073" t="str">
        <f>+VLOOKUP(A3073,[1]PFE4!$A$7:$F$5208,6,0)</f>
        <v>CR 106 44 67</v>
      </c>
      <c r="F3073" s="17">
        <f>+VLOOKUP(A3073,[1]PFE4!$A$7:$G$5208,7,0)</f>
        <v>11001</v>
      </c>
      <c r="G3073">
        <v>36240868</v>
      </c>
      <c r="H3073">
        <v>4329</v>
      </c>
    </row>
    <row r="3074" spans="1:8" ht="15" customHeight="1" x14ac:dyDescent="0.25">
      <c r="A3074" t="s">
        <v>5316</v>
      </c>
      <c r="B3074" t="s">
        <v>9355</v>
      </c>
      <c r="C3074" t="s">
        <v>12650</v>
      </c>
      <c r="D3074" t="s">
        <v>13287</v>
      </c>
      <c r="E3074" t="str">
        <f>+VLOOKUP(A3074,[1]PFE4!$A$7:$F$5208,6,0)</f>
        <v>TRANSVERSAL  34  127 C  80</v>
      </c>
      <c r="F3074" s="17">
        <f>+VLOOKUP(A3074,[1]PFE4!$A$7:$G$5208,7,0)</f>
        <v>11001</v>
      </c>
      <c r="G3074">
        <v>36276776</v>
      </c>
      <c r="H3074">
        <v>4329</v>
      </c>
    </row>
    <row r="3075" spans="1:8" ht="15" customHeight="1" x14ac:dyDescent="0.25">
      <c r="A3075" t="s">
        <v>5317</v>
      </c>
      <c r="B3075" t="s">
        <v>9356</v>
      </c>
      <c r="C3075" t="s">
        <v>11325</v>
      </c>
      <c r="D3075" t="s">
        <v>13287</v>
      </c>
      <c r="E3075" t="str">
        <f>+VLOOKUP(A3075,[1]PFE4!$A$7:$F$5208,6,0)</f>
        <v>CARRERA 38 26-13 17</v>
      </c>
      <c r="F3075" s="17" t="str">
        <f>+VLOOKUP(A3075,[1]PFE4!$A$7:$G$5208,7,0)</f>
        <v>05001</v>
      </c>
      <c r="G3075">
        <v>36327816</v>
      </c>
      <c r="H3075">
        <v>4329</v>
      </c>
    </row>
    <row r="3076" spans="1:8" ht="15" customHeight="1" x14ac:dyDescent="0.25">
      <c r="A3076" t="s">
        <v>5318</v>
      </c>
      <c r="B3076" t="s">
        <v>9357</v>
      </c>
      <c r="C3076" t="s">
        <v>12028</v>
      </c>
      <c r="D3076" t="s">
        <v>13287</v>
      </c>
      <c r="E3076" t="str">
        <f>+VLOOKUP(A3076,[1]PFE4!$A$7:$F$5208,6,0)</f>
        <v>CARRERA 100  42  65</v>
      </c>
      <c r="F3076" s="17">
        <f>+VLOOKUP(A3076,[1]PFE4!$A$7:$G$5208,7,0)</f>
        <v>76001</v>
      </c>
      <c r="G3076">
        <v>36367554</v>
      </c>
      <c r="H3076">
        <v>4329</v>
      </c>
    </row>
    <row r="3077" spans="1:8" ht="15" customHeight="1" x14ac:dyDescent="0.25">
      <c r="A3077" t="s">
        <v>5319</v>
      </c>
      <c r="B3077" t="s">
        <v>9358</v>
      </c>
      <c r="C3077" t="s">
        <v>12651</v>
      </c>
      <c r="D3077" t="s">
        <v>13287</v>
      </c>
      <c r="E3077" t="str">
        <f>+VLOOKUP(A3077,[1]PFE4!$A$7:$F$5208,6,0)</f>
        <v>CALLE 80 SUR  47 C  61</v>
      </c>
      <c r="F3077" s="17" t="str">
        <f>+VLOOKUP(A3077,[1]PFE4!$A$7:$G$5208,7,0)</f>
        <v>05631</v>
      </c>
      <c r="G3077">
        <v>36373400</v>
      </c>
      <c r="H3077">
        <v>4329</v>
      </c>
    </row>
    <row r="3078" spans="1:8" ht="15" customHeight="1" x14ac:dyDescent="0.25">
      <c r="A3078" t="s">
        <v>5320</v>
      </c>
      <c r="B3078" t="s">
        <v>9359</v>
      </c>
      <c r="C3078">
        <v>3219664011</v>
      </c>
      <c r="D3078" t="s">
        <v>13287</v>
      </c>
      <c r="E3078" t="str">
        <f>+VLOOKUP(A3078,[1]PFE4!$A$7:$F$5208,6,0)</f>
        <v>CARRERA 43C 4 SUR-199</v>
      </c>
      <c r="F3078" s="17" t="str">
        <f>+VLOOKUP(A3078,[1]PFE4!$A$7:$G$5208,7,0)</f>
        <v>05001</v>
      </c>
      <c r="G3078">
        <v>36383744</v>
      </c>
      <c r="H3078">
        <v>4329</v>
      </c>
    </row>
    <row r="3079" spans="1:8" ht="15" customHeight="1" x14ac:dyDescent="0.25">
      <c r="A3079" t="s">
        <v>5321</v>
      </c>
      <c r="B3079" t="s">
        <v>9360</v>
      </c>
      <c r="C3079" t="s">
        <v>12652</v>
      </c>
      <c r="D3079" t="s">
        <v>13287</v>
      </c>
      <c r="E3079" t="str">
        <f>+VLOOKUP(A3079,[1]PFE4!$A$7:$F$5208,6,0)</f>
        <v>BARRIO MANGA CALLE 26 21-124</v>
      </c>
      <c r="F3079" s="17">
        <f>+VLOOKUP(A3079,[1]PFE4!$A$7:$G$5208,7,0)</f>
        <v>13001</v>
      </c>
      <c r="G3079">
        <v>36389636</v>
      </c>
      <c r="H3079">
        <v>4329</v>
      </c>
    </row>
    <row r="3080" spans="1:8" ht="15" customHeight="1" x14ac:dyDescent="0.25">
      <c r="A3080" t="s">
        <v>5322</v>
      </c>
      <c r="B3080" t="s">
        <v>9361</v>
      </c>
      <c r="C3080" t="s">
        <v>12653</v>
      </c>
      <c r="D3080" t="s">
        <v>13287</v>
      </c>
      <c r="E3080" t="str">
        <f>+VLOOKUP(A3080,[1]PFE4!$A$7:$F$5208,6,0)</f>
        <v>DIAGONAL 22 B  52  01</v>
      </c>
      <c r="F3080" s="17">
        <f>+VLOOKUP(A3080,[1]PFE4!$A$7:$G$5208,7,0)</f>
        <v>11001</v>
      </c>
      <c r="G3080">
        <v>36425222</v>
      </c>
      <c r="H3080">
        <v>4329</v>
      </c>
    </row>
    <row r="3081" spans="1:8" ht="15" customHeight="1" x14ac:dyDescent="0.25">
      <c r="A3081" t="s">
        <v>5323</v>
      </c>
      <c r="B3081" t="s">
        <v>9362</v>
      </c>
      <c r="C3081" t="s">
        <v>12654</v>
      </c>
      <c r="D3081" t="s">
        <v>13287</v>
      </c>
      <c r="E3081" t="str">
        <f>+VLOOKUP(A3081,[1]PFE4!$A$7:$F$5208,6,0)</f>
        <v>CORR LA BOQUILLA CR 9 22 620</v>
      </c>
      <c r="F3081" s="17">
        <f>+VLOOKUP(A3081,[1]PFE4!$A$7:$G$5208,7,0)</f>
        <v>13001</v>
      </c>
      <c r="G3081">
        <v>36509612</v>
      </c>
      <c r="H3081">
        <v>4329</v>
      </c>
    </row>
    <row r="3082" spans="1:8" ht="15" customHeight="1" x14ac:dyDescent="0.25">
      <c r="A3082" t="s">
        <v>5324</v>
      </c>
      <c r="B3082" t="s">
        <v>9363</v>
      </c>
      <c r="C3082" t="s">
        <v>12655</v>
      </c>
      <c r="D3082" t="s">
        <v>13287</v>
      </c>
      <c r="E3082" t="str">
        <f>+VLOOKUP(A3082,[1]PFE4!$A$7:$F$5208,6,0)</f>
        <v>CL 14 19 20 BRR SACHAMATE</v>
      </c>
      <c r="F3082" s="17">
        <f>+VLOOKUP(A3082,[1]PFE4!$A$7:$G$5208,7,0)</f>
        <v>11001</v>
      </c>
      <c r="G3082">
        <v>36519456</v>
      </c>
      <c r="H3082">
        <v>4329</v>
      </c>
    </row>
    <row r="3083" spans="1:8" ht="15" customHeight="1" x14ac:dyDescent="0.25">
      <c r="A3083" t="s">
        <v>5325</v>
      </c>
      <c r="B3083" t="s">
        <v>9364</v>
      </c>
      <c r="C3083" t="s">
        <v>12158</v>
      </c>
      <c r="D3083" t="s">
        <v>13287</v>
      </c>
      <c r="E3083" t="str">
        <f>+VLOOKUP(A3083,[1]PFE4!$A$7:$F$5208,6,0)</f>
        <v>CL 10 SUR 45 45 240 260 270</v>
      </c>
      <c r="F3083" s="17" t="str">
        <f>+VLOOKUP(A3083,[1]PFE4!$A$7:$G$5208,7,0)</f>
        <v>05001</v>
      </c>
      <c r="G3083">
        <v>36530154</v>
      </c>
      <c r="H3083">
        <v>4329</v>
      </c>
    </row>
    <row r="3084" spans="1:8" ht="15" customHeight="1" x14ac:dyDescent="0.25">
      <c r="A3084" t="s">
        <v>5326</v>
      </c>
      <c r="B3084" t="s">
        <v>9365</v>
      </c>
      <c r="C3084" t="s">
        <v>12656</v>
      </c>
      <c r="D3084" t="s">
        <v>13287</v>
      </c>
      <c r="E3084" t="str">
        <f>+VLOOKUP(A3084,[1]PFE4!$A$7:$F$5208,6,0)</f>
        <v>CALLE 95  11  51 OFICINA 402</v>
      </c>
      <c r="F3084" s="17">
        <f>+VLOOKUP(A3084,[1]PFE4!$A$7:$G$5208,7,0)</f>
        <v>11001</v>
      </c>
      <c r="G3084">
        <v>36547964</v>
      </c>
      <c r="H3084">
        <v>4329</v>
      </c>
    </row>
    <row r="3085" spans="1:8" ht="15" customHeight="1" x14ac:dyDescent="0.25">
      <c r="A3085" t="s">
        <v>5327</v>
      </c>
      <c r="B3085" t="s">
        <v>9366</v>
      </c>
      <c r="C3085" t="s">
        <v>11557</v>
      </c>
      <c r="D3085" t="s">
        <v>13287</v>
      </c>
      <c r="E3085" t="str">
        <f>+VLOOKUP(A3085,[1]PFE4!$A$7:$F$5208,6,0)</f>
        <v>CALLE 19 NORTE  19  54</v>
      </c>
      <c r="F3085" s="17">
        <f>+VLOOKUP(A3085,[1]PFE4!$A$7:$G$5208,7,0)</f>
        <v>63001</v>
      </c>
      <c r="G3085">
        <v>36584961</v>
      </c>
      <c r="H3085">
        <v>4329</v>
      </c>
    </row>
    <row r="3086" spans="1:8" ht="15" customHeight="1" x14ac:dyDescent="0.25">
      <c r="A3086" t="s">
        <v>5328</v>
      </c>
      <c r="B3086" t="s">
        <v>9367</v>
      </c>
      <c r="C3086" t="s">
        <v>12657</v>
      </c>
      <c r="D3086" t="s">
        <v>13287</v>
      </c>
      <c r="E3086" t="str">
        <f>+VLOOKUP(A3086,[1]PFE4!$A$7:$F$5208,6,0)</f>
        <v>CALLE 107 A  11 A  50</v>
      </c>
      <c r="F3086" s="17">
        <f>+VLOOKUP(A3086,[1]PFE4!$A$7:$G$5208,7,0)</f>
        <v>11001</v>
      </c>
      <c r="G3086">
        <v>36681900</v>
      </c>
      <c r="H3086">
        <v>4329</v>
      </c>
    </row>
    <row r="3087" spans="1:8" ht="15" customHeight="1" x14ac:dyDescent="0.25">
      <c r="A3087" t="s">
        <v>5329</v>
      </c>
      <c r="B3087" t="s">
        <v>9368</v>
      </c>
      <c r="C3087" t="s">
        <v>12658</v>
      </c>
      <c r="D3087" t="s">
        <v>13287</v>
      </c>
      <c r="E3087" t="str">
        <f>+VLOOKUP(A3087,[1]PFE4!$A$7:$F$5208,6,0)</f>
        <v>CR 27 CL 9 UIS</v>
      </c>
      <c r="F3087" s="17">
        <f>+VLOOKUP(A3087,[1]PFE4!$A$7:$G$5208,7,0)</f>
        <v>11001</v>
      </c>
      <c r="G3087">
        <v>36699490</v>
      </c>
      <c r="H3087">
        <v>4329</v>
      </c>
    </row>
    <row r="3088" spans="1:8" ht="15" customHeight="1" x14ac:dyDescent="0.25">
      <c r="A3088" t="s">
        <v>5330</v>
      </c>
      <c r="B3088" t="s">
        <v>9369</v>
      </c>
      <c r="C3088" t="s">
        <v>12659</v>
      </c>
      <c r="D3088" t="s">
        <v>13287</v>
      </c>
      <c r="E3088" t="str">
        <f>+VLOOKUP(A3088,[1]PFE4!$A$7:$F$5208,6,0)</f>
        <v>CALLE 56  27  15</v>
      </c>
      <c r="F3088" s="17">
        <f>+VLOOKUP(A3088,[1]PFE4!$A$7:$G$5208,7,0)</f>
        <v>68001</v>
      </c>
      <c r="G3088">
        <v>36724891</v>
      </c>
      <c r="H3088">
        <v>4329</v>
      </c>
    </row>
    <row r="3089" spans="1:8" ht="15" customHeight="1" x14ac:dyDescent="0.25">
      <c r="A3089" t="s">
        <v>5331</v>
      </c>
      <c r="B3089" t="s">
        <v>9370</v>
      </c>
      <c r="C3089" t="s">
        <v>12660</v>
      </c>
      <c r="D3089" t="s">
        <v>13287</v>
      </c>
      <c r="E3089" t="str">
        <f>+VLOOKUP(A3089,[1]PFE4!$A$7:$F$5208,6,0)</f>
        <v>AVENIDA GONZALEZ VALENCIA  52  69</v>
      </c>
      <c r="F3089" s="17">
        <f>+VLOOKUP(A3089,[1]PFE4!$A$7:$G$5208,7,0)</f>
        <v>11001</v>
      </c>
      <c r="G3089">
        <v>36738390</v>
      </c>
      <c r="H3089">
        <v>4329</v>
      </c>
    </row>
    <row r="3090" spans="1:8" ht="15" customHeight="1" x14ac:dyDescent="0.25">
      <c r="A3090" t="s">
        <v>5332</v>
      </c>
      <c r="B3090" t="s">
        <v>9371</v>
      </c>
      <c r="C3090" t="s">
        <v>12661</v>
      </c>
      <c r="D3090" t="s">
        <v>13287</v>
      </c>
      <c r="E3090" t="str">
        <f>+VLOOKUP(A3090,[1]PFE4!$A$7:$F$5208,6,0)</f>
        <v>CALLE 67 99-183</v>
      </c>
      <c r="F3090" s="17" t="str">
        <f>+VLOOKUP(A3090,[1]PFE4!$A$7:$G$5208,7,0)</f>
        <v>05001</v>
      </c>
      <c r="G3090">
        <v>36744756</v>
      </c>
      <c r="H3090">
        <v>4329</v>
      </c>
    </row>
    <row r="3091" spans="1:8" ht="15" customHeight="1" x14ac:dyDescent="0.25">
      <c r="A3091" t="s">
        <v>5333</v>
      </c>
      <c r="B3091" t="s">
        <v>9372</v>
      </c>
      <c r="C3091" t="s">
        <v>12429</v>
      </c>
      <c r="D3091" t="s">
        <v>13287</v>
      </c>
      <c r="E3091" t="str">
        <f>+VLOOKUP(A3091,[1]PFE4!$A$7:$F$5208,6,0)</f>
        <v>TRANSVERSAL 15 #55B-150</v>
      </c>
      <c r="F3091" s="17" t="str">
        <f>+VLOOKUP(A3091,[1]PFE4!$A$7:$G$5208,7,0)</f>
        <v>05615</v>
      </c>
      <c r="G3091">
        <v>36775000</v>
      </c>
      <c r="H3091">
        <v>4329</v>
      </c>
    </row>
    <row r="3092" spans="1:8" ht="15" customHeight="1" x14ac:dyDescent="0.25">
      <c r="A3092" t="s">
        <v>5334</v>
      </c>
      <c r="B3092" t="s">
        <v>9373</v>
      </c>
      <c r="C3092" t="s">
        <v>12662</v>
      </c>
      <c r="D3092" t="s">
        <v>13287</v>
      </c>
      <c r="E3092" t="str">
        <f>+VLOOKUP(A3092,[1]PFE4!$A$7:$F$5208,6,0)</f>
        <v>CR 121 A 42 16</v>
      </c>
      <c r="F3092" s="17">
        <f>+VLOOKUP(A3092,[1]PFE4!$A$7:$G$5208,7,0)</f>
        <v>11001</v>
      </c>
      <c r="G3092">
        <v>36798926</v>
      </c>
      <c r="H3092">
        <v>4329</v>
      </c>
    </row>
    <row r="3093" spans="1:8" ht="15" customHeight="1" x14ac:dyDescent="0.25">
      <c r="A3093" t="s">
        <v>5335</v>
      </c>
      <c r="B3093" t="s">
        <v>9374</v>
      </c>
      <c r="C3093" t="s">
        <v>12663</v>
      </c>
      <c r="D3093" t="s">
        <v>13287</v>
      </c>
      <c r="E3093" t="str">
        <f>+VLOOKUP(A3093,[1]PFE4!$A$7:$F$5208,6,0)</f>
        <v>CR 81 B 39 J 75 CARR LA CORDIALIDAD CAMINO A CAMPAÑA</v>
      </c>
      <c r="F3093" s="17">
        <f>+VLOOKUP(A3093,[1]PFE4!$A$7:$G$5208,7,0)</f>
        <v>13001</v>
      </c>
      <c r="G3093">
        <v>36812668</v>
      </c>
      <c r="H3093">
        <v>4329</v>
      </c>
    </row>
    <row r="3094" spans="1:8" ht="15" customHeight="1" x14ac:dyDescent="0.25">
      <c r="A3094" t="s">
        <v>5336</v>
      </c>
      <c r="B3094" t="s">
        <v>9375</v>
      </c>
      <c r="C3094" t="s">
        <v>12664</v>
      </c>
      <c r="D3094" t="s">
        <v>13287</v>
      </c>
      <c r="E3094" t="str">
        <f>+VLOOKUP(A3094,[1]PFE4!$A$7:$F$5208,6,0)</f>
        <v>CARRERA 72  80 A  43</v>
      </c>
      <c r="F3094" s="17" t="str">
        <f>+VLOOKUP(A3094,[1]PFE4!$A$7:$G$5208,7,0)</f>
        <v>05001</v>
      </c>
      <c r="G3094">
        <v>36876264</v>
      </c>
      <c r="H3094">
        <v>4329</v>
      </c>
    </row>
    <row r="3095" spans="1:8" ht="15" customHeight="1" x14ac:dyDescent="0.25">
      <c r="A3095" t="s">
        <v>5337</v>
      </c>
      <c r="B3095" t="s">
        <v>9376</v>
      </c>
      <c r="C3095" t="s">
        <v>12665</v>
      </c>
      <c r="D3095" t="s">
        <v>13287</v>
      </c>
      <c r="E3095" t="str">
        <f>+VLOOKUP(A3095,[1]PFE4!$A$7:$F$5208,6,0)</f>
        <v>CARRERA 1  28  70</v>
      </c>
      <c r="F3095" s="17">
        <f>+VLOOKUP(A3095,[1]PFE4!$A$7:$G$5208,7,0)</f>
        <v>11001</v>
      </c>
      <c r="G3095">
        <v>36892213</v>
      </c>
      <c r="H3095">
        <v>4329</v>
      </c>
    </row>
    <row r="3096" spans="1:8" ht="15" customHeight="1" x14ac:dyDescent="0.25">
      <c r="A3096" t="s">
        <v>5338</v>
      </c>
      <c r="B3096" t="s">
        <v>9377</v>
      </c>
      <c r="C3096" t="s">
        <v>11727</v>
      </c>
      <c r="D3096" t="s">
        <v>13287</v>
      </c>
      <c r="E3096" t="str">
        <f>+VLOOKUP(A3096,[1]PFE4!$A$7:$F$5208,6,0)</f>
        <v>CR 98 C 58 72</v>
      </c>
      <c r="F3096" s="17">
        <f>+VLOOKUP(A3096,[1]PFE4!$A$7:$G$5208,7,0)</f>
        <v>11001</v>
      </c>
      <c r="G3096">
        <v>36913596</v>
      </c>
      <c r="H3096">
        <v>4329</v>
      </c>
    </row>
    <row r="3097" spans="1:8" ht="15" customHeight="1" x14ac:dyDescent="0.25">
      <c r="A3097" t="s">
        <v>5339</v>
      </c>
      <c r="B3097" t="s">
        <v>9378</v>
      </c>
      <c r="C3097" t="s">
        <v>12666</v>
      </c>
      <c r="D3097" t="s">
        <v>13287</v>
      </c>
      <c r="E3097" t="str">
        <f>+VLOOKUP(A3097,[1]PFE4!$A$7:$F$5208,6,0)</f>
        <v>AVENIDA 4 B N  58 N  60</v>
      </c>
      <c r="F3097" s="17">
        <f>+VLOOKUP(A3097,[1]PFE4!$A$7:$G$5208,7,0)</f>
        <v>11001</v>
      </c>
      <c r="G3097">
        <v>36948655</v>
      </c>
      <c r="H3097">
        <v>4329</v>
      </c>
    </row>
    <row r="3098" spans="1:8" ht="15" customHeight="1" x14ac:dyDescent="0.25">
      <c r="A3098" t="s">
        <v>5340</v>
      </c>
      <c r="B3098" t="s">
        <v>9379</v>
      </c>
      <c r="C3098" t="s">
        <v>12667</v>
      </c>
      <c r="D3098" t="s">
        <v>13287</v>
      </c>
      <c r="E3098" t="str">
        <f>+VLOOKUP(A3098,[1]PFE4!$A$7:$F$5208,6,0)</f>
        <v>CARRERA 5  92 A  41</v>
      </c>
      <c r="F3098" s="17">
        <f>+VLOOKUP(A3098,[1]PFE4!$A$7:$G$5208,7,0)</f>
        <v>11001</v>
      </c>
      <c r="G3098">
        <v>37050816</v>
      </c>
      <c r="H3098">
        <v>4329</v>
      </c>
    </row>
    <row r="3099" spans="1:8" ht="15" customHeight="1" x14ac:dyDescent="0.25">
      <c r="A3099" t="s">
        <v>5341</v>
      </c>
      <c r="B3099" t="s">
        <v>9380</v>
      </c>
      <c r="C3099" t="s">
        <v>12668</v>
      </c>
      <c r="D3099" t="s">
        <v>13287</v>
      </c>
      <c r="E3099" t="str">
        <f>+VLOOKUP(A3099,[1]PFE4!$A$7:$F$5208,6,0)</f>
        <v>DIAGONAL 92  17 A  42</v>
      </c>
      <c r="F3099" s="17">
        <f>+VLOOKUP(A3099,[1]PFE4!$A$7:$G$5208,7,0)</f>
        <v>11001</v>
      </c>
      <c r="G3099">
        <v>37114484</v>
      </c>
      <c r="H3099">
        <v>4329</v>
      </c>
    </row>
    <row r="3100" spans="1:8" ht="15" customHeight="1" x14ac:dyDescent="0.25">
      <c r="A3100" t="s">
        <v>5342</v>
      </c>
      <c r="B3100" t="s">
        <v>9381</v>
      </c>
      <c r="C3100" t="s">
        <v>12669</v>
      </c>
      <c r="D3100" t="s">
        <v>13287</v>
      </c>
      <c r="E3100" t="str">
        <f>+VLOOKUP(A3100,[1]PFE4!$A$7:$F$5208,6,0)</f>
        <v>CARRERA 52  86  57</v>
      </c>
      <c r="F3100" s="17" t="str">
        <f>+VLOOKUP(A3100,[1]PFE4!$A$7:$G$5208,7,0)</f>
        <v>08001</v>
      </c>
      <c r="G3100">
        <v>37179679</v>
      </c>
      <c r="H3100">
        <v>4329</v>
      </c>
    </row>
    <row r="3101" spans="1:8" ht="15" customHeight="1" x14ac:dyDescent="0.25">
      <c r="A3101" t="s">
        <v>5343</v>
      </c>
      <c r="B3101" t="s">
        <v>9382</v>
      </c>
      <c r="C3101" t="s">
        <v>12670</v>
      </c>
      <c r="D3101" t="s">
        <v>13287</v>
      </c>
      <c r="E3101" t="str">
        <f>+VLOOKUP(A3101,[1]PFE4!$A$7:$F$5208,6,0)</f>
        <v>TV 44 102 72</v>
      </c>
      <c r="F3101" s="17" t="str">
        <f>+VLOOKUP(A3101,[1]PFE4!$A$7:$G$5208,7,0)</f>
        <v>08001</v>
      </c>
      <c r="G3101">
        <v>37193200</v>
      </c>
      <c r="H3101">
        <v>4329</v>
      </c>
    </row>
    <row r="3102" spans="1:8" ht="15" customHeight="1" x14ac:dyDescent="0.25">
      <c r="A3102" t="s">
        <v>5344</v>
      </c>
      <c r="B3102" t="s">
        <v>9383</v>
      </c>
      <c r="C3102" t="s">
        <v>12671</v>
      </c>
      <c r="D3102" t="s">
        <v>13287</v>
      </c>
      <c r="E3102" t="str">
        <f>+VLOOKUP(A3102,[1]PFE4!$A$7:$F$5208,6,0)</f>
        <v>CL 93 B 19 44</v>
      </c>
      <c r="F3102" s="17">
        <f>+VLOOKUP(A3102,[1]PFE4!$A$7:$G$5208,7,0)</f>
        <v>11001</v>
      </c>
      <c r="G3102">
        <v>37232400</v>
      </c>
      <c r="H3102">
        <v>4329</v>
      </c>
    </row>
    <row r="3103" spans="1:8" ht="15" customHeight="1" x14ac:dyDescent="0.25">
      <c r="A3103" t="s">
        <v>5345</v>
      </c>
      <c r="B3103" t="s">
        <v>9384</v>
      </c>
      <c r="C3103" t="s">
        <v>12672</v>
      </c>
      <c r="D3103" t="s">
        <v>13287</v>
      </c>
      <c r="E3103" t="str">
        <f>+VLOOKUP(A3103,[1]PFE4!$A$7:$F$5208,6,0)</f>
        <v>CALLE 19  15 E  30</v>
      </c>
      <c r="F3103" s="17">
        <f>+VLOOKUP(A3103,[1]PFE4!$A$7:$G$5208,7,0)</f>
        <v>54001</v>
      </c>
      <c r="G3103">
        <v>37272642</v>
      </c>
      <c r="H3103">
        <v>4329</v>
      </c>
    </row>
    <row r="3104" spans="1:8" ht="15" customHeight="1" x14ac:dyDescent="0.25">
      <c r="A3104" t="s">
        <v>5346</v>
      </c>
      <c r="B3104" t="s">
        <v>9385</v>
      </c>
      <c r="C3104" t="s">
        <v>12673</v>
      </c>
      <c r="D3104" t="s">
        <v>13287</v>
      </c>
      <c r="E3104" t="str">
        <f>+VLOOKUP(A3104,[1]PFE4!$A$7:$F$5208,6,0)</f>
        <v>CL 3 7 B 716 CONJUNTO RESIDENCIAL ALTO VERDE CLUB HOUSE PH</v>
      </c>
      <c r="F3104" s="17">
        <f>+VLOOKUP(A3104,[1]PFE4!$A$7:$G$5208,7,0)</f>
        <v>73449</v>
      </c>
      <c r="G3104">
        <v>37300165</v>
      </c>
      <c r="H3104">
        <v>4329</v>
      </c>
    </row>
    <row r="3105" spans="1:8" ht="15" customHeight="1" x14ac:dyDescent="0.25">
      <c r="A3105" t="s">
        <v>5347</v>
      </c>
      <c r="B3105" t="s">
        <v>9386</v>
      </c>
      <c r="C3105" t="s">
        <v>12510</v>
      </c>
      <c r="D3105" t="s">
        <v>13287</v>
      </c>
      <c r="E3105" t="str">
        <f>+VLOOKUP(A3105,[1]PFE4!$A$7:$F$5208,6,0)</f>
        <v>CALLE 41  50 B B  36</v>
      </c>
      <c r="F3105" s="17" t="str">
        <f>+VLOOKUP(A3105,[1]PFE4!$A$7:$G$5208,7,0)</f>
        <v>05615</v>
      </c>
      <c r="G3105">
        <v>37340744</v>
      </c>
      <c r="H3105">
        <v>4329</v>
      </c>
    </row>
    <row r="3106" spans="1:8" ht="15" customHeight="1" x14ac:dyDescent="0.25">
      <c r="A3106" t="s">
        <v>5348</v>
      </c>
      <c r="B3106" t="s">
        <v>9387</v>
      </c>
      <c r="C3106" t="s">
        <v>12661</v>
      </c>
      <c r="D3106" t="s">
        <v>13287</v>
      </c>
      <c r="E3106" t="str">
        <f>+VLOOKUP(A3106,[1]PFE4!$A$7:$F$5208,6,0)</f>
        <v>CL 64 CR 76 A 29</v>
      </c>
      <c r="F3106" s="17" t="str">
        <f>+VLOOKUP(A3106,[1]PFE4!$A$7:$G$5208,7,0)</f>
        <v>05001</v>
      </c>
      <c r="G3106">
        <v>37408940</v>
      </c>
      <c r="H3106">
        <v>4329</v>
      </c>
    </row>
    <row r="3107" spans="1:8" ht="15" customHeight="1" x14ac:dyDescent="0.25">
      <c r="A3107" t="s">
        <v>5349</v>
      </c>
      <c r="B3107" t="s">
        <v>9388</v>
      </c>
      <c r="C3107" t="s">
        <v>12674</v>
      </c>
      <c r="D3107" t="s">
        <v>13287</v>
      </c>
      <c r="E3107" t="str">
        <f>+VLOOKUP(A3107,[1]PFE4!$A$7:$F$5208,6,0)</f>
        <v>CALLE 146 A  58 C  56</v>
      </c>
      <c r="F3107" s="17">
        <f>+VLOOKUP(A3107,[1]PFE4!$A$7:$G$5208,7,0)</f>
        <v>11001</v>
      </c>
      <c r="G3107">
        <v>37449291</v>
      </c>
      <c r="H3107">
        <v>4329</v>
      </c>
    </row>
    <row r="3108" spans="1:8" ht="15" customHeight="1" x14ac:dyDescent="0.25">
      <c r="A3108" t="s">
        <v>5350</v>
      </c>
      <c r="B3108" t="s">
        <v>9389</v>
      </c>
      <c r="C3108" t="s">
        <v>10954</v>
      </c>
      <c r="D3108" t="s">
        <v>13287</v>
      </c>
      <c r="E3108" t="str">
        <f>+VLOOKUP(A3108,[1]PFE4!$A$7:$F$5208,6,0)</f>
        <v>CL 1 24  86</v>
      </c>
      <c r="F3108" s="17" t="str">
        <f>+VLOOKUP(A3108,[1]PFE4!$A$7:$G$5208,7,0)</f>
        <v>08573</v>
      </c>
      <c r="G3108">
        <v>37454672</v>
      </c>
      <c r="H3108">
        <v>4329</v>
      </c>
    </row>
    <row r="3109" spans="1:8" ht="15" customHeight="1" x14ac:dyDescent="0.25">
      <c r="A3109" t="s">
        <v>5351</v>
      </c>
      <c r="B3109" t="s">
        <v>9390</v>
      </c>
      <c r="C3109" t="s">
        <v>11668</v>
      </c>
      <c r="D3109" t="s">
        <v>13287</v>
      </c>
      <c r="E3109" t="str">
        <f>+VLOOKUP(A3109,[1]PFE4!$A$7:$F$5208,6,0)</f>
        <v>AVENIDA SURABASTOS  26  02</v>
      </c>
      <c r="F3109" s="17">
        <f>+VLOOKUP(A3109,[1]PFE4!$A$7:$G$5208,7,0)</f>
        <v>41001</v>
      </c>
      <c r="G3109">
        <v>37579200</v>
      </c>
      <c r="H3109">
        <v>4329</v>
      </c>
    </row>
    <row r="3110" spans="1:8" ht="15" customHeight="1" x14ac:dyDescent="0.25">
      <c r="A3110" t="s">
        <v>5352</v>
      </c>
      <c r="B3110" t="s">
        <v>9391</v>
      </c>
      <c r="C3110" t="s">
        <v>12675</v>
      </c>
      <c r="D3110" t="s">
        <v>13287</v>
      </c>
      <c r="E3110" t="str">
        <f>+VLOOKUP(A3110,[1]PFE4!$A$7:$F$5208,6,0)</f>
        <v>CALLE 5  4  211</v>
      </c>
      <c r="F3110" s="17">
        <f>+VLOOKUP(A3110,[1]PFE4!$A$7:$G$5208,7,0)</f>
        <v>11001</v>
      </c>
      <c r="G3110">
        <v>37622472</v>
      </c>
      <c r="H3110">
        <v>4329</v>
      </c>
    </row>
    <row r="3111" spans="1:8" ht="15" customHeight="1" x14ac:dyDescent="0.25">
      <c r="A3111" t="s">
        <v>5353</v>
      </c>
      <c r="B3111" t="s">
        <v>9392</v>
      </c>
      <c r="C3111" t="s">
        <v>12676</v>
      </c>
      <c r="D3111" t="s">
        <v>13287</v>
      </c>
      <c r="E3111" t="str">
        <f>+VLOOKUP(A3111,[1]PFE4!$A$7:$F$5208,6,0)</f>
        <v>CALLE 33 A 19 20</v>
      </c>
      <c r="F3111" s="17">
        <f>+VLOOKUP(A3111,[1]PFE4!$A$7:$G$5208,7,0)</f>
        <v>11001</v>
      </c>
      <c r="G3111">
        <v>37736396</v>
      </c>
      <c r="H3111">
        <v>4329</v>
      </c>
    </row>
    <row r="3112" spans="1:8" ht="15" customHeight="1" x14ac:dyDescent="0.25">
      <c r="A3112" t="s">
        <v>5354</v>
      </c>
      <c r="B3112" t="s">
        <v>9393</v>
      </c>
      <c r="C3112" t="s">
        <v>11455</v>
      </c>
      <c r="D3112" t="s">
        <v>13287</v>
      </c>
      <c r="E3112" t="str">
        <f>+VLOOKUP(A3112,[1]PFE4!$A$7:$F$5208,6,0)</f>
        <v>CR 27 D 34 D D SUR 69</v>
      </c>
      <c r="F3112" s="17" t="str">
        <f>+VLOOKUP(A3112,[1]PFE4!$A$7:$G$5208,7,0)</f>
        <v>05266</v>
      </c>
      <c r="G3112">
        <v>37770320</v>
      </c>
      <c r="H3112">
        <v>4329</v>
      </c>
    </row>
    <row r="3113" spans="1:8" ht="15" customHeight="1" x14ac:dyDescent="0.25">
      <c r="A3113" t="s">
        <v>5355</v>
      </c>
      <c r="B3113" t="s">
        <v>9394</v>
      </c>
      <c r="C3113" t="s">
        <v>12677</v>
      </c>
      <c r="D3113" t="s">
        <v>13287</v>
      </c>
      <c r="E3113" t="str">
        <f>+VLOOKUP(A3113,[1]PFE4!$A$7:$F$5208,6,0)</f>
        <v>CR 1 17 113 SEC RODADERO</v>
      </c>
      <c r="F3113" s="17">
        <f>+VLOOKUP(A3113,[1]PFE4!$A$7:$G$5208,7,0)</f>
        <v>11001</v>
      </c>
      <c r="G3113">
        <v>37789881</v>
      </c>
      <c r="H3113">
        <v>4329</v>
      </c>
    </row>
    <row r="3114" spans="1:8" ht="15" customHeight="1" x14ac:dyDescent="0.25">
      <c r="A3114" t="s">
        <v>5356</v>
      </c>
      <c r="B3114" t="s">
        <v>9395</v>
      </c>
      <c r="C3114" t="s">
        <v>12678</v>
      </c>
      <c r="D3114" t="s">
        <v>13287</v>
      </c>
      <c r="E3114" t="str">
        <f>+VLOOKUP(A3114,[1]PFE4!$A$7:$F$5208,6,0)</f>
        <v>CALLE 66  1  30</v>
      </c>
      <c r="F3114" s="17">
        <f>+VLOOKUP(A3114,[1]PFE4!$A$7:$G$5208,7,0)</f>
        <v>11001</v>
      </c>
      <c r="G3114">
        <v>37803875</v>
      </c>
      <c r="H3114">
        <v>4329</v>
      </c>
    </row>
    <row r="3115" spans="1:8" ht="15" customHeight="1" x14ac:dyDescent="0.25">
      <c r="A3115" t="s">
        <v>5357</v>
      </c>
      <c r="B3115" t="s">
        <v>9396</v>
      </c>
      <c r="C3115" t="s">
        <v>12679</v>
      </c>
      <c r="D3115" t="s">
        <v>13287</v>
      </c>
      <c r="E3115" t="str">
        <f>+VLOOKUP(A3115,[1]PFE4!$A$7:$F$5208,6,0)</f>
        <v>CALLE 54 N 86 C 220</v>
      </c>
      <c r="F3115" s="17" t="str">
        <f>+VLOOKUP(A3115,[1]PFE4!$A$7:$G$5208,7,0)</f>
        <v>05001</v>
      </c>
      <c r="G3115">
        <v>37980162</v>
      </c>
      <c r="H3115">
        <v>4329</v>
      </c>
    </row>
    <row r="3116" spans="1:8" ht="15" customHeight="1" x14ac:dyDescent="0.25">
      <c r="A3116" t="s">
        <v>5358</v>
      </c>
      <c r="B3116" t="s">
        <v>9397</v>
      </c>
      <c r="C3116" t="s">
        <v>11875</v>
      </c>
      <c r="D3116" t="s">
        <v>13287</v>
      </c>
      <c r="E3116" t="str">
        <f>+VLOOKUP(A3116,[1]PFE4!$A$7:$F$5208,6,0)</f>
        <v>CL 78 B 120 49</v>
      </c>
      <c r="F3116" s="17">
        <f>+VLOOKUP(A3116,[1]PFE4!$A$7:$G$5208,7,0)</f>
        <v>11001</v>
      </c>
      <c r="G3116">
        <v>38010724</v>
      </c>
      <c r="H3116">
        <v>4329</v>
      </c>
    </row>
    <row r="3117" spans="1:8" ht="15" customHeight="1" x14ac:dyDescent="0.25">
      <c r="A3117" t="s">
        <v>5359</v>
      </c>
      <c r="B3117" t="s">
        <v>9398</v>
      </c>
      <c r="C3117" t="s">
        <v>12680</v>
      </c>
      <c r="D3117" t="s">
        <v>13287</v>
      </c>
      <c r="E3117" t="str">
        <f>+VLOOKUP(A3117,[1]PFE4!$A$7:$F$5208,6,0)</f>
        <v>CR 15 23 A 41</v>
      </c>
      <c r="F3117" s="17">
        <f>+VLOOKUP(A3117,[1]PFE4!$A$7:$G$5208,7,0)</f>
        <v>11001</v>
      </c>
      <c r="G3117">
        <v>38015676</v>
      </c>
      <c r="H3117">
        <v>4329</v>
      </c>
    </row>
    <row r="3118" spans="1:8" ht="15" customHeight="1" x14ac:dyDescent="0.25">
      <c r="A3118" t="s">
        <v>5360</v>
      </c>
      <c r="B3118" t="s">
        <v>9399</v>
      </c>
      <c r="C3118" t="s">
        <v>11542</v>
      </c>
      <c r="D3118" t="s">
        <v>13287</v>
      </c>
      <c r="E3118" t="str">
        <f>+VLOOKUP(A3118,[1]PFE4!$A$7:$F$5208,6,0)</f>
        <v>TRANSVERSAL 1 ESTE  54 A  04</v>
      </c>
      <c r="F3118" s="17">
        <f>+VLOOKUP(A3118,[1]PFE4!$A$7:$G$5208,7,0)</f>
        <v>11001</v>
      </c>
      <c r="G3118">
        <v>38051672</v>
      </c>
      <c r="H3118">
        <v>4329</v>
      </c>
    </row>
    <row r="3119" spans="1:8" ht="15" customHeight="1" x14ac:dyDescent="0.25">
      <c r="A3119" t="s">
        <v>5361</v>
      </c>
      <c r="B3119" t="s">
        <v>9400</v>
      </c>
      <c r="C3119" t="s">
        <v>12681</v>
      </c>
      <c r="D3119" t="s">
        <v>13287</v>
      </c>
      <c r="E3119" t="str">
        <f>+VLOOKUP(A3119,[1]PFE4!$A$7:$F$5208,6,0)</f>
        <v>CARRERA 13 A  91  53</v>
      </c>
      <c r="F3119" s="17">
        <f>+VLOOKUP(A3119,[1]PFE4!$A$7:$G$5208,7,0)</f>
        <v>11001</v>
      </c>
      <c r="G3119">
        <v>38075004</v>
      </c>
      <c r="H3119">
        <v>4329</v>
      </c>
    </row>
    <row r="3120" spans="1:8" ht="15" customHeight="1" x14ac:dyDescent="0.25">
      <c r="A3120" t="s">
        <v>5362</v>
      </c>
      <c r="B3120" t="s">
        <v>9401</v>
      </c>
      <c r="C3120" t="s">
        <v>12682</v>
      </c>
      <c r="D3120" t="s">
        <v>13287</v>
      </c>
      <c r="E3120" t="str">
        <f>+VLOOKUP(A3120,[1]PFE4!$A$7:$F$5208,6,0)</f>
        <v>CL 32 8 A 15</v>
      </c>
      <c r="F3120" s="17">
        <f>+VLOOKUP(A3120,[1]PFE4!$A$7:$G$5208,7,0)</f>
        <v>11001</v>
      </c>
      <c r="G3120">
        <v>38182186</v>
      </c>
      <c r="H3120">
        <v>4329</v>
      </c>
    </row>
    <row r="3121" spans="1:8" ht="15" customHeight="1" x14ac:dyDescent="0.25">
      <c r="A3121" t="s">
        <v>5363</v>
      </c>
      <c r="B3121" t="s">
        <v>9402</v>
      </c>
      <c r="C3121" t="s">
        <v>12683</v>
      </c>
      <c r="D3121" t="s">
        <v>13287</v>
      </c>
      <c r="E3121" t="str">
        <f>+VLOOKUP(A3121,[1]PFE4!$A$7:$F$5208,6,0)</f>
        <v>CARRERA 14  50 NORTE  50</v>
      </c>
      <c r="F3121" s="17">
        <f>+VLOOKUP(A3121,[1]PFE4!$A$7:$G$5208,7,0)</f>
        <v>63001</v>
      </c>
      <c r="G3121">
        <v>38185776</v>
      </c>
      <c r="H3121">
        <v>4329</v>
      </c>
    </row>
    <row r="3122" spans="1:8" ht="15" customHeight="1" x14ac:dyDescent="0.25">
      <c r="A3122" t="s">
        <v>5364</v>
      </c>
      <c r="B3122" t="s">
        <v>9403</v>
      </c>
      <c r="C3122" t="s">
        <v>12684</v>
      </c>
      <c r="D3122" t="s">
        <v>13287</v>
      </c>
      <c r="E3122" t="str">
        <f>+VLOOKUP(A3122,[1]PFE4!$A$7:$F$5208,6,0)</f>
        <v>DIAGONAL 21 N°78-43</v>
      </c>
      <c r="F3122" s="17">
        <f>+VLOOKUP(A3122,[1]PFE4!$A$7:$G$5208,7,0)</f>
        <v>11001</v>
      </c>
      <c r="G3122">
        <v>38221236</v>
      </c>
      <c r="H3122">
        <v>4329</v>
      </c>
    </row>
    <row r="3123" spans="1:8" ht="15" customHeight="1" x14ac:dyDescent="0.25">
      <c r="A3123" t="s">
        <v>5365</v>
      </c>
      <c r="B3123" t="s">
        <v>9404</v>
      </c>
      <c r="C3123" t="s">
        <v>12187</v>
      </c>
      <c r="D3123" t="s">
        <v>13287</v>
      </c>
      <c r="E3123" t="str">
        <f>+VLOOKUP(A3123,[1]PFE4!$A$7:$F$5208,6,0)</f>
        <v>CR 72 C 22 A 77</v>
      </c>
      <c r="F3123" s="17">
        <f>+VLOOKUP(A3123,[1]PFE4!$A$7:$G$5208,7,0)</f>
        <v>11001</v>
      </c>
      <c r="G3123">
        <v>38228960</v>
      </c>
      <c r="H3123">
        <v>4329</v>
      </c>
    </row>
    <row r="3124" spans="1:8" ht="15" customHeight="1" x14ac:dyDescent="0.25">
      <c r="A3124" t="s">
        <v>5366</v>
      </c>
      <c r="B3124" t="s">
        <v>9405</v>
      </c>
      <c r="C3124" t="s">
        <v>12685</v>
      </c>
      <c r="D3124" t="s">
        <v>13287</v>
      </c>
      <c r="E3124" t="str">
        <f>+VLOOKUP(A3124,[1]PFE4!$A$7:$F$5208,6,0)</f>
        <v>CARRERA 8 N° 12 - 05</v>
      </c>
      <c r="F3124" s="17">
        <f>+VLOOKUP(A3124,[1]PFE4!$A$7:$G$5208,7,0)</f>
        <v>68276</v>
      </c>
      <c r="G3124">
        <v>38238700</v>
      </c>
      <c r="H3124">
        <v>4329</v>
      </c>
    </row>
    <row r="3125" spans="1:8" ht="15" customHeight="1" x14ac:dyDescent="0.25">
      <c r="A3125" t="s">
        <v>5367</v>
      </c>
      <c r="B3125" t="s">
        <v>9406</v>
      </c>
      <c r="C3125" t="s">
        <v>12686</v>
      </c>
      <c r="D3125" t="s">
        <v>13287</v>
      </c>
      <c r="E3125" t="str">
        <f>+VLOOKUP(A3125,[1]PFE4!$A$7:$F$5208,6,0)</f>
        <v>CARRERA 52  89  15</v>
      </c>
      <c r="F3125" s="17" t="str">
        <f>+VLOOKUP(A3125,[1]PFE4!$A$7:$G$5208,7,0)</f>
        <v>05001</v>
      </c>
      <c r="G3125">
        <v>38250540</v>
      </c>
      <c r="H3125">
        <v>4329</v>
      </c>
    </row>
    <row r="3126" spans="1:8" ht="15" customHeight="1" x14ac:dyDescent="0.25">
      <c r="A3126" t="s">
        <v>5368</v>
      </c>
      <c r="B3126" t="s">
        <v>9407</v>
      </c>
      <c r="C3126" t="s">
        <v>12687</v>
      </c>
      <c r="D3126" t="s">
        <v>13287</v>
      </c>
      <c r="E3126" t="str">
        <f>+VLOOKUP(A3126,[1]PFE4!$A$7:$F$5208,6,0)</f>
        <v>CALLE 11 83 - 55</v>
      </c>
      <c r="F3126" s="17">
        <f>+VLOOKUP(A3126,[1]PFE4!$A$7:$G$5208,7,0)</f>
        <v>73001</v>
      </c>
      <c r="G3126">
        <v>38279410</v>
      </c>
      <c r="H3126">
        <v>4329</v>
      </c>
    </row>
    <row r="3127" spans="1:8" ht="15" customHeight="1" x14ac:dyDescent="0.25">
      <c r="A3127" t="s">
        <v>5369</v>
      </c>
      <c r="B3127" t="s">
        <v>9408</v>
      </c>
      <c r="C3127" t="s">
        <v>12688</v>
      </c>
      <c r="D3127" t="s">
        <v>13287</v>
      </c>
      <c r="E3127" t="str">
        <f>+VLOOKUP(A3127,[1]PFE4!$A$7:$F$5208,6,0)</f>
        <v>CL 17 1 A 53 BRR RODADERO</v>
      </c>
      <c r="F3127" s="17">
        <f>+VLOOKUP(A3127,[1]PFE4!$A$7:$G$5208,7,0)</f>
        <v>47001</v>
      </c>
      <c r="G3127">
        <v>38302000</v>
      </c>
      <c r="H3127">
        <v>4329</v>
      </c>
    </row>
    <row r="3128" spans="1:8" ht="15" customHeight="1" x14ac:dyDescent="0.25">
      <c r="A3128" t="s">
        <v>5370</v>
      </c>
      <c r="B3128" t="s">
        <v>9409</v>
      </c>
      <c r="C3128" t="s">
        <v>12498</v>
      </c>
      <c r="D3128" t="s">
        <v>13287</v>
      </c>
      <c r="E3128" t="str">
        <f>+VLOOKUP(A3128,[1]PFE4!$A$7:$F$5208,6,0)</f>
        <v>CL 12 45 46 VDA BELEN</v>
      </c>
      <c r="F3128" s="17" t="str">
        <f>+VLOOKUP(A3128,[1]PFE4!$A$7:$G$5208,7,0)</f>
        <v>05440</v>
      </c>
      <c r="G3128">
        <v>38302090</v>
      </c>
      <c r="H3128">
        <v>4329</v>
      </c>
    </row>
    <row r="3129" spans="1:8" ht="15" customHeight="1" x14ac:dyDescent="0.25">
      <c r="A3129" t="s">
        <v>5371</v>
      </c>
      <c r="B3129" t="s">
        <v>9410</v>
      </c>
      <c r="C3129" t="s">
        <v>12689</v>
      </c>
      <c r="D3129" t="s">
        <v>13287</v>
      </c>
      <c r="E3129" t="str">
        <f>+VLOOKUP(A3129,[1]PFE4!$A$7:$F$5208,6,0)</f>
        <v>CARRERA 23  14  148</v>
      </c>
      <c r="F3129" s="17">
        <f>+VLOOKUP(A3129,[1]PFE4!$A$7:$G$5208,7,0)</f>
        <v>11001</v>
      </c>
      <c r="G3129">
        <v>38306500</v>
      </c>
      <c r="H3129">
        <v>4329</v>
      </c>
    </row>
    <row r="3130" spans="1:8" ht="15" customHeight="1" x14ac:dyDescent="0.25">
      <c r="A3130" t="s">
        <v>5372</v>
      </c>
      <c r="B3130" t="s">
        <v>9411</v>
      </c>
      <c r="C3130" t="s">
        <v>12690</v>
      </c>
      <c r="D3130" t="s">
        <v>13287</v>
      </c>
      <c r="E3130" t="str">
        <f>+VLOOKUP(A3130,[1]PFE4!$A$7:$F$5208,6,0)</f>
        <v>CL 24 3 65 BRR PRADO</v>
      </c>
      <c r="F3130" s="17">
        <f>+VLOOKUP(A3130,[1]PFE4!$A$7:$G$5208,7,0)</f>
        <v>11001</v>
      </c>
      <c r="G3130">
        <v>38313398</v>
      </c>
      <c r="H3130">
        <v>4329</v>
      </c>
    </row>
    <row r="3131" spans="1:8" ht="15" customHeight="1" x14ac:dyDescent="0.25">
      <c r="A3131" t="s">
        <v>5373</v>
      </c>
      <c r="B3131" t="s">
        <v>9412</v>
      </c>
      <c r="C3131" t="s">
        <v>12691</v>
      </c>
      <c r="D3131" t="s">
        <v>13287</v>
      </c>
      <c r="E3131" t="str">
        <f>+VLOOKUP(A3131,[1]PFE4!$A$7:$F$5208,6,0)</f>
        <v>CALLE 99  58  112</v>
      </c>
      <c r="F3131" s="17" t="str">
        <f>+VLOOKUP(A3131,[1]PFE4!$A$7:$G$5208,7,0)</f>
        <v>08001</v>
      </c>
      <c r="G3131">
        <v>38327900</v>
      </c>
      <c r="H3131">
        <v>4329</v>
      </c>
    </row>
    <row r="3132" spans="1:8" ht="15" customHeight="1" x14ac:dyDescent="0.25">
      <c r="A3132" t="s">
        <v>5374</v>
      </c>
      <c r="B3132" t="s">
        <v>9413</v>
      </c>
      <c r="C3132" t="s">
        <v>12692</v>
      </c>
      <c r="D3132" t="s">
        <v>13287</v>
      </c>
      <c r="E3132" t="str">
        <f>+VLOOKUP(A3132,[1]PFE4!$A$7:$F$5208,6,0)</f>
        <v>CL 1 C 30 40 CRR SABANILLA</v>
      </c>
      <c r="F3132" s="17" t="str">
        <f>+VLOOKUP(A3132,[1]PFE4!$A$7:$G$5208,7,0)</f>
        <v>08573</v>
      </c>
      <c r="G3132">
        <v>38330300</v>
      </c>
      <c r="H3132">
        <v>4329</v>
      </c>
    </row>
    <row r="3133" spans="1:8" ht="15" customHeight="1" x14ac:dyDescent="0.25">
      <c r="A3133" t="s">
        <v>5375</v>
      </c>
      <c r="B3133" t="s">
        <v>9414</v>
      </c>
      <c r="C3133" t="s">
        <v>12693</v>
      </c>
      <c r="D3133" t="s">
        <v>13287</v>
      </c>
      <c r="E3133" t="str">
        <f>+VLOOKUP(A3133,[1]PFE4!$A$7:$F$5208,6,0)</f>
        <v>CL 24 A 60 49</v>
      </c>
      <c r="F3133" s="17">
        <f>+VLOOKUP(A3133,[1]PFE4!$A$7:$G$5208,7,0)</f>
        <v>11001</v>
      </c>
      <c r="G3133">
        <v>38388536</v>
      </c>
      <c r="H3133">
        <v>4329</v>
      </c>
    </row>
    <row r="3134" spans="1:8" ht="15" customHeight="1" x14ac:dyDescent="0.25">
      <c r="A3134" t="s">
        <v>5376</v>
      </c>
      <c r="B3134" t="s">
        <v>9415</v>
      </c>
      <c r="C3134" t="s">
        <v>12694</v>
      </c>
      <c r="D3134" t="s">
        <v>13287</v>
      </c>
      <c r="E3134" t="str">
        <f>+VLOOKUP(A3134,[1]PFE4!$A$7:$F$5208,6,0)</f>
        <v>CALLE 63 31 104</v>
      </c>
      <c r="F3134" s="17" t="str">
        <f>+VLOOKUP(A3134,[1]PFE4!$A$7:$G$5208,7,0)</f>
        <v>08001</v>
      </c>
      <c r="G3134">
        <v>38436700</v>
      </c>
      <c r="H3134">
        <v>4329</v>
      </c>
    </row>
    <row r="3135" spans="1:8" ht="15" customHeight="1" x14ac:dyDescent="0.25">
      <c r="A3135" t="s">
        <v>5377</v>
      </c>
      <c r="B3135" t="s">
        <v>9416</v>
      </c>
      <c r="C3135" t="s">
        <v>12695</v>
      </c>
      <c r="D3135" t="s">
        <v>13287</v>
      </c>
      <c r="E3135" t="str">
        <f>+VLOOKUP(A3135,[1]PFE4!$A$7:$F$5208,6,0)</f>
        <v>CR 70 25 49</v>
      </c>
      <c r="F3135" s="17">
        <f>+VLOOKUP(A3135,[1]PFE4!$A$7:$G$5208,7,0)</f>
        <v>11001</v>
      </c>
      <c r="G3135">
        <v>38439792</v>
      </c>
      <c r="H3135">
        <v>4329</v>
      </c>
    </row>
    <row r="3136" spans="1:8" ht="15" customHeight="1" x14ac:dyDescent="0.25">
      <c r="A3136" t="s">
        <v>5378</v>
      </c>
      <c r="B3136" t="s">
        <v>9417</v>
      </c>
      <c r="C3136" t="s">
        <v>12696</v>
      </c>
      <c r="D3136" t="s">
        <v>13287</v>
      </c>
      <c r="E3136" t="str">
        <f>+VLOOKUP(A3136,[1]PFE4!$A$7:$F$5208,6,0)</f>
        <v xml:space="preserve">Diagonal 49c Sur #11b-66 						
</v>
      </c>
      <c r="F3136" s="17">
        <f>+VLOOKUP(A3136,[1]PFE4!$A$7:$G$5208,7,0)</f>
        <v>11001</v>
      </c>
      <c r="G3136">
        <v>38456872</v>
      </c>
      <c r="H3136">
        <v>4329</v>
      </c>
    </row>
    <row r="3137" spans="1:8" ht="15" customHeight="1" x14ac:dyDescent="0.25">
      <c r="A3137" t="s">
        <v>5379</v>
      </c>
      <c r="B3137" t="s">
        <v>9418</v>
      </c>
      <c r="C3137" t="s">
        <v>12697</v>
      </c>
      <c r="D3137" t="s">
        <v>13287</v>
      </c>
      <c r="E3137" t="str">
        <f>+VLOOKUP(A3137,[1]PFE4!$A$7:$F$5208,6,0)</f>
        <v>Avenida 2c # 71n-62</v>
      </c>
      <c r="F3137" s="17">
        <f>+VLOOKUP(A3137,[1]PFE4!$A$7:$G$5208,7,0)</f>
        <v>11001</v>
      </c>
      <c r="G3137">
        <v>38470560</v>
      </c>
      <c r="H3137">
        <v>4329</v>
      </c>
    </row>
    <row r="3138" spans="1:8" ht="15" customHeight="1" x14ac:dyDescent="0.25">
      <c r="A3138" t="s">
        <v>5380</v>
      </c>
      <c r="B3138" t="s">
        <v>9419</v>
      </c>
      <c r="C3138" t="s">
        <v>12698</v>
      </c>
      <c r="D3138" t="s">
        <v>13287</v>
      </c>
      <c r="E3138" t="str">
        <f>+VLOOKUP(A3138,[1]PFE4!$A$7:$F$5208,6,0)</f>
        <v>CARRERA 83  13 A  22</v>
      </c>
      <c r="F3138" s="17">
        <f>+VLOOKUP(A3138,[1]PFE4!$A$7:$G$5208,7,0)</f>
        <v>76001</v>
      </c>
      <c r="G3138">
        <v>38510184</v>
      </c>
      <c r="H3138">
        <v>4329</v>
      </c>
    </row>
    <row r="3139" spans="1:8" ht="15" customHeight="1" x14ac:dyDescent="0.25">
      <c r="A3139" t="s">
        <v>5381</v>
      </c>
      <c r="B3139" t="s">
        <v>9420</v>
      </c>
      <c r="C3139" t="s">
        <v>12699</v>
      </c>
      <c r="D3139" t="s">
        <v>13287</v>
      </c>
      <c r="E3139" t="str">
        <f>+VLOOKUP(A3139,[1]PFE4!$A$7:$F$5208,6,0)</f>
        <v>CARRERA 58 A  13 SUR  30</v>
      </c>
      <c r="F3139" s="17" t="str">
        <f>+VLOOKUP(A3139,[1]PFE4!$A$7:$G$5208,7,0)</f>
        <v>05360</v>
      </c>
      <c r="G3139">
        <v>38540332</v>
      </c>
      <c r="H3139">
        <v>4329</v>
      </c>
    </row>
    <row r="3140" spans="1:8" ht="15" customHeight="1" x14ac:dyDescent="0.25">
      <c r="A3140" t="s">
        <v>5382</v>
      </c>
      <c r="B3140" t="s">
        <v>9421</v>
      </c>
      <c r="C3140" t="s">
        <v>12700</v>
      </c>
      <c r="D3140" t="s">
        <v>13287</v>
      </c>
      <c r="E3140" t="str">
        <f>+VLOOKUP(A3140,[1]PFE4!$A$7:$F$5208,6,0)</f>
        <v>CARRERA 9 A  68  70</v>
      </c>
      <c r="F3140" s="17">
        <f>+VLOOKUP(A3140,[1]PFE4!$A$7:$G$5208,7,0)</f>
        <v>23001</v>
      </c>
      <c r="G3140">
        <v>38634456</v>
      </c>
      <c r="H3140">
        <v>4329</v>
      </c>
    </row>
    <row r="3141" spans="1:8" ht="15" customHeight="1" x14ac:dyDescent="0.25">
      <c r="A3141" t="s">
        <v>5383</v>
      </c>
      <c r="B3141" t="s">
        <v>9422</v>
      </c>
      <c r="C3141" t="s">
        <v>12175</v>
      </c>
      <c r="D3141" t="s">
        <v>13287</v>
      </c>
      <c r="E3141" t="str">
        <f>+VLOOKUP(A3141,[1]PFE4!$A$7:$F$5208,6,0)</f>
        <v>CL 44 34 42</v>
      </c>
      <c r="F3141" s="17">
        <f>+VLOOKUP(A3141,[1]PFE4!$A$7:$G$5208,7,0)</f>
        <v>68001</v>
      </c>
      <c r="G3141">
        <v>38688213</v>
      </c>
      <c r="H3141">
        <v>4329</v>
      </c>
    </row>
    <row r="3142" spans="1:8" ht="15" customHeight="1" x14ac:dyDescent="0.25">
      <c r="A3142" t="s">
        <v>5384</v>
      </c>
      <c r="B3142" t="s">
        <v>9423</v>
      </c>
      <c r="C3142" t="s">
        <v>12701</v>
      </c>
      <c r="D3142" t="s">
        <v>13287</v>
      </c>
      <c r="E3142" t="str">
        <f>+VLOOKUP(A3142,[1]PFE4!$A$7:$F$5208,6,0)</f>
        <v>CALLE 111  13  08</v>
      </c>
      <c r="F3142" s="17">
        <f>+VLOOKUP(A3142,[1]PFE4!$A$7:$G$5208,7,0)</f>
        <v>11001</v>
      </c>
      <c r="G3142">
        <v>38735652</v>
      </c>
      <c r="H3142">
        <v>4329</v>
      </c>
    </row>
    <row r="3143" spans="1:8" ht="15" customHeight="1" x14ac:dyDescent="0.25">
      <c r="A3143" t="s">
        <v>5385</v>
      </c>
      <c r="B3143" t="s">
        <v>9424</v>
      </c>
      <c r="C3143">
        <v>3219664011</v>
      </c>
      <c r="D3143" t="s">
        <v>13287</v>
      </c>
      <c r="E3143" t="str">
        <f>+VLOOKUP(A3143,[1]PFE4!$A$7:$F$5208,6,0)</f>
        <v>CL 24 8A 344 BRR GETSEMANI</v>
      </c>
      <c r="F3143" s="17">
        <f>+VLOOKUP(A3143,[1]PFE4!$A$7:$G$5208,7,0)</f>
        <v>11001</v>
      </c>
      <c r="G3143">
        <v>38737078</v>
      </c>
      <c r="H3143">
        <v>4329</v>
      </c>
    </row>
    <row r="3144" spans="1:8" ht="15" customHeight="1" x14ac:dyDescent="0.25">
      <c r="A3144" t="s">
        <v>5386</v>
      </c>
      <c r="B3144" t="s">
        <v>9425</v>
      </c>
      <c r="C3144" t="s">
        <v>12702</v>
      </c>
      <c r="D3144" t="s">
        <v>13287</v>
      </c>
      <c r="E3144" t="str">
        <f>+VLOOKUP(A3144,[1]PFE4!$A$7:$F$5208,6,0)</f>
        <v>CARRERA 27  44  25</v>
      </c>
      <c r="F3144" s="17">
        <f>+VLOOKUP(A3144,[1]PFE4!$A$7:$G$5208,7,0)</f>
        <v>63001</v>
      </c>
      <c r="G3144">
        <v>38745905</v>
      </c>
      <c r="H3144">
        <v>4329</v>
      </c>
    </row>
    <row r="3145" spans="1:8" ht="15" customHeight="1" x14ac:dyDescent="0.25">
      <c r="A3145" t="s">
        <v>5387</v>
      </c>
      <c r="B3145" t="s">
        <v>9426</v>
      </c>
      <c r="C3145" t="s">
        <v>12703</v>
      </c>
      <c r="D3145" t="s">
        <v>13287</v>
      </c>
      <c r="E3145" t="str">
        <f>+VLOOKUP(A3145,[1]PFE4!$A$7:$F$5208,6,0)</f>
        <v>CARRERA 22  47  97</v>
      </c>
      <c r="F3145" s="17" t="str">
        <f>+VLOOKUP(A3145,[1]PFE4!$A$7:$G$5208,7,0)</f>
        <v>05001</v>
      </c>
      <c r="G3145">
        <v>38810634</v>
      </c>
      <c r="H3145">
        <v>4329</v>
      </c>
    </row>
    <row r="3146" spans="1:8" ht="15" customHeight="1" x14ac:dyDescent="0.25">
      <c r="A3146" t="s">
        <v>5388</v>
      </c>
      <c r="B3146" t="s">
        <v>9427</v>
      </c>
      <c r="C3146" t="s">
        <v>12704</v>
      </c>
      <c r="D3146" t="s">
        <v>13287</v>
      </c>
      <c r="E3146" t="str">
        <f>+VLOOKUP(A3146,[1]PFE4!$A$7:$F$5208,6,0)</f>
        <v>CL 71SUR 39 78</v>
      </c>
      <c r="F3146" s="17" t="str">
        <f>+VLOOKUP(A3146,[1]PFE4!$A$7:$G$5208,7,0)</f>
        <v>05631</v>
      </c>
      <c r="G3146">
        <v>38896672</v>
      </c>
      <c r="H3146">
        <v>4329</v>
      </c>
    </row>
    <row r="3147" spans="1:8" ht="15" customHeight="1" x14ac:dyDescent="0.25">
      <c r="A3147" t="s">
        <v>5389</v>
      </c>
      <c r="B3147" t="s">
        <v>9428</v>
      </c>
      <c r="C3147" t="s">
        <v>12705</v>
      </c>
      <c r="D3147" t="s">
        <v>13287</v>
      </c>
      <c r="E3147" t="str">
        <f>+VLOOKUP(A3147,[1]PFE4!$A$7:$F$5208,6,0)</f>
        <v>CR 77 20 29</v>
      </c>
      <c r="F3147" s="17">
        <f>+VLOOKUP(A3147,[1]PFE4!$A$7:$G$5208,7,0)</f>
        <v>11001</v>
      </c>
      <c r="G3147">
        <v>38900820</v>
      </c>
      <c r="H3147">
        <v>4329</v>
      </c>
    </row>
    <row r="3148" spans="1:8" ht="15" customHeight="1" x14ac:dyDescent="0.25">
      <c r="A3148" t="s">
        <v>5390</v>
      </c>
      <c r="B3148" t="s">
        <v>9429</v>
      </c>
      <c r="C3148" t="s">
        <v>11084</v>
      </c>
      <c r="D3148" t="s">
        <v>13287</v>
      </c>
      <c r="E3148" t="str">
        <f>+VLOOKUP(A3148,[1]PFE4!$A$7:$F$5208,6,0)</f>
        <v>CL 44 0A 26 MZ 1 SEC SIERRAS DEL ESTE</v>
      </c>
      <c r="F3148" s="17">
        <f>+VLOOKUP(A3148,[1]PFE4!$A$7:$G$5208,7,0)</f>
        <v>11001</v>
      </c>
      <c r="G3148">
        <v>38978013</v>
      </c>
      <c r="H3148">
        <v>4329</v>
      </c>
    </row>
    <row r="3149" spans="1:8" ht="15" customHeight="1" x14ac:dyDescent="0.25">
      <c r="A3149" t="s">
        <v>5391</v>
      </c>
      <c r="B3149" t="s">
        <v>9430</v>
      </c>
      <c r="C3149" t="s">
        <v>12706</v>
      </c>
      <c r="D3149" t="s">
        <v>13287</v>
      </c>
      <c r="E3149" t="str">
        <f>+VLOOKUP(A3149,[1]PFE4!$A$7:$F$5208,6,0)</f>
        <v>CARRERA 13  85  80</v>
      </c>
      <c r="F3149" s="17">
        <f>+VLOOKUP(A3149,[1]PFE4!$A$7:$G$5208,7,0)</f>
        <v>11001</v>
      </c>
      <c r="G3149">
        <v>38993935</v>
      </c>
      <c r="H3149">
        <v>4329</v>
      </c>
    </row>
    <row r="3150" spans="1:8" ht="15" customHeight="1" x14ac:dyDescent="0.25">
      <c r="A3150" t="s">
        <v>5392</v>
      </c>
      <c r="B3150" t="s">
        <v>9431</v>
      </c>
      <c r="C3150" t="s">
        <v>12661</v>
      </c>
      <c r="D3150" t="s">
        <v>13287</v>
      </c>
      <c r="E3150" t="str">
        <f>+VLOOKUP(A3150,[1]PFE4!$A$7:$F$5208,6,0)</f>
        <v>CR 37 A 7 SUR 68</v>
      </c>
      <c r="F3150" s="17" t="str">
        <f>+VLOOKUP(A3150,[1]PFE4!$A$7:$G$5208,7,0)</f>
        <v>05001</v>
      </c>
      <c r="G3150">
        <v>39058409</v>
      </c>
      <c r="H3150">
        <v>4329</v>
      </c>
    </row>
    <row r="3151" spans="1:8" ht="15" customHeight="1" x14ac:dyDescent="0.25">
      <c r="A3151" t="s">
        <v>5393</v>
      </c>
      <c r="B3151" t="s">
        <v>9432</v>
      </c>
      <c r="C3151" t="s">
        <v>12707</v>
      </c>
      <c r="D3151" t="s">
        <v>13287</v>
      </c>
      <c r="E3151" t="str">
        <f>+VLOOKUP(A3151,[1]PFE4!$A$7:$F$5208,6,0)</f>
        <v>CR 48 127 51</v>
      </c>
      <c r="F3151" s="17">
        <f>+VLOOKUP(A3151,[1]PFE4!$A$7:$G$5208,7,0)</f>
        <v>11001</v>
      </c>
      <c r="G3151">
        <v>39103625</v>
      </c>
      <c r="H3151">
        <v>4329</v>
      </c>
    </row>
    <row r="3152" spans="1:8" ht="15" customHeight="1" x14ac:dyDescent="0.25">
      <c r="A3152" t="s">
        <v>5394</v>
      </c>
      <c r="B3152" t="s">
        <v>9433</v>
      </c>
      <c r="C3152" t="s">
        <v>12708</v>
      </c>
      <c r="D3152" t="s">
        <v>13287</v>
      </c>
      <c r="E3152" t="str">
        <f>+VLOOKUP(A3152,[1]PFE4!$A$7:$F$5208,6,0)</f>
        <v>Cl. 39d Sur #24D-12</v>
      </c>
      <c r="F3152" s="17" t="str">
        <f>+VLOOKUP(A3152,[1]PFE4!$A$7:$G$5208,7,0)</f>
        <v>05266</v>
      </c>
      <c r="G3152">
        <v>39176064</v>
      </c>
      <c r="H3152">
        <v>4329</v>
      </c>
    </row>
    <row r="3153" spans="1:8" ht="15" customHeight="1" x14ac:dyDescent="0.25">
      <c r="A3153" t="s">
        <v>5395</v>
      </c>
      <c r="B3153" t="s">
        <v>9434</v>
      </c>
      <c r="C3153" t="s">
        <v>12709</v>
      </c>
      <c r="D3153" t="s">
        <v>13287</v>
      </c>
      <c r="E3153" t="str">
        <f>+VLOOKUP(A3153,[1]PFE4!$A$7:$F$5208,6,0)</f>
        <v>CARRERA 8  69  11</v>
      </c>
      <c r="F3153" s="17">
        <f>+VLOOKUP(A3153,[1]PFE4!$A$7:$G$5208,7,0)</f>
        <v>11001</v>
      </c>
      <c r="G3153">
        <v>39177765</v>
      </c>
      <c r="H3153">
        <v>4329</v>
      </c>
    </row>
    <row r="3154" spans="1:8" ht="15" customHeight="1" x14ac:dyDescent="0.25">
      <c r="A3154" t="s">
        <v>5396</v>
      </c>
      <c r="B3154" t="s">
        <v>9435</v>
      </c>
      <c r="C3154" t="s">
        <v>12710</v>
      </c>
      <c r="D3154" t="s">
        <v>13287</v>
      </c>
      <c r="E3154" t="str">
        <f>+VLOOKUP(A3154,[1]PFE4!$A$7:$F$5208,6,0)</f>
        <v>CL 27 SUR 28 121</v>
      </c>
      <c r="F3154" s="17" t="str">
        <f>+VLOOKUP(A3154,[1]PFE4!$A$7:$G$5208,7,0)</f>
        <v>05266</v>
      </c>
      <c r="G3154">
        <v>39178548</v>
      </c>
      <c r="H3154">
        <v>4329</v>
      </c>
    </row>
    <row r="3155" spans="1:8" ht="15" customHeight="1" x14ac:dyDescent="0.25">
      <c r="A3155" t="s">
        <v>5397</v>
      </c>
      <c r="B3155" t="s">
        <v>9436</v>
      </c>
      <c r="C3155" t="s">
        <v>12711</v>
      </c>
      <c r="D3155" t="s">
        <v>13287</v>
      </c>
      <c r="E3155" t="str">
        <f>+VLOOKUP(A3155,[1]PFE4!$A$7:$F$5208,6,0)</f>
        <v>AVENIDA 82  12  18  PISO 2</v>
      </c>
      <c r="F3155" s="17">
        <f>+VLOOKUP(A3155,[1]PFE4!$A$7:$G$5208,7,0)</f>
        <v>11001</v>
      </c>
      <c r="G3155">
        <v>39201680</v>
      </c>
      <c r="H3155">
        <v>4329</v>
      </c>
    </row>
    <row r="3156" spans="1:8" ht="15" customHeight="1" x14ac:dyDescent="0.25">
      <c r="A3156" t="s">
        <v>5398</v>
      </c>
      <c r="B3156" t="s">
        <v>9437</v>
      </c>
      <c r="C3156" t="s">
        <v>12712</v>
      </c>
      <c r="D3156" t="s">
        <v>13287</v>
      </c>
      <c r="E3156" t="str">
        <f>+VLOOKUP(A3156,[1]PFE4!$A$7:$F$5208,6,0)</f>
        <v>CALLE 78 SUR  40  255</v>
      </c>
      <c r="F3156" s="17" t="str">
        <f>+VLOOKUP(A3156,[1]PFE4!$A$7:$G$5208,7,0)</f>
        <v>05631</v>
      </c>
      <c r="G3156">
        <v>39207080</v>
      </c>
      <c r="H3156">
        <v>4329</v>
      </c>
    </row>
    <row r="3157" spans="1:8" ht="15" customHeight="1" x14ac:dyDescent="0.25">
      <c r="A3157" t="s">
        <v>5399</v>
      </c>
      <c r="B3157" t="s">
        <v>9438</v>
      </c>
      <c r="C3157" t="s">
        <v>12713</v>
      </c>
      <c r="D3157" t="s">
        <v>13287</v>
      </c>
      <c r="E3157" t="str">
        <f>+VLOOKUP(A3157,[1]PFE4!$A$7:$F$5208,6,0)</f>
        <v>AVENIDA 9  56  80</v>
      </c>
      <c r="F3157" s="17">
        <f>+VLOOKUP(A3157,[1]PFE4!$A$7:$G$5208,7,0)</f>
        <v>11001</v>
      </c>
      <c r="G3157">
        <v>39255860</v>
      </c>
      <c r="H3157">
        <v>4329</v>
      </c>
    </row>
    <row r="3158" spans="1:8" ht="15" customHeight="1" x14ac:dyDescent="0.25">
      <c r="A3158" t="s">
        <v>5400</v>
      </c>
      <c r="B3158" t="s">
        <v>9439</v>
      </c>
      <c r="C3158" t="s">
        <v>12714</v>
      </c>
      <c r="D3158" t="s">
        <v>13287</v>
      </c>
      <c r="E3158" t="str">
        <f>+VLOOKUP(A3158,[1]PFE4!$A$7:$F$5208,6,0)</f>
        <v>CALLE 37 B  27 B  125 INTERIOR 5</v>
      </c>
      <c r="F3158" s="17" t="str">
        <f>+VLOOKUP(A3158,[1]PFE4!$A$7:$G$5208,7,0)</f>
        <v>05266</v>
      </c>
      <c r="G3158">
        <v>39271836</v>
      </c>
      <c r="H3158">
        <v>4329</v>
      </c>
    </row>
    <row r="3159" spans="1:8" ht="15" customHeight="1" x14ac:dyDescent="0.25">
      <c r="A3159" t="s">
        <v>5401</v>
      </c>
      <c r="B3159" t="s">
        <v>9440</v>
      </c>
      <c r="C3159" t="s">
        <v>10738</v>
      </c>
      <c r="D3159" t="s">
        <v>13287</v>
      </c>
      <c r="E3159" t="str">
        <f>+VLOOKUP(A3159,[1]PFE4!$A$7:$F$5208,6,0)</f>
        <v>CARRERA 17  112  14</v>
      </c>
      <c r="F3159" s="17">
        <f>+VLOOKUP(A3159,[1]PFE4!$A$7:$G$5208,7,0)</f>
        <v>11001</v>
      </c>
      <c r="G3159">
        <v>39290188</v>
      </c>
      <c r="H3159">
        <v>4329</v>
      </c>
    </row>
    <row r="3160" spans="1:8" ht="15" customHeight="1" x14ac:dyDescent="0.25">
      <c r="A3160" t="s">
        <v>5402</v>
      </c>
      <c r="B3160" t="s">
        <v>9441</v>
      </c>
      <c r="C3160" t="s">
        <v>12715</v>
      </c>
      <c r="D3160" t="s">
        <v>13287</v>
      </c>
      <c r="E3160" t="str">
        <f>+VLOOKUP(A3160,[1]PFE4!$A$7:$F$5208,6,0)</f>
        <v>TRANSVERSAL 9  56 N  76</v>
      </c>
      <c r="F3160" s="17">
        <f>+VLOOKUP(A3160,[1]PFE4!$A$7:$G$5208,7,0)</f>
        <v>19001</v>
      </c>
      <c r="G3160">
        <v>39323600</v>
      </c>
      <c r="H3160">
        <v>4329</v>
      </c>
    </row>
    <row r="3161" spans="1:8" ht="15" customHeight="1" x14ac:dyDescent="0.25">
      <c r="A3161" t="s">
        <v>5403</v>
      </c>
      <c r="B3161" t="s">
        <v>9442</v>
      </c>
      <c r="C3161" t="s">
        <v>10850</v>
      </c>
      <c r="D3161" t="s">
        <v>13287</v>
      </c>
      <c r="E3161" t="str">
        <f>+VLOOKUP(A3161,[1]PFE4!$A$7:$F$5208,6,0)</f>
        <v>CARRERA 18  12 SUR  50</v>
      </c>
      <c r="F3161" s="17" t="str">
        <f>+VLOOKUP(A3161,[1]PFE4!$A$7:$G$5208,7,0)</f>
        <v>05001</v>
      </c>
      <c r="G3161">
        <v>39344112</v>
      </c>
      <c r="H3161">
        <v>4329</v>
      </c>
    </row>
    <row r="3162" spans="1:8" ht="15" customHeight="1" x14ac:dyDescent="0.25">
      <c r="A3162" t="s">
        <v>5404</v>
      </c>
      <c r="B3162" t="s">
        <v>9443</v>
      </c>
      <c r="C3162" t="s">
        <v>12584</v>
      </c>
      <c r="D3162" t="s">
        <v>13287</v>
      </c>
      <c r="E3162" t="str">
        <f>+VLOOKUP(A3162,[1]PFE4!$A$7:$F$5208,6,0)</f>
        <v>CALLE 72  25  75</v>
      </c>
      <c r="F3162" s="17">
        <f>+VLOOKUP(A3162,[1]PFE4!$A$7:$G$5208,7,0)</f>
        <v>17001</v>
      </c>
      <c r="G3162">
        <v>39364404</v>
      </c>
      <c r="H3162">
        <v>4329</v>
      </c>
    </row>
    <row r="3163" spans="1:8" ht="15" customHeight="1" x14ac:dyDescent="0.25">
      <c r="A3163" t="s">
        <v>5405</v>
      </c>
      <c r="B3163" t="s">
        <v>9444</v>
      </c>
      <c r="C3163" t="s">
        <v>12716</v>
      </c>
      <c r="D3163" t="s">
        <v>13287</v>
      </c>
      <c r="E3163" t="str">
        <f>+VLOOKUP(A3163,[1]PFE4!$A$7:$F$5208,6,0)</f>
        <v>CARRERA 43 A  63 SUR  120</v>
      </c>
      <c r="F3163" s="17" t="str">
        <f>+VLOOKUP(A3163,[1]PFE4!$A$7:$G$5208,7,0)</f>
        <v>05631</v>
      </c>
      <c r="G3163">
        <v>39371028</v>
      </c>
      <c r="H3163">
        <v>4329</v>
      </c>
    </row>
    <row r="3164" spans="1:8" ht="15" customHeight="1" x14ac:dyDescent="0.25">
      <c r="A3164" t="s">
        <v>5406</v>
      </c>
      <c r="B3164" t="s">
        <v>9445</v>
      </c>
      <c r="C3164" t="s">
        <v>12717</v>
      </c>
      <c r="D3164" t="s">
        <v>13287</v>
      </c>
      <c r="E3164" t="str">
        <f>+VLOOKUP(A3164,[1]PFE4!$A$7:$F$5208,6,0)</f>
        <v>CALLE 6  20  1670</v>
      </c>
      <c r="F3164" s="17" t="str">
        <f>+VLOOKUP(A3164,[1]PFE4!$A$7:$G$5208,7,0)</f>
        <v>08573</v>
      </c>
      <c r="G3164">
        <v>39413405</v>
      </c>
      <c r="H3164">
        <v>4329</v>
      </c>
    </row>
    <row r="3165" spans="1:8" ht="15" customHeight="1" x14ac:dyDescent="0.25">
      <c r="A3165" t="s">
        <v>5407</v>
      </c>
      <c r="B3165" t="s">
        <v>9446</v>
      </c>
      <c r="C3165" t="s">
        <v>12718</v>
      </c>
      <c r="D3165" t="s">
        <v>13287</v>
      </c>
      <c r="E3165" t="str">
        <f>+VLOOKUP(A3165,[1]PFE4!$A$7:$F$5208,6,0)</f>
        <v>CR 17 4 33</v>
      </c>
      <c r="F3165" s="17">
        <f>+VLOOKUP(A3165,[1]PFE4!$A$7:$G$5208,7,0)</f>
        <v>11001</v>
      </c>
      <c r="G3165">
        <v>39435842</v>
      </c>
      <c r="H3165">
        <v>4329</v>
      </c>
    </row>
    <row r="3166" spans="1:8" ht="15" customHeight="1" x14ac:dyDescent="0.25">
      <c r="A3166" t="s">
        <v>5408</v>
      </c>
      <c r="B3166" t="s">
        <v>9447</v>
      </c>
      <c r="C3166" t="s">
        <v>12719</v>
      </c>
      <c r="D3166" t="s">
        <v>13287</v>
      </c>
      <c r="E3166" t="str">
        <f>+VLOOKUP(A3166,[1]PFE4!$A$7:$F$5208,6,0)</f>
        <v>CARRERA 25  33  73</v>
      </c>
      <c r="F3166" s="17">
        <f>+VLOOKUP(A3166,[1]PFE4!$A$7:$G$5208,7,0)</f>
        <v>11001</v>
      </c>
      <c r="G3166">
        <v>39439616</v>
      </c>
      <c r="H3166">
        <v>4329</v>
      </c>
    </row>
    <row r="3167" spans="1:8" ht="15" customHeight="1" x14ac:dyDescent="0.25">
      <c r="A3167" t="s">
        <v>5409</v>
      </c>
      <c r="B3167" t="s">
        <v>9448</v>
      </c>
      <c r="C3167" t="s">
        <v>12720</v>
      </c>
      <c r="D3167" t="s">
        <v>13287</v>
      </c>
      <c r="E3167" t="str">
        <f>+VLOOKUP(A3167,[1]PFE4!$A$7:$F$5208,6,0)</f>
        <v>BARRIO MANGA CUARTA AV  CL 29 21A  49</v>
      </c>
      <c r="F3167" s="17">
        <f>+VLOOKUP(A3167,[1]PFE4!$A$7:$G$5208,7,0)</f>
        <v>11001</v>
      </c>
      <c r="G3167">
        <v>39464668</v>
      </c>
      <c r="H3167">
        <v>4329</v>
      </c>
    </row>
    <row r="3168" spans="1:8" ht="15" customHeight="1" x14ac:dyDescent="0.25">
      <c r="A3168" t="s">
        <v>5410</v>
      </c>
      <c r="B3168" t="s">
        <v>9449</v>
      </c>
      <c r="C3168" t="s">
        <v>12721</v>
      </c>
      <c r="D3168" t="s">
        <v>13287</v>
      </c>
      <c r="E3168" t="str">
        <f>+VLOOKUP(A3168,[1]PFE4!$A$7:$F$5208,6,0)</f>
        <v>CARRERA 1 C  24  03</v>
      </c>
      <c r="F3168" s="17">
        <f>+VLOOKUP(A3168,[1]PFE4!$A$7:$G$5208,7,0)</f>
        <v>47001</v>
      </c>
      <c r="G3168">
        <v>39485844</v>
      </c>
      <c r="H3168">
        <v>4329</v>
      </c>
    </row>
    <row r="3169" spans="1:8" ht="15" customHeight="1" x14ac:dyDescent="0.25">
      <c r="A3169" t="s">
        <v>5411</v>
      </c>
      <c r="B3169" t="s">
        <v>9450</v>
      </c>
      <c r="C3169" t="s">
        <v>12722</v>
      </c>
      <c r="D3169" t="s">
        <v>13287</v>
      </c>
      <c r="E3169" t="str">
        <f>+VLOOKUP(A3169,[1]PFE4!$A$7:$F$5208,6,0)</f>
        <v>CARRERA 84  39  43</v>
      </c>
      <c r="F3169" s="17" t="str">
        <f>+VLOOKUP(A3169,[1]PFE4!$A$7:$G$5208,7,0)</f>
        <v>05212</v>
      </c>
      <c r="G3169">
        <v>39620572</v>
      </c>
      <c r="H3169">
        <v>4329</v>
      </c>
    </row>
    <row r="3170" spans="1:8" ht="15" customHeight="1" x14ac:dyDescent="0.25">
      <c r="A3170" t="s">
        <v>5412</v>
      </c>
      <c r="B3170" t="s">
        <v>9451</v>
      </c>
      <c r="C3170" t="s">
        <v>12723</v>
      </c>
      <c r="D3170" t="s">
        <v>13287</v>
      </c>
      <c r="E3170" t="str">
        <f>+VLOOKUP(A3170,[1]PFE4!$A$7:$F$5208,6,0)</f>
        <v>CARRERA 62 A  74 SUR  94</v>
      </c>
      <c r="F3170" s="17" t="str">
        <f>+VLOOKUP(A3170,[1]PFE4!$A$7:$G$5208,7,0)</f>
        <v>05380</v>
      </c>
      <c r="G3170">
        <v>39820504</v>
      </c>
      <c r="H3170">
        <v>4329</v>
      </c>
    </row>
    <row r="3171" spans="1:8" ht="15" customHeight="1" x14ac:dyDescent="0.25">
      <c r="A3171" t="s">
        <v>5413</v>
      </c>
      <c r="B3171" t="s">
        <v>9452</v>
      </c>
      <c r="C3171" t="s">
        <v>12662</v>
      </c>
      <c r="D3171" t="s">
        <v>13287</v>
      </c>
      <c r="E3171" t="str">
        <f>+VLOOKUP(A3171,[1]PFE4!$A$7:$F$5208,6,0)</f>
        <v>URB PARQUE NATURA GALICIA MZ MZB</v>
      </c>
      <c r="F3171" s="17">
        <f>+VLOOKUP(A3171,[1]PFE4!$A$7:$G$5208,7,0)</f>
        <v>11001</v>
      </c>
      <c r="G3171">
        <v>39855300</v>
      </c>
      <c r="H3171">
        <v>4329</v>
      </c>
    </row>
    <row r="3172" spans="1:8" ht="15" customHeight="1" x14ac:dyDescent="0.25">
      <c r="A3172" t="s">
        <v>5414</v>
      </c>
      <c r="B3172" t="s">
        <v>9453</v>
      </c>
      <c r="C3172" t="s">
        <v>11095</v>
      </c>
      <c r="D3172" t="s">
        <v>13287</v>
      </c>
      <c r="E3172" t="str">
        <f>+VLOOKUP(A3172,[1]PFE4!$A$7:$F$5208,6,0)</f>
        <v>TRANSVERSAL 53 A  65  70</v>
      </c>
      <c r="F3172" s="17" t="str">
        <f>+VLOOKUP(A3172,[1]PFE4!$A$7:$G$5208,7,0)</f>
        <v>05001</v>
      </c>
      <c r="G3172">
        <v>39872888</v>
      </c>
      <c r="H3172">
        <v>4329</v>
      </c>
    </row>
    <row r="3173" spans="1:8" ht="15" customHeight="1" x14ac:dyDescent="0.25">
      <c r="A3173" t="s">
        <v>5415</v>
      </c>
      <c r="B3173" t="s">
        <v>9454</v>
      </c>
      <c r="C3173" t="s">
        <v>12724</v>
      </c>
      <c r="D3173" t="s">
        <v>13287</v>
      </c>
      <c r="E3173" t="str">
        <f>+VLOOKUP(A3173,[1]PFE4!$A$7:$F$5208,6,0)</f>
        <v>CR 13 19 90</v>
      </c>
      <c r="F3173" s="17" t="str">
        <f>+VLOOKUP(A3173,[1]PFE4!$A$7:$G$5208,7,0)</f>
        <v>05376</v>
      </c>
      <c r="G3173">
        <v>39893500</v>
      </c>
      <c r="H3173">
        <v>4329</v>
      </c>
    </row>
    <row r="3174" spans="1:8" ht="15" customHeight="1" x14ac:dyDescent="0.25">
      <c r="A3174" t="s">
        <v>5416</v>
      </c>
      <c r="B3174" t="s">
        <v>9455</v>
      </c>
      <c r="C3174" t="s">
        <v>12725</v>
      </c>
      <c r="D3174" t="s">
        <v>13287</v>
      </c>
      <c r="E3174" t="str">
        <f>+VLOOKUP(A3174,[1]PFE4!$A$7:$F$5208,6,0)</f>
        <v>CARRERA 116  18  15</v>
      </c>
      <c r="F3174" s="17">
        <f>+VLOOKUP(A3174,[1]PFE4!$A$7:$G$5208,7,0)</f>
        <v>11001</v>
      </c>
      <c r="G3174">
        <v>39904508</v>
      </c>
      <c r="H3174">
        <v>4329</v>
      </c>
    </row>
    <row r="3175" spans="1:8" ht="15" customHeight="1" x14ac:dyDescent="0.25">
      <c r="A3175" t="s">
        <v>5417</v>
      </c>
      <c r="B3175" t="s">
        <v>9456</v>
      </c>
      <c r="C3175" t="s">
        <v>12262</v>
      </c>
      <c r="D3175" t="s">
        <v>13287</v>
      </c>
      <c r="E3175" t="str">
        <f>+VLOOKUP(A3175,[1]PFE4!$A$7:$F$5208,6,0)</f>
        <v>CL 36 70 68</v>
      </c>
      <c r="F3175" s="17" t="str">
        <f>+VLOOKUP(A3175,[1]PFE4!$A$7:$G$5208,7,0)</f>
        <v>05360</v>
      </c>
      <c r="G3175">
        <v>39911080</v>
      </c>
      <c r="H3175">
        <v>4329</v>
      </c>
    </row>
    <row r="3176" spans="1:8" ht="15" customHeight="1" x14ac:dyDescent="0.25">
      <c r="A3176" t="s">
        <v>5418</v>
      </c>
      <c r="B3176" t="s">
        <v>9457</v>
      </c>
      <c r="C3176" t="s">
        <v>12726</v>
      </c>
      <c r="D3176" t="s">
        <v>13287</v>
      </c>
      <c r="E3176" t="str">
        <f>+VLOOKUP(A3176,[1]PFE4!$A$7:$F$5208,6,0)</f>
        <v>CARRERA 68 B  96  16</v>
      </c>
      <c r="F3176" s="17">
        <f>+VLOOKUP(A3176,[1]PFE4!$A$7:$G$5208,7,0)</f>
        <v>11001</v>
      </c>
      <c r="G3176">
        <v>40001368</v>
      </c>
      <c r="H3176">
        <v>4329</v>
      </c>
    </row>
    <row r="3177" spans="1:8" ht="15" customHeight="1" x14ac:dyDescent="0.25">
      <c r="A3177" t="s">
        <v>5419</v>
      </c>
      <c r="B3177" t="s">
        <v>9458</v>
      </c>
      <c r="C3177" t="s">
        <v>12727</v>
      </c>
      <c r="D3177" t="s">
        <v>13287</v>
      </c>
      <c r="E3177" t="str">
        <f>+VLOOKUP(A3177,[1]PFE4!$A$7:$F$5208,6,0)</f>
        <v>CARRERA 38  10  90</v>
      </c>
      <c r="F3177" s="17">
        <f>+VLOOKUP(A3177,[1]PFE4!$A$7:$G$5208,7,0)</f>
        <v>11001</v>
      </c>
      <c r="G3177">
        <v>40010145</v>
      </c>
      <c r="H3177">
        <v>4329</v>
      </c>
    </row>
    <row r="3178" spans="1:8" ht="15" customHeight="1" x14ac:dyDescent="0.25">
      <c r="A3178" t="s">
        <v>5420</v>
      </c>
      <c r="B3178" t="s">
        <v>9459</v>
      </c>
      <c r="C3178" t="s">
        <v>12728</v>
      </c>
      <c r="D3178" t="s">
        <v>13287</v>
      </c>
      <c r="E3178" t="str">
        <f>+VLOOKUP(A3178,[1]PFE4!$A$7:$F$5208,6,0)</f>
        <v>DIAGONAL 97  17  60</v>
      </c>
      <c r="F3178" s="17">
        <f>+VLOOKUP(A3178,[1]PFE4!$A$7:$G$5208,7,0)</f>
        <v>11001</v>
      </c>
      <c r="G3178">
        <v>40043074</v>
      </c>
      <c r="H3178">
        <v>4329</v>
      </c>
    </row>
    <row r="3179" spans="1:8" ht="15" customHeight="1" x14ac:dyDescent="0.25">
      <c r="A3179" t="s">
        <v>5421</v>
      </c>
      <c r="B3179" t="s">
        <v>9460</v>
      </c>
      <c r="C3179">
        <v>3219664011</v>
      </c>
      <c r="D3179" t="s">
        <v>13287</v>
      </c>
      <c r="E3179" t="str">
        <f>+VLOOKUP(A3179,[1]PFE4!$A$7:$F$5208,6,0)</f>
        <v>CARRERA 43 A  23 SUR  79</v>
      </c>
      <c r="F3179" s="17" t="str">
        <f>+VLOOKUP(A3179,[1]PFE4!$A$7:$G$5208,7,0)</f>
        <v>05266</v>
      </c>
      <c r="G3179">
        <v>40204210</v>
      </c>
      <c r="H3179">
        <v>4329</v>
      </c>
    </row>
    <row r="3180" spans="1:8" ht="15" customHeight="1" x14ac:dyDescent="0.25">
      <c r="A3180" t="s">
        <v>5422</v>
      </c>
      <c r="B3180" t="s">
        <v>9461</v>
      </c>
      <c r="C3180">
        <v>3219664011</v>
      </c>
      <c r="D3180" t="s">
        <v>13287</v>
      </c>
      <c r="E3180" t="str">
        <f>+VLOOKUP(A3180,[1]PFE4!$A$7:$F$5208,6,0)</f>
        <v>CARRERA 18  59  67</v>
      </c>
      <c r="F3180" s="17">
        <f>+VLOOKUP(A3180,[1]PFE4!$A$7:$G$5208,7,0)</f>
        <v>63001</v>
      </c>
      <c r="G3180">
        <v>40207200</v>
      </c>
      <c r="H3180">
        <v>4329</v>
      </c>
    </row>
    <row r="3181" spans="1:8" ht="15" customHeight="1" x14ac:dyDescent="0.25">
      <c r="A3181" t="s">
        <v>5423</v>
      </c>
      <c r="B3181" t="s">
        <v>9462</v>
      </c>
      <c r="C3181" t="s">
        <v>12729</v>
      </c>
      <c r="D3181" t="s">
        <v>13287</v>
      </c>
      <c r="E3181" t="str">
        <f>+VLOOKUP(A3181,[1]PFE4!$A$7:$F$5208,6,0)</f>
        <v>CALLE 46  112  51</v>
      </c>
      <c r="F3181" s="17">
        <f>+VLOOKUP(A3181,[1]PFE4!$A$7:$G$5208,7,0)</f>
        <v>76001</v>
      </c>
      <c r="G3181">
        <v>40211876</v>
      </c>
      <c r="H3181">
        <v>4329</v>
      </c>
    </row>
    <row r="3182" spans="1:8" ht="15" customHeight="1" x14ac:dyDescent="0.25">
      <c r="A3182" t="s">
        <v>5424</v>
      </c>
      <c r="B3182" t="s">
        <v>9463</v>
      </c>
      <c r="C3182" t="s">
        <v>11541</v>
      </c>
      <c r="D3182" t="s">
        <v>13287</v>
      </c>
      <c r="E3182" t="str">
        <f>+VLOOKUP(A3182,[1]PFE4!$A$7:$F$5208,6,0)</f>
        <v>CR 23 DG 2 C</v>
      </c>
      <c r="F3182" s="17" t="str">
        <f>+VLOOKUP(A3182,[1]PFE4!$A$7:$G$5208,7,0)</f>
        <v>08573</v>
      </c>
      <c r="G3182">
        <v>40212728</v>
      </c>
      <c r="H3182">
        <v>4329</v>
      </c>
    </row>
    <row r="3183" spans="1:8" ht="15" customHeight="1" x14ac:dyDescent="0.25">
      <c r="A3183" t="s">
        <v>5425</v>
      </c>
      <c r="B3183" t="s">
        <v>9464</v>
      </c>
      <c r="C3183">
        <v>0</v>
      </c>
      <c r="D3183" t="s">
        <v>13287</v>
      </c>
      <c r="E3183">
        <v>0</v>
      </c>
      <c r="F3183" s="17">
        <v>11001</v>
      </c>
      <c r="G3183">
        <v>40328000</v>
      </c>
      <c r="H3183">
        <v>4329</v>
      </c>
    </row>
    <row r="3184" spans="1:8" ht="15" customHeight="1" x14ac:dyDescent="0.25">
      <c r="A3184" t="s">
        <v>5426</v>
      </c>
      <c r="B3184" t="s">
        <v>9465</v>
      </c>
      <c r="C3184" t="s">
        <v>12730</v>
      </c>
      <c r="D3184" t="s">
        <v>13287</v>
      </c>
      <c r="E3184" t="str">
        <f>+VLOOKUP(A3184,[1]PFE4!$A$7:$F$5208,6,0)</f>
        <v>CL 25 69 51</v>
      </c>
      <c r="F3184" s="17">
        <f>+VLOOKUP(A3184,[1]PFE4!$A$7:$G$5208,7,0)</f>
        <v>11001</v>
      </c>
      <c r="G3184">
        <v>40329036</v>
      </c>
      <c r="H3184">
        <v>4329</v>
      </c>
    </row>
    <row r="3185" spans="1:8" ht="15" customHeight="1" x14ac:dyDescent="0.25">
      <c r="A3185" t="s">
        <v>5427</v>
      </c>
      <c r="B3185" t="s">
        <v>9466</v>
      </c>
      <c r="C3185" t="s">
        <v>12731</v>
      </c>
      <c r="D3185" t="s">
        <v>13287</v>
      </c>
      <c r="E3185" t="str">
        <f>+VLOOKUP(A3185,[1]PFE4!$A$7:$F$5208,6,0)</f>
        <v>CARRERA 80  132  61</v>
      </c>
      <c r="F3185" s="17">
        <f>+VLOOKUP(A3185,[1]PFE4!$A$7:$G$5208,7,0)</f>
        <v>11001</v>
      </c>
      <c r="G3185">
        <v>40351853</v>
      </c>
      <c r="H3185">
        <v>4329</v>
      </c>
    </row>
    <row r="3186" spans="1:8" ht="15" customHeight="1" x14ac:dyDescent="0.25">
      <c r="A3186" t="s">
        <v>5428</v>
      </c>
      <c r="B3186" t="s">
        <v>9467</v>
      </c>
      <c r="C3186" t="s">
        <v>12732</v>
      </c>
      <c r="D3186" t="s">
        <v>13287</v>
      </c>
      <c r="E3186" t="str">
        <f>+VLOOKUP(A3186,[1]PFE4!$A$7:$F$5208,6,0)</f>
        <v>DG 6 5 53 LC L B 41</v>
      </c>
      <c r="F3186" s="17">
        <f>+VLOOKUP(A3186,[1]PFE4!$A$7:$G$5208,7,0)</f>
        <v>11001</v>
      </c>
      <c r="G3186">
        <v>40352812</v>
      </c>
      <c r="H3186">
        <v>4329</v>
      </c>
    </row>
    <row r="3187" spans="1:8" ht="15" customHeight="1" x14ac:dyDescent="0.25">
      <c r="A3187" t="s">
        <v>5429</v>
      </c>
      <c r="B3187" t="s">
        <v>9468</v>
      </c>
      <c r="C3187" t="s">
        <v>12733</v>
      </c>
      <c r="D3187" t="s">
        <v>13287</v>
      </c>
      <c r="E3187" t="str">
        <f>+VLOOKUP(A3187,[1]PFE4!$A$7:$F$5208,6,0)</f>
        <v>TV 9 17 A 55</v>
      </c>
      <c r="F3187" s="17">
        <f>+VLOOKUP(A3187,[1]PFE4!$A$7:$G$5208,7,0)</f>
        <v>11001</v>
      </c>
      <c r="G3187">
        <v>40367328</v>
      </c>
      <c r="H3187">
        <v>4329</v>
      </c>
    </row>
    <row r="3188" spans="1:8" ht="15" customHeight="1" x14ac:dyDescent="0.25">
      <c r="A3188" t="s">
        <v>5430</v>
      </c>
      <c r="B3188" t="s">
        <v>9469</v>
      </c>
      <c r="C3188" t="s">
        <v>12734</v>
      </c>
      <c r="D3188" t="s">
        <v>13287</v>
      </c>
      <c r="E3188" t="str">
        <f>+VLOOKUP(A3188,[1]PFE4!$A$7:$F$5208,6,0)</f>
        <v>CALLE 34  6  65</v>
      </c>
      <c r="F3188" s="17">
        <f>+VLOOKUP(A3188,[1]PFE4!$A$7:$G$5208,7,0)</f>
        <v>11001</v>
      </c>
      <c r="G3188">
        <v>40407115</v>
      </c>
      <c r="H3188">
        <v>4329</v>
      </c>
    </row>
    <row r="3189" spans="1:8" ht="15" customHeight="1" x14ac:dyDescent="0.25">
      <c r="A3189" t="s">
        <v>5431</v>
      </c>
      <c r="B3189" t="s">
        <v>9470</v>
      </c>
      <c r="C3189" t="s">
        <v>12735</v>
      </c>
      <c r="D3189" t="s">
        <v>13287</v>
      </c>
      <c r="E3189" t="str">
        <f>+VLOOKUP(A3189,[1]PFE4!$A$7:$F$5208,6,0)</f>
        <v>CRA 54 26 25</v>
      </c>
      <c r="F3189" s="17">
        <f>+VLOOKUP(A3189,[1]PFE4!$A$7:$G$5208,7,0)</f>
        <v>11001</v>
      </c>
      <c r="G3189">
        <v>40470488</v>
      </c>
      <c r="H3189">
        <v>4329</v>
      </c>
    </row>
    <row r="3190" spans="1:8" ht="15" customHeight="1" x14ac:dyDescent="0.25">
      <c r="A3190" t="s">
        <v>5432</v>
      </c>
      <c r="B3190" t="s">
        <v>9471</v>
      </c>
      <c r="C3190" t="s">
        <v>12736</v>
      </c>
      <c r="D3190" t="s">
        <v>13287</v>
      </c>
      <c r="E3190" t="str">
        <f>+VLOOKUP(A3190,[1]PFE4!$A$7:$F$5208,6,0)</f>
        <v>CALLE 145  12  40</v>
      </c>
      <c r="F3190" s="17">
        <f>+VLOOKUP(A3190,[1]PFE4!$A$7:$G$5208,7,0)</f>
        <v>11001</v>
      </c>
      <c r="G3190">
        <v>40483431</v>
      </c>
      <c r="H3190">
        <v>4329</v>
      </c>
    </row>
    <row r="3191" spans="1:8" ht="15" customHeight="1" x14ac:dyDescent="0.25">
      <c r="A3191" t="s">
        <v>5433</v>
      </c>
      <c r="B3191" t="s">
        <v>9472</v>
      </c>
      <c r="C3191" t="s">
        <v>12737</v>
      </c>
      <c r="D3191" t="s">
        <v>13287</v>
      </c>
      <c r="E3191" t="str">
        <f>+VLOOKUP(A3191,[1]PFE4!$A$7:$F$5208,6,0)</f>
        <v>CL 60 B 107 148</v>
      </c>
      <c r="F3191" s="17">
        <f>+VLOOKUP(A3191,[1]PFE4!$A$7:$G$5208,7,0)</f>
        <v>11001</v>
      </c>
      <c r="G3191">
        <v>40487088</v>
      </c>
      <c r="H3191">
        <v>4329</v>
      </c>
    </row>
    <row r="3192" spans="1:8" ht="15" customHeight="1" x14ac:dyDescent="0.25">
      <c r="A3192" t="s">
        <v>5434</v>
      </c>
      <c r="B3192" t="s">
        <v>9473</v>
      </c>
      <c r="C3192" t="s">
        <v>12738</v>
      </c>
      <c r="D3192" t="s">
        <v>13287</v>
      </c>
      <c r="E3192" t="str">
        <f>+VLOOKUP(A3192,[1]PFE4!$A$7:$F$5208,6,0)</f>
        <v>CALLE 54  98  50</v>
      </c>
      <c r="F3192" s="17">
        <f>+VLOOKUP(A3192,[1]PFE4!$A$7:$G$5208,7,0)</f>
        <v>11001</v>
      </c>
      <c r="G3192">
        <v>40538102</v>
      </c>
      <c r="H3192">
        <v>4329</v>
      </c>
    </row>
    <row r="3193" spans="1:8" ht="15" customHeight="1" x14ac:dyDescent="0.25">
      <c r="A3193" t="s">
        <v>5435</v>
      </c>
      <c r="B3193" t="s">
        <v>9474</v>
      </c>
      <c r="C3193" t="s">
        <v>12739</v>
      </c>
      <c r="D3193" t="s">
        <v>13287</v>
      </c>
      <c r="E3193" t="str">
        <f>+VLOOKUP(A3193,[1]PFE4!$A$7:$F$5208,6,0)</f>
        <v>CALLE 11  22  34</v>
      </c>
      <c r="F3193" s="17">
        <f>+VLOOKUP(A3193,[1]PFE4!$A$7:$G$5208,7,0)</f>
        <v>66001</v>
      </c>
      <c r="G3193">
        <v>40551227</v>
      </c>
      <c r="H3193">
        <v>4329</v>
      </c>
    </row>
    <row r="3194" spans="1:8" ht="15" customHeight="1" x14ac:dyDescent="0.25">
      <c r="A3194" t="s">
        <v>5436</v>
      </c>
      <c r="B3194" t="s">
        <v>9475</v>
      </c>
      <c r="C3194" t="s">
        <v>12740</v>
      </c>
      <c r="D3194" t="s">
        <v>13287</v>
      </c>
      <c r="E3194" t="str">
        <f>+VLOOKUP(A3194,[1]PFE4!$A$7:$F$5208,6,0)</f>
        <v>DIAGONAL 33  13  100</v>
      </c>
      <c r="F3194" s="17">
        <f>+VLOOKUP(A3194,[1]PFE4!$A$7:$G$5208,7,0)</f>
        <v>47001</v>
      </c>
      <c r="G3194">
        <v>40551950</v>
      </c>
      <c r="H3194">
        <v>4329</v>
      </c>
    </row>
    <row r="3195" spans="1:8" ht="15" customHeight="1" x14ac:dyDescent="0.25">
      <c r="A3195" t="s">
        <v>5437</v>
      </c>
      <c r="B3195" t="s">
        <v>9476</v>
      </c>
      <c r="C3195" t="s">
        <v>12498</v>
      </c>
      <c r="D3195" t="s">
        <v>13287</v>
      </c>
      <c r="E3195" t="str">
        <f>+VLOOKUP(A3195,[1]PFE4!$A$7:$F$5208,6,0)</f>
        <v>CR 58 10 03 SEC PALOS VERDES SAN ANTONIO DE PEREIRA</v>
      </c>
      <c r="F3195" s="17" t="str">
        <f>+VLOOKUP(A3195,[1]PFE4!$A$7:$G$5208,7,0)</f>
        <v>05615</v>
      </c>
      <c r="G3195">
        <v>40723272</v>
      </c>
      <c r="H3195">
        <v>4329</v>
      </c>
    </row>
    <row r="3196" spans="1:8" ht="15" customHeight="1" x14ac:dyDescent="0.25">
      <c r="A3196" t="s">
        <v>5438</v>
      </c>
      <c r="B3196" t="s">
        <v>9477</v>
      </c>
      <c r="C3196" t="s">
        <v>12741</v>
      </c>
      <c r="D3196" t="s">
        <v>13287</v>
      </c>
      <c r="E3196" t="str">
        <f>+VLOOKUP(A3196,[1]PFE4!$A$7:$F$5208,6,0)</f>
        <v>CARRERA 8  9  52</v>
      </c>
      <c r="F3196" s="17">
        <f>+VLOOKUP(A3196,[1]PFE4!$A$7:$G$5208,7,0)</f>
        <v>68276</v>
      </c>
      <c r="G3196">
        <v>40732336</v>
      </c>
      <c r="H3196">
        <v>4329</v>
      </c>
    </row>
    <row r="3197" spans="1:8" ht="15" customHeight="1" x14ac:dyDescent="0.25">
      <c r="A3197" t="s">
        <v>5439</v>
      </c>
      <c r="B3197" t="s">
        <v>9478</v>
      </c>
      <c r="C3197" t="s">
        <v>12742</v>
      </c>
      <c r="D3197" t="s">
        <v>13287</v>
      </c>
      <c r="E3197" t="str">
        <f>+VLOOKUP(A3197,[1]PFE4!$A$7:$F$5208,6,0)</f>
        <v>CALLE 29  13  45</v>
      </c>
      <c r="F3197" s="17">
        <f>+VLOOKUP(A3197,[1]PFE4!$A$7:$G$5208,7,0)</f>
        <v>11001</v>
      </c>
      <c r="G3197">
        <v>40741920</v>
      </c>
      <c r="H3197">
        <v>4329</v>
      </c>
    </row>
    <row r="3198" spans="1:8" ht="15" customHeight="1" x14ac:dyDescent="0.25">
      <c r="A3198" t="s">
        <v>5440</v>
      </c>
      <c r="B3198" t="s">
        <v>9479</v>
      </c>
      <c r="C3198" t="s">
        <v>12743</v>
      </c>
      <c r="D3198" t="s">
        <v>13287</v>
      </c>
      <c r="E3198" t="str">
        <f>+VLOOKUP(A3198,[1]PFE4!$A$7:$F$5208,6,0)</f>
        <v>CARRERA 2 ESTE  4  70</v>
      </c>
      <c r="F3198" s="17" t="str">
        <f>+VLOOKUP(A3198,[1]PFE4!$A$7:$G$5208,7,0)</f>
        <v>05360</v>
      </c>
      <c r="G3198">
        <v>40878867</v>
      </c>
      <c r="H3198">
        <v>4329</v>
      </c>
    </row>
    <row r="3199" spans="1:8" ht="15" customHeight="1" x14ac:dyDescent="0.25">
      <c r="A3199" t="s">
        <v>5441</v>
      </c>
      <c r="B3199" t="s">
        <v>9480</v>
      </c>
      <c r="C3199" t="s">
        <v>12744</v>
      </c>
      <c r="D3199" t="s">
        <v>13287</v>
      </c>
      <c r="E3199" t="str">
        <f>+VLOOKUP(A3199,[1]PFE4!$A$7:$F$5208,6,0)</f>
        <v>ED PARQUE SANTANDER OF 1005 CL 38 32 41 P 10</v>
      </c>
      <c r="F3199" s="17">
        <f>+VLOOKUP(A3199,[1]PFE4!$A$7:$G$5208,7,0)</f>
        <v>11001</v>
      </c>
      <c r="G3199">
        <v>40886969</v>
      </c>
      <c r="H3199">
        <v>4329</v>
      </c>
    </row>
    <row r="3200" spans="1:8" ht="15" customHeight="1" x14ac:dyDescent="0.25">
      <c r="A3200" t="s">
        <v>5442</v>
      </c>
      <c r="B3200" t="s">
        <v>9481</v>
      </c>
      <c r="C3200" t="s">
        <v>12745</v>
      </c>
      <c r="D3200" t="s">
        <v>13287</v>
      </c>
      <c r="E3200" t="str">
        <f>+VLOOKUP(A3200,[1]PFE4!$A$7:$F$5208,6,0)</f>
        <v>CALLE 3 A  25  26</v>
      </c>
      <c r="F3200" s="17" t="str">
        <f>+VLOOKUP(A3200,[1]PFE4!$A$7:$G$5208,7,0)</f>
        <v>08573</v>
      </c>
      <c r="G3200">
        <v>40959700</v>
      </c>
      <c r="H3200">
        <v>4329</v>
      </c>
    </row>
    <row r="3201" spans="1:8" ht="15" customHeight="1" x14ac:dyDescent="0.25">
      <c r="A3201" t="s">
        <v>5443</v>
      </c>
      <c r="B3201" t="s">
        <v>9482</v>
      </c>
      <c r="C3201" t="s">
        <v>12262</v>
      </c>
      <c r="D3201" t="s">
        <v>13287</v>
      </c>
      <c r="E3201" t="str">
        <f>+VLOOKUP(A3201,[1]PFE4!$A$7:$F$5208,6,0)</f>
        <v>CARRERA 59 A  69 C  09</v>
      </c>
      <c r="F3201" s="17" t="str">
        <f>+VLOOKUP(A3201,[1]PFE4!$A$7:$G$5208,7,0)</f>
        <v>05360</v>
      </c>
      <c r="G3201">
        <v>40969790</v>
      </c>
      <c r="H3201">
        <v>4329</v>
      </c>
    </row>
    <row r="3202" spans="1:8" ht="15" customHeight="1" x14ac:dyDescent="0.25">
      <c r="A3202" t="s">
        <v>5444</v>
      </c>
      <c r="B3202" t="s">
        <v>9483</v>
      </c>
      <c r="C3202" t="s">
        <v>12746</v>
      </c>
      <c r="D3202" t="s">
        <v>13287</v>
      </c>
      <c r="E3202" t="str">
        <f>+VLOOKUP(A3202,[1]PFE4!$A$7:$F$5208,6,0)</f>
        <v>CALLE 96  44  45</v>
      </c>
      <c r="F3202" s="17" t="str">
        <f>+VLOOKUP(A3202,[1]PFE4!$A$7:$G$5208,7,0)</f>
        <v>08001</v>
      </c>
      <c r="G3202">
        <v>40969879</v>
      </c>
      <c r="H3202">
        <v>4329</v>
      </c>
    </row>
    <row r="3203" spans="1:8" ht="15" customHeight="1" x14ac:dyDescent="0.25">
      <c r="A3203" t="s">
        <v>5445</v>
      </c>
      <c r="B3203" t="s">
        <v>9484</v>
      </c>
      <c r="C3203" t="s">
        <v>12747</v>
      </c>
      <c r="D3203" t="s">
        <v>13287</v>
      </c>
      <c r="E3203" t="str">
        <f>+VLOOKUP(A3203,[1]PFE4!$A$7:$F$5208,6,0)</f>
        <v>CARRERA 36 A  8 A OESTE 17</v>
      </c>
      <c r="F3203" s="17">
        <f>+VLOOKUP(A3203,[1]PFE4!$A$7:$G$5208,7,0)</f>
        <v>76001</v>
      </c>
      <c r="G3203">
        <v>41033339</v>
      </c>
      <c r="H3203">
        <v>4329</v>
      </c>
    </row>
    <row r="3204" spans="1:8" ht="15" customHeight="1" x14ac:dyDescent="0.25">
      <c r="A3204" t="s">
        <v>5446</v>
      </c>
      <c r="B3204" t="s">
        <v>9485</v>
      </c>
      <c r="C3204" t="s">
        <v>12748</v>
      </c>
      <c r="D3204" t="s">
        <v>13287</v>
      </c>
      <c r="E3204" t="str">
        <f>+VLOOKUP(A3204,[1]PFE4!$A$7:$F$5208,6,0)</f>
        <v>CARRERA 73 B 63 SUR 117</v>
      </c>
      <c r="F3204" s="17" t="str">
        <f>+VLOOKUP(A3204,[1]PFE4!$A$7:$G$5208,7,0)</f>
        <v>05380</v>
      </c>
      <c r="G3204">
        <v>41155630</v>
      </c>
      <c r="H3204">
        <v>4329</v>
      </c>
    </row>
    <row r="3205" spans="1:8" ht="15" customHeight="1" x14ac:dyDescent="0.25">
      <c r="A3205" t="s">
        <v>5447</v>
      </c>
      <c r="B3205" t="s">
        <v>9486</v>
      </c>
      <c r="C3205" t="s">
        <v>11937</v>
      </c>
      <c r="D3205" t="s">
        <v>13287</v>
      </c>
      <c r="E3205" t="str">
        <f>+VLOOKUP(A3205,[1]PFE4!$A$7:$F$5208,6,0)</f>
        <v>CARRERA 11 C  11  03</v>
      </c>
      <c r="F3205" s="17">
        <f>+VLOOKUP(A3205,[1]PFE4!$A$7:$G$5208,7,0)</f>
        <v>11001</v>
      </c>
      <c r="G3205">
        <v>41179115</v>
      </c>
      <c r="H3205">
        <v>4329</v>
      </c>
    </row>
    <row r="3206" spans="1:8" ht="15" customHeight="1" x14ac:dyDescent="0.25">
      <c r="A3206" t="s">
        <v>5448</v>
      </c>
      <c r="B3206" t="s">
        <v>9487</v>
      </c>
      <c r="C3206" t="s">
        <v>10729</v>
      </c>
      <c r="D3206" t="s">
        <v>13287</v>
      </c>
      <c r="E3206" t="str">
        <f>+VLOOKUP(A3206,[1]PFE4!$A$7:$F$5208,6,0)</f>
        <v>CARRERA 23  52  51</v>
      </c>
      <c r="F3206" s="17">
        <f>+VLOOKUP(A3206,[1]PFE4!$A$7:$G$5208,7,0)</f>
        <v>68001</v>
      </c>
      <c r="G3206">
        <v>41190989</v>
      </c>
      <c r="H3206">
        <v>4329</v>
      </c>
    </row>
    <row r="3207" spans="1:8" ht="15" customHeight="1" x14ac:dyDescent="0.25">
      <c r="A3207" t="s">
        <v>5449</v>
      </c>
      <c r="B3207" t="s">
        <v>9488</v>
      </c>
      <c r="C3207">
        <v>0</v>
      </c>
      <c r="D3207" t="s">
        <v>13287</v>
      </c>
      <c r="E3207">
        <v>0</v>
      </c>
      <c r="F3207" s="17">
        <v>11001</v>
      </c>
      <c r="G3207">
        <v>41243147</v>
      </c>
      <c r="H3207">
        <v>4329</v>
      </c>
    </row>
    <row r="3208" spans="1:8" ht="15" customHeight="1" x14ac:dyDescent="0.25">
      <c r="A3208" t="s">
        <v>5450</v>
      </c>
      <c r="B3208" t="s">
        <v>9489</v>
      </c>
      <c r="C3208">
        <v>3219664011</v>
      </c>
      <c r="D3208" t="s">
        <v>13287</v>
      </c>
      <c r="E3208" t="str">
        <f>+VLOOKUP(A3208,[1]PFE4!$A$7:$F$5208,6,0)</f>
        <v>TRANSVERSAL 1 ESTE  65 C  41</v>
      </c>
      <c r="F3208" s="17">
        <f>+VLOOKUP(A3208,[1]PFE4!$A$7:$G$5208,7,0)</f>
        <v>11001</v>
      </c>
      <c r="G3208">
        <v>41245167</v>
      </c>
      <c r="H3208">
        <v>4329</v>
      </c>
    </row>
    <row r="3209" spans="1:8" ht="15" customHeight="1" x14ac:dyDescent="0.25">
      <c r="A3209" t="s">
        <v>5451</v>
      </c>
      <c r="B3209" t="s">
        <v>9490</v>
      </c>
      <c r="C3209" t="s">
        <v>12662</v>
      </c>
      <c r="D3209" t="s">
        <v>13287</v>
      </c>
      <c r="E3209" t="str">
        <f>+VLOOKUP(A3209,[1]PFE4!$A$7:$F$5208,6,0)</f>
        <v>CL 60 B 107 75</v>
      </c>
      <c r="F3209" s="17">
        <f>+VLOOKUP(A3209,[1]PFE4!$A$7:$G$5208,7,0)</f>
        <v>11001</v>
      </c>
      <c r="G3209">
        <v>41392775</v>
      </c>
      <c r="H3209">
        <v>4329</v>
      </c>
    </row>
    <row r="3210" spans="1:8" ht="15" customHeight="1" x14ac:dyDescent="0.25">
      <c r="A3210" t="s">
        <v>5452</v>
      </c>
      <c r="B3210" t="s">
        <v>9491</v>
      </c>
      <c r="C3210" t="s">
        <v>12526</v>
      </c>
      <c r="D3210" t="s">
        <v>13287</v>
      </c>
      <c r="E3210" t="str">
        <f>+VLOOKUP(A3210,[1]PFE4!$A$7:$F$5208,6,0)</f>
        <v>CALLE 7 SUR  23  41</v>
      </c>
      <c r="F3210" s="17" t="str">
        <f>+VLOOKUP(A3210,[1]PFE4!$A$7:$G$5208,7,0)</f>
        <v>05001</v>
      </c>
      <c r="G3210">
        <v>41544292</v>
      </c>
      <c r="H3210">
        <v>4329</v>
      </c>
    </row>
    <row r="3211" spans="1:8" ht="15" customHeight="1" x14ac:dyDescent="0.25">
      <c r="A3211" t="s">
        <v>5453</v>
      </c>
      <c r="B3211" t="s">
        <v>9492</v>
      </c>
      <c r="C3211" t="s">
        <v>12749</v>
      </c>
      <c r="D3211" t="s">
        <v>13287</v>
      </c>
      <c r="E3211" t="str">
        <f>+VLOOKUP(A3211,[1]PFE4!$A$7:$F$5208,6,0)</f>
        <v>CR 7 CL 153 39</v>
      </c>
      <c r="F3211" s="17">
        <f>+VLOOKUP(A3211,[1]PFE4!$A$7:$G$5208,7,0)</f>
        <v>11001</v>
      </c>
      <c r="G3211">
        <v>41607410</v>
      </c>
      <c r="H3211">
        <v>4329</v>
      </c>
    </row>
    <row r="3212" spans="1:8" ht="15" customHeight="1" x14ac:dyDescent="0.25">
      <c r="A3212" t="s">
        <v>5454</v>
      </c>
      <c r="B3212" t="s">
        <v>9493</v>
      </c>
      <c r="C3212" t="s">
        <v>12750</v>
      </c>
      <c r="D3212" t="s">
        <v>13287</v>
      </c>
      <c r="E3212" t="str">
        <f>+VLOOKUP(A3212,[1]PFE4!$A$7:$F$5208,6,0)</f>
        <v>CARRERA 8 No 5A-23</v>
      </c>
      <c r="F3212" s="17">
        <f>+VLOOKUP(A3212,[1]PFE4!$A$7:$G$5208,7,0)</f>
        <v>11001</v>
      </c>
      <c r="G3212">
        <v>41630770</v>
      </c>
      <c r="H3212">
        <v>4329</v>
      </c>
    </row>
    <row r="3213" spans="1:8" ht="15" customHeight="1" x14ac:dyDescent="0.25">
      <c r="A3213" t="s">
        <v>5455</v>
      </c>
      <c r="B3213" t="s">
        <v>9494</v>
      </c>
      <c r="C3213" t="s">
        <v>12751</v>
      </c>
      <c r="D3213" t="s">
        <v>13287</v>
      </c>
      <c r="E3213" t="str">
        <f>+VLOOKUP(A3213,[1]PFE4!$A$7:$F$5208,6,0)</f>
        <v>CR 50 35 120 BRR SAN ANTONIO</v>
      </c>
      <c r="F3213" s="17" t="str">
        <f>+VLOOKUP(A3213,[1]PFE4!$A$7:$G$5208,7,0)</f>
        <v>05318</v>
      </c>
      <c r="G3213">
        <v>41683604</v>
      </c>
      <c r="H3213">
        <v>4329</v>
      </c>
    </row>
    <row r="3214" spans="1:8" ht="15" customHeight="1" x14ac:dyDescent="0.25">
      <c r="A3214" t="s">
        <v>5456</v>
      </c>
      <c r="B3214" t="s">
        <v>9495</v>
      </c>
      <c r="C3214" t="s">
        <v>12661</v>
      </c>
      <c r="D3214" t="s">
        <v>13287</v>
      </c>
      <c r="E3214" t="str">
        <f>+VLOOKUP(A3214,[1]PFE4!$A$7:$F$5208,6,0)</f>
        <v>CL 33 43 17 45</v>
      </c>
      <c r="F3214" s="17" t="str">
        <f>+VLOOKUP(A3214,[1]PFE4!$A$7:$G$5208,7,0)</f>
        <v>05001</v>
      </c>
      <c r="G3214">
        <v>41713348</v>
      </c>
      <c r="H3214">
        <v>4329</v>
      </c>
    </row>
    <row r="3215" spans="1:8" ht="15" customHeight="1" x14ac:dyDescent="0.25">
      <c r="A3215" t="s">
        <v>5457</v>
      </c>
      <c r="B3215" t="s">
        <v>9496</v>
      </c>
      <c r="C3215" t="s">
        <v>12752</v>
      </c>
      <c r="D3215" t="s">
        <v>13287</v>
      </c>
      <c r="E3215" t="str">
        <f>+VLOOKUP(A3215,[1]PFE4!$A$7:$F$5208,6,0)</f>
        <v>CALLE 65 SUR  40  18</v>
      </c>
      <c r="F3215" s="17" t="str">
        <f>+VLOOKUP(A3215,[1]PFE4!$A$7:$G$5208,7,0)</f>
        <v>05631</v>
      </c>
      <c r="G3215">
        <v>41723700</v>
      </c>
      <c r="H3215">
        <v>4329</v>
      </c>
    </row>
    <row r="3216" spans="1:8" ht="15" customHeight="1" x14ac:dyDescent="0.25">
      <c r="A3216" t="s">
        <v>5458</v>
      </c>
      <c r="B3216" t="s">
        <v>9497</v>
      </c>
      <c r="C3216" t="s">
        <v>12753</v>
      </c>
      <c r="D3216" t="s">
        <v>13287</v>
      </c>
      <c r="E3216" t="str">
        <f>+VLOOKUP(A3216,[1]PFE4!$A$7:$F$5208,6,0)</f>
        <v>CARRERA 3 A  75  120</v>
      </c>
      <c r="F3216" s="17">
        <f>+VLOOKUP(A3216,[1]PFE4!$A$7:$G$5208,7,0)</f>
        <v>11001</v>
      </c>
      <c r="G3216">
        <v>41764671</v>
      </c>
      <c r="H3216">
        <v>4329</v>
      </c>
    </row>
    <row r="3217" spans="1:8" ht="15" customHeight="1" x14ac:dyDescent="0.25">
      <c r="A3217" t="s">
        <v>5459</v>
      </c>
      <c r="B3217" t="s">
        <v>9498</v>
      </c>
      <c r="C3217" t="s">
        <v>12754</v>
      </c>
      <c r="D3217" t="s">
        <v>13287</v>
      </c>
      <c r="E3217" t="str">
        <f>+VLOOKUP(A3217,[1]PFE4!$A$7:$F$5208,6,0)</f>
        <v>CALLE 202  56  50</v>
      </c>
      <c r="F3217" s="17">
        <f>+VLOOKUP(A3217,[1]PFE4!$A$7:$G$5208,7,0)</f>
        <v>11001</v>
      </c>
      <c r="G3217">
        <v>41776740</v>
      </c>
      <c r="H3217">
        <v>4329</v>
      </c>
    </row>
    <row r="3218" spans="1:8" ht="15" customHeight="1" x14ac:dyDescent="0.25">
      <c r="A3218" t="s">
        <v>5460</v>
      </c>
      <c r="B3218" t="s">
        <v>9499</v>
      </c>
      <c r="C3218" t="s">
        <v>12755</v>
      </c>
      <c r="D3218" t="s">
        <v>13287</v>
      </c>
      <c r="E3218" t="str">
        <f>+VLOOKUP(A3218,[1]PFE4!$A$7:$F$5208,6,0)</f>
        <v>CARRERA 22  9  68</v>
      </c>
      <c r="F3218" s="17">
        <f>+VLOOKUP(A3218,[1]PFE4!$A$7:$G$5208,7,0)</f>
        <v>25899</v>
      </c>
      <c r="G3218">
        <v>41807614</v>
      </c>
      <c r="H3218">
        <v>4329</v>
      </c>
    </row>
    <row r="3219" spans="1:8" ht="15" customHeight="1" x14ac:dyDescent="0.25">
      <c r="A3219" t="s">
        <v>5461</v>
      </c>
      <c r="B3219" t="s">
        <v>9500</v>
      </c>
      <c r="C3219" t="s">
        <v>12756</v>
      </c>
      <c r="D3219" t="s">
        <v>13287</v>
      </c>
      <c r="E3219" t="str">
        <f>+VLOOKUP(A3219,[1]PFE4!$A$7:$F$5208,6,0)</f>
        <v>CRA 29 A 55 SUR - 332</v>
      </c>
      <c r="F3219" s="17" t="str">
        <f>+VLOOKUP(A3219,[1]PFE4!$A$7:$G$5208,7,0)</f>
        <v>05001</v>
      </c>
      <c r="G3219">
        <v>41863336</v>
      </c>
      <c r="H3219">
        <v>4329</v>
      </c>
    </row>
    <row r="3220" spans="1:8" ht="15" customHeight="1" x14ac:dyDescent="0.25">
      <c r="A3220" t="s">
        <v>5462</v>
      </c>
      <c r="B3220" t="s">
        <v>9501</v>
      </c>
      <c r="C3220" t="s">
        <v>12442</v>
      </c>
      <c r="D3220" t="s">
        <v>13287</v>
      </c>
      <c r="E3220" t="str">
        <f>+VLOOKUP(A3220,[1]PFE4!$A$7:$F$5208,6,0)</f>
        <v>AVENIDA 8  4  99</v>
      </c>
      <c r="F3220" s="17">
        <f>+VLOOKUP(A3220,[1]PFE4!$A$7:$G$5208,7,0)</f>
        <v>54001</v>
      </c>
      <c r="G3220">
        <v>41865332</v>
      </c>
      <c r="H3220">
        <v>4329</v>
      </c>
    </row>
    <row r="3221" spans="1:8" ht="15" customHeight="1" x14ac:dyDescent="0.25">
      <c r="A3221" t="s">
        <v>5463</v>
      </c>
      <c r="B3221" t="s">
        <v>9502</v>
      </c>
      <c r="C3221" t="s">
        <v>12757</v>
      </c>
      <c r="D3221" t="s">
        <v>13287</v>
      </c>
      <c r="E3221" t="str">
        <f>+VLOOKUP(A3221,[1]PFE4!$A$7:$F$5208,6,0)</f>
        <v>CALLE 27 SUR  27  92</v>
      </c>
      <c r="F3221" s="17" t="str">
        <f>+VLOOKUP(A3221,[1]PFE4!$A$7:$G$5208,7,0)</f>
        <v>05266</v>
      </c>
      <c r="G3221">
        <v>41882582</v>
      </c>
      <c r="H3221">
        <v>4329</v>
      </c>
    </row>
    <row r="3222" spans="1:8" ht="15" customHeight="1" x14ac:dyDescent="0.25">
      <c r="A3222" t="s">
        <v>5464</v>
      </c>
      <c r="B3222" t="s">
        <v>9503</v>
      </c>
      <c r="C3222" t="s">
        <v>12758</v>
      </c>
      <c r="D3222" t="s">
        <v>13287</v>
      </c>
      <c r="E3222" t="str">
        <f>+VLOOKUP(A3222,[1]PFE4!$A$7:$F$5208,6,0)</f>
        <v>AVENIDA 19  152 A  48</v>
      </c>
      <c r="F3222" s="17">
        <f>+VLOOKUP(A3222,[1]PFE4!$A$7:$G$5208,7,0)</f>
        <v>11001</v>
      </c>
      <c r="G3222">
        <v>41915196</v>
      </c>
      <c r="H3222">
        <v>4329</v>
      </c>
    </row>
    <row r="3223" spans="1:8" ht="15" customHeight="1" x14ac:dyDescent="0.25">
      <c r="A3223" t="s">
        <v>5465</v>
      </c>
      <c r="B3223" t="s">
        <v>9504</v>
      </c>
      <c r="C3223" t="s">
        <v>11665</v>
      </c>
      <c r="D3223" t="s">
        <v>13287</v>
      </c>
      <c r="E3223" t="str">
        <f>+VLOOKUP(A3223,[1]PFE4!$A$7:$F$5208,6,0)</f>
        <v>CL 50 60D 136</v>
      </c>
      <c r="F3223" s="17" t="str">
        <f>+VLOOKUP(A3223,[1]PFE4!$A$7:$G$5208,7,0)</f>
        <v>05615</v>
      </c>
      <c r="G3223">
        <v>41934924</v>
      </c>
      <c r="H3223">
        <v>4329</v>
      </c>
    </row>
    <row r="3224" spans="1:8" ht="15" customHeight="1" x14ac:dyDescent="0.25">
      <c r="A3224" t="s">
        <v>5466</v>
      </c>
      <c r="B3224" t="s">
        <v>9505</v>
      </c>
      <c r="C3224">
        <v>3219664011</v>
      </c>
      <c r="D3224" t="s">
        <v>13287</v>
      </c>
      <c r="E3224" t="str">
        <f>+VLOOKUP(A3224,[1]PFE4!$A$7:$F$5208,6,0)</f>
        <v>SEC CIMARRONES AREA URBANA DEL MUNICIPIO DE RIONEGRO</v>
      </c>
      <c r="F3224" s="17" t="str">
        <f>+VLOOKUP(A3224,[1]PFE4!$A$7:$G$5208,7,0)</f>
        <v>05615</v>
      </c>
      <c r="G3224">
        <v>41999455</v>
      </c>
      <c r="H3224">
        <v>4329</v>
      </c>
    </row>
    <row r="3225" spans="1:8" ht="15" customHeight="1" x14ac:dyDescent="0.25">
      <c r="A3225" t="s">
        <v>5467</v>
      </c>
      <c r="B3225" t="s">
        <v>9506</v>
      </c>
      <c r="C3225" t="s">
        <v>12661</v>
      </c>
      <c r="D3225" t="s">
        <v>13287</v>
      </c>
      <c r="E3225" t="str">
        <f>+VLOOKUP(A3225,[1]PFE4!$A$7:$F$5208,6,0)</f>
        <v>CALLE 27  41  86</v>
      </c>
      <c r="F3225" s="17" t="str">
        <f>+VLOOKUP(A3225,[1]PFE4!$A$7:$G$5208,7,0)</f>
        <v>05001</v>
      </c>
      <c r="G3225">
        <v>42145740</v>
      </c>
      <c r="H3225">
        <v>4329</v>
      </c>
    </row>
    <row r="3226" spans="1:8" ht="15" customHeight="1" x14ac:dyDescent="0.25">
      <c r="A3226" t="s">
        <v>5468</v>
      </c>
      <c r="B3226" t="s">
        <v>9507</v>
      </c>
      <c r="C3226" t="s">
        <v>12759</v>
      </c>
      <c r="D3226" t="s">
        <v>13287</v>
      </c>
      <c r="E3226" t="str">
        <f>+VLOOKUP(A3226,[1]PFE4!$A$7:$F$5208,6,0)</f>
        <v>CARRERA 55 A  163  35</v>
      </c>
      <c r="F3226" s="17">
        <f>+VLOOKUP(A3226,[1]PFE4!$A$7:$G$5208,7,0)</f>
        <v>11001</v>
      </c>
      <c r="G3226">
        <v>42168752</v>
      </c>
      <c r="H3226">
        <v>4329</v>
      </c>
    </row>
    <row r="3227" spans="1:8" ht="15" customHeight="1" x14ac:dyDescent="0.25">
      <c r="A3227" t="s">
        <v>5469</v>
      </c>
      <c r="B3227" t="s">
        <v>9508</v>
      </c>
      <c r="C3227" t="s">
        <v>12760</v>
      </c>
      <c r="D3227" t="s">
        <v>13287</v>
      </c>
      <c r="E3227" t="str">
        <f>+VLOOKUP(A3227,[1]PFE4!$A$7:$F$5208,6,0)</f>
        <v>CARRERA 17  45  127</v>
      </c>
      <c r="F3227" s="17">
        <f>+VLOOKUP(A3227,[1]PFE4!$A$7:$G$5208,7,0)</f>
        <v>11001</v>
      </c>
      <c r="G3227">
        <v>42221940</v>
      </c>
      <c r="H3227">
        <v>4329</v>
      </c>
    </row>
    <row r="3228" spans="1:8" ht="15" customHeight="1" x14ac:dyDescent="0.25">
      <c r="A3228" t="s">
        <v>5470</v>
      </c>
      <c r="B3228" t="s">
        <v>9509</v>
      </c>
      <c r="C3228" t="s">
        <v>12761</v>
      </c>
      <c r="D3228" t="s">
        <v>13287</v>
      </c>
      <c r="E3228" t="str">
        <f>+VLOOKUP(A3228,[1]PFE4!$A$7:$F$5208,6,0)</f>
        <v>CL 161 54 87</v>
      </c>
      <c r="F3228" s="17">
        <f>+VLOOKUP(A3228,[1]PFE4!$A$7:$G$5208,7,0)</f>
        <v>11001</v>
      </c>
      <c r="G3228">
        <v>42238997</v>
      </c>
      <c r="H3228">
        <v>4329</v>
      </c>
    </row>
    <row r="3229" spans="1:8" ht="15" customHeight="1" x14ac:dyDescent="0.25">
      <c r="A3229" t="s">
        <v>5471</v>
      </c>
      <c r="B3229" t="s">
        <v>9510</v>
      </c>
      <c r="C3229" t="s">
        <v>12762</v>
      </c>
      <c r="D3229" t="s">
        <v>13287</v>
      </c>
      <c r="E3229" t="str">
        <f>+VLOOKUP(A3229,[1]PFE4!$A$7:$F$5208,6,0)</f>
        <v>CARRERA 53  11 A  71</v>
      </c>
      <c r="F3229" s="17">
        <f>+VLOOKUP(A3229,[1]PFE4!$A$7:$G$5208,7,0)</f>
        <v>11001</v>
      </c>
      <c r="G3229">
        <v>42261950</v>
      </c>
      <c r="H3229">
        <v>4329</v>
      </c>
    </row>
    <row r="3230" spans="1:8" ht="15" customHeight="1" x14ac:dyDescent="0.25">
      <c r="A3230" t="s">
        <v>5472</v>
      </c>
      <c r="B3230" t="s">
        <v>9511</v>
      </c>
      <c r="C3230" t="s">
        <v>12763</v>
      </c>
      <c r="D3230" t="s">
        <v>13287</v>
      </c>
      <c r="E3230" t="str">
        <f>+VLOOKUP(A3230,[1]PFE4!$A$7:$F$5208,6,0)</f>
        <v>CARRERA 32 A 77 SUR 73</v>
      </c>
      <c r="F3230" s="17" t="str">
        <f>+VLOOKUP(A3230,[1]PFE4!$A$7:$G$5208,7,0)</f>
        <v>05631</v>
      </c>
      <c r="G3230">
        <v>42290400</v>
      </c>
      <c r="H3230">
        <v>4329</v>
      </c>
    </row>
    <row r="3231" spans="1:8" ht="15" customHeight="1" x14ac:dyDescent="0.25">
      <c r="A3231" t="s">
        <v>5473</v>
      </c>
      <c r="B3231" t="s">
        <v>9512</v>
      </c>
      <c r="C3231" t="s">
        <v>12764</v>
      </c>
      <c r="D3231" t="s">
        <v>13287</v>
      </c>
      <c r="E3231" t="str">
        <f>+VLOOKUP(A3231,[1]PFE4!$A$7:$F$5208,6,0)</f>
        <v>CL 22 D 72 A 00</v>
      </c>
      <c r="F3231" s="17">
        <f>+VLOOKUP(A3231,[1]PFE4!$A$7:$G$5208,7,0)</f>
        <v>11001</v>
      </c>
      <c r="G3231">
        <v>42328400</v>
      </c>
      <c r="H3231">
        <v>4329</v>
      </c>
    </row>
    <row r="3232" spans="1:8" ht="15" customHeight="1" x14ac:dyDescent="0.25">
      <c r="A3232" t="s">
        <v>5474</v>
      </c>
      <c r="B3232" t="s">
        <v>9513</v>
      </c>
      <c r="C3232">
        <v>3219664011</v>
      </c>
      <c r="D3232" t="s">
        <v>13287</v>
      </c>
      <c r="E3232" t="str">
        <f>+VLOOKUP(A3232,[1]PFE4!$A$7:$F$5208,6,0)</f>
        <v>CALLE 14  15  41</v>
      </c>
      <c r="F3232" s="17">
        <f>+VLOOKUP(A3232,[1]PFE4!$A$7:$G$5208,7,0)</f>
        <v>66682</v>
      </c>
      <c r="G3232">
        <v>42330080</v>
      </c>
      <c r="H3232">
        <v>4329</v>
      </c>
    </row>
    <row r="3233" spans="1:8" ht="15" customHeight="1" x14ac:dyDescent="0.25">
      <c r="A3233" t="s">
        <v>5475</v>
      </c>
      <c r="B3233" t="s">
        <v>9514</v>
      </c>
      <c r="C3233" t="s">
        <v>12765</v>
      </c>
      <c r="D3233" t="s">
        <v>13287</v>
      </c>
      <c r="E3233" t="str">
        <f>+VLOOKUP(A3233,[1]PFE4!$A$7:$F$5208,6,0)</f>
        <v>CARRERA 29 A  5 SUR  125</v>
      </c>
      <c r="F3233" s="17" t="str">
        <f>+VLOOKUP(A3233,[1]PFE4!$A$7:$G$5208,7,0)</f>
        <v>05001</v>
      </c>
      <c r="G3233">
        <v>42355916</v>
      </c>
      <c r="H3233">
        <v>4329</v>
      </c>
    </row>
    <row r="3234" spans="1:8" ht="15" customHeight="1" x14ac:dyDescent="0.25">
      <c r="A3234" t="s">
        <v>5476</v>
      </c>
      <c r="B3234" t="s">
        <v>9515</v>
      </c>
      <c r="C3234" t="s">
        <v>12766</v>
      </c>
      <c r="D3234" t="s">
        <v>13287</v>
      </c>
      <c r="E3234" t="str">
        <f>+VLOOKUP(A3234,[1]PFE4!$A$7:$F$5208,6,0)</f>
        <v>CARRERA 32 77 SUR - 371</v>
      </c>
      <c r="F3234" s="17" t="str">
        <f>+VLOOKUP(A3234,[1]PFE4!$A$7:$G$5208,7,0)</f>
        <v>05631</v>
      </c>
      <c r="G3234">
        <v>42410400</v>
      </c>
      <c r="H3234">
        <v>4329</v>
      </c>
    </row>
    <row r="3235" spans="1:8" ht="15" customHeight="1" x14ac:dyDescent="0.25">
      <c r="A3235" t="s">
        <v>5477</v>
      </c>
      <c r="B3235" t="s">
        <v>9516</v>
      </c>
      <c r="C3235" t="s">
        <v>12767</v>
      </c>
      <c r="D3235" t="s">
        <v>13287</v>
      </c>
      <c r="E3235" t="str">
        <f>+VLOOKUP(A3235,[1]PFE4!$A$7:$F$5208,6,0)</f>
        <v>CARRERA 19 A  90  13</v>
      </c>
      <c r="F3235" s="17">
        <f>+VLOOKUP(A3235,[1]PFE4!$A$7:$G$5208,7,0)</f>
        <v>11001</v>
      </c>
      <c r="G3235">
        <v>42442828</v>
      </c>
      <c r="H3235">
        <v>4329</v>
      </c>
    </row>
    <row r="3236" spans="1:8" ht="15" customHeight="1" x14ac:dyDescent="0.25">
      <c r="A3236" t="s">
        <v>5478</v>
      </c>
      <c r="B3236" t="s">
        <v>9517</v>
      </c>
      <c r="C3236" t="s">
        <v>12768</v>
      </c>
      <c r="D3236" t="s">
        <v>13287</v>
      </c>
      <c r="E3236" t="str">
        <f>+VLOOKUP(A3236,[1]PFE4!$A$7:$F$5208,6,0)</f>
        <v>CARRERA 72 C N 22 A 74</v>
      </c>
      <c r="F3236" s="17">
        <f>+VLOOKUP(A3236,[1]PFE4!$A$7:$G$5208,7,0)</f>
        <v>11001</v>
      </c>
      <c r="G3236">
        <v>42469560</v>
      </c>
      <c r="H3236">
        <v>4329</v>
      </c>
    </row>
    <row r="3237" spans="1:8" ht="15" customHeight="1" x14ac:dyDescent="0.25">
      <c r="A3237" t="s">
        <v>5479</v>
      </c>
      <c r="B3237" t="s">
        <v>9518</v>
      </c>
      <c r="C3237" t="s">
        <v>12769</v>
      </c>
      <c r="D3237" t="s">
        <v>13287</v>
      </c>
      <c r="E3237" t="str">
        <f>+VLOOKUP(A3237,[1]PFE4!$A$7:$F$5208,6,0)</f>
        <v>CARRERA 55  82  227</v>
      </c>
      <c r="F3237" s="17" t="str">
        <f>+VLOOKUP(A3237,[1]PFE4!$A$7:$G$5208,7,0)</f>
        <v>08001</v>
      </c>
      <c r="G3237">
        <v>42470000</v>
      </c>
      <c r="H3237">
        <v>4329</v>
      </c>
    </row>
    <row r="3238" spans="1:8" ht="15" customHeight="1" x14ac:dyDescent="0.25">
      <c r="A3238" t="s">
        <v>5480</v>
      </c>
      <c r="B3238" t="s">
        <v>9519</v>
      </c>
      <c r="C3238" t="s">
        <v>12578</v>
      </c>
      <c r="D3238" t="s">
        <v>13287</v>
      </c>
      <c r="E3238" t="str">
        <f>+VLOOKUP(A3238,[1]PFE4!$A$7:$F$5208,6,0)</f>
        <v>CALLE 34  100 A  35</v>
      </c>
      <c r="F3238" s="17">
        <f>+VLOOKUP(A3238,[1]PFE4!$A$7:$G$5208,7,0)</f>
        <v>76001</v>
      </c>
      <c r="G3238">
        <v>42608188</v>
      </c>
      <c r="H3238">
        <v>4329</v>
      </c>
    </row>
    <row r="3239" spans="1:8" ht="15" customHeight="1" x14ac:dyDescent="0.25">
      <c r="A3239" t="s">
        <v>5481</v>
      </c>
      <c r="B3239" t="s">
        <v>9520</v>
      </c>
      <c r="C3239" t="s">
        <v>12770</v>
      </c>
      <c r="D3239" t="s">
        <v>13287</v>
      </c>
      <c r="E3239" t="str">
        <f>+VLOOKUP(A3239,[1]PFE4!$A$7:$F$5208,6,0)</f>
        <v>CL 63 C 35 A 06</v>
      </c>
      <c r="F3239" s="17">
        <f>+VLOOKUP(A3239,[1]PFE4!$A$7:$G$5208,7,0)</f>
        <v>11001</v>
      </c>
      <c r="G3239">
        <v>42658454</v>
      </c>
      <c r="H3239">
        <v>4329</v>
      </c>
    </row>
    <row r="3240" spans="1:8" ht="15" customHeight="1" x14ac:dyDescent="0.25">
      <c r="A3240" t="s">
        <v>5482</v>
      </c>
      <c r="B3240" t="s">
        <v>9521</v>
      </c>
      <c r="C3240" t="s">
        <v>12771</v>
      </c>
      <c r="D3240" t="s">
        <v>13287</v>
      </c>
      <c r="E3240" t="str">
        <f>+VLOOKUP(A3240,[1]PFE4!$A$7:$F$5208,6,0)</f>
        <v>CARRERA 42  18 A  08</v>
      </c>
      <c r="F3240" s="17">
        <f>+VLOOKUP(A3240,[1]PFE4!$A$7:$G$5208,7,0)</f>
        <v>11001</v>
      </c>
      <c r="G3240">
        <v>42769742</v>
      </c>
      <c r="H3240">
        <v>4329</v>
      </c>
    </row>
    <row r="3241" spans="1:8" ht="15" customHeight="1" x14ac:dyDescent="0.25">
      <c r="A3241" t="s">
        <v>5483</v>
      </c>
      <c r="B3241" t="s">
        <v>9522</v>
      </c>
      <c r="C3241" t="s">
        <v>12772</v>
      </c>
      <c r="D3241" t="s">
        <v>13287</v>
      </c>
      <c r="E3241" t="str">
        <f>+VLOOKUP(A3241,[1]PFE4!$A$7:$F$5208,6,0)</f>
        <v>CARRERA 71 B BIS  12 A  40</v>
      </c>
      <c r="F3241" s="17">
        <f>+VLOOKUP(A3241,[1]PFE4!$A$7:$G$5208,7,0)</f>
        <v>11001</v>
      </c>
      <c r="G3241">
        <v>42774222</v>
      </c>
      <c r="H3241">
        <v>4329</v>
      </c>
    </row>
    <row r="3242" spans="1:8" ht="15" customHeight="1" x14ac:dyDescent="0.25">
      <c r="A3242" t="s">
        <v>5484</v>
      </c>
      <c r="B3242" t="s">
        <v>9523</v>
      </c>
      <c r="C3242" t="s">
        <v>12773</v>
      </c>
      <c r="D3242" t="s">
        <v>13287</v>
      </c>
      <c r="E3242" t="str">
        <f>+VLOOKUP(A3242,[1]PFE4!$A$7:$F$5208,6,0)</f>
        <v>CALLE 9 A  37  16</v>
      </c>
      <c r="F3242" s="17" t="str">
        <f>+VLOOKUP(A3242,[1]PFE4!$A$7:$G$5208,7,0)</f>
        <v>05001</v>
      </c>
      <c r="G3242">
        <v>43001396</v>
      </c>
      <c r="H3242">
        <v>4329</v>
      </c>
    </row>
    <row r="3243" spans="1:8" ht="15" customHeight="1" x14ac:dyDescent="0.25">
      <c r="A3243" t="s">
        <v>5485</v>
      </c>
      <c r="B3243" t="s">
        <v>9524</v>
      </c>
      <c r="C3243" t="s">
        <v>12774</v>
      </c>
      <c r="D3243" t="s">
        <v>13287</v>
      </c>
      <c r="E3243" t="str">
        <f>+VLOOKUP(A3243,[1]PFE4!$A$7:$F$5208,6,0)</f>
        <v>CARRERA 43 A  70 SUR  17</v>
      </c>
      <c r="F3243" s="17" t="str">
        <f>+VLOOKUP(A3243,[1]PFE4!$A$7:$G$5208,7,0)</f>
        <v>05631</v>
      </c>
      <c r="G3243">
        <v>43091964</v>
      </c>
      <c r="H3243">
        <v>4329</v>
      </c>
    </row>
    <row r="3244" spans="1:8" ht="15" customHeight="1" x14ac:dyDescent="0.25">
      <c r="A3244" t="s">
        <v>5486</v>
      </c>
      <c r="B3244" t="s">
        <v>9525</v>
      </c>
      <c r="C3244" t="s">
        <v>12775</v>
      </c>
      <c r="D3244" t="s">
        <v>13287</v>
      </c>
      <c r="E3244" t="str">
        <f>+VLOOKUP(A3244,[1]PFE4!$A$7:$F$5208,6,0)</f>
        <v>AV 1 (!) ANILLO ORIENTAL 23 144 BRR LA CORDIALIDAD</v>
      </c>
      <c r="F3244" s="17">
        <f>+VLOOKUP(A3244,[1]PFE4!$A$7:$G$5208,7,0)</f>
        <v>54405</v>
      </c>
      <c r="G3244">
        <v>43112332</v>
      </c>
      <c r="H3244">
        <v>4329</v>
      </c>
    </row>
    <row r="3245" spans="1:8" ht="15" customHeight="1" x14ac:dyDescent="0.25">
      <c r="A3245" t="s">
        <v>5487</v>
      </c>
      <c r="B3245" t="s">
        <v>9526</v>
      </c>
      <c r="C3245" t="s">
        <v>12776</v>
      </c>
      <c r="D3245" t="s">
        <v>13287</v>
      </c>
      <c r="E3245" t="str">
        <f>+VLOOKUP(A3245,[1]PFE4!$A$7:$F$5208,6,0)</f>
        <v>CALLE 19  109  36</v>
      </c>
      <c r="F3245" s="17">
        <f>+VLOOKUP(A3245,[1]PFE4!$A$7:$G$5208,7,0)</f>
        <v>11001</v>
      </c>
      <c r="G3245">
        <v>43129948</v>
      </c>
      <c r="H3245">
        <v>4329</v>
      </c>
    </row>
    <row r="3246" spans="1:8" ht="15" customHeight="1" x14ac:dyDescent="0.25">
      <c r="A3246" t="s">
        <v>5488</v>
      </c>
      <c r="B3246" t="s">
        <v>9527</v>
      </c>
      <c r="C3246" t="s">
        <v>11216</v>
      </c>
      <c r="D3246" t="s">
        <v>13287</v>
      </c>
      <c r="E3246" t="str">
        <f>+VLOOKUP(A3246,[1]PFE4!$A$7:$F$5208,6,0)</f>
        <v>CL 59 97 BIS 46 BRR CIUDAD MELENDEZ</v>
      </c>
      <c r="F3246" s="17">
        <f>+VLOOKUP(A3246,[1]PFE4!$A$7:$G$5208,7,0)</f>
        <v>11001</v>
      </c>
      <c r="G3246">
        <v>43158336</v>
      </c>
      <c r="H3246">
        <v>4329</v>
      </c>
    </row>
    <row r="3247" spans="1:8" ht="15" customHeight="1" x14ac:dyDescent="0.25">
      <c r="A3247" t="s">
        <v>5489</v>
      </c>
      <c r="B3247" t="s">
        <v>9528</v>
      </c>
      <c r="C3247" t="s">
        <v>12777</v>
      </c>
      <c r="D3247" t="s">
        <v>13287</v>
      </c>
      <c r="E3247" t="str">
        <f>+VLOOKUP(A3247,[1]PFE4!$A$7:$F$5208,6,0)</f>
        <v>CARRERA 81  44 B  37</v>
      </c>
      <c r="F3247" s="17" t="str">
        <f>+VLOOKUP(A3247,[1]PFE4!$A$7:$G$5208,7,0)</f>
        <v>05001</v>
      </c>
      <c r="G3247">
        <v>43265904</v>
      </c>
      <c r="H3247">
        <v>4329</v>
      </c>
    </row>
    <row r="3248" spans="1:8" ht="15" customHeight="1" x14ac:dyDescent="0.25">
      <c r="A3248" t="s">
        <v>5490</v>
      </c>
      <c r="B3248" t="s">
        <v>9529</v>
      </c>
      <c r="C3248" t="s">
        <v>12778</v>
      </c>
      <c r="D3248" t="s">
        <v>13287</v>
      </c>
      <c r="E3248" t="str">
        <f>+VLOOKUP(A3248,[1]PFE4!$A$7:$F$5208,6,0)</f>
        <v>CALLE 71 A  5  51</v>
      </c>
      <c r="F3248" s="17">
        <f>+VLOOKUP(A3248,[1]PFE4!$A$7:$G$5208,7,0)</f>
        <v>11001</v>
      </c>
      <c r="G3248">
        <v>43308492</v>
      </c>
      <c r="H3248">
        <v>4329</v>
      </c>
    </row>
    <row r="3249" spans="1:8" ht="15" customHeight="1" x14ac:dyDescent="0.25">
      <c r="A3249" t="s">
        <v>5491</v>
      </c>
      <c r="B3249" t="s">
        <v>9530</v>
      </c>
      <c r="C3249" t="s">
        <v>12779</v>
      </c>
      <c r="D3249" t="s">
        <v>13287</v>
      </c>
      <c r="E3249" t="str">
        <f>+VLOOKUP(A3249,[1]PFE4!$A$7:$F$5208,6,0)</f>
        <v>CR 6 SUR 70 70</v>
      </c>
      <c r="F3249" s="17">
        <f>+VLOOKUP(A3249,[1]PFE4!$A$7:$G$5208,7,0)</f>
        <v>11001</v>
      </c>
      <c r="G3249">
        <v>43326472</v>
      </c>
      <c r="H3249">
        <v>4329</v>
      </c>
    </row>
    <row r="3250" spans="1:8" ht="15" customHeight="1" x14ac:dyDescent="0.25">
      <c r="A3250" t="s">
        <v>5492</v>
      </c>
      <c r="B3250" t="s">
        <v>9531</v>
      </c>
      <c r="C3250" t="s">
        <v>12780</v>
      </c>
      <c r="D3250" t="s">
        <v>13287</v>
      </c>
      <c r="E3250" t="str">
        <f>+VLOOKUP(A3250,[1]PFE4!$A$7:$F$5208,6,0)</f>
        <v>CALLE 50  70  108</v>
      </c>
      <c r="F3250" s="17" t="str">
        <f>+VLOOKUP(A3250,[1]PFE4!$A$7:$G$5208,7,0)</f>
        <v>05001</v>
      </c>
      <c r="G3250">
        <v>43342185</v>
      </c>
      <c r="H3250">
        <v>4329</v>
      </c>
    </row>
    <row r="3251" spans="1:8" ht="15" customHeight="1" x14ac:dyDescent="0.25">
      <c r="A3251" t="s">
        <v>5493</v>
      </c>
      <c r="B3251" t="s">
        <v>9532</v>
      </c>
      <c r="C3251" t="s">
        <v>12253</v>
      </c>
      <c r="D3251" t="s">
        <v>13287</v>
      </c>
      <c r="E3251" t="str">
        <f>+VLOOKUP(A3251,[1]PFE4!$A$7:$F$5208,6,0)</f>
        <v>CR 72 B 121 80 A D</v>
      </c>
      <c r="F3251" s="17">
        <f>+VLOOKUP(A3251,[1]PFE4!$A$7:$G$5208,7,0)</f>
        <v>11001</v>
      </c>
      <c r="G3251">
        <v>43418652</v>
      </c>
      <c r="H3251">
        <v>4329</v>
      </c>
    </row>
    <row r="3252" spans="1:8" ht="15" customHeight="1" x14ac:dyDescent="0.25">
      <c r="A3252" t="s">
        <v>5494</v>
      </c>
      <c r="B3252" t="s">
        <v>9533</v>
      </c>
      <c r="C3252" t="s">
        <v>12781</v>
      </c>
      <c r="D3252" t="s">
        <v>13287</v>
      </c>
      <c r="E3252" t="str">
        <f>+VLOOKUP(A3252,[1]PFE4!$A$7:$F$5208,6,0)</f>
        <v>AV UNIVERSITARIA 58 B 291</v>
      </c>
      <c r="F3252" s="17">
        <f>+VLOOKUP(A3252,[1]PFE4!$A$7:$G$5208,7,0)</f>
        <v>11001</v>
      </c>
      <c r="G3252">
        <v>43438150</v>
      </c>
      <c r="H3252">
        <v>4329</v>
      </c>
    </row>
    <row r="3253" spans="1:8" ht="15" customHeight="1" x14ac:dyDescent="0.25">
      <c r="A3253" t="s">
        <v>5495</v>
      </c>
      <c r="B3253" t="s">
        <v>9534</v>
      </c>
      <c r="C3253" t="s">
        <v>12782</v>
      </c>
      <c r="D3253" t="s">
        <v>13287</v>
      </c>
      <c r="E3253" t="str">
        <f>+VLOOKUP(A3253,[1]PFE4!$A$7:$F$5208,6,0)</f>
        <v>CARRERA 7  5  71</v>
      </c>
      <c r="F3253" s="17">
        <f>+VLOOKUP(A3253,[1]PFE4!$A$7:$G$5208,7,0)</f>
        <v>11001</v>
      </c>
      <c r="G3253">
        <v>43441204</v>
      </c>
      <c r="H3253">
        <v>4329</v>
      </c>
    </row>
    <row r="3254" spans="1:8" ht="15" customHeight="1" x14ac:dyDescent="0.25">
      <c r="A3254" t="s">
        <v>5496</v>
      </c>
      <c r="B3254" t="s">
        <v>9535</v>
      </c>
      <c r="C3254" t="s">
        <v>12783</v>
      </c>
      <c r="D3254" t="s">
        <v>13287</v>
      </c>
      <c r="E3254" t="str">
        <f>+VLOOKUP(A3254,[1]PFE4!$A$7:$F$5208,6,0)</f>
        <v>CR 19 37 25 BRR SANTA ISABEL</v>
      </c>
      <c r="F3254" s="17">
        <f>+VLOOKUP(A3254,[1]PFE4!$A$7:$G$5208,7,0)</f>
        <v>25307</v>
      </c>
      <c r="G3254">
        <v>43441940</v>
      </c>
      <c r="H3254">
        <v>4329</v>
      </c>
    </row>
    <row r="3255" spans="1:8" ht="15" customHeight="1" x14ac:dyDescent="0.25">
      <c r="A3255" t="s">
        <v>5497</v>
      </c>
      <c r="B3255" t="s">
        <v>9536</v>
      </c>
      <c r="C3255" t="s">
        <v>12784</v>
      </c>
      <c r="D3255" t="s">
        <v>13287</v>
      </c>
      <c r="E3255" t="str">
        <f>+VLOOKUP(A3255,[1]PFE4!$A$7:$F$5208,6,0)</f>
        <v>CR 71 A 53 A 49</v>
      </c>
      <c r="F3255" s="17" t="str">
        <f>+VLOOKUP(A3255,[1]PFE4!$A$7:$G$5208,7,0)</f>
        <v>05001</v>
      </c>
      <c r="G3255">
        <v>43470300</v>
      </c>
      <c r="H3255">
        <v>4329</v>
      </c>
    </row>
    <row r="3256" spans="1:8" ht="15" customHeight="1" x14ac:dyDescent="0.25">
      <c r="A3256" t="s">
        <v>5498</v>
      </c>
      <c r="B3256" t="s">
        <v>9537</v>
      </c>
      <c r="C3256" t="s">
        <v>12661</v>
      </c>
      <c r="D3256" t="s">
        <v>13287</v>
      </c>
      <c r="E3256" t="str">
        <f>+VLOOKUP(A3256,[1]PFE4!$A$7:$F$5208,6,0)</f>
        <v>CL 77 SUR 47 C 65</v>
      </c>
      <c r="F3256" s="17" t="str">
        <f>+VLOOKUP(A3256,[1]PFE4!$A$7:$G$5208,7,0)</f>
        <v>05631</v>
      </c>
      <c r="G3256">
        <v>43529997</v>
      </c>
      <c r="H3256">
        <v>4329</v>
      </c>
    </row>
    <row r="3257" spans="1:8" ht="15" customHeight="1" x14ac:dyDescent="0.25">
      <c r="A3257" t="s">
        <v>5499</v>
      </c>
      <c r="B3257" t="s">
        <v>9538</v>
      </c>
      <c r="C3257">
        <v>3219664011</v>
      </c>
      <c r="D3257" t="s">
        <v>13287</v>
      </c>
      <c r="E3257" t="str">
        <f>+VLOOKUP(A3257,[1]PFE4!$A$7:$F$5208,6,0)</f>
        <v>CALLE 165  8 A  50</v>
      </c>
      <c r="F3257" s="17">
        <f>+VLOOKUP(A3257,[1]PFE4!$A$7:$G$5208,7,0)</f>
        <v>11001</v>
      </c>
      <c r="G3257">
        <v>43589789</v>
      </c>
      <c r="H3257">
        <v>4329</v>
      </c>
    </row>
    <row r="3258" spans="1:8" ht="15" customHeight="1" x14ac:dyDescent="0.25">
      <c r="A3258" t="s">
        <v>5500</v>
      </c>
      <c r="B3258" t="s">
        <v>9539</v>
      </c>
      <c r="C3258" t="s">
        <v>12785</v>
      </c>
      <c r="D3258" t="s">
        <v>13287</v>
      </c>
      <c r="E3258" t="str">
        <f>+VLOOKUP(A3258,[1]PFE4!$A$7:$F$5208,6,0)</f>
        <v>CARRERA 30  93  25</v>
      </c>
      <c r="F3258" s="17">
        <f>+VLOOKUP(A3258,[1]PFE4!$A$7:$G$5208,7,0)</f>
        <v>17001</v>
      </c>
      <c r="G3258">
        <v>43605416</v>
      </c>
      <c r="H3258">
        <v>4329</v>
      </c>
    </row>
    <row r="3259" spans="1:8" ht="15" customHeight="1" x14ac:dyDescent="0.25">
      <c r="A3259" t="s">
        <v>5501</v>
      </c>
      <c r="B3259" t="s">
        <v>9540</v>
      </c>
      <c r="C3259" t="s">
        <v>12786</v>
      </c>
      <c r="D3259" t="s">
        <v>13287</v>
      </c>
      <c r="E3259" t="str">
        <f>+VLOOKUP(A3259,[1]PFE4!$A$7:$F$5208,6,0)</f>
        <v>CALLE 161  54  18</v>
      </c>
      <c r="F3259" s="17">
        <f>+VLOOKUP(A3259,[1]PFE4!$A$7:$G$5208,7,0)</f>
        <v>11001</v>
      </c>
      <c r="G3259">
        <v>43693916</v>
      </c>
      <c r="H3259">
        <v>4329</v>
      </c>
    </row>
    <row r="3260" spans="1:8" ht="15" customHeight="1" x14ac:dyDescent="0.25">
      <c r="A3260" t="s">
        <v>5502</v>
      </c>
      <c r="B3260" t="s">
        <v>9541</v>
      </c>
      <c r="C3260" t="s">
        <v>12400</v>
      </c>
      <c r="D3260" t="s">
        <v>13287</v>
      </c>
      <c r="E3260" t="str">
        <f>+VLOOKUP(A3260,[1]PFE4!$A$7:$F$5208,6,0)</f>
        <v>CARRERA 33  86  144</v>
      </c>
      <c r="F3260" s="17">
        <f>+VLOOKUP(A3260,[1]PFE4!$A$7:$G$5208,7,0)</f>
        <v>11001</v>
      </c>
      <c r="G3260">
        <v>43738152</v>
      </c>
      <c r="H3260">
        <v>4329</v>
      </c>
    </row>
    <row r="3261" spans="1:8" ht="15" customHeight="1" x14ac:dyDescent="0.25">
      <c r="A3261" t="s">
        <v>5503</v>
      </c>
      <c r="B3261" t="s">
        <v>9542</v>
      </c>
      <c r="C3261" t="s">
        <v>12498</v>
      </c>
      <c r="D3261" t="s">
        <v>13287</v>
      </c>
      <c r="E3261" t="str">
        <f>+VLOOKUP(A3261,[1]PFE4!$A$7:$F$5208,6,0)</f>
        <v>DG 62 A 52 C 208</v>
      </c>
      <c r="F3261" s="17" t="str">
        <f>+VLOOKUP(A3261,[1]PFE4!$A$7:$G$5208,7,0)</f>
        <v>05615</v>
      </c>
      <c r="G3261">
        <v>43789180</v>
      </c>
      <c r="H3261">
        <v>4329</v>
      </c>
    </row>
    <row r="3262" spans="1:8" ht="15" customHeight="1" x14ac:dyDescent="0.25">
      <c r="A3262" t="s">
        <v>5504</v>
      </c>
      <c r="B3262" t="s">
        <v>9543</v>
      </c>
      <c r="C3262" t="s">
        <v>12787</v>
      </c>
      <c r="D3262" t="s">
        <v>13287</v>
      </c>
      <c r="E3262" t="str">
        <f>+VLOOKUP(A3262,[1]PFE4!$A$7:$F$5208,6,0)</f>
        <v>CARRERA 59  27 B  357</v>
      </c>
      <c r="F3262" s="17" t="str">
        <f>+VLOOKUP(A3262,[1]PFE4!$A$7:$G$5208,7,0)</f>
        <v>05088</v>
      </c>
      <c r="G3262">
        <v>43853566</v>
      </c>
      <c r="H3262">
        <v>4329</v>
      </c>
    </row>
    <row r="3263" spans="1:8" ht="15" customHeight="1" x14ac:dyDescent="0.25">
      <c r="A3263" t="s">
        <v>5505</v>
      </c>
      <c r="B3263" t="s">
        <v>9544</v>
      </c>
      <c r="C3263" t="s">
        <v>12788</v>
      </c>
      <c r="D3263" t="s">
        <v>13287</v>
      </c>
      <c r="E3263" t="str">
        <f>+VLOOKUP(A3263,[1]PFE4!$A$7:$F$5208,6,0)</f>
        <v>AVENIDA 4 N  7 N  53</v>
      </c>
      <c r="F3263" s="17">
        <f>+VLOOKUP(A3263,[1]PFE4!$A$7:$G$5208,7,0)</f>
        <v>11001</v>
      </c>
      <c r="G3263">
        <v>43892032</v>
      </c>
      <c r="H3263">
        <v>4329</v>
      </c>
    </row>
    <row r="3264" spans="1:8" ht="15" customHeight="1" x14ac:dyDescent="0.25">
      <c r="A3264" t="s">
        <v>5506</v>
      </c>
      <c r="B3264" t="s">
        <v>9545</v>
      </c>
      <c r="C3264" t="s">
        <v>12578</v>
      </c>
      <c r="D3264" t="s">
        <v>13287</v>
      </c>
      <c r="E3264" t="str">
        <f>+VLOOKUP(A3264,[1]PFE4!$A$7:$F$5208,6,0)</f>
        <v>CARRERA 102  34  133</v>
      </c>
      <c r="F3264" s="17">
        <f>+VLOOKUP(A3264,[1]PFE4!$A$7:$G$5208,7,0)</f>
        <v>11001</v>
      </c>
      <c r="G3264">
        <v>44005304</v>
      </c>
      <c r="H3264">
        <v>4329</v>
      </c>
    </row>
    <row r="3265" spans="1:8" ht="15" customHeight="1" x14ac:dyDescent="0.25">
      <c r="A3265" t="s">
        <v>5507</v>
      </c>
      <c r="B3265" t="s">
        <v>9546</v>
      </c>
      <c r="C3265" t="s">
        <v>12789</v>
      </c>
      <c r="D3265" t="s">
        <v>13287</v>
      </c>
      <c r="E3265" t="str">
        <f>+VLOOKUP(A3265,[1]PFE4!$A$7:$F$5208,6,0)</f>
        <v>CL 6 9 29 URB ALAMEDA DEL ESTE</v>
      </c>
      <c r="F3265" s="17">
        <f>+VLOOKUP(A3265,[1]PFE4!$A$7:$G$5208,7,0)</f>
        <v>54001</v>
      </c>
      <c r="G3265">
        <v>44014152</v>
      </c>
      <c r="H3265">
        <v>4329</v>
      </c>
    </row>
    <row r="3266" spans="1:8" ht="15" customHeight="1" x14ac:dyDescent="0.25">
      <c r="A3266" t="s">
        <v>5508</v>
      </c>
      <c r="B3266" t="s">
        <v>9547</v>
      </c>
      <c r="C3266" t="s">
        <v>12790</v>
      </c>
      <c r="D3266" t="s">
        <v>13287</v>
      </c>
      <c r="E3266" t="str">
        <f>+VLOOKUP(A3266,[1]PFE4!$A$7:$F$5208,6,0)</f>
        <v>CARRERA 98  16  200</v>
      </c>
      <c r="F3266" s="17">
        <f>+VLOOKUP(A3266,[1]PFE4!$A$7:$G$5208,7,0)</f>
        <v>11001</v>
      </c>
      <c r="G3266">
        <v>44075900</v>
      </c>
      <c r="H3266">
        <v>4329</v>
      </c>
    </row>
    <row r="3267" spans="1:8" ht="15" customHeight="1" x14ac:dyDescent="0.25">
      <c r="A3267" t="s">
        <v>5509</v>
      </c>
      <c r="B3267" t="s">
        <v>9548</v>
      </c>
      <c r="C3267" t="s">
        <v>12791</v>
      </c>
      <c r="D3267" t="s">
        <v>13287</v>
      </c>
      <c r="E3267" t="str">
        <f>+VLOOKUP(A3267,[1]PFE4!$A$7:$F$5208,6,0)</f>
        <v>CALLE 128 A  57 C  06</v>
      </c>
      <c r="F3267" s="17">
        <f>+VLOOKUP(A3267,[1]PFE4!$A$7:$G$5208,7,0)</f>
        <v>11001</v>
      </c>
      <c r="G3267">
        <v>44077650</v>
      </c>
      <c r="H3267">
        <v>4329</v>
      </c>
    </row>
    <row r="3268" spans="1:8" ht="15" customHeight="1" x14ac:dyDescent="0.25">
      <c r="A3268" t="s">
        <v>5510</v>
      </c>
      <c r="B3268" t="s">
        <v>9549</v>
      </c>
      <c r="C3268" t="s">
        <v>12792</v>
      </c>
      <c r="D3268" t="s">
        <v>13287</v>
      </c>
      <c r="E3268" t="str">
        <f>+VLOOKUP(A3268,[1]PFE4!$A$7:$F$5208,6,0)</f>
        <v>CL 3 8 117 BRR TIERRA LINDA (I) APARTAMENTOS</v>
      </c>
      <c r="F3268" s="17">
        <f>+VLOOKUP(A3268,[1]PFE4!$A$7:$G$5208,7,0)</f>
        <v>11001</v>
      </c>
      <c r="G3268">
        <v>44109390</v>
      </c>
      <c r="H3268">
        <v>4329</v>
      </c>
    </row>
    <row r="3269" spans="1:8" ht="15" customHeight="1" x14ac:dyDescent="0.25">
      <c r="A3269" t="s">
        <v>5511</v>
      </c>
      <c r="B3269" t="s">
        <v>9550</v>
      </c>
      <c r="C3269" t="s">
        <v>12793</v>
      </c>
      <c r="D3269" t="s">
        <v>13287</v>
      </c>
      <c r="E3269" t="str">
        <f>+VLOOKUP(A3269,[1]PFE4!$A$7:$F$5208,6,0)</f>
        <v>CL 71 13 21</v>
      </c>
      <c r="F3269" s="17">
        <f>+VLOOKUP(A3269,[1]PFE4!$A$7:$G$5208,7,0)</f>
        <v>11001</v>
      </c>
      <c r="G3269">
        <v>44357465</v>
      </c>
      <c r="H3269">
        <v>4329</v>
      </c>
    </row>
    <row r="3270" spans="1:8" ht="15" customHeight="1" x14ac:dyDescent="0.25">
      <c r="A3270" t="s">
        <v>5512</v>
      </c>
      <c r="B3270" t="s">
        <v>9551</v>
      </c>
      <c r="C3270" t="s">
        <v>12794</v>
      </c>
      <c r="D3270" t="s">
        <v>13287</v>
      </c>
      <c r="E3270" t="str">
        <f>+VLOOKUP(A3270,[1]PFE4!$A$7:$F$5208,6,0)</f>
        <v>CARRERA 53  79  212</v>
      </c>
      <c r="F3270" s="17" t="str">
        <f>+VLOOKUP(A3270,[1]PFE4!$A$7:$G$5208,7,0)</f>
        <v>08001</v>
      </c>
      <c r="G3270">
        <v>44384790</v>
      </c>
      <c r="H3270">
        <v>4329</v>
      </c>
    </row>
    <row r="3271" spans="1:8" ht="15" customHeight="1" x14ac:dyDescent="0.25">
      <c r="A3271" t="s">
        <v>5513</v>
      </c>
      <c r="B3271" t="s">
        <v>9552</v>
      </c>
      <c r="C3271" t="s">
        <v>11197</v>
      </c>
      <c r="D3271" t="s">
        <v>13287</v>
      </c>
      <c r="E3271" t="str">
        <f>+VLOOKUP(A3271,[1]PFE4!$A$7:$F$5208,6,0)</f>
        <v>CL 75 B 38 05</v>
      </c>
      <c r="F3271" s="17" t="str">
        <f>+VLOOKUP(A3271,[1]PFE4!$A$7:$G$5208,7,0)</f>
        <v>05631</v>
      </c>
      <c r="G3271">
        <v>44388420</v>
      </c>
      <c r="H3271">
        <v>4329</v>
      </c>
    </row>
    <row r="3272" spans="1:8" ht="15" customHeight="1" x14ac:dyDescent="0.25">
      <c r="A3272" t="s">
        <v>5514</v>
      </c>
      <c r="B3272" t="s">
        <v>9553</v>
      </c>
      <c r="C3272" t="s">
        <v>12795</v>
      </c>
      <c r="D3272" t="s">
        <v>13287</v>
      </c>
      <c r="E3272" t="str">
        <f>+VLOOKUP(A3272,[1]PFE4!$A$7:$F$5208,6,0)</f>
        <v>CARRERA 84F N° 3D-255</v>
      </c>
      <c r="F3272" s="17" t="str">
        <f>+VLOOKUP(A3272,[1]PFE4!$A$7:$G$5208,7,0)</f>
        <v>05001</v>
      </c>
      <c r="G3272">
        <v>44414248</v>
      </c>
      <c r="H3272">
        <v>4329</v>
      </c>
    </row>
    <row r="3273" spans="1:8" ht="15" customHeight="1" x14ac:dyDescent="0.25">
      <c r="A3273" t="s">
        <v>5515</v>
      </c>
      <c r="B3273" t="s">
        <v>9554</v>
      </c>
      <c r="C3273" t="s">
        <v>12796</v>
      </c>
      <c r="D3273" t="s">
        <v>13287</v>
      </c>
      <c r="E3273" t="str">
        <f>+VLOOKUP(A3273,[1]PFE4!$A$7:$F$5208,6,0)</f>
        <v>CALLE 44 SUR  38  125</v>
      </c>
      <c r="F3273" s="17" t="str">
        <f>+VLOOKUP(A3273,[1]PFE4!$A$7:$G$5208,7,0)</f>
        <v>05266</v>
      </c>
      <c r="G3273">
        <v>44483226</v>
      </c>
      <c r="H3273">
        <v>4329</v>
      </c>
    </row>
    <row r="3274" spans="1:8" ht="15" customHeight="1" x14ac:dyDescent="0.25">
      <c r="A3274" t="s">
        <v>5516</v>
      </c>
      <c r="B3274" t="s">
        <v>9555</v>
      </c>
      <c r="C3274" t="s">
        <v>12797</v>
      </c>
      <c r="D3274" t="s">
        <v>13287</v>
      </c>
      <c r="E3274" t="str">
        <f>+VLOOKUP(A3274,[1]PFE4!$A$7:$F$5208,6,0)</f>
        <v>CARRERA 112  44  21</v>
      </c>
      <c r="F3274" s="17">
        <f>+VLOOKUP(A3274,[1]PFE4!$A$7:$G$5208,7,0)</f>
        <v>11001</v>
      </c>
      <c r="G3274">
        <v>44494152</v>
      </c>
      <c r="H3274">
        <v>4329</v>
      </c>
    </row>
    <row r="3275" spans="1:8" ht="15" customHeight="1" x14ac:dyDescent="0.25">
      <c r="A3275" t="s">
        <v>5517</v>
      </c>
      <c r="B3275" t="s">
        <v>9556</v>
      </c>
      <c r="C3275" t="s">
        <v>12798</v>
      </c>
      <c r="D3275" t="s">
        <v>13287</v>
      </c>
      <c r="E3275" t="str">
        <f>+VLOOKUP(A3275,[1]PFE4!$A$7:$F$5208,6,0)</f>
        <v>CALLE 29 A  50  85</v>
      </c>
      <c r="F3275" s="17" t="str">
        <f>+VLOOKUP(A3275,[1]PFE4!$A$7:$G$5208,7,0)</f>
        <v>05088</v>
      </c>
      <c r="G3275">
        <v>44496512</v>
      </c>
      <c r="H3275">
        <v>4329</v>
      </c>
    </row>
    <row r="3276" spans="1:8" ht="15" customHeight="1" x14ac:dyDescent="0.25">
      <c r="A3276" t="s">
        <v>5518</v>
      </c>
      <c r="B3276" t="s">
        <v>9557</v>
      </c>
      <c r="C3276">
        <v>3219664011</v>
      </c>
      <c r="D3276" t="s">
        <v>13287</v>
      </c>
      <c r="E3276" t="str">
        <f>+VLOOKUP(A3276,[1]PFE4!$A$7:$F$5208,6,0)</f>
        <v>CALLE 44  113  39</v>
      </c>
      <c r="F3276" s="17">
        <f>+VLOOKUP(A3276,[1]PFE4!$A$7:$G$5208,7,0)</f>
        <v>11001</v>
      </c>
      <c r="G3276">
        <v>44552209</v>
      </c>
      <c r="H3276">
        <v>4329</v>
      </c>
    </row>
    <row r="3277" spans="1:8" ht="15" customHeight="1" x14ac:dyDescent="0.25">
      <c r="A3277" t="s">
        <v>5519</v>
      </c>
      <c r="B3277" t="s">
        <v>9558</v>
      </c>
      <c r="C3277">
        <v>3219664011</v>
      </c>
      <c r="D3277" t="s">
        <v>13287</v>
      </c>
      <c r="E3277" t="str">
        <f>+VLOOKUP(A3277,[1]PFE4!$A$7:$F$5208,6,0)</f>
        <v>CL 75 A A SUR 52 E 105</v>
      </c>
      <c r="F3277" s="17" t="str">
        <f>+VLOOKUP(A3277,[1]PFE4!$A$7:$G$5208,7,0)</f>
        <v>05360</v>
      </c>
      <c r="G3277">
        <v>44576667</v>
      </c>
      <c r="H3277">
        <v>4329</v>
      </c>
    </row>
    <row r="3278" spans="1:8" ht="15" customHeight="1" x14ac:dyDescent="0.25">
      <c r="A3278" t="s">
        <v>5520</v>
      </c>
      <c r="B3278" t="s">
        <v>9559</v>
      </c>
      <c r="C3278" t="s">
        <v>12799</v>
      </c>
      <c r="D3278" t="s">
        <v>13287</v>
      </c>
      <c r="E3278" t="str">
        <f>+VLOOKUP(A3278,[1]PFE4!$A$7:$F$5208,6,0)</f>
        <v>CALLE 11 A N  11 A E  68</v>
      </c>
      <c r="F3278" s="17">
        <f>+VLOOKUP(A3278,[1]PFE4!$A$7:$G$5208,7,0)</f>
        <v>11001</v>
      </c>
      <c r="G3278">
        <v>44580503</v>
      </c>
      <c r="H3278">
        <v>4329</v>
      </c>
    </row>
    <row r="3279" spans="1:8" ht="15" customHeight="1" x14ac:dyDescent="0.25">
      <c r="A3279" t="s">
        <v>5521</v>
      </c>
      <c r="B3279" t="s">
        <v>9560</v>
      </c>
      <c r="C3279">
        <v>3219664011</v>
      </c>
      <c r="D3279" t="s">
        <v>13287</v>
      </c>
      <c r="E3279" t="str">
        <f>+VLOOKUP(A3279,[1]PFE4!$A$7:$F$5208,6,0)</f>
        <v>CL 86A 13 42 P 4</v>
      </c>
      <c r="F3279" s="17">
        <f>+VLOOKUP(A3279,[1]PFE4!$A$7:$G$5208,7,0)</f>
        <v>11001</v>
      </c>
      <c r="G3279">
        <v>44621399</v>
      </c>
      <c r="H3279">
        <v>4329</v>
      </c>
    </row>
    <row r="3280" spans="1:8" ht="15" customHeight="1" x14ac:dyDescent="0.25">
      <c r="A3280" t="s">
        <v>5522</v>
      </c>
      <c r="B3280" t="s">
        <v>9561</v>
      </c>
      <c r="C3280" t="s">
        <v>12800</v>
      </c>
      <c r="D3280" t="s">
        <v>13287</v>
      </c>
      <c r="E3280" t="str">
        <f>+VLOOKUP(A3280,[1]PFE4!$A$7:$F$5208,6,0)</f>
        <v>carrera 14-4b-13 y 48-21</v>
      </c>
      <c r="F3280" s="17">
        <f>+VLOOKUP(A3280,[1]PFE4!$A$7:$G$5208,7,0)</f>
        <v>11001</v>
      </c>
      <c r="G3280">
        <v>44684573</v>
      </c>
      <c r="H3280">
        <v>4329</v>
      </c>
    </row>
    <row r="3281" spans="1:8" ht="15" customHeight="1" x14ac:dyDescent="0.25">
      <c r="A3281" t="s">
        <v>5523</v>
      </c>
      <c r="B3281" t="s">
        <v>9562</v>
      </c>
      <c r="C3281" t="s">
        <v>12028</v>
      </c>
      <c r="D3281" t="s">
        <v>13287</v>
      </c>
      <c r="E3281" t="str">
        <f>+VLOOKUP(A3281,[1]PFE4!$A$7:$F$5208,6,0)</f>
        <v>CALLE 50  94  32</v>
      </c>
      <c r="F3281" s="17">
        <f>+VLOOKUP(A3281,[1]PFE4!$A$7:$G$5208,7,0)</f>
        <v>76001</v>
      </c>
      <c r="G3281">
        <v>44756074</v>
      </c>
      <c r="H3281">
        <v>4329</v>
      </c>
    </row>
    <row r="3282" spans="1:8" ht="15" customHeight="1" x14ac:dyDescent="0.25">
      <c r="A3282" t="s">
        <v>5524</v>
      </c>
      <c r="B3282" t="s">
        <v>9563</v>
      </c>
      <c r="C3282" t="s">
        <v>12801</v>
      </c>
      <c r="D3282" t="s">
        <v>13287</v>
      </c>
      <c r="E3282" t="str">
        <f>+VLOOKUP(A3282,[1]PFE4!$A$7:$F$5208,6,0)</f>
        <v>cl 48 F F SUR 42 C 113</v>
      </c>
      <c r="F3282" s="17" t="str">
        <f>+VLOOKUP(A3282,[1]PFE4!$A$7:$G$5208,7,0)</f>
        <v>05266</v>
      </c>
      <c r="G3282">
        <v>44775056</v>
      </c>
      <c r="H3282">
        <v>4329</v>
      </c>
    </row>
    <row r="3283" spans="1:8" ht="15" customHeight="1" x14ac:dyDescent="0.25">
      <c r="A3283" t="s">
        <v>5525</v>
      </c>
      <c r="B3283" t="s">
        <v>9564</v>
      </c>
      <c r="C3283" t="s">
        <v>12802</v>
      </c>
      <c r="D3283" t="s">
        <v>13287</v>
      </c>
      <c r="E3283" t="str">
        <f>+VLOOKUP(A3283,[1]PFE4!$A$7:$F$5208,6,0)</f>
        <v>CALLE 61 SUR  43 A  32</v>
      </c>
      <c r="F3283" s="17" t="str">
        <f>+VLOOKUP(A3283,[1]PFE4!$A$7:$G$5208,7,0)</f>
        <v>05631</v>
      </c>
      <c r="G3283">
        <v>44790144</v>
      </c>
      <c r="H3283">
        <v>4329</v>
      </c>
    </row>
    <row r="3284" spans="1:8" ht="15" customHeight="1" x14ac:dyDescent="0.25">
      <c r="A3284" t="s">
        <v>5526</v>
      </c>
      <c r="B3284" t="s">
        <v>9565</v>
      </c>
      <c r="C3284" t="s">
        <v>12803</v>
      </c>
      <c r="D3284" t="s">
        <v>13287</v>
      </c>
      <c r="E3284" t="str">
        <f>+VLOOKUP(A3284,[1]PFE4!$A$7:$F$5208,6,0)</f>
        <v>CARRERA 8  12 B  82</v>
      </c>
      <c r="F3284" s="17">
        <f>+VLOOKUP(A3284,[1]PFE4!$A$7:$G$5208,7,0)</f>
        <v>11001</v>
      </c>
      <c r="G3284">
        <v>44813409</v>
      </c>
      <c r="H3284">
        <v>4329</v>
      </c>
    </row>
    <row r="3285" spans="1:8" ht="15" customHeight="1" x14ac:dyDescent="0.25">
      <c r="A3285" t="s">
        <v>5527</v>
      </c>
      <c r="B3285" t="s">
        <v>9566</v>
      </c>
      <c r="C3285" t="s">
        <v>12804</v>
      </c>
      <c r="D3285" t="s">
        <v>13287</v>
      </c>
      <c r="E3285" t="str">
        <f>+VLOOKUP(A3285,[1]PFE4!$A$7:$F$5208,6,0)</f>
        <v>CARRERA 8 F  166  34</v>
      </c>
      <c r="F3285" s="17">
        <f>+VLOOKUP(A3285,[1]PFE4!$A$7:$G$5208,7,0)</f>
        <v>11001</v>
      </c>
      <c r="G3285">
        <v>44922406</v>
      </c>
      <c r="H3285">
        <v>4329</v>
      </c>
    </row>
    <row r="3286" spans="1:8" ht="15" customHeight="1" x14ac:dyDescent="0.25">
      <c r="A3286" t="s">
        <v>5528</v>
      </c>
      <c r="B3286" t="s">
        <v>9567</v>
      </c>
      <c r="C3286" t="s">
        <v>12805</v>
      </c>
      <c r="D3286" t="s">
        <v>13287</v>
      </c>
      <c r="E3286" t="str">
        <f>+VLOOKUP(A3286,[1]PFE4!$A$7:$F$5208,6,0)</f>
        <v>CALLE 70  44 W  156</v>
      </c>
      <c r="F3286" s="17">
        <f>+VLOOKUP(A3286,[1]PFE4!$A$7:$G$5208,7,0)</f>
        <v>11001</v>
      </c>
      <c r="G3286">
        <v>44969088</v>
      </c>
      <c r="H3286">
        <v>4329</v>
      </c>
    </row>
    <row r="3287" spans="1:8" ht="15" customHeight="1" x14ac:dyDescent="0.25">
      <c r="A3287" t="s">
        <v>5529</v>
      </c>
      <c r="B3287" t="s">
        <v>9568</v>
      </c>
      <c r="C3287" t="s">
        <v>12806</v>
      </c>
      <c r="D3287" t="s">
        <v>13287</v>
      </c>
      <c r="E3287" t="str">
        <f>+VLOOKUP(A3287,[1]PFE4!$A$7:$F$5208,6,0)</f>
        <v>CR 104 16 28</v>
      </c>
      <c r="F3287" s="17">
        <f>+VLOOKUP(A3287,[1]PFE4!$A$7:$G$5208,7,0)</f>
        <v>11001</v>
      </c>
      <c r="G3287">
        <v>45044039</v>
      </c>
      <c r="H3287">
        <v>4329</v>
      </c>
    </row>
    <row r="3288" spans="1:8" ht="15" customHeight="1" x14ac:dyDescent="0.25">
      <c r="A3288" t="s">
        <v>5530</v>
      </c>
      <c r="B3288" t="s">
        <v>9569</v>
      </c>
      <c r="C3288" t="s">
        <v>12792</v>
      </c>
      <c r="D3288" t="s">
        <v>13287</v>
      </c>
      <c r="E3288" t="str">
        <f>+VLOOKUP(A3288,[1]PFE4!$A$7:$F$5208,6,0)</f>
        <v>CALLE 54 B AVENIDA 8 Y 9</v>
      </c>
      <c r="F3288" s="17">
        <f>+VLOOKUP(A3288,[1]PFE4!$A$7:$G$5208,7,0)</f>
        <v>11001</v>
      </c>
      <c r="G3288">
        <v>45050500</v>
      </c>
      <c r="H3288">
        <v>4329</v>
      </c>
    </row>
    <row r="3289" spans="1:8" ht="15" customHeight="1" x14ac:dyDescent="0.25">
      <c r="A3289" t="s">
        <v>5531</v>
      </c>
      <c r="B3289" t="s">
        <v>9570</v>
      </c>
      <c r="C3289">
        <v>0</v>
      </c>
      <c r="D3289" t="s">
        <v>13287</v>
      </c>
      <c r="E3289">
        <v>0</v>
      </c>
      <c r="F3289" s="17">
        <v>11001</v>
      </c>
      <c r="G3289">
        <v>45060195</v>
      </c>
      <c r="H3289">
        <v>4329</v>
      </c>
    </row>
    <row r="3290" spans="1:8" ht="15" customHeight="1" x14ac:dyDescent="0.25">
      <c r="A3290" t="s">
        <v>5532</v>
      </c>
      <c r="B3290" t="s">
        <v>9571</v>
      </c>
      <c r="C3290" t="s">
        <v>12807</v>
      </c>
      <c r="D3290" t="s">
        <v>13287</v>
      </c>
      <c r="E3290" t="str">
        <f>+VLOOKUP(A3290,[1]PFE4!$A$7:$F$5208,6,0)</f>
        <v>AVENIDA 127  20  78</v>
      </c>
      <c r="F3290" s="17">
        <f>+VLOOKUP(A3290,[1]PFE4!$A$7:$G$5208,7,0)</f>
        <v>11001</v>
      </c>
      <c r="G3290">
        <v>45101686</v>
      </c>
      <c r="H3290">
        <v>4329</v>
      </c>
    </row>
    <row r="3291" spans="1:8" ht="15" customHeight="1" x14ac:dyDescent="0.25">
      <c r="A3291" t="s">
        <v>5533</v>
      </c>
      <c r="B3291" t="s">
        <v>9572</v>
      </c>
      <c r="C3291" t="s">
        <v>12808</v>
      </c>
      <c r="D3291" t="s">
        <v>13287</v>
      </c>
      <c r="E3291" t="str">
        <f>+VLOOKUP(A3291,[1]PFE4!$A$7:$F$5208,6,0)</f>
        <v>CALLE 52  71  60</v>
      </c>
      <c r="F3291" s="17" t="str">
        <f>+VLOOKUP(A3291,[1]PFE4!$A$7:$G$5208,7,0)</f>
        <v>05001</v>
      </c>
      <c r="G3291">
        <v>45166056</v>
      </c>
      <c r="H3291">
        <v>4329</v>
      </c>
    </row>
    <row r="3292" spans="1:8" ht="15" customHeight="1" x14ac:dyDescent="0.25">
      <c r="A3292" t="s">
        <v>5534</v>
      </c>
      <c r="B3292" t="s">
        <v>9573</v>
      </c>
      <c r="C3292" t="s">
        <v>12809</v>
      </c>
      <c r="D3292" t="s">
        <v>13287</v>
      </c>
      <c r="E3292" t="str">
        <f>+VLOOKUP(A3292,[1]PFE4!$A$7:$F$5208,6,0)</f>
        <v>CR 46 53 34 P2 TO B ED NELMAR</v>
      </c>
      <c r="F3292" s="17" t="str">
        <f>+VLOOKUP(A3292,[1]PFE4!$A$7:$G$5208,7,0)</f>
        <v>08001</v>
      </c>
      <c r="G3292">
        <v>45253404</v>
      </c>
      <c r="H3292">
        <v>4329</v>
      </c>
    </row>
    <row r="3293" spans="1:8" ht="15" customHeight="1" x14ac:dyDescent="0.25">
      <c r="A3293" t="s">
        <v>5535</v>
      </c>
      <c r="B3293" t="s">
        <v>9574</v>
      </c>
      <c r="C3293" t="s">
        <v>11286</v>
      </c>
      <c r="D3293" t="s">
        <v>13287</v>
      </c>
      <c r="E3293" t="str">
        <f>+VLOOKUP(A3293,[1]PFE4!$A$7:$F$5208,6,0)</f>
        <v>CALLE 50  26 69</v>
      </c>
      <c r="F3293" s="17">
        <f>+VLOOKUP(A3293,[1]PFE4!$A$7:$G$5208,7,0)</f>
        <v>17001</v>
      </c>
      <c r="G3293">
        <v>45270670</v>
      </c>
      <c r="H3293">
        <v>4329</v>
      </c>
    </row>
    <row r="3294" spans="1:8" ht="15" customHeight="1" x14ac:dyDescent="0.25">
      <c r="A3294" t="s">
        <v>5536</v>
      </c>
      <c r="B3294" t="s">
        <v>9575</v>
      </c>
      <c r="C3294" t="s">
        <v>12578</v>
      </c>
      <c r="D3294" t="s">
        <v>13287</v>
      </c>
      <c r="E3294" t="str">
        <f>+VLOOKUP(A3294,[1]PFE4!$A$7:$F$5208,6,0)</f>
        <v>CL 16A 126 100</v>
      </c>
      <c r="F3294" s="17">
        <f>+VLOOKUP(A3294,[1]PFE4!$A$7:$G$5208,7,0)</f>
        <v>76001</v>
      </c>
      <c r="G3294">
        <v>45302200</v>
      </c>
      <c r="H3294">
        <v>4329</v>
      </c>
    </row>
    <row r="3295" spans="1:8" ht="15" customHeight="1" x14ac:dyDescent="0.25">
      <c r="A3295" t="s">
        <v>5537</v>
      </c>
      <c r="B3295" t="s">
        <v>9576</v>
      </c>
      <c r="C3295" t="s">
        <v>12810</v>
      </c>
      <c r="D3295" t="s">
        <v>13287</v>
      </c>
      <c r="E3295" t="str">
        <f>+VLOOKUP(A3295,[1]PFE4!$A$7:$F$5208,6,0)</f>
        <v>CALLE 78 SUR 90 44</v>
      </c>
      <c r="F3295" s="17" t="str">
        <f>+VLOOKUP(A3295,[1]PFE4!$A$7:$G$5208,7,0)</f>
        <v>05631</v>
      </c>
      <c r="G3295">
        <v>45508187</v>
      </c>
      <c r="H3295">
        <v>4329</v>
      </c>
    </row>
    <row r="3296" spans="1:8" ht="15" customHeight="1" x14ac:dyDescent="0.25">
      <c r="A3296" t="s">
        <v>5538</v>
      </c>
      <c r="B3296" t="s">
        <v>9577</v>
      </c>
      <c r="C3296" t="s">
        <v>12811</v>
      </c>
      <c r="D3296" t="s">
        <v>13287</v>
      </c>
      <c r="E3296" t="str">
        <f>+VLOOKUP(A3296,[1]PFE4!$A$7:$F$5208,6,0)</f>
        <v>CARRERA 54 A  167 A  41</v>
      </c>
      <c r="F3296" s="17">
        <f>+VLOOKUP(A3296,[1]PFE4!$A$7:$G$5208,7,0)</f>
        <v>11001</v>
      </c>
      <c r="G3296">
        <v>45512570</v>
      </c>
      <c r="H3296">
        <v>4329</v>
      </c>
    </row>
    <row r="3297" spans="1:8" ht="15" customHeight="1" x14ac:dyDescent="0.25">
      <c r="A3297" t="s">
        <v>5539</v>
      </c>
      <c r="B3297" t="s">
        <v>9578</v>
      </c>
      <c r="C3297" t="s">
        <v>12812</v>
      </c>
      <c r="D3297" t="s">
        <v>13287</v>
      </c>
      <c r="E3297" t="str">
        <f>+VLOOKUP(A3297,[1]PFE4!$A$7:$F$5208,6,0)</f>
        <v>CALLE 77 SUR  46 D  43</v>
      </c>
      <c r="F3297" s="17" t="str">
        <f>+VLOOKUP(A3297,[1]PFE4!$A$7:$G$5208,7,0)</f>
        <v>05631</v>
      </c>
      <c r="G3297">
        <v>45536992</v>
      </c>
      <c r="H3297">
        <v>4329</v>
      </c>
    </row>
    <row r="3298" spans="1:8" ht="15" customHeight="1" x14ac:dyDescent="0.25">
      <c r="A3298" t="s">
        <v>5540</v>
      </c>
      <c r="B3298" t="s">
        <v>9579</v>
      </c>
      <c r="C3298" t="s">
        <v>12813</v>
      </c>
      <c r="D3298" t="s">
        <v>13287</v>
      </c>
      <c r="E3298" t="str">
        <f>+VLOOKUP(A3298,[1]PFE4!$A$7:$F$5208,6,0)</f>
        <v>CARRERA 11  11  61</v>
      </c>
      <c r="F3298" s="17">
        <f>+VLOOKUP(A3298,[1]PFE4!$A$7:$G$5208,7,0)</f>
        <v>25612</v>
      </c>
      <c r="G3298">
        <v>45577840</v>
      </c>
      <c r="H3298">
        <v>4329</v>
      </c>
    </row>
    <row r="3299" spans="1:8" ht="15" customHeight="1" x14ac:dyDescent="0.25">
      <c r="A3299" t="s">
        <v>5541</v>
      </c>
      <c r="B3299" t="s">
        <v>9580</v>
      </c>
      <c r="C3299" t="s">
        <v>12814</v>
      </c>
      <c r="D3299" t="s">
        <v>13287</v>
      </c>
      <c r="E3299" t="str">
        <f>+VLOOKUP(A3299,[1]PFE4!$A$7:$F$5208,6,0)</f>
        <v>CALLE 48 99-75</v>
      </c>
      <c r="F3299" s="17">
        <f>+VLOOKUP(A3299,[1]PFE4!$A$7:$G$5208,7,0)</f>
        <v>76001</v>
      </c>
      <c r="G3299">
        <v>45662923</v>
      </c>
      <c r="H3299">
        <v>4329</v>
      </c>
    </row>
    <row r="3300" spans="1:8" ht="15" customHeight="1" x14ac:dyDescent="0.25">
      <c r="A3300" t="s">
        <v>5542</v>
      </c>
      <c r="B3300" t="s">
        <v>9581</v>
      </c>
      <c r="C3300">
        <v>0</v>
      </c>
      <c r="D3300" t="s">
        <v>13287</v>
      </c>
      <c r="E3300">
        <v>0</v>
      </c>
      <c r="F3300" s="17">
        <v>11001</v>
      </c>
      <c r="G3300">
        <v>45678928</v>
      </c>
      <c r="H3300">
        <v>4329</v>
      </c>
    </row>
    <row r="3301" spans="1:8" ht="15" customHeight="1" x14ac:dyDescent="0.25">
      <c r="A3301" t="s">
        <v>5543</v>
      </c>
      <c r="B3301" t="s">
        <v>9582</v>
      </c>
      <c r="C3301" t="s">
        <v>12815</v>
      </c>
      <c r="D3301" t="s">
        <v>13287</v>
      </c>
      <c r="E3301" t="str">
        <f>+VLOOKUP(A3301,[1]PFE4!$A$7:$F$5208,6,0)</f>
        <v>CARRERA 98 A  45  51</v>
      </c>
      <c r="F3301" s="17">
        <f>+VLOOKUP(A3301,[1]PFE4!$A$7:$G$5208,7,0)</f>
        <v>11001</v>
      </c>
      <c r="G3301">
        <v>45722520</v>
      </c>
      <c r="H3301">
        <v>4329</v>
      </c>
    </row>
    <row r="3302" spans="1:8" ht="15" customHeight="1" x14ac:dyDescent="0.25">
      <c r="A3302" t="s">
        <v>5544</v>
      </c>
      <c r="B3302" t="s">
        <v>9583</v>
      </c>
      <c r="C3302" t="s">
        <v>12816</v>
      </c>
      <c r="D3302" t="s">
        <v>13287</v>
      </c>
      <c r="E3302" t="str">
        <f>+VLOOKUP(A3302,[1]PFE4!$A$7:$F$5208,6,0)</f>
        <v>CALLE 16 A  31  128</v>
      </c>
      <c r="F3302" s="17">
        <f>+VLOOKUP(A3302,[1]PFE4!$A$7:$G$5208,7,0)</f>
        <v>11001</v>
      </c>
      <c r="G3302">
        <v>45789050</v>
      </c>
      <c r="H3302">
        <v>4329</v>
      </c>
    </row>
    <row r="3303" spans="1:8" ht="15" customHeight="1" x14ac:dyDescent="0.25">
      <c r="A3303" t="s">
        <v>5545</v>
      </c>
      <c r="B3303" t="s">
        <v>9584</v>
      </c>
      <c r="C3303" t="s">
        <v>11152</v>
      </c>
      <c r="D3303" t="s">
        <v>13287</v>
      </c>
      <c r="E3303" t="str">
        <f>+VLOOKUP(A3303,[1]PFE4!$A$7:$F$5208,6,0)</f>
        <v>CALLE 119  7  14</v>
      </c>
      <c r="F3303" s="17">
        <f>+VLOOKUP(A3303,[1]PFE4!$A$7:$G$5208,7,0)</f>
        <v>11001</v>
      </c>
      <c r="G3303">
        <v>46057054</v>
      </c>
      <c r="H3303">
        <v>4329</v>
      </c>
    </row>
    <row r="3304" spans="1:8" ht="15" customHeight="1" x14ac:dyDescent="0.25">
      <c r="A3304" t="s">
        <v>5546</v>
      </c>
      <c r="B3304" t="s">
        <v>9585</v>
      </c>
      <c r="C3304">
        <v>0</v>
      </c>
      <c r="D3304" t="s">
        <v>13287</v>
      </c>
      <c r="E3304">
        <v>0</v>
      </c>
      <c r="F3304" s="17">
        <v>11001</v>
      </c>
      <c r="G3304">
        <v>46099852</v>
      </c>
      <c r="H3304">
        <v>4329</v>
      </c>
    </row>
    <row r="3305" spans="1:8" ht="15" customHeight="1" x14ac:dyDescent="0.25">
      <c r="A3305" t="s">
        <v>5547</v>
      </c>
      <c r="B3305" t="s">
        <v>9586</v>
      </c>
      <c r="C3305">
        <v>0</v>
      </c>
      <c r="D3305" t="s">
        <v>13287</v>
      </c>
      <c r="E3305">
        <v>0</v>
      </c>
      <c r="F3305" s="17">
        <v>11001</v>
      </c>
      <c r="G3305">
        <v>46112220</v>
      </c>
      <c r="H3305">
        <v>4329</v>
      </c>
    </row>
    <row r="3306" spans="1:8" ht="15" customHeight="1" x14ac:dyDescent="0.25">
      <c r="A3306" t="s">
        <v>5548</v>
      </c>
      <c r="B3306" t="s">
        <v>9587</v>
      </c>
      <c r="C3306" t="s">
        <v>12817</v>
      </c>
      <c r="D3306" t="s">
        <v>13287</v>
      </c>
      <c r="E3306" t="str">
        <f>+VLOOKUP(A3306,[1]PFE4!$A$7:$F$5208,6,0)</f>
        <v>CARRERA 33 91 52 BRR PEDREGOSA</v>
      </c>
      <c r="F3306" s="17">
        <f>+VLOOKUP(A3306,[1]PFE4!$A$7:$G$5208,7,0)</f>
        <v>11001</v>
      </c>
      <c r="G3306">
        <v>46208732</v>
      </c>
      <c r="H3306">
        <v>4329</v>
      </c>
    </row>
    <row r="3307" spans="1:8" ht="15" customHeight="1" x14ac:dyDescent="0.25">
      <c r="A3307" t="s">
        <v>5549</v>
      </c>
      <c r="B3307" t="s">
        <v>9588</v>
      </c>
      <c r="C3307" t="s">
        <v>12586</v>
      </c>
      <c r="D3307" t="s">
        <v>13287</v>
      </c>
      <c r="E3307" t="str">
        <f>+VLOOKUP(A3307,[1]PFE4!$A$7:$F$5208,6,0)</f>
        <v>CL 38 SUR 27 200</v>
      </c>
      <c r="F3307" s="17" t="str">
        <f>+VLOOKUP(A3307,[1]PFE4!$A$7:$G$5208,7,0)</f>
        <v>05266</v>
      </c>
      <c r="G3307">
        <v>46462185</v>
      </c>
      <c r="H3307">
        <v>4329</v>
      </c>
    </row>
    <row r="3308" spans="1:8" ht="15" customHeight="1" x14ac:dyDescent="0.25">
      <c r="A3308" t="s">
        <v>5550</v>
      </c>
      <c r="B3308" t="s">
        <v>9589</v>
      </c>
      <c r="C3308" t="s">
        <v>12818</v>
      </c>
      <c r="D3308" t="s">
        <v>13287</v>
      </c>
      <c r="E3308" t="str">
        <f>+VLOOKUP(A3308,[1]PFE4!$A$7:$F$5208,6,0)</f>
        <v>CALLE 78 06-146 IN</v>
      </c>
      <c r="F3308" s="17">
        <f>+VLOOKUP(A3308,[1]PFE4!$A$7:$G$5208,7,0)</f>
        <v>23001</v>
      </c>
      <c r="G3308">
        <v>46496148</v>
      </c>
      <c r="H3308">
        <v>4329</v>
      </c>
    </row>
    <row r="3309" spans="1:8" ht="15" customHeight="1" x14ac:dyDescent="0.25">
      <c r="A3309" t="s">
        <v>5551</v>
      </c>
      <c r="B3309" t="s">
        <v>9590</v>
      </c>
      <c r="C3309" t="s">
        <v>12819</v>
      </c>
      <c r="D3309" t="s">
        <v>13287</v>
      </c>
      <c r="E3309" t="str">
        <f>+VLOOKUP(A3309,[1]PFE4!$A$7:$F$5208,6,0)</f>
        <v>CL 7 A 7 E 477 DEL CORREGIMIENTO DE LA BOQUILLA</v>
      </c>
      <c r="F3309" s="17">
        <f>+VLOOKUP(A3309,[1]PFE4!$A$7:$G$5208,7,0)</f>
        <v>11001</v>
      </c>
      <c r="G3309">
        <v>46511862</v>
      </c>
      <c r="H3309">
        <v>4329</v>
      </c>
    </row>
    <row r="3310" spans="1:8" ht="15" customHeight="1" x14ac:dyDescent="0.25">
      <c r="A3310" t="s">
        <v>5552</v>
      </c>
      <c r="B3310" t="s">
        <v>9591</v>
      </c>
      <c r="C3310" t="s">
        <v>12820</v>
      </c>
      <c r="D3310" t="s">
        <v>13287</v>
      </c>
      <c r="E3310" t="str">
        <f>+VLOOKUP(A3310,[1]PFE4!$A$7:$F$5208,6,0)</f>
        <v>AV 33 51 501</v>
      </c>
      <c r="F3310" s="17" t="str">
        <f>+VLOOKUP(A3310,[1]PFE4!$A$7:$G$5208,7,0)</f>
        <v>05088</v>
      </c>
      <c r="G3310">
        <v>46545058</v>
      </c>
      <c r="H3310">
        <v>4329</v>
      </c>
    </row>
    <row r="3311" spans="1:8" ht="15" customHeight="1" x14ac:dyDescent="0.25">
      <c r="A3311" t="s">
        <v>5553</v>
      </c>
      <c r="B3311" t="s">
        <v>9592</v>
      </c>
      <c r="C3311" t="s">
        <v>12649</v>
      </c>
      <c r="D3311" t="s">
        <v>13287</v>
      </c>
      <c r="E3311" t="str">
        <f>+VLOOKUP(A3311,[1]PFE4!$A$7:$F$5208,6,0)</f>
        <v>CARRERA 92  25  40</v>
      </c>
      <c r="F3311" s="17">
        <f>+VLOOKUP(A3311,[1]PFE4!$A$7:$G$5208,7,0)</f>
        <v>11001</v>
      </c>
      <c r="G3311">
        <v>46582352</v>
      </c>
      <c r="H3311">
        <v>4329</v>
      </c>
    </row>
    <row r="3312" spans="1:8" ht="15" customHeight="1" x14ac:dyDescent="0.25">
      <c r="A3312" t="s">
        <v>5554</v>
      </c>
      <c r="B3312" t="s">
        <v>9593</v>
      </c>
      <c r="C3312" t="s">
        <v>12737</v>
      </c>
      <c r="D3312" t="s">
        <v>13287</v>
      </c>
      <c r="E3312" t="str">
        <f>+VLOOKUP(A3312,[1]PFE4!$A$7:$F$5208,6,0)</f>
        <v>CARRERA 22 # 10 - 115</v>
      </c>
      <c r="F3312" s="17">
        <f>+VLOOKUP(A3312,[1]PFE4!$A$7:$G$5208,7,0)</f>
        <v>76364</v>
      </c>
      <c r="G3312">
        <v>46614032</v>
      </c>
      <c r="H3312">
        <v>4329</v>
      </c>
    </row>
    <row r="3313" spans="1:8" ht="15" customHeight="1" x14ac:dyDescent="0.25">
      <c r="A3313" t="s">
        <v>5555</v>
      </c>
      <c r="B3313" t="s">
        <v>9594</v>
      </c>
      <c r="C3313" t="s">
        <v>12821</v>
      </c>
      <c r="D3313" t="s">
        <v>13287</v>
      </c>
      <c r="E3313" t="str">
        <f>+VLOOKUP(A3313,[1]PFE4!$A$7:$F$5208,6,0)</f>
        <v>km 17 via cienega</v>
      </c>
      <c r="F3313" s="17">
        <f>+VLOOKUP(A3313,[1]PFE4!$A$7:$G$5208,7,0)</f>
        <v>11001</v>
      </c>
      <c r="G3313">
        <v>46661873</v>
      </c>
      <c r="H3313">
        <v>4329</v>
      </c>
    </row>
    <row r="3314" spans="1:8" ht="15" customHeight="1" x14ac:dyDescent="0.25">
      <c r="A3314" t="s">
        <v>5556</v>
      </c>
      <c r="B3314" t="s">
        <v>9595</v>
      </c>
      <c r="C3314" t="s">
        <v>12822</v>
      </c>
      <c r="D3314" t="s">
        <v>13287</v>
      </c>
      <c r="E3314" t="str">
        <f>+VLOOKUP(A3314,[1]PFE4!$A$7:$F$5208,6,0)</f>
        <v>CARRERA 9  28  103</v>
      </c>
      <c r="F3314" s="17">
        <f>+VLOOKUP(A3314,[1]PFE4!$A$7:$G$5208,7,0)</f>
        <v>11001</v>
      </c>
      <c r="G3314">
        <v>46742928</v>
      </c>
      <c r="H3314">
        <v>4329</v>
      </c>
    </row>
    <row r="3315" spans="1:8" ht="15" customHeight="1" x14ac:dyDescent="0.25">
      <c r="A3315" t="s">
        <v>5557</v>
      </c>
      <c r="B3315" t="s">
        <v>9596</v>
      </c>
      <c r="C3315">
        <v>3219664011</v>
      </c>
      <c r="D3315" t="s">
        <v>13287</v>
      </c>
      <c r="E3315" t="str">
        <f>+VLOOKUP(A3315,[1]PFE4!$A$7:$F$5208,6,0)</f>
        <v>CALLE 14 19-93</v>
      </c>
      <c r="F3315" s="17">
        <f>+VLOOKUP(A3315,[1]PFE4!$A$7:$G$5208,7,0)</f>
        <v>11001</v>
      </c>
      <c r="G3315">
        <v>46752104</v>
      </c>
      <c r="H3315">
        <v>4329</v>
      </c>
    </row>
    <row r="3316" spans="1:8" ht="15" customHeight="1" x14ac:dyDescent="0.25">
      <c r="A3316" t="s">
        <v>5558</v>
      </c>
      <c r="B3316" t="s">
        <v>9597</v>
      </c>
      <c r="C3316" t="s">
        <v>12823</v>
      </c>
      <c r="D3316" t="s">
        <v>13287</v>
      </c>
      <c r="E3316" t="str">
        <f>+VLOOKUP(A3316,[1]PFE4!$A$7:$F$5208,6,0)</f>
        <v>CALLE 32 B SUR  47  51</v>
      </c>
      <c r="F3316" s="17" t="str">
        <f>+VLOOKUP(A3316,[1]PFE4!$A$7:$G$5208,7,0)</f>
        <v>05001</v>
      </c>
      <c r="G3316">
        <v>46838784</v>
      </c>
      <c r="H3316">
        <v>4329</v>
      </c>
    </row>
    <row r="3317" spans="1:8" ht="15" customHeight="1" x14ac:dyDescent="0.25">
      <c r="A3317" t="s">
        <v>5559</v>
      </c>
      <c r="B3317" t="s">
        <v>9598</v>
      </c>
      <c r="C3317">
        <v>3219664011</v>
      </c>
      <c r="D3317" t="s">
        <v>13287</v>
      </c>
      <c r="E3317" t="str">
        <f>+VLOOKUP(A3317,[1]PFE4!$A$7:$F$5208,6,0)</f>
        <v>CARRERA 43 A  34  95 LOCAL 283</v>
      </c>
      <c r="F3317" s="17" t="str">
        <f>+VLOOKUP(A3317,[1]PFE4!$A$7:$G$5208,7,0)</f>
        <v>05001</v>
      </c>
      <c r="G3317">
        <v>46846529</v>
      </c>
      <c r="H3317">
        <v>4329</v>
      </c>
    </row>
    <row r="3318" spans="1:8" ht="15" customHeight="1" x14ac:dyDescent="0.25">
      <c r="A3318" t="s">
        <v>5560</v>
      </c>
      <c r="B3318" t="s">
        <v>9599</v>
      </c>
      <c r="C3318" t="s">
        <v>11875</v>
      </c>
      <c r="D3318" t="s">
        <v>13287</v>
      </c>
      <c r="E3318" t="str">
        <f>+VLOOKUP(A3318,[1]PFE4!$A$7:$F$5208,6,0)</f>
        <v>CARRERA 13 B  12  63</v>
      </c>
      <c r="F3318" s="17">
        <f>+VLOOKUP(A3318,[1]PFE4!$A$7:$G$5208,7,0)</f>
        <v>11001</v>
      </c>
      <c r="G3318">
        <v>46861982</v>
      </c>
      <c r="H3318">
        <v>4329</v>
      </c>
    </row>
    <row r="3319" spans="1:8" ht="15" customHeight="1" x14ac:dyDescent="0.25">
      <c r="A3319" t="s">
        <v>5561</v>
      </c>
      <c r="B3319" t="s">
        <v>9600</v>
      </c>
      <c r="C3319" t="s">
        <v>10389</v>
      </c>
      <c r="D3319" t="s">
        <v>13287</v>
      </c>
      <c r="E3319" t="str">
        <f>+VLOOKUP(A3319,[1]PFE4!$A$7:$F$5208,6,0)</f>
        <v>CL 85 25 110</v>
      </c>
      <c r="F3319" s="17">
        <f>+VLOOKUP(A3319,[1]PFE4!$A$7:$G$5208,7,0)</f>
        <v>17001</v>
      </c>
      <c r="G3319">
        <v>46880672</v>
      </c>
      <c r="H3319">
        <v>4329</v>
      </c>
    </row>
    <row r="3320" spans="1:8" ht="15" customHeight="1" x14ac:dyDescent="0.25">
      <c r="A3320" t="s">
        <v>5562</v>
      </c>
      <c r="B3320" t="s">
        <v>9601</v>
      </c>
      <c r="C3320" t="s">
        <v>12824</v>
      </c>
      <c r="D3320" t="s">
        <v>13287</v>
      </c>
      <c r="E3320" t="str">
        <f>+VLOOKUP(A3320,[1]PFE4!$A$7:$F$5208,6,0)</f>
        <v>CALLE 97 70 90</v>
      </c>
      <c r="F3320" s="17">
        <f>+VLOOKUP(A3320,[1]PFE4!$A$7:$G$5208,7,0)</f>
        <v>11001</v>
      </c>
      <c r="G3320">
        <v>46947302</v>
      </c>
      <c r="H3320">
        <v>4329</v>
      </c>
    </row>
    <row r="3321" spans="1:8" ht="15" customHeight="1" x14ac:dyDescent="0.25">
      <c r="A3321" t="s">
        <v>5563</v>
      </c>
      <c r="B3321" t="s">
        <v>9602</v>
      </c>
      <c r="C3321" t="s">
        <v>12825</v>
      </c>
      <c r="D3321" t="s">
        <v>13287</v>
      </c>
      <c r="E3321" t="str">
        <f>+VLOOKUP(A3321,[1]PFE4!$A$7:$F$5208,6,0)</f>
        <v>Avenida 26 # 52 81</v>
      </c>
      <c r="F3321" s="17" t="str">
        <f>+VLOOKUP(A3321,[1]PFE4!$A$7:$G$5208,7,0)</f>
        <v>05088</v>
      </c>
      <c r="G3321">
        <v>47079950</v>
      </c>
      <c r="H3321">
        <v>4329</v>
      </c>
    </row>
    <row r="3322" spans="1:8" ht="15" customHeight="1" x14ac:dyDescent="0.25">
      <c r="A3322" t="s">
        <v>5564</v>
      </c>
      <c r="B3322" t="s">
        <v>9603</v>
      </c>
      <c r="C3322" t="s">
        <v>12826</v>
      </c>
      <c r="D3322" t="s">
        <v>13287</v>
      </c>
      <c r="E3322" t="str">
        <f>+VLOOKUP(A3322,[1]PFE4!$A$7:$F$5208,6,0)</f>
        <v>CALLE 22 B  56  63</v>
      </c>
      <c r="F3322" s="17">
        <f>+VLOOKUP(A3322,[1]PFE4!$A$7:$G$5208,7,0)</f>
        <v>11001</v>
      </c>
      <c r="G3322">
        <v>47162731</v>
      </c>
      <c r="H3322">
        <v>4329</v>
      </c>
    </row>
    <row r="3323" spans="1:8" ht="15" customHeight="1" x14ac:dyDescent="0.25">
      <c r="A3323" t="s">
        <v>5565</v>
      </c>
      <c r="B3323" t="s">
        <v>9604</v>
      </c>
      <c r="C3323">
        <v>0</v>
      </c>
      <c r="D3323" t="s">
        <v>13287</v>
      </c>
      <c r="E3323">
        <v>0</v>
      </c>
      <c r="F3323" s="17">
        <v>11001</v>
      </c>
      <c r="G3323">
        <v>47352000</v>
      </c>
      <c r="H3323">
        <v>4329</v>
      </c>
    </row>
    <row r="3324" spans="1:8" ht="15" customHeight="1" x14ac:dyDescent="0.25">
      <c r="A3324" t="s">
        <v>5566</v>
      </c>
      <c r="B3324" t="s">
        <v>9605</v>
      </c>
      <c r="C3324" t="s">
        <v>12187</v>
      </c>
      <c r="D3324" t="s">
        <v>13287</v>
      </c>
      <c r="E3324" t="str">
        <f>+VLOOKUP(A3324,[1]PFE4!$A$7:$F$5208,6,0)</f>
        <v>TV 60 114 A 50</v>
      </c>
      <c r="F3324" s="17">
        <f>+VLOOKUP(A3324,[1]PFE4!$A$7:$G$5208,7,0)</f>
        <v>11001</v>
      </c>
      <c r="G3324">
        <v>47354580</v>
      </c>
      <c r="H3324">
        <v>4329</v>
      </c>
    </row>
    <row r="3325" spans="1:8" ht="15" customHeight="1" x14ac:dyDescent="0.25">
      <c r="A3325" t="s">
        <v>5567</v>
      </c>
      <c r="B3325" t="s">
        <v>9606</v>
      </c>
      <c r="C3325" t="s">
        <v>11875</v>
      </c>
      <c r="D3325" t="s">
        <v>13287</v>
      </c>
      <c r="E3325" t="str">
        <f>+VLOOKUP(A3325,[1]PFE4!$A$7:$F$5208,6,0)</f>
        <v>CALLE 78B N°116B-50</v>
      </c>
      <c r="F3325" s="17">
        <f>+VLOOKUP(A3325,[1]PFE4!$A$7:$G$5208,7,0)</f>
        <v>11001</v>
      </c>
      <c r="G3325">
        <v>47379700</v>
      </c>
      <c r="H3325">
        <v>4329</v>
      </c>
    </row>
    <row r="3326" spans="1:8" ht="15" customHeight="1" x14ac:dyDescent="0.25">
      <c r="A3326" t="s">
        <v>5568</v>
      </c>
      <c r="B3326" t="s">
        <v>9607</v>
      </c>
      <c r="C3326" t="s">
        <v>11982</v>
      </c>
      <c r="D3326" t="s">
        <v>13287</v>
      </c>
      <c r="E3326" t="str">
        <f>+VLOOKUP(A3326,[1]PFE4!$A$7:$F$5208,6,0)</f>
        <v>CARRERA 41 CON CALLE 57 SUR SABANETA</v>
      </c>
      <c r="F3326" s="17" t="str">
        <f>+VLOOKUP(A3326,[1]PFE4!$A$7:$G$5208,7,0)</f>
        <v>05631</v>
      </c>
      <c r="G3326">
        <v>47424280</v>
      </c>
      <c r="H3326">
        <v>4329</v>
      </c>
    </row>
    <row r="3327" spans="1:8" ht="15" customHeight="1" x14ac:dyDescent="0.25">
      <c r="A3327" t="s">
        <v>5569</v>
      </c>
      <c r="B3327" t="s">
        <v>9608</v>
      </c>
      <c r="C3327" t="s">
        <v>12827</v>
      </c>
      <c r="D3327" t="s">
        <v>13287</v>
      </c>
      <c r="E3327" t="str">
        <f>+VLOOKUP(A3327,[1]PFE4!$A$7:$F$5208,6,0)</f>
        <v>CL 126 A 7 C 87 P 5 OF 504</v>
      </c>
      <c r="F3327" s="17">
        <f>+VLOOKUP(A3327,[1]PFE4!$A$7:$G$5208,7,0)</f>
        <v>11001</v>
      </c>
      <c r="G3327">
        <v>47446280</v>
      </c>
      <c r="H3327">
        <v>4329</v>
      </c>
    </row>
    <row r="3328" spans="1:8" ht="15" customHeight="1" x14ac:dyDescent="0.25">
      <c r="A3328" t="s">
        <v>5570</v>
      </c>
      <c r="B3328" t="s">
        <v>9609</v>
      </c>
      <c r="C3328" t="s">
        <v>12828</v>
      </c>
      <c r="D3328" t="s">
        <v>13287</v>
      </c>
      <c r="E3328" t="str">
        <f>+VLOOKUP(A3328,[1]PFE4!$A$7:$F$5208,6,0)</f>
        <v>CARRERA 23  75 A  140</v>
      </c>
      <c r="F3328" s="17">
        <f>+VLOOKUP(A3328,[1]PFE4!$A$7:$G$5208,7,0)</f>
        <v>17001</v>
      </c>
      <c r="G3328">
        <v>47447064</v>
      </c>
      <c r="H3328">
        <v>4329</v>
      </c>
    </row>
    <row r="3329" spans="1:8" ht="15" customHeight="1" x14ac:dyDescent="0.25">
      <c r="A3329" t="s">
        <v>5571</v>
      </c>
      <c r="B3329" t="s">
        <v>9610</v>
      </c>
      <c r="C3329" t="s">
        <v>12829</v>
      </c>
      <c r="D3329" t="s">
        <v>13287</v>
      </c>
      <c r="E3329" t="str">
        <f>+VLOOKUP(A3329,[1]PFE4!$A$7:$F$5208,6,0)</f>
        <v>AVENIDA 10  15  51</v>
      </c>
      <c r="F3329" s="17">
        <f>+VLOOKUP(A3329,[1]PFE4!$A$7:$G$5208,7,0)</f>
        <v>68547</v>
      </c>
      <c r="G3329">
        <v>47512850</v>
      </c>
      <c r="H3329">
        <v>4329</v>
      </c>
    </row>
    <row r="3330" spans="1:8" ht="15" customHeight="1" x14ac:dyDescent="0.25">
      <c r="A3330" t="s">
        <v>5572</v>
      </c>
      <c r="B3330" t="s">
        <v>9611</v>
      </c>
      <c r="C3330" t="s">
        <v>12830</v>
      </c>
      <c r="D3330" t="s">
        <v>13287</v>
      </c>
      <c r="E3330" t="str">
        <f>+VLOOKUP(A3330,[1]PFE4!$A$7:$F$5208,6,0)</f>
        <v>VDA CANELON DELMUNICIPIO DE CAJICA</v>
      </c>
      <c r="F3330" s="17">
        <f>+VLOOKUP(A3330,[1]PFE4!$A$7:$G$5208,7,0)</f>
        <v>25126</v>
      </c>
      <c r="G3330">
        <v>47599434</v>
      </c>
      <c r="H3330">
        <v>4329</v>
      </c>
    </row>
    <row r="3331" spans="1:8" ht="15" customHeight="1" x14ac:dyDescent="0.25">
      <c r="A3331" t="s">
        <v>5573</v>
      </c>
      <c r="B3331" t="s">
        <v>9612</v>
      </c>
      <c r="C3331" t="s">
        <v>12831</v>
      </c>
      <c r="D3331" t="s">
        <v>13287</v>
      </c>
      <c r="E3331" t="str">
        <f>+VLOOKUP(A3331,[1]PFE4!$A$7:$F$5208,6,0)</f>
        <v>CL 67 7 21 CL 67 7 45 CR 7 65 A 42 CR 7 A 65 A 40</v>
      </c>
      <c r="F3331" s="17">
        <f>+VLOOKUP(A3331,[1]PFE4!$A$7:$G$5208,7,0)</f>
        <v>11001</v>
      </c>
      <c r="G3331">
        <v>47660575</v>
      </c>
      <c r="H3331">
        <v>4329</v>
      </c>
    </row>
    <row r="3332" spans="1:8" ht="15" customHeight="1" x14ac:dyDescent="0.25">
      <c r="A3332" t="s">
        <v>5574</v>
      </c>
      <c r="B3332" t="s">
        <v>9613</v>
      </c>
      <c r="C3332" t="s">
        <v>12832</v>
      </c>
      <c r="D3332" t="s">
        <v>13287</v>
      </c>
      <c r="E3332" t="str">
        <f>+VLOOKUP(A3332,[1]PFE4!$A$7:$F$5208,6,0)</f>
        <v>CARRERA 50 A  174 B  03</v>
      </c>
      <c r="F3332" s="17">
        <f>+VLOOKUP(A3332,[1]PFE4!$A$7:$G$5208,7,0)</f>
        <v>11001</v>
      </c>
      <c r="G3332">
        <v>47876788</v>
      </c>
      <c r="H3332">
        <v>4329</v>
      </c>
    </row>
    <row r="3333" spans="1:8" ht="15" customHeight="1" x14ac:dyDescent="0.25">
      <c r="A3333" t="s">
        <v>5575</v>
      </c>
      <c r="B3333" t="s">
        <v>9614</v>
      </c>
      <c r="C3333" t="s">
        <v>12833</v>
      </c>
      <c r="D3333" t="s">
        <v>13287</v>
      </c>
      <c r="E3333" t="str">
        <f>+VLOOKUP(A3333,[1]PFE4!$A$7:$F$5208,6,0)</f>
        <v>CARRERA 13  138  41</v>
      </c>
      <c r="F3333" s="17">
        <f>+VLOOKUP(A3333,[1]PFE4!$A$7:$G$5208,7,0)</f>
        <v>11001</v>
      </c>
      <c r="G3333">
        <v>47909291</v>
      </c>
      <c r="H3333">
        <v>4329</v>
      </c>
    </row>
    <row r="3334" spans="1:8" ht="15" customHeight="1" x14ac:dyDescent="0.25">
      <c r="A3334" t="s">
        <v>5576</v>
      </c>
      <c r="B3334" t="s">
        <v>9615</v>
      </c>
      <c r="C3334" t="s">
        <v>12834</v>
      </c>
      <c r="D3334" t="s">
        <v>13287</v>
      </c>
      <c r="E3334" t="str">
        <f>+VLOOKUP(A3334,[1]PFE4!$A$7:$F$5208,6,0)</f>
        <v>CARRERA 46  63 A  12</v>
      </c>
      <c r="F3334" s="17" t="str">
        <f>+VLOOKUP(A3334,[1]PFE4!$A$7:$G$5208,7,0)</f>
        <v>05001</v>
      </c>
      <c r="G3334">
        <v>48011712</v>
      </c>
      <c r="H3334">
        <v>4329</v>
      </c>
    </row>
    <row r="3335" spans="1:8" ht="15" customHeight="1" x14ac:dyDescent="0.25">
      <c r="A3335" t="s">
        <v>5577</v>
      </c>
      <c r="B3335" t="s">
        <v>9616</v>
      </c>
      <c r="C3335" t="s">
        <v>11276</v>
      </c>
      <c r="D3335" t="s">
        <v>13287</v>
      </c>
      <c r="E3335" t="str">
        <f>+VLOOKUP(A3335,[1]PFE4!$A$7:$F$5208,6,0)</f>
        <v>CALLE 5  3 A  17</v>
      </c>
      <c r="F3335" s="17">
        <f>+VLOOKUP(A3335,[1]PFE4!$A$7:$G$5208,7,0)</f>
        <v>68276</v>
      </c>
      <c r="G3335">
        <v>48033124</v>
      </c>
      <c r="H3335">
        <v>4329</v>
      </c>
    </row>
    <row r="3336" spans="1:8" ht="15" customHeight="1" x14ac:dyDescent="0.25">
      <c r="A3336" t="s">
        <v>5578</v>
      </c>
      <c r="B3336" t="s">
        <v>9617</v>
      </c>
      <c r="C3336" t="s">
        <v>12835</v>
      </c>
      <c r="D3336" t="s">
        <v>13287</v>
      </c>
      <c r="E3336" t="str">
        <f>+VLOOKUP(A3336,[1]PFE4!$A$7:$F$5208,6,0)</f>
        <v>CARRERA 73 R  40 C  45 SUR</v>
      </c>
      <c r="F3336" s="17">
        <f>+VLOOKUP(A3336,[1]PFE4!$A$7:$G$5208,7,0)</f>
        <v>11001</v>
      </c>
      <c r="G3336">
        <v>48104539</v>
      </c>
      <c r="H3336">
        <v>4329</v>
      </c>
    </row>
    <row r="3337" spans="1:8" ht="15" customHeight="1" x14ac:dyDescent="0.25">
      <c r="A3337" t="s">
        <v>5579</v>
      </c>
      <c r="B3337" t="s">
        <v>9618</v>
      </c>
      <c r="C3337" t="s">
        <v>12836</v>
      </c>
      <c r="D3337" t="s">
        <v>13287</v>
      </c>
      <c r="E3337" t="str">
        <f>+VLOOKUP(A3337,[1]PFE4!$A$7:$F$5208,6,0)</f>
        <v>CALLE 152  58  50</v>
      </c>
      <c r="F3337" s="17">
        <f>+VLOOKUP(A3337,[1]PFE4!$A$7:$G$5208,7,0)</f>
        <v>11001</v>
      </c>
      <c r="G3337">
        <v>48163061</v>
      </c>
      <c r="H3337">
        <v>4329</v>
      </c>
    </row>
    <row r="3338" spans="1:8" ht="15" customHeight="1" x14ac:dyDescent="0.25">
      <c r="A3338" t="s">
        <v>5580</v>
      </c>
      <c r="B3338" t="s">
        <v>9619</v>
      </c>
      <c r="C3338">
        <v>3219664011</v>
      </c>
      <c r="D3338" t="s">
        <v>13287</v>
      </c>
      <c r="E3338" t="str">
        <f>+VLOOKUP(A3338,[1]PFE4!$A$7:$F$5208,6,0)</f>
        <v>CARRERA 87 CALLE 39 No. 127</v>
      </c>
      <c r="F3338" s="17" t="str">
        <f>+VLOOKUP(A3338,[1]PFE4!$A$7:$G$5208,7,0)</f>
        <v>05212</v>
      </c>
      <c r="G3338">
        <v>48231108</v>
      </c>
      <c r="H3338">
        <v>4329</v>
      </c>
    </row>
    <row r="3339" spans="1:8" ht="15" customHeight="1" x14ac:dyDescent="0.25">
      <c r="A3339" t="s">
        <v>5581</v>
      </c>
      <c r="B3339" t="s">
        <v>9620</v>
      </c>
      <c r="C3339" t="s">
        <v>12837</v>
      </c>
      <c r="D3339" t="s">
        <v>13287</v>
      </c>
      <c r="E3339" t="str">
        <f>+VLOOKUP(A3339,[1]PFE4!$A$7:$F$5208,6,0)</f>
        <v>Calle 99 No. 11A-32</v>
      </c>
      <c r="F3339" s="17" t="str">
        <f>+VLOOKUP(A3339,[1]PFE4!$A$7:$G$5208,7,0)</f>
        <v>05266</v>
      </c>
      <c r="G3339">
        <v>48247685</v>
      </c>
      <c r="H3339">
        <v>4329</v>
      </c>
    </row>
    <row r="3340" spans="1:8" ht="15" customHeight="1" x14ac:dyDescent="0.25">
      <c r="A3340" t="s">
        <v>5582</v>
      </c>
      <c r="B3340" t="s">
        <v>9621</v>
      </c>
      <c r="C3340" t="s">
        <v>12285</v>
      </c>
      <c r="D3340" t="s">
        <v>13287</v>
      </c>
      <c r="E3340" t="str">
        <f>+VLOOKUP(A3340,[1]PFE4!$A$7:$F$5208,6,0)</f>
        <v>CALLE 10  11  91</v>
      </c>
      <c r="F3340" s="17">
        <f>+VLOOKUP(A3340,[1]PFE4!$A$7:$G$5208,7,0)</f>
        <v>54498</v>
      </c>
      <c r="G3340">
        <v>48288272</v>
      </c>
      <c r="H3340">
        <v>4329</v>
      </c>
    </row>
    <row r="3341" spans="1:8" ht="15" customHeight="1" x14ac:dyDescent="0.25">
      <c r="A3341" t="s">
        <v>5583</v>
      </c>
      <c r="B3341" t="s">
        <v>9622</v>
      </c>
      <c r="C3341" t="s">
        <v>12838</v>
      </c>
      <c r="D3341" t="s">
        <v>13287</v>
      </c>
      <c r="E3341" t="str">
        <f>+VLOOKUP(A3341,[1]PFE4!$A$7:$F$5208,6,0)</f>
        <v>CARRERA 71  31  129  LOTE 7</v>
      </c>
      <c r="F3341" s="17">
        <f>+VLOOKUP(A3341,[1]PFE4!$A$7:$G$5208,7,0)</f>
        <v>11001</v>
      </c>
      <c r="G3341">
        <v>48354244</v>
      </c>
      <c r="H3341">
        <v>4329</v>
      </c>
    </row>
    <row r="3342" spans="1:8" ht="15" customHeight="1" x14ac:dyDescent="0.25">
      <c r="A3342" t="s">
        <v>5584</v>
      </c>
      <c r="B3342" t="s">
        <v>9623</v>
      </c>
      <c r="C3342" t="s">
        <v>11665</v>
      </c>
      <c r="D3342" t="s">
        <v>13287</v>
      </c>
      <c r="E3342" t="str">
        <f>+VLOOKUP(A3342,[1]PFE4!$A$7:$F$5208,6,0)</f>
        <v>CL 54 86C 66</v>
      </c>
      <c r="F3342" s="17" t="str">
        <f>+VLOOKUP(A3342,[1]PFE4!$A$7:$G$5208,7,0)</f>
        <v>05001</v>
      </c>
      <c r="G3342">
        <v>48459508</v>
      </c>
      <c r="H3342">
        <v>4329</v>
      </c>
    </row>
    <row r="3343" spans="1:8" ht="15" customHeight="1" x14ac:dyDescent="0.25">
      <c r="A3343" t="s">
        <v>5585</v>
      </c>
      <c r="B3343" t="s">
        <v>9624</v>
      </c>
      <c r="C3343" t="s">
        <v>12839</v>
      </c>
      <c r="D3343" t="s">
        <v>13287</v>
      </c>
      <c r="E3343" t="str">
        <f>+VLOOKUP(A3343,[1]PFE4!$A$7:$F$5208,6,0)</f>
        <v>CARRERA 23  1  175  PISO 2</v>
      </c>
      <c r="F3343" s="17" t="str">
        <f>+VLOOKUP(A3343,[1]PFE4!$A$7:$G$5208,7,0)</f>
        <v>08573</v>
      </c>
      <c r="G3343">
        <v>48722604</v>
      </c>
      <c r="H3343">
        <v>4329</v>
      </c>
    </row>
    <row r="3344" spans="1:8" ht="15" customHeight="1" x14ac:dyDescent="0.25">
      <c r="A3344" t="s">
        <v>5586</v>
      </c>
      <c r="B3344" t="s">
        <v>9625</v>
      </c>
      <c r="C3344" t="s">
        <v>12840</v>
      </c>
      <c r="D3344" t="s">
        <v>13287</v>
      </c>
      <c r="E3344" t="str">
        <f>+VLOOKUP(A3344,[1]PFE4!$A$7:$F$5208,6,0)</f>
        <v>CL 159 54 81</v>
      </c>
      <c r="F3344" s="17">
        <f>+VLOOKUP(A3344,[1]PFE4!$A$7:$G$5208,7,0)</f>
        <v>11001</v>
      </c>
      <c r="G3344">
        <v>48762016</v>
      </c>
      <c r="H3344">
        <v>4329</v>
      </c>
    </row>
    <row r="3345" spans="1:8" ht="15" customHeight="1" x14ac:dyDescent="0.25">
      <c r="A3345" t="s">
        <v>5587</v>
      </c>
      <c r="B3345" t="s">
        <v>9626</v>
      </c>
      <c r="C3345" t="s">
        <v>12841</v>
      </c>
      <c r="D3345" t="s">
        <v>13287</v>
      </c>
      <c r="E3345" t="str">
        <f>+VLOOKUP(A3345,[1]PFE4!$A$7:$F$5208,6,0)</f>
        <v>CARRERA 28 A  15  67</v>
      </c>
      <c r="F3345" s="17">
        <f>+VLOOKUP(A3345,[1]PFE4!$A$7:$G$5208,7,0)</f>
        <v>11001</v>
      </c>
      <c r="G3345">
        <v>48764873</v>
      </c>
      <c r="H3345">
        <v>4329</v>
      </c>
    </row>
    <row r="3346" spans="1:8" ht="15" customHeight="1" x14ac:dyDescent="0.25">
      <c r="A3346" t="s">
        <v>5588</v>
      </c>
      <c r="B3346" t="s">
        <v>9627</v>
      </c>
      <c r="C3346" t="s">
        <v>12842</v>
      </c>
      <c r="D3346" t="s">
        <v>13287</v>
      </c>
      <c r="E3346" t="str">
        <f>+VLOOKUP(A3346,[1]PFE4!$A$7:$F$5208,6,0)</f>
        <v>CLL 50 99 74</v>
      </c>
      <c r="F3346" s="17">
        <f>+VLOOKUP(A3346,[1]PFE4!$A$7:$G$5208,7,0)</f>
        <v>76001</v>
      </c>
      <c r="G3346">
        <v>48776565</v>
      </c>
      <c r="H3346">
        <v>4329</v>
      </c>
    </row>
    <row r="3347" spans="1:8" ht="15" customHeight="1" x14ac:dyDescent="0.25">
      <c r="A3347" t="s">
        <v>5589</v>
      </c>
      <c r="B3347" t="s">
        <v>9628</v>
      </c>
      <c r="C3347" t="s">
        <v>12843</v>
      </c>
      <c r="D3347" t="s">
        <v>13287</v>
      </c>
      <c r="E3347" t="str">
        <f>+VLOOKUP(A3347,[1]PFE4!$A$7:$F$5208,6,0)</f>
        <v>CALLE 180  12 A  16</v>
      </c>
      <c r="F3347" s="17">
        <f>+VLOOKUP(A3347,[1]PFE4!$A$7:$G$5208,7,0)</f>
        <v>11001</v>
      </c>
      <c r="G3347">
        <v>48965804</v>
      </c>
      <c r="H3347">
        <v>4329</v>
      </c>
    </row>
    <row r="3348" spans="1:8" ht="15" customHeight="1" x14ac:dyDescent="0.25">
      <c r="A3348" t="s">
        <v>5590</v>
      </c>
      <c r="B3348" t="s">
        <v>9629</v>
      </c>
      <c r="C3348">
        <v>0</v>
      </c>
      <c r="D3348" t="s">
        <v>13287</v>
      </c>
      <c r="E3348">
        <v>0</v>
      </c>
      <c r="F3348" s="17">
        <v>11001</v>
      </c>
      <c r="G3348">
        <v>48984000</v>
      </c>
      <c r="H3348">
        <v>4329</v>
      </c>
    </row>
    <row r="3349" spans="1:8" ht="15" customHeight="1" x14ac:dyDescent="0.25">
      <c r="A3349" t="s">
        <v>5591</v>
      </c>
      <c r="B3349" t="s">
        <v>9630</v>
      </c>
      <c r="C3349" t="s">
        <v>12844</v>
      </c>
      <c r="D3349" t="s">
        <v>13287</v>
      </c>
      <c r="E3349" t="str">
        <f>+VLOOKUP(A3349,[1]PFE4!$A$7:$F$5208,6,0)</f>
        <v>CARRERA 73  53  56</v>
      </c>
      <c r="F3349" s="17" t="str">
        <f>+VLOOKUP(A3349,[1]PFE4!$A$7:$G$5208,7,0)</f>
        <v>05001</v>
      </c>
      <c r="G3349">
        <v>49033380</v>
      </c>
      <c r="H3349">
        <v>4329</v>
      </c>
    </row>
    <row r="3350" spans="1:8" ht="15" customHeight="1" x14ac:dyDescent="0.25">
      <c r="A3350" t="s">
        <v>5592</v>
      </c>
      <c r="B3350" t="s">
        <v>9631</v>
      </c>
      <c r="C3350" t="s">
        <v>12845</v>
      </c>
      <c r="D3350" t="s">
        <v>13287</v>
      </c>
      <c r="E3350" t="str">
        <f>+VLOOKUP(A3350,[1]PFE4!$A$7:$F$5208,6,0)</f>
        <v>CL 16 19 B 56 BRR LA FLORES</v>
      </c>
      <c r="F3350" s="17">
        <f>+VLOOKUP(A3350,[1]PFE4!$A$7:$G$5208,7,0)</f>
        <v>11001</v>
      </c>
      <c r="G3350">
        <v>49068700</v>
      </c>
      <c r="H3350">
        <v>4329</v>
      </c>
    </row>
    <row r="3351" spans="1:8" ht="15" customHeight="1" x14ac:dyDescent="0.25">
      <c r="A3351" t="s">
        <v>5593</v>
      </c>
      <c r="B3351" t="s">
        <v>9632</v>
      </c>
      <c r="C3351" t="s">
        <v>11325</v>
      </c>
      <c r="D3351" t="s">
        <v>13287</v>
      </c>
      <c r="E3351" t="str">
        <f>+VLOOKUP(A3351,[1]PFE4!$A$7:$F$5208,6,0)</f>
        <v>CR 43 A 64 SUR 65</v>
      </c>
      <c r="F3351" s="17" t="str">
        <f>+VLOOKUP(A3351,[1]PFE4!$A$7:$G$5208,7,0)</f>
        <v>05631</v>
      </c>
      <c r="G3351">
        <v>49217760</v>
      </c>
      <c r="H3351">
        <v>4329</v>
      </c>
    </row>
    <row r="3352" spans="1:8" ht="15" customHeight="1" x14ac:dyDescent="0.25">
      <c r="A3352" t="s">
        <v>5594</v>
      </c>
      <c r="B3352" t="s">
        <v>9633</v>
      </c>
      <c r="C3352" t="s">
        <v>12548</v>
      </c>
      <c r="D3352" t="s">
        <v>13287</v>
      </c>
      <c r="E3352" t="str">
        <f>+VLOOKUP(A3352,[1]PFE4!$A$7:$F$5208,6,0)</f>
        <v>CR 83B 37C 59</v>
      </c>
      <c r="F3352" s="17">
        <f>+VLOOKUP(A3352,[1]PFE4!$A$7:$G$5208,7,0)</f>
        <v>11001</v>
      </c>
      <c r="G3352">
        <v>49331900</v>
      </c>
      <c r="H3352">
        <v>4329</v>
      </c>
    </row>
    <row r="3353" spans="1:8" ht="15" customHeight="1" x14ac:dyDescent="0.25">
      <c r="A3353" t="s">
        <v>5595</v>
      </c>
      <c r="B3353" t="s">
        <v>9634</v>
      </c>
      <c r="C3353" t="s">
        <v>12846</v>
      </c>
      <c r="D3353" t="s">
        <v>13287</v>
      </c>
      <c r="E3353" t="str">
        <f>+VLOOKUP(A3353,[1]PFE4!$A$7:$F$5208,6,0)</f>
        <v>CALLE 45 BIS  27  75</v>
      </c>
      <c r="F3353" s="17">
        <f>+VLOOKUP(A3353,[1]PFE4!$A$7:$G$5208,7,0)</f>
        <v>68001</v>
      </c>
      <c r="G3353">
        <v>49563961</v>
      </c>
      <c r="H3353">
        <v>4329</v>
      </c>
    </row>
    <row r="3354" spans="1:8" ht="15" customHeight="1" x14ac:dyDescent="0.25">
      <c r="A3354" t="s">
        <v>5596</v>
      </c>
      <c r="B3354" t="s">
        <v>9635</v>
      </c>
      <c r="C3354" t="s">
        <v>12847</v>
      </c>
      <c r="D3354" t="s">
        <v>13287</v>
      </c>
      <c r="E3354" t="str">
        <f>+VLOOKUP(A3354,[1]PFE4!$A$7:$F$5208,6,0)</f>
        <v>CALLE 125  21 A  70</v>
      </c>
      <c r="F3354" s="17">
        <f>+VLOOKUP(A3354,[1]PFE4!$A$7:$G$5208,7,0)</f>
        <v>11001</v>
      </c>
      <c r="G3354">
        <v>49568786</v>
      </c>
      <c r="H3354">
        <v>4329</v>
      </c>
    </row>
    <row r="3355" spans="1:8" ht="15" customHeight="1" x14ac:dyDescent="0.25">
      <c r="A3355" t="s">
        <v>5597</v>
      </c>
      <c r="B3355" t="s">
        <v>9636</v>
      </c>
      <c r="C3355" t="s">
        <v>12848</v>
      </c>
      <c r="D3355" t="s">
        <v>13287</v>
      </c>
      <c r="E3355" t="str">
        <f>+VLOOKUP(A3355,[1]PFE4!$A$7:$F$5208,6,0)</f>
        <v>CARRERA 13  1 NORTE  10</v>
      </c>
      <c r="F3355" s="17">
        <f>+VLOOKUP(A3355,[1]PFE4!$A$7:$G$5208,7,0)</f>
        <v>63001</v>
      </c>
      <c r="G3355">
        <v>49677395</v>
      </c>
      <c r="H3355">
        <v>4329</v>
      </c>
    </row>
    <row r="3356" spans="1:8" ht="15" customHeight="1" x14ac:dyDescent="0.25">
      <c r="A3356" t="s">
        <v>5598</v>
      </c>
      <c r="B3356" t="s">
        <v>9637</v>
      </c>
      <c r="C3356" t="s">
        <v>12849</v>
      </c>
      <c r="D3356" t="s">
        <v>13287</v>
      </c>
      <c r="E3356" t="str">
        <f>+VLOOKUP(A3356,[1]PFE4!$A$7:$F$5208,6,0)</f>
        <v>CL 31 1077 CL DE LA MAGDALENA</v>
      </c>
      <c r="F3356" s="17">
        <f>+VLOOKUP(A3356,[1]PFE4!$A$7:$G$5208,7,0)</f>
        <v>13001</v>
      </c>
      <c r="G3356">
        <v>49705866</v>
      </c>
      <c r="H3356">
        <v>4329</v>
      </c>
    </row>
    <row r="3357" spans="1:8" ht="15" customHeight="1" x14ac:dyDescent="0.25">
      <c r="A3357" t="s">
        <v>5599</v>
      </c>
      <c r="B3357" t="s">
        <v>9638</v>
      </c>
      <c r="C3357" t="s">
        <v>12850</v>
      </c>
      <c r="D3357" t="s">
        <v>13287</v>
      </c>
      <c r="E3357" t="str">
        <f>+VLOOKUP(A3357,[1]PFE4!$A$7:$F$5208,6,0)</f>
        <v>CARRERA 28  28  66  OFICINA 307</v>
      </c>
      <c r="F3357" s="17">
        <f>+VLOOKUP(A3357,[1]PFE4!$A$7:$G$5208,7,0)</f>
        <v>76248</v>
      </c>
      <c r="G3357">
        <v>49756400</v>
      </c>
      <c r="H3357">
        <v>4329</v>
      </c>
    </row>
    <row r="3358" spans="1:8" ht="15" customHeight="1" x14ac:dyDescent="0.25">
      <c r="A3358" t="s">
        <v>5600</v>
      </c>
      <c r="B3358" t="s">
        <v>9639</v>
      </c>
      <c r="C3358" t="s">
        <v>10866</v>
      </c>
      <c r="D3358" t="s">
        <v>13287</v>
      </c>
      <c r="E3358" t="str">
        <f>+VLOOKUP(A3358,[1]PFE4!$A$7:$F$5208,6,0)</f>
        <v>CALLE 34  6  61  APARTAMENTO 100</v>
      </c>
      <c r="F3358" s="17">
        <f>+VLOOKUP(A3358,[1]PFE4!$A$7:$G$5208,7,0)</f>
        <v>11001</v>
      </c>
      <c r="G3358">
        <v>49858040</v>
      </c>
      <c r="H3358">
        <v>4329</v>
      </c>
    </row>
    <row r="3359" spans="1:8" ht="15" customHeight="1" x14ac:dyDescent="0.25">
      <c r="A3359" t="s">
        <v>5601</v>
      </c>
      <c r="B3359" t="s">
        <v>9640</v>
      </c>
      <c r="C3359" t="s">
        <v>12851</v>
      </c>
      <c r="D3359" t="s">
        <v>13287</v>
      </c>
      <c r="E3359" t="str">
        <f>+VLOOKUP(A3359,[1]PFE4!$A$7:$F$5208,6,0)</f>
        <v>AVENIDA 6 D NORTE  38 N  201</v>
      </c>
      <c r="F3359" s="17">
        <f>+VLOOKUP(A3359,[1]PFE4!$A$7:$G$5208,7,0)</f>
        <v>11001</v>
      </c>
      <c r="G3359">
        <v>49859260</v>
      </c>
      <c r="H3359">
        <v>4329</v>
      </c>
    </row>
    <row r="3360" spans="1:8" ht="15" customHeight="1" x14ac:dyDescent="0.25">
      <c r="A3360" t="s">
        <v>5602</v>
      </c>
      <c r="B3360" t="s">
        <v>9641</v>
      </c>
      <c r="C3360">
        <v>0</v>
      </c>
      <c r="D3360" t="s">
        <v>13287</v>
      </c>
      <c r="E3360">
        <v>0</v>
      </c>
      <c r="F3360" s="17">
        <v>11001</v>
      </c>
      <c r="G3360">
        <v>49863800</v>
      </c>
      <c r="H3360">
        <v>4329</v>
      </c>
    </row>
    <row r="3361" spans="1:8" ht="15" customHeight="1" x14ac:dyDescent="0.25">
      <c r="A3361" t="s">
        <v>5603</v>
      </c>
      <c r="B3361" t="s">
        <v>9642</v>
      </c>
      <c r="C3361" t="s">
        <v>12852</v>
      </c>
      <c r="D3361" t="s">
        <v>13287</v>
      </c>
      <c r="E3361" t="str">
        <f>+VLOOKUP(A3361,[1]PFE4!$A$7:$F$5208,6,0)</f>
        <v>CL 38 CRA 5A - 106</v>
      </c>
      <c r="F3361" s="17">
        <f>+VLOOKUP(A3361,[1]PFE4!$A$7:$G$5208,7,0)</f>
        <v>11001</v>
      </c>
      <c r="G3361">
        <v>49908300</v>
      </c>
      <c r="H3361">
        <v>4329</v>
      </c>
    </row>
    <row r="3362" spans="1:8" ht="15" customHeight="1" x14ac:dyDescent="0.25">
      <c r="A3362" t="s">
        <v>5604</v>
      </c>
      <c r="B3362" t="s">
        <v>9643</v>
      </c>
      <c r="C3362" t="s">
        <v>12853</v>
      </c>
      <c r="D3362" t="s">
        <v>13287</v>
      </c>
      <c r="E3362" t="str">
        <f>+VLOOKUP(A3362,[1]PFE4!$A$7:$F$5208,6,0)</f>
        <v>CALLE 195  54  75</v>
      </c>
      <c r="F3362" s="17">
        <f>+VLOOKUP(A3362,[1]PFE4!$A$7:$G$5208,7,0)</f>
        <v>11001</v>
      </c>
      <c r="G3362">
        <v>49930079</v>
      </c>
      <c r="H3362">
        <v>4329</v>
      </c>
    </row>
    <row r="3363" spans="1:8" ht="15" customHeight="1" x14ac:dyDescent="0.25">
      <c r="A3363" t="s">
        <v>5605</v>
      </c>
      <c r="B3363" t="s">
        <v>9644</v>
      </c>
      <c r="C3363" t="s">
        <v>12854</v>
      </c>
      <c r="D3363" t="s">
        <v>13287</v>
      </c>
      <c r="E3363" t="str">
        <f>+VLOOKUP(A3363,[1]PFE4!$A$7:$F$5208,6,0)</f>
        <v>CALLE 200  13  36</v>
      </c>
      <c r="F3363" s="17">
        <f>+VLOOKUP(A3363,[1]PFE4!$A$7:$G$5208,7,0)</f>
        <v>68276</v>
      </c>
      <c r="G3363">
        <v>49960712</v>
      </c>
      <c r="H3363">
        <v>4329</v>
      </c>
    </row>
    <row r="3364" spans="1:8" ht="15" customHeight="1" x14ac:dyDescent="0.25">
      <c r="A3364" t="s">
        <v>5606</v>
      </c>
      <c r="B3364" t="s">
        <v>9645</v>
      </c>
      <c r="C3364" t="s">
        <v>12855</v>
      </c>
      <c r="D3364" t="s">
        <v>13287</v>
      </c>
      <c r="E3364" t="str">
        <f>+VLOOKUP(A3364,[1]PFE4!$A$7:$F$5208,6,0)</f>
        <v>CALLE 95  71  75</v>
      </c>
      <c r="F3364" s="17">
        <f>+VLOOKUP(A3364,[1]PFE4!$A$7:$G$5208,7,0)</f>
        <v>11001</v>
      </c>
      <c r="G3364">
        <v>50036972</v>
      </c>
      <c r="H3364">
        <v>4329</v>
      </c>
    </row>
    <row r="3365" spans="1:8" ht="15" customHeight="1" x14ac:dyDescent="0.25">
      <c r="A3365" t="s">
        <v>5607</v>
      </c>
      <c r="B3365" t="s">
        <v>9646</v>
      </c>
      <c r="C3365">
        <v>3219664011</v>
      </c>
      <c r="D3365" t="s">
        <v>13287</v>
      </c>
      <c r="E3365" t="str">
        <f>+VLOOKUP(A3365,[1]PFE4!$A$7:$F$5208,6,0)</f>
        <v>CALLE 83  58  19</v>
      </c>
      <c r="F3365" s="17" t="str">
        <f>+VLOOKUP(A3365,[1]PFE4!$A$7:$G$5208,7,0)</f>
        <v>05360</v>
      </c>
      <c r="G3365">
        <v>50150308</v>
      </c>
      <c r="H3365">
        <v>4329</v>
      </c>
    </row>
    <row r="3366" spans="1:8" ht="15" customHeight="1" x14ac:dyDescent="0.25">
      <c r="A3366" t="s">
        <v>5608</v>
      </c>
      <c r="B3366" t="s">
        <v>9647</v>
      </c>
      <c r="C3366" t="s">
        <v>12856</v>
      </c>
      <c r="D3366" t="s">
        <v>13287</v>
      </c>
      <c r="E3366" t="str">
        <f>+VLOOKUP(A3366,[1]PFE4!$A$7:$F$5208,6,0)</f>
        <v>AVENIDA LOS ESTUDIANTES No. 9-82</v>
      </c>
      <c r="F3366" s="17">
        <f>+VLOOKUP(A3366,[1]PFE4!$A$7:$G$5208,7,0)</f>
        <v>68001</v>
      </c>
      <c r="G3366">
        <v>50169674</v>
      </c>
      <c r="H3366">
        <v>4329</v>
      </c>
    </row>
    <row r="3367" spans="1:8" ht="15" customHeight="1" x14ac:dyDescent="0.25">
      <c r="A3367" t="s">
        <v>5609</v>
      </c>
      <c r="B3367" t="s">
        <v>9648</v>
      </c>
      <c r="C3367" t="s">
        <v>11755</v>
      </c>
      <c r="D3367" t="s">
        <v>13287</v>
      </c>
      <c r="E3367" t="str">
        <f>+VLOOKUP(A3367,[1]PFE4!$A$7:$F$5208,6,0)</f>
        <v>DG 5 9 75 URB URB ALAMEDA DEL ESTE</v>
      </c>
      <c r="F3367" s="17">
        <f>+VLOOKUP(A3367,[1]PFE4!$A$7:$G$5208,7,0)</f>
        <v>54001</v>
      </c>
      <c r="G3367">
        <v>50329494</v>
      </c>
      <c r="H3367">
        <v>4329</v>
      </c>
    </row>
    <row r="3368" spans="1:8" ht="15" customHeight="1" x14ac:dyDescent="0.25">
      <c r="A3368" t="s">
        <v>5610</v>
      </c>
      <c r="B3368" t="s">
        <v>9649</v>
      </c>
      <c r="C3368">
        <v>3219664011</v>
      </c>
      <c r="D3368" t="s">
        <v>13287</v>
      </c>
      <c r="E3368" t="str">
        <f>+VLOOKUP(A3368,[1]PFE4!$A$7:$F$5208,6,0)</f>
        <v>CALLE 24  39  03</v>
      </c>
      <c r="F3368" s="17" t="str">
        <f>+VLOOKUP(A3368,[1]PFE4!$A$7:$G$5208,7,0)</f>
        <v>05001</v>
      </c>
      <c r="G3368">
        <v>50357072</v>
      </c>
      <c r="H3368">
        <v>4329</v>
      </c>
    </row>
    <row r="3369" spans="1:8" ht="15" customHeight="1" x14ac:dyDescent="0.25">
      <c r="A3369" t="s">
        <v>5611</v>
      </c>
      <c r="B3369" t="s">
        <v>9650</v>
      </c>
      <c r="C3369" t="s">
        <v>11542</v>
      </c>
      <c r="D3369" t="s">
        <v>13287</v>
      </c>
      <c r="E3369" t="str">
        <f>+VLOOKUP(A3369,[1]PFE4!$A$7:$F$5208,6,0)</f>
        <v>CARRERA 1  69  99</v>
      </c>
      <c r="F3369" s="17">
        <f>+VLOOKUP(A3369,[1]PFE4!$A$7:$G$5208,7,0)</f>
        <v>11001</v>
      </c>
      <c r="G3369">
        <v>50413695</v>
      </c>
      <c r="H3369">
        <v>4329</v>
      </c>
    </row>
    <row r="3370" spans="1:8" ht="15" customHeight="1" x14ac:dyDescent="0.25">
      <c r="A3370" t="s">
        <v>5612</v>
      </c>
      <c r="B3370" t="s">
        <v>9651</v>
      </c>
      <c r="C3370">
        <v>3219664011</v>
      </c>
      <c r="D3370" t="s">
        <v>13287</v>
      </c>
      <c r="E3370" t="str">
        <f>+VLOOKUP(A3370,[1]PFE4!$A$7:$F$5208,6,0)</f>
        <v>Calle 13 57 50</v>
      </c>
      <c r="F3370" s="17">
        <f>+VLOOKUP(A3370,[1]PFE4!$A$7:$G$5208,7,0)</f>
        <v>11001</v>
      </c>
      <c r="G3370">
        <v>50542070</v>
      </c>
      <c r="H3370">
        <v>4329</v>
      </c>
    </row>
    <row r="3371" spans="1:8" ht="15" customHeight="1" x14ac:dyDescent="0.25">
      <c r="A3371" t="s">
        <v>5613</v>
      </c>
      <c r="B3371" t="s">
        <v>9652</v>
      </c>
      <c r="C3371" t="s">
        <v>12208</v>
      </c>
      <c r="D3371" t="s">
        <v>13287</v>
      </c>
      <c r="E3371" t="str">
        <f>+VLOOKUP(A3371,[1]PFE4!$A$7:$F$5208,6,0)</f>
        <v>CL 36 27 71 75 79</v>
      </c>
      <c r="F3371" s="17">
        <f>+VLOOKUP(A3371,[1]PFE4!$A$7:$G$5208,7,0)</f>
        <v>11001</v>
      </c>
      <c r="G3371">
        <v>50596336</v>
      </c>
      <c r="H3371">
        <v>4329</v>
      </c>
    </row>
    <row r="3372" spans="1:8" ht="15" customHeight="1" x14ac:dyDescent="0.25">
      <c r="A3372" t="s">
        <v>5614</v>
      </c>
      <c r="B3372" t="s">
        <v>9653</v>
      </c>
      <c r="C3372" t="s">
        <v>12857</v>
      </c>
      <c r="D3372" t="s">
        <v>13287</v>
      </c>
      <c r="E3372" t="str">
        <f>+VLOOKUP(A3372,[1]PFE4!$A$7:$F$5208,6,0)</f>
        <v>CR 77 SUR 46 180</v>
      </c>
      <c r="F3372" s="17" t="str">
        <f>+VLOOKUP(A3372,[1]PFE4!$A$7:$G$5208,7,0)</f>
        <v>05631</v>
      </c>
      <c r="G3372">
        <v>50628360</v>
      </c>
      <c r="H3372">
        <v>4329</v>
      </c>
    </row>
    <row r="3373" spans="1:8" ht="15" customHeight="1" x14ac:dyDescent="0.25">
      <c r="A3373" t="s">
        <v>5615</v>
      </c>
      <c r="B3373" t="s">
        <v>9654</v>
      </c>
      <c r="C3373" t="s">
        <v>11325</v>
      </c>
      <c r="D3373" t="s">
        <v>13287</v>
      </c>
      <c r="E3373" t="str">
        <f>+VLOOKUP(A3373,[1]PFE4!$A$7:$F$5208,6,0)</f>
        <v>CL 77 SUR 50A 195</v>
      </c>
      <c r="F3373" s="17" t="str">
        <f>+VLOOKUP(A3373,[1]PFE4!$A$7:$G$5208,7,0)</f>
        <v>05380</v>
      </c>
      <c r="G3373">
        <v>50651802</v>
      </c>
      <c r="H3373">
        <v>4329</v>
      </c>
    </row>
    <row r="3374" spans="1:8" ht="15" customHeight="1" x14ac:dyDescent="0.25">
      <c r="A3374" t="s">
        <v>5616</v>
      </c>
      <c r="B3374" t="s">
        <v>9655</v>
      </c>
      <c r="C3374" t="s">
        <v>12858</v>
      </c>
      <c r="D3374" t="s">
        <v>13287</v>
      </c>
      <c r="E3374" t="str">
        <f>+VLOOKUP(A3374,[1]PFE4!$A$7:$F$5208,6,0)</f>
        <v>CR 130 22 39</v>
      </c>
      <c r="F3374" s="17">
        <f>+VLOOKUP(A3374,[1]PFE4!$A$7:$G$5208,7,0)</f>
        <v>11001</v>
      </c>
      <c r="G3374">
        <v>50717384</v>
      </c>
      <c r="H3374">
        <v>4329</v>
      </c>
    </row>
    <row r="3375" spans="1:8" ht="15" customHeight="1" x14ac:dyDescent="0.25">
      <c r="A3375" t="s">
        <v>5617</v>
      </c>
      <c r="B3375" t="s">
        <v>9656</v>
      </c>
      <c r="C3375" t="s">
        <v>12661</v>
      </c>
      <c r="D3375" t="s">
        <v>13287</v>
      </c>
      <c r="E3375" t="str">
        <f>+VLOOKUP(A3375,[1]PFE4!$A$7:$F$5208,6,0)</f>
        <v>CR 99 65 265</v>
      </c>
      <c r="F3375" s="17" t="str">
        <f>+VLOOKUP(A3375,[1]PFE4!$A$7:$G$5208,7,0)</f>
        <v>05001</v>
      </c>
      <c r="G3375">
        <v>50870552</v>
      </c>
      <c r="H3375">
        <v>4329</v>
      </c>
    </row>
    <row r="3376" spans="1:8" ht="15" customHeight="1" x14ac:dyDescent="0.25">
      <c r="A3376" t="s">
        <v>5618</v>
      </c>
      <c r="B3376" t="s">
        <v>9657</v>
      </c>
      <c r="C3376" t="s">
        <v>12859</v>
      </c>
      <c r="D3376" t="s">
        <v>13287</v>
      </c>
      <c r="E3376" t="str">
        <f>+VLOOKUP(A3376,[1]PFE4!$A$7:$F$5208,6,0)</f>
        <v>CL 37  10  30 PALACIO AMARILLO</v>
      </c>
      <c r="F3376" s="17">
        <f>+VLOOKUP(A3376,[1]PFE4!$A$7:$G$5208,7,0)</f>
        <v>11001</v>
      </c>
      <c r="G3376">
        <v>50895740</v>
      </c>
      <c r="H3376">
        <v>4329</v>
      </c>
    </row>
    <row r="3377" spans="1:8" ht="15" customHeight="1" x14ac:dyDescent="0.25">
      <c r="A3377" t="s">
        <v>5619</v>
      </c>
      <c r="B3377" t="s">
        <v>9658</v>
      </c>
      <c r="C3377" t="s">
        <v>11754</v>
      </c>
      <c r="D3377" t="s">
        <v>13287</v>
      </c>
      <c r="E3377" t="str">
        <f>+VLOOKUP(A3377,[1]PFE4!$A$7:$F$5208,6,0)</f>
        <v>CARRERA 41 6 - 70</v>
      </c>
      <c r="F3377" s="17">
        <f>+VLOOKUP(A3377,[1]PFE4!$A$7:$G$5208,7,0)</f>
        <v>11001</v>
      </c>
      <c r="G3377">
        <v>50911920</v>
      </c>
      <c r="H3377">
        <v>4329</v>
      </c>
    </row>
    <row r="3378" spans="1:8" ht="15" customHeight="1" x14ac:dyDescent="0.25">
      <c r="A3378" t="s">
        <v>5620</v>
      </c>
      <c r="B3378" t="s">
        <v>9659</v>
      </c>
      <c r="C3378" t="s">
        <v>12860</v>
      </c>
      <c r="D3378" t="s">
        <v>13287</v>
      </c>
      <c r="E3378" t="str">
        <f>+VLOOKUP(A3378,[1]PFE4!$A$7:$F$5208,6,0)</f>
        <v>AK 80 8 C 85</v>
      </c>
      <c r="F3378" s="17">
        <f>+VLOOKUP(A3378,[1]PFE4!$A$7:$G$5208,7,0)</f>
        <v>11001</v>
      </c>
      <c r="G3378">
        <v>51094721</v>
      </c>
      <c r="H3378">
        <v>4329</v>
      </c>
    </row>
    <row r="3379" spans="1:8" ht="15" customHeight="1" x14ac:dyDescent="0.25">
      <c r="A3379" t="s">
        <v>5621</v>
      </c>
      <c r="B3379" t="s">
        <v>9660</v>
      </c>
      <c r="C3379" t="s">
        <v>12861</v>
      </c>
      <c r="D3379" t="s">
        <v>13287</v>
      </c>
      <c r="E3379" t="str">
        <f>+VLOOKUP(A3379,[1]PFE4!$A$7:$F$5208,6,0)</f>
        <v>CL FARALLONES BLV ALFAGUARA</v>
      </c>
      <c r="F3379" s="17">
        <f>+VLOOKUP(A3379,[1]PFE4!$A$7:$G$5208,7,0)</f>
        <v>11001</v>
      </c>
      <c r="G3379">
        <v>51138750</v>
      </c>
      <c r="H3379">
        <v>4329</v>
      </c>
    </row>
    <row r="3380" spans="1:8" ht="15" customHeight="1" x14ac:dyDescent="0.25">
      <c r="A3380" t="s">
        <v>5622</v>
      </c>
      <c r="B3380" t="s">
        <v>9661</v>
      </c>
      <c r="C3380" t="s">
        <v>12862</v>
      </c>
      <c r="D3380" t="s">
        <v>13287</v>
      </c>
      <c r="E3380" t="str">
        <f>+VLOOKUP(A3380,[1]PFE4!$A$7:$F$5208,6,0)</f>
        <v>CALLE 83  9  48</v>
      </c>
      <c r="F3380" s="17">
        <f>+VLOOKUP(A3380,[1]PFE4!$A$7:$G$5208,7,0)</f>
        <v>11001</v>
      </c>
      <c r="G3380">
        <v>51347452</v>
      </c>
      <c r="H3380">
        <v>4329</v>
      </c>
    </row>
    <row r="3381" spans="1:8" ht="15" customHeight="1" x14ac:dyDescent="0.25">
      <c r="A3381" t="s">
        <v>5623</v>
      </c>
      <c r="B3381" t="s">
        <v>9662</v>
      </c>
      <c r="C3381" t="s">
        <v>12389</v>
      </c>
      <c r="D3381" t="s">
        <v>13287</v>
      </c>
      <c r="E3381" t="str">
        <f>+VLOOKUP(A3381,[1]PFE4!$A$7:$F$5208,6,0)</f>
        <v>CARRERA 50 FF  8 SUR  27</v>
      </c>
      <c r="F3381" s="17" t="str">
        <f>+VLOOKUP(A3381,[1]PFE4!$A$7:$G$5208,7,0)</f>
        <v>05001</v>
      </c>
      <c r="G3381">
        <v>51379576</v>
      </c>
      <c r="H3381">
        <v>4329</v>
      </c>
    </row>
    <row r="3382" spans="1:8" ht="15" customHeight="1" x14ac:dyDescent="0.25">
      <c r="A3382" t="s">
        <v>5624</v>
      </c>
      <c r="B3382" t="s">
        <v>9663</v>
      </c>
      <c r="C3382" t="s">
        <v>12031</v>
      </c>
      <c r="D3382" t="s">
        <v>13287</v>
      </c>
      <c r="E3382" t="str">
        <f>+VLOOKUP(A3382,[1]PFE4!$A$7:$F$5208,6,0)</f>
        <v>CL 25  19 120</v>
      </c>
      <c r="F3382" s="17">
        <f>+VLOOKUP(A3382,[1]PFE4!$A$7:$G$5208,7,0)</f>
        <v>11001</v>
      </c>
      <c r="G3382">
        <v>51396932</v>
      </c>
      <c r="H3382">
        <v>4329</v>
      </c>
    </row>
    <row r="3383" spans="1:8" ht="15" customHeight="1" x14ac:dyDescent="0.25">
      <c r="A3383" t="s">
        <v>5625</v>
      </c>
      <c r="B3383" t="s">
        <v>9664</v>
      </c>
      <c r="C3383" t="s">
        <v>12863</v>
      </c>
      <c r="D3383" t="s">
        <v>13287</v>
      </c>
      <c r="E3383" t="str">
        <f>+VLOOKUP(A3383,[1]PFE4!$A$7:$F$5208,6,0)</f>
        <v>DIAGONAL 115 A  70 C  75</v>
      </c>
      <c r="F3383" s="17">
        <f>+VLOOKUP(A3383,[1]PFE4!$A$7:$G$5208,7,0)</f>
        <v>11001</v>
      </c>
      <c r="G3383">
        <v>51407517</v>
      </c>
      <c r="H3383">
        <v>4329</v>
      </c>
    </row>
    <row r="3384" spans="1:8" ht="15" customHeight="1" x14ac:dyDescent="0.25">
      <c r="A3384" t="s">
        <v>5626</v>
      </c>
      <c r="B3384" t="s">
        <v>9665</v>
      </c>
      <c r="C3384" t="s">
        <v>12864</v>
      </c>
      <c r="D3384" t="s">
        <v>13287</v>
      </c>
      <c r="E3384" t="str">
        <f>+VLOOKUP(A3384,[1]PFE4!$A$7:$F$5208,6,0)</f>
        <v>CALLE 97  70 C  49</v>
      </c>
      <c r="F3384" s="17">
        <f>+VLOOKUP(A3384,[1]PFE4!$A$7:$G$5208,7,0)</f>
        <v>11001</v>
      </c>
      <c r="G3384">
        <v>51531000</v>
      </c>
      <c r="H3384">
        <v>4329</v>
      </c>
    </row>
    <row r="3385" spans="1:8" ht="15" customHeight="1" x14ac:dyDescent="0.25">
      <c r="A3385" t="s">
        <v>5627</v>
      </c>
      <c r="B3385" t="s">
        <v>9666</v>
      </c>
      <c r="C3385" t="s">
        <v>12865</v>
      </c>
      <c r="D3385" t="s">
        <v>13287</v>
      </c>
      <c r="E3385" t="str">
        <f>+VLOOKUP(A3385,[1]PFE4!$A$7:$F$5208,6,0)</f>
        <v>CALLE 5 NORTE  6 A  116</v>
      </c>
      <c r="F3385" s="17">
        <f>+VLOOKUP(A3385,[1]PFE4!$A$7:$G$5208,7,0)</f>
        <v>19001</v>
      </c>
      <c r="G3385">
        <v>51534712</v>
      </c>
      <c r="H3385">
        <v>4329</v>
      </c>
    </row>
    <row r="3386" spans="1:8" ht="15" customHeight="1" x14ac:dyDescent="0.25">
      <c r="A3386" t="s">
        <v>5628</v>
      </c>
      <c r="B3386" t="s">
        <v>9667</v>
      </c>
      <c r="C3386" t="s">
        <v>12866</v>
      </c>
      <c r="D3386" t="s">
        <v>13287</v>
      </c>
      <c r="E3386" t="str">
        <f>+VLOOKUP(A3386,[1]PFE4!$A$7:$F$5208,6,0)</f>
        <v>CALLE 145  13 A  97</v>
      </c>
      <c r="F3386" s="17">
        <f>+VLOOKUP(A3386,[1]PFE4!$A$7:$G$5208,7,0)</f>
        <v>11001</v>
      </c>
      <c r="G3386">
        <v>51573463</v>
      </c>
      <c r="H3386">
        <v>4329</v>
      </c>
    </row>
    <row r="3387" spans="1:8" ht="15" customHeight="1" x14ac:dyDescent="0.25">
      <c r="A3387" t="s">
        <v>5629</v>
      </c>
      <c r="B3387" t="s">
        <v>9668</v>
      </c>
      <c r="C3387" t="s">
        <v>12867</v>
      </c>
      <c r="D3387" t="s">
        <v>13287</v>
      </c>
      <c r="E3387" t="str">
        <f>+VLOOKUP(A3387,[1]PFE4!$A$7:$F$5208,6,0)</f>
        <v>CL 58 NORTE 5 B 98</v>
      </c>
      <c r="F3387" s="17">
        <f>+VLOOKUP(A3387,[1]PFE4!$A$7:$G$5208,7,0)</f>
        <v>11001</v>
      </c>
      <c r="G3387">
        <v>51659869</v>
      </c>
      <c r="H3387">
        <v>4329</v>
      </c>
    </row>
    <row r="3388" spans="1:8" ht="15" customHeight="1" x14ac:dyDescent="0.25">
      <c r="A3388" t="s">
        <v>5630</v>
      </c>
      <c r="B3388" t="s">
        <v>9669</v>
      </c>
      <c r="C3388" t="s">
        <v>10613</v>
      </c>
      <c r="D3388" t="s">
        <v>13287</v>
      </c>
      <c r="E3388" t="str">
        <f>+VLOOKUP(A3388,[1]PFE4!$A$7:$F$5208,6,0)</f>
        <v>CL 28 100 36</v>
      </c>
      <c r="F3388" s="17">
        <f>+VLOOKUP(A3388,[1]PFE4!$A$7:$G$5208,7,0)</f>
        <v>76001</v>
      </c>
      <c r="G3388">
        <v>51675460</v>
      </c>
      <c r="H3388">
        <v>4329</v>
      </c>
    </row>
    <row r="3389" spans="1:8" ht="15" customHeight="1" x14ac:dyDescent="0.25">
      <c r="A3389" t="s">
        <v>5631</v>
      </c>
      <c r="B3389" t="s">
        <v>9670</v>
      </c>
      <c r="C3389" t="s">
        <v>12868</v>
      </c>
      <c r="D3389" t="s">
        <v>13287</v>
      </c>
      <c r="E3389" t="str">
        <f>+VLOOKUP(A3389,[1]PFE4!$A$7:$F$5208,6,0)</f>
        <v>CARRERA 50  27 C  01</v>
      </c>
      <c r="F3389" s="17">
        <f>+VLOOKUP(A3389,[1]PFE4!$A$7:$G$5208,7,0)</f>
        <v>11001</v>
      </c>
      <c r="G3389">
        <v>51831780</v>
      </c>
      <c r="H3389">
        <v>4329</v>
      </c>
    </row>
    <row r="3390" spans="1:8" ht="15" customHeight="1" x14ac:dyDescent="0.25">
      <c r="A3390" t="s">
        <v>5632</v>
      </c>
      <c r="B3390" t="s">
        <v>9671</v>
      </c>
      <c r="C3390" t="s">
        <v>12869</v>
      </c>
      <c r="D3390" t="s">
        <v>13287</v>
      </c>
      <c r="E3390" t="str">
        <f>+VLOOKUP(A3390,[1]PFE4!$A$7:$F$5208,6,0)</f>
        <v>BRR LA BOQUILLA VIA 90 A KM 4 FSOA SERENA DEL MAR CON ALTANA PROPIEDAD HORIZONTAL OF ADMINISTRACION</v>
      </c>
      <c r="F3390" s="17">
        <f>+VLOOKUP(A3390,[1]PFE4!$A$7:$G$5208,7,0)</f>
        <v>13001</v>
      </c>
      <c r="G3390">
        <v>51848303</v>
      </c>
      <c r="H3390">
        <v>4329</v>
      </c>
    </row>
    <row r="3391" spans="1:8" ht="15" customHeight="1" x14ac:dyDescent="0.25">
      <c r="A3391" t="s">
        <v>5633</v>
      </c>
      <c r="B3391" t="s">
        <v>9672</v>
      </c>
      <c r="C3391" t="s">
        <v>12870</v>
      </c>
      <c r="D3391" t="s">
        <v>13287</v>
      </c>
      <c r="E3391" t="str">
        <f>+VLOOKUP(A3391,[1]PFE4!$A$7:$F$5208,6,0)</f>
        <v>CALLE 6  114  170</v>
      </c>
      <c r="F3391" s="17">
        <f>+VLOOKUP(A3391,[1]PFE4!$A$7:$G$5208,7,0)</f>
        <v>11001</v>
      </c>
      <c r="G3391">
        <v>51848972</v>
      </c>
      <c r="H3391">
        <v>4329</v>
      </c>
    </row>
    <row r="3392" spans="1:8" ht="15" customHeight="1" x14ac:dyDescent="0.25">
      <c r="A3392" t="s">
        <v>5634</v>
      </c>
      <c r="B3392" t="s">
        <v>9673</v>
      </c>
      <c r="C3392" t="s">
        <v>12871</v>
      </c>
      <c r="D3392" t="s">
        <v>13287</v>
      </c>
      <c r="E3392" t="str">
        <f>+VLOOKUP(A3392,[1]PFE4!$A$7:$F$5208,6,0)</f>
        <v>CALLE 44  59  75</v>
      </c>
      <c r="F3392" s="17">
        <f>+VLOOKUP(A3392,[1]PFE4!$A$7:$G$5208,7,0)</f>
        <v>11001</v>
      </c>
      <c r="G3392">
        <v>51857203</v>
      </c>
      <c r="H3392">
        <v>4329</v>
      </c>
    </row>
    <row r="3393" spans="1:8" ht="15" customHeight="1" x14ac:dyDescent="0.25">
      <c r="A3393" t="s">
        <v>5635</v>
      </c>
      <c r="B3393" t="s">
        <v>9674</v>
      </c>
      <c r="C3393" t="s">
        <v>12872</v>
      </c>
      <c r="D3393" t="s">
        <v>13287</v>
      </c>
      <c r="E3393" t="str">
        <f>+VLOOKUP(A3393,[1]PFE4!$A$7:$F$5208,6,0)</f>
        <v>CALLE 34 C  88 B  66</v>
      </c>
      <c r="F3393" s="17" t="str">
        <f>+VLOOKUP(A3393,[1]PFE4!$A$7:$G$5208,7,0)</f>
        <v>05001</v>
      </c>
      <c r="G3393">
        <v>51904240</v>
      </c>
      <c r="H3393">
        <v>4329</v>
      </c>
    </row>
    <row r="3394" spans="1:8" ht="15" customHeight="1" x14ac:dyDescent="0.25">
      <c r="A3394" t="s">
        <v>5636</v>
      </c>
      <c r="B3394" t="s">
        <v>9675</v>
      </c>
      <c r="C3394" t="s">
        <v>11095</v>
      </c>
      <c r="D3394" t="s">
        <v>13287</v>
      </c>
      <c r="E3394" t="str">
        <f>+VLOOKUP(A3394,[1]PFE4!$A$7:$F$5208,6,0)</f>
        <v>CARRERA 39  77 SUR  84</v>
      </c>
      <c r="F3394" s="17" t="str">
        <f>+VLOOKUP(A3394,[1]PFE4!$A$7:$G$5208,7,0)</f>
        <v>05631</v>
      </c>
      <c r="G3394">
        <v>52005292</v>
      </c>
      <c r="H3394">
        <v>4329</v>
      </c>
    </row>
    <row r="3395" spans="1:8" ht="15" customHeight="1" x14ac:dyDescent="0.25">
      <c r="A3395" t="s">
        <v>5637</v>
      </c>
      <c r="B3395" t="s">
        <v>9676</v>
      </c>
      <c r="C3395" t="s">
        <v>12873</v>
      </c>
      <c r="D3395" t="s">
        <v>13287</v>
      </c>
      <c r="E3395" t="str">
        <f>+VLOOKUP(A3395,[1]PFE4!$A$7:$F$5208,6,0)</f>
        <v>CALLE 29 D  22  108</v>
      </c>
      <c r="F3395" s="17">
        <f>+VLOOKUP(A3395,[1]PFE4!$A$7:$G$5208,7,0)</f>
        <v>11001</v>
      </c>
      <c r="G3395">
        <v>52015565</v>
      </c>
      <c r="H3395">
        <v>4329</v>
      </c>
    </row>
    <row r="3396" spans="1:8" ht="15" customHeight="1" x14ac:dyDescent="0.25">
      <c r="A3396" t="s">
        <v>5638</v>
      </c>
      <c r="B3396" t="s">
        <v>9677</v>
      </c>
      <c r="C3396" t="s">
        <v>12874</v>
      </c>
      <c r="D3396" t="s">
        <v>13287</v>
      </c>
      <c r="E3396" t="str">
        <f>+VLOOKUP(A3396,[1]PFE4!$A$7:$F$5208,6,0)</f>
        <v>CL 98 65 54</v>
      </c>
      <c r="F3396" s="17" t="str">
        <f>+VLOOKUP(A3396,[1]PFE4!$A$7:$G$5208,7,0)</f>
        <v>08001</v>
      </c>
      <c r="G3396">
        <v>52171538</v>
      </c>
      <c r="H3396">
        <v>4329</v>
      </c>
    </row>
    <row r="3397" spans="1:8" ht="15" customHeight="1" x14ac:dyDescent="0.25">
      <c r="A3397" t="s">
        <v>5639</v>
      </c>
      <c r="B3397" t="s">
        <v>9678</v>
      </c>
      <c r="C3397" t="s">
        <v>12875</v>
      </c>
      <c r="D3397" t="s">
        <v>13287</v>
      </c>
      <c r="E3397" t="str">
        <f>+VLOOKUP(A3397,[1]PFE4!$A$7:$F$5208,6,0)</f>
        <v>CR 21 128 D 50</v>
      </c>
      <c r="F3397" s="17">
        <f>+VLOOKUP(A3397,[1]PFE4!$A$7:$G$5208,7,0)</f>
        <v>11001</v>
      </c>
      <c r="G3397">
        <v>52207755</v>
      </c>
      <c r="H3397">
        <v>4329</v>
      </c>
    </row>
    <row r="3398" spans="1:8" ht="15" customHeight="1" x14ac:dyDescent="0.25">
      <c r="A3398" t="s">
        <v>5640</v>
      </c>
      <c r="B3398" t="s">
        <v>9679</v>
      </c>
      <c r="C3398" t="s">
        <v>12876</v>
      </c>
      <c r="D3398" t="s">
        <v>13287</v>
      </c>
      <c r="E3398" t="str">
        <f>+VLOOKUP(A3398,[1]PFE4!$A$7:$F$5208,6,0)</f>
        <v>CARRERA 145  150  44</v>
      </c>
      <c r="F3398" s="17">
        <f>+VLOOKUP(A3398,[1]PFE4!$A$7:$G$5208,7,0)</f>
        <v>11001</v>
      </c>
      <c r="G3398">
        <v>52335963</v>
      </c>
      <c r="H3398">
        <v>4329</v>
      </c>
    </row>
    <row r="3399" spans="1:8" ht="15" customHeight="1" x14ac:dyDescent="0.25">
      <c r="A3399" t="s">
        <v>5641</v>
      </c>
      <c r="B3399" t="s">
        <v>9680</v>
      </c>
      <c r="C3399" t="s">
        <v>12877</v>
      </c>
      <c r="D3399" t="s">
        <v>13287</v>
      </c>
      <c r="E3399" t="str">
        <f>+VLOOKUP(A3399,[1]PFE4!$A$7:$F$5208,6,0)</f>
        <v>CALLE 40 A A  50 B B  33</v>
      </c>
      <c r="F3399" s="17" t="str">
        <f>+VLOOKUP(A3399,[1]PFE4!$A$7:$G$5208,7,0)</f>
        <v>05615</v>
      </c>
      <c r="G3399">
        <v>52450552</v>
      </c>
      <c r="H3399">
        <v>4329</v>
      </c>
    </row>
    <row r="3400" spans="1:8" ht="15" customHeight="1" x14ac:dyDescent="0.25">
      <c r="A3400" t="s">
        <v>5642</v>
      </c>
      <c r="B3400" t="s">
        <v>9681</v>
      </c>
      <c r="C3400" t="s">
        <v>12878</v>
      </c>
      <c r="D3400" t="s">
        <v>13287</v>
      </c>
      <c r="E3400" t="str">
        <f>+VLOOKUP(A3400,[1]PFE4!$A$7:$F$5208,6,0)</f>
        <v>CARRERA 98  48  30</v>
      </c>
      <c r="F3400" s="17">
        <f>+VLOOKUP(A3400,[1]PFE4!$A$7:$G$5208,7,0)</f>
        <v>76001</v>
      </c>
      <c r="G3400">
        <v>52496640</v>
      </c>
      <c r="H3400">
        <v>4329</v>
      </c>
    </row>
    <row r="3401" spans="1:8" ht="15" customHeight="1" x14ac:dyDescent="0.25">
      <c r="A3401" t="s">
        <v>5643</v>
      </c>
      <c r="B3401" t="s">
        <v>9682</v>
      </c>
      <c r="C3401" t="s">
        <v>12879</v>
      </c>
      <c r="D3401" t="s">
        <v>13287</v>
      </c>
      <c r="E3401" t="str">
        <f>+VLOOKUP(A3401,[1]PFE4!$A$7:$F$5208,6,0)</f>
        <v>CALLE 87 SUR  55  695</v>
      </c>
      <c r="F3401" s="17" t="str">
        <f>+VLOOKUP(A3401,[1]PFE4!$A$7:$G$5208,7,0)</f>
        <v>05380</v>
      </c>
      <c r="G3401">
        <v>52604317</v>
      </c>
      <c r="H3401">
        <v>4329</v>
      </c>
    </row>
    <row r="3402" spans="1:8" ht="15" customHeight="1" x14ac:dyDescent="0.25">
      <c r="A3402" t="s">
        <v>5644</v>
      </c>
      <c r="B3402" t="s">
        <v>9683</v>
      </c>
      <c r="C3402" t="s">
        <v>12880</v>
      </c>
      <c r="D3402" t="s">
        <v>13287</v>
      </c>
      <c r="E3402" t="str">
        <f>+VLOOKUP(A3402,[1]PFE4!$A$7:$F$5208,6,0)</f>
        <v>CARRERA 85 D  48  56</v>
      </c>
      <c r="F3402" s="17">
        <f>+VLOOKUP(A3402,[1]PFE4!$A$7:$G$5208,7,0)</f>
        <v>11001</v>
      </c>
      <c r="G3402">
        <v>52605580</v>
      </c>
      <c r="H3402">
        <v>4329</v>
      </c>
    </row>
    <row r="3403" spans="1:8" ht="15" customHeight="1" x14ac:dyDescent="0.25">
      <c r="A3403" t="s">
        <v>5645</v>
      </c>
      <c r="B3403" t="s">
        <v>9684</v>
      </c>
      <c r="C3403" t="s">
        <v>12881</v>
      </c>
      <c r="D3403" t="s">
        <v>13287</v>
      </c>
      <c r="E3403" t="str">
        <f>+VLOOKUP(A3403,[1]PFE4!$A$7:$F$5208,6,0)</f>
        <v>AVENIDA 15  100  11</v>
      </c>
      <c r="F3403" s="17">
        <f>+VLOOKUP(A3403,[1]PFE4!$A$7:$G$5208,7,0)</f>
        <v>11001</v>
      </c>
      <c r="G3403">
        <v>52611913</v>
      </c>
      <c r="H3403">
        <v>4329</v>
      </c>
    </row>
    <row r="3404" spans="1:8" ht="15" customHeight="1" x14ac:dyDescent="0.25">
      <c r="A3404" t="s">
        <v>5646</v>
      </c>
      <c r="B3404" t="s">
        <v>9685</v>
      </c>
      <c r="C3404" t="s">
        <v>12882</v>
      </c>
      <c r="D3404" t="s">
        <v>13287</v>
      </c>
      <c r="E3404" t="str">
        <f>+VLOOKUP(A3404,[1]PFE4!$A$7:$F$5208,6,0)</f>
        <v>DIAGONAL 36 31-118</v>
      </c>
      <c r="F3404" s="17">
        <f>+VLOOKUP(A3404,[1]PFE4!$A$7:$G$5208,7,0)</f>
        <v>68307</v>
      </c>
      <c r="G3404">
        <v>52653626</v>
      </c>
      <c r="H3404">
        <v>4329</v>
      </c>
    </row>
    <row r="3405" spans="1:8" ht="15" customHeight="1" x14ac:dyDescent="0.25">
      <c r="A3405" t="s">
        <v>5647</v>
      </c>
      <c r="B3405" t="s">
        <v>9686</v>
      </c>
      <c r="C3405" t="s">
        <v>12883</v>
      </c>
      <c r="D3405" t="s">
        <v>13287</v>
      </c>
      <c r="E3405" t="str">
        <f>+VLOOKUP(A3405,[1]PFE4!$A$7:$F$5208,6,0)</f>
        <v>CLL 119 6 A 47</v>
      </c>
      <c r="F3405" s="17">
        <f>+VLOOKUP(A3405,[1]PFE4!$A$7:$G$5208,7,0)</f>
        <v>11001</v>
      </c>
      <c r="G3405">
        <v>52790420</v>
      </c>
      <c r="H3405">
        <v>4329</v>
      </c>
    </row>
    <row r="3406" spans="1:8" ht="15" customHeight="1" x14ac:dyDescent="0.25">
      <c r="A3406" t="s">
        <v>5648</v>
      </c>
      <c r="B3406" t="s">
        <v>9687</v>
      </c>
      <c r="C3406" t="s">
        <v>12884</v>
      </c>
      <c r="D3406" t="s">
        <v>13287</v>
      </c>
      <c r="E3406" t="str">
        <f>+VLOOKUP(A3406,[1]PFE4!$A$7:$F$5208,6,0)</f>
        <v>CALLE 50  137 A SUR  55</v>
      </c>
      <c r="F3406" s="17" t="str">
        <f>+VLOOKUP(A3406,[1]PFE4!$A$7:$G$5208,7,0)</f>
        <v>05129</v>
      </c>
      <c r="G3406">
        <v>52990000</v>
      </c>
      <c r="H3406">
        <v>4329</v>
      </c>
    </row>
    <row r="3407" spans="1:8" ht="15" customHeight="1" x14ac:dyDescent="0.25">
      <c r="A3407" t="s">
        <v>5649</v>
      </c>
      <c r="B3407" t="s">
        <v>9688</v>
      </c>
      <c r="C3407" t="s">
        <v>12697</v>
      </c>
      <c r="D3407" t="s">
        <v>13287</v>
      </c>
      <c r="E3407" t="str">
        <f>+VLOOKUP(A3407,[1]PFE4!$A$7:$F$5208,6,0)</f>
        <v>CL 70 NORTE 2B 30</v>
      </c>
      <c r="F3407" s="17">
        <f>+VLOOKUP(A3407,[1]PFE4!$A$7:$G$5208,7,0)</f>
        <v>11001</v>
      </c>
      <c r="G3407">
        <v>53081892</v>
      </c>
      <c r="H3407">
        <v>4329</v>
      </c>
    </row>
    <row r="3408" spans="1:8" ht="15" customHeight="1" x14ac:dyDescent="0.25">
      <c r="A3408" t="s">
        <v>5650</v>
      </c>
      <c r="B3408" t="s">
        <v>9689</v>
      </c>
      <c r="C3408" t="s">
        <v>11911</v>
      </c>
      <c r="D3408" t="s">
        <v>13287</v>
      </c>
      <c r="E3408" t="str">
        <f>+VLOOKUP(A3408,[1]PFE4!$A$7:$F$5208,6,0)</f>
        <v>VEREDA VILACHAGUA LLANOGRANDE</v>
      </c>
      <c r="F3408" s="17" t="str">
        <f>+VLOOKUP(A3408,[1]PFE4!$A$7:$G$5208,7,0)</f>
        <v>05615</v>
      </c>
      <c r="G3408">
        <v>53298420</v>
      </c>
      <c r="H3408">
        <v>4329</v>
      </c>
    </row>
    <row r="3409" spans="1:8" ht="15" customHeight="1" x14ac:dyDescent="0.25">
      <c r="A3409" t="s">
        <v>5651</v>
      </c>
      <c r="B3409" t="s">
        <v>9690</v>
      </c>
      <c r="C3409">
        <v>3219664011</v>
      </c>
      <c r="D3409" t="s">
        <v>13287</v>
      </c>
      <c r="E3409" t="str">
        <f>+VLOOKUP(A3409,[1]PFE4!$A$7:$F$5208,6,0)</f>
        <v>LOTE SECTOR MARBELLA BRR EL CABRERO CR 4 46 C 29</v>
      </c>
      <c r="F3409" s="17">
        <f>+VLOOKUP(A3409,[1]PFE4!$A$7:$G$5208,7,0)</f>
        <v>13001</v>
      </c>
      <c r="G3409">
        <v>53478942</v>
      </c>
      <c r="H3409">
        <v>4329</v>
      </c>
    </row>
    <row r="3410" spans="1:8" ht="15" customHeight="1" x14ac:dyDescent="0.25">
      <c r="A3410" t="s">
        <v>5652</v>
      </c>
      <c r="B3410" t="s">
        <v>9691</v>
      </c>
      <c r="C3410" t="s">
        <v>12885</v>
      </c>
      <c r="D3410" t="s">
        <v>13287</v>
      </c>
      <c r="E3410" t="str">
        <f>+VLOOKUP(A3410,[1]PFE4!$A$7:$F$5208,6,0)</f>
        <v>AV 2 19 90</v>
      </c>
      <c r="F3410" s="17">
        <f>+VLOOKUP(A3410,[1]PFE4!$A$7:$G$5208,7,0)</f>
        <v>11001</v>
      </c>
      <c r="G3410">
        <v>53559420</v>
      </c>
      <c r="H3410">
        <v>4329</v>
      </c>
    </row>
    <row r="3411" spans="1:8" ht="15" customHeight="1" x14ac:dyDescent="0.25">
      <c r="A3411" t="s">
        <v>5653</v>
      </c>
      <c r="B3411" t="s">
        <v>9692</v>
      </c>
      <c r="C3411" t="s">
        <v>12886</v>
      </c>
      <c r="D3411" t="s">
        <v>13287</v>
      </c>
      <c r="E3411" t="str">
        <f>+VLOOKUP(A3411,[1]PFE4!$A$7:$F$5208,6,0)</f>
        <v>CALLE 10 A RTE  18  36</v>
      </c>
      <c r="F3411" s="17">
        <f>+VLOOKUP(A3411,[1]PFE4!$A$7:$G$5208,7,0)</f>
        <v>63001</v>
      </c>
      <c r="G3411">
        <v>53616360</v>
      </c>
      <c r="H3411">
        <v>4329</v>
      </c>
    </row>
    <row r="3412" spans="1:8" ht="15" customHeight="1" x14ac:dyDescent="0.25">
      <c r="A3412" t="s">
        <v>5654</v>
      </c>
      <c r="B3412" t="s">
        <v>9693</v>
      </c>
      <c r="C3412" t="s">
        <v>12887</v>
      </c>
      <c r="D3412" t="s">
        <v>13287</v>
      </c>
      <c r="E3412" t="str">
        <f>+VLOOKUP(A3412,[1]PFE4!$A$7:$F$5208,6,0)</f>
        <v>CALLE 48  39  57</v>
      </c>
      <c r="F3412" s="17" t="str">
        <f>+VLOOKUP(A3412,[1]PFE4!$A$7:$G$5208,7,0)</f>
        <v>05001</v>
      </c>
      <c r="G3412">
        <v>53641800</v>
      </c>
      <c r="H3412">
        <v>4329</v>
      </c>
    </row>
    <row r="3413" spans="1:8" ht="15" customHeight="1" x14ac:dyDescent="0.25">
      <c r="A3413" t="s">
        <v>5655</v>
      </c>
      <c r="B3413" t="s">
        <v>9694</v>
      </c>
      <c r="C3413" t="s">
        <v>12888</v>
      </c>
      <c r="D3413" t="s">
        <v>13287</v>
      </c>
      <c r="E3413" t="str">
        <f>+VLOOKUP(A3413,[1]PFE4!$A$7:$F$5208,6,0)</f>
        <v>CALLE 34  98 B  35</v>
      </c>
      <c r="F3413" s="17">
        <f>+VLOOKUP(A3413,[1]PFE4!$A$7:$G$5208,7,0)</f>
        <v>11001</v>
      </c>
      <c r="G3413">
        <v>53663885</v>
      </c>
      <c r="H3413">
        <v>4329</v>
      </c>
    </row>
    <row r="3414" spans="1:8" ht="15" customHeight="1" x14ac:dyDescent="0.25">
      <c r="A3414" t="s">
        <v>5656</v>
      </c>
      <c r="B3414" t="s">
        <v>9695</v>
      </c>
      <c r="C3414" t="s">
        <v>12889</v>
      </c>
      <c r="D3414" t="s">
        <v>13287</v>
      </c>
      <c r="E3414" t="str">
        <f>+VLOOKUP(A3414,[1]PFE4!$A$7:$F$5208,6,0)</f>
        <v>CALLE 46 F SUR  37  171</v>
      </c>
      <c r="F3414" s="17" t="str">
        <f>+VLOOKUP(A3414,[1]PFE4!$A$7:$G$5208,7,0)</f>
        <v>05266</v>
      </c>
      <c r="G3414">
        <v>53675727</v>
      </c>
      <c r="H3414">
        <v>4329</v>
      </c>
    </row>
    <row r="3415" spans="1:8" ht="15" customHeight="1" x14ac:dyDescent="0.25">
      <c r="A3415" t="s">
        <v>5657</v>
      </c>
      <c r="B3415" t="s">
        <v>9696</v>
      </c>
      <c r="C3415" t="s">
        <v>12890</v>
      </c>
      <c r="D3415" t="s">
        <v>13287</v>
      </c>
      <c r="E3415" t="str">
        <f>+VLOOKUP(A3415,[1]PFE4!$A$7:$F$5208,6,0)</f>
        <v>CALLE 146  58 B  22</v>
      </c>
      <c r="F3415" s="17">
        <f>+VLOOKUP(A3415,[1]PFE4!$A$7:$G$5208,7,0)</f>
        <v>11001</v>
      </c>
      <c r="G3415">
        <v>53677147</v>
      </c>
      <c r="H3415">
        <v>4329</v>
      </c>
    </row>
    <row r="3416" spans="1:8" ht="15" customHeight="1" x14ac:dyDescent="0.25">
      <c r="A3416" t="s">
        <v>5658</v>
      </c>
      <c r="B3416" t="s">
        <v>9697</v>
      </c>
      <c r="C3416" t="s">
        <v>12891</v>
      </c>
      <c r="D3416" t="s">
        <v>13287</v>
      </c>
      <c r="E3416" t="str">
        <f>+VLOOKUP(A3416,[1]PFE4!$A$7:$F$5208,6,0)</f>
        <v>CALLE 49 B SUR  9 A  94</v>
      </c>
      <c r="F3416" s="17">
        <f>+VLOOKUP(A3416,[1]PFE4!$A$7:$G$5208,7,0)</f>
        <v>11001</v>
      </c>
      <c r="G3416">
        <v>53783825</v>
      </c>
      <c r="H3416">
        <v>4329</v>
      </c>
    </row>
    <row r="3417" spans="1:8" ht="15" customHeight="1" x14ac:dyDescent="0.25">
      <c r="A3417" t="s">
        <v>5659</v>
      </c>
      <c r="B3417" t="s">
        <v>9698</v>
      </c>
      <c r="C3417" t="s">
        <v>12892</v>
      </c>
      <c r="D3417" t="s">
        <v>13287</v>
      </c>
      <c r="E3417" t="str">
        <f>+VLOOKUP(A3417,[1]PFE4!$A$7:$F$5208,6,0)</f>
        <v>AUTOPISTA MEDELLIN KM 3.5 VIA SIBERIA COTA</v>
      </c>
      <c r="F3417" s="17">
        <f>+VLOOKUP(A3417,[1]PFE4!$A$7:$G$5208,7,0)</f>
        <v>11001</v>
      </c>
      <c r="G3417">
        <v>53869419</v>
      </c>
      <c r="H3417">
        <v>4329</v>
      </c>
    </row>
    <row r="3418" spans="1:8" ht="15" customHeight="1" x14ac:dyDescent="0.25">
      <c r="A3418" t="s">
        <v>5660</v>
      </c>
      <c r="B3418" t="s">
        <v>9699</v>
      </c>
      <c r="C3418" t="s">
        <v>12768</v>
      </c>
      <c r="D3418" t="s">
        <v>13287</v>
      </c>
      <c r="E3418" t="str">
        <f>+VLOOKUP(A3418,[1]PFE4!$A$7:$F$5208,6,0)</f>
        <v>CARRERA 72 C N 22 D 27</v>
      </c>
      <c r="F3418" s="17">
        <f>+VLOOKUP(A3418,[1]PFE4!$A$7:$G$5208,7,0)</f>
        <v>11001</v>
      </c>
      <c r="G3418">
        <v>54140736</v>
      </c>
      <c r="H3418">
        <v>4329</v>
      </c>
    </row>
    <row r="3419" spans="1:8" ht="15" customHeight="1" x14ac:dyDescent="0.25">
      <c r="A3419" t="s">
        <v>5661</v>
      </c>
      <c r="B3419" t="s">
        <v>9700</v>
      </c>
      <c r="C3419" t="s">
        <v>12893</v>
      </c>
      <c r="D3419" t="s">
        <v>13287</v>
      </c>
      <c r="E3419" t="str">
        <f>+VLOOKUP(A3419,[1]PFE4!$A$7:$F$5208,6,0)</f>
        <v>CARRERA 41  57 SUR  53</v>
      </c>
      <c r="F3419" s="17" t="str">
        <f>+VLOOKUP(A3419,[1]PFE4!$A$7:$G$5208,7,0)</f>
        <v>05631</v>
      </c>
      <c r="G3419">
        <v>54158174</v>
      </c>
      <c r="H3419">
        <v>4329</v>
      </c>
    </row>
    <row r="3420" spans="1:8" ht="15" customHeight="1" x14ac:dyDescent="0.25">
      <c r="A3420" t="s">
        <v>5662</v>
      </c>
      <c r="B3420" t="s">
        <v>9701</v>
      </c>
      <c r="C3420" t="s">
        <v>12894</v>
      </c>
      <c r="D3420" t="s">
        <v>13287</v>
      </c>
      <c r="E3420" t="str">
        <f>+VLOOKUP(A3420,[1]PFE4!$A$7:$F$5208,6,0)</f>
        <v>AV CL 13 68 F 25</v>
      </c>
      <c r="F3420" s="17">
        <f>+VLOOKUP(A3420,[1]PFE4!$A$7:$G$5208,7,0)</f>
        <v>11001</v>
      </c>
      <c r="G3420">
        <v>54205240</v>
      </c>
      <c r="H3420">
        <v>4329</v>
      </c>
    </row>
    <row r="3421" spans="1:8" ht="15" customHeight="1" x14ac:dyDescent="0.25">
      <c r="A3421" t="s">
        <v>5663</v>
      </c>
      <c r="B3421" t="s">
        <v>9702</v>
      </c>
      <c r="C3421" t="s">
        <v>12895</v>
      </c>
      <c r="D3421" t="s">
        <v>13287</v>
      </c>
      <c r="E3421" t="str">
        <f>+VLOOKUP(A3421,[1]PFE4!$A$7:$F$5208,6,0)</f>
        <v>CARRERA 22 28 -38</v>
      </c>
      <c r="F3421" s="17">
        <f>+VLOOKUP(A3421,[1]PFE4!$A$7:$G$5208,7,0)</f>
        <v>11001</v>
      </c>
      <c r="G3421">
        <v>54228448</v>
      </c>
      <c r="H3421">
        <v>4329</v>
      </c>
    </row>
    <row r="3422" spans="1:8" ht="15" customHeight="1" x14ac:dyDescent="0.25">
      <c r="A3422" t="s">
        <v>5664</v>
      </c>
      <c r="B3422" t="s">
        <v>9703</v>
      </c>
      <c r="C3422" t="s">
        <v>12896</v>
      </c>
      <c r="D3422" t="s">
        <v>13287</v>
      </c>
      <c r="E3422" t="str">
        <f>+VLOOKUP(A3422,[1]PFE4!$A$7:$F$5208,6,0)</f>
        <v>CL 30 25 71</v>
      </c>
      <c r="F3422" s="17">
        <f>+VLOOKUP(A3422,[1]PFE4!$A$7:$G$5208,7,0)</f>
        <v>11001</v>
      </c>
      <c r="G3422">
        <v>54297800</v>
      </c>
      <c r="H3422">
        <v>4329</v>
      </c>
    </row>
    <row r="3423" spans="1:8" ht="15" customHeight="1" x14ac:dyDescent="0.25">
      <c r="A3423" t="s">
        <v>5665</v>
      </c>
      <c r="B3423" t="s">
        <v>9704</v>
      </c>
      <c r="C3423" t="s">
        <v>12897</v>
      </c>
      <c r="D3423" t="s">
        <v>13287</v>
      </c>
      <c r="E3423" t="str">
        <f>+VLOOKUP(A3423,[1]PFE4!$A$7:$F$5208,6,0)</f>
        <v>CALLE 151 C  107  79</v>
      </c>
      <c r="F3423" s="17">
        <f>+VLOOKUP(A3423,[1]PFE4!$A$7:$G$5208,7,0)</f>
        <v>11001</v>
      </c>
      <c r="G3423">
        <v>54422488</v>
      </c>
      <c r="H3423">
        <v>4329</v>
      </c>
    </row>
    <row r="3424" spans="1:8" ht="15" customHeight="1" x14ac:dyDescent="0.25">
      <c r="A3424" t="s">
        <v>5666</v>
      </c>
      <c r="B3424" t="s">
        <v>9705</v>
      </c>
      <c r="C3424" t="s">
        <v>11617</v>
      </c>
      <c r="D3424" t="s">
        <v>13287</v>
      </c>
      <c r="E3424" t="str">
        <f>+VLOOKUP(A3424,[1]PFE4!$A$7:$F$5208,6,0)</f>
        <v>CALLE 66  19 A  05</v>
      </c>
      <c r="F3424" s="17">
        <f>+VLOOKUP(A3424,[1]PFE4!$A$7:$G$5208,7,0)</f>
        <v>68081</v>
      </c>
      <c r="G3424">
        <v>54477116</v>
      </c>
      <c r="H3424">
        <v>4329</v>
      </c>
    </row>
    <row r="3425" spans="1:8" ht="15" customHeight="1" x14ac:dyDescent="0.25">
      <c r="A3425" t="s">
        <v>5667</v>
      </c>
      <c r="B3425" t="s">
        <v>9706</v>
      </c>
      <c r="C3425" t="s">
        <v>12898</v>
      </c>
      <c r="D3425" t="s">
        <v>13287</v>
      </c>
      <c r="E3425" t="str">
        <f>+VLOOKUP(A3425,[1]PFE4!$A$7:$F$5208,6,0)</f>
        <v>AVENIDA 15  122  75 OFICINA 405</v>
      </c>
      <c r="F3425" s="17">
        <f>+VLOOKUP(A3425,[1]PFE4!$A$7:$G$5208,7,0)</f>
        <v>68001</v>
      </c>
      <c r="G3425">
        <v>54529212</v>
      </c>
      <c r="H3425">
        <v>4329</v>
      </c>
    </row>
    <row r="3426" spans="1:8" ht="15" customHeight="1" x14ac:dyDescent="0.25">
      <c r="A3426" t="s">
        <v>5668</v>
      </c>
      <c r="B3426" t="s">
        <v>9707</v>
      </c>
      <c r="C3426" t="s">
        <v>12899</v>
      </c>
      <c r="D3426" t="s">
        <v>13287</v>
      </c>
      <c r="E3426" t="str">
        <f>+VLOOKUP(A3426,[1]PFE4!$A$7:$F$5208,6,0)</f>
        <v>CALLE 79 116B 23</v>
      </c>
      <c r="F3426" s="17">
        <f>+VLOOKUP(A3426,[1]PFE4!$A$7:$G$5208,7,0)</f>
        <v>11001</v>
      </c>
      <c r="G3426">
        <v>54535115</v>
      </c>
      <c r="H3426">
        <v>4329</v>
      </c>
    </row>
    <row r="3427" spans="1:8" ht="15" customHeight="1" x14ac:dyDescent="0.25">
      <c r="A3427" t="s">
        <v>5669</v>
      </c>
      <c r="B3427" t="s">
        <v>9708</v>
      </c>
      <c r="C3427" t="s">
        <v>12900</v>
      </c>
      <c r="D3427" t="s">
        <v>13287</v>
      </c>
      <c r="E3427" t="str">
        <f>+VLOOKUP(A3427,[1]PFE4!$A$7:$F$5208,6,0)</f>
        <v>CARRERA 15  173  25</v>
      </c>
      <c r="F3427" s="17">
        <f>+VLOOKUP(A3427,[1]PFE4!$A$7:$G$5208,7,0)</f>
        <v>11001</v>
      </c>
      <c r="G3427">
        <v>54624910</v>
      </c>
      <c r="H3427">
        <v>4329</v>
      </c>
    </row>
    <row r="3428" spans="1:8" ht="15" customHeight="1" x14ac:dyDescent="0.25">
      <c r="A3428" t="s">
        <v>5670</v>
      </c>
      <c r="B3428" t="s">
        <v>9709</v>
      </c>
      <c r="C3428" t="s">
        <v>12901</v>
      </c>
      <c r="D3428" t="s">
        <v>13287</v>
      </c>
      <c r="E3428" t="str">
        <f>+VLOOKUP(A3428,[1]PFE4!$A$7:$F$5208,6,0)</f>
        <v>CARRERA 46  47  40</v>
      </c>
      <c r="F3428" s="17" t="str">
        <f>+VLOOKUP(A3428,[1]PFE4!$A$7:$G$5208,7,0)</f>
        <v>05001</v>
      </c>
      <c r="G3428">
        <v>54781114</v>
      </c>
      <c r="H3428">
        <v>4329</v>
      </c>
    </row>
    <row r="3429" spans="1:8" ht="15" customHeight="1" x14ac:dyDescent="0.25">
      <c r="A3429" t="s">
        <v>5671</v>
      </c>
      <c r="B3429" t="s">
        <v>9710</v>
      </c>
      <c r="C3429" t="s">
        <v>12902</v>
      </c>
      <c r="D3429" t="s">
        <v>13287</v>
      </c>
      <c r="E3429" t="str">
        <f>+VLOOKUP(A3429,[1]PFE4!$A$7:$F$5208,6,0)</f>
        <v>CR 58 D 146 51 LC 114</v>
      </c>
      <c r="F3429" s="17">
        <f>+VLOOKUP(A3429,[1]PFE4!$A$7:$G$5208,7,0)</f>
        <v>11001</v>
      </c>
      <c r="G3429">
        <v>54969900</v>
      </c>
      <c r="H3429">
        <v>4329</v>
      </c>
    </row>
    <row r="3430" spans="1:8" ht="15" customHeight="1" x14ac:dyDescent="0.25">
      <c r="A3430" t="s">
        <v>5672</v>
      </c>
      <c r="B3430" t="s">
        <v>9711</v>
      </c>
      <c r="C3430" t="s">
        <v>12903</v>
      </c>
      <c r="D3430" t="s">
        <v>13287</v>
      </c>
      <c r="E3430" t="str">
        <f>+VLOOKUP(A3430,[1]PFE4!$A$7:$F$5208,6,0)</f>
        <v>CARRERA 6  38  68</v>
      </c>
      <c r="F3430" s="17">
        <f>+VLOOKUP(A3430,[1]PFE4!$A$7:$G$5208,7,0)</f>
        <v>11001</v>
      </c>
      <c r="G3430">
        <v>54982219</v>
      </c>
      <c r="H3430">
        <v>4329</v>
      </c>
    </row>
    <row r="3431" spans="1:8" ht="15" customHeight="1" x14ac:dyDescent="0.25">
      <c r="A3431" t="s">
        <v>5673</v>
      </c>
      <c r="B3431" t="s">
        <v>9712</v>
      </c>
      <c r="C3431" t="s">
        <v>12904</v>
      </c>
      <c r="D3431" t="s">
        <v>13287</v>
      </c>
      <c r="E3431" t="str">
        <f>+VLOOKUP(A3431,[1]PFE4!$A$7:$F$5208,6,0)</f>
        <v>CL 152 C 72 65</v>
      </c>
      <c r="F3431" s="17">
        <f>+VLOOKUP(A3431,[1]PFE4!$A$7:$G$5208,7,0)</f>
        <v>11001</v>
      </c>
      <c r="G3431">
        <v>55283090</v>
      </c>
      <c r="H3431">
        <v>4329</v>
      </c>
    </row>
    <row r="3432" spans="1:8" ht="15" customHeight="1" x14ac:dyDescent="0.25">
      <c r="A3432" t="s">
        <v>5674</v>
      </c>
      <c r="B3432" t="s">
        <v>9713</v>
      </c>
      <c r="C3432" t="s">
        <v>12905</v>
      </c>
      <c r="D3432" t="s">
        <v>13287</v>
      </c>
      <c r="E3432" t="str">
        <f>+VLOOKUP(A3432,[1]PFE4!$A$7:$F$5208,6,0)</f>
        <v>CARRERA 68 B  95  80</v>
      </c>
      <c r="F3432" s="17">
        <f>+VLOOKUP(A3432,[1]PFE4!$A$7:$G$5208,7,0)</f>
        <v>11001</v>
      </c>
      <c r="G3432">
        <v>55496592</v>
      </c>
      <c r="H3432">
        <v>4329</v>
      </c>
    </row>
    <row r="3433" spans="1:8" ht="15" customHeight="1" x14ac:dyDescent="0.25">
      <c r="A3433" t="s">
        <v>5675</v>
      </c>
      <c r="B3433" t="s">
        <v>9714</v>
      </c>
      <c r="C3433" t="s">
        <v>12906</v>
      </c>
      <c r="D3433" t="s">
        <v>13287</v>
      </c>
      <c r="E3433" t="str">
        <f>+VLOOKUP(A3433,[1]PFE4!$A$7:$F$5208,6,0)</f>
        <v>CALLE 25B 71-80</v>
      </c>
      <c r="F3433" s="17">
        <f>+VLOOKUP(A3433,[1]PFE4!$A$7:$G$5208,7,0)</f>
        <v>11001</v>
      </c>
      <c r="G3433">
        <v>55563824</v>
      </c>
      <c r="H3433">
        <v>4329</v>
      </c>
    </row>
    <row r="3434" spans="1:8" ht="15" customHeight="1" x14ac:dyDescent="0.25">
      <c r="A3434" t="s">
        <v>5676</v>
      </c>
      <c r="B3434" t="s">
        <v>9715</v>
      </c>
      <c r="C3434" t="s">
        <v>12907</v>
      </c>
      <c r="D3434" t="s">
        <v>13287</v>
      </c>
      <c r="E3434" t="str">
        <f>+VLOOKUP(A3434,[1]PFE4!$A$7:$F$5208,6,0)</f>
        <v>CL 32B 80 589 BRR LA CORDIALIDAD</v>
      </c>
      <c r="F3434" s="17">
        <f>+VLOOKUP(A3434,[1]PFE4!$A$7:$G$5208,7,0)</f>
        <v>11001</v>
      </c>
      <c r="G3434">
        <v>55582056</v>
      </c>
      <c r="H3434">
        <v>4329</v>
      </c>
    </row>
    <row r="3435" spans="1:8" ht="15" customHeight="1" x14ac:dyDescent="0.25">
      <c r="A3435" t="s">
        <v>5677</v>
      </c>
      <c r="B3435" t="s">
        <v>9716</v>
      </c>
      <c r="C3435" t="s">
        <v>12908</v>
      </c>
      <c r="D3435" t="s">
        <v>13287</v>
      </c>
      <c r="E3435" t="str">
        <f>+VLOOKUP(A3435,[1]PFE4!$A$7:$F$5208,6,0)</f>
        <v>AVENIDA 4 A OESTE  3  81</v>
      </c>
      <c r="F3435" s="17">
        <f>+VLOOKUP(A3435,[1]PFE4!$A$7:$G$5208,7,0)</f>
        <v>76001</v>
      </c>
      <c r="G3435">
        <v>55672906</v>
      </c>
      <c r="H3435">
        <v>4329</v>
      </c>
    </row>
    <row r="3436" spans="1:8" ht="15" customHeight="1" x14ac:dyDescent="0.25">
      <c r="A3436" t="s">
        <v>5678</v>
      </c>
      <c r="B3436" t="s">
        <v>9717</v>
      </c>
      <c r="C3436" t="s">
        <v>12909</v>
      </c>
      <c r="D3436" t="s">
        <v>13287</v>
      </c>
      <c r="E3436" t="str">
        <f>+VLOOKUP(A3436,[1]PFE4!$A$7:$F$5208,6,0)</f>
        <v>CR 108 60 30 POR 1 Y CL 60 BIS 108 90 POR 2</v>
      </c>
      <c r="F3436" s="17">
        <f>+VLOOKUP(A3436,[1]PFE4!$A$7:$G$5208,7,0)</f>
        <v>76001</v>
      </c>
      <c r="G3436">
        <v>55701626</v>
      </c>
      <c r="H3436">
        <v>4329</v>
      </c>
    </row>
    <row r="3437" spans="1:8" ht="15" customHeight="1" x14ac:dyDescent="0.25">
      <c r="A3437" t="s">
        <v>5679</v>
      </c>
      <c r="B3437" t="s">
        <v>9718</v>
      </c>
      <c r="C3437" t="s">
        <v>12910</v>
      </c>
      <c r="D3437" t="s">
        <v>13287</v>
      </c>
      <c r="E3437" t="str">
        <f>+VLOOKUP(A3437,[1]PFE4!$A$7:$F$5208,6,0)</f>
        <v>CARRERA 6  28  48</v>
      </c>
      <c r="F3437" s="17">
        <f>+VLOOKUP(A3437,[1]PFE4!$A$7:$G$5208,7,0)</f>
        <v>11001</v>
      </c>
      <c r="G3437">
        <v>55753744</v>
      </c>
      <c r="H3437">
        <v>4329</v>
      </c>
    </row>
    <row r="3438" spans="1:8" ht="15" customHeight="1" x14ac:dyDescent="0.25">
      <c r="A3438" t="s">
        <v>5680</v>
      </c>
      <c r="B3438" t="s">
        <v>9719</v>
      </c>
      <c r="C3438" t="s">
        <v>12911</v>
      </c>
      <c r="D3438" t="s">
        <v>13287</v>
      </c>
      <c r="E3438" t="str">
        <f>+VLOOKUP(A3438,[1]PFE4!$A$7:$F$5208,6,0)</f>
        <v>CARRERA 16  84 A  09</v>
      </c>
      <c r="F3438" s="17">
        <f>+VLOOKUP(A3438,[1]PFE4!$A$7:$G$5208,7,0)</f>
        <v>11001</v>
      </c>
      <c r="G3438">
        <v>55818334</v>
      </c>
      <c r="H3438">
        <v>4329</v>
      </c>
    </row>
    <row r="3439" spans="1:8" ht="15" customHeight="1" x14ac:dyDescent="0.25">
      <c r="A3439" t="s">
        <v>5681</v>
      </c>
      <c r="B3439" t="s">
        <v>9720</v>
      </c>
      <c r="C3439" t="s">
        <v>12912</v>
      </c>
      <c r="D3439" t="s">
        <v>13287</v>
      </c>
      <c r="E3439" t="str">
        <f>+VLOOKUP(A3439,[1]PFE4!$A$7:$F$5208,6,0)</f>
        <v>CL 61 B SUR 40 20</v>
      </c>
      <c r="F3439" s="17" t="str">
        <f>+VLOOKUP(A3439,[1]PFE4!$A$7:$G$5208,7,0)</f>
        <v>05631</v>
      </c>
      <c r="G3439">
        <v>55958400</v>
      </c>
      <c r="H3439">
        <v>4329</v>
      </c>
    </row>
    <row r="3440" spans="1:8" ht="15" customHeight="1" x14ac:dyDescent="0.25">
      <c r="A3440" t="s">
        <v>5682</v>
      </c>
      <c r="B3440" t="s">
        <v>9721</v>
      </c>
      <c r="C3440" t="s">
        <v>12913</v>
      </c>
      <c r="D3440" t="s">
        <v>13287</v>
      </c>
      <c r="E3440" t="str">
        <f>+VLOOKUP(A3440,[1]PFE4!$A$7:$F$5208,6,0)</f>
        <v>CR 76 20 70</v>
      </c>
      <c r="F3440" s="17">
        <f>+VLOOKUP(A3440,[1]PFE4!$A$7:$G$5208,7,0)</f>
        <v>11001</v>
      </c>
      <c r="G3440">
        <v>56059030</v>
      </c>
      <c r="H3440">
        <v>4329</v>
      </c>
    </row>
    <row r="3441" spans="1:8" ht="15" customHeight="1" x14ac:dyDescent="0.25">
      <c r="A3441" t="s">
        <v>5683</v>
      </c>
      <c r="B3441" t="s">
        <v>9722</v>
      </c>
      <c r="C3441" t="s">
        <v>11325</v>
      </c>
      <c r="D3441" t="s">
        <v>13287</v>
      </c>
      <c r="E3441" t="str">
        <f>+VLOOKUP(A3441,[1]PFE4!$A$7:$F$5208,6,0)</f>
        <v>CL 63 13 71 AV MURILLO</v>
      </c>
      <c r="F3441" s="17" t="str">
        <f>+VLOOKUP(A3441,[1]PFE4!$A$7:$G$5208,7,0)</f>
        <v>08758</v>
      </c>
      <c r="G3441">
        <v>56153665</v>
      </c>
      <c r="H3441">
        <v>4329</v>
      </c>
    </row>
    <row r="3442" spans="1:8" ht="15" customHeight="1" x14ac:dyDescent="0.25">
      <c r="A3442" t="s">
        <v>5684</v>
      </c>
      <c r="B3442" t="s">
        <v>9723</v>
      </c>
      <c r="C3442" t="s">
        <v>12914</v>
      </c>
      <c r="D3442" t="s">
        <v>13287</v>
      </c>
      <c r="E3442" t="str">
        <f>+VLOOKUP(A3442,[1]PFE4!$A$7:$F$5208,6,0)</f>
        <v>CARRERA 14 A  151 A  90 TORRE 1</v>
      </c>
      <c r="F3442" s="17">
        <f>+VLOOKUP(A3442,[1]PFE4!$A$7:$G$5208,7,0)</f>
        <v>11001</v>
      </c>
      <c r="G3442">
        <v>56240339</v>
      </c>
      <c r="H3442">
        <v>4329</v>
      </c>
    </row>
    <row r="3443" spans="1:8" ht="15" customHeight="1" x14ac:dyDescent="0.25">
      <c r="A3443" t="s">
        <v>5685</v>
      </c>
      <c r="B3443" t="s">
        <v>9724</v>
      </c>
      <c r="C3443" t="s">
        <v>12171</v>
      </c>
      <c r="D3443" t="s">
        <v>13287</v>
      </c>
      <c r="E3443" t="str">
        <f>+VLOOKUP(A3443,[1]PFE4!$A$7:$F$5208,6,0)</f>
        <v>CR 24 B 40 A SUR 96</v>
      </c>
      <c r="F3443" s="17" t="str">
        <f>+VLOOKUP(A3443,[1]PFE4!$A$7:$G$5208,7,0)</f>
        <v>05266</v>
      </c>
      <c r="G3443">
        <v>56292250</v>
      </c>
      <c r="H3443">
        <v>4329</v>
      </c>
    </row>
    <row r="3444" spans="1:8" ht="15" customHeight="1" x14ac:dyDescent="0.25">
      <c r="A3444" t="s">
        <v>5686</v>
      </c>
      <c r="B3444" t="s">
        <v>9725</v>
      </c>
      <c r="C3444" t="s">
        <v>12915</v>
      </c>
      <c r="D3444" t="s">
        <v>13287</v>
      </c>
      <c r="E3444" t="str">
        <f>+VLOOKUP(A3444,[1]PFE4!$A$7:$F$5208,6,0)</f>
        <v>CR 98 B 48 127</v>
      </c>
      <c r="F3444" s="17">
        <f>+VLOOKUP(A3444,[1]PFE4!$A$7:$G$5208,7,0)</f>
        <v>11001</v>
      </c>
      <c r="G3444">
        <v>56329970</v>
      </c>
      <c r="H3444">
        <v>4329</v>
      </c>
    </row>
    <row r="3445" spans="1:8" ht="15" customHeight="1" x14ac:dyDescent="0.25">
      <c r="A3445" t="s">
        <v>5687</v>
      </c>
      <c r="B3445" t="s">
        <v>9726</v>
      </c>
      <c r="C3445" t="s">
        <v>10613</v>
      </c>
      <c r="D3445" t="s">
        <v>13287</v>
      </c>
      <c r="E3445" t="str">
        <f>+VLOOKUP(A3445,[1]PFE4!$A$7:$F$5208,6,0)</f>
        <v>CARRERA 3 17 OESTE-145</v>
      </c>
      <c r="F3445" s="17">
        <f>+VLOOKUP(A3445,[1]PFE4!$A$7:$G$5208,7,0)</f>
        <v>11001</v>
      </c>
      <c r="G3445">
        <v>56337590</v>
      </c>
      <c r="H3445">
        <v>4329</v>
      </c>
    </row>
    <row r="3446" spans="1:8" ht="15" customHeight="1" x14ac:dyDescent="0.25">
      <c r="A3446" t="s">
        <v>5688</v>
      </c>
      <c r="B3446" t="s">
        <v>9727</v>
      </c>
      <c r="C3446" t="s">
        <v>12916</v>
      </c>
      <c r="D3446" t="s">
        <v>13287</v>
      </c>
      <c r="E3446" t="str">
        <f>+VLOOKUP(A3446,[1]PFE4!$A$7:$F$5208,6,0)</f>
        <v>CALLE 2 NORTE  6A  54</v>
      </c>
      <c r="F3446" s="17">
        <f>+VLOOKUP(A3446,[1]PFE4!$A$7:$G$5208,7,0)</f>
        <v>19573</v>
      </c>
      <c r="G3446">
        <v>56395177</v>
      </c>
      <c r="H3446">
        <v>4329</v>
      </c>
    </row>
    <row r="3447" spans="1:8" ht="15" customHeight="1" x14ac:dyDescent="0.25">
      <c r="A3447" t="s">
        <v>5689</v>
      </c>
      <c r="B3447" t="s">
        <v>9728</v>
      </c>
      <c r="C3447">
        <v>3219664011</v>
      </c>
      <c r="D3447" t="s">
        <v>13287</v>
      </c>
      <c r="E3447" t="str">
        <f>+VLOOKUP(A3447,[1]PFE4!$A$7:$F$5208,6,0)</f>
        <v>AV 26  52 200 AUT NORTE SEC GUASIMALITO</v>
      </c>
      <c r="F3447" s="17" t="str">
        <f>+VLOOKUP(A3447,[1]PFE4!$A$7:$G$5208,7,0)</f>
        <v>05088</v>
      </c>
      <c r="G3447">
        <v>56436940</v>
      </c>
      <c r="H3447">
        <v>4329</v>
      </c>
    </row>
    <row r="3448" spans="1:8" ht="15" customHeight="1" x14ac:dyDescent="0.25">
      <c r="A3448" t="s">
        <v>5690</v>
      </c>
      <c r="B3448" t="s">
        <v>9729</v>
      </c>
      <c r="C3448" t="s">
        <v>11875</v>
      </c>
      <c r="D3448" t="s">
        <v>13287</v>
      </c>
      <c r="E3448" t="str">
        <f>+VLOOKUP(A3448,[1]PFE4!$A$7:$F$5208,6,0)</f>
        <v>CALLE 79  119  95</v>
      </c>
      <c r="F3448" s="17">
        <f>+VLOOKUP(A3448,[1]PFE4!$A$7:$G$5208,7,0)</f>
        <v>11001</v>
      </c>
      <c r="G3448">
        <v>56442334</v>
      </c>
      <c r="H3448">
        <v>4329</v>
      </c>
    </row>
    <row r="3449" spans="1:8" ht="15" customHeight="1" x14ac:dyDescent="0.25">
      <c r="A3449" t="s">
        <v>5691</v>
      </c>
      <c r="B3449" t="s">
        <v>9730</v>
      </c>
      <c r="C3449" t="s">
        <v>12842</v>
      </c>
      <c r="D3449" t="s">
        <v>13287</v>
      </c>
      <c r="E3449" t="str">
        <f>+VLOOKUP(A3449,[1]PFE4!$A$7:$F$5208,6,0)</f>
        <v>CR 122 5 18</v>
      </c>
      <c r="F3449" s="17">
        <f>+VLOOKUP(A3449,[1]PFE4!$A$7:$G$5208,7,0)</f>
        <v>11001</v>
      </c>
      <c r="G3449">
        <v>56451908</v>
      </c>
      <c r="H3449">
        <v>4329</v>
      </c>
    </row>
    <row r="3450" spans="1:8" ht="15" customHeight="1" x14ac:dyDescent="0.25">
      <c r="A3450" t="s">
        <v>5692</v>
      </c>
      <c r="B3450" t="s">
        <v>9731</v>
      </c>
      <c r="C3450" t="s">
        <v>12917</v>
      </c>
      <c r="D3450" t="s">
        <v>13287</v>
      </c>
      <c r="E3450" t="str">
        <f>+VLOOKUP(A3450,[1]PFE4!$A$7:$F$5208,6,0)</f>
        <v>CR 73 A 81 B 70</v>
      </c>
      <c r="F3450" s="17">
        <f>+VLOOKUP(A3450,[1]PFE4!$A$7:$G$5208,7,0)</f>
        <v>11001</v>
      </c>
      <c r="G3450">
        <v>56523265</v>
      </c>
      <c r="H3450">
        <v>4329</v>
      </c>
    </row>
    <row r="3451" spans="1:8" ht="15" customHeight="1" x14ac:dyDescent="0.25">
      <c r="A3451" t="s">
        <v>5693</v>
      </c>
      <c r="B3451" t="s">
        <v>9732</v>
      </c>
      <c r="C3451" t="s">
        <v>12918</v>
      </c>
      <c r="D3451" t="s">
        <v>13287</v>
      </c>
      <c r="E3451" t="str">
        <f>+VLOOKUP(A3451,[1]PFE4!$A$7:$F$5208,6,0)</f>
        <v>CL 32 95 48</v>
      </c>
      <c r="F3451" s="17">
        <f>+VLOOKUP(A3451,[1]PFE4!$A$7:$G$5208,7,0)</f>
        <v>11001</v>
      </c>
      <c r="G3451">
        <v>56572970</v>
      </c>
      <c r="H3451">
        <v>4329</v>
      </c>
    </row>
    <row r="3452" spans="1:8" ht="15" customHeight="1" x14ac:dyDescent="0.25">
      <c r="A3452" t="s">
        <v>5694</v>
      </c>
      <c r="B3452" t="s">
        <v>9733</v>
      </c>
      <c r="C3452" t="s">
        <v>12919</v>
      </c>
      <c r="D3452" t="s">
        <v>13287</v>
      </c>
      <c r="E3452" t="str">
        <f>+VLOOKUP(A3452,[1]PFE4!$A$7:$F$5208,6,0)</f>
        <v>CL 72 SUR 32 50</v>
      </c>
      <c r="F3452" s="17" t="str">
        <f>+VLOOKUP(A3452,[1]PFE4!$A$7:$G$5208,7,0)</f>
        <v>05631</v>
      </c>
      <c r="G3452">
        <v>56692056</v>
      </c>
      <c r="H3452">
        <v>4329</v>
      </c>
    </row>
    <row r="3453" spans="1:8" ht="15" customHeight="1" x14ac:dyDescent="0.25">
      <c r="A3453" t="s">
        <v>5695</v>
      </c>
      <c r="B3453" t="s">
        <v>9734</v>
      </c>
      <c r="C3453">
        <v>0</v>
      </c>
      <c r="D3453" t="s">
        <v>13287</v>
      </c>
      <c r="E3453">
        <v>0</v>
      </c>
      <c r="F3453" s="17">
        <v>11001</v>
      </c>
      <c r="G3453">
        <v>56870416</v>
      </c>
      <c r="H3453">
        <v>4329</v>
      </c>
    </row>
    <row r="3454" spans="1:8" ht="15" customHeight="1" x14ac:dyDescent="0.25">
      <c r="A3454" t="s">
        <v>5696</v>
      </c>
      <c r="B3454" t="s">
        <v>9735</v>
      </c>
      <c r="C3454" t="s">
        <v>12920</v>
      </c>
      <c r="D3454" t="s">
        <v>13287</v>
      </c>
      <c r="E3454" t="str">
        <f>+VLOOKUP(A3454,[1]PFE4!$A$7:$F$5208,6,0)</f>
        <v>CALLE 43  111  50</v>
      </c>
      <c r="F3454" s="17">
        <f>+VLOOKUP(A3454,[1]PFE4!$A$7:$G$5208,7,0)</f>
        <v>11001</v>
      </c>
      <c r="G3454">
        <v>57097750</v>
      </c>
      <c r="H3454">
        <v>4329</v>
      </c>
    </row>
    <row r="3455" spans="1:8" ht="15" customHeight="1" x14ac:dyDescent="0.25">
      <c r="A3455" t="s">
        <v>5697</v>
      </c>
      <c r="B3455" t="s">
        <v>9736</v>
      </c>
      <c r="C3455" t="s">
        <v>12921</v>
      </c>
      <c r="D3455" t="s">
        <v>13287</v>
      </c>
      <c r="E3455" t="str">
        <f>+VLOOKUP(A3455,[1]PFE4!$A$7:$F$5208,6,0)</f>
        <v>CARRERA 37 A  29  56</v>
      </c>
      <c r="F3455" s="17" t="str">
        <f>+VLOOKUP(A3455,[1]PFE4!$A$7:$G$5208,7,0)</f>
        <v>05001</v>
      </c>
      <c r="G3455">
        <v>57100136</v>
      </c>
      <c r="H3455">
        <v>4329</v>
      </c>
    </row>
    <row r="3456" spans="1:8" ht="15" customHeight="1" x14ac:dyDescent="0.25">
      <c r="A3456" t="s">
        <v>5698</v>
      </c>
      <c r="B3456" t="s">
        <v>9737</v>
      </c>
      <c r="C3456" t="s">
        <v>12922</v>
      </c>
      <c r="D3456" t="s">
        <v>13287</v>
      </c>
      <c r="E3456" t="str">
        <f>+VLOOKUP(A3456,[1]PFE4!$A$7:$F$5208,6,0)</f>
        <v>CARRERA 1 ESTE  17  77</v>
      </c>
      <c r="F3456" s="17">
        <f>+VLOOKUP(A3456,[1]PFE4!$A$7:$G$5208,7,0)</f>
        <v>11001</v>
      </c>
      <c r="G3456">
        <v>57109967</v>
      </c>
      <c r="H3456">
        <v>4329</v>
      </c>
    </row>
    <row r="3457" spans="1:8" ht="15" customHeight="1" x14ac:dyDescent="0.25">
      <c r="A3457" t="s">
        <v>5699</v>
      </c>
      <c r="B3457" t="s">
        <v>9738</v>
      </c>
      <c r="C3457" t="s">
        <v>12923</v>
      </c>
      <c r="D3457" t="s">
        <v>13287</v>
      </c>
      <c r="E3457" t="str">
        <f>+VLOOKUP(A3457,[1]PFE4!$A$7:$F$5208,6,0)</f>
        <v>CARRERA 167B No. 8-53</v>
      </c>
      <c r="F3457" s="17">
        <f>+VLOOKUP(A3457,[1]PFE4!$A$7:$G$5208,7,0)</f>
        <v>11001</v>
      </c>
      <c r="G3457">
        <v>57196483</v>
      </c>
      <c r="H3457">
        <v>4329</v>
      </c>
    </row>
    <row r="3458" spans="1:8" ht="15" customHeight="1" x14ac:dyDescent="0.25">
      <c r="A3458" t="s">
        <v>5700</v>
      </c>
      <c r="B3458" t="s">
        <v>9739</v>
      </c>
      <c r="C3458" t="s">
        <v>12924</v>
      </c>
      <c r="D3458" t="s">
        <v>13287</v>
      </c>
      <c r="E3458" t="str">
        <f>+VLOOKUP(A3458,[1]PFE4!$A$7:$F$5208,6,0)</f>
        <v>CALLE 90  13 A  31</v>
      </c>
      <c r="F3458" s="17">
        <f>+VLOOKUP(A3458,[1]PFE4!$A$7:$G$5208,7,0)</f>
        <v>11001</v>
      </c>
      <c r="G3458">
        <v>57198845</v>
      </c>
      <c r="H3458">
        <v>4329</v>
      </c>
    </row>
    <row r="3459" spans="1:8" ht="15" customHeight="1" x14ac:dyDescent="0.25">
      <c r="A3459" t="s">
        <v>5701</v>
      </c>
      <c r="B3459" t="s">
        <v>9740</v>
      </c>
      <c r="C3459" t="s">
        <v>12548</v>
      </c>
      <c r="D3459" t="s">
        <v>13287</v>
      </c>
      <c r="E3459" t="str">
        <f>+VLOOKUP(A3459,[1]PFE4!$A$7:$F$5208,6,0)</f>
        <v>CL 96 71 37</v>
      </c>
      <c r="F3459" s="17" t="str">
        <f>+VLOOKUP(A3459,[1]PFE4!$A$7:$G$5208,7,0)</f>
        <v>08001</v>
      </c>
      <c r="G3459">
        <v>57208150</v>
      </c>
      <c r="H3459">
        <v>4329</v>
      </c>
    </row>
    <row r="3460" spans="1:8" ht="15" customHeight="1" x14ac:dyDescent="0.25">
      <c r="A3460" t="s">
        <v>5702</v>
      </c>
      <c r="B3460" t="s">
        <v>9741</v>
      </c>
      <c r="C3460" t="s">
        <v>12925</v>
      </c>
      <c r="D3460" t="s">
        <v>13287</v>
      </c>
      <c r="E3460" t="str">
        <f>+VLOOKUP(A3460,[1]PFE4!$A$7:$F$5208,6,0)</f>
        <v>CALLE 79 A  8  44</v>
      </c>
      <c r="F3460" s="17">
        <f>+VLOOKUP(A3460,[1]PFE4!$A$7:$G$5208,7,0)</f>
        <v>11001</v>
      </c>
      <c r="G3460">
        <v>57253918</v>
      </c>
      <c r="H3460">
        <v>4329</v>
      </c>
    </row>
    <row r="3461" spans="1:8" ht="15" customHeight="1" x14ac:dyDescent="0.25">
      <c r="A3461" t="s">
        <v>5703</v>
      </c>
      <c r="B3461" t="s">
        <v>9742</v>
      </c>
      <c r="C3461" t="s">
        <v>12926</v>
      </c>
      <c r="D3461" t="s">
        <v>13287</v>
      </c>
      <c r="E3461" t="str">
        <f>+VLOOKUP(A3461,[1]PFE4!$A$7:$F$5208,6,0)</f>
        <v>CALLE 16  6  54</v>
      </c>
      <c r="F3461" s="17">
        <f>+VLOOKUP(A3461,[1]PFE4!$A$7:$G$5208,7,0)</f>
        <v>11001</v>
      </c>
      <c r="G3461">
        <v>57298514</v>
      </c>
      <c r="H3461">
        <v>4329</v>
      </c>
    </row>
    <row r="3462" spans="1:8" ht="15" customHeight="1" x14ac:dyDescent="0.25">
      <c r="A3462" t="s">
        <v>5704</v>
      </c>
      <c r="B3462" t="s">
        <v>9743</v>
      </c>
      <c r="C3462" t="s">
        <v>11875</v>
      </c>
      <c r="D3462" t="s">
        <v>13287</v>
      </c>
      <c r="E3462" t="str">
        <f>+VLOOKUP(A3462,[1]PFE4!$A$7:$F$5208,6,0)</f>
        <v>CL 38 24 B 61</v>
      </c>
      <c r="F3462" s="17">
        <f>+VLOOKUP(A3462,[1]PFE4!$A$7:$G$5208,7,0)</f>
        <v>25754</v>
      </c>
      <c r="G3462">
        <v>57390000</v>
      </c>
      <c r="H3462">
        <v>4329</v>
      </c>
    </row>
    <row r="3463" spans="1:8" ht="15" customHeight="1" x14ac:dyDescent="0.25">
      <c r="A3463" t="s">
        <v>5705</v>
      </c>
      <c r="B3463" t="s">
        <v>9744</v>
      </c>
      <c r="C3463" t="s">
        <v>12927</v>
      </c>
      <c r="D3463" t="s">
        <v>13287</v>
      </c>
      <c r="E3463" t="str">
        <f>+VLOOKUP(A3463,[1]PFE4!$A$7:$F$5208,6,0)</f>
        <v>KILOMETRO 9 ANILLO VIAL SENTIDO CARTAGENA BARRANQUILLA</v>
      </c>
      <c r="F3463" s="17">
        <f>+VLOOKUP(A3463,[1]PFE4!$A$7:$G$5208,7,0)</f>
        <v>11001</v>
      </c>
      <c r="G3463">
        <v>57412910</v>
      </c>
      <c r="H3463">
        <v>4329</v>
      </c>
    </row>
    <row r="3464" spans="1:8" ht="15" customHeight="1" x14ac:dyDescent="0.25">
      <c r="A3464" t="s">
        <v>5706</v>
      </c>
      <c r="B3464" t="s">
        <v>9745</v>
      </c>
      <c r="C3464" t="s">
        <v>12928</v>
      </c>
      <c r="D3464" t="s">
        <v>13287</v>
      </c>
      <c r="E3464" t="str">
        <f>+VLOOKUP(A3464,[1]PFE4!$A$7:$F$5208,6,0)</f>
        <v>CL 47 13 91</v>
      </c>
      <c r="F3464" s="17">
        <f>+VLOOKUP(A3464,[1]PFE4!$A$7:$G$5208,7,0)</f>
        <v>11001</v>
      </c>
      <c r="G3464">
        <v>57444728</v>
      </c>
      <c r="H3464">
        <v>4329</v>
      </c>
    </row>
    <row r="3465" spans="1:8" ht="15" customHeight="1" x14ac:dyDescent="0.25">
      <c r="A3465" t="s">
        <v>5707</v>
      </c>
      <c r="B3465" t="s">
        <v>9746</v>
      </c>
      <c r="C3465" t="s">
        <v>12929</v>
      </c>
      <c r="D3465" t="s">
        <v>13287</v>
      </c>
      <c r="E3465" t="str">
        <f>+VLOOKUP(A3465,[1]PFE4!$A$7:$F$5208,6,0)</f>
        <v>CARRERA 98  64 B  35</v>
      </c>
      <c r="F3465" s="17" t="str">
        <f>+VLOOKUP(A3465,[1]PFE4!$A$7:$G$5208,7,0)</f>
        <v>05001</v>
      </c>
      <c r="G3465">
        <v>57591935</v>
      </c>
      <c r="H3465">
        <v>4329</v>
      </c>
    </row>
    <row r="3466" spans="1:8" ht="15" customHeight="1" x14ac:dyDescent="0.25">
      <c r="A3466" t="s">
        <v>5708</v>
      </c>
      <c r="B3466" t="s">
        <v>9747</v>
      </c>
      <c r="C3466" t="s">
        <v>12429</v>
      </c>
      <c r="D3466" t="s">
        <v>13287</v>
      </c>
      <c r="E3466" t="str">
        <f>+VLOOKUP(A3466,[1]PFE4!$A$7:$F$5208,6,0)</f>
        <v>CALLE 9 A SUR  25  05</v>
      </c>
      <c r="F3466" s="17" t="str">
        <f>+VLOOKUP(A3466,[1]PFE4!$A$7:$G$5208,7,0)</f>
        <v>05001</v>
      </c>
      <c r="G3466">
        <v>57718336</v>
      </c>
      <c r="H3466">
        <v>4329</v>
      </c>
    </row>
    <row r="3467" spans="1:8" ht="15" customHeight="1" x14ac:dyDescent="0.25">
      <c r="A3467" t="s">
        <v>5709</v>
      </c>
      <c r="B3467" t="s">
        <v>9748</v>
      </c>
      <c r="C3467" t="s">
        <v>12930</v>
      </c>
      <c r="D3467" t="s">
        <v>13287</v>
      </c>
      <c r="E3467" t="str">
        <f>+VLOOKUP(A3467,[1]PFE4!$A$7:$F$5208,6,0)</f>
        <v>CARRERA 4  21  180</v>
      </c>
      <c r="F3467" s="17">
        <f>+VLOOKUP(A3467,[1]PFE4!$A$7:$G$5208,7,0)</f>
        <v>47001</v>
      </c>
      <c r="G3467">
        <v>57721650</v>
      </c>
      <c r="H3467">
        <v>4329</v>
      </c>
    </row>
    <row r="3468" spans="1:8" ht="15" customHeight="1" x14ac:dyDescent="0.25">
      <c r="A3468" t="s">
        <v>5710</v>
      </c>
      <c r="B3468" t="s">
        <v>9749</v>
      </c>
      <c r="C3468" t="s">
        <v>12931</v>
      </c>
      <c r="D3468" t="s">
        <v>13287</v>
      </c>
      <c r="E3468" t="str">
        <f>+VLOOKUP(A3468,[1]PFE4!$A$7:$F$5208,6,0)</f>
        <v>CALLE 28  85 C  30</v>
      </c>
      <c r="F3468" s="17">
        <f>+VLOOKUP(A3468,[1]PFE4!$A$7:$G$5208,7,0)</f>
        <v>11001</v>
      </c>
      <c r="G3468">
        <v>57917460</v>
      </c>
      <c r="H3468">
        <v>4329</v>
      </c>
    </row>
    <row r="3469" spans="1:8" ht="15" customHeight="1" x14ac:dyDescent="0.25">
      <c r="A3469" t="s">
        <v>5711</v>
      </c>
      <c r="B3469" t="s">
        <v>9750</v>
      </c>
      <c r="C3469" t="s">
        <v>12932</v>
      </c>
      <c r="D3469" t="s">
        <v>13287</v>
      </c>
      <c r="E3469" t="str">
        <f>+VLOOKUP(A3469,[1]PFE4!$A$7:$F$5208,6,0)</f>
        <v>CALLE 166  8 D  44</v>
      </c>
      <c r="F3469" s="17">
        <f>+VLOOKUP(A3469,[1]PFE4!$A$7:$G$5208,7,0)</f>
        <v>11001</v>
      </c>
      <c r="G3469">
        <v>57989944</v>
      </c>
      <c r="H3469">
        <v>4329</v>
      </c>
    </row>
    <row r="3470" spans="1:8" ht="15" customHeight="1" x14ac:dyDescent="0.25">
      <c r="A3470" t="s">
        <v>5712</v>
      </c>
      <c r="B3470" t="s">
        <v>9751</v>
      </c>
      <c r="C3470">
        <v>3219664011</v>
      </c>
      <c r="D3470" t="s">
        <v>13287</v>
      </c>
      <c r="E3470" t="str">
        <f>+VLOOKUP(A3470,[1]PFE4!$A$7:$F$5208,6,0)</f>
        <v>CALLE 10 SUR  50  FF  127</v>
      </c>
      <c r="F3470" s="17" t="str">
        <f>+VLOOKUP(A3470,[1]PFE4!$A$7:$G$5208,7,0)</f>
        <v>05001</v>
      </c>
      <c r="G3470">
        <v>58027368</v>
      </c>
      <c r="H3470">
        <v>4329</v>
      </c>
    </row>
    <row r="3471" spans="1:8" ht="15" customHeight="1" x14ac:dyDescent="0.25">
      <c r="A3471" t="s">
        <v>5713</v>
      </c>
      <c r="B3471" t="s">
        <v>9752</v>
      </c>
      <c r="C3471" t="s">
        <v>12933</v>
      </c>
      <c r="D3471" t="s">
        <v>13287</v>
      </c>
      <c r="E3471" t="str">
        <f>+VLOOKUP(A3471,[1]PFE4!$A$7:$F$5208,6,0)</f>
        <v>CARRERA 43 A  20 C  55</v>
      </c>
      <c r="F3471" s="17">
        <f>+VLOOKUP(A3471,[1]PFE4!$A$7:$G$5208,7,0)</f>
        <v>11001</v>
      </c>
      <c r="G3471">
        <v>58169560</v>
      </c>
      <c r="H3471">
        <v>4329</v>
      </c>
    </row>
    <row r="3472" spans="1:8" ht="15" customHeight="1" x14ac:dyDescent="0.25">
      <c r="A3472" t="s">
        <v>5714</v>
      </c>
      <c r="B3472" t="s">
        <v>9753</v>
      </c>
      <c r="C3472" t="s">
        <v>12934</v>
      </c>
      <c r="D3472" t="s">
        <v>13287</v>
      </c>
      <c r="E3472" t="str">
        <f>+VLOOKUP(A3472,[1]PFE4!$A$7:$F$5208,6,0)</f>
        <v>CALLE 137  91  97</v>
      </c>
      <c r="F3472" s="17">
        <f>+VLOOKUP(A3472,[1]PFE4!$A$7:$G$5208,7,0)</f>
        <v>11001</v>
      </c>
      <c r="G3472">
        <v>58427030</v>
      </c>
      <c r="H3472">
        <v>4329</v>
      </c>
    </row>
    <row r="3473" spans="1:8" ht="15" customHeight="1" x14ac:dyDescent="0.25">
      <c r="A3473" t="s">
        <v>5715</v>
      </c>
      <c r="B3473" t="s">
        <v>9754</v>
      </c>
      <c r="C3473" t="s">
        <v>11875</v>
      </c>
      <c r="D3473" t="s">
        <v>13287</v>
      </c>
      <c r="E3473" t="str">
        <f>+VLOOKUP(A3473,[1]PFE4!$A$7:$F$5208,6,0)</f>
        <v>CALLE 11  1 A  95</v>
      </c>
      <c r="F3473" s="17">
        <f>+VLOOKUP(A3473,[1]PFE4!$A$7:$G$5208,7,0)</f>
        <v>11001</v>
      </c>
      <c r="G3473">
        <v>58575466</v>
      </c>
      <c r="H3473">
        <v>4329</v>
      </c>
    </row>
    <row r="3474" spans="1:8" ht="15" customHeight="1" x14ac:dyDescent="0.25">
      <c r="A3474" t="s">
        <v>5716</v>
      </c>
      <c r="B3474" t="s">
        <v>9755</v>
      </c>
      <c r="C3474" t="s">
        <v>12421</v>
      </c>
      <c r="D3474" t="s">
        <v>13287</v>
      </c>
      <c r="E3474" t="str">
        <f>+VLOOKUP(A3474,[1]PFE4!$A$7:$F$5208,6,0)</f>
        <v>DIAGONAL 36 B  80 M  227</v>
      </c>
      <c r="F3474" s="17">
        <f>+VLOOKUP(A3474,[1]PFE4!$A$7:$G$5208,7,0)</f>
        <v>13001</v>
      </c>
      <c r="G3474">
        <v>58619037</v>
      </c>
      <c r="H3474">
        <v>4329</v>
      </c>
    </row>
    <row r="3475" spans="1:8" ht="15" customHeight="1" x14ac:dyDescent="0.25">
      <c r="A3475" t="s">
        <v>5717</v>
      </c>
      <c r="B3475" t="s">
        <v>9756</v>
      </c>
      <c r="C3475" t="s">
        <v>11362</v>
      </c>
      <c r="D3475" t="s">
        <v>13287</v>
      </c>
      <c r="E3475" t="str">
        <f>+VLOOKUP(A3475,[1]PFE4!$A$7:$F$5208,6,0)</f>
        <v>CARRERA 11  140  52</v>
      </c>
      <c r="F3475" s="17">
        <f>+VLOOKUP(A3475,[1]PFE4!$A$7:$G$5208,7,0)</f>
        <v>11001</v>
      </c>
      <c r="G3475">
        <v>58681903</v>
      </c>
      <c r="H3475">
        <v>4329</v>
      </c>
    </row>
    <row r="3476" spans="1:8" ht="15" customHeight="1" x14ac:dyDescent="0.25">
      <c r="A3476" t="s">
        <v>5718</v>
      </c>
      <c r="B3476" t="s">
        <v>9757</v>
      </c>
      <c r="C3476" t="s">
        <v>12935</v>
      </c>
      <c r="D3476" t="s">
        <v>13287</v>
      </c>
      <c r="E3476" t="str">
        <f>+VLOOKUP(A3476,[1]PFE4!$A$7:$F$5208,6,0)</f>
        <v>CALLE 27 D SUR  27 C  150</v>
      </c>
      <c r="F3476" s="17" t="str">
        <f>+VLOOKUP(A3476,[1]PFE4!$A$7:$G$5208,7,0)</f>
        <v>05266</v>
      </c>
      <c r="G3476">
        <v>58723774</v>
      </c>
      <c r="H3476">
        <v>4329</v>
      </c>
    </row>
    <row r="3477" spans="1:8" ht="15" customHeight="1" x14ac:dyDescent="0.25">
      <c r="A3477" t="s">
        <v>5719</v>
      </c>
      <c r="B3477" t="s">
        <v>9758</v>
      </c>
      <c r="C3477" t="s">
        <v>12936</v>
      </c>
      <c r="D3477" t="s">
        <v>13287</v>
      </c>
      <c r="E3477" t="str">
        <f>+VLOOKUP(A3477,[1]PFE4!$A$7:$F$5208,6,0)</f>
        <v>CALLE 32B No 80 - 589 VIA LA CORDIALIDAD</v>
      </c>
      <c r="F3477" s="17">
        <f>+VLOOKUP(A3477,[1]PFE4!$A$7:$G$5208,7,0)</f>
        <v>11001</v>
      </c>
      <c r="G3477">
        <v>58887764</v>
      </c>
      <c r="H3477">
        <v>4329</v>
      </c>
    </row>
    <row r="3478" spans="1:8" ht="15" customHeight="1" x14ac:dyDescent="0.25">
      <c r="A3478" t="s">
        <v>5720</v>
      </c>
      <c r="B3478" t="s">
        <v>9759</v>
      </c>
      <c r="C3478" t="s">
        <v>12937</v>
      </c>
      <c r="D3478" t="s">
        <v>13287</v>
      </c>
      <c r="E3478" t="str">
        <f>+VLOOKUP(A3478,[1]PFE4!$A$7:$F$5208,6,0)</f>
        <v>TV 35 DG 2 74 SEC VIA FRAILES JAPON</v>
      </c>
      <c r="F3478" s="17">
        <f>+VLOOKUP(A3478,[1]PFE4!$A$7:$G$5208,7,0)</f>
        <v>11001</v>
      </c>
      <c r="G3478">
        <v>58911195</v>
      </c>
      <c r="H3478">
        <v>4329</v>
      </c>
    </row>
    <row r="3479" spans="1:8" ht="15" customHeight="1" x14ac:dyDescent="0.25">
      <c r="A3479" t="s">
        <v>5721</v>
      </c>
      <c r="B3479" t="s">
        <v>9760</v>
      </c>
      <c r="C3479" t="s">
        <v>12938</v>
      </c>
      <c r="D3479" t="s">
        <v>13287</v>
      </c>
      <c r="E3479" t="str">
        <f>+VLOOKUP(A3479,[1]PFE4!$A$7:$F$5208,6,0)</f>
        <v>CALLE 9  23  55</v>
      </c>
      <c r="F3479" s="17">
        <f>+VLOOKUP(A3479,[1]PFE4!$A$7:$G$5208,7,0)</f>
        <v>68001</v>
      </c>
      <c r="G3479">
        <v>59435506</v>
      </c>
      <c r="H3479">
        <v>4329</v>
      </c>
    </row>
    <row r="3480" spans="1:8" ht="15" customHeight="1" x14ac:dyDescent="0.25">
      <c r="A3480" t="s">
        <v>5722</v>
      </c>
      <c r="B3480" t="s">
        <v>9761</v>
      </c>
      <c r="C3480" t="s">
        <v>12215</v>
      </c>
      <c r="D3480" t="s">
        <v>13287</v>
      </c>
      <c r="E3480" t="str">
        <f>+VLOOKUP(A3480,[1]PFE4!$A$7:$F$5208,6,0)</f>
        <v>CR 51 96 SUR 50</v>
      </c>
      <c r="F3480" s="17" t="str">
        <f>+VLOOKUP(A3480,[1]PFE4!$A$7:$G$5208,7,0)</f>
        <v>05380</v>
      </c>
      <c r="G3480">
        <v>59442920</v>
      </c>
      <c r="H3480">
        <v>4329</v>
      </c>
    </row>
    <row r="3481" spans="1:8" ht="15" customHeight="1" x14ac:dyDescent="0.25">
      <c r="A3481" t="s">
        <v>5723</v>
      </c>
      <c r="B3481" t="s">
        <v>9762</v>
      </c>
      <c r="C3481" t="s">
        <v>12939</v>
      </c>
      <c r="D3481" t="s">
        <v>13287</v>
      </c>
      <c r="E3481" t="str">
        <f>+VLOOKUP(A3481,[1]PFE4!$A$7:$F$5208,6,0)</f>
        <v>AVENIDA BOYACA  152 B  90</v>
      </c>
      <c r="F3481" s="17">
        <f>+VLOOKUP(A3481,[1]PFE4!$A$7:$G$5208,7,0)</f>
        <v>11001</v>
      </c>
      <c r="G3481">
        <v>59445246</v>
      </c>
      <c r="H3481">
        <v>4329</v>
      </c>
    </row>
    <row r="3482" spans="1:8" ht="15" customHeight="1" x14ac:dyDescent="0.25">
      <c r="A3482" t="s">
        <v>5724</v>
      </c>
      <c r="B3482" t="s">
        <v>9763</v>
      </c>
      <c r="C3482" t="s">
        <v>12940</v>
      </c>
      <c r="D3482" t="s">
        <v>13287</v>
      </c>
      <c r="E3482" t="str">
        <f>+VLOOKUP(A3482,[1]PFE4!$A$7:$F$5208,6,0)</f>
        <v>CALLE 6  1  27</v>
      </c>
      <c r="F3482" s="17">
        <f>+VLOOKUP(A3482,[1]PFE4!$A$7:$G$5208,7,0)</f>
        <v>47001</v>
      </c>
      <c r="G3482">
        <v>59455820</v>
      </c>
      <c r="H3482">
        <v>4329</v>
      </c>
    </row>
    <row r="3483" spans="1:8" ht="15" customHeight="1" x14ac:dyDescent="0.25">
      <c r="A3483" t="s">
        <v>5725</v>
      </c>
      <c r="B3483" t="s">
        <v>9764</v>
      </c>
      <c r="C3483" t="s">
        <v>12941</v>
      </c>
      <c r="D3483" t="s">
        <v>13287</v>
      </c>
      <c r="E3483" t="str">
        <f>+VLOOKUP(A3483,[1]PFE4!$A$7:$F$5208,6,0)</f>
        <v>CARRERA 16  127 B  43</v>
      </c>
      <c r="F3483" s="17">
        <f>+VLOOKUP(A3483,[1]PFE4!$A$7:$G$5208,7,0)</f>
        <v>11001</v>
      </c>
      <c r="G3483">
        <v>59493328</v>
      </c>
      <c r="H3483">
        <v>4329</v>
      </c>
    </row>
    <row r="3484" spans="1:8" ht="15" customHeight="1" x14ac:dyDescent="0.25">
      <c r="A3484" t="s">
        <v>5726</v>
      </c>
      <c r="B3484" t="s">
        <v>9765</v>
      </c>
      <c r="C3484" t="s">
        <v>12942</v>
      </c>
      <c r="D3484" t="s">
        <v>13287</v>
      </c>
      <c r="E3484" t="str">
        <f>+VLOOKUP(A3484,[1]PFE4!$A$7:$F$5208,6,0)</f>
        <v>CL 158 18 81 BARRIO CAÑAVERAL</v>
      </c>
      <c r="F3484" s="17">
        <f>+VLOOKUP(A3484,[1]PFE4!$A$7:$G$5208,7,0)</f>
        <v>11001</v>
      </c>
      <c r="G3484">
        <v>59670900</v>
      </c>
      <c r="H3484">
        <v>4329</v>
      </c>
    </row>
    <row r="3485" spans="1:8" ht="15" customHeight="1" x14ac:dyDescent="0.25">
      <c r="A3485" t="s">
        <v>5727</v>
      </c>
      <c r="B3485" t="s">
        <v>9766</v>
      </c>
      <c r="C3485" t="s">
        <v>12943</v>
      </c>
      <c r="D3485" t="s">
        <v>13287</v>
      </c>
      <c r="E3485" t="str">
        <f>+VLOOKUP(A3485,[1]PFE4!$A$7:$F$5208,6,0)</f>
        <v>CL 30 A 83 25</v>
      </c>
      <c r="F3485" s="17" t="str">
        <f>+VLOOKUP(A3485,[1]PFE4!$A$7:$G$5208,7,0)</f>
        <v>05001</v>
      </c>
      <c r="G3485">
        <v>59739882</v>
      </c>
      <c r="H3485">
        <v>4329</v>
      </c>
    </row>
    <row r="3486" spans="1:8" ht="15" customHeight="1" x14ac:dyDescent="0.25">
      <c r="A3486" t="s">
        <v>5728</v>
      </c>
      <c r="B3486" t="s">
        <v>9767</v>
      </c>
      <c r="C3486" t="s">
        <v>12764</v>
      </c>
      <c r="D3486" t="s">
        <v>13287</v>
      </c>
      <c r="E3486" t="str">
        <f>+VLOOKUP(A3486,[1]PFE4!$A$7:$F$5208,6,0)</f>
        <v>CR 76 20 71</v>
      </c>
      <c r="F3486" s="17">
        <f>+VLOOKUP(A3486,[1]PFE4!$A$7:$G$5208,7,0)</f>
        <v>11001</v>
      </c>
      <c r="G3486">
        <v>59872844</v>
      </c>
      <c r="H3486">
        <v>4329</v>
      </c>
    </row>
    <row r="3487" spans="1:8" ht="15" customHeight="1" x14ac:dyDescent="0.25">
      <c r="A3487" t="s">
        <v>5729</v>
      </c>
      <c r="B3487" t="s">
        <v>9768</v>
      </c>
      <c r="C3487" t="s">
        <v>12944</v>
      </c>
      <c r="D3487" t="s">
        <v>13287</v>
      </c>
      <c r="E3487" t="str">
        <f>+VLOOKUP(A3487,[1]PFE4!$A$7:$F$5208,6,0)</f>
        <v>CR 58 79 121 ED TORRES DILUGANO</v>
      </c>
      <c r="F3487" s="17" t="str">
        <f>+VLOOKUP(A3487,[1]PFE4!$A$7:$G$5208,7,0)</f>
        <v>08001</v>
      </c>
      <c r="G3487">
        <v>59890860</v>
      </c>
      <c r="H3487">
        <v>4329</v>
      </c>
    </row>
    <row r="3488" spans="1:8" ht="15" customHeight="1" x14ac:dyDescent="0.25">
      <c r="A3488" t="s">
        <v>5730</v>
      </c>
      <c r="B3488" t="s">
        <v>9769</v>
      </c>
      <c r="C3488" t="s">
        <v>12792</v>
      </c>
      <c r="D3488" t="s">
        <v>13287</v>
      </c>
      <c r="E3488" t="str">
        <f>+VLOOKUP(A3488,[1]PFE4!$A$7:$F$5208,6,0)</f>
        <v>AVENIDA 8 11 150 URB PARQUE RESIDENCIAL BONAVENTO</v>
      </c>
      <c r="F3488" s="17">
        <f>+VLOOKUP(A3488,[1]PFE4!$A$7:$G$5208,7,0)</f>
        <v>11001</v>
      </c>
      <c r="G3488">
        <v>59918444</v>
      </c>
      <c r="H3488">
        <v>4329</v>
      </c>
    </row>
    <row r="3489" spans="1:8" ht="15" customHeight="1" x14ac:dyDescent="0.25">
      <c r="A3489" t="s">
        <v>5731</v>
      </c>
      <c r="B3489" t="s">
        <v>9770</v>
      </c>
      <c r="C3489">
        <v>0</v>
      </c>
      <c r="D3489" t="s">
        <v>13287</v>
      </c>
      <c r="E3489">
        <v>0</v>
      </c>
      <c r="F3489" s="17">
        <v>11001</v>
      </c>
      <c r="G3489">
        <v>59941600</v>
      </c>
      <c r="H3489">
        <v>4329</v>
      </c>
    </row>
    <row r="3490" spans="1:8" ht="15" customHeight="1" x14ac:dyDescent="0.25">
      <c r="A3490" t="s">
        <v>5732</v>
      </c>
      <c r="B3490" t="s">
        <v>9771</v>
      </c>
      <c r="C3490" t="s">
        <v>12945</v>
      </c>
      <c r="D3490" t="s">
        <v>13287</v>
      </c>
      <c r="E3490" t="str">
        <f>+VLOOKUP(A3490,[1]PFE4!$A$7:$F$5208,6,0)</f>
        <v>CR 59 27B 510</v>
      </c>
      <c r="F3490" s="17" t="str">
        <f>+VLOOKUP(A3490,[1]PFE4!$A$7:$G$5208,7,0)</f>
        <v>05088</v>
      </c>
      <c r="G3490">
        <v>59973194</v>
      </c>
      <c r="H3490">
        <v>4329</v>
      </c>
    </row>
    <row r="3491" spans="1:8" ht="15" customHeight="1" x14ac:dyDescent="0.25">
      <c r="A3491" t="s">
        <v>5733</v>
      </c>
      <c r="B3491" t="s">
        <v>9772</v>
      </c>
      <c r="C3491" t="s">
        <v>12946</v>
      </c>
      <c r="D3491" t="s">
        <v>13287</v>
      </c>
      <c r="E3491" t="str">
        <f>+VLOOKUP(A3491,[1]PFE4!$A$7:$F$5208,6,0)</f>
        <v>CARRERA 41  57 SUR  01</v>
      </c>
      <c r="F3491" s="17" t="str">
        <f>+VLOOKUP(A3491,[1]PFE4!$A$7:$G$5208,7,0)</f>
        <v>05631</v>
      </c>
      <c r="G3491">
        <v>60094128</v>
      </c>
      <c r="H3491">
        <v>4329</v>
      </c>
    </row>
    <row r="3492" spans="1:8" ht="15" customHeight="1" x14ac:dyDescent="0.25">
      <c r="A3492" t="s">
        <v>5734</v>
      </c>
      <c r="B3492" t="s">
        <v>9773</v>
      </c>
      <c r="C3492" t="s">
        <v>12947</v>
      </c>
      <c r="D3492" t="s">
        <v>13287</v>
      </c>
      <c r="E3492" t="str">
        <f>+VLOOKUP(A3492,[1]PFE4!$A$7:$F$5208,6,0)</f>
        <v>CARRERA 11  9  90</v>
      </c>
      <c r="F3492" s="17">
        <f>+VLOOKUP(A3492,[1]PFE4!$A$7:$G$5208,7,0)</f>
        <v>11001</v>
      </c>
      <c r="G3492">
        <v>60231006</v>
      </c>
      <c r="H3492">
        <v>4329</v>
      </c>
    </row>
    <row r="3493" spans="1:8" ht="15" customHeight="1" x14ac:dyDescent="0.25">
      <c r="A3493" t="s">
        <v>5735</v>
      </c>
      <c r="B3493" t="s">
        <v>9774</v>
      </c>
      <c r="C3493" t="s">
        <v>12948</v>
      </c>
      <c r="D3493" t="s">
        <v>13287</v>
      </c>
      <c r="E3493" t="str">
        <f>+VLOOKUP(A3493,[1]PFE4!$A$7:$F$5208,6,0)</f>
        <v>CARRERA 90  65 C  10</v>
      </c>
      <c r="F3493" s="17" t="str">
        <f>+VLOOKUP(A3493,[1]PFE4!$A$7:$G$5208,7,0)</f>
        <v>05001</v>
      </c>
      <c r="G3493">
        <v>60320048</v>
      </c>
      <c r="H3493">
        <v>4329</v>
      </c>
    </row>
    <row r="3494" spans="1:8" ht="15" customHeight="1" x14ac:dyDescent="0.25">
      <c r="A3494" t="s">
        <v>5736</v>
      </c>
      <c r="B3494" t="s">
        <v>9775</v>
      </c>
      <c r="C3494" t="s">
        <v>12949</v>
      </c>
      <c r="D3494" t="s">
        <v>13287</v>
      </c>
      <c r="E3494" t="str">
        <f>+VLOOKUP(A3494,[1]PFE4!$A$7:$F$5208,6,0)</f>
        <v>BRR MANGA CL 25 24 A 16 ED TWINS BAY P 9</v>
      </c>
      <c r="F3494" s="17">
        <f>+VLOOKUP(A3494,[1]PFE4!$A$7:$G$5208,7,0)</f>
        <v>13836</v>
      </c>
      <c r="G3494">
        <v>60616624</v>
      </c>
      <c r="H3494">
        <v>4329</v>
      </c>
    </row>
    <row r="3495" spans="1:8" ht="15" customHeight="1" x14ac:dyDescent="0.25">
      <c r="A3495" t="s">
        <v>5737</v>
      </c>
      <c r="B3495" t="s">
        <v>9776</v>
      </c>
      <c r="C3495" t="s">
        <v>12950</v>
      </c>
      <c r="D3495" t="s">
        <v>13287</v>
      </c>
      <c r="E3495" t="str">
        <f>+VLOOKUP(A3495,[1]PFE4!$A$7:$F$5208,6,0)</f>
        <v>AVENIDA CALLE 24  95 A  80</v>
      </c>
      <c r="F3495" s="17">
        <f>+VLOOKUP(A3495,[1]PFE4!$A$7:$G$5208,7,0)</f>
        <v>11001</v>
      </c>
      <c r="G3495">
        <v>60657450</v>
      </c>
      <c r="H3495">
        <v>4329</v>
      </c>
    </row>
    <row r="3496" spans="1:8" ht="15" customHeight="1" x14ac:dyDescent="0.25">
      <c r="A3496" t="s">
        <v>5738</v>
      </c>
      <c r="B3496" t="s">
        <v>9777</v>
      </c>
      <c r="C3496" t="s">
        <v>12951</v>
      </c>
      <c r="D3496" t="s">
        <v>13287</v>
      </c>
      <c r="E3496" t="str">
        <f>+VLOOKUP(A3496,[1]PFE4!$A$7:$F$5208,6,0)</f>
        <v>CALLE 11  100  121</v>
      </c>
      <c r="F3496" s="17">
        <f>+VLOOKUP(A3496,[1]PFE4!$A$7:$G$5208,7,0)</f>
        <v>11001</v>
      </c>
      <c r="G3496">
        <v>60751946</v>
      </c>
      <c r="H3496">
        <v>4329</v>
      </c>
    </row>
    <row r="3497" spans="1:8" ht="15" customHeight="1" x14ac:dyDescent="0.25">
      <c r="A3497" t="s">
        <v>5739</v>
      </c>
      <c r="B3497" t="s">
        <v>9778</v>
      </c>
      <c r="C3497" t="s">
        <v>12952</v>
      </c>
      <c r="D3497" t="s">
        <v>13287</v>
      </c>
      <c r="E3497" t="str">
        <f>+VLOOKUP(A3497,[1]PFE4!$A$7:$F$5208,6,0)</f>
        <v>CR 30 50 09 URB SANTA CRUZ DE CURINCA</v>
      </c>
      <c r="F3497" s="17">
        <f>+VLOOKUP(A3497,[1]PFE4!$A$7:$G$5208,7,0)</f>
        <v>11001</v>
      </c>
      <c r="G3497">
        <v>60758380</v>
      </c>
      <c r="H3497">
        <v>4329</v>
      </c>
    </row>
    <row r="3498" spans="1:8" ht="15" customHeight="1" x14ac:dyDescent="0.25">
      <c r="A3498" t="s">
        <v>5740</v>
      </c>
      <c r="B3498" t="s">
        <v>9779</v>
      </c>
      <c r="C3498" t="s">
        <v>12953</v>
      </c>
      <c r="D3498" t="s">
        <v>13287</v>
      </c>
      <c r="E3498" t="str">
        <f>+VLOOKUP(A3498,[1]PFE4!$A$7:$F$5208,6,0)</f>
        <v>AVENIDA 4 B  58 N  62</v>
      </c>
      <c r="F3498" s="17">
        <f>+VLOOKUP(A3498,[1]PFE4!$A$7:$G$5208,7,0)</f>
        <v>11001</v>
      </c>
      <c r="G3498">
        <v>60893639</v>
      </c>
      <c r="H3498">
        <v>4329</v>
      </c>
    </row>
    <row r="3499" spans="1:8" ht="15" customHeight="1" x14ac:dyDescent="0.25">
      <c r="A3499" t="s">
        <v>5741</v>
      </c>
      <c r="B3499" t="s">
        <v>9780</v>
      </c>
      <c r="C3499" t="s">
        <v>12954</v>
      </c>
      <c r="D3499" t="s">
        <v>13287</v>
      </c>
      <c r="E3499" t="str">
        <f>+VLOOKUP(A3499,[1]PFE4!$A$7:$F$5208,6,0)</f>
        <v>CALLE 192  11 A  15</v>
      </c>
      <c r="F3499" s="17">
        <f>+VLOOKUP(A3499,[1]PFE4!$A$7:$G$5208,7,0)</f>
        <v>11001</v>
      </c>
      <c r="G3499">
        <v>60925364</v>
      </c>
      <c r="H3499">
        <v>4329</v>
      </c>
    </row>
    <row r="3500" spans="1:8" ht="15" customHeight="1" x14ac:dyDescent="0.25">
      <c r="A3500" t="s">
        <v>5742</v>
      </c>
      <c r="B3500" t="s">
        <v>9781</v>
      </c>
      <c r="C3500" t="s">
        <v>12955</v>
      </c>
      <c r="D3500" t="s">
        <v>13287</v>
      </c>
      <c r="E3500" t="str">
        <f>+VLOOKUP(A3500,[1]PFE4!$A$7:$F$5208,6,0)</f>
        <v>AVENIDA 8  11  46</v>
      </c>
      <c r="F3500" s="17">
        <f>+VLOOKUP(A3500,[1]PFE4!$A$7:$G$5208,7,0)</f>
        <v>54001</v>
      </c>
      <c r="G3500">
        <v>61008872</v>
      </c>
      <c r="H3500">
        <v>4329</v>
      </c>
    </row>
    <row r="3501" spans="1:8" ht="15" customHeight="1" x14ac:dyDescent="0.25">
      <c r="A3501" t="s">
        <v>5743</v>
      </c>
      <c r="B3501" t="s">
        <v>9782</v>
      </c>
      <c r="C3501" t="s">
        <v>12956</v>
      </c>
      <c r="D3501" t="s">
        <v>13287</v>
      </c>
      <c r="E3501" t="str">
        <f>+VLOOKUP(A3501,[1]PFE4!$A$7:$F$5208,6,0)</f>
        <v>CALLE 143 A  54  80</v>
      </c>
      <c r="F3501" s="17">
        <f>+VLOOKUP(A3501,[1]PFE4!$A$7:$G$5208,7,0)</f>
        <v>11001</v>
      </c>
      <c r="G3501">
        <v>61126326</v>
      </c>
      <c r="H3501">
        <v>4329</v>
      </c>
    </row>
    <row r="3502" spans="1:8" ht="15" customHeight="1" x14ac:dyDescent="0.25">
      <c r="A3502" t="s">
        <v>5744</v>
      </c>
      <c r="B3502" t="s">
        <v>9783</v>
      </c>
      <c r="C3502" t="s">
        <v>12031</v>
      </c>
      <c r="D3502" t="s">
        <v>13287</v>
      </c>
      <c r="E3502" t="str">
        <f>+VLOOKUP(A3502,[1]PFE4!$A$7:$F$5208,6,0)</f>
        <v>CALLE 58  4 B  45</v>
      </c>
      <c r="F3502" s="17">
        <f>+VLOOKUP(A3502,[1]PFE4!$A$7:$G$5208,7,0)</f>
        <v>11001</v>
      </c>
      <c r="G3502">
        <v>61182320</v>
      </c>
      <c r="H3502">
        <v>4329</v>
      </c>
    </row>
    <row r="3503" spans="1:8" ht="15" customHeight="1" x14ac:dyDescent="0.25">
      <c r="A3503" t="s">
        <v>5745</v>
      </c>
      <c r="B3503" t="s">
        <v>9784</v>
      </c>
      <c r="C3503" t="s">
        <v>12957</v>
      </c>
      <c r="D3503" t="s">
        <v>13287</v>
      </c>
      <c r="E3503" t="str">
        <f>+VLOOKUP(A3503,[1]PFE4!$A$7:$F$5208,6,0)</f>
        <v>CALLE 73  9  42</v>
      </c>
      <c r="F3503" s="17">
        <f>+VLOOKUP(A3503,[1]PFE4!$A$7:$G$5208,7,0)</f>
        <v>11001</v>
      </c>
      <c r="G3503">
        <v>61251329</v>
      </c>
      <c r="H3503">
        <v>4329</v>
      </c>
    </row>
    <row r="3504" spans="1:8" ht="15" customHeight="1" x14ac:dyDescent="0.25">
      <c r="A3504" t="s">
        <v>5746</v>
      </c>
      <c r="B3504" t="s">
        <v>9785</v>
      </c>
      <c r="C3504" t="s">
        <v>12958</v>
      </c>
      <c r="D3504" t="s">
        <v>13287</v>
      </c>
      <c r="E3504" t="str">
        <f>+VLOOKUP(A3504,[1]PFE4!$A$7:$F$5208,6,0)</f>
        <v>CR 77 20 53 LOCALIDAD FONTIBON</v>
      </c>
      <c r="F3504" s="17">
        <f>+VLOOKUP(A3504,[1]PFE4!$A$7:$G$5208,7,0)</f>
        <v>11001</v>
      </c>
      <c r="G3504">
        <v>61310848</v>
      </c>
      <c r="H3504">
        <v>4329</v>
      </c>
    </row>
    <row r="3505" spans="1:8" ht="15" customHeight="1" x14ac:dyDescent="0.25">
      <c r="A3505" t="s">
        <v>5747</v>
      </c>
      <c r="B3505" t="s">
        <v>9786</v>
      </c>
      <c r="C3505" t="s">
        <v>12959</v>
      </c>
      <c r="D3505" t="s">
        <v>13287</v>
      </c>
      <c r="E3505" t="str">
        <f>+VLOOKUP(A3505,[1]PFE4!$A$7:$F$5208,6,0)</f>
        <v>CALLE 61  75  116</v>
      </c>
      <c r="F3505" s="17" t="str">
        <f>+VLOOKUP(A3505,[1]PFE4!$A$7:$G$5208,7,0)</f>
        <v>05001</v>
      </c>
      <c r="G3505">
        <v>61503426</v>
      </c>
      <c r="H3505">
        <v>4329</v>
      </c>
    </row>
    <row r="3506" spans="1:8" ht="15" customHeight="1" x14ac:dyDescent="0.25">
      <c r="A3506" t="s">
        <v>5748</v>
      </c>
      <c r="B3506" t="s">
        <v>9787</v>
      </c>
      <c r="C3506" t="s">
        <v>12960</v>
      </c>
      <c r="D3506" t="s">
        <v>13287</v>
      </c>
      <c r="E3506" t="str">
        <f>+VLOOKUP(A3506,[1]PFE4!$A$7:$F$5208,6,0)</f>
        <v>BRR CRESPO CR 7 67 77</v>
      </c>
      <c r="F3506" s="17">
        <f>+VLOOKUP(A3506,[1]PFE4!$A$7:$G$5208,7,0)</f>
        <v>11001</v>
      </c>
      <c r="G3506">
        <v>62035770</v>
      </c>
      <c r="H3506">
        <v>4329</v>
      </c>
    </row>
    <row r="3507" spans="1:8" ht="15" customHeight="1" x14ac:dyDescent="0.25">
      <c r="A3507" t="s">
        <v>5749</v>
      </c>
      <c r="B3507" t="s">
        <v>9788</v>
      </c>
      <c r="C3507" t="s">
        <v>12961</v>
      </c>
      <c r="D3507" t="s">
        <v>13287</v>
      </c>
      <c r="E3507" t="str">
        <f>+VLOOKUP(A3507,[1]PFE4!$A$7:$F$5208,6,0)</f>
        <v>CALLE 10 A  80  41</v>
      </c>
      <c r="F3507" s="17">
        <f>+VLOOKUP(A3507,[1]PFE4!$A$7:$G$5208,7,0)</f>
        <v>11001</v>
      </c>
      <c r="G3507">
        <v>62085446</v>
      </c>
      <c r="H3507">
        <v>4329</v>
      </c>
    </row>
    <row r="3508" spans="1:8" ht="15" customHeight="1" x14ac:dyDescent="0.25">
      <c r="A3508" t="s">
        <v>5750</v>
      </c>
      <c r="B3508" t="s">
        <v>9789</v>
      </c>
      <c r="C3508" t="s">
        <v>12962</v>
      </c>
      <c r="D3508" t="s">
        <v>13287</v>
      </c>
      <c r="E3508" t="str">
        <f>+VLOOKUP(A3508,[1]PFE4!$A$7:$F$5208,6,0)</f>
        <v>CALLE 51  23  95</v>
      </c>
      <c r="F3508" s="17">
        <f>+VLOOKUP(A3508,[1]PFE4!$A$7:$G$5208,7,0)</f>
        <v>68001</v>
      </c>
      <c r="G3508">
        <v>62182280</v>
      </c>
      <c r="H3508">
        <v>4329</v>
      </c>
    </row>
    <row r="3509" spans="1:8" ht="15" customHeight="1" x14ac:dyDescent="0.25">
      <c r="A3509" t="s">
        <v>5751</v>
      </c>
      <c r="B3509" t="s">
        <v>9790</v>
      </c>
      <c r="C3509" t="s">
        <v>12963</v>
      </c>
      <c r="D3509" t="s">
        <v>13287</v>
      </c>
      <c r="E3509" t="str">
        <f>+VLOOKUP(A3509,[1]PFE4!$A$7:$F$5208,6,0)</f>
        <v>DIAGONAL 25  25 B  234</v>
      </c>
      <c r="F3509" s="17">
        <f>+VLOOKUP(A3509,[1]PFE4!$A$7:$G$5208,7,0)</f>
        <v>66170</v>
      </c>
      <c r="G3509">
        <v>62183408</v>
      </c>
      <c r="H3509">
        <v>4329</v>
      </c>
    </row>
    <row r="3510" spans="1:8" ht="15" customHeight="1" x14ac:dyDescent="0.25">
      <c r="A3510" t="s">
        <v>5752</v>
      </c>
      <c r="B3510" t="s">
        <v>9791</v>
      </c>
      <c r="C3510" t="s">
        <v>12964</v>
      </c>
      <c r="D3510" t="s">
        <v>13287</v>
      </c>
      <c r="E3510" t="str">
        <f>+VLOOKUP(A3510,[1]PFE4!$A$7:$F$5208,6,0)</f>
        <v>TRANSVERSAL 9  56 A N  58</v>
      </c>
      <c r="F3510" s="17">
        <f>+VLOOKUP(A3510,[1]PFE4!$A$7:$G$5208,7,0)</f>
        <v>19001</v>
      </c>
      <c r="G3510">
        <v>62262412</v>
      </c>
      <c r="H3510">
        <v>4329</v>
      </c>
    </row>
    <row r="3511" spans="1:8" ht="15" customHeight="1" x14ac:dyDescent="0.25">
      <c r="A3511" t="s">
        <v>5753</v>
      </c>
      <c r="B3511" t="s">
        <v>9792</v>
      </c>
      <c r="C3511" t="s">
        <v>12965</v>
      </c>
      <c r="D3511" t="s">
        <v>13287</v>
      </c>
      <c r="E3511" t="str">
        <f>+VLOOKUP(A3511,[1]PFE4!$A$7:$F$5208,6,0)</f>
        <v>CRA 57 78 30</v>
      </c>
      <c r="F3511" s="17" t="str">
        <f>+VLOOKUP(A3511,[1]PFE4!$A$7:$G$5208,7,0)</f>
        <v>08001</v>
      </c>
      <c r="G3511">
        <v>62708800</v>
      </c>
      <c r="H3511">
        <v>4329</v>
      </c>
    </row>
    <row r="3512" spans="1:8" ht="15" customHeight="1" x14ac:dyDescent="0.25">
      <c r="A3512" t="s">
        <v>5754</v>
      </c>
      <c r="B3512" t="s">
        <v>9793</v>
      </c>
      <c r="C3512" t="s">
        <v>12966</v>
      </c>
      <c r="D3512" t="s">
        <v>13287</v>
      </c>
      <c r="E3512" t="str">
        <f>+VLOOKUP(A3512,[1]PFE4!$A$7:$F$5208,6,0)</f>
        <v>Carrera 35 # 15B - 143</v>
      </c>
      <c r="F3512" s="17" t="str">
        <f>+VLOOKUP(A3512,[1]PFE4!$A$7:$G$5208,7,0)</f>
        <v>05001</v>
      </c>
      <c r="G3512">
        <v>62877580</v>
      </c>
      <c r="H3512">
        <v>4329</v>
      </c>
    </row>
    <row r="3513" spans="1:8" ht="15" customHeight="1" x14ac:dyDescent="0.25">
      <c r="A3513" t="s">
        <v>5755</v>
      </c>
      <c r="B3513" t="s">
        <v>9794</v>
      </c>
      <c r="C3513">
        <v>3219664011</v>
      </c>
      <c r="D3513" t="s">
        <v>13287</v>
      </c>
      <c r="E3513" t="str">
        <f>+VLOOKUP(A3513,[1]PFE4!$A$7:$F$5208,6,0)</f>
        <v>CALLE 65  97 A E  20</v>
      </c>
      <c r="F3513" s="17" t="str">
        <f>+VLOOKUP(A3513,[1]PFE4!$A$7:$G$5208,7,0)</f>
        <v>05001</v>
      </c>
      <c r="G3513">
        <v>63190216</v>
      </c>
      <c r="H3513">
        <v>4329</v>
      </c>
    </row>
    <row r="3514" spans="1:8" ht="15" customHeight="1" x14ac:dyDescent="0.25">
      <c r="A3514" t="s">
        <v>5756</v>
      </c>
      <c r="B3514" t="s">
        <v>9795</v>
      </c>
      <c r="C3514" t="s">
        <v>11928</v>
      </c>
      <c r="D3514" t="s">
        <v>13287</v>
      </c>
      <c r="E3514" t="str">
        <f>+VLOOKUP(A3514,[1]PFE4!$A$7:$F$5208,6,0)</f>
        <v>CARRERA 7  67  02  APARTAMENTO 504</v>
      </c>
      <c r="F3514" s="17">
        <f>+VLOOKUP(A3514,[1]PFE4!$A$7:$G$5208,7,0)</f>
        <v>11001</v>
      </c>
      <c r="G3514">
        <v>63201302</v>
      </c>
      <c r="H3514">
        <v>4329</v>
      </c>
    </row>
    <row r="3515" spans="1:8" ht="15" customHeight="1" x14ac:dyDescent="0.25">
      <c r="A3515" t="s">
        <v>5757</v>
      </c>
      <c r="B3515" t="s">
        <v>9796</v>
      </c>
      <c r="C3515" t="s">
        <v>12967</v>
      </c>
      <c r="D3515" t="s">
        <v>13287</v>
      </c>
      <c r="E3515" t="str">
        <f>+VLOOKUP(A3515,[1]PFE4!$A$7:$F$5208,6,0)</f>
        <v>CALLE 97  70 C  69</v>
      </c>
      <c r="F3515" s="17">
        <f>+VLOOKUP(A3515,[1]PFE4!$A$7:$G$5208,7,0)</f>
        <v>11001</v>
      </c>
      <c r="G3515">
        <v>63408152</v>
      </c>
      <c r="H3515">
        <v>4329</v>
      </c>
    </row>
    <row r="3516" spans="1:8" ht="15" customHeight="1" x14ac:dyDescent="0.25">
      <c r="A3516" t="s">
        <v>5758</v>
      </c>
      <c r="B3516" t="s">
        <v>9797</v>
      </c>
      <c r="C3516">
        <v>0</v>
      </c>
      <c r="D3516" t="s">
        <v>13287</v>
      </c>
      <c r="E3516">
        <v>0</v>
      </c>
      <c r="F3516" s="17">
        <v>11001</v>
      </c>
      <c r="G3516">
        <v>63548600</v>
      </c>
      <c r="H3516">
        <v>4329</v>
      </c>
    </row>
    <row r="3517" spans="1:8" ht="15" customHeight="1" x14ac:dyDescent="0.25">
      <c r="A3517" t="s">
        <v>5759</v>
      </c>
      <c r="B3517" t="s">
        <v>9798</v>
      </c>
      <c r="C3517" t="s">
        <v>12968</v>
      </c>
      <c r="D3517" t="s">
        <v>13287</v>
      </c>
      <c r="E3517" t="str">
        <f>+VLOOKUP(A3517,[1]PFE4!$A$7:$F$5208,6,0)</f>
        <v>CALLE 85  47  11</v>
      </c>
      <c r="F3517" s="17" t="str">
        <f>+VLOOKUP(A3517,[1]PFE4!$A$7:$G$5208,7,0)</f>
        <v>08001</v>
      </c>
      <c r="G3517">
        <v>63596799</v>
      </c>
      <c r="H3517">
        <v>4329</v>
      </c>
    </row>
    <row r="3518" spans="1:8" ht="15" customHeight="1" x14ac:dyDescent="0.25">
      <c r="A3518" t="s">
        <v>5760</v>
      </c>
      <c r="B3518" t="s">
        <v>9799</v>
      </c>
      <c r="C3518" t="s">
        <v>12969</v>
      </c>
      <c r="D3518" t="s">
        <v>13287</v>
      </c>
      <c r="E3518" t="str">
        <f>+VLOOKUP(A3518,[1]PFE4!$A$7:$F$5208,6,0)</f>
        <v>CR 3 9 220</v>
      </c>
      <c r="F3518" s="17">
        <f>+VLOOKUP(A3518,[1]PFE4!$A$7:$G$5208,7,0)</f>
        <v>11001</v>
      </c>
      <c r="G3518">
        <v>63598827</v>
      </c>
      <c r="H3518">
        <v>4329</v>
      </c>
    </row>
    <row r="3519" spans="1:8" ht="15" customHeight="1" x14ac:dyDescent="0.25">
      <c r="A3519" t="s">
        <v>5761</v>
      </c>
      <c r="B3519" t="s">
        <v>9800</v>
      </c>
      <c r="C3519" t="s">
        <v>12970</v>
      </c>
      <c r="D3519" t="s">
        <v>13287</v>
      </c>
      <c r="E3519" t="str">
        <f>+VLOOKUP(A3519,[1]PFE4!$A$7:$F$5208,6,0)</f>
        <v>CALLE 85  50  167</v>
      </c>
      <c r="F3519" s="17" t="str">
        <f>+VLOOKUP(A3519,[1]PFE4!$A$7:$G$5208,7,0)</f>
        <v>08001</v>
      </c>
      <c r="G3519">
        <v>63684963</v>
      </c>
      <c r="H3519">
        <v>4329</v>
      </c>
    </row>
    <row r="3520" spans="1:8" ht="15" customHeight="1" x14ac:dyDescent="0.25">
      <c r="A3520" t="s">
        <v>5762</v>
      </c>
      <c r="B3520" t="s">
        <v>9801</v>
      </c>
      <c r="C3520" t="s">
        <v>12971</v>
      </c>
      <c r="D3520" t="s">
        <v>13287</v>
      </c>
      <c r="E3520" t="str">
        <f>+VLOOKUP(A3520,[1]PFE4!$A$7:$F$5208,6,0)</f>
        <v>CARRERA 104 44-69</v>
      </c>
      <c r="F3520" s="17">
        <f>+VLOOKUP(A3520,[1]PFE4!$A$7:$G$5208,7,0)</f>
        <v>11001</v>
      </c>
      <c r="G3520">
        <v>63797468</v>
      </c>
      <c r="H3520">
        <v>4329</v>
      </c>
    </row>
    <row r="3521" spans="1:8" ht="15" customHeight="1" x14ac:dyDescent="0.25">
      <c r="A3521" t="s">
        <v>5763</v>
      </c>
      <c r="B3521" t="s">
        <v>9802</v>
      </c>
      <c r="C3521" t="s">
        <v>12429</v>
      </c>
      <c r="D3521" t="s">
        <v>13287</v>
      </c>
      <c r="E3521" t="str">
        <f>+VLOOKUP(A3521,[1]PFE4!$A$7:$F$5208,6,0)</f>
        <v>CARRERA 99  65  300</v>
      </c>
      <c r="F3521" s="17" t="str">
        <f>+VLOOKUP(A3521,[1]PFE4!$A$7:$G$5208,7,0)</f>
        <v>05001</v>
      </c>
      <c r="G3521">
        <v>64010084</v>
      </c>
      <c r="H3521">
        <v>4329</v>
      </c>
    </row>
    <row r="3522" spans="1:8" ht="15" customHeight="1" x14ac:dyDescent="0.25">
      <c r="A3522" t="s">
        <v>5764</v>
      </c>
      <c r="B3522" t="s">
        <v>9803</v>
      </c>
      <c r="C3522" t="s">
        <v>12972</v>
      </c>
      <c r="D3522" t="s">
        <v>13287</v>
      </c>
      <c r="E3522" t="str">
        <f>+VLOOKUP(A3522,[1]PFE4!$A$7:$F$5208,6,0)</f>
        <v>AV UNIVERSITARIA 29 92</v>
      </c>
      <c r="F3522" s="17">
        <f>+VLOOKUP(A3522,[1]PFE4!$A$7:$G$5208,7,0)</f>
        <v>11001</v>
      </c>
      <c r="G3522">
        <v>64112825</v>
      </c>
      <c r="H3522">
        <v>4329</v>
      </c>
    </row>
    <row r="3523" spans="1:8" ht="15" customHeight="1" x14ac:dyDescent="0.25">
      <c r="A3523" t="s">
        <v>5765</v>
      </c>
      <c r="B3523" t="s">
        <v>9804</v>
      </c>
      <c r="C3523" t="s">
        <v>12973</v>
      </c>
      <c r="D3523" t="s">
        <v>13287</v>
      </c>
      <c r="E3523" t="str">
        <f>+VLOOKUP(A3523,[1]PFE4!$A$7:$F$5208,6,0)</f>
        <v>BELLA VISTA CRA 57 9 29</v>
      </c>
      <c r="F3523" s="17">
        <f>+VLOOKUP(A3523,[1]PFE4!$A$7:$G$5208,7,0)</f>
        <v>11001</v>
      </c>
      <c r="G3523">
        <v>64114012</v>
      </c>
      <c r="H3523">
        <v>4329</v>
      </c>
    </row>
    <row r="3524" spans="1:8" ht="15" customHeight="1" x14ac:dyDescent="0.25">
      <c r="A3524" t="s">
        <v>5766</v>
      </c>
      <c r="B3524" t="s">
        <v>9490</v>
      </c>
      <c r="C3524" t="s">
        <v>12974</v>
      </c>
      <c r="D3524" t="s">
        <v>13287</v>
      </c>
      <c r="E3524" t="str">
        <f>+VLOOKUP(A3524,[1]PFE4!$A$7:$F$5208,6,0)</f>
        <v>SEC UNIVERSIDAD SAN BUENAVENTURA SUPERMANZANA 8 HOY CL 32 80 965</v>
      </c>
      <c r="F3524" s="17">
        <f>+VLOOKUP(A3524,[1]PFE4!$A$7:$G$5208,7,0)</f>
        <v>13001</v>
      </c>
      <c r="G3524">
        <v>64260000</v>
      </c>
      <c r="H3524">
        <v>4329</v>
      </c>
    </row>
    <row r="3525" spans="1:8" ht="15" customHeight="1" x14ac:dyDescent="0.25">
      <c r="A3525" t="s">
        <v>5767</v>
      </c>
      <c r="B3525" t="s">
        <v>9805</v>
      </c>
      <c r="C3525" t="s">
        <v>11875</v>
      </c>
      <c r="D3525" t="s">
        <v>13287</v>
      </c>
      <c r="E3525" t="str">
        <f>+VLOOKUP(A3525,[1]PFE4!$A$7:$F$5208,6,0)</f>
        <v>CL 38B 86-43 BRR TERNERA</v>
      </c>
      <c r="F3525" s="17">
        <f>+VLOOKUP(A3525,[1]PFE4!$A$7:$G$5208,7,0)</f>
        <v>11001</v>
      </c>
      <c r="G3525">
        <v>64287600</v>
      </c>
      <c r="H3525">
        <v>4329</v>
      </c>
    </row>
    <row r="3526" spans="1:8" ht="15" customHeight="1" x14ac:dyDescent="0.25">
      <c r="A3526" t="s">
        <v>5768</v>
      </c>
      <c r="B3526" t="s">
        <v>9806</v>
      </c>
      <c r="C3526" t="s">
        <v>12975</v>
      </c>
      <c r="D3526" t="s">
        <v>13287</v>
      </c>
      <c r="E3526" t="str">
        <f>+VLOOKUP(A3526,[1]PFE4!$A$7:$F$5208,6,0)</f>
        <v>CALLE 15  16  108 LOCAL 18</v>
      </c>
      <c r="F3526" s="17">
        <f>+VLOOKUP(A3526,[1]PFE4!$A$7:$G$5208,7,0)</f>
        <v>11001</v>
      </c>
      <c r="G3526">
        <v>64289691</v>
      </c>
      <c r="H3526">
        <v>4329</v>
      </c>
    </row>
    <row r="3527" spans="1:8" ht="15" customHeight="1" x14ac:dyDescent="0.25">
      <c r="A3527" t="s">
        <v>5769</v>
      </c>
      <c r="B3527" t="s">
        <v>9807</v>
      </c>
      <c r="C3527" t="s">
        <v>12976</v>
      </c>
      <c r="D3527" t="s">
        <v>13287</v>
      </c>
      <c r="E3527" t="str">
        <f>+VLOOKUP(A3527,[1]PFE4!$A$7:$F$5208,6,0)</f>
        <v>CARRERA 22 SUR  129  00</v>
      </c>
      <c r="F3527" s="17">
        <f>+VLOOKUP(A3527,[1]PFE4!$A$7:$G$5208,7,0)</f>
        <v>73001</v>
      </c>
      <c r="G3527">
        <v>64388508</v>
      </c>
      <c r="H3527">
        <v>4329</v>
      </c>
    </row>
    <row r="3528" spans="1:8" ht="15" customHeight="1" x14ac:dyDescent="0.25">
      <c r="A3528" t="s">
        <v>5770</v>
      </c>
      <c r="B3528" t="s">
        <v>9808</v>
      </c>
      <c r="C3528" t="s">
        <v>12977</v>
      </c>
      <c r="D3528" t="s">
        <v>13287</v>
      </c>
      <c r="E3528" t="str">
        <f>+VLOOKUP(A3528,[1]PFE4!$A$7:$F$5208,6,0)</f>
        <v>CR 50 152 57</v>
      </c>
      <c r="F3528" s="17">
        <f>+VLOOKUP(A3528,[1]PFE4!$A$7:$G$5208,7,0)</f>
        <v>11001</v>
      </c>
      <c r="G3528">
        <v>64598400</v>
      </c>
      <c r="H3528">
        <v>4329</v>
      </c>
    </row>
    <row r="3529" spans="1:8" ht="15" customHeight="1" x14ac:dyDescent="0.25">
      <c r="A3529" t="s">
        <v>5771</v>
      </c>
      <c r="B3529" t="s">
        <v>9809</v>
      </c>
      <c r="C3529" t="s">
        <v>12978</v>
      </c>
      <c r="D3529" t="s">
        <v>13287</v>
      </c>
      <c r="E3529" t="str">
        <f>+VLOOKUP(A3529,[1]PFE4!$A$7:$F$5208,6,0)</f>
        <v>CL 161 54 25</v>
      </c>
      <c r="F3529" s="17">
        <f>+VLOOKUP(A3529,[1]PFE4!$A$7:$G$5208,7,0)</f>
        <v>11001</v>
      </c>
      <c r="G3529">
        <v>64711097</v>
      </c>
      <c r="H3529">
        <v>4329</v>
      </c>
    </row>
    <row r="3530" spans="1:8" ht="15" customHeight="1" x14ac:dyDescent="0.25">
      <c r="A3530" t="s">
        <v>5772</v>
      </c>
      <c r="B3530" t="s">
        <v>9810</v>
      </c>
      <c r="C3530" t="s">
        <v>12979</v>
      </c>
      <c r="D3530" t="s">
        <v>13287</v>
      </c>
      <c r="E3530" t="str">
        <f>+VLOOKUP(A3530,[1]PFE4!$A$7:$F$5208,6,0)</f>
        <v>AVENIDA 5 B  58 NORTE  67</v>
      </c>
      <c r="F3530" s="17">
        <f>+VLOOKUP(A3530,[1]PFE4!$A$7:$G$5208,7,0)</f>
        <v>11001</v>
      </c>
      <c r="G3530">
        <v>64807032</v>
      </c>
      <c r="H3530">
        <v>4329</v>
      </c>
    </row>
    <row r="3531" spans="1:8" ht="15" customHeight="1" x14ac:dyDescent="0.25">
      <c r="A3531" t="s">
        <v>5773</v>
      </c>
      <c r="B3531" t="s">
        <v>9811</v>
      </c>
      <c r="C3531" t="s">
        <v>12980</v>
      </c>
      <c r="D3531" t="s">
        <v>13287</v>
      </c>
      <c r="E3531" t="str">
        <f>+VLOOKUP(A3531,[1]PFE4!$A$7:$F$5208,6,0)</f>
        <v>AV CALLE 100 11 B  67</v>
      </c>
      <c r="F3531" s="17">
        <f>+VLOOKUP(A3531,[1]PFE4!$A$7:$G$5208,7,0)</f>
        <v>11001</v>
      </c>
      <c r="G3531">
        <v>64967392</v>
      </c>
      <c r="H3531">
        <v>4329</v>
      </c>
    </row>
    <row r="3532" spans="1:8" ht="15" customHeight="1" x14ac:dyDescent="0.25">
      <c r="A3532" t="s">
        <v>5774</v>
      </c>
      <c r="B3532" t="s">
        <v>9812</v>
      </c>
      <c r="C3532" t="s">
        <v>12981</v>
      </c>
      <c r="D3532" t="s">
        <v>13287</v>
      </c>
      <c r="E3532" t="str">
        <f>+VLOOKUP(A3532,[1]PFE4!$A$7:$F$5208,6,0)</f>
        <v>CR 67 4 G 68</v>
      </c>
      <c r="F3532" s="17">
        <f>+VLOOKUP(A3532,[1]PFE4!$A$7:$G$5208,7,0)</f>
        <v>11001</v>
      </c>
      <c r="G3532">
        <v>65099293</v>
      </c>
      <c r="H3532">
        <v>4329</v>
      </c>
    </row>
    <row r="3533" spans="1:8" ht="15" customHeight="1" x14ac:dyDescent="0.25">
      <c r="A3533" t="s">
        <v>5775</v>
      </c>
      <c r="B3533" t="s">
        <v>9813</v>
      </c>
      <c r="C3533" t="s">
        <v>12982</v>
      </c>
      <c r="D3533" t="s">
        <v>13287</v>
      </c>
      <c r="E3533" t="str">
        <f>+VLOOKUP(A3533,[1]PFE4!$A$7:$F$5208,6,0)</f>
        <v>CALLE 13 SUR  10 ESTE  41</v>
      </c>
      <c r="F3533" s="17">
        <f>+VLOOKUP(A3533,[1]PFE4!$A$7:$G$5208,7,0)</f>
        <v>11001</v>
      </c>
      <c r="G3533">
        <v>65148494</v>
      </c>
      <c r="H3533">
        <v>4329</v>
      </c>
    </row>
    <row r="3534" spans="1:8" ht="15" customHeight="1" x14ac:dyDescent="0.25">
      <c r="A3534" t="s">
        <v>5776</v>
      </c>
      <c r="B3534" t="s">
        <v>9814</v>
      </c>
      <c r="C3534" t="s">
        <v>12983</v>
      </c>
      <c r="D3534" t="s">
        <v>13287</v>
      </c>
      <c r="E3534" t="str">
        <f>+VLOOKUP(A3534,[1]PFE4!$A$7:$F$5208,6,0)</f>
        <v>CR 24 39 27</v>
      </c>
      <c r="F3534" s="17" t="str">
        <f>+VLOOKUP(A3534,[1]PFE4!$A$7:$G$5208,7,0)</f>
        <v>08758</v>
      </c>
      <c r="G3534">
        <v>65294900</v>
      </c>
      <c r="H3534">
        <v>4329</v>
      </c>
    </row>
    <row r="3535" spans="1:8" ht="15" customHeight="1" x14ac:dyDescent="0.25">
      <c r="A3535" t="s">
        <v>5777</v>
      </c>
      <c r="B3535" t="s">
        <v>9815</v>
      </c>
      <c r="C3535" t="s">
        <v>12984</v>
      </c>
      <c r="D3535" t="s">
        <v>13287</v>
      </c>
      <c r="E3535" t="str">
        <f>+VLOOKUP(A3535,[1]PFE4!$A$7:$F$5208,6,0)</f>
        <v>TRANSVERSAL 54 CARRETERA LA CORDIALIDAD LOTE 3</v>
      </c>
      <c r="F3535" s="17">
        <f>+VLOOKUP(A3535,[1]PFE4!$A$7:$G$5208,7,0)</f>
        <v>11001</v>
      </c>
      <c r="G3535">
        <v>65318940</v>
      </c>
      <c r="H3535">
        <v>4329</v>
      </c>
    </row>
    <row r="3536" spans="1:8" ht="15" customHeight="1" x14ac:dyDescent="0.25">
      <c r="A3536" t="s">
        <v>5778</v>
      </c>
      <c r="B3536" t="s">
        <v>9816</v>
      </c>
      <c r="C3536" t="s">
        <v>12661</v>
      </c>
      <c r="D3536" t="s">
        <v>13287</v>
      </c>
      <c r="E3536" t="str">
        <f>+VLOOKUP(A3536,[1]PFE4!$A$7:$F$5208,6,0)</f>
        <v>CL 62 SUR 44 59</v>
      </c>
      <c r="F3536" s="17" t="str">
        <f>+VLOOKUP(A3536,[1]PFE4!$A$7:$G$5208,7,0)</f>
        <v>05631</v>
      </c>
      <c r="G3536">
        <v>65505840</v>
      </c>
      <c r="H3536">
        <v>4329</v>
      </c>
    </row>
    <row r="3537" spans="1:8" ht="15" customHeight="1" x14ac:dyDescent="0.25">
      <c r="A3537" t="s">
        <v>5779</v>
      </c>
      <c r="B3537" t="s">
        <v>9817</v>
      </c>
      <c r="C3537" t="s">
        <v>12985</v>
      </c>
      <c r="D3537" t="s">
        <v>13287</v>
      </c>
      <c r="E3537" t="str">
        <f>+VLOOKUP(A3537,[1]PFE4!$A$7:$F$5208,6,0)</f>
        <v>CALLE 152 A  14 A  36</v>
      </c>
      <c r="F3537" s="17">
        <f>+VLOOKUP(A3537,[1]PFE4!$A$7:$G$5208,7,0)</f>
        <v>11001</v>
      </c>
      <c r="G3537">
        <v>65520139</v>
      </c>
      <c r="H3537">
        <v>4329</v>
      </c>
    </row>
    <row r="3538" spans="1:8" ht="15" customHeight="1" x14ac:dyDescent="0.25">
      <c r="A3538" t="s">
        <v>5780</v>
      </c>
      <c r="B3538" t="s">
        <v>9818</v>
      </c>
      <c r="C3538" t="s">
        <v>12264</v>
      </c>
      <c r="D3538" t="s">
        <v>13287</v>
      </c>
      <c r="E3538" t="str">
        <f>+VLOOKUP(A3538,[1]PFE4!$A$7:$F$5208,6,0)</f>
        <v>CL 75 SUR 42 97</v>
      </c>
      <c r="F3538" s="17" t="str">
        <f>+VLOOKUP(A3538,[1]PFE4!$A$7:$G$5208,7,0)</f>
        <v>05631</v>
      </c>
      <c r="G3538">
        <v>65641026</v>
      </c>
      <c r="H3538">
        <v>4329</v>
      </c>
    </row>
    <row r="3539" spans="1:8" ht="15" customHeight="1" x14ac:dyDescent="0.25">
      <c r="A3539" t="s">
        <v>5781</v>
      </c>
      <c r="B3539" t="s">
        <v>9819</v>
      </c>
      <c r="C3539" t="s">
        <v>12986</v>
      </c>
      <c r="D3539" t="s">
        <v>13287</v>
      </c>
      <c r="E3539" t="str">
        <f>+VLOOKUP(A3539,[1]PFE4!$A$7:$F$5208,6,0)</f>
        <v>CALLE 13  1 E  74</v>
      </c>
      <c r="F3539" s="17">
        <f>+VLOOKUP(A3539,[1]PFE4!$A$7:$G$5208,7,0)</f>
        <v>11001</v>
      </c>
      <c r="G3539">
        <v>65664370</v>
      </c>
      <c r="H3539">
        <v>4329</v>
      </c>
    </row>
    <row r="3540" spans="1:8" ht="15" customHeight="1" x14ac:dyDescent="0.25">
      <c r="A3540" t="s">
        <v>5782</v>
      </c>
      <c r="B3540" t="s">
        <v>9820</v>
      </c>
      <c r="C3540">
        <v>3219664011</v>
      </c>
      <c r="D3540" t="s">
        <v>13287</v>
      </c>
      <c r="E3540" t="str">
        <f>+VLOOKUP(A3540,[1]PFE4!$A$7:$F$5208,6,0)</f>
        <v>CARRERA 2  1  60</v>
      </c>
      <c r="F3540" s="17">
        <f>+VLOOKUP(A3540,[1]PFE4!$A$7:$G$5208,7,0)</f>
        <v>76001</v>
      </c>
      <c r="G3540">
        <v>65869174</v>
      </c>
      <c r="H3540">
        <v>4329</v>
      </c>
    </row>
    <row r="3541" spans="1:8" ht="15" customHeight="1" x14ac:dyDescent="0.25">
      <c r="A3541" t="s">
        <v>5783</v>
      </c>
      <c r="B3541" t="s">
        <v>9821</v>
      </c>
      <c r="C3541" t="s">
        <v>12987</v>
      </c>
      <c r="D3541" t="s">
        <v>13287</v>
      </c>
      <c r="E3541" t="str">
        <f>+VLOOKUP(A3541,[1]PFE4!$A$7:$F$5208,6,0)</f>
        <v>CL 67 6 39</v>
      </c>
      <c r="F3541" s="17">
        <f>+VLOOKUP(A3541,[1]PFE4!$A$7:$G$5208,7,0)</f>
        <v>11001</v>
      </c>
      <c r="G3541">
        <v>66069965</v>
      </c>
      <c r="H3541">
        <v>4329</v>
      </c>
    </row>
    <row r="3542" spans="1:8" ht="15" customHeight="1" x14ac:dyDescent="0.25">
      <c r="A3542" t="s">
        <v>5784</v>
      </c>
      <c r="B3542" t="s">
        <v>9822</v>
      </c>
      <c r="C3542" t="s">
        <v>12988</v>
      </c>
      <c r="D3542" t="s">
        <v>13287</v>
      </c>
      <c r="E3542" t="str">
        <f>+VLOOKUP(A3542,[1]PFE4!$A$7:$F$5208,6,0)</f>
        <v>CARRERA 23  51  24</v>
      </c>
      <c r="F3542" s="17">
        <f>+VLOOKUP(A3542,[1]PFE4!$A$7:$G$5208,7,0)</f>
        <v>11001</v>
      </c>
      <c r="G3542">
        <v>66252942</v>
      </c>
      <c r="H3542">
        <v>4329</v>
      </c>
    </row>
    <row r="3543" spans="1:8" ht="15" customHeight="1" x14ac:dyDescent="0.25">
      <c r="A3543" t="s">
        <v>5785</v>
      </c>
      <c r="B3543" t="s">
        <v>9823</v>
      </c>
      <c r="C3543" t="s">
        <v>12429</v>
      </c>
      <c r="D3543" t="s">
        <v>13287</v>
      </c>
      <c r="E3543" t="str">
        <f>+VLOOKUP(A3543,[1]PFE4!$A$7:$F$5208,6,0)</f>
        <v>DIAGONAL 57 A  59  231</v>
      </c>
      <c r="F3543" s="17" t="str">
        <f>+VLOOKUP(A3543,[1]PFE4!$A$7:$G$5208,7,0)</f>
        <v>05088</v>
      </c>
      <c r="G3543">
        <v>66459608</v>
      </c>
      <c r="H3543">
        <v>4329</v>
      </c>
    </row>
    <row r="3544" spans="1:8" ht="15" customHeight="1" x14ac:dyDescent="0.25">
      <c r="A3544" t="s">
        <v>5786</v>
      </c>
      <c r="B3544" t="s">
        <v>9824</v>
      </c>
      <c r="C3544" t="s">
        <v>12989</v>
      </c>
      <c r="D3544" t="s">
        <v>13287</v>
      </c>
      <c r="E3544" t="str">
        <f>+VLOOKUP(A3544,[1]PFE4!$A$7:$F$5208,6,0)</f>
        <v>CALLE 191 A  11 A  25</v>
      </c>
      <c r="F3544" s="17">
        <f>+VLOOKUP(A3544,[1]PFE4!$A$7:$G$5208,7,0)</f>
        <v>11001</v>
      </c>
      <c r="G3544">
        <v>66585237</v>
      </c>
      <c r="H3544">
        <v>4329</v>
      </c>
    </row>
    <row r="3545" spans="1:8" ht="15" customHeight="1" x14ac:dyDescent="0.25">
      <c r="A3545" t="s">
        <v>5787</v>
      </c>
      <c r="B3545" t="s">
        <v>9825</v>
      </c>
      <c r="C3545" t="s">
        <v>12990</v>
      </c>
      <c r="D3545" t="s">
        <v>13287</v>
      </c>
      <c r="E3545" t="str">
        <f>+VLOOKUP(A3545,[1]PFE4!$A$7:$F$5208,6,0)</f>
        <v>CL 64 SUR 39 67</v>
      </c>
      <c r="F3545" s="17" t="str">
        <f>+VLOOKUP(A3545,[1]PFE4!$A$7:$G$5208,7,0)</f>
        <v>05631</v>
      </c>
      <c r="G3545">
        <v>66618460</v>
      </c>
      <c r="H3545">
        <v>4329</v>
      </c>
    </row>
    <row r="3546" spans="1:8" ht="15" customHeight="1" x14ac:dyDescent="0.25">
      <c r="A3546" t="s">
        <v>5788</v>
      </c>
      <c r="B3546" t="s">
        <v>9826</v>
      </c>
      <c r="C3546" t="s">
        <v>12991</v>
      </c>
      <c r="D3546" t="s">
        <v>13287</v>
      </c>
      <c r="E3546" t="str">
        <f>+VLOOKUP(A3546,[1]PFE4!$A$7:$F$5208,6,0)</f>
        <v>CARRERA 58  169 A  25</v>
      </c>
      <c r="F3546" s="17">
        <f>+VLOOKUP(A3546,[1]PFE4!$A$7:$G$5208,7,0)</f>
        <v>11001</v>
      </c>
      <c r="G3546">
        <v>66766310</v>
      </c>
      <c r="H3546">
        <v>4329</v>
      </c>
    </row>
    <row r="3547" spans="1:8" ht="15" customHeight="1" x14ac:dyDescent="0.25">
      <c r="A3547" t="s">
        <v>5789</v>
      </c>
      <c r="B3547" t="s">
        <v>9827</v>
      </c>
      <c r="C3547" t="s">
        <v>12992</v>
      </c>
      <c r="D3547" t="s">
        <v>13287</v>
      </c>
      <c r="E3547" t="str">
        <f>+VLOOKUP(A3547,[1]PFE4!$A$7:$F$5208,6,0)</f>
        <v>CARRERA 9  51  23</v>
      </c>
      <c r="F3547" s="17">
        <f>+VLOOKUP(A3547,[1]PFE4!$A$7:$G$5208,7,0)</f>
        <v>11001</v>
      </c>
      <c r="G3547">
        <v>66778870</v>
      </c>
      <c r="H3547">
        <v>4329</v>
      </c>
    </row>
    <row r="3548" spans="1:8" ht="15" customHeight="1" x14ac:dyDescent="0.25">
      <c r="A3548" t="s">
        <v>5790</v>
      </c>
      <c r="B3548" t="s">
        <v>9828</v>
      </c>
      <c r="C3548" t="s">
        <v>12993</v>
      </c>
      <c r="D3548" t="s">
        <v>13287</v>
      </c>
      <c r="E3548" t="str">
        <f>+VLOOKUP(A3548,[1]PFE4!$A$7:$F$5208,6,0)</f>
        <v>CARRERA 1 ESTE  74  14</v>
      </c>
      <c r="F3548" s="17">
        <f>+VLOOKUP(A3548,[1]PFE4!$A$7:$G$5208,7,0)</f>
        <v>11001</v>
      </c>
      <c r="G3548">
        <v>66782487</v>
      </c>
      <c r="H3548">
        <v>4329</v>
      </c>
    </row>
    <row r="3549" spans="1:8" ht="15" customHeight="1" x14ac:dyDescent="0.25">
      <c r="A3549" t="s">
        <v>5791</v>
      </c>
      <c r="B3549" t="s">
        <v>9829</v>
      </c>
      <c r="C3549" t="s">
        <v>12872</v>
      </c>
      <c r="D3549" t="s">
        <v>13287</v>
      </c>
      <c r="E3549" t="str">
        <f>+VLOOKUP(A3549,[1]PFE4!$A$7:$F$5208,6,0)</f>
        <v>CARRERA 81  4 G  35</v>
      </c>
      <c r="F3549" s="17" t="str">
        <f>+VLOOKUP(A3549,[1]PFE4!$A$7:$G$5208,7,0)</f>
        <v>05001</v>
      </c>
      <c r="G3549">
        <v>66847788</v>
      </c>
      <c r="H3549">
        <v>4329</v>
      </c>
    </row>
    <row r="3550" spans="1:8" ht="15" customHeight="1" x14ac:dyDescent="0.25">
      <c r="A3550" t="s">
        <v>5792</v>
      </c>
      <c r="B3550" t="s">
        <v>9830</v>
      </c>
      <c r="C3550" t="s">
        <v>12858</v>
      </c>
      <c r="D3550" t="s">
        <v>13287</v>
      </c>
      <c r="E3550" t="str">
        <f>+VLOOKUP(A3550,[1]PFE4!$A$7:$F$5208,6,0)</f>
        <v>AV CR 68 5 93</v>
      </c>
      <c r="F3550" s="17">
        <f>+VLOOKUP(A3550,[1]PFE4!$A$7:$G$5208,7,0)</f>
        <v>11001</v>
      </c>
      <c r="G3550">
        <v>66887042</v>
      </c>
      <c r="H3550">
        <v>4329</v>
      </c>
    </row>
    <row r="3551" spans="1:8" ht="15" customHeight="1" x14ac:dyDescent="0.25">
      <c r="A3551" t="s">
        <v>5793</v>
      </c>
      <c r="B3551" t="s">
        <v>9831</v>
      </c>
      <c r="C3551" t="s">
        <v>12994</v>
      </c>
      <c r="D3551" t="s">
        <v>13287</v>
      </c>
      <c r="E3551" t="str">
        <f>+VLOOKUP(A3551,[1]PFE4!$A$7:$F$5208,6,0)</f>
        <v>CALLE 27 D SUR  28  50</v>
      </c>
      <c r="F3551" s="17" t="str">
        <f>+VLOOKUP(A3551,[1]PFE4!$A$7:$G$5208,7,0)</f>
        <v>05266</v>
      </c>
      <c r="G3551">
        <v>66943776</v>
      </c>
      <c r="H3551">
        <v>4329</v>
      </c>
    </row>
    <row r="3552" spans="1:8" ht="15" customHeight="1" x14ac:dyDescent="0.25">
      <c r="A3552" t="s">
        <v>5794</v>
      </c>
      <c r="B3552" t="s">
        <v>9832</v>
      </c>
      <c r="C3552" t="s">
        <v>12995</v>
      </c>
      <c r="D3552" t="s">
        <v>13287</v>
      </c>
      <c r="E3552" t="str">
        <f>+VLOOKUP(A3552,[1]PFE4!$A$7:$F$5208,6,0)</f>
        <v xml:space="preserve">CR 98 59 46 CR 98 B 59 75
</v>
      </c>
      <c r="F3552" s="17">
        <f>+VLOOKUP(A3552,[1]PFE4!$A$7:$G$5208,7,0)</f>
        <v>11001</v>
      </c>
      <c r="G3552">
        <v>66941028</v>
      </c>
      <c r="H3552">
        <v>4329</v>
      </c>
    </row>
    <row r="3553" spans="1:8" ht="15" customHeight="1" x14ac:dyDescent="0.25">
      <c r="A3553" t="s">
        <v>5795</v>
      </c>
      <c r="B3553" t="s">
        <v>9833</v>
      </c>
      <c r="C3553" t="s">
        <v>12996</v>
      </c>
      <c r="D3553" t="s">
        <v>13287</v>
      </c>
      <c r="E3553" t="str">
        <f>+VLOOKUP(A3553,[1]PFE4!$A$7:$F$5208,6,0)</f>
        <v>CALLE 79 SUR  55  95</v>
      </c>
      <c r="F3553" s="17" t="str">
        <f>+VLOOKUP(A3553,[1]PFE4!$A$7:$G$5208,7,0)</f>
        <v>05380</v>
      </c>
      <c r="G3553">
        <v>67005956</v>
      </c>
      <c r="H3553">
        <v>4329</v>
      </c>
    </row>
    <row r="3554" spans="1:8" ht="15" customHeight="1" x14ac:dyDescent="0.25">
      <c r="A3554" t="s">
        <v>5796</v>
      </c>
      <c r="B3554" t="s">
        <v>9834</v>
      </c>
      <c r="C3554" t="s">
        <v>12997</v>
      </c>
      <c r="D3554" t="s">
        <v>13287</v>
      </c>
      <c r="E3554" t="str">
        <f>+VLOOKUP(A3554,[1]PFE4!$A$7:$F$5208,6,0)</f>
        <v>CR 83 B 36 B 145</v>
      </c>
      <c r="F3554" s="17">
        <f>+VLOOKUP(A3554,[1]PFE4!$A$7:$G$5208,7,0)</f>
        <v>11001</v>
      </c>
      <c r="G3554">
        <v>67045360</v>
      </c>
      <c r="H3554">
        <v>4329</v>
      </c>
    </row>
    <row r="3555" spans="1:8" ht="15" customHeight="1" x14ac:dyDescent="0.25">
      <c r="A3555" t="s">
        <v>5797</v>
      </c>
      <c r="B3555" t="s">
        <v>9835</v>
      </c>
      <c r="C3555" t="s">
        <v>12998</v>
      </c>
      <c r="D3555" t="s">
        <v>13287</v>
      </c>
      <c r="E3555" t="str">
        <f>+VLOOKUP(A3555,[1]PFE4!$A$7:$F$5208,6,0)</f>
        <v>CARRERA 9  79  39</v>
      </c>
      <c r="F3555" s="17">
        <f>+VLOOKUP(A3555,[1]PFE4!$A$7:$G$5208,7,0)</f>
        <v>11001</v>
      </c>
      <c r="G3555">
        <v>67092984</v>
      </c>
      <c r="H3555">
        <v>4329</v>
      </c>
    </row>
    <row r="3556" spans="1:8" ht="15" customHeight="1" x14ac:dyDescent="0.25">
      <c r="A3556" t="s">
        <v>5798</v>
      </c>
      <c r="B3556" t="s">
        <v>9836</v>
      </c>
      <c r="C3556" t="s">
        <v>12999</v>
      </c>
      <c r="D3556" t="s">
        <v>13287</v>
      </c>
      <c r="E3556" t="str">
        <f>+VLOOKUP(A3556,[1]PFE4!$A$7:$F$5208,6,0)</f>
        <v>CR 50 99 SUR 69</v>
      </c>
      <c r="F3556" s="17" t="str">
        <f>+VLOOKUP(A3556,[1]PFE4!$A$7:$G$5208,7,0)</f>
        <v>05380</v>
      </c>
      <c r="G3556">
        <v>67155206</v>
      </c>
      <c r="H3556">
        <v>4329</v>
      </c>
    </row>
    <row r="3557" spans="1:8" ht="15" customHeight="1" x14ac:dyDescent="0.25">
      <c r="A3557" t="s">
        <v>5799</v>
      </c>
      <c r="B3557" t="s">
        <v>9837</v>
      </c>
      <c r="C3557" t="s">
        <v>13000</v>
      </c>
      <c r="D3557" t="s">
        <v>13287</v>
      </c>
      <c r="E3557" t="str">
        <f>+VLOOKUP(A3557,[1]PFE4!$A$7:$F$5208,6,0)</f>
        <v>CARRERA 79 A  19  86</v>
      </c>
      <c r="F3557" s="17">
        <f>+VLOOKUP(A3557,[1]PFE4!$A$7:$G$5208,7,0)</f>
        <v>11001</v>
      </c>
      <c r="G3557">
        <v>67162608</v>
      </c>
      <c r="H3557">
        <v>4329</v>
      </c>
    </row>
    <row r="3558" spans="1:8" ht="15" customHeight="1" x14ac:dyDescent="0.25">
      <c r="A3558" t="s">
        <v>5800</v>
      </c>
      <c r="B3558" t="s">
        <v>9838</v>
      </c>
      <c r="C3558" t="s">
        <v>13001</v>
      </c>
      <c r="D3558" t="s">
        <v>13287</v>
      </c>
      <c r="E3558" t="str">
        <f>+VLOOKUP(A3558,[1]PFE4!$A$7:$F$5208,6,0)</f>
        <v>CALLE 182  45  24</v>
      </c>
      <c r="F3558" s="17">
        <f>+VLOOKUP(A3558,[1]PFE4!$A$7:$G$5208,7,0)</f>
        <v>11001</v>
      </c>
      <c r="G3558">
        <v>67182056</v>
      </c>
      <c r="H3558">
        <v>4329</v>
      </c>
    </row>
    <row r="3559" spans="1:8" ht="15" customHeight="1" x14ac:dyDescent="0.25">
      <c r="A3559" t="s">
        <v>5801</v>
      </c>
      <c r="B3559" t="s">
        <v>9839</v>
      </c>
      <c r="C3559" t="s">
        <v>13002</v>
      </c>
      <c r="D3559" t="s">
        <v>13287</v>
      </c>
      <c r="E3559" t="str">
        <f>+VLOOKUP(A3559,[1]PFE4!$A$7:$F$5208,6,0)</f>
        <v>CALLE 23 I BIS  93 20 TO 2 AD 1</v>
      </c>
      <c r="F3559" s="17">
        <f>+VLOOKUP(A3559,[1]PFE4!$A$7:$G$5208,7,0)</f>
        <v>11001</v>
      </c>
      <c r="G3559">
        <v>67377536</v>
      </c>
      <c r="H3559">
        <v>4329</v>
      </c>
    </row>
    <row r="3560" spans="1:8" ht="15" customHeight="1" x14ac:dyDescent="0.25">
      <c r="A3560" t="s">
        <v>5802</v>
      </c>
      <c r="B3560" t="s">
        <v>9840</v>
      </c>
      <c r="C3560" t="s">
        <v>13003</v>
      </c>
      <c r="D3560" t="s">
        <v>13287</v>
      </c>
      <c r="E3560" t="str">
        <f>+VLOOKUP(A3560,[1]PFE4!$A$7:$F$5208,6,0)</f>
        <v>CR 53 A 45 84 BRR SANTA ANA</v>
      </c>
      <c r="F3560" s="17" t="str">
        <f>+VLOOKUP(A3560,[1]PFE4!$A$7:$G$5208,7,0)</f>
        <v>05088</v>
      </c>
      <c r="G3560">
        <v>67422168</v>
      </c>
      <c r="H3560">
        <v>4329</v>
      </c>
    </row>
    <row r="3561" spans="1:8" ht="15" customHeight="1" x14ac:dyDescent="0.25">
      <c r="A3561" t="s">
        <v>5803</v>
      </c>
      <c r="B3561" t="s">
        <v>9841</v>
      </c>
      <c r="C3561" t="s">
        <v>13004</v>
      </c>
      <c r="D3561" t="s">
        <v>13287</v>
      </c>
      <c r="E3561" t="str">
        <f>+VLOOKUP(A3561,[1]PFE4!$A$7:$F$5208,6,0)</f>
        <v>CR 2 107 31 SEC POZOS COLORADOS</v>
      </c>
      <c r="F3561" s="17">
        <f>+VLOOKUP(A3561,[1]PFE4!$A$7:$G$5208,7,0)</f>
        <v>47001</v>
      </c>
      <c r="G3561">
        <v>67483232</v>
      </c>
      <c r="H3561">
        <v>4329</v>
      </c>
    </row>
    <row r="3562" spans="1:8" ht="15" customHeight="1" x14ac:dyDescent="0.25">
      <c r="A3562" t="s">
        <v>5804</v>
      </c>
      <c r="B3562" t="s">
        <v>9842</v>
      </c>
      <c r="C3562" t="s">
        <v>12429</v>
      </c>
      <c r="D3562" t="s">
        <v>13287</v>
      </c>
      <c r="E3562" t="str">
        <f>+VLOOKUP(A3562,[1]PFE4!$A$7:$F$5208,6,0)</f>
        <v>CARRERA 46  76 SUR  69</v>
      </c>
      <c r="F3562" s="17" t="str">
        <f>+VLOOKUP(A3562,[1]PFE4!$A$7:$G$5208,7,0)</f>
        <v>05631</v>
      </c>
      <c r="G3562">
        <v>67499560</v>
      </c>
      <c r="H3562">
        <v>4329</v>
      </c>
    </row>
    <row r="3563" spans="1:8" ht="15" customHeight="1" x14ac:dyDescent="0.25">
      <c r="A3563" t="s">
        <v>5805</v>
      </c>
      <c r="B3563" t="s">
        <v>9843</v>
      </c>
      <c r="C3563" t="s">
        <v>12031</v>
      </c>
      <c r="D3563" t="s">
        <v>13287</v>
      </c>
      <c r="E3563" t="str">
        <f>+VLOOKUP(A3563,[1]PFE4!$A$7:$F$5208,6,0)</f>
        <v>CL 28 19 182</v>
      </c>
      <c r="F3563" s="17">
        <f>+VLOOKUP(A3563,[1]PFE4!$A$7:$G$5208,7,0)</f>
        <v>76364</v>
      </c>
      <c r="G3563">
        <v>67657976</v>
      </c>
      <c r="H3563">
        <v>4329</v>
      </c>
    </row>
    <row r="3564" spans="1:8" ht="15" customHeight="1" x14ac:dyDescent="0.25">
      <c r="A3564" t="s">
        <v>5806</v>
      </c>
      <c r="B3564" t="s">
        <v>9844</v>
      </c>
      <c r="C3564" t="s">
        <v>13005</v>
      </c>
      <c r="D3564" t="s">
        <v>13287</v>
      </c>
      <c r="E3564" t="str">
        <f>+VLOOKUP(A3564,[1]PFE4!$A$7:$F$5208,6,0)</f>
        <v>CARRERA 46 A  29 SUR  20</v>
      </c>
      <c r="F3564" s="17" t="str">
        <f>+VLOOKUP(A3564,[1]PFE4!$A$7:$G$5208,7,0)</f>
        <v>05266</v>
      </c>
      <c r="G3564">
        <v>67859847</v>
      </c>
      <c r="H3564">
        <v>4329</v>
      </c>
    </row>
    <row r="3565" spans="1:8" ht="15" customHeight="1" x14ac:dyDescent="0.25">
      <c r="A3565" t="s">
        <v>5807</v>
      </c>
      <c r="B3565" t="s">
        <v>9845</v>
      </c>
      <c r="C3565" t="s">
        <v>13006</v>
      </c>
      <c r="D3565" t="s">
        <v>13287</v>
      </c>
      <c r="E3565" t="str">
        <f>+VLOOKUP(A3565,[1]PFE4!$A$7:$F$5208,6,0)</f>
        <v>CALLE 38B Nª 85 - 31</v>
      </c>
      <c r="F3565" s="17">
        <f>+VLOOKUP(A3565,[1]PFE4!$A$7:$G$5208,7,0)</f>
        <v>13001</v>
      </c>
      <c r="G3565">
        <v>67870008</v>
      </c>
      <c r="H3565">
        <v>4329</v>
      </c>
    </row>
    <row r="3566" spans="1:8" ht="15" customHeight="1" x14ac:dyDescent="0.25">
      <c r="A3566" t="s">
        <v>5808</v>
      </c>
      <c r="B3566" t="s">
        <v>9846</v>
      </c>
      <c r="C3566">
        <v>3219664011</v>
      </c>
      <c r="D3566" t="s">
        <v>13287</v>
      </c>
      <c r="E3566" t="str">
        <f>+VLOOKUP(A3566,[1]PFE4!$A$7:$F$5208,6,0)</f>
        <v>CARRERA 74  52  55</v>
      </c>
      <c r="F3566" s="17" t="str">
        <f>+VLOOKUP(A3566,[1]PFE4!$A$7:$G$5208,7,0)</f>
        <v>05001</v>
      </c>
      <c r="G3566">
        <v>68008464</v>
      </c>
      <c r="H3566">
        <v>4329</v>
      </c>
    </row>
    <row r="3567" spans="1:8" ht="15" customHeight="1" x14ac:dyDescent="0.25">
      <c r="A3567" t="s">
        <v>5809</v>
      </c>
      <c r="B3567" t="s">
        <v>9847</v>
      </c>
      <c r="C3567" t="s">
        <v>13007</v>
      </c>
      <c r="D3567" t="s">
        <v>13287</v>
      </c>
      <c r="E3567" t="str">
        <f>+VLOOKUP(A3567,[1]PFE4!$A$7:$F$5208,6,0)</f>
        <v>TERNERA DIAG 36E TRANSV 54 LT C</v>
      </c>
      <c r="F3567" s="17">
        <f>+VLOOKUP(A3567,[1]PFE4!$A$7:$G$5208,7,0)</f>
        <v>11001</v>
      </c>
      <c r="G3567">
        <v>68060238</v>
      </c>
      <c r="H3567">
        <v>4329</v>
      </c>
    </row>
    <row r="3568" spans="1:8" ht="15" customHeight="1" x14ac:dyDescent="0.25">
      <c r="A3568" t="s">
        <v>5810</v>
      </c>
      <c r="B3568" t="s">
        <v>9848</v>
      </c>
      <c r="C3568" t="s">
        <v>10856</v>
      </c>
      <c r="D3568" t="s">
        <v>13287</v>
      </c>
      <c r="E3568" t="str">
        <f>+VLOOKUP(A3568,[1]PFE4!$A$7:$F$5208,6,0)</f>
        <v>CL 90 17 31</v>
      </c>
      <c r="F3568" s="17">
        <f>+VLOOKUP(A3568,[1]PFE4!$A$7:$G$5208,7,0)</f>
        <v>11001</v>
      </c>
      <c r="G3568">
        <v>68075128</v>
      </c>
      <c r="H3568">
        <v>4329</v>
      </c>
    </row>
    <row r="3569" spans="1:8" ht="15" customHeight="1" x14ac:dyDescent="0.25">
      <c r="A3569" t="s">
        <v>5811</v>
      </c>
      <c r="B3569" t="s">
        <v>9849</v>
      </c>
      <c r="C3569" t="s">
        <v>13008</v>
      </c>
      <c r="D3569" t="s">
        <v>13287</v>
      </c>
      <c r="E3569" t="str">
        <f>+VLOOKUP(A3569,[1]PFE4!$A$7:$F$5208,6,0)</f>
        <v>CR 32 ESTE 31 55</v>
      </c>
      <c r="F3569" s="17">
        <f>+VLOOKUP(A3569,[1]PFE4!$A$7:$G$5208,7,0)</f>
        <v>11001</v>
      </c>
      <c r="G3569">
        <v>68077351</v>
      </c>
      <c r="H3569">
        <v>4329</v>
      </c>
    </row>
    <row r="3570" spans="1:8" ht="15" customHeight="1" x14ac:dyDescent="0.25">
      <c r="A3570" t="s">
        <v>5812</v>
      </c>
      <c r="B3570" t="s">
        <v>9850</v>
      </c>
      <c r="C3570" t="s">
        <v>13009</v>
      </c>
      <c r="D3570" t="s">
        <v>13287</v>
      </c>
      <c r="E3570" t="str">
        <f>+VLOOKUP(A3570,[1]PFE4!$A$7:$F$5208,6,0)</f>
        <v>CALLE 31  18  15</v>
      </c>
      <c r="F3570" s="17">
        <f>+VLOOKUP(A3570,[1]PFE4!$A$7:$G$5208,7,0)</f>
        <v>68001</v>
      </c>
      <c r="G3570">
        <v>68191226</v>
      </c>
      <c r="H3570">
        <v>4329</v>
      </c>
    </row>
    <row r="3571" spans="1:8" ht="15" customHeight="1" x14ac:dyDescent="0.25">
      <c r="A3571" t="s">
        <v>5813</v>
      </c>
      <c r="B3571" t="s">
        <v>9851</v>
      </c>
      <c r="C3571">
        <v>3219664011</v>
      </c>
      <c r="D3571" t="s">
        <v>13287</v>
      </c>
      <c r="E3571" t="str">
        <f>+VLOOKUP(A3571,[1]PFE4!$A$7:$F$5208,6,0)</f>
        <v>CARRERA 45  26  162</v>
      </c>
      <c r="F3571" s="17" t="str">
        <f>+VLOOKUP(A3571,[1]PFE4!$A$7:$G$5208,7,0)</f>
        <v>05088</v>
      </c>
      <c r="G3571">
        <v>68334172</v>
      </c>
      <c r="H3571">
        <v>4329</v>
      </c>
    </row>
    <row r="3572" spans="1:8" ht="15" customHeight="1" x14ac:dyDescent="0.25">
      <c r="A3572" t="s">
        <v>5814</v>
      </c>
      <c r="B3572" t="s">
        <v>9852</v>
      </c>
      <c r="C3572" t="s">
        <v>13010</v>
      </c>
      <c r="D3572" t="s">
        <v>13287</v>
      </c>
      <c r="E3572" t="str">
        <f>+VLOOKUP(A3572,[1]PFE4!$A$7:$F$5208,6,0)</f>
        <v>CARRERA 77 SUR  35 A  71</v>
      </c>
      <c r="F3572" s="17" t="str">
        <f>+VLOOKUP(A3572,[1]PFE4!$A$7:$G$5208,7,0)</f>
        <v>05631</v>
      </c>
      <c r="G3572">
        <v>68406046</v>
      </c>
      <c r="H3572">
        <v>4329</v>
      </c>
    </row>
    <row r="3573" spans="1:8" ht="15" customHeight="1" x14ac:dyDescent="0.25">
      <c r="A3573" t="s">
        <v>5815</v>
      </c>
      <c r="B3573" t="s">
        <v>9853</v>
      </c>
      <c r="C3573">
        <v>3219664011</v>
      </c>
      <c r="D3573" t="s">
        <v>13287</v>
      </c>
      <c r="E3573" t="str">
        <f>+VLOOKUP(A3573,[1]PFE4!$A$7:$F$5208,6,0)</f>
        <v>TRANSVERSAL 19 A  95  19</v>
      </c>
      <c r="F3573" s="17">
        <f>+VLOOKUP(A3573,[1]PFE4!$A$7:$G$5208,7,0)</f>
        <v>11001</v>
      </c>
      <c r="G3573">
        <v>68408853</v>
      </c>
      <c r="H3573">
        <v>4329</v>
      </c>
    </row>
    <row r="3574" spans="1:8" ht="15" customHeight="1" x14ac:dyDescent="0.25">
      <c r="A3574" t="s">
        <v>5816</v>
      </c>
      <c r="B3574" t="s">
        <v>9854</v>
      </c>
      <c r="C3574" t="s">
        <v>10561</v>
      </c>
      <c r="D3574" t="s">
        <v>13287</v>
      </c>
      <c r="E3574" t="str">
        <f>+VLOOKUP(A3574,[1]PFE4!$A$7:$F$5208,6,0)</f>
        <v>CALLE 72 A  27 A  60</v>
      </c>
      <c r="F3574" s="17">
        <f>+VLOOKUP(A3574,[1]PFE4!$A$7:$G$5208,7,0)</f>
        <v>11001</v>
      </c>
      <c r="G3574">
        <v>68504232</v>
      </c>
      <c r="H3574">
        <v>4329</v>
      </c>
    </row>
    <row r="3575" spans="1:8" ht="15" customHeight="1" x14ac:dyDescent="0.25">
      <c r="A3575" t="s">
        <v>5817</v>
      </c>
      <c r="B3575" t="s">
        <v>9855</v>
      </c>
      <c r="C3575" t="s">
        <v>13011</v>
      </c>
      <c r="D3575" t="s">
        <v>13287</v>
      </c>
      <c r="E3575" t="str">
        <f>+VLOOKUP(A3575,[1]PFE4!$A$7:$F$5208,6,0)</f>
        <v>CALLE 2  6  371</v>
      </c>
      <c r="F3575" s="17">
        <f>+VLOOKUP(A3575,[1]PFE4!$A$7:$G$5208,7,0)</f>
        <v>11001</v>
      </c>
      <c r="G3575">
        <v>68584612</v>
      </c>
      <c r="H3575">
        <v>4329</v>
      </c>
    </row>
    <row r="3576" spans="1:8" ht="15" customHeight="1" x14ac:dyDescent="0.25">
      <c r="A3576" t="s">
        <v>5818</v>
      </c>
      <c r="B3576" t="s">
        <v>9856</v>
      </c>
      <c r="C3576" t="s">
        <v>13012</v>
      </c>
      <c r="D3576" t="s">
        <v>13287</v>
      </c>
      <c r="E3576" t="str">
        <f>+VLOOKUP(A3576,[1]PFE4!$A$7:$F$5208,6,0)</f>
        <v>CL 159 54 65</v>
      </c>
      <c r="F3576" s="17">
        <f>+VLOOKUP(A3576,[1]PFE4!$A$7:$G$5208,7,0)</f>
        <v>11001</v>
      </c>
      <c r="G3576">
        <v>68619852</v>
      </c>
      <c r="H3576">
        <v>4329</v>
      </c>
    </row>
    <row r="3577" spans="1:8" ht="15" customHeight="1" x14ac:dyDescent="0.25">
      <c r="A3577" t="s">
        <v>5819</v>
      </c>
      <c r="B3577" t="s">
        <v>9857</v>
      </c>
      <c r="C3577" t="s">
        <v>13013</v>
      </c>
      <c r="D3577" t="s">
        <v>13287</v>
      </c>
      <c r="E3577" t="str">
        <f>+VLOOKUP(A3577,[1]PFE4!$A$7:$F$5208,6,0)</f>
        <v>CALLE 13  24  18</v>
      </c>
      <c r="F3577" s="17">
        <f>+VLOOKUP(A3577,[1]PFE4!$A$7:$G$5208,7,0)</f>
        <v>66001</v>
      </c>
      <c r="G3577">
        <v>68734920</v>
      </c>
      <c r="H3577">
        <v>4329</v>
      </c>
    </row>
    <row r="3578" spans="1:8" ht="15" customHeight="1" x14ac:dyDescent="0.25">
      <c r="A3578" t="s">
        <v>5820</v>
      </c>
      <c r="B3578" t="s">
        <v>9858</v>
      </c>
      <c r="C3578" t="s">
        <v>13014</v>
      </c>
      <c r="D3578" t="s">
        <v>13287</v>
      </c>
      <c r="E3578" t="str">
        <f>+VLOOKUP(A3578,[1]PFE4!$A$7:$F$5208,6,0)</f>
        <v>ANILLO FLORIDABLANCA VIA CARABINEROS</v>
      </c>
      <c r="F3578" s="17">
        <f>+VLOOKUP(A3578,[1]PFE4!$A$7:$G$5208,7,0)</f>
        <v>11001</v>
      </c>
      <c r="G3578">
        <v>68745380</v>
      </c>
      <c r="H3578">
        <v>4329</v>
      </c>
    </row>
    <row r="3579" spans="1:8" ht="15" customHeight="1" x14ac:dyDescent="0.25">
      <c r="A3579" t="s">
        <v>5821</v>
      </c>
      <c r="B3579" t="s">
        <v>9859</v>
      </c>
      <c r="C3579" t="s">
        <v>13015</v>
      </c>
      <c r="D3579" t="s">
        <v>13287</v>
      </c>
      <c r="E3579" t="str">
        <f>+VLOOKUP(A3579,[1]PFE4!$A$7:$F$5208,6,0)</f>
        <v>CALLE 27 SUR 28-49</v>
      </c>
      <c r="F3579" s="17" t="str">
        <f>+VLOOKUP(A3579,[1]PFE4!$A$7:$G$5208,7,0)</f>
        <v>05266</v>
      </c>
      <c r="G3579">
        <v>68763880</v>
      </c>
      <c r="H3579">
        <v>4329</v>
      </c>
    </row>
    <row r="3580" spans="1:8" ht="15" customHeight="1" x14ac:dyDescent="0.25">
      <c r="A3580" t="s">
        <v>5822</v>
      </c>
      <c r="B3580" t="s">
        <v>9860</v>
      </c>
      <c r="C3580" t="s">
        <v>11505</v>
      </c>
      <c r="D3580" t="s">
        <v>13287</v>
      </c>
      <c r="E3580" t="str">
        <f>+VLOOKUP(A3580,[1]PFE4!$A$7:$F$5208,6,0)</f>
        <v>CARRERA 11  86  35</v>
      </c>
      <c r="F3580" s="17">
        <f>+VLOOKUP(A3580,[1]PFE4!$A$7:$G$5208,7,0)</f>
        <v>11001</v>
      </c>
      <c r="G3580">
        <v>68929815</v>
      </c>
      <c r="H3580">
        <v>4329</v>
      </c>
    </row>
    <row r="3581" spans="1:8" ht="15" customHeight="1" x14ac:dyDescent="0.25">
      <c r="A3581" t="s">
        <v>5823</v>
      </c>
      <c r="B3581" t="s">
        <v>9861</v>
      </c>
      <c r="C3581" t="s">
        <v>13016</v>
      </c>
      <c r="D3581" t="s">
        <v>13287</v>
      </c>
      <c r="E3581" t="str">
        <f>+VLOOKUP(A3581,[1]PFE4!$A$7:$F$5208,6,0)</f>
        <v>CALLE 67 N  7 N  59</v>
      </c>
      <c r="F3581" s="17">
        <f>+VLOOKUP(A3581,[1]PFE4!$A$7:$G$5208,7,0)</f>
        <v>11001</v>
      </c>
      <c r="G3581">
        <v>68943944</v>
      </c>
      <c r="H3581">
        <v>4329</v>
      </c>
    </row>
    <row r="3582" spans="1:8" ht="15" customHeight="1" x14ac:dyDescent="0.25">
      <c r="A3582" t="s">
        <v>5824</v>
      </c>
      <c r="B3582" t="s">
        <v>9862</v>
      </c>
      <c r="C3582" t="s">
        <v>13017</v>
      </c>
      <c r="D3582" t="s">
        <v>13287</v>
      </c>
      <c r="E3582" t="str">
        <f>+VLOOKUP(A3582,[1]PFE4!$A$7:$F$5208,6,0)</f>
        <v>cr 38 75 b sur 257</v>
      </c>
      <c r="F3582" s="17" t="str">
        <f>+VLOOKUP(A3582,[1]PFE4!$A$7:$G$5208,7,0)</f>
        <v>05631</v>
      </c>
      <c r="G3582">
        <v>69060136</v>
      </c>
      <c r="H3582">
        <v>4329</v>
      </c>
    </row>
    <row r="3583" spans="1:8" ht="15" customHeight="1" x14ac:dyDescent="0.25">
      <c r="A3583" t="s">
        <v>5825</v>
      </c>
      <c r="B3583" t="s">
        <v>9863</v>
      </c>
      <c r="C3583">
        <v>0</v>
      </c>
      <c r="D3583" t="s">
        <v>13287</v>
      </c>
      <c r="E3583">
        <v>0</v>
      </c>
      <c r="F3583" s="17">
        <v>11001</v>
      </c>
      <c r="G3583">
        <v>69479322</v>
      </c>
      <c r="H3583">
        <v>4329</v>
      </c>
    </row>
    <row r="3584" spans="1:8" ht="15" customHeight="1" x14ac:dyDescent="0.25">
      <c r="A3584" t="s">
        <v>5826</v>
      </c>
      <c r="B3584" t="s">
        <v>9864</v>
      </c>
      <c r="C3584" t="s">
        <v>13018</v>
      </c>
      <c r="D3584" t="s">
        <v>13287</v>
      </c>
      <c r="E3584" t="str">
        <f>+VLOOKUP(A3584,[1]PFE4!$A$7:$F$5208,6,0)</f>
        <v>CARRERA 69 D  1 51 SUR</v>
      </c>
      <c r="F3584" s="17">
        <f>+VLOOKUP(A3584,[1]PFE4!$A$7:$G$5208,7,0)</f>
        <v>11001</v>
      </c>
      <c r="G3584">
        <v>69854044</v>
      </c>
      <c r="H3584">
        <v>4329</v>
      </c>
    </row>
    <row r="3585" spans="1:8" ht="15" customHeight="1" x14ac:dyDescent="0.25">
      <c r="A3585" t="s">
        <v>5827</v>
      </c>
      <c r="B3585" t="s">
        <v>9865</v>
      </c>
      <c r="C3585" t="s">
        <v>11255</v>
      </c>
      <c r="D3585" t="s">
        <v>13287</v>
      </c>
      <c r="E3585" t="str">
        <f>+VLOOKUP(A3585,[1]PFE4!$A$7:$F$5208,6,0)</f>
        <v>CARRERA 38  48  140</v>
      </c>
      <c r="F3585" s="17">
        <f>+VLOOKUP(A3585,[1]PFE4!$A$7:$G$5208,7,0)</f>
        <v>11001</v>
      </c>
      <c r="G3585">
        <v>69858153</v>
      </c>
      <c r="H3585">
        <v>4329</v>
      </c>
    </row>
    <row r="3586" spans="1:8" ht="15" customHeight="1" x14ac:dyDescent="0.25">
      <c r="A3586" t="s">
        <v>5828</v>
      </c>
      <c r="B3586" t="s">
        <v>9866</v>
      </c>
      <c r="C3586" t="s">
        <v>13019</v>
      </c>
      <c r="D3586" t="s">
        <v>13287</v>
      </c>
      <c r="E3586" t="str">
        <f>+VLOOKUP(A3586,[1]PFE4!$A$7:$F$5208,6,0)</f>
        <v>CARRERA 25  39 SUR  15</v>
      </c>
      <c r="F3586" s="17" t="str">
        <f>+VLOOKUP(A3586,[1]PFE4!$A$7:$G$5208,7,0)</f>
        <v>05266</v>
      </c>
      <c r="G3586">
        <v>69902892</v>
      </c>
      <c r="H3586">
        <v>4329</v>
      </c>
    </row>
    <row r="3587" spans="1:8" ht="15" customHeight="1" x14ac:dyDescent="0.25">
      <c r="A3587" t="s">
        <v>5829</v>
      </c>
      <c r="B3587" t="s">
        <v>9867</v>
      </c>
      <c r="C3587">
        <v>0</v>
      </c>
      <c r="D3587" t="s">
        <v>13287</v>
      </c>
      <c r="E3587">
        <v>0</v>
      </c>
      <c r="F3587" s="17">
        <v>11001</v>
      </c>
      <c r="G3587">
        <v>70000000</v>
      </c>
      <c r="H3587">
        <v>4329</v>
      </c>
    </row>
    <row r="3588" spans="1:8" ht="15" customHeight="1" x14ac:dyDescent="0.25">
      <c r="A3588" t="s">
        <v>5830</v>
      </c>
      <c r="B3588" t="s">
        <v>9868</v>
      </c>
      <c r="C3588" t="s">
        <v>13020</v>
      </c>
      <c r="D3588" t="s">
        <v>13287</v>
      </c>
      <c r="E3588" t="str">
        <f>+VLOOKUP(A3588,[1]PFE4!$A$7:$F$5208,6,0)</f>
        <v>CR 43 A 5 A 113 TO SUR P 14</v>
      </c>
      <c r="F3588" s="17" t="str">
        <f>+VLOOKUP(A3588,[1]PFE4!$A$7:$G$5208,7,0)</f>
        <v>05321</v>
      </c>
      <c r="G3588">
        <v>70326229</v>
      </c>
      <c r="H3588">
        <v>4329</v>
      </c>
    </row>
    <row r="3589" spans="1:8" ht="15" customHeight="1" x14ac:dyDescent="0.25">
      <c r="A3589" t="s">
        <v>5831</v>
      </c>
      <c r="B3589" t="s">
        <v>9869</v>
      </c>
      <c r="C3589" t="s">
        <v>13021</v>
      </c>
      <c r="D3589" t="s">
        <v>13287</v>
      </c>
      <c r="E3589" t="str">
        <f>+VLOOKUP(A3589,[1]PFE4!$A$7:$F$5208,6,0)</f>
        <v>CARRERA 16  93  92</v>
      </c>
      <c r="F3589" s="17">
        <f>+VLOOKUP(A3589,[1]PFE4!$A$7:$G$5208,7,0)</f>
        <v>11001</v>
      </c>
      <c r="G3589">
        <v>70621136</v>
      </c>
      <c r="H3589">
        <v>4329</v>
      </c>
    </row>
    <row r="3590" spans="1:8" ht="15" customHeight="1" x14ac:dyDescent="0.25">
      <c r="A3590" t="s">
        <v>5832</v>
      </c>
      <c r="B3590" t="s">
        <v>9870</v>
      </c>
      <c r="C3590" t="s">
        <v>13022</v>
      </c>
      <c r="D3590" t="s">
        <v>13287</v>
      </c>
      <c r="E3590" t="str">
        <f>+VLOOKUP(A3590,[1]PFE4!$A$7:$F$5208,6,0)</f>
        <v>CARRERA 81 A  3 SUR  08</v>
      </c>
      <c r="F3590" s="17" t="str">
        <f>+VLOOKUP(A3590,[1]PFE4!$A$7:$G$5208,7,0)</f>
        <v>05001</v>
      </c>
      <c r="G3590">
        <v>70747244</v>
      </c>
      <c r="H3590">
        <v>4329</v>
      </c>
    </row>
    <row r="3591" spans="1:8" ht="15" customHeight="1" x14ac:dyDescent="0.25">
      <c r="A3591" t="s">
        <v>5833</v>
      </c>
      <c r="B3591" t="s">
        <v>9871</v>
      </c>
      <c r="C3591" t="s">
        <v>13023</v>
      </c>
      <c r="D3591" t="s">
        <v>13287</v>
      </c>
      <c r="E3591" t="str">
        <f>+VLOOKUP(A3591,[1]PFE4!$A$7:$F$5208,6,0)</f>
        <v>CALLE 140 B  6  57</v>
      </c>
      <c r="F3591" s="17">
        <f>+VLOOKUP(A3591,[1]PFE4!$A$7:$G$5208,7,0)</f>
        <v>11001</v>
      </c>
      <c r="G3591">
        <v>70754221</v>
      </c>
      <c r="H3591">
        <v>4329</v>
      </c>
    </row>
    <row r="3592" spans="1:8" ht="15" customHeight="1" x14ac:dyDescent="0.25">
      <c r="A3592" t="s">
        <v>5834</v>
      </c>
      <c r="B3592" t="s">
        <v>9872</v>
      </c>
      <c r="C3592" t="s">
        <v>13024</v>
      </c>
      <c r="D3592" t="s">
        <v>13287</v>
      </c>
      <c r="E3592" t="str">
        <f>+VLOOKUP(A3592,[1]PFE4!$A$7:$F$5208,6,0)</f>
        <v>CALLE 134  7 B  83</v>
      </c>
      <c r="F3592" s="17">
        <f>+VLOOKUP(A3592,[1]PFE4!$A$7:$G$5208,7,0)</f>
        <v>11001</v>
      </c>
      <c r="G3592">
        <v>70900230</v>
      </c>
      <c r="H3592">
        <v>4329</v>
      </c>
    </row>
    <row r="3593" spans="1:8" ht="15" customHeight="1" x14ac:dyDescent="0.25">
      <c r="A3593" t="s">
        <v>5835</v>
      </c>
      <c r="B3593" t="s">
        <v>9873</v>
      </c>
      <c r="C3593" t="s">
        <v>13025</v>
      </c>
      <c r="D3593" t="s">
        <v>13287</v>
      </c>
      <c r="E3593" t="str">
        <f>+VLOOKUP(A3593,[1]PFE4!$A$7:$F$5208,6,0)</f>
        <v>CARRERA 83  25 G  60</v>
      </c>
      <c r="F3593" s="17">
        <f>+VLOOKUP(A3593,[1]PFE4!$A$7:$G$5208,7,0)</f>
        <v>11001</v>
      </c>
      <c r="G3593">
        <v>70960322</v>
      </c>
      <c r="H3593">
        <v>4329</v>
      </c>
    </row>
    <row r="3594" spans="1:8" ht="15" customHeight="1" x14ac:dyDescent="0.25">
      <c r="A3594" t="s">
        <v>5836</v>
      </c>
      <c r="B3594" t="s">
        <v>9874</v>
      </c>
      <c r="C3594" t="s">
        <v>13026</v>
      </c>
      <c r="D3594" t="s">
        <v>13287</v>
      </c>
      <c r="E3594" t="str">
        <f>+VLOOKUP(A3594,[1]PFE4!$A$7:$F$5208,6,0)</f>
        <v>CR 27 37 SUR 45</v>
      </c>
      <c r="F3594" s="17" t="str">
        <f>+VLOOKUP(A3594,[1]PFE4!$A$7:$G$5208,7,0)</f>
        <v>05266</v>
      </c>
      <c r="G3594">
        <v>71288140</v>
      </c>
      <c r="H3594">
        <v>4329</v>
      </c>
    </row>
    <row r="3595" spans="1:8" ht="15" customHeight="1" x14ac:dyDescent="0.25">
      <c r="A3595" t="s">
        <v>5837</v>
      </c>
      <c r="B3595" t="s">
        <v>9875</v>
      </c>
      <c r="C3595" t="s">
        <v>13027</v>
      </c>
      <c r="D3595" t="s">
        <v>13287</v>
      </c>
      <c r="E3595" t="str">
        <f>+VLOOKUP(A3595,[1]PFE4!$A$7:$F$5208,6,0)</f>
        <v>TV 35 3 D 101 VIA JAPON FRAILES DOSQUEBRADAS</v>
      </c>
      <c r="F3595" s="17">
        <f>+VLOOKUP(A3595,[1]PFE4!$A$7:$G$5208,7,0)</f>
        <v>66170</v>
      </c>
      <c r="G3595">
        <v>71299960</v>
      </c>
      <c r="H3595">
        <v>4329</v>
      </c>
    </row>
    <row r="3596" spans="1:8" ht="15" customHeight="1" x14ac:dyDescent="0.25">
      <c r="A3596" t="s">
        <v>5838</v>
      </c>
      <c r="B3596" t="s">
        <v>9876</v>
      </c>
      <c r="C3596" t="s">
        <v>13028</v>
      </c>
      <c r="D3596" t="s">
        <v>13287</v>
      </c>
      <c r="E3596" t="str">
        <f>+VLOOKUP(A3596,[1]PFE4!$A$7:$F$5208,6,0)</f>
        <v>CALLE 13 B  17  63</v>
      </c>
      <c r="F3596" s="17">
        <f>+VLOOKUP(A3596,[1]PFE4!$A$7:$G$5208,7,0)</f>
        <v>11001</v>
      </c>
      <c r="G3596">
        <v>71346460</v>
      </c>
      <c r="H3596">
        <v>4329</v>
      </c>
    </row>
    <row r="3597" spans="1:8" ht="15" customHeight="1" x14ac:dyDescent="0.25">
      <c r="A3597" t="s">
        <v>5839</v>
      </c>
      <c r="B3597" t="s">
        <v>9877</v>
      </c>
      <c r="C3597" t="s">
        <v>13029</v>
      </c>
      <c r="D3597" t="s">
        <v>13287</v>
      </c>
      <c r="E3597" t="str">
        <f>+VLOOKUP(A3597,[1]PFE4!$A$7:$F$5208,6,0)</f>
        <v>DIAGONAL 38  54  84</v>
      </c>
      <c r="F3597" s="17">
        <f>+VLOOKUP(A3597,[1]PFE4!$A$7:$G$5208,7,0)</f>
        <v>11001</v>
      </c>
      <c r="G3597">
        <v>71527547</v>
      </c>
      <c r="H3597">
        <v>4329</v>
      </c>
    </row>
    <row r="3598" spans="1:8" ht="15" customHeight="1" x14ac:dyDescent="0.25">
      <c r="A3598" t="s">
        <v>5840</v>
      </c>
      <c r="B3598" t="s">
        <v>9878</v>
      </c>
      <c r="C3598" t="s">
        <v>13030</v>
      </c>
      <c r="D3598" t="s">
        <v>13287</v>
      </c>
      <c r="E3598" t="str">
        <f>+VLOOKUP(A3598,[1]PFE4!$A$7:$F$5208,6,0)</f>
        <v>CALLE 10  80 F  40</v>
      </c>
      <c r="F3598" s="17">
        <f>+VLOOKUP(A3598,[1]PFE4!$A$7:$G$5208,7,0)</f>
        <v>11001</v>
      </c>
      <c r="G3598">
        <v>71576539</v>
      </c>
      <c r="H3598">
        <v>4329</v>
      </c>
    </row>
    <row r="3599" spans="1:8" ht="15" customHeight="1" x14ac:dyDescent="0.25">
      <c r="A3599" t="s">
        <v>5841</v>
      </c>
      <c r="B3599" t="s">
        <v>9879</v>
      </c>
      <c r="C3599" t="s">
        <v>13031</v>
      </c>
      <c r="D3599" t="s">
        <v>13287</v>
      </c>
      <c r="E3599" t="str">
        <f>+VLOOKUP(A3599,[1]PFE4!$A$7:$F$5208,6,0)</f>
        <v>CALLE 48 F SUR  40  55</v>
      </c>
      <c r="F3599" s="17" t="str">
        <f>+VLOOKUP(A3599,[1]PFE4!$A$7:$G$5208,7,0)</f>
        <v>05266</v>
      </c>
      <c r="G3599">
        <v>71654836</v>
      </c>
      <c r="H3599">
        <v>4329</v>
      </c>
    </row>
    <row r="3600" spans="1:8" ht="15" customHeight="1" x14ac:dyDescent="0.25">
      <c r="A3600" t="s">
        <v>5842</v>
      </c>
      <c r="B3600" t="s">
        <v>9880</v>
      </c>
      <c r="C3600">
        <v>0</v>
      </c>
      <c r="D3600" t="s">
        <v>13287</v>
      </c>
      <c r="E3600">
        <v>0</v>
      </c>
      <c r="F3600" s="17">
        <v>11001</v>
      </c>
      <c r="G3600">
        <v>71727745</v>
      </c>
      <c r="H3600">
        <v>4329</v>
      </c>
    </row>
    <row r="3601" spans="1:8" ht="15" customHeight="1" x14ac:dyDescent="0.25">
      <c r="A3601" t="s">
        <v>5843</v>
      </c>
      <c r="B3601" t="s">
        <v>9881</v>
      </c>
      <c r="C3601" t="s">
        <v>13032</v>
      </c>
      <c r="D3601" t="s">
        <v>13287</v>
      </c>
      <c r="E3601" t="str">
        <f>+VLOOKUP(A3601,[1]PFE4!$A$7:$F$5208,6,0)</f>
        <v>CARRERA 15  88  10</v>
      </c>
      <c r="F3601" s="17">
        <f>+VLOOKUP(A3601,[1]PFE4!$A$7:$G$5208,7,0)</f>
        <v>11001</v>
      </c>
      <c r="G3601">
        <v>71775182</v>
      </c>
      <c r="H3601">
        <v>4329</v>
      </c>
    </row>
    <row r="3602" spans="1:8" ht="15" customHeight="1" x14ac:dyDescent="0.25">
      <c r="A3602" t="s">
        <v>5844</v>
      </c>
      <c r="B3602" t="s">
        <v>9882</v>
      </c>
      <c r="C3602" t="s">
        <v>13033</v>
      </c>
      <c r="D3602" t="s">
        <v>13287</v>
      </c>
      <c r="E3602" t="str">
        <f>+VLOOKUP(A3602,[1]PFE4!$A$7:$F$5208,6,0)</f>
        <v>CARRERA 25 4-165</v>
      </c>
      <c r="F3602" s="17" t="str">
        <f>+VLOOKUP(A3602,[1]PFE4!$A$7:$G$5208,7,0)</f>
        <v>05001</v>
      </c>
      <c r="G3602">
        <v>71875608</v>
      </c>
      <c r="H3602">
        <v>4329</v>
      </c>
    </row>
    <row r="3603" spans="1:8" ht="15" customHeight="1" x14ac:dyDescent="0.25">
      <c r="A3603" t="s">
        <v>5845</v>
      </c>
      <c r="B3603" t="s">
        <v>9883</v>
      </c>
      <c r="C3603" t="s">
        <v>13034</v>
      </c>
      <c r="D3603" t="s">
        <v>13287</v>
      </c>
      <c r="E3603" t="str">
        <f>+VLOOKUP(A3603,[1]PFE4!$A$7:$F$5208,6,0)</f>
        <v>TV 21 BIS 59 57</v>
      </c>
      <c r="F3603" s="17">
        <f>+VLOOKUP(A3603,[1]PFE4!$A$7:$G$5208,7,0)</f>
        <v>11001</v>
      </c>
      <c r="G3603">
        <v>71885471</v>
      </c>
      <c r="H3603">
        <v>4329</v>
      </c>
    </row>
    <row r="3604" spans="1:8" ht="15" customHeight="1" x14ac:dyDescent="0.25">
      <c r="A3604" t="s">
        <v>5846</v>
      </c>
      <c r="B3604" t="s">
        <v>9884</v>
      </c>
      <c r="C3604" t="s">
        <v>13035</v>
      </c>
      <c r="D3604" t="s">
        <v>13287</v>
      </c>
      <c r="E3604" t="str">
        <f>+VLOOKUP(A3604,[1]PFE4!$A$7:$F$5208,6,0)</f>
        <v>CL 12 A SUR 55 D 30</v>
      </c>
      <c r="F3604" s="17" t="str">
        <f>+VLOOKUP(A3604,[1]PFE4!$A$7:$G$5208,7,0)</f>
        <v>05001</v>
      </c>
      <c r="G3604">
        <v>71895420</v>
      </c>
      <c r="H3604">
        <v>4329</v>
      </c>
    </row>
    <row r="3605" spans="1:8" ht="15" customHeight="1" x14ac:dyDescent="0.25">
      <c r="A3605" t="s">
        <v>5847</v>
      </c>
      <c r="B3605" t="s">
        <v>9885</v>
      </c>
      <c r="C3605" t="s">
        <v>13036</v>
      </c>
      <c r="D3605" t="s">
        <v>13287</v>
      </c>
      <c r="E3605" t="str">
        <f>+VLOOKUP(A3605,[1]PFE4!$A$7:$F$5208,6,0)</f>
        <v>CARRERA 80  129  22</v>
      </c>
      <c r="F3605" s="17">
        <f>+VLOOKUP(A3605,[1]PFE4!$A$7:$G$5208,7,0)</f>
        <v>11001</v>
      </c>
      <c r="G3605">
        <v>71896608</v>
      </c>
      <c r="H3605">
        <v>4329</v>
      </c>
    </row>
    <row r="3606" spans="1:8" ht="15" customHeight="1" x14ac:dyDescent="0.25">
      <c r="A3606" t="s">
        <v>5848</v>
      </c>
      <c r="B3606" t="s">
        <v>9886</v>
      </c>
      <c r="C3606" t="s">
        <v>11819</v>
      </c>
      <c r="D3606" t="s">
        <v>13287</v>
      </c>
      <c r="E3606" t="str">
        <f>+VLOOKUP(A3606,[1]PFE4!$A$7:$F$5208,6,0)</f>
        <v>CL 9 C BIS 68 G 29</v>
      </c>
      <c r="F3606" s="17">
        <f>+VLOOKUP(A3606,[1]PFE4!$A$7:$G$5208,7,0)</f>
        <v>11001</v>
      </c>
      <c r="G3606">
        <v>71953836</v>
      </c>
      <c r="H3606">
        <v>4329</v>
      </c>
    </row>
    <row r="3607" spans="1:8" ht="15" customHeight="1" x14ac:dyDescent="0.25">
      <c r="A3607" t="s">
        <v>5849</v>
      </c>
      <c r="B3607" t="s">
        <v>9887</v>
      </c>
      <c r="C3607" t="s">
        <v>13037</v>
      </c>
      <c r="D3607" t="s">
        <v>13287</v>
      </c>
      <c r="E3607" t="str">
        <f>+VLOOKUP(A3607,[1]PFE4!$A$7:$F$5208,6,0)</f>
        <v>CR 47 A 96 41 OF 402</v>
      </c>
      <c r="F3607" s="17">
        <f>+VLOOKUP(A3607,[1]PFE4!$A$7:$G$5208,7,0)</f>
        <v>11001</v>
      </c>
      <c r="G3607">
        <v>72038862</v>
      </c>
      <c r="H3607">
        <v>4329</v>
      </c>
    </row>
    <row r="3608" spans="1:8" ht="15" customHeight="1" x14ac:dyDescent="0.25">
      <c r="A3608" t="s">
        <v>5850</v>
      </c>
      <c r="B3608" t="s">
        <v>9888</v>
      </c>
      <c r="C3608" t="s">
        <v>13038</v>
      </c>
      <c r="D3608" t="s">
        <v>13287</v>
      </c>
      <c r="E3608" t="str">
        <f>+VLOOKUP(A3608,[1]PFE4!$A$7:$F$5208,6,0)</f>
        <v>CARRERA 76  53  35</v>
      </c>
      <c r="F3608" s="17" t="str">
        <f>+VLOOKUP(A3608,[1]PFE4!$A$7:$G$5208,7,0)</f>
        <v>05001</v>
      </c>
      <c r="G3608">
        <v>72171844</v>
      </c>
      <c r="H3608">
        <v>4329</v>
      </c>
    </row>
    <row r="3609" spans="1:8" ht="15" customHeight="1" x14ac:dyDescent="0.25">
      <c r="A3609" t="s">
        <v>5851</v>
      </c>
      <c r="B3609" t="s">
        <v>9889</v>
      </c>
      <c r="C3609" t="s">
        <v>13039</v>
      </c>
      <c r="D3609" t="s">
        <v>13287</v>
      </c>
      <c r="E3609" t="str">
        <f>+VLOOKUP(A3609,[1]PFE4!$A$7:$F$5208,6,0)</f>
        <v>CR 8 A 99 55</v>
      </c>
      <c r="F3609" s="17">
        <f>+VLOOKUP(A3609,[1]PFE4!$A$7:$G$5208,7,0)</f>
        <v>11001</v>
      </c>
      <c r="G3609">
        <v>72230480</v>
      </c>
      <c r="H3609">
        <v>4329</v>
      </c>
    </row>
    <row r="3610" spans="1:8" ht="15" customHeight="1" x14ac:dyDescent="0.25">
      <c r="A3610" t="s">
        <v>5852</v>
      </c>
      <c r="B3610" t="s">
        <v>9890</v>
      </c>
      <c r="C3610" t="s">
        <v>13040</v>
      </c>
      <c r="D3610" t="s">
        <v>13287</v>
      </c>
      <c r="E3610" t="str">
        <f>+VLOOKUP(A3610,[1]PFE4!$A$7:$F$5208,6,0)</f>
        <v>CALLE 127 D  19  88</v>
      </c>
      <c r="F3610" s="17">
        <f>+VLOOKUP(A3610,[1]PFE4!$A$7:$G$5208,7,0)</f>
        <v>11001</v>
      </c>
      <c r="G3610">
        <v>72299624</v>
      </c>
      <c r="H3610">
        <v>4329</v>
      </c>
    </row>
    <row r="3611" spans="1:8" ht="15" customHeight="1" x14ac:dyDescent="0.25">
      <c r="A3611" t="s">
        <v>5853</v>
      </c>
      <c r="B3611" t="s">
        <v>9891</v>
      </c>
      <c r="C3611" t="s">
        <v>13041</v>
      </c>
      <c r="D3611" t="s">
        <v>13287</v>
      </c>
      <c r="E3611" t="str">
        <f>+VLOOKUP(A3611,[1]PFE4!$A$7:$F$5208,6,0)</f>
        <v>CL 21 5 31</v>
      </c>
      <c r="F3611" s="17">
        <f>+VLOOKUP(A3611,[1]PFE4!$A$7:$G$5208,7,0)</f>
        <v>11001</v>
      </c>
      <c r="G3611">
        <v>72572040</v>
      </c>
      <c r="H3611">
        <v>4329</v>
      </c>
    </row>
    <row r="3612" spans="1:8" ht="15" customHeight="1" x14ac:dyDescent="0.25">
      <c r="A3612" t="s">
        <v>5854</v>
      </c>
      <c r="B3612" t="s">
        <v>9892</v>
      </c>
      <c r="C3612" t="s">
        <v>13042</v>
      </c>
      <c r="D3612" t="s">
        <v>13287</v>
      </c>
      <c r="E3612" t="str">
        <f>+VLOOKUP(A3612,[1]PFE4!$A$7:$F$5208,6,0)</f>
        <v>CALLE 47  96  55</v>
      </c>
      <c r="F3612" s="17">
        <f>+VLOOKUP(A3612,[1]PFE4!$A$7:$G$5208,7,0)</f>
        <v>11001</v>
      </c>
      <c r="G3612">
        <v>72706998</v>
      </c>
      <c r="H3612">
        <v>4329</v>
      </c>
    </row>
    <row r="3613" spans="1:8" ht="15" customHeight="1" x14ac:dyDescent="0.25">
      <c r="A3613" t="s">
        <v>5855</v>
      </c>
      <c r="B3613" t="s">
        <v>9893</v>
      </c>
      <c r="C3613" t="s">
        <v>12429</v>
      </c>
      <c r="D3613" t="s">
        <v>13287</v>
      </c>
      <c r="E3613" t="str">
        <f>+VLOOKUP(A3613,[1]PFE4!$A$7:$F$5208,6,0)</f>
        <v>CALLE 65 SUR  42 B  14</v>
      </c>
      <c r="F3613" s="17" t="str">
        <f>+VLOOKUP(A3613,[1]PFE4!$A$7:$G$5208,7,0)</f>
        <v>05631</v>
      </c>
      <c r="G3613">
        <v>72816536</v>
      </c>
      <c r="H3613">
        <v>4329</v>
      </c>
    </row>
    <row r="3614" spans="1:8" ht="15" customHeight="1" x14ac:dyDescent="0.25">
      <c r="A3614" t="s">
        <v>5856</v>
      </c>
      <c r="B3614" t="s">
        <v>9894</v>
      </c>
      <c r="C3614" t="s">
        <v>13043</v>
      </c>
      <c r="D3614" t="s">
        <v>13287</v>
      </c>
      <c r="E3614" t="str">
        <f>+VLOOKUP(A3614,[1]PFE4!$A$7:$F$5208,6,0)</f>
        <v>CALLE 5 SUR  76  150</v>
      </c>
      <c r="F3614" s="17" t="str">
        <f>+VLOOKUP(A3614,[1]PFE4!$A$7:$G$5208,7,0)</f>
        <v>05001</v>
      </c>
      <c r="G3614">
        <v>72923380</v>
      </c>
      <c r="H3614">
        <v>4329</v>
      </c>
    </row>
    <row r="3615" spans="1:8" ht="15" customHeight="1" x14ac:dyDescent="0.25">
      <c r="A3615" t="s">
        <v>5857</v>
      </c>
      <c r="B3615" t="s">
        <v>9895</v>
      </c>
      <c r="C3615" t="s">
        <v>12124</v>
      </c>
      <c r="D3615" t="s">
        <v>13287</v>
      </c>
      <c r="E3615" t="str">
        <f>+VLOOKUP(A3615,[1]PFE4!$A$7:$F$5208,6,0)</f>
        <v>CARRERA 47  52 SUR  110</v>
      </c>
      <c r="F3615" s="17" t="str">
        <f>+VLOOKUP(A3615,[1]PFE4!$A$7:$G$5208,7,0)</f>
        <v>05631</v>
      </c>
      <c r="G3615">
        <v>73134604</v>
      </c>
      <c r="H3615">
        <v>4329</v>
      </c>
    </row>
    <row r="3616" spans="1:8" ht="15" customHeight="1" x14ac:dyDescent="0.25">
      <c r="A3616" t="s">
        <v>5858</v>
      </c>
      <c r="B3616" t="s">
        <v>9896</v>
      </c>
      <c r="C3616" t="s">
        <v>13044</v>
      </c>
      <c r="D3616" t="s">
        <v>13287</v>
      </c>
      <c r="E3616" t="str">
        <f>+VLOOKUP(A3616,[1]PFE4!$A$7:$F$5208,6,0)</f>
        <v>CARRERA 12  6  42</v>
      </c>
      <c r="F3616" s="17">
        <f>+VLOOKUP(A3616,[1]PFE4!$A$7:$G$5208,7,0)</f>
        <v>11001</v>
      </c>
      <c r="G3616">
        <v>73184971</v>
      </c>
      <c r="H3616">
        <v>4329</v>
      </c>
    </row>
    <row r="3617" spans="1:8" ht="15" customHeight="1" x14ac:dyDescent="0.25">
      <c r="A3617" t="s">
        <v>5859</v>
      </c>
      <c r="B3617" t="s">
        <v>9897</v>
      </c>
      <c r="C3617" t="s">
        <v>11640</v>
      </c>
      <c r="D3617" t="s">
        <v>13287</v>
      </c>
      <c r="E3617" t="str">
        <f>+VLOOKUP(A3617,[1]PFE4!$A$7:$F$5208,6,0)</f>
        <v>CALLE 27 D SUR  27 C  51</v>
      </c>
      <c r="F3617" s="17" t="str">
        <f>+VLOOKUP(A3617,[1]PFE4!$A$7:$G$5208,7,0)</f>
        <v>05266</v>
      </c>
      <c r="G3617">
        <v>73198075</v>
      </c>
      <c r="H3617">
        <v>4329</v>
      </c>
    </row>
    <row r="3618" spans="1:8" ht="15" customHeight="1" x14ac:dyDescent="0.25">
      <c r="A3618" t="s">
        <v>5860</v>
      </c>
      <c r="B3618" t="s">
        <v>9898</v>
      </c>
      <c r="C3618" t="s">
        <v>13045</v>
      </c>
      <c r="D3618" t="s">
        <v>13287</v>
      </c>
      <c r="E3618" t="str">
        <f>+VLOOKUP(A3618,[1]PFE4!$A$7:$F$5208,6,0)</f>
        <v>CL 105 17 98 BRR PROVENZA</v>
      </c>
      <c r="F3618" s="17">
        <f>+VLOOKUP(A3618,[1]PFE4!$A$7:$G$5208,7,0)</f>
        <v>11001</v>
      </c>
      <c r="G3618">
        <v>73201676</v>
      </c>
      <c r="H3618">
        <v>4329</v>
      </c>
    </row>
    <row r="3619" spans="1:8" ht="15" customHeight="1" x14ac:dyDescent="0.25">
      <c r="A3619" t="s">
        <v>5861</v>
      </c>
      <c r="B3619" t="s">
        <v>9899</v>
      </c>
      <c r="C3619" t="s">
        <v>13046</v>
      </c>
      <c r="D3619" t="s">
        <v>13287</v>
      </c>
      <c r="E3619" t="str">
        <f>+VLOOKUP(A3619,[1]PFE4!$A$7:$F$5208,6,0)</f>
        <v>CARRERA 9  24 A N  21</v>
      </c>
      <c r="F3619" s="17">
        <f>+VLOOKUP(A3619,[1]PFE4!$A$7:$G$5208,7,0)</f>
        <v>19001</v>
      </c>
      <c r="G3619">
        <v>73303341</v>
      </c>
      <c r="H3619">
        <v>4329</v>
      </c>
    </row>
    <row r="3620" spans="1:8" ht="15" customHeight="1" x14ac:dyDescent="0.25">
      <c r="A3620" t="s">
        <v>5862</v>
      </c>
      <c r="B3620" t="s">
        <v>9900</v>
      </c>
      <c r="C3620" t="s">
        <v>13047</v>
      </c>
      <c r="D3620" t="s">
        <v>13287</v>
      </c>
      <c r="E3620" t="str">
        <f>+VLOOKUP(A3620,[1]PFE4!$A$7:$F$5208,6,0)</f>
        <v>CARRERA 1 A  20  120</v>
      </c>
      <c r="F3620" s="17">
        <f>+VLOOKUP(A3620,[1]PFE4!$A$7:$G$5208,7,0)</f>
        <v>47001</v>
      </c>
      <c r="G3620">
        <v>73489280</v>
      </c>
      <c r="H3620">
        <v>4329</v>
      </c>
    </row>
    <row r="3621" spans="1:8" ht="15" customHeight="1" x14ac:dyDescent="0.25">
      <c r="A3621" t="s">
        <v>5863</v>
      </c>
      <c r="B3621" t="s">
        <v>9901</v>
      </c>
      <c r="C3621" t="s">
        <v>13048</v>
      </c>
      <c r="D3621" t="s">
        <v>13287</v>
      </c>
      <c r="E3621" t="str">
        <f>+VLOOKUP(A3621,[1]PFE4!$A$7:$F$5208,6,0)</f>
        <v>CALLE 107 A  7 C  50</v>
      </c>
      <c r="F3621" s="17">
        <f>+VLOOKUP(A3621,[1]PFE4!$A$7:$G$5208,7,0)</f>
        <v>11001</v>
      </c>
      <c r="G3621">
        <v>73648781</v>
      </c>
      <c r="H3621">
        <v>4329</v>
      </c>
    </row>
    <row r="3622" spans="1:8" ht="15" customHeight="1" x14ac:dyDescent="0.25">
      <c r="A3622" t="s">
        <v>5864</v>
      </c>
      <c r="B3622" t="s">
        <v>9902</v>
      </c>
      <c r="C3622" t="s">
        <v>13049</v>
      </c>
      <c r="D3622" t="s">
        <v>13287</v>
      </c>
      <c r="E3622" t="str">
        <f>+VLOOKUP(A3622,[1]PFE4!$A$7:$F$5208,6,0)</f>
        <v>KM 8 ANILLO VIAL ZONA NORTE SERENA DEL MAR</v>
      </c>
      <c r="F3622" s="17">
        <f>+VLOOKUP(A3622,[1]PFE4!$A$7:$G$5208,7,0)</f>
        <v>11001</v>
      </c>
      <c r="G3622">
        <v>73672449</v>
      </c>
      <c r="H3622">
        <v>4329</v>
      </c>
    </row>
    <row r="3623" spans="1:8" ht="15" customHeight="1" x14ac:dyDescent="0.25">
      <c r="A3623" t="s">
        <v>5865</v>
      </c>
      <c r="B3623" t="s">
        <v>9903</v>
      </c>
      <c r="C3623" t="s">
        <v>11891</v>
      </c>
      <c r="D3623" t="s">
        <v>13287</v>
      </c>
      <c r="E3623" t="str">
        <f>+VLOOKUP(A3623,[1]PFE4!$A$7:$F$5208,6,0)</f>
        <v>CALLE 3 A  23  40</v>
      </c>
      <c r="F3623" s="17" t="str">
        <f>+VLOOKUP(A3623,[1]PFE4!$A$7:$G$5208,7,0)</f>
        <v>08573</v>
      </c>
      <c r="G3623">
        <v>73825312</v>
      </c>
      <c r="H3623">
        <v>4329</v>
      </c>
    </row>
    <row r="3624" spans="1:8" ht="15" customHeight="1" x14ac:dyDescent="0.25">
      <c r="A3624" t="s">
        <v>5866</v>
      </c>
      <c r="B3624" t="s">
        <v>9904</v>
      </c>
      <c r="C3624">
        <v>0</v>
      </c>
      <c r="D3624" t="s">
        <v>13287</v>
      </c>
      <c r="E3624">
        <v>0</v>
      </c>
      <c r="F3624" s="17">
        <v>11001</v>
      </c>
      <c r="G3624">
        <v>74018337</v>
      </c>
      <c r="H3624">
        <v>4329</v>
      </c>
    </row>
    <row r="3625" spans="1:8" ht="15" customHeight="1" x14ac:dyDescent="0.25">
      <c r="A3625" t="s">
        <v>5867</v>
      </c>
      <c r="B3625" t="s">
        <v>9905</v>
      </c>
      <c r="C3625" t="s">
        <v>13050</v>
      </c>
      <c r="D3625" t="s">
        <v>13287</v>
      </c>
      <c r="E3625" t="str">
        <f>+VLOOKUP(A3625,[1]PFE4!$A$7:$F$5208,6,0)</f>
        <v>CARRERA 73  52  65</v>
      </c>
      <c r="F3625" s="17" t="str">
        <f>+VLOOKUP(A3625,[1]PFE4!$A$7:$G$5208,7,0)</f>
        <v>05001</v>
      </c>
      <c r="G3625">
        <v>74040516</v>
      </c>
      <c r="H3625">
        <v>4329</v>
      </c>
    </row>
    <row r="3626" spans="1:8" ht="15" customHeight="1" x14ac:dyDescent="0.25">
      <c r="A3626" t="s">
        <v>5868</v>
      </c>
      <c r="B3626" t="s">
        <v>9906</v>
      </c>
      <c r="C3626" t="s">
        <v>13003</v>
      </c>
      <c r="D3626" t="s">
        <v>13287</v>
      </c>
      <c r="E3626" t="str">
        <f>+VLOOKUP(A3626,[1]PFE4!$A$7:$F$5208,6,0)</f>
        <v>CL 2 B 81 A 513</v>
      </c>
      <c r="F3626" s="17" t="str">
        <f>+VLOOKUP(A3626,[1]PFE4!$A$7:$G$5208,7,0)</f>
        <v>05001</v>
      </c>
      <c r="G3626">
        <v>74377085</v>
      </c>
      <c r="H3626">
        <v>4329</v>
      </c>
    </row>
    <row r="3627" spans="1:8" ht="15" customHeight="1" x14ac:dyDescent="0.25">
      <c r="A3627" t="s">
        <v>5869</v>
      </c>
      <c r="B3627" t="s">
        <v>9907</v>
      </c>
      <c r="C3627" t="s">
        <v>12819</v>
      </c>
      <c r="D3627" t="s">
        <v>13287</v>
      </c>
      <c r="E3627" t="str">
        <f>+VLOOKUP(A3627,[1]PFE4!$A$7:$F$5208,6,0)</f>
        <v>DG 8 SUR 41 100</v>
      </c>
      <c r="F3627" s="17">
        <f>+VLOOKUP(A3627,[1]PFE4!$A$7:$G$5208,7,0)</f>
        <v>50001</v>
      </c>
      <c r="G3627">
        <v>74407100</v>
      </c>
      <c r="H3627">
        <v>4329</v>
      </c>
    </row>
    <row r="3628" spans="1:8" ht="15" customHeight="1" x14ac:dyDescent="0.25">
      <c r="A3628" t="s">
        <v>5870</v>
      </c>
      <c r="B3628" t="s">
        <v>9908</v>
      </c>
      <c r="C3628" t="s">
        <v>13051</v>
      </c>
      <c r="D3628" t="s">
        <v>13287</v>
      </c>
      <c r="E3628" t="str">
        <f>+VLOOKUP(A3628,[1]PFE4!$A$7:$F$5208,6,0)</f>
        <v>CALLE 80  46  44</v>
      </c>
      <c r="F3628" s="17" t="str">
        <f>+VLOOKUP(A3628,[1]PFE4!$A$7:$G$5208,7,0)</f>
        <v>08001</v>
      </c>
      <c r="G3628">
        <v>74609908</v>
      </c>
      <c r="H3628">
        <v>4329</v>
      </c>
    </row>
    <row r="3629" spans="1:8" ht="15" customHeight="1" x14ac:dyDescent="0.25">
      <c r="A3629" t="s">
        <v>5871</v>
      </c>
      <c r="B3629" t="s">
        <v>9909</v>
      </c>
      <c r="C3629" t="s">
        <v>13052</v>
      </c>
      <c r="D3629" t="s">
        <v>13287</v>
      </c>
      <c r="E3629" t="str">
        <f>+VLOOKUP(A3629,[1]PFE4!$A$7:$F$5208,6,0)</f>
        <v>CARRERA 6 A ESTE  2  62</v>
      </c>
      <c r="F3629" s="17">
        <f>+VLOOKUP(A3629,[1]PFE4!$A$7:$G$5208,7,0)</f>
        <v>25126</v>
      </c>
      <c r="G3629">
        <v>74788500</v>
      </c>
      <c r="H3629">
        <v>4329</v>
      </c>
    </row>
    <row r="3630" spans="1:8" ht="15" customHeight="1" x14ac:dyDescent="0.25">
      <c r="A3630" t="s">
        <v>5872</v>
      </c>
      <c r="B3630" t="s">
        <v>9910</v>
      </c>
      <c r="C3630" t="s">
        <v>13053</v>
      </c>
      <c r="D3630" t="s">
        <v>13287</v>
      </c>
      <c r="E3630" t="str">
        <f>+VLOOKUP(A3630,[1]PFE4!$A$7:$F$5208,6,0)</f>
        <v>CARRERA 145  144 C  72</v>
      </c>
      <c r="F3630" s="17">
        <f>+VLOOKUP(A3630,[1]PFE4!$A$7:$G$5208,7,0)</f>
        <v>11001</v>
      </c>
      <c r="G3630">
        <v>74817770</v>
      </c>
      <c r="H3630">
        <v>4329</v>
      </c>
    </row>
    <row r="3631" spans="1:8" ht="15" customHeight="1" x14ac:dyDescent="0.25">
      <c r="A3631" t="s">
        <v>5873</v>
      </c>
      <c r="B3631" t="s">
        <v>9911</v>
      </c>
      <c r="C3631" t="s">
        <v>13054</v>
      </c>
      <c r="D3631" t="s">
        <v>13287</v>
      </c>
      <c r="E3631" t="str">
        <f>+VLOOKUP(A3631,[1]PFE4!$A$7:$F$5208,6,0)</f>
        <v>DIAGONAL 4 B BIS #29-23C</v>
      </c>
      <c r="F3631" s="17">
        <f>+VLOOKUP(A3631,[1]PFE4!$A$7:$G$5208,7,0)</f>
        <v>25899</v>
      </c>
      <c r="G3631">
        <v>74832145</v>
      </c>
      <c r="H3631">
        <v>4329</v>
      </c>
    </row>
    <row r="3632" spans="1:8" ht="15" customHeight="1" x14ac:dyDescent="0.25">
      <c r="A3632" t="s">
        <v>5874</v>
      </c>
      <c r="B3632" t="s">
        <v>9912</v>
      </c>
      <c r="C3632">
        <v>0</v>
      </c>
      <c r="D3632" t="s">
        <v>13287</v>
      </c>
      <c r="E3632">
        <v>0</v>
      </c>
      <c r="F3632" s="17">
        <v>11001</v>
      </c>
      <c r="G3632">
        <v>75084301</v>
      </c>
      <c r="H3632">
        <v>4329</v>
      </c>
    </row>
    <row r="3633" spans="1:8" ht="15" customHeight="1" x14ac:dyDescent="0.25">
      <c r="A3633" t="s">
        <v>5875</v>
      </c>
      <c r="B3633" t="s">
        <v>9913</v>
      </c>
      <c r="C3633" t="s">
        <v>10510</v>
      </c>
      <c r="D3633" t="s">
        <v>13287</v>
      </c>
      <c r="E3633" t="str">
        <f>+VLOOKUP(A3633,[1]PFE4!$A$7:$F$5208,6,0)</f>
        <v>CARRERA 86  49 E  85</v>
      </c>
      <c r="F3633" s="17" t="str">
        <f>+VLOOKUP(A3633,[1]PFE4!$A$7:$G$5208,7,0)</f>
        <v>05001</v>
      </c>
      <c r="G3633">
        <v>75240416</v>
      </c>
      <c r="H3633">
        <v>4329</v>
      </c>
    </row>
    <row r="3634" spans="1:8" ht="15" customHeight="1" x14ac:dyDescent="0.25">
      <c r="A3634" t="s">
        <v>5876</v>
      </c>
      <c r="B3634" t="s">
        <v>9914</v>
      </c>
      <c r="C3634" t="s">
        <v>13055</v>
      </c>
      <c r="D3634" t="s">
        <v>13287</v>
      </c>
      <c r="E3634" t="str">
        <f>+VLOOKUP(A3634,[1]PFE4!$A$7:$F$5208,6,0)</f>
        <v>CL 81 11 08 P 6</v>
      </c>
      <c r="F3634" s="17">
        <f>+VLOOKUP(A3634,[1]PFE4!$A$7:$G$5208,7,0)</f>
        <v>11001</v>
      </c>
      <c r="G3634">
        <v>75277652</v>
      </c>
      <c r="H3634">
        <v>4329</v>
      </c>
    </row>
    <row r="3635" spans="1:8" ht="15" customHeight="1" x14ac:dyDescent="0.25">
      <c r="A3635" t="s">
        <v>5877</v>
      </c>
      <c r="B3635" t="s">
        <v>9915</v>
      </c>
      <c r="C3635" t="s">
        <v>11119</v>
      </c>
      <c r="D3635" t="s">
        <v>13287</v>
      </c>
      <c r="E3635" t="str">
        <f>+VLOOKUP(A3635,[1]PFE4!$A$7:$F$5208,6,0)</f>
        <v>TV EL BOSQUE 17 117</v>
      </c>
      <c r="F3635" s="17">
        <f>+VLOOKUP(A3635,[1]PFE4!$A$7:$G$5208,7,0)</f>
        <v>11001</v>
      </c>
      <c r="G3635">
        <v>75558400</v>
      </c>
      <c r="H3635">
        <v>4329</v>
      </c>
    </row>
    <row r="3636" spans="1:8" ht="15" customHeight="1" x14ac:dyDescent="0.25">
      <c r="A3636" t="s">
        <v>5878</v>
      </c>
      <c r="B3636" t="s">
        <v>9916</v>
      </c>
      <c r="C3636" t="s">
        <v>13056</v>
      </c>
      <c r="D3636" t="s">
        <v>13287</v>
      </c>
      <c r="E3636" t="str">
        <f>+VLOOKUP(A3636,[1]PFE4!$A$7:$F$5208,6,0)</f>
        <v>CALLE 35  19  41 OFICINA 610</v>
      </c>
      <c r="F3636" s="17">
        <f>+VLOOKUP(A3636,[1]PFE4!$A$7:$G$5208,7,0)</f>
        <v>68001</v>
      </c>
      <c r="G3636">
        <v>75607928</v>
      </c>
      <c r="H3636">
        <v>4329</v>
      </c>
    </row>
    <row r="3637" spans="1:8" ht="15" customHeight="1" x14ac:dyDescent="0.25">
      <c r="A3637" t="s">
        <v>5879</v>
      </c>
      <c r="B3637" t="s">
        <v>9917</v>
      </c>
      <c r="C3637">
        <v>3219664011</v>
      </c>
      <c r="D3637" t="s">
        <v>13287</v>
      </c>
      <c r="E3637" t="str">
        <f>+VLOOKUP(A3637,[1]PFE4!$A$7:$F$5208,6,0)</f>
        <v>CALLE 165 B  13 C  55</v>
      </c>
      <c r="F3637" s="17">
        <f>+VLOOKUP(A3637,[1]PFE4!$A$7:$G$5208,7,0)</f>
        <v>11001</v>
      </c>
      <c r="G3637">
        <v>75774957</v>
      </c>
      <c r="H3637">
        <v>4329</v>
      </c>
    </row>
    <row r="3638" spans="1:8" ht="15" customHeight="1" x14ac:dyDescent="0.25">
      <c r="A3638" t="s">
        <v>5880</v>
      </c>
      <c r="B3638" t="s">
        <v>9918</v>
      </c>
      <c r="C3638" t="s">
        <v>13057</v>
      </c>
      <c r="D3638" t="s">
        <v>13287</v>
      </c>
      <c r="E3638" t="str">
        <f>+VLOOKUP(A3638,[1]PFE4!$A$7:$F$5208,6,0)</f>
        <v>CARRERA 84 B  7  95</v>
      </c>
      <c r="F3638" s="17" t="str">
        <f>+VLOOKUP(A3638,[1]PFE4!$A$7:$G$5208,7,0)</f>
        <v>05001</v>
      </c>
      <c r="G3638">
        <v>75831675</v>
      </c>
      <c r="H3638">
        <v>4329</v>
      </c>
    </row>
    <row r="3639" spans="1:8" ht="15" customHeight="1" x14ac:dyDescent="0.25">
      <c r="A3639" t="s">
        <v>5881</v>
      </c>
      <c r="B3639" t="s">
        <v>9919</v>
      </c>
      <c r="C3639" t="s">
        <v>13058</v>
      </c>
      <c r="D3639" t="s">
        <v>13287</v>
      </c>
      <c r="E3639" t="str">
        <f>+VLOOKUP(A3639,[1]PFE4!$A$7:$F$5208,6,0)</f>
        <v>CALLE 192  11 A  51</v>
      </c>
      <c r="F3639" s="17">
        <f>+VLOOKUP(A3639,[1]PFE4!$A$7:$G$5208,7,0)</f>
        <v>11001</v>
      </c>
      <c r="G3639">
        <v>76095616</v>
      </c>
      <c r="H3639">
        <v>4329</v>
      </c>
    </row>
    <row r="3640" spans="1:8" ht="15" customHeight="1" x14ac:dyDescent="0.25">
      <c r="A3640" t="s">
        <v>5882</v>
      </c>
      <c r="B3640" t="s">
        <v>9920</v>
      </c>
      <c r="C3640" t="s">
        <v>13059</v>
      </c>
      <c r="D3640" t="s">
        <v>13287</v>
      </c>
      <c r="E3640" t="str">
        <f>+VLOOKUP(A3640,[1]PFE4!$A$7:$F$5208,6,0)</f>
        <v>CALLE 140  13  66</v>
      </c>
      <c r="F3640" s="17">
        <f>+VLOOKUP(A3640,[1]PFE4!$A$7:$G$5208,7,0)</f>
        <v>11001</v>
      </c>
      <c r="G3640">
        <v>76102140</v>
      </c>
      <c r="H3640">
        <v>4329</v>
      </c>
    </row>
    <row r="3641" spans="1:8" ht="15" customHeight="1" x14ac:dyDescent="0.25">
      <c r="A3641" t="s">
        <v>5883</v>
      </c>
      <c r="B3641" t="s">
        <v>9921</v>
      </c>
      <c r="C3641" t="s">
        <v>12429</v>
      </c>
      <c r="D3641" t="s">
        <v>13287</v>
      </c>
      <c r="E3641" t="str">
        <f>+VLOOKUP(A3641,[1]PFE4!$A$7:$F$5208,6,0)</f>
        <v>CALLE 78 E SUR  47 C  80</v>
      </c>
      <c r="F3641" s="17" t="str">
        <f>+VLOOKUP(A3641,[1]PFE4!$A$7:$G$5208,7,0)</f>
        <v>05631</v>
      </c>
      <c r="G3641">
        <v>76108015</v>
      </c>
      <c r="H3641">
        <v>4329</v>
      </c>
    </row>
    <row r="3642" spans="1:8" ht="15" customHeight="1" x14ac:dyDescent="0.25">
      <c r="A3642" t="s">
        <v>5884</v>
      </c>
      <c r="B3642" t="s">
        <v>9922</v>
      </c>
      <c r="C3642" t="s">
        <v>13060</v>
      </c>
      <c r="D3642" t="s">
        <v>13287</v>
      </c>
      <c r="E3642" t="str">
        <f>+VLOOKUP(A3642,[1]PFE4!$A$7:$F$5208,6,0)</f>
        <v>CARRERA 13 A  1 A  39</v>
      </c>
      <c r="F3642" s="17">
        <f>+VLOOKUP(A3642,[1]PFE4!$A$7:$G$5208,7,0)</f>
        <v>63001</v>
      </c>
      <c r="G3642">
        <v>76116046</v>
      </c>
      <c r="H3642">
        <v>4329</v>
      </c>
    </row>
    <row r="3643" spans="1:8" ht="15" customHeight="1" x14ac:dyDescent="0.25">
      <c r="A3643" t="s">
        <v>5885</v>
      </c>
      <c r="B3643" t="s">
        <v>9923</v>
      </c>
      <c r="C3643" t="s">
        <v>11875</v>
      </c>
      <c r="D3643" t="s">
        <v>13287</v>
      </c>
      <c r="E3643" t="str">
        <f>+VLOOKUP(A3643,[1]PFE4!$A$7:$F$5208,6,0)</f>
        <v>SUPERMANZANA 11 C 38 87 45 S M 11</v>
      </c>
      <c r="F3643" s="17">
        <f>+VLOOKUP(A3643,[1]PFE4!$A$7:$G$5208,7,0)</f>
        <v>11001</v>
      </c>
      <c r="G3643">
        <v>76711029</v>
      </c>
      <c r="H3643">
        <v>4329</v>
      </c>
    </row>
    <row r="3644" spans="1:8" ht="15" customHeight="1" x14ac:dyDescent="0.25">
      <c r="A3644" t="s">
        <v>5886</v>
      </c>
      <c r="B3644" t="s">
        <v>9924</v>
      </c>
      <c r="C3644" t="s">
        <v>13061</v>
      </c>
      <c r="D3644" t="s">
        <v>13287</v>
      </c>
      <c r="E3644" t="str">
        <f>+VLOOKUP(A3644,[1]PFE4!$A$7:$F$5208,6,0)</f>
        <v>CARRERA 19  79  18</v>
      </c>
      <c r="F3644" s="17">
        <f>+VLOOKUP(A3644,[1]PFE4!$A$7:$G$5208,7,0)</f>
        <v>11001</v>
      </c>
      <c r="G3644">
        <v>76830787</v>
      </c>
      <c r="H3644">
        <v>4329</v>
      </c>
    </row>
    <row r="3645" spans="1:8" ht="15" customHeight="1" x14ac:dyDescent="0.25">
      <c r="A3645" t="s">
        <v>5887</v>
      </c>
      <c r="B3645" t="s">
        <v>9925</v>
      </c>
      <c r="C3645" t="s">
        <v>13062</v>
      </c>
      <c r="D3645" t="s">
        <v>13287</v>
      </c>
      <c r="E3645" t="str">
        <f>+VLOOKUP(A3645,[1]PFE4!$A$7:$F$5208,6,0)</f>
        <v>CL 142 1 99 SEC BELLO SOL</v>
      </c>
      <c r="F3645" s="17">
        <f>+VLOOKUP(A3645,[1]PFE4!$A$7:$G$5208,7,0)</f>
        <v>11001</v>
      </c>
      <c r="G3645">
        <v>77194190</v>
      </c>
      <c r="H3645">
        <v>4329</v>
      </c>
    </row>
    <row r="3646" spans="1:8" ht="15" customHeight="1" x14ac:dyDescent="0.25">
      <c r="A3646" t="s">
        <v>5888</v>
      </c>
      <c r="B3646" t="s">
        <v>9926</v>
      </c>
      <c r="C3646" t="s">
        <v>13063</v>
      </c>
      <c r="D3646" t="s">
        <v>13287</v>
      </c>
      <c r="E3646" t="str">
        <f>+VLOOKUP(A3646,[1]PFE4!$A$7:$F$5208,6,0)</f>
        <v>CARRERA 62  165 A  88</v>
      </c>
      <c r="F3646" s="17">
        <f>+VLOOKUP(A3646,[1]PFE4!$A$7:$G$5208,7,0)</f>
        <v>11001</v>
      </c>
      <c r="G3646">
        <v>77355988</v>
      </c>
      <c r="H3646">
        <v>4329</v>
      </c>
    </row>
    <row r="3647" spans="1:8" ht="15" customHeight="1" x14ac:dyDescent="0.25">
      <c r="A3647" t="s">
        <v>5889</v>
      </c>
      <c r="B3647" t="s">
        <v>9927</v>
      </c>
      <c r="C3647" t="s">
        <v>13064</v>
      </c>
      <c r="D3647" t="s">
        <v>13287</v>
      </c>
      <c r="E3647" t="str">
        <f>+VLOOKUP(A3647,[1]PFE4!$A$7:$F$5208,6,0)</f>
        <v>CARRERA 4  7  147</v>
      </c>
      <c r="F3647" s="17">
        <f>+VLOOKUP(A3647,[1]PFE4!$A$7:$G$5208,7,0)</f>
        <v>11001</v>
      </c>
      <c r="G3647">
        <v>77695784</v>
      </c>
      <c r="H3647">
        <v>4329</v>
      </c>
    </row>
    <row r="3648" spans="1:8" ht="15" customHeight="1" x14ac:dyDescent="0.25">
      <c r="A3648" t="s">
        <v>5890</v>
      </c>
      <c r="B3648" t="s">
        <v>9928</v>
      </c>
      <c r="C3648" t="s">
        <v>13065</v>
      </c>
      <c r="D3648" t="s">
        <v>13287</v>
      </c>
      <c r="E3648" t="str">
        <f>+VLOOKUP(A3648,[1]PFE4!$A$7:$F$5208,6,0)</f>
        <v>CALLE 165 B  14 A  07</v>
      </c>
      <c r="F3648" s="17">
        <f>+VLOOKUP(A3648,[1]PFE4!$A$7:$G$5208,7,0)</f>
        <v>11001</v>
      </c>
      <c r="G3648">
        <v>77728338</v>
      </c>
      <c r="H3648">
        <v>4329</v>
      </c>
    </row>
    <row r="3649" spans="1:8" ht="15" customHeight="1" x14ac:dyDescent="0.25">
      <c r="A3649" t="s">
        <v>5891</v>
      </c>
      <c r="B3649" t="s">
        <v>9929</v>
      </c>
      <c r="C3649" t="s">
        <v>13066</v>
      </c>
      <c r="D3649" t="s">
        <v>13287</v>
      </c>
      <c r="E3649" t="str">
        <f>+VLOOKUP(A3649,[1]PFE4!$A$7:$F$5208,6,0)</f>
        <v>CALLE 18  122  135</v>
      </c>
      <c r="F3649" s="17">
        <f>+VLOOKUP(A3649,[1]PFE4!$A$7:$G$5208,7,0)</f>
        <v>11001</v>
      </c>
      <c r="G3649">
        <v>77758825</v>
      </c>
      <c r="H3649">
        <v>4329</v>
      </c>
    </row>
    <row r="3650" spans="1:8" ht="15" customHeight="1" x14ac:dyDescent="0.25">
      <c r="A3650" t="s">
        <v>5892</v>
      </c>
      <c r="B3650" t="s">
        <v>9930</v>
      </c>
      <c r="C3650" t="s">
        <v>13067</v>
      </c>
      <c r="D3650" t="s">
        <v>13287</v>
      </c>
      <c r="E3650" t="str">
        <f>+VLOOKUP(A3650,[1]PFE4!$A$7:$F$5208,6,0)</f>
        <v>CARRERA 7  116 A  40</v>
      </c>
      <c r="F3650" s="17">
        <f>+VLOOKUP(A3650,[1]PFE4!$A$7:$G$5208,7,0)</f>
        <v>11001</v>
      </c>
      <c r="G3650">
        <v>77814004</v>
      </c>
      <c r="H3650">
        <v>4329</v>
      </c>
    </row>
    <row r="3651" spans="1:8" ht="15" customHeight="1" x14ac:dyDescent="0.25">
      <c r="A3651" t="s">
        <v>5893</v>
      </c>
      <c r="B3651" t="s">
        <v>9931</v>
      </c>
      <c r="C3651">
        <v>0</v>
      </c>
      <c r="D3651" t="s">
        <v>13287</v>
      </c>
      <c r="E3651">
        <v>0</v>
      </c>
      <c r="F3651" s="17">
        <v>11001</v>
      </c>
      <c r="G3651">
        <v>77888988</v>
      </c>
      <c r="H3651">
        <v>4329</v>
      </c>
    </row>
    <row r="3652" spans="1:8" ht="15" customHeight="1" x14ac:dyDescent="0.25">
      <c r="A3652" t="s">
        <v>5894</v>
      </c>
      <c r="B3652" t="s">
        <v>9932</v>
      </c>
      <c r="C3652" t="s">
        <v>13068</v>
      </c>
      <c r="D3652" t="s">
        <v>13287</v>
      </c>
      <c r="E3652" t="str">
        <f>+VLOOKUP(A3652,[1]PFE4!$A$7:$F$5208,6,0)</f>
        <v>CR 68 D 25 B 86</v>
      </c>
      <c r="F3652" s="17">
        <f>+VLOOKUP(A3652,[1]PFE4!$A$7:$G$5208,7,0)</f>
        <v>11001</v>
      </c>
      <c r="G3652">
        <v>77977084</v>
      </c>
      <c r="H3652">
        <v>4329</v>
      </c>
    </row>
    <row r="3653" spans="1:8" ht="15" customHeight="1" x14ac:dyDescent="0.25">
      <c r="A3653" t="s">
        <v>5895</v>
      </c>
      <c r="B3653" t="s">
        <v>9933</v>
      </c>
      <c r="C3653" t="s">
        <v>13069</v>
      </c>
      <c r="D3653" t="s">
        <v>13287</v>
      </c>
      <c r="E3653" t="str">
        <f>+VLOOKUP(A3653,[1]PFE4!$A$7:$F$5208,6,0)</f>
        <v>CARRERA 52  37 A  50</v>
      </c>
      <c r="F3653" s="17">
        <f>+VLOOKUP(A3653,[1]PFE4!$A$7:$G$5208,7,0)</f>
        <v>11001</v>
      </c>
      <c r="G3653">
        <v>78113492</v>
      </c>
      <c r="H3653">
        <v>4329</v>
      </c>
    </row>
    <row r="3654" spans="1:8" ht="15" customHeight="1" x14ac:dyDescent="0.25">
      <c r="A3654" t="s">
        <v>5896</v>
      </c>
      <c r="B3654" t="s">
        <v>9934</v>
      </c>
      <c r="C3654" t="s">
        <v>13070</v>
      </c>
      <c r="D3654" t="s">
        <v>13287</v>
      </c>
      <c r="E3654" t="str">
        <f>+VLOOKUP(A3654,[1]PFE4!$A$7:$F$5208,6,0)</f>
        <v>CARRERA 51 B  79  246</v>
      </c>
      <c r="F3654" s="17" t="str">
        <f>+VLOOKUP(A3654,[1]PFE4!$A$7:$G$5208,7,0)</f>
        <v>08001</v>
      </c>
      <c r="G3654">
        <v>78565418</v>
      </c>
      <c r="H3654">
        <v>4329</v>
      </c>
    </row>
    <row r="3655" spans="1:8" ht="15" customHeight="1" x14ac:dyDescent="0.25">
      <c r="A3655" t="s">
        <v>5897</v>
      </c>
      <c r="B3655" t="s">
        <v>9935</v>
      </c>
      <c r="C3655" t="s">
        <v>12031</v>
      </c>
      <c r="D3655" t="s">
        <v>13287</v>
      </c>
      <c r="E3655" t="str">
        <f>+VLOOKUP(A3655,[1]PFE4!$A$7:$F$5208,6,0)</f>
        <v>CALLE 58 NORTE  4 B  64</v>
      </c>
      <c r="F3655" s="17">
        <f>+VLOOKUP(A3655,[1]PFE4!$A$7:$G$5208,7,0)</f>
        <v>11001</v>
      </c>
      <c r="G3655">
        <v>78627434</v>
      </c>
      <c r="H3655">
        <v>4329</v>
      </c>
    </row>
    <row r="3656" spans="1:8" ht="15" customHeight="1" x14ac:dyDescent="0.25">
      <c r="A3656" t="s">
        <v>5898</v>
      </c>
      <c r="B3656" t="s">
        <v>9936</v>
      </c>
      <c r="C3656" t="s">
        <v>13071</v>
      </c>
      <c r="D3656" t="s">
        <v>13287</v>
      </c>
      <c r="E3656" t="str">
        <f>+VLOOKUP(A3656,[1]PFE4!$A$7:$F$5208,6,0)</f>
        <v>CR 61 33 65</v>
      </c>
      <c r="F3656" s="17" t="str">
        <f>+VLOOKUP(A3656,[1]PFE4!$A$7:$G$5208,7,0)</f>
        <v>05360</v>
      </c>
      <c r="G3656">
        <v>78655464</v>
      </c>
      <c r="H3656">
        <v>4329</v>
      </c>
    </row>
    <row r="3657" spans="1:8" ht="15" customHeight="1" x14ac:dyDescent="0.25">
      <c r="A3657" t="s">
        <v>5899</v>
      </c>
      <c r="B3657" t="s">
        <v>6681</v>
      </c>
      <c r="C3657" t="s">
        <v>13072</v>
      </c>
      <c r="D3657" t="s">
        <v>13287</v>
      </c>
      <c r="E3657" t="str">
        <f>+VLOOKUP(A3657,[1]PFE4!$A$7:$F$5208,6,0)</f>
        <v>BRR EL CABRERO SEC MARBELLA CR 1 43 18</v>
      </c>
      <c r="F3657" s="17">
        <f>+VLOOKUP(A3657,[1]PFE4!$A$7:$G$5208,7,0)</f>
        <v>11001</v>
      </c>
      <c r="G3657">
        <v>78802621</v>
      </c>
      <c r="H3657">
        <v>4329</v>
      </c>
    </row>
    <row r="3658" spans="1:8" ht="15" customHeight="1" x14ac:dyDescent="0.25">
      <c r="A3658" t="s">
        <v>5900</v>
      </c>
      <c r="B3658" t="s">
        <v>9937</v>
      </c>
      <c r="C3658" t="s">
        <v>11276</v>
      </c>
      <c r="D3658" t="s">
        <v>13287</v>
      </c>
      <c r="E3658" t="str">
        <f>+VLOOKUP(A3658,[1]PFE4!$A$7:$F$5208,6,0)</f>
        <v>LT 6 BRR QUINTAS DEL CARRIZAL</v>
      </c>
      <c r="F3658" s="17">
        <f>+VLOOKUP(A3658,[1]PFE4!$A$7:$G$5208,7,0)</f>
        <v>68307</v>
      </c>
      <c r="G3658">
        <v>79040976</v>
      </c>
      <c r="H3658">
        <v>4329</v>
      </c>
    </row>
    <row r="3659" spans="1:8" ht="15" customHeight="1" x14ac:dyDescent="0.25">
      <c r="A3659" t="s">
        <v>5901</v>
      </c>
      <c r="B3659" t="s">
        <v>9938</v>
      </c>
      <c r="C3659">
        <v>3219664011</v>
      </c>
      <c r="D3659" t="s">
        <v>13287</v>
      </c>
      <c r="E3659" t="str">
        <f>+VLOOKUP(A3659,[1]PFE4!$A$7:$F$5208,6,0)</f>
        <v>CALLE 85  9  65</v>
      </c>
      <c r="F3659" s="17">
        <f>+VLOOKUP(A3659,[1]PFE4!$A$7:$G$5208,7,0)</f>
        <v>11001</v>
      </c>
      <c r="G3659">
        <v>79432280</v>
      </c>
      <c r="H3659">
        <v>4329</v>
      </c>
    </row>
    <row r="3660" spans="1:8" ht="15" customHeight="1" x14ac:dyDescent="0.25">
      <c r="A3660" t="s">
        <v>5902</v>
      </c>
      <c r="B3660" t="s">
        <v>9939</v>
      </c>
      <c r="C3660" t="s">
        <v>13073</v>
      </c>
      <c r="D3660" t="s">
        <v>13287</v>
      </c>
      <c r="E3660" t="str">
        <f>+VLOOKUP(A3660,[1]PFE4!$A$7:$F$5208,6,0)</f>
        <v>CL 2 SUR 2 100</v>
      </c>
      <c r="F3660" s="17">
        <f>+VLOOKUP(A3660,[1]PFE4!$A$7:$G$5208,7,0)</f>
        <v>25126</v>
      </c>
      <c r="G3660">
        <v>79812008</v>
      </c>
      <c r="H3660">
        <v>4329</v>
      </c>
    </row>
    <row r="3661" spans="1:8" ht="15" customHeight="1" x14ac:dyDescent="0.25">
      <c r="A3661" t="s">
        <v>5903</v>
      </c>
      <c r="B3661" t="s">
        <v>9940</v>
      </c>
      <c r="C3661" t="s">
        <v>13074</v>
      </c>
      <c r="D3661" t="s">
        <v>13287</v>
      </c>
      <c r="E3661" t="str">
        <f>+VLOOKUP(A3661,[1]PFE4!$A$7:$F$5208,6,0)</f>
        <v>CARRERA 11  11  239</v>
      </c>
      <c r="F3661" s="17">
        <f>+VLOOKUP(A3661,[1]PFE4!$A$7:$G$5208,7,0)</f>
        <v>11001</v>
      </c>
      <c r="G3661">
        <v>80231185</v>
      </c>
      <c r="H3661">
        <v>4329</v>
      </c>
    </row>
    <row r="3662" spans="1:8" ht="15" customHeight="1" x14ac:dyDescent="0.25">
      <c r="A3662" t="s">
        <v>5904</v>
      </c>
      <c r="B3662" t="s">
        <v>9941</v>
      </c>
      <c r="C3662" t="s">
        <v>13026</v>
      </c>
      <c r="D3662" t="s">
        <v>13287</v>
      </c>
      <c r="E3662" t="str">
        <f>+VLOOKUP(A3662,[1]PFE4!$A$7:$F$5208,6,0)</f>
        <v>CALLE 79 SUR  55  15</v>
      </c>
      <c r="F3662" s="17" t="str">
        <f>+VLOOKUP(A3662,[1]PFE4!$A$7:$G$5208,7,0)</f>
        <v>05380</v>
      </c>
      <c r="G3662">
        <v>80247816</v>
      </c>
      <c r="H3662">
        <v>4329</v>
      </c>
    </row>
    <row r="3663" spans="1:8" ht="15" customHeight="1" x14ac:dyDescent="0.25">
      <c r="A3663" t="s">
        <v>5905</v>
      </c>
      <c r="B3663" t="s">
        <v>9942</v>
      </c>
      <c r="C3663" t="s">
        <v>12717</v>
      </c>
      <c r="D3663" t="s">
        <v>13287</v>
      </c>
      <c r="E3663" t="str">
        <f>+VLOOKUP(A3663,[1]PFE4!$A$7:$F$5208,6,0)</f>
        <v>CR 52 106 213</v>
      </c>
      <c r="F3663" s="17" t="str">
        <f>+VLOOKUP(A3663,[1]PFE4!$A$7:$G$5208,7,0)</f>
        <v>08001</v>
      </c>
      <c r="G3663">
        <v>80250329</v>
      </c>
      <c r="H3663">
        <v>4329</v>
      </c>
    </row>
    <row r="3664" spans="1:8" ht="15" customHeight="1" x14ac:dyDescent="0.25">
      <c r="A3664" t="s">
        <v>5906</v>
      </c>
      <c r="B3664" t="s">
        <v>9943</v>
      </c>
      <c r="C3664">
        <v>0</v>
      </c>
      <c r="D3664" t="s">
        <v>13287</v>
      </c>
      <c r="E3664">
        <v>0</v>
      </c>
      <c r="F3664" s="17">
        <v>11001</v>
      </c>
      <c r="G3664">
        <v>80257588</v>
      </c>
      <c r="H3664">
        <v>4329</v>
      </c>
    </row>
    <row r="3665" spans="1:8" ht="15" customHeight="1" x14ac:dyDescent="0.25">
      <c r="A3665" t="s">
        <v>5907</v>
      </c>
      <c r="B3665" t="s">
        <v>9944</v>
      </c>
      <c r="C3665">
        <v>0</v>
      </c>
      <c r="D3665" t="s">
        <v>13287</v>
      </c>
      <c r="E3665">
        <v>0</v>
      </c>
      <c r="F3665" s="17">
        <v>11001</v>
      </c>
      <c r="G3665">
        <v>80520830</v>
      </c>
      <c r="H3665">
        <v>4329</v>
      </c>
    </row>
    <row r="3666" spans="1:8" ht="15" customHeight="1" x14ac:dyDescent="0.25">
      <c r="A3666" t="s">
        <v>5908</v>
      </c>
      <c r="B3666" t="s">
        <v>9945</v>
      </c>
      <c r="C3666" t="s">
        <v>13075</v>
      </c>
      <c r="D3666" t="s">
        <v>13287</v>
      </c>
      <c r="E3666" t="str">
        <f>+VLOOKUP(A3666,[1]PFE4!$A$7:$F$5208,6,0)</f>
        <v>CALLE 6 SUR  79  150</v>
      </c>
      <c r="F3666" s="17" t="str">
        <f>+VLOOKUP(A3666,[1]PFE4!$A$7:$G$5208,7,0)</f>
        <v>05001</v>
      </c>
      <c r="G3666">
        <v>80684368</v>
      </c>
      <c r="H3666">
        <v>4329</v>
      </c>
    </row>
    <row r="3667" spans="1:8" ht="15" customHeight="1" x14ac:dyDescent="0.25">
      <c r="A3667" t="s">
        <v>5909</v>
      </c>
      <c r="B3667" t="s">
        <v>9946</v>
      </c>
      <c r="C3667">
        <v>3219664011</v>
      </c>
      <c r="D3667" t="s">
        <v>13287</v>
      </c>
      <c r="E3667" t="str">
        <f>+VLOOKUP(A3667,[1]PFE4!$A$7:$F$5208,6,0)</f>
        <v>CALLE 57  3  00 ESTE</v>
      </c>
      <c r="F3667" s="17" t="str">
        <f>+VLOOKUP(A3667,[1]PFE4!$A$7:$G$5208,7,0)</f>
        <v>05001</v>
      </c>
      <c r="G3667">
        <v>80718521</v>
      </c>
      <c r="H3667">
        <v>4329</v>
      </c>
    </row>
    <row r="3668" spans="1:8" ht="15" customHeight="1" x14ac:dyDescent="0.25">
      <c r="A3668" t="s">
        <v>5910</v>
      </c>
      <c r="B3668" t="s">
        <v>9947</v>
      </c>
      <c r="C3668" t="s">
        <v>13076</v>
      </c>
      <c r="D3668" t="s">
        <v>13287</v>
      </c>
      <c r="E3668" t="str">
        <f>+VLOOKUP(A3668,[1]PFE4!$A$7:$F$5208,6,0)</f>
        <v>CL 2 B 81 A 460</v>
      </c>
      <c r="F3668" s="17" t="str">
        <f>+VLOOKUP(A3668,[1]PFE4!$A$7:$G$5208,7,0)</f>
        <v>05001</v>
      </c>
      <c r="G3668">
        <v>80753170</v>
      </c>
      <c r="H3668">
        <v>4329</v>
      </c>
    </row>
    <row r="3669" spans="1:8" ht="15" customHeight="1" x14ac:dyDescent="0.25">
      <c r="A3669" t="s">
        <v>5911</v>
      </c>
      <c r="B3669" t="s">
        <v>9948</v>
      </c>
      <c r="C3669" t="s">
        <v>13026</v>
      </c>
      <c r="D3669" t="s">
        <v>13287</v>
      </c>
      <c r="E3669" t="str">
        <f>+VLOOKUP(A3669,[1]PFE4!$A$7:$F$5208,6,0)</f>
        <v>CALLE 63  77  41</v>
      </c>
      <c r="F3669" s="17" t="str">
        <f>+VLOOKUP(A3669,[1]PFE4!$A$7:$G$5208,7,0)</f>
        <v>05001</v>
      </c>
      <c r="G3669">
        <v>80831132</v>
      </c>
      <c r="H3669">
        <v>4329</v>
      </c>
    </row>
    <row r="3670" spans="1:8" ht="15" customHeight="1" x14ac:dyDescent="0.25">
      <c r="A3670" t="s">
        <v>5912</v>
      </c>
      <c r="B3670" t="s">
        <v>9949</v>
      </c>
      <c r="C3670" t="s">
        <v>13077</v>
      </c>
      <c r="D3670" t="s">
        <v>13287</v>
      </c>
      <c r="E3670" t="str">
        <f>+VLOOKUP(A3670,[1]PFE4!$A$7:$F$5208,6,0)</f>
        <v>TRANSVERSAL 6  125  35</v>
      </c>
      <c r="F3670" s="17">
        <f>+VLOOKUP(A3670,[1]PFE4!$A$7:$G$5208,7,0)</f>
        <v>11001</v>
      </c>
      <c r="G3670">
        <v>80902997</v>
      </c>
      <c r="H3670">
        <v>4329</v>
      </c>
    </row>
    <row r="3671" spans="1:8" ht="15" customHeight="1" x14ac:dyDescent="0.25">
      <c r="A3671" t="s">
        <v>5913</v>
      </c>
      <c r="B3671" t="s">
        <v>9950</v>
      </c>
      <c r="C3671" t="s">
        <v>13078</v>
      </c>
      <c r="D3671" t="s">
        <v>13287</v>
      </c>
      <c r="E3671" t="str">
        <f>+VLOOKUP(A3671,[1]PFE4!$A$7:$F$5208,6,0)</f>
        <v>CALLE 159 54-42</v>
      </c>
      <c r="F3671" s="17">
        <f>+VLOOKUP(A3671,[1]PFE4!$A$7:$G$5208,7,0)</f>
        <v>11001</v>
      </c>
      <c r="G3671">
        <v>80929292</v>
      </c>
      <c r="H3671">
        <v>4329</v>
      </c>
    </row>
    <row r="3672" spans="1:8" ht="15" customHeight="1" x14ac:dyDescent="0.25">
      <c r="A3672" t="s">
        <v>5914</v>
      </c>
      <c r="B3672" t="s">
        <v>9951</v>
      </c>
      <c r="C3672" t="s">
        <v>13079</v>
      </c>
      <c r="D3672" t="s">
        <v>13287</v>
      </c>
      <c r="E3672" t="str">
        <f>+VLOOKUP(A3672,[1]PFE4!$A$7:$F$5208,6,0)</f>
        <v>CL 137 55  42</v>
      </c>
      <c r="F3672" s="17">
        <f>+VLOOKUP(A3672,[1]PFE4!$A$7:$G$5208,7,0)</f>
        <v>11001</v>
      </c>
      <c r="G3672">
        <v>80946492</v>
      </c>
      <c r="H3672">
        <v>4329</v>
      </c>
    </row>
    <row r="3673" spans="1:8" ht="15" customHeight="1" x14ac:dyDescent="0.25">
      <c r="A3673" t="s">
        <v>5915</v>
      </c>
      <c r="B3673" t="s">
        <v>9952</v>
      </c>
      <c r="C3673" t="s">
        <v>13080</v>
      </c>
      <c r="D3673" t="s">
        <v>13287</v>
      </c>
      <c r="E3673" t="str">
        <f>+VLOOKUP(A3673,[1]PFE4!$A$7:$F$5208,6,0)</f>
        <v>CARRERA 1  70  01</v>
      </c>
      <c r="F3673" s="17">
        <f>+VLOOKUP(A3673,[1]PFE4!$A$7:$G$5208,7,0)</f>
        <v>11001</v>
      </c>
      <c r="G3673">
        <v>81042915</v>
      </c>
      <c r="H3673">
        <v>4329</v>
      </c>
    </row>
    <row r="3674" spans="1:8" ht="15" customHeight="1" x14ac:dyDescent="0.25">
      <c r="A3674" t="s">
        <v>5916</v>
      </c>
      <c r="B3674" t="s">
        <v>9953</v>
      </c>
      <c r="C3674" t="s">
        <v>13081</v>
      </c>
      <c r="D3674" t="s">
        <v>13287</v>
      </c>
      <c r="E3674" t="str">
        <f>+VLOOKUP(A3674,[1]PFE4!$A$7:$F$5208,6,0)</f>
        <v>CL 77 SUR 29 49</v>
      </c>
      <c r="F3674" s="17" t="str">
        <f>+VLOOKUP(A3674,[1]PFE4!$A$7:$G$5208,7,0)</f>
        <v>05631</v>
      </c>
      <c r="G3674">
        <v>81212250</v>
      </c>
      <c r="H3674">
        <v>4329</v>
      </c>
    </row>
    <row r="3675" spans="1:8" ht="15" customHeight="1" x14ac:dyDescent="0.25">
      <c r="A3675" t="s">
        <v>5917</v>
      </c>
      <c r="B3675" t="s">
        <v>9954</v>
      </c>
      <c r="C3675">
        <v>0</v>
      </c>
      <c r="D3675" t="s">
        <v>13287</v>
      </c>
      <c r="E3675">
        <v>0</v>
      </c>
      <c r="F3675" s="17">
        <v>11001</v>
      </c>
      <c r="G3675">
        <v>81568874</v>
      </c>
      <c r="H3675">
        <v>4329</v>
      </c>
    </row>
    <row r="3676" spans="1:8" ht="15" customHeight="1" x14ac:dyDescent="0.25">
      <c r="A3676" t="s">
        <v>5918</v>
      </c>
      <c r="B3676" t="s">
        <v>9955</v>
      </c>
      <c r="C3676">
        <v>0</v>
      </c>
      <c r="D3676" t="s">
        <v>13287</v>
      </c>
      <c r="E3676">
        <v>0</v>
      </c>
      <c r="F3676" s="17">
        <v>11001</v>
      </c>
      <c r="G3676">
        <v>81717578</v>
      </c>
      <c r="H3676">
        <v>4329</v>
      </c>
    </row>
    <row r="3677" spans="1:8" ht="15" customHeight="1" x14ac:dyDescent="0.25">
      <c r="A3677" t="s">
        <v>5919</v>
      </c>
      <c r="B3677" t="s">
        <v>9956</v>
      </c>
      <c r="C3677" t="s">
        <v>13082</v>
      </c>
      <c r="D3677" t="s">
        <v>13287</v>
      </c>
      <c r="E3677" t="str">
        <f>+VLOOKUP(A3677,[1]PFE4!$A$7:$F$5208,6,0)</f>
        <v>CARRERA 58 B No. 14 SUR 05</v>
      </c>
      <c r="F3677" s="17" t="str">
        <f>+VLOOKUP(A3677,[1]PFE4!$A$7:$G$5208,7,0)</f>
        <v>05360</v>
      </c>
      <c r="G3677">
        <v>81723325</v>
      </c>
      <c r="H3677">
        <v>4329</v>
      </c>
    </row>
    <row r="3678" spans="1:8" ht="15" customHeight="1" x14ac:dyDescent="0.25">
      <c r="A3678" t="s">
        <v>5920</v>
      </c>
      <c r="B3678" t="s">
        <v>9957</v>
      </c>
      <c r="C3678">
        <v>3219664011</v>
      </c>
      <c r="D3678" t="s">
        <v>13287</v>
      </c>
      <c r="E3678" t="str">
        <f>+VLOOKUP(A3678,[1]PFE4!$A$7:$F$5208,6,0)</f>
        <v>CALLE 9 B SUR  79 A  101</v>
      </c>
      <c r="F3678" s="17" t="str">
        <f>+VLOOKUP(A3678,[1]PFE4!$A$7:$G$5208,7,0)</f>
        <v>05001</v>
      </c>
      <c r="G3678">
        <v>81771502</v>
      </c>
      <c r="H3678">
        <v>4329</v>
      </c>
    </row>
    <row r="3679" spans="1:8" ht="15" customHeight="1" x14ac:dyDescent="0.25">
      <c r="A3679" t="s">
        <v>5921</v>
      </c>
      <c r="B3679" t="s">
        <v>9958</v>
      </c>
      <c r="C3679">
        <v>0</v>
      </c>
      <c r="D3679" t="s">
        <v>13287</v>
      </c>
      <c r="E3679">
        <v>0</v>
      </c>
      <c r="F3679" s="17">
        <v>11001</v>
      </c>
      <c r="G3679">
        <v>81876542</v>
      </c>
      <c r="H3679">
        <v>4329</v>
      </c>
    </row>
    <row r="3680" spans="1:8" ht="15" customHeight="1" x14ac:dyDescent="0.25">
      <c r="A3680" t="s">
        <v>5922</v>
      </c>
      <c r="B3680" t="s">
        <v>9959</v>
      </c>
      <c r="C3680" t="s">
        <v>13083</v>
      </c>
      <c r="D3680" t="s">
        <v>13287</v>
      </c>
      <c r="E3680" t="str">
        <f>+VLOOKUP(A3680,[1]PFE4!$A$7:$F$5208,6,0)</f>
        <v>Ficebad la Fe, Parcelacion Chagualos</v>
      </c>
      <c r="F3680" s="17" t="str">
        <f>+VLOOKUP(A3680,[1]PFE4!$A$7:$G$5208,7,0)</f>
        <v>05607</v>
      </c>
      <c r="G3680">
        <v>81891436</v>
      </c>
      <c r="H3680">
        <v>4329</v>
      </c>
    </row>
    <row r="3681" spans="1:8" ht="15" customHeight="1" x14ac:dyDescent="0.25">
      <c r="A3681" t="s">
        <v>5923</v>
      </c>
      <c r="B3681" t="s">
        <v>9960</v>
      </c>
      <c r="C3681" t="s">
        <v>13084</v>
      </c>
      <c r="D3681" t="s">
        <v>13287</v>
      </c>
      <c r="E3681" t="str">
        <f>+VLOOKUP(A3681,[1]PFE4!$A$7:$F$5208,6,0)</f>
        <v>CARRERA 43 A  19  17</v>
      </c>
      <c r="F3681" s="17" t="str">
        <f>+VLOOKUP(A3681,[1]PFE4!$A$7:$G$5208,7,0)</f>
        <v>05001</v>
      </c>
      <c r="G3681">
        <v>81969352</v>
      </c>
      <c r="H3681">
        <v>4329</v>
      </c>
    </row>
    <row r="3682" spans="1:8" ht="15" customHeight="1" x14ac:dyDescent="0.25">
      <c r="A3682" t="s">
        <v>5924</v>
      </c>
      <c r="B3682" t="s">
        <v>9961</v>
      </c>
      <c r="C3682" t="s">
        <v>13085</v>
      </c>
      <c r="D3682" t="s">
        <v>13287</v>
      </c>
      <c r="E3682" t="str">
        <f>+VLOOKUP(A3682,[1]PFE4!$A$7:$F$5208,6,0)</f>
        <v>CL 152 B 104 50</v>
      </c>
      <c r="F3682" s="17">
        <f>+VLOOKUP(A3682,[1]PFE4!$A$7:$G$5208,7,0)</f>
        <v>11001</v>
      </c>
      <c r="G3682">
        <v>81993225</v>
      </c>
      <c r="H3682">
        <v>4329</v>
      </c>
    </row>
    <row r="3683" spans="1:8" ht="15" customHeight="1" x14ac:dyDescent="0.25">
      <c r="A3683" t="s">
        <v>5925</v>
      </c>
      <c r="B3683" t="s">
        <v>9962</v>
      </c>
      <c r="C3683" t="s">
        <v>13086</v>
      </c>
      <c r="D3683" t="s">
        <v>13287</v>
      </c>
      <c r="E3683" t="str">
        <f>+VLOOKUP(A3683,[1]PFE4!$A$7:$F$5208,6,0)</f>
        <v>CL 24 SUR 1A 26</v>
      </c>
      <c r="F3683" s="17">
        <f>+VLOOKUP(A3683,[1]PFE4!$A$7:$G$5208,7,0)</f>
        <v>11001</v>
      </c>
      <c r="G3683">
        <v>82087366</v>
      </c>
      <c r="H3683">
        <v>4329</v>
      </c>
    </row>
    <row r="3684" spans="1:8" ht="15" customHeight="1" x14ac:dyDescent="0.25">
      <c r="A3684" t="s">
        <v>5926</v>
      </c>
      <c r="B3684" t="s">
        <v>9963</v>
      </c>
      <c r="C3684">
        <v>0</v>
      </c>
      <c r="D3684" t="s">
        <v>13287</v>
      </c>
      <c r="E3684">
        <v>0</v>
      </c>
      <c r="F3684" s="17">
        <v>11001</v>
      </c>
      <c r="G3684">
        <v>82344837</v>
      </c>
      <c r="H3684">
        <v>4329</v>
      </c>
    </row>
    <row r="3685" spans="1:8" ht="15" customHeight="1" x14ac:dyDescent="0.25">
      <c r="A3685" t="s">
        <v>5927</v>
      </c>
      <c r="B3685" t="s">
        <v>9964</v>
      </c>
      <c r="C3685" t="s">
        <v>13087</v>
      </c>
      <c r="D3685" t="s">
        <v>13287</v>
      </c>
      <c r="E3685" t="str">
        <f>+VLOOKUP(A3685,[1]PFE4!$A$7:$F$5208,6,0)</f>
        <v>CR 2 AV SAN MARTIN 4 41 BRR BOCAGRANDE</v>
      </c>
      <c r="F3685" s="17" t="str">
        <f>+VLOOKUP(A3685,[1]PFE4!$A$7:$G$5208,7,0)</f>
        <v>08001</v>
      </c>
      <c r="G3685">
        <v>82548845</v>
      </c>
      <c r="H3685">
        <v>4329</v>
      </c>
    </row>
    <row r="3686" spans="1:8" ht="15" customHeight="1" x14ac:dyDescent="0.25">
      <c r="A3686" t="s">
        <v>5928</v>
      </c>
      <c r="B3686" t="s">
        <v>9965</v>
      </c>
      <c r="C3686">
        <v>0</v>
      </c>
      <c r="D3686" t="s">
        <v>13287</v>
      </c>
      <c r="E3686">
        <v>0</v>
      </c>
      <c r="F3686" s="17">
        <v>11001</v>
      </c>
      <c r="G3686">
        <v>82709185</v>
      </c>
      <c r="H3686">
        <v>4329</v>
      </c>
    </row>
    <row r="3687" spans="1:8" ht="15" customHeight="1" x14ac:dyDescent="0.25">
      <c r="A3687" t="s">
        <v>5929</v>
      </c>
      <c r="B3687" t="s">
        <v>9966</v>
      </c>
      <c r="C3687" t="s">
        <v>13088</v>
      </c>
      <c r="D3687" t="s">
        <v>13287</v>
      </c>
      <c r="E3687" t="str">
        <f>+VLOOKUP(A3687,[1]PFE4!$A$7:$F$5208,6,0)</f>
        <v>CALLE 49 E  83 A  196</v>
      </c>
      <c r="F3687" s="17" t="str">
        <f>+VLOOKUP(A3687,[1]PFE4!$A$7:$G$5208,7,0)</f>
        <v>05001</v>
      </c>
      <c r="G3687">
        <v>83080596</v>
      </c>
      <c r="H3687">
        <v>4329</v>
      </c>
    </row>
    <row r="3688" spans="1:8" ht="15" customHeight="1" x14ac:dyDescent="0.25">
      <c r="A3688" t="s">
        <v>5930</v>
      </c>
      <c r="B3688" t="s">
        <v>9628</v>
      </c>
      <c r="C3688" t="s">
        <v>13089</v>
      </c>
      <c r="D3688" t="s">
        <v>13287</v>
      </c>
      <c r="E3688" t="str">
        <f>+VLOOKUP(A3688,[1]PFE4!$A$7:$F$5208,6,0)</f>
        <v>CL 47 30 A 48</v>
      </c>
      <c r="F3688" s="17">
        <f>+VLOOKUP(A3688,[1]PFE4!$A$7:$G$5208,7,0)</f>
        <v>11001</v>
      </c>
      <c r="G3688">
        <v>83122705</v>
      </c>
      <c r="H3688">
        <v>4329</v>
      </c>
    </row>
    <row r="3689" spans="1:8" ht="15" customHeight="1" x14ac:dyDescent="0.25">
      <c r="A3689" t="s">
        <v>5931</v>
      </c>
      <c r="B3689" t="s">
        <v>9967</v>
      </c>
      <c r="C3689">
        <v>0</v>
      </c>
      <c r="D3689" t="s">
        <v>13287</v>
      </c>
      <c r="E3689">
        <v>0</v>
      </c>
      <c r="F3689" s="17">
        <v>11001</v>
      </c>
      <c r="G3689">
        <v>83181647</v>
      </c>
      <c r="H3689">
        <v>4329</v>
      </c>
    </row>
    <row r="3690" spans="1:8" ht="15" customHeight="1" x14ac:dyDescent="0.25">
      <c r="A3690" t="s">
        <v>5932</v>
      </c>
      <c r="B3690" t="s">
        <v>9968</v>
      </c>
      <c r="C3690">
        <v>0</v>
      </c>
      <c r="D3690" t="s">
        <v>13287</v>
      </c>
      <c r="E3690">
        <v>0</v>
      </c>
      <c r="F3690" s="17">
        <v>11001</v>
      </c>
      <c r="G3690">
        <v>83469202</v>
      </c>
      <c r="H3690">
        <v>4329</v>
      </c>
    </row>
    <row r="3691" spans="1:8" ht="15" customHeight="1" x14ac:dyDescent="0.25">
      <c r="A3691" t="s">
        <v>5933</v>
      </c>
      <c r="B3691" t="s">
        <v>9969</v>
      </c>
      <c r="C3691">
        <v>0</v>
      </c>
      <c r="D3691" t="s">
        <v>13287</v>
      </c>
      <c r="E3691">
        <v>0</v>
      </c>
      <c r="F3691" s="17">
        <v>11001</v>
      </c>
      <c r="G3691">
        <v>83486024</v>
      </c>
      <c r="H3691">
        <v>4329</v>
      </c>
    </row>
    <row r="3692" spans="1:8" ht="15" customHeight="1" x14ac:dyDescent="0.25">
      <c r="A3692" t="s">
        <v>5934</v>
      </c>
      <c r="B3692" t="s">
        <v>9970</v>
      </c>
      <c r="C3692">
        <v>0</v>
      </c>
      <c r="D3692" t="s">
        <v>13287</v>
      </c>
      <c r="E3692">
        <v>0</v>
      </c>
      <c r="F3692" s="17">
        <v>11001</v>
      </c>
      <c r="G3692">
        <v>83518226</v>
      </c>
      <c r="H3692">
        <v>4329</v>
      </c>
    </row>
    <row r="3693" spans="1:8" ht="15" customHeight="1" x14ac:dyDescent="0.25">
      <c r="A3693" t="s">
        <v>5935</v>
      </c>
      <c r="B3693" t="s">
        <v>9971</v>
      </c>
      <c r="C3693" t="s">
        <v>13090</v>
      </c>
      <c r="D3693" t="s">
        <v>13287</v>
      </c>
      <c r="E3693" t="str">
        <f>+VLOOKUP(A3693,[1]PFE4!$A$7:$F$5208,6,0)</f>
        <v>CARRERA 37  1 OESTE  45</v>
      </c>
      <c r="F3693" s="17">
        <f>+VLOOKUP(A3693,[1]PFE4!$A$7:$G$5208,7,0)</f>
        <v>11001</v>
      </c>
      <c r="G3693">
        <v>83574424</v>
      </c>
      <c r="H3693">
        <v>4329</v>
      </c>
    </row>
    <row r="3694" spans="1:8" ht="15" customHeight="1" x14ac:dyDescent="0.25">
      <c r="A3694" t="s">
        <v>5936</v>
      </c>
      <c r="B3694" t="s">
        <v>9972</v>
      </c>
      <c r="C3694" t="s">
        <v>13091</v>
      </c>
      <c r="D3694" t="s">
        <v>13287</v>
      </c>
      <c r="E3694" t="str">
        <f>+VLOOKUP(A3694,[1]PFE4!$A$7:$F$5208,6,0)</f>
        <v>CARRERA 9 76 49 BOGOTÁ</v>
      </c>
      <c r="F3694" s="17">
        <f>+VLOOKUP(A3694,[1]PFE4!$A$7:$G$5208,7,0)</f>
        <v>11001</v>
      </c>
      <c r="G3694">
        <v>83733780</v>
      </c>
      <c r="H3694">
        <v>4329</v>
      </c>
    </row>
    <row r="3695" spans="1:8" ht="15" customHeight="1" x14ac:dyDescent="0.25">
      <c r="A3695" t="s">
        <v>5937</v>
      </c>
      <c r="B3695" t="s">
        <v>9973</v>
      </c>
      <c r="C3695" t="s">
        <v>13092</v>
      </c>
      <c r="D3695" t="s">
        <v>13287</v>
      </c>
      <c r="E3695" t="str">
        <f>+VLOOKUP(A3695,[1]PFE4!$A$7:$F$5208,6,0)</f>
        <v>CALLE 23  66  39</v>
      </c>
      <c r="F3695" s="17">
        <f>+VLOOKUP(A3695,[1]PFE4!$A$7:$G$5208,7,0)</f>
        <v>11001</v>
      </c>
      <c r="G3695">
        <v>83760336</v>
      </c>
      <c r="H3695">
        <v>4329</v>
      </c>
    </row>
    <row r="3696" spans="1:8" ht="15" customHeight="1" x14ac:dyDescent="0.25">
      <c r="A3696" t="s">
        <v>5938</v>
      </c>
      <c r="B3696" t="s">
        <v>9974</v>
      </c>
      <c r="C3696">
        <v>0</v>
      </c>
      <c r="D3696" t="s">
        <v>13287</v>
      </c>
      <c r="E3696">
        <v>0</v>
      </c>
      <c r="F3696" s="17">
        <v>11001</v>
      </c>
      <c r="G3696">
        <v>83771542</v>
      </c>
      <c r="H3696">
        <v>4329</v>
      </c>
    </row>
    <row r="3697" spans="1:8" ht="15" customHeight="1" x14ac:dyDescent="0.25">
      <c r="A3697" t="s">
        <v>5939</v>
      </c>
      <c r="B3697" t="s">
        <v>9975</v>
      </c>
      <c r="C3697" t="s">
        <v>11362</v>
      </c>
      <c r="D3697" t="s">
        <v>13287</v>
      </c>
      <c r="E3697" t="str">
        <f>+VLOOKUP(A3697,[1]PFE4!$A$7:$F$5208,6,0)</f>
        <v>CL 140 11 45 BRR CEDRITOS</v>
      </c>
      <c r="F3697" s="17">
        <f>+VLOOKUP(A3697,[1]PFE4!$A$7:$G$5208,7,0)</f>
        <v>11001</v>
      </c>
      <c r="G3697">
        <v>83787535</v>
      </c>
      <c r="H3697">
        <v>4329</v>
      </c>
    </row>
    <row r="3698" spans="1:8" ht="15" customHeight="1" x14ac:dyDescent="0.25">
      <c r="A3698" t="s">
        <v>5940</v>
      </c>
      <c r="B3698" t="s">
        <v>9976</v>
      </c>
      <c r="C3698">
        <v>0</v>
      </c>
      <c r="D3698" t="s">
        <v>13287</v>
      </c>
      <c r="E3698">
        <v>0</v>
      </c>
      <c r="F3698" s="17">
        <v>11001</v>
      </c>
      <c r="G3698">
        <v>83817728</v>
      </c>
      <c r="H3698">
        <v>4329</v>
      </c>
    </row>
    <row r="3699" spans="1:8" ht="15" customHeight="1" x14ac:dyDescent="0.25">
      <c r="A3699" t="s">
        <v>5941</v>
      </c>
      <c r="B3699" t="s">
        <v>9977</v>
      </c>
      <c r="C3699" t="s">
        <v>13093</v>
      </c>
      <c r="D3699" t="s">
        <v>13287</v>
      </c>
      <c r="E3699" t="str">
        <f>+VLOOKUP(A3699,[1]PFE4!$A$7:$F$5208,6,0)</f>
        <v>CARRERA 12 N 20A-121</v>
      </c>
      <c r="F3699" s="17">
        <f>+VLOOKUP(A3699,[1]PFE4!$A$7:$G$5208,7,0)</f>
        <v>11001</v>
      </c>
      <c r="G3699">
        <v>83887786</v>
      </c>
      <c r="H3699">
        <v>4329</v>
      </c>
    </row>
    <row r="3700" spans="1:8" ht="15" customHeight="1" x14ac:dyDescent="0.25">
      <c r="A3700" t="s">
        <v>5942</v>
      </c>
      <c r="B3700" t="s">
        <v>9978</v>
      </c>
      <c r="C3700" t="s">
        <v>13094</v>
      </c>
      <c r="D3700" t="s">
        <v>13287</v>
      </c>
      <c r="E3700" t="str">
        <f>+VLOOKUP(A3700,[1]PFE4!$A$7:$F$5208,6,0)</f>
        <v>CALLE 152  54  39</v>
      </c>
      <c r="F3700" s="17">
        <f>+VLOOKUP(A3700,[1]PFE4!$A$7:$G$5208,7,0)</f>
        <v>11001</v>
      </c>
      <c r="G3700">
        <v>84023359</v>
      </c>
      <c r="H3700">
        <v>4329</v>
      </c>
    </row>
    <row r="3701" spans="1:8" ht="15" customHeight="1" x14ac:dyDescent="0.25">
      <c r="A3701" t="s">
        <v>5943</v>
      </c>
      <c r="B3701" t="s">
        <v>9979</v>
      </c>
      <c r="C3701" t="s">
        <v>13095</v>
      </c>
      <c r="D3701" t="s">
        <v>13287</v>
      </c>
      <c r="E3701" t="str">
        <f>+VLOOKUP(A3701,[1]PFE4!$A$7:$F$5208,6,0)</f>
        <v>CARRERA 82 A  6  78</v>
      </c>
      <c r="F3701" s="17">
        <f>+VLOOKUP(A3701,[1]PFE4!$A$7:$G$5208,7,0)</f>
        <v>11001</v>
      </c>
      <c r="G3701">
        <v>84193332</v>
      </c>
      <c r="H3701">
        <v>4329</v>
      </c>
    </row>
    <row r="3702" spans="1:8" ht="15" customHeight="1" x14ac:dyDescent="0.25">
      <c r="A3702" t="s">
        <v>5944</v>
      </c>
      <c r="B3702" t="s">
        <v>9980</v>
      </c>
      <c r="C3702" t="s">
        <v>13096</v>
      </c>
      <c r="D3702" t="s">
        <v>13287</v>
      </c>
      <c r="E3702" t="str">
        <f>+VLOOKUP(A3702,[1]PFE4!$A$7:$F$5208,6,0)</f>
        <v>CARRERA 51  98 SUR  237</v>
      </c>
      <c r="F3702" s="17" t="str">
        <f>+VLOOKUP(A3702,[1]PFE4!$A$7:$G$5208,7,0)</f>
        <v>05380</v>
      </c>
      <c r="G3702">
        <v>84338084</v>
      </c>
      <c r="H3702">
        <v>4329</v>
      </c>
    </row>
    <row r="3703" spans="1:8" ht="15" customHeight="1" x14ac:dyDescent="0.25">
      <c r="A3703" t="s">
        <v>5945</v>
      </c>
      <c r="B3703" t="s">
        <v>9981</v>
      </c>
      <c r="C3703">
        <v>0</v>
      </c>
      <c r="D3703" t="s">
        <v>13287</v>
      </c>
      <c r="E3703">
        <v>0</v>
      </c>
      <c r="F3703" s="17">
        <v>11001</v>
      </c>
      <c r="G3703">
        <v>84408202</v>
      </c>
      <c r="H3703">
        <v>4329</v>
      </c>
    </row>
    <row r="3704" spans="1:8" ht="15" customHeight="1" x14ac:dyDescent="0.25">
      <c r="A3704" t="s">
        <v>5946</v>
      </c>
      <c r="B3704" t="s">
        <v>9982</v>
      </c>
      <c r="C3704" t="s">
        <v>13097</v>
      </c>
      <c r="D3704" t="s">
        <v>13287</v>
      </c>
      <c r="E3704" t="str">
        <f>+VLOOKUP(A3704,[1]PFE4!$A$7:$F$5208,6,0)</f>
        <v>CL 75 A SUR 52 F 90</v>
      </c>
      <c r="F3704" s="17" t="str">
        <f>+VLOOKUP(A3704,[1]PFE4!$A$7:$G$5208,7,0)</f>
        <v>05360</v>
      </c>
      <c r="G3704">
        <v>84410546</v>
      </c>
      <c r="H3704">
        <v>4329</v>
      </c>
    </row>
    <row r="3705" spans="1:8" ht="15" customHeight="1" x14ac:dyDescent="0.25">
      <c r="A3705" t="s">
        <v>5947</v>
      </c>
      <c r="B3705" t="s">
        <v>9983</v>
      </c>
      <c r="C3705" t="s">
        <v>13098</v>
      </c>
      <c r="D3705" t="s">
        <v>13287</v>
      </c>
      <c r="E3705" t="str">
        <f>+VLOOKUP(A3705,[1]PFE4!$A$7:$F$5208,6,0)</f>
        <v>CALLE 128  60  57</v>
      </c>
      <c r="F3705" s="17">
        <f>+VLOOKUP(A3705,[1]PFE4!$A$7:$G$5208,7,0)</f>
        <v>11001</v>
      </c>
      <c r="G3705">
        <v>84938904</v>
      </c>
      <c r="H3705">
        <v>4329</v>
      </c>
    </row>
    <row r="3706" spans="1:8" ht="15" customHeight="1" x14ac:dyDescent="0.25">
      <c r="A3706" t="s">
        <v>5948</v>
      </c>
      <c r="B3706" t="s">
        <v>9984</v>
      </c>
      <c r="C3706">
        <v>3219664011</v>
      </c>
      <c r="D3706" t="s">
        <v>13287</v>
      </c>
      <c r="E3706" t="str">
        <f>+VLOOKUP(A3706,[1]PFE4!$A$7:$F$5208,6,0)</f>
        <v>CALLE 22 A  50  49</v>
      </c>
      <c r="F3706" s="17">
        <f>+VLOOKUP(A3706,[1]PFE4!$A$7:$G$5208,7,0)</f>
        <v>11001</v>
      </c>
      <c r="G3706">
        <v>85405766</v>
      </c>
      <c r="H3706">
        <v>4329</v>
      </c>
    </row>
    <row r="3707" spans="1:8" ht="15" customHeight="1" x14ac:dyDescent="0.25">
      <c r="A3707" t="s">
        <v>5949</v>
      </c>
      <c r="B3707" t="s">
        <v>9985</v>
      </c>
      <c r="C3707" t="s">
        <v>12812</v>
      </c>
      <c r="D3707" t="s">
        <v>13287</v>
      </c>
      <c r="E3707" t="str">
        <f>+VLOOKUP(A3707,[1]PFE4!$A$7:$F$5208,6,0)</f>
        <v>CARRERA 77  60  70</v>
      </c>
      <c r="F3707" s="17" t="str">
        <f>+VLOOKUP(A3707,[1]PFE4!$A$7:$G$5208,7,0)</f>
        <v>05001</v>
      </c>
      <c r="G3707">
        <v>85692788</v>
      </c>
      <c r="H3707">
        <v>4329</v>
      </c>
    </row>
    <row r="3708" spans="1:8" ht="15" customHeight="1" x14ac:dyDescent="0.25">
      <c r="A3708" t="s">
        <v>5950</v>
      </c>
      <c r="B3708" t="s">
        <v>9986</v>
      </c>
      <c r="C3708">
        <v>0</v>
      </c>
      <c r="D3708" t="s">
        <v>13287</v>
      </c>
      <c r="E3708">
        <v>0</v>
      </c>
      <c r="F3708" s="17">
        <v>11001</v>
      </c>
      <c r="G3708">
        <v>85789533</v>
      </c>
      <c r="H3708">
        <v>4329</v>
      </c>
    </row>
    <row r="3709" spans="1:8" ht="15" customHeight="1" x14ac:dyDescent="0.25">
      <c r="A3709" t="s">
        <v>5951</v>
      </c>
      <c r="B3709" t="s">
        <v>9987</v>
      </c>
      <c r="C3709" t="s">
        <v>13099</v>
      </c>
      <c r="D3709" t="s">
        <v>13287</v>
      </c>
      <c r="E3709" t="str">
        <f>+VLOOKUP(A3709,[1]PFE4!$A$7:$F$5208,6,0)</f>
        <v>CARRERA 9  113  52 OFICINA 2001</v>
      </c>
      <c r="F3709" s="17">
        <f>+VLOOKUP(A3709,[1]PFE4!$A$7:$G$5208,7,0)</f>
        <v>11001</v>
      </c>
      <c r="G3709">
        <v>85790604</v>
      </c>
      <c r="H3709">
        <v>4329</v>
      </c>
    </row>
    <row r="3710" spans="1:8" ht="15" customHeight="1" x14ac:dyDescent="0.25">
      <c r="A3710" t="s">
        <v>5952</v>
      </c>
      <c r="B3710" t="s">
        <v>9988</v>
      </c>
      <c r="C3710">
        <v>0</v>
      </c>
      <c r="D3710" t="s">
        <v>13287</v>
      </c>
      <c r="E3710">
        <v>0</v>
      </c>
      <c r="F3710" s="17">
        <v>11001</v>
      </c>
      <c r="G3710">
        <v>85969441</v>
      </c>
      <c r="H3710">
        <v>4329</v>
      </c>
    </row>
    <row r="3711" spans="1:8" ht="15" customHeight="1" x14ac:dyDescent="0.25">
      <c r="A3711" t="s">
        <v>5953</v>
      </c>
      <c r="B3711" t="s">
        <v>9989</v>
      </c>
      <c r="C3711" t="s">
        <v>13100</v>
      </c>
      <c r="D3711" t="s">
        <v>13287</v>
      </c>
      <c r="E3711" t="str">
        <f>+VLOOKUP(A3711,[1]PFE4!$A$7:$F$5208,6,0)</f>
        <v>CARRERA 8  39  29</v>
      </c>
      <c r="F3711" s="17">
        <f>+VLOOKUP(A3711,[1]PFE4!$A$7:$G$5208,7,0)</f>
        <v>11001</v>
      </c>
      <c r="G3711">
        <v>85976116</v>
      </c>
      <c r="H3711">
        <v>4329</v>
      </c>
    </row>
    <row r="3712" spans="1:8" ht="15" customHeight="1" x14ac:dyDescent="0.25">
      <c r="A3712" t="s">
        <v>5954</v>
      </c>
      <c r="B3712" t="s">
        <v>9990</v>
      </c>
      <c r="C3712" t="s">
        <v>13101</v>
      </c>
      <c r="D3712" t="s">
        <v>13287</v>
      </c>
      <c r="E3712" t="str">
        <f>+VLOOKUP(A3712,[1]PFE4!$A$7:$F$5208,6,0)</f>
        <v>CARRERA 80  11 A  51</v>
      </c>
      <c r="F3712" s="17">
        <f>+VLOOKUP(A3712,[1]PFE4!$A$7:$G$5208,7,0)</f>
        <v>11001</v>
      </c>
      <c r="G3712">
        <v>86461003</v>
      </c>
      <c r="H3712">
        <v>4329</v>
      </c>
    </row>
    <row r="3713" spans="1:8" ht="15" customHeight="1" x14ac:dyDescent="0.25">
      <c r="A3713" t="s">
        <v>5955</v>
      </c>
      <c r="B3713" t="s">
        <v>9991</v>
      </c>
      <c r="C3713">
        <v>0</v>
      </c>
      <c r="D3713" t="s">
        <v>13287</v>
      </c>
      <c r="E3713">
        <v>0</v>
      </c>
      <c r="F3713" s="17">
        <v>11001</v>
      </c>
      <c r="G3713">
        <v>87160262</v>
      </c>
      <c r="H3713">
        <v>4329</v>
      </c>
    </row>
    <row r="3714" spans="1:8" ht="15" customHeight="1" x14ac:dyDescent="0.25">
      <c r="A3714" t="s">
        <v>5956</v>
      </c>
      <c r="B3714" t="s">
        <v>9992</v>
      </c>
      <c r="C3714" t="s">
        <v>11875</v>
      </c>
      <c r="D3714" t="s">
        <v>13287</v>
      </c>
      <c r="E3714" t="str">
        <f>+VLOOKUP(A3714,[1]PFE4!$A$7:$F$5208,6,0)</f>
        <v>CARRERA 15 170 91</v>
      </c>
      <c r="F3714" s="17">
        <f>+VLOOKUP(A3714,[1]PFE4!$A$7:$G$5208,7,0)</f>
        <v>11001</v>
      </c>
      <c r="G3714">
        <v>87398375</v>
      </c>
      <c r="H3714">
        <v>4329</v>
      </c>
    </row>
    <row r="3715" spans="1:8" ht="15" customHeight="1" x14ac:dyDescent="0.25">
      <c r="A3715" t="s">
        <v>5957</v>
      </c>
      <c r="B3715" t="s">
        <v>9993</v>
      </c>
      <c r="C3715" t="s">
        <v>13102</v>
      </c>
      <c r="D3715" t="s">
        <v>13287</v>
      </c>
      <c r="E3715" t="str">
        <f>+VLOOKUP(A3715,[1]PFE4!$A$7:$F$5208,6,0)</f>
        <v>DG 32 80 542</v>
      </c>
      <c r="F3715" s="17">
        <f>+VLOOKUP(A3715,[1]PFE4!$A$7:$G$5208,7,0)</f>
        <v>11001</v>
      </c>
      <c r="G3715">
        <v>87484552</v>
      </c>
      <c r="H3715">
        <v>4329</v>
      </c>
    </row>
    <row r="3716" spans="1:8" ht="15" customHeight="1" x14ac:dyDescent="0.25">
      <c r="A3716" t="s">
        <v>5958</v>
      </c>
      <c r="B3716" t="s">
        <v>9994</v>
      </c>
      <c r="C3716" t="s">
        <v>13103</v>
      </c>
      <c r="D3716" t="s">
        <v>13287</v>
      </c>
      <c r="E3716" t="str">
        <f>+VLOOKUP(A3716,[1]PFE4!$A$7:$F$5208,6,0)</f>
        <v>CARRERA 35  19  62</v>
      </c>
      <c r="F3716" s="17" t="str">
        <f>+VLOOKUP(A3716,[1]PFE4!$A$7:$G$5208,7,0)</f>
        <v>05001</v>
      </c>
      <c r="G3716">
        <v>87561592</v>
      </c>
      <c r="H3716">
        <v>4329</v>
      </c>
    </row>
    <row r="3717" spans="1:8" ht="15" customHeight="1" x14ac:dyDescent="0.25">
      <c r="A3717" t="s">
        <v>5959</v>
      </c>
      <c r="B3717" t="s">
        <v>9995</v>
      </c>
      <c r="C3717" t="s">
        <v>12517</v>
      </c>
      <c r="D3717" t="s">
        <v>13287</v>
      </c>
      <c r="E3717" t="str">
        <f>+VLOOKUP(A3717,[1]PFE4!$A$7:$F$5208,6,0)</f>
        <v>AVENIDA 31  66  29 TORRE 3</v>
      </c>
      <c r="F3717" s="17" t="str">
        <f>+VLOOKUP(A3717,[1]PFE4!$A$7:$G$5208,7,0)</f>
        <v>05088</v>
      </c>
      <c r="G3717">
        <v>87655027</v>
      </c>
      <c r="H3717">
        <v>4329</v>
      </c>
    </row>
    <row r="3718" spans="1:8" ht="15" customHeight="1" x14ac:dyDescent="0.25">
      <c r="A3718" t="s">
        <v>5960</v>
      </c>
      <c r="B3718" t="s">
        <v>9996</v>
      </c>
      <c r="C3718" t="s">
        <v>11095</v>
      </c>
      <c r="D3718" t="s">
        <v>13287</v>
      </c>
      <c r="E3718" t="str">
        <f>+VLOOKUP(A3718,[1]PFE4!$A$7:$F$5208,6,0)</f>
        <v>CARRERA 50  8 SUR  117</v>
      </c>
      <c r="F3718" s="17">
        <f>+VLOOKUP(A3718,[1]PFE4!$A$7:$G$5208,7,0)</f>
        <v>19300</v>
      </c>
      <c r="G3718">
        <v>87783700</v>
      </c>
      <c r="H3718">
        <v>4329</v>
      </c>
    </row>
    <row r="3719" spans="1:8" ht="15" customHeight="1" x14ac:dyDescent="0.25">
      <c r="A3719" t="s">
        <v>5961</v>
      </c>
      <c r="B3719" t="s">
        <v>9997</v>
      </c>
      <c r="C3719" t="s">
        <v>13104</v>
      </c>
      <c r="D3719" t="s">
        <v>13287</v>
      </c>
      <c r="E3719" t="str">
        <f>+VLOOKUP(A3719,[1]PFE4!$A$7:$F$5208,6,0)</f>
        <v>AV 26 52-140 SECTOR NAVARRA</v>
      </c>
      <c r="F3719" s="17" t="str">
        <f>+VLOOKUP(A3719,[1]PFE4!$A$7:$G$5208,7,0)</f>
        <v>05088</v>
      </c>
      <c r="G3719">
        <v>87950700</v>
      </c>
      <c r="H3719">
        <v>4329</v>
      </c>
    </row>
    <row r="3720" spans="1:8" ht="15" customHeight="1" x14ac:dyDescent="0.25">
      <c r="A3720" t="s">
        <v>5962</v>
      </c>
      <c r="B3720" t="s">
        <v>9998</v>
      </c>
      <c r="C3720" t="s">
        <v>13105</v>
      </c>
      <c r="D3720" t="s">
        <v>13287</v>
      </c>
      <c r="E3720" t="str">
        <f>+VLOOKUP(A3720,[1]PFE4!$A$7:$F$5208,6,0)</f>
        <v>CL 5 66 B 75 OF 220B</v>
      </c>
      <c r="F3720" s="17">
        <f>+VLOOKUP(A3720,[1]PFE4!$A$7:$G$5208,7,0)</f>
        <v>11001</v>
      </c>
      <c r="G3720">
        <v>88027831</v>
      </c>
      <c r="H3720">
        <v>4329</v>
      </c>
    </row>
    <row r="3721" spans="1:8" ht="15" customHeight="1" x14ac:dyDescent="0.25">
      <c r="A3721" t="s">
        <v>5963</v>
      </c>
      <c r="B3721" t="s">
        <v>9999</v>
      </c>
      <c r="C3721" t="s">
        <v>13106</v>
      </c>
      <c r="D3721" t="s">
        <v>13287</v>
      </c>
      <c r="E3721" t="str">
        <f>+VLOOKUP(A3721,[1]PFE4!$A$7:$F$5208,6,0)</f>
        <v>CARRERA 12  20  01</v>
      </c>
      <c r="F3721" s="17">
        <f>+VLOOKUP(A3721,[1]PFE4!$A$7:$G$5208,7,0)</f>
        <v>11001</v>
      </c>
      <c r="G3721">
        <v>88596510</v>
      </c>
      <c r="H3721">
        <v>4329</v>
      </c>
    </row>
    <row r="3722" spans="1:8" ht="15" customHeight="1" x14ac:dyDescent="0.25">
      <c r="A3722" t="s">
        <v>5964</v>
      </c>
      <c r="B3722" t="s">
        <v>10000</v>
      </c>
      <c r="C3722">
        <v>0</v>
      </c>
      <c r="D3722" t="s">
        <v>13287</v>
      </c>
      <c r="E3722">
        <v>0</v>
      </c>
      <c r="F3722" s="17">
        <v>11001</v>
      </c>
      <c r="G3722">
        <v>88700601</v>
      </c>
      <c r="H3722">
        <v>4329</v>
      </c>
    </row>
    <row r="3723" spans="1:8" ht="15" customHeight="1" x14ac:dyDescent="0.25">
      <c r="A3723" t="s">
        <v>5965</v>
      </c>
      <c r="B3723" t="s">
        <v>10001</v>
      </c>
      <c r="C3723" t="s">
        <v>13107</v>
      </c>
      <c r="D3723" t="s">
        <v>13287</v>
      </c>
      <c r="E3723" t="str">
        <f>+VLOOKUP(A3723,[1]PFE4!$A$7:$F$5208,6,0)</f>
        <v>CALLE 145  6  82</v>
      </c>
      <c r="F3723" s="17">
        <f>+VLOOKUP(A3723,[1]PFE4!$A$7:$G$5208,7,0)</f>
        <v>11001</v>
      </c>
      <c r="G3723">
        <v>88937146</v>
      </c>
      <c r="H3723">
        <v>4329</v>
      </c>
    </row>
    <row r="3724" spans="1:8" ht="15" customHeight="1" x14ac:dyDescent="0.25">
      <c r="A3724" t="s">
        <v>5966</v>
      </c>
      <c r="B3724" t="s">
        <v>10002</v>
      </c>
      <c r="C3724" t="s">
        <v>13108</v>
      </c>
      <c r="D3724" t="s">
        <v>13287</v>
      </c>
      <c r="E3724" t="str">
        <f>+VLOOKUP(A3724,[1]PFE4!$A$7:$F$5208,6,0)</f>
        <v>CR 39 C 29 C 15 OF 402 CC LLANOCENTRO</v>
      </c>
      <c r="F3724" s="17">
        <f>+VLOOKUP(A3724,[1]PFE4!$A$7:$G$5208,7,0)</f>
        <v>11001</v>
      </c>
      <c r="G3724">
        <v>89178377</v>
      </c>
      <c r="H3724">
        <v>4329</v>
      </c>
    </row>
    <row r="3725" spans="1:8" ht="15" customHeight="1" x14ac:dyDescent="0.25">
      <c r="A3725" t="s">
        <v>5967</v>
      </c>
      <c r="B3725" t="s">
        <v>10003</v>
      </c>
      <c r="C3725" t="s">
        <v>13109</v>
      </c>
      <c r="D3725" t="s">
        <v>13287</v>
      </c>
      <c r="E3725" t="str">
        <f>+VLOOKUP(A3725,[1]PFE4!$A$7:$F$5208,6,0)</f>
        <v>CALLE 64  5 B  41</v>
      </c>
      <c r="F3725" s="17">
        <f>+VLOOKUP(A3725,[1]PFE4!$A$7:$G$5208,7,0)</f>
        <v>11001</v>
      </c>
      <c r="G3725">
        <v>89212992</v>
      </c>
      <c r="H3725">
        <v>4329</v>
      </c>
    </row>
    <row r="3726" spans="1:8" ht="15" customHeight="1" x14ac:dyDescent="0.25">
      <c r="A3726" t="s">
        <v>5968</v>
      </c>
      <c r="B3726" t="s">
        <v>10004</v>
      </c>
      <c r="C3726" t="s">
        <v>13110</v>
      </c>
      <c r="D3726" t="s">
        <v>13287</v>
      </c>
      <c r="E3726" t="str">
        <f>+VLOOKUP(A3726,[1]PFE4!$A$7:$F$5208,6,0)</f>
        <v>CL 159 54 78</v>
      </c>
      <c r="F3726" s="17">
        <f>+VLOOKUP(A3726,[1]PFE4!$A$7:$G$5208,7,0)</f>
        <v>11001</v>
      </c>
      <c r="G3726">
        <v>89587745</v>
      </c>
      <c r="H3726">
        <v>4329</v>
      </c>
    </row>
    <row r="3727" spans="1:8" ht="15" customHeight="1" x14ac:dyDescent="0.25">
      <c r="A3727" t="s">
        <v>5969</v>
      </c>
      <c r="B3727" t="s">
        <v>10005</v>
      </c>
      <c r="C3727" t="s">
        <v>13111</v>
      </c>
      <c r="D3727" t="s">
        <v>13287</v>
      </c>
      <c r="E3727" t="str">
        <f>+VLOOKUP(A3727,[1]PFE4!$A$7:$F$5208,6,0)</f>
        <v>CALLE 148  107  50</v>
      </c>
      <c r="F3727" s="17">
        <f>+VLOOKUP(A3727,[1]PFE4!$A$7:$G$5208,7,0)</f>
        <v>11001</v>
      </c>
      <c r="G3727">
        <v>89721320</v>
      </c>
      <c r="H3727">
        <v>4329</v>
      </c>
    </row>
    <row r="3728" spans="1:8" ht="15" customHeight="1" x14ac:dyDescent="0.25">
      <c r="A3728" t="s">
        <v>5970</v>
      </c>
      <c r="B3728" t="s">
        <v>10006</v>
      </c>
      <c r="C3728">
        <v>0</v>
      </c>
      <c r="D3728" t="s">
        <v>13287</v>
      </c>
      <c r="E3728">
        <v>0</v>
      </c>
      <c r="F3728" s="17">
        <v>11001</v>
      </c>
      <c r="G3728">
        <v>89854365</v>
      </c>
      <c r="H3728">
        <v>4329</v>
      </c>
    </row>
    <row r="3729" spans="1:8" ht="15" customHeight="1" x14ac:dyDescent="0.25">
      <c r="A3729" t="s">
        <v>5971</v>
      </c>
      <c r="B3729" t="s">
        <v>10007</v>
      </c>
      <c r="C3729" t="s">
        <v>11875</v>
      </c>
      <c r="D3729" t="s">
        <v>13287</v>
      </c>
      <c r="E3729" t="str">
        <f>+VLOOKUP(A3729,[1]PFE4!$A$7:$F$5208,6,0)</f>
        <v>CARRERA 2 ESTE  5  20</v>
      </c>
      <c r="F3729" s="17">
        <f>+VLOOKUP(A3729,[1]PFE4!$A$7:$G$5208,7,0)</f>
        <v>25430</v>
      </c>
      <c r="G3729">
        <v>90001578</v>
      </c>
      <c r="H3729">
        <v>4329</v>
      </c>
    </row>
    <row r="3730" spans="1:8" ht="15" customHeight="1" x14ac:dyDescent="0.25">
      <c r="A3730" t="s">
        <v>5972</v>
      </c>
      <c r="B3730" t="s">
        <v>10008</v>
      </c>
      <c r="C3730">
        <v>0</v>
      </c>
      <c r="D3730" t="s">
        <v>13287</v>
      </c>
      <c r="E3730">
        <v>0</v>
      </c>
      <c r="F3730" s="17">
        <v>11001</v>
      </c>
      <c r="G3730">
        <v>90107661</v>
      </c>
      <c r="H3730">
        <v>4329</v>
      </c>
    </row>
    <row r="3731" spans="1:8" ht="15" customHeight="1" x14ac:dyDescent="0.25">
      <c r="A3731" t="s">
        <v>5973</v>
      </c>
      <c r="B3731" t="s">
        <v>10009</v>
      </c>
      <c r="C3731" t="s">
        <v>13112</v>
      </c>
      <c r="D3731" t="s">
        <v>13287</v>
      </c>
      <c r="E3731" t="str">
        <f>+VLOOKUP(A3731,[1]PFE4!$A$7:$F$5208,6,0)</f>
        <v>CALLE 79 A SUR  46  49</v>
      </c>
      <c r="F3731" s="17" t="str">
        <f>+VLOOKUP(A3731,[1]PFE4!$A$7:$G$5208,7,0)</f>
        <v>05631</v>
      </c>
      <c r="G3731">
        <v>90243052</v>
      </c>
      <c r="H3731">
        <v>4329</v>
      </c>
    </row>
    <row r="3732" spans="1:8" ht="15" customHeight="1" x14ac:dyDescent="0.25">
      <c r="A3732" t="s">
        <v>5974</v>
      </c>
      <c r="B3732" t="s">
        <v>10010</v>
      </c>
      <c r="C3732" t="s">
        <v>13113</v>
      </c>
      <c r="D3732" t="s">
        <v>13287</v>
      </c>
      <c r="E3732" t="str">
        <f>+VLOOKUP(A3732,[1]PFE4!$A$7:$F$5208,6,0)</f>
        <v>TRANSVERSAL 2 ESTE  78  47</v>
      </c>
      <c r="F3732" s="17">
        <f>+VLOOKUP(A3732,[1]PFE4!$A$7:$G$5208,7,0)</f>
        <v>11001</v>
      </c>
      <c r="G3732">
        <v>90247432</v>
      </c>
      <c r="H3732">
        <v>4329</v>
      </c>
    </row>
    <row r="3733" spans="1:8" ht="15" customHeight="1" x14ac:dyDescent="0.25">
      <c r="A3733" t="s">
        <v>5975</v>
      </c>
      <c r="B3733" t="s">
        <v>10011</v>
      </c>
      <c r="C3733">
        <v>0</v>
      </c>
      <c r="D3733" t="s">
        <v>13287</v>
      </c>
      <c r="E3733">
        <v>0</v>
      </c>
      <c r="F3733" s="17">
        <v>11001</v>
      </c>
      <c r="G3733">
        <v>90309396</v>
      </c>
      <c r="H3733">
        <v>4329</v>
      </c>
    </row>
    <row r="3734" spans="1:8" ht="15" customHeight="1" x14ac:dyDescent="0.25">
      <c r="A3734" t="s">
        <v>5976</v>
      </c>
      <c r="B3734" t="s">
        <v>10012</v>
      </c>
      <c r="C3734" t="s">
        <v>10644</v>
      </c>
      <c r="D3734" t="s">
        <v>13287</v>
      </c>
      <c r="E3734" t="str">
        <f>+VLOOKUP(A3734,[1]PFE4!$A$7:$F$5208,6,0)</f>
        <v>CR 4 102 40 SEC POZOS COLORADO</v>
      </c>
      <c r="F3734" s="17">
        <f>+VLOOKUP(A3734,[1]PFE4!$A$7:$G$5208,7,0)</f>
        <v>47001</v>
      </c>
      <c r="G3734">
        <v>90357972</v>
      </c>
      <c r="H3734">
        <v>4329</v>
      </c>
    </row>
    <row r="3735" spans="1:8" ht="15" customHeight="1" x14ac:dyDescent="0.25">
      <c r="A3735" t="s">
        <v>5977</v>
      </c>
      <c r="B3735" t="s">
        <v>10013</v>
      </c>
      <c r="C3735" t="s">
        <v>13114</v>
      </c>
      <c r="D3735" t="s">
        <v>13287</v>
      </c>
      <c r="E3735" t="str">
        <f>+VLOOKUP(A3735,[1]PFE4!$A$7:$F$5208,6,0)</f>
        <v>AVENIDA 6 OESTE  5  200</v>
      </c>
      <c r="F3735" s="17">
        <f>+VLOOKUP(A3735,[1]PFE4!$A$7:$G$5208,7,0)</f>
        <v>11001</v>
      </c>
      <c r="G3735">
        <v>90604920</v>
      </c>
      <c r="H3735">
        <v>4329</v>
      </c>
    </row>
    <row r="3736" spans="1:8" ht="15" customHeight="1" x14ac:dyDescent="0.25">
      <c r="A3736" t="s">
        <v>5978</v>
      </c>
      <c r="B3736" t="s">
        <v>10014</v>
      </c>
      <c r="C3736">
        <v>0</v>
      </c>
      <c r="D3736" t="s">
        <v>13287</v>
      </c>
      <c r="E3736">
        <v>0</v>
      </c>
      <c r="F3736" s="17">
        <v>11001</v>
      </c>
      <c r="G3736">
        <v>90929417</v>
      </c>
      <c r="H3736">
        <v>4329</v>
      </c>
    </row>
    <row r="3737" spans="1:8" ht="15" customHeight="1" x14ac:dyDescent="0.25">
      <c r="A3737" t="s">
        <v>5979</v>
      </c>
      <c r="B3737" t="s">
        <v>10015</v>
      </c>
      <c r="C3737" t="s">
        <v>13115</v>
      </c>
      <c r="D3737" t="s">
        <v>13287</v>
      </c>
      <c r="E3737" t="str">
        <f>+VLOOKUP(A3737,[1]PFE4!$A$7:$F$5208,6,0)</f>
        <v>CR 27 A 40 39 LC 40 43 CON NIZA BRR MEJORAS PUBLICAS</v>
      </c>
      <c r="F3737" s="17">
        <f>+VLOOKUP(A3737,[1]PFE4!$A$7:$G$5208,7,0)</f>
        <v>11001</v>
      </c>
      <c r="G3737">
        <v>91218473</v>
      </c>
      <c r="H3737">
        <v>4329</v>
      </c>
    </row>
    <row r="3738" spans="1:8" ht="15" customHeight="1" x14ac:dyDescent="0.25">
      <c r="A3738" t="s">
        <v>5980</v>
      </c>
      <c r="B3738" t="s">
        <v>10016</v>
      </c>
      <c r="C3738" t="s">
        <v>13116</v>
      </c>
      <c r="D3738" t="s">
        <v>13287</v>
      </c>
      <c r="E3738" t="str">
        <f>+VLOOKUP(A3738,[1]PFE4!$A$7:$F$5208,6,0)</f>
        <v>CALLE 2  66  86</v>
      </c>
      <c r="F3738" s="17">
        <f>+VLOOKUP(A3738,[1]PFE4!$A$7:$G$5208,7,0)</f>
        <v>11001</v>
      </c>
      <c r="G3738">
        <v>91284214</v>
      </c>
      <c r="H3738">
        <v>4329</v>
      </c>
    </row>
    <row r="3739" spans="1:8" ht="15" customHeight="1" x14ac:dyDescent="0.25">
      <c r="A3739" t="s">
        <v>5981</v>
      </c>
      <c r="B3739" t="s">
        <v>10017</v>
      </c>
      <c r="C3739">
        <v>0</v>
      </c>
      <c r="D3739" t="s">
        <v>13287</v>
      </c>
      <c r="E3739">
        <v>0</v>
      </c>
      <c r="F3739" s="17">
        <v>11001</v>
      </c>
      <c r="G3739">
        <v>91514628</v>
      </c>
      <c r="H3739">
        <v>4329</v>
      </c>
    </row>
    <row r="3740" spans="1:8" ht="15" customHeight="1" x14ac:dyDescent="0.25">
      <c r="A3740" t="s">
        <v>5982</v>
      </c>
      <c r="B3740" t="s">
        <v>10018</v>
      </c>
      <c r="C3740" t="s">
        <v>13117</v>
      </c>
      <c r="D3740" t="s">
        <v>13287</v>
      </c>
      <c r="E3740" t="str">
        <f>+VLOOKUP(A3740,[1]PFE4!$A$7:$F$5208,6,0)</f>
        <v>CALLE 6 B  80 G  95</v>
      </c>
      <c r="F3740" s="17">
        <f>+VLOOKUP(A3740,[1]PFE4!$A$7:$G$5208,7,0)</f>
        <v>11001</v>
      </c>
      <c r="G3740">
        <v>91733706</v>
      </c>
      <c r="H3740">
        <v>4329</v>
      </c>
    </row>
    <row r="3741" spans="1:8" ht="15" customHeight="1" x14ac:dyDescent="0.25">
      <c r="A3741" t="s">
        <v>5983</v>
      </c>
      <c r="B3741" t="s">
        <v>10019</v>
      </c>
      <c r="C3741" t="s">
        <v>11665</v>
      </c>
      <c r="D3741" t="s">
        <v>13287</v>
      </c>
      <c r="E3741" t="str">
        <f>+VLOOKUP(A3741,[1]PFE4!$A$7:$F$5208,6,0)</f>
        <v>CR 51 96 B SUR 125</v>
      </c>
      <c r="F3741" s="17" t="str">
        <f>+VLOOKUP(A3741,[1]PFE4!$A$7:$G$5208,7,0)</f>
        <v>05380</v>
      </c>
      <c r="G3741">
        <v>91942466</v>
      </c>
      <c r="H3741">
        <v>4329</v>
      </c>
    </row>
    <row r="3742" spans="1:8" ht="15" customHeight="1" x14ac:dyDescent="0.25">
      <c r="A3742" t="s">
        <v>5984</v>
      </c>
      <c r="B3742" t="s">
        <v>10020</v>
      </c>
      <c r="C3742" t="s">
        <v>13010</v>
      </c>
      <c r="D3742" t="s">
        <v>13287</v>
      </c>
      <c r="E3742" t="str">
        <f>+VLOOKUP(A3742,[1]PFE4!$A$7:$F$5208,6,0)</f>
        <v>CLL 77 SUR 35 A 105</v>
      </c>
      <c r="F3742" s="17" t="str">
        <f>+VLOOKUP(A3742,[1]PFE4!$A$7:$G$5208,7,0)</f>
        <v>05631</v>
      </c>
      <c r="G3742">
        <v>91963720</v>
      </c>
      <c r="H3742">
        <v>4329</v>
      </c>
    </row>
    <row r="3743" spans="1:8" ht="15" customHeight="1" x14ac:dyDescent="0.25">
      <c r="A3743" t="s">
        <v>5985</v>
      </c>
      <c r="B3743" t="s">
        <v>10021</v>
      </c>
      <c r="C3743">
        <v>0</v>
      </c>
      <c r="D3743" t="s">
        <v>13287</v>
      </c>
      <c r="E3743">
        <v>0</v>
      </c>
      <c r="F3743" s="17">
        <v>11001</v>
      </c>
      <c r="G3743">
        <v>92432106</v>
      </c>
      <c r="H3743">
        <v>4329</v>
      </c>
    </row>
    <row r="3744" spans="1:8" ht="15" customHeight="1" x14ac:dyDescent="0.25">
      <c r="A3744" t="s">
        <v>5986</v>
      </c>
      <c r="B3744" t="s">
        <v>10022</v>
      </c>
      <c r="C3744">
        <v>0</v>
      </c>
      <c r="D3744" t="s">
        <v>13287</v>
      </c>
      <c r="E3744">
        <v>0</v>
      </c>
      <c r="F3744" s="17">
        <v>11001</v>
      </c>
      <c r="G3744">
        <v>92515726</v>
      </c>
      <c r="H3744">
        <v>4329</v>
      </c>
    </row>
    <row r="3745" spans="1:8" ht="15" customHeight="1" x14ac:dyDescent="0.25">
      <c r="A3745" t="s">
        <v>5987</v>
      </c>
      <c r="B3745" t="s">
        <v>10023</v>
      </c>
      <c r="C3745">
        <v>3219664011</v>
      </c>
      <c r="D3745" t="s">
        <v>13287</v>
      </c>
      <c r="E3745" t="str">
        <f>+VLOOKUP(A3745,[1]PFE4!$A$7:$F$5208,6,0)</f>
        <v>CALLE 11  1 E  125  OFICINA 305</v>
      </c>
      <c r="F3745" s="17">
        <f>+VLOOKUP(A3745,[1]PFE4!$A$7:$G$5208,7,0)</f>
        <v>11001</v>
      </c>
      <c r="G3745">
        <v>92959538</v>
      </c>
      <c r="H3745">
        <v>4329</v>
      </c>
    </row>
    <row r="3746" spans="1:8" ht="15" customHeight="1" x14ac:dyDescent="0.25">
      <c r="A3746" t="s">
        <v>5988</v>
      </c>
      <c r="B3746" t="s">
        <v>10024</v>
      </c>
      <c r="C3746" t="s">
        <v>13118</v>
      </c>
      <c r="D3746" t="s">
        <v>13287</v>
      </c>
      <c r="E3746" t="str">
        <f>+VLOOKUP(A3746,[1]PFE4!$A$7:$F$5208,6,0)</f>
        <v>DIAGONAL 22 B  52  01</v>
      </c>
      <c r="F3746" s="17">
        <f>+VLOOKUP(A3746,[1]PFE4!$A$7:$G$5208,7,0)</f>
        <v>11001</v>
      </c>
      <c r="G3746">
        <v>92966068</v>
      </c>
      <c r="H3746">
        <v>4329</v>
      </c>
    </row>
    <row r="3747" spans="1:8" ht="15" customHeight="1" x14ac:dyDescent="0.25">
      <c r="A3747" t="s">
        <v>5989</v>
      </c>
      <c r="B3747" t="s">
        <v>10025</v>
      </c>
      <c r="C3747" t="s">
        <v>13119</v>
      </c>
      <c r="D3747" t="s">
        <v>13287</v>
      </c>
      <c r="E3747" t="str">
        <f>+VLOOKUP(A3747,[1]PFE4!$A$7:$F$5208,6,0)</f>
        <v>CARRERA 17 A  61  38</v>
      </c>
      <c r="F3747" s="17">
        <f>+VLOOKUP(A3747,[1]PFE4!$A$7:$G$5208,7,0)</f>
        <v>11001</v>
      </c>
      <c r="G3747">
        <v>93026400</v>
      </c>
      <c r="H3747">
        <v>4329</v>
      </c>
    </row>
    <row r="3748" spans="1:8" ht="15" customHeight="1" x14ac:dyDescent="0.25">
      <c r="A3748" t="s">
        <v>5990</v>
      </c>
      <c r="B3748" t="s">
        <v>10026</v>
      </c>
      <c r="C3748" t="s">
        <v>13120</v>
      </c>
      <c r="D3748" t="s">
        <v>13287</v>
      </c>
      <c r="E3748" t="str">
        <f>+VLOOKUP(A3748,[1]PFE4!$A$7:$F$5208,6,0)</f>
        <v>CALLE 60  56 A  15</v>
      </c>
      <c r="F3748" s="17" t="str">
        <f>+VLOOKUP(A3748,[1]PFE4!$A$7:$G$5208,7,0)</f>
        <v>05001</v>
      </c>
      <c r="G3748">
        <v>93252353</v>
      </c>
      <c r="H3748">
        <v>4329</v>
      </c>
    </row>
    <row r="3749" spans="1:8" ht="15" customHeight="1" x14ac:dyDescent="0.25">
      <c r="A3749" t="s">
        <v>5991</v>
      </c>
      <c r="B3749" t="s">
        <v>10027</v>
      </c>
      <c r="C3749" t="s">
        <v>13121</v>
      </c>
      <c r="D3749" t="s">
        <v>13287</v>
      </c>
      <c r="E3749" t="str">
        <f>+VLOOKUP(A3749,[1]PFE4!$A$7:$F$5208,6,0)</f>
        <v>CARRERA 46  76 SUR  70</v>
      </c>
      <c r="F3749" s="17" t="str">
        <f>+VLOOKUP(A3749,[1]PFE4!$A$7:$G$5208,7,0)</f>
        <v>05631</v>
      </c>
      <c r="G3749">
        <v>93500772</v>
      </c>
      <c r="H3749">
        <v>4329</v>
      </c>
    </row>
    <row r="3750" spans="1:8" ht="15" customHeight="1" x14ac:dyDescent="0.25">
      <c r="A3750" t="s">
        <v>5992</v>
      </c>
      <c r="B3750" t="s">
        <v>10028</v>
      </c>
      <c r="C3750" t="s">
        <v>13122</v>
      </c>
      <c r="D3750" t="s">
        <v>13287</v>
      </c>
      <c r="E3750" t="str">
        <f>+VLOOKUP(A3750,[1]PFE4!$A$7:$F$5208,6,0)</f>
        <v>CALLE 37  52  252</v>
      </c>
      <c r="F3750" s="17">
        <f>+VLOOKUP(A3750,[1]PFE4!$A$7:$G$5208,7,0)</f>
        <v>68081</v>
      </c>
      <c r="G3750">
        <v>93509934</v>
      </c>
      <c r="H3750">
        <v>4329</v>
      </c>
    </row>
    <row r="3751" spans="1:8" ht="15" customHeight="1" x14ac:dyDescent="0.25">
      <c r="A3751" t="s">
        <v>5993</v>
      </c>
      <c r="B3751" t="s">
        <v>10029</v>
      </c>
      <c r="C3751" t="s">
        <v>13123</v>
      </c>
      <c r="D3751" t="s">
        <v>13287</v>
      </c>
      <c r="E3751" t="str">
        <f>+VLOOKUP(A3751,[1]PFE4!$A$7:$F$5208,6,0)</f>
        <v>CARRERA 62  165 A  69</v>
      </c>
      <c r="F3751" s="17">
        <f>+VLOOKUP(A3751,[1]PFE4!$A$7:$G$5208,7,0)</f>
        <v>11001</v>
      </c>
      <c r="G3751">
        <v>93552567</v>
      </c>
      <c r="H3751">
        <v>4329</v>
      </c>
    </row>
    <row r="3752" spans="1:8" ht="15" customHeight="1" x14ac:dyDescent="0.25">
      <c r="A3752" t="s">
        <v>5994</v>
      </c>
      <c r="B3752" t="s">
        <v>10030</v>
      </c>
      <c r="C3752" t="s">
        <v>13124</v>
      </c>
      <c r="D3752" t="s">
        <v>13287</v>
      </c>
      <c r="E3752" t="str">
        <f>+VLOOKUP(A3752,[1]PFE4!$A$7:$F$5208,6,0)</f>
        <v>CALLE 150  101  20</v>
      </c>
      <c r="F3752" s="17">
        <f>+VLOOKUP(A3752,[1]PFE4!$A$7:$G$5208,7,0)</f>
        <v>11001</v>
      </c>
      <c r="G3752">
        <v>94057976</v>
      </c>
      <c r="H3752">
        <v>4329</v>
      </c>
    </row>
    <row r="3753" spans="1:8" ht="15" customHeight="1" x14ac:dyDescent="0.25">
      <c r="A3753" t="s">
        <v>5995</v>
      </c>
      <c r="B3753" t="s">
        <v>10031</v>
      </c>
      <c r="C3753" t="s">
        <v>13125</v>
      </c>
      <c r="D3753" t="s">
        <v>13287</v>
      </c>
      <c r="E3753" t="str">
        <f>+VLOOKUP(A3753,[1]PFE4!$A$7:$F$5208,6,0)</f>
        <v>CL 112 42 93</v>
      </c>
      <c r="F3753" s="17" t="str">
        <f>+VLOOKUP(A3753,[1]PFE4!$A$7:$G$5208,7,0)</f>
        <v>08001</v>
      </c>
      <c r="G3753">
        <v>94615992</v>
      </c>
      <c r="H3753">
        <v>4329</v>
      </c>
    </row>
    <row r="3754" spans="1:8" ht="15" customHeight="1" x14ac:dyDescent="0.25">
      <c r="A3754" t="s">
        <v>5996</v>
      </c>
      <c r="B3754" t="s">
        <v>10032</v>
      </c>
      <c r="C3754" t="s">
        <v>13126</v>
      </c>
      <c r="D3754" t="s">
        <v>13287</v>
      </c>
      <c r="E3754" t="str">
        <f>+VLOOKUP(A3754,[1]PFE4!$A$7:$F$5208,6,0)</f>
        <v>CARRERA 80 A  17  85</v>
      </c>
      <c r="F3754" s="17">
        <f>+VLOOKUP(A3754,[1]PFE4!$A$7:$G$5208,7,0)</f>
        <v>11001</v>
      </c>
      <c r="G3754">
        <v>94762087</v>
      </c>
      <c r="H3754">
        <v>4329</v>
      </c>
    </row>
    <row r="3755" spans="1:8" ht="15" customHeight="1" x14ac:dyDescent="0.25">
      <c r="A3755" t="s">
        <v>5997</v>
      </c>
      <c r="B3755" t="s">
        <v>10033</v>
      </c>
      <c r="C3755">
        <v>0</v>
      </c>
      <c r="D3755" t="s">
        <v>13287</v>
      </c>
      <c r="E3755">
        <v>0</v>
      </c>
      <c r="F3755" s="17">
        <v>11001</v>
      </c>
      <c r="G3755">
        <v>94845200</v>
      </c>
      <c r="H3755">
        <v>4329</v>
      </c>
    </row>
    <row r="3756" spans="1:8" ht="15" customHeight="1" x14ac:dyDescent="0.25">
      <c r="A3756" t="s">
        <v>5998</v>
      </c>
      <c r="B3756" t="s">
        <v>10034</v>
      </c>
      <c r="C3756" t="s">
        <v>11875</v>
      </c>
      <c r="D3756" t="s">
        <v>13287</v>
      </c>
      <c r="E3756" t="str">
        <f>+VLOOKUP(A3756,[1]PFE4!$A$7:$F$5208,6,0)</f>
        <v>AV CALLE 26 78 20</v>
      </c>
      <c r="F3756" s="17">
        <f>+VLOOKUP(A3756,[1]PFE4!$A$7:$G$5208,7,0)</f>
        <v>11001</v>
      </c>
      <c r="G3756">
        <v>95117847</v>
      </c>
      <c r="H3756">
        <v>4329</v>
      </c>
    </row>
    <row r="3757" spans="1:8" ht="15" customHeight="1" x14ac:dyDescent="0.25">
      <c r="A3757" t="s">
        <v>5999</v>
      </c>
      <c r="B3757" t="s">
        <v>10035</v>
      </c>
      <c r="C3757">
        <v>0</v>
      </c>
      <c r="D3757" t="s">
        <v>13287</v>
      </c>
      <c r="E3757">
        <v>0</v>
      </c>
      <c r="F3757" s="17">
        <v>11001</v>
      </c>
      <c r="G3757">
        <v>95123685</v>
      </c>
      <c r="H3757">
        <v>4329</v>
      </c>
    </row>
    <row r="3758" spans="1:8" ht="15" customHeight="1" x14ac:dyDescent="0.25">
      <c r="A3758" t="s">
        <v>6000</v>
      </c>
      <c r="B3758" t="s">
        <v>10036</v>
      </c>
      <c r="C3758">
        <v>0</v>
      </c>
      <c r="D3758" t="s">
        <v>13287</v>
      </c>
      <c r="E3758">
        <v>0</v>
      </c>
      <c r="F3758" s="17">
        <v>11001</v>
      </c>
      <c r="G3758">
        <v>95146376</v>
      </c>
      <c r="H3758">
        <v>4329</v>
      </c>
    </row>
    <row r="3759" spans="1:8" ht="15" customHeight="1" x14ac:dyDescent="0.25">
      <c r="A3759" t="s">
        <v>6001</v>
      </c>
      <c r="B3759" t="s">
        <v>10037</v>
      </c>
      <c r="C3759" t="s">
        <v>10403</v>
      </c>
      <c r="D3759" t="s">
        <v>13287</v>
      </c>
      <c r="E3759" t="str">
        <f>+VLOOKUP(A3759,[1]PFE4!$A$7:$F$5208,6,0)</f>
        <v>AV CL 100 11B 67</v>
      </c>
      <c r="F3759" s="17">
        <f>+VLOOKUP(A3759,[1]PFE4!$A$7:$G$5208,7,0)</f>
        <v>11001</v>
      </c>
      <c r="G3759">
        <v>95309446</v>
      </c>
      <c r="H3759">
        <v>4329</v>
      </c>
    </row>
    <row r="3760" spans="1:8" ht="15" customHeight="1" x14ac:dyDescent="0.25">
      <c r="A3760" t="s">
        <v>6002</v>
      </c>
      <c r="B3760" t="s">
        <v>10038</v>
      </c>
      <c r="C3760" t="s">
        <v>13127</v>
      </c>
      <c r="D3760" t="s">
        <v>13287</v>
      </c>
      <c r="E3760" t="str">
        <f>+VLOOKUP(A3760,[1]PFE4!$A$7:$F$5208,6,0)</f>
        <v>CALLE 9 C  50  25</v>
      </c>
      <c r="F3760" s="17">
        <f>+VLOOKUP(A3760,[1]PFE4!$A$7:$G$5208,7,0)</f>
        <v>11001</v>
      </c>
      <c r="G3760">
        <v>95412600</v>
      </c>
      <c r="H3760">
        <v>4329</v>
      </c>
    </row>
    <row r="3761" spans="1:8" ht="15" customHeight="1" x14ac:dyDescent="0.25">
      <c r="A3761" t="s">
        <v>6003</v>
      </c>
      <c r="B3761" t="s">
        <v>10039</v>
      </c>
      <c r="C3761">
        <v>0</v>
      </c>
      <c r="D3761" t="s">
        <v>13287</v>
      </c>
      <c r="E3761">
        <v>0</v>
      </c>
      <c r="F3761" s="17">
        <v>11001</v>
      </c>
      <c r="G3761">
        <v>95595401</v>
      </c>
      <c r="H3761">
        <v>4329</v>
      </c>
    </row>
    <row r="3762" spans="1:8" ht="15" customHeight="1" x14ac:dyDescent="0.25">
      <c r="A3762" t="s">
        <v>6004</v>
      </c>
      <c r="B3762" t="s">
        <v>10040</v>
      </c>
      <c r="C3762">
        <v>0</v>
      </c>
      <c r="D3762" t="s">
        <v>13287</v>
      </c>
      <c r="E3762">
        <v>0</v>
      </c>
      <c r="F3762" s="17">
        <v>11001</v>
      </c>
      <c r="G3762">
        <v>95631881</v>
      </c>
      <c r="H3762">
        <v>4329</v>
      </c>
    </row>
    <row r="3763" spans="1:8" ht="15" customHeight="1" x14ac:dyDescent="0.25">
      <c r="A3763" t="s">
        <v>6005</v>
      </c>
      <c r="B3763" t="s">
        <v>10041</v>
      </c>
      <c r="C3763">
        <v>0</v>
      </c>
      <c r="D3763" t="s">
        <v>13287</v>
      </c>
      <c r="E3763">
        <v>0</v>
      </c>
      <c r="F3763" s="17">
        <v>11001</v>
      </c>
      <c r="G3763">
        <v>95746766</v>
      </c>
      <c r="H3763">
        <v>4329</v>
      </c>
    </row>
    <row r="3764" spans="1:8" ht="15" customHeight="1" x14ac:dyDescent="0.25">
      <c r="A3764" t="s">
        <v>6006</v>
      </c>
      <c r="B3764" t="s">
        <v>10042</v>
      </c>
      <c r="C3764" t="s">
        <v>13128</v>
      </c>
      <c r="D3764" t="s">
        <v>13287</v>
      </c>
      <c r="E3764" t="str">
        <f>+VLOOKUP(A3764,[1]PFE4!$A$7:$F$5208,6,0)</f>
        <v>CR 46 A 29 SUR 15</v>
      </c>
      <c r="F3764" s="17" t="str">
        <f>+VLOOKUP(A3764,[1]PFE4!$A$7:$G$5208,7,0)</f>
        <v>05266</v>
      </c>
      <c r="G3764">
        <v>95938868</v>
      </c>
      <c r="H3764">
        <v>4329</v>
      </c>
    </row>
    <row r="3765" spans="1:8" ht="15" customHeight="1" x14ac:dyDescent="0.25">
      <c r="A3765" t="s">
        <v>6007</v>
      </c>
      <c r="B3765" t="s">
        <v>10043</v>
      </c>
      <c r="C3765" t="s">
        <v>12158</v>
      </c>
      <c r="D3765" t="s">
        <v>13287</v>
      </c>
      <c r="E3765" t="str">
        <f>+VLOOKUP(A3765,[1]PFE4!$A$7:$F$5208,6,0)</f>
        <v>CR 29A 5 SUR 275</v>
      </c>
      <c r="F3765" s="17" t="str">
        <f>+VLOOKUP(A3765,[1]PFE4!$A$7:$G$5208,7,0)</f>
        <v>05001</v>
      </c>
      <c r="G3765">
        <v>95964328</v>
      </c>
      <c r="H3765">
        <v>4329</v>
      </c>
    </row>
    <row r="3766" spans="1:8" ht="15" customHeight="1" x14ac:dyDescent="0.25">
      <c r="A3766" t="s">
        <v>6008</v>
      </c>
      <c r="B3766" t="s">
        <v>10044</v>
      </c>
      <c r="C3766">
        <v>0</v>
      </c>
      <c r="D3766" t="s">
        <v>13287</v>
      </c>
      <c r="E3766">
        <v>0</v>
      </c>
      <c r="F3766" s="17">
        <v>11001</v>
      </c>
      <c r="G3766">
        <v>96003368</v>
      </c>
      <c r="H3766">
        <v>4329</v>
      </c>
    </row>
    <row r="3767" spans="1:8" ht="15" customHeight="1" x14ac:dyDescent="0.25">
      <c r="A3767" t="s">
        <v>6009</v>
      </c>
      <c r="B3767" t="s">
        <v>10045</v>
      </c>
      <c r="C3767" t="s">
        <v>12551</v>
      </c>
      <c r="D3767" t="s">
        <v>13287</v>
      </c>
      <c r="E3767" t="str">
        <f>+VLOOKUP(A3767,[1]PFE4!$A$7:$F$5208,6,0)</f>
        <v>CR 66 19 72</v>
      </c>
      <c r="F3767" s="17">
        <f>+VLOOKUP(A3767,[1]PFE4!$A$7:$G$5208,7,0)</f>
        <v>11001</v>
      </c>
      <c r="G3767">
        <v>96660839</v>
      </c>
      <c r="H3767">
        <v>4329</v>
      </c>
    </row>
    <row r="3768" spans="1:8" ht="15" customHeight="1" x14ac:dyDescent="0.25">
      <c r="A3768" t="s">
        <v>6010</v>
      </c>
      <c r="B3768" t="s">
        <v>10046</v>
      </c>
      <c r="C3768" t="s">
        <v>13015</v>
      </c>
      <c r="D3768" t="s">
        <v>13287</v>
      </c>
      <c r="E3768" t="str">
        <f>+VLOOKUP(A3768,[1]PFE4!$A$7:$F$5208,6,0)</f>
        <v>CARRERA 27 AA  36 SUR  170</v>
      </c>
      <c r="F3768" s="17" t="str">
        <f>+VLOOKUP(A3768,[1]PFE4!$A$7:$G$5208,7,0)</f>
        <v>05266</v>
      </c>
      <c r="G3768">
        <v>96738665</v>
      </c>
      <c r="H3768">
        <v>4329</v>
      </c>
    </row>
    <row r="3769" spans="1:8" ht="15" customHeight="1" x14ac:dyDescent="0.25">
      <c r="A3769" t="s">
        <v>6011</v>
      </c>
      <c r="B3769" t="s">
        <v>10047</v>
      </c>
      <c r="C3769" t="s">
        <v>13014</v>
      </c>
      <c r="D3769" t="s">
        <v>13287</v>
      </c>
      <c r="E3769" t="str">
        <f>+VLOOKUP(A3769,[1]PFE4!$A$7:$F$5208,6,0)</f>
        <v>CARRERA 12  200  14</v>
      </c>
      <c r="F3769" s="17">
        <f>+VLOOKUP(A3769,[1]PFE4!$A$7:$G$5208,7,0)</f>
        <v>11001</v>
      </c>
      <c r="G3769">
        <v>97161250</v>
      </c>
      <c r="H3769">
        <v>4329</v>
      </c>
    </row>
    <row r="3770" spans="1:8" ht="15" customHeight="1" x14ac:dyDescent="0.25">
      <c r="A3770" t="s">
        <v>6012</v>
      </c>
      <c r="B3770" t="s">
        <v>10048</v>
      </c>
      <c r="C3770" t="s">
        <v>12181</v>
      </c>
      <c r="D3770" t="s">
        <v>13287</v>
      </c>
      <c r="E3770" t="str">
        <f>+VLOOKUP(A3770,[1]PFE4!$A$7:$F$5208,6,0)</f>
        <v>CALLE 27 D SUR  28  80</v>
      </c>
      <c r="F3770" s="17" t="str">
        <f>+VLOOKUP(A3770,[1]PFE4!$A$7:$G$5208,7,0)</f>
        <v>05266</v>
      </c>
      <c r="G3770">
        <v>97420896</v>
      </c>
      <c r="H3770">
        <v>4329</v>
      </c>
    </row>
    <row r="3771" spans="1:8" ht="15" customHeight="1" x14ac:dyDescent="0.25">
      <c r="A3771" t="s">
        <v>6013</v>
      </c>
      <c r="B3771" t="s">
        <v>10049</v>
      </c>
      <c r="C3771">
        <v>3219664011</v>
      </c>
      <c r="D3771" t="s">
        <v>13287</v>
      </c>
      <c r="E3771" t="str">
        <f>+VLOOKUP(A3771,[1]PFE4!$A$7:$F$5208,6,0)</f>
        <v>CARRERA 49 C  82  70</v>
      </c>
      <c r="F3771" s="17" t="str">
        <f>+VLOOKUP(A3771,[1]PFE4!$A$7:$G$5208,7,0)</f>
        <v>08001</v>
      </c>
      <c r="G3771">
        <v>97526262</v>
      </c>
      <c r="H3771">
        <v>4329</v>
      </c>
    </row>
    <row r="3772" spans="1:8" ht="15" customHeight="1" x14ac:dyDescent="0.25">
      <c r="A3772" t="s">
        <v>6014</v>
      </c>
      <c r="B3772" t="s">
        <v>10050</v>
      </c>
      <c r="C3772">
        <v>0</v>
      </c>
      <c r="D3772" t="s">
        <v>13287</v>
      </c>
      <c r="E3772">
        <v>0</v>
      </c>
      <c r="F3772" s="17">
        <v>11001</v>
      </c>
      <c r="G3772">
        <v>97875685</v>
      </c>
      <c r="H3772">
        <v>4329</v>
      </c>
    </row>
    <row r="3773" spans="1:8" ht="15" customHeight="1" x14ac:dyDescent="0.25">
      <c r="A3773" t="s">
        <v>6015</v>
      </c>
      <c r="B3773" t="s">
        <v>10051</v>
      </c>
      <c r="C3773">
        <v>0</v>
      </c>
      <c r="D3773" t="s">
        <v>13287</v>
      </c>
      <c r="E3773">
        <v>0</v>
      </c>
      <c r="F3773" s="17">
        <v>11001</v>
      </c>
      <c r="G3773">
        <v>97938324</v>
      </c>
      <c r="H3773">
        <v>4329</v>
      </c>
    </row>
    <row r="3774" spans="1:8" ht="15" customHeight="1" x14ac:dyDescent="0.25">
      <c r="A3774" t="s">
        <v>6016</v>
      </c>
      <c r="B3774" t="s">
        <v>10052</v>
      </c>
      <c r="C3774" t="s">
        <v>13129</v>
      </c>
      <c r="D3774" t="s">
        <v>13287</v>
      </c>
      <c r="E3774" t="str">
        <f>+VLOOKUP(A3774,[1]PFE4!$A$7:$F$5208,6,0)</f>
        <v>CR 15 23A 13 SUR</v>
      </c>
      <c r="F3774" s="17">
        <f>+VLOOKUP(A3774,[1]PFE4!$A$7:$G$5208,7,0)</f>
        <v>11001</v>
      </c>
      <c r="G3774">
        <v>98100080</v>
      </c>
      <c r="H3774">
        <v>4329</v>
      </c>
    </row>
    <row r="3775" spans="1:8" ht="15" customHeight="1" x14ac:dyDescent="0.25">
      <c r="A3775" t="s">
        <v>6017</v>
      </c>
      <c r="B3775" t="s">
        <v>10053</v>
      </c>
      <c r="C3775">
        <v>0</v>
      </c>
      <c r="D3775" t="s">
        <v>13287</v>
      </c>
      <c r="E3775">
        <v>0</v>
      </c>
      <c r="F3775" s="17">
        <v>11001</v>
      </c>
      <c r="G3775">
        <v>98358548</v>
      </c>
      <c r="H3775">
        <v>4329</v>
      </c>
    </row>
    <row r="3776" spans="1:8" ht="15" customHeight="1" x14ac:dyDescent="0.25">
      <c r="A3776" t="s">
        <v>6018</v>
      </c>
      <c r="B3776" t="s">
        <v>10054</v>
      </c>
      <c r="C3776" t="s">
        <v>13130</v>
      </c>
      <c r="D3776" t="s">
        <v>13287</v>
      </c>
      <c r="E3776" t="str">
        <f>+VLOOKUP(A3776,[1]PFE4!$A$7:$F$5208,6,0)</f>
        <v>CALLE 64 A  57  23</v>
      </c>
      <c r="F3776" s="17">
        <f>+VLOOKUP(A3776,[1]PFE4!$A$7:$G$5208,7,0)</f>
        <v>11001</v>
      </c>
      <c r="G3776">
        <v>98588038</v>
      </c>
      <c r="H3776">
        <v>4329</v>
      </c>
    </row>
    <row r="3777" spans="1:8" ht="15" customHeight="1" x14ac:dyDescent="0.25">
      <c r="A3777" t="s">
        <v>6019</v>
      </c>
      <c r="B3777" t="s">
        <v>10055</v>
      </c>
      <c r="C3777" t="s">
        <v>13131</v>
      </c>
      <c r="D3777" t="s">
        <v>13287</v>
      </c>
      <c r="E3777" t="str">
        <f>+VLOOKUP(A3777,[1]PFE4!$A$7:$F$5208,6,0)</f>
        <v>CL 104 53 49</v>
      </c>
      <c r="F3777" s="17" t="str">
        <f>+VLOOKUP(A3777,[1]PFE4!$A$7:$G$5208,7,0)</f>
        <v>08001</v>
      </c>
      <c r="G3777">
        <v>98662945</v>
      </c>
      <c r="H3777">
        <v>4329</v>
      </c>
    </row>
    <row r="3778" spans="1:8" ht="15" customHeight="1" x14ac:dyDescent="0.25">
      <c r="A3778" t="s">
        <v>6020</v>
      </c>
      <c r="B3778" t="s">
        <v>10056</v>
      </c>
      <c r="C3778" t="s">
        <v>13132</v>
      </c>
      <c r="D3778" t="s">
        <v>13287</v>
      </c>
      <c r="E3778" t="str">
        <f>+VLOOKUP(A3778,[1]PFE4!$A$7:$F$5208,6,0)</f>
        <v>CALLE 74  1  169</v>
      </c>
      <c r="F3778" s="17">
        <f>+VLOOKUP(A3778,[1]PFE4!$A$7:$G$5208,7,0)</f>
        <v>11001</v>
      </c>
      <c r="G3778">
        <v>98670372</v>
      </c>
      <c r="H3778">
        <v>4329</v>
      </c>
    </row>
    <row r="3779" spans="1:8" ht="15" customHeight="1" x14ac:dyDescent="0.25">
      <c r="A3779" t="s">
        <v>6021</v>
      </c>
      <c r="B3779" t="s">
        <v>10057</v>
      </c>
      <c r="C3779" t="s">
        <v>13133</v>
      </c>
      <c r="D3779" t="s">
        <v>13287</v>
      </c>
      <c r="E3779" t="str">
        <f>+VLOOKUP(A3779,[1]PFE4!$A$7:$F$5208,6,0)</f>
        <v>CALLE 67 NORTE  4 B  77</v>
      </c>
      <c r="F3779" s="17">
        <f>+VLOOKUP(A3779,[1]PFE4!$A$7:$G$5208,7,0)</f>
        <v>11001</v>
      </c>
      <c r="G3779">
        <v>98751424</v>
      </c>
      <c r="H3779">
        <v>4329</v>
      </c>
    </row>
    <row r="3780" spans="1:8" ht="15" customHeight="1" x14ac:dyDescent="0.25">
      <c r="A3780" t="s">
        <v>6022</v>
      </c>
      <c r="B3780" t="s">
        <v>10058</v>
      </c>
      <c r="C3780" t="s">
        <v>13134</v>
      </c>
      <c r="D3780" t="s">
        <v>13287</v>
      </c>
      <c r="E3780" t="str">
        <f>+VLOOKUP(A3780,[1]PFE4!$A$7:$F$5208,6,0)</f>
        <v>CALLE 125  21 A  70 OFICINA 303</v>
      </c>
      <c r="F3780" s="17">
        <f>+VLOOKUP(A3780,[1]PFE4!$A$7:$G$5208,7,0)</f>
        <v>11001</v>
      </c>
      <c r="G3780">
        <v>98964015</v>
      </c>
      <c r="H3780">
        <v>4329</v>
      </c>
    </row>
    <row r="3781" spans="1:8" ht="15" customHeight="1" x14ac:dyDescent="0.25">
      <c r="A3781" t="s">
        <v>6023</v>
      </c>
      <c r="B3781" t="s">
        <v>10059</v>
      </c>
      <c r="C3781" t="s">
        <v>13135</v>
      </c>
      <c r="D3781" t="s">
        <v>13287</v>
      </c>
      <c r="E3781" t="str">
        <f>+VLOOKUP(A3781,[1]PFE4!$A$7:$F$5208,6,0)</f>
        <v>CALLE 12 A  71 C  20</v>
      </c>
      <c r="F3781" s="17">
        <f>+VLOOKUP(A3781,[1]PFE4!$A$7:$G$5208,7,0)</f>
        <v>11001</v>
      </c>
      <c r="G3781">
        <v>99353863</v>
      </c>
      <c r="H3781">
        <v>4329</v>
      </c>
    </row>
    <row r="3782" spans="1:8" ht="15" customHeight="1" x14ac:dyDescent="0.25">
      <c r="A3782" t="s">
        <v>6024</v>
      </c>
      <c r="B3782" t="s">
        <v>10060</v>
      </c>
      <c r="C3782" t="s">
        <v>13136</v>
      </c>
      <c r="D3782" t="s">
        <v>13287</v>
      </c>
      <c r="E3782" t="str">
        <f>+VLOOKUP(A3782,[1]PFE4!$A$7:$F$5208,6,0)</f>
        <v>CARRERA 19  12  50</v>
      </c>
      <c r="F3782" s="17">
        <f>+VLOOKUP(A3782,[1]PFE4!$A$7:$G$5208,7,0)</f>
        <v>11001</v>
      </c>
      <c r="G3782">
        <v>99615959</v>
      </c>
      <c r="H3782">
        <v>4329</v>
      </c>
    </row>
    <row r="3783" spans="1:8" ht="15" customHeight="1" x14ac:dyDescent="0.25">
      <c r="A3783" t="s">
        <v>6025</v>
      </c>
      <c r="B3783" t="s">
        <v>10061</v>
      </c>
      <c r="C3783" t="s">
        <v>13137</v>
      </c>
      <c r="D3783" t="s">
        <v>13287</v>
      </c>
      <c r="E3783" t="str">
        <f>+VLOOKUP(A3783,[1]PFE4!$A$7:$F$5208,6,0)</f>
        <v>CL 14 7 97</v>
      </c>
      <c r="F3783" s="17">
        <f>+VLOOKUP(A3783,[1]PFE4!$A$7:$G$5208,7,0)</f>
        <v>11001</v>
      </c>
      <c r="G3783">
        <v>99920594</v>
      </c>
      <c r="H3783">
        <v>4329</v>
      </c>
    </row>
    <row r="3784" spans="1:8" ht="15" customHeight="1" x14ac:dyDescent="0.25">
      <c r="A3784" t="s">
        <v>6026</v>
      </c>
      <c r="B3784" t="s">
        <v>10062</v>
      </c>
      <c r="C3784">
        <v>0</v>
      </c>
      <c r="D3784" t="s">
        <v>13287</v>
      </c>
      <c r="E3784">
        <v>0</v>
      </c>
      <c r="F3784" s="17">
        <v>11001</v>
      </c>
      <c r="G3784">
        <v>100113501</v>
      </c>
      <c r="H3784">
        <v>4329</v>
      </c>
    </row>
    <row r="3785" spans="1:8" ht="15" customHeight="1" x14ac:dyDescent="0.25">
      <c r="A3785" t="s">
        <v>6027</v>
      </c>
      <c r="B3785" t="s">
        <v>10063</v>
      </c>
      <c r="C3785" t="s">
        <v>13138</v>
      </c>
      <c r="D3785" t="s">
        <v>13287</v>
      </c>
      <c r="E3785" t="str">
        <f>+VLOOKUP(A3785,[1]PFE4!$A$7:$F$5208,6,0)</f>
        <v>cl 14 #8-18</v>
      </c>
      <c r="F3785" s="17">
        <f>+VLOOKUP(A3785,[1]PFE4!$A$7:$G$5208,7,0)</f>
        <v>11001</v>
      </c>
      <c r="G3785">
        <v>100164800</v>
      </c>
      <c r="H3785">
        <v>4329</v>
      </c>
    </row>
    <row r="3786" spans="1:8" ht="15" customHeight="1" x14ac:dyDescent="0.25">
      <c r="A3786" t="s">
        <v>6028</v>
      </c>
      <c r="B3786" t="s">
        <v>10064</v>
      </c>
      <c r="C3786" t="s">
        <v>13139</v>
      </c>
      <c r="D3786" t="s">
        <v>13287</v>
      </c>
      <c r="E3786" t="str">
        <f>+VLOOKUP(A3786,[1]PFE4!$A$7:$F$5208,6,0)</f>
        <v>CR 7 88 06</v>
      </c>
      <c r="F3786" s="17">
        <f>+VLOOKUP(A3786,[1]PFE4!$A$7:$G$5208,7,0)</f>
        <v>11001</v>
      </c>
      <c r="G3786">
        <v>100191311</v>
      </c>
      <c r="H3786">
        <v>4329</v>
      </c>
    </row>
    <row r="3787" spans="1:8" ht="15" customHeight="1" x14ac:dyDescent="0.25">
      <c r="A3787" t="s">
        <v>6029</v>
      </c>
      <c r="B3787" t="s">
        <v>10065</v>
      </c>
      <c r="C3787" t="s">
        <v>13140</v>
      </c>
      <c r="D3787" t="s">
        <v>13287</v>
      </c>
      <c r="E3787" t="str">
        <f>+VLOOKUP(A3787,[1]PFE4!$A$7:$F$5208,6,0)</f>
        <v>CALLE 103  13  31</v>
      </c>
      <c r="F3787" s="17">
        <f>+VLOOKUP(A3787,[1]PFE4!$A$7:$G$5208,7,0)</f>
        <v>11001</v>
      </c>
      <c r="G3787">
        <v>100227265</v>
      </c>
      <c r="H3787">
        <v>4329</v>
      </c>
    </row>
    <row r="3788" spans="1:8" ht="15" customHeight="1" x14ac:dyDescent="0.25">
      <c r="A3788" t="s">
        <v>6030</v>
      </c>
      <c r="B3788" t="s">
        <v>10066</v>
      </c>
      <c r="C3788" t="s">
        <v>13141</v>
      </c>
      <c r="D3788" t="s">
        <v>13287</v>
      </c>
      <c r="E3788" t="str">
        <f>+VLOOKUP(A3788,[1]PFE4!$A$7:$F$5208,6,0)</f>
        <v>CR 6 SUR 72 80</v>
      </c>
      <c r="F3788" s="17">
        <f>+VLOOKUP(A3788,[1]PFE4!$A$7:$G$5208,7,0)</f>
        <v>11001</v>
      </c>
      <c r="G3788">
        <v>101486852</v>
      </c>
      <c r="H3788">
        <v>4329</v>
      </c>
    </row>
    <row r="3789" spans="1:8" ht="15" customHeight="1" x14ac:dyDescent="0.25">
      <c r="A3789" t="s">
        <v>6031</v>
      </c>
      <c r="B3789" t="s">
        <v>10067</v>
      </c>
      <c r="C3789">
        <v>0</v>
      </c>
      <c r="D3789" t="s">
        <v>13287</v>
      </c>
      <c r="E3789">
        <v>0</v>
      </c>
      <c r="F3789" s="17">
        <v>11001</v>
      </c>
      <c r="G3789">
        <v>101762276</v>
      </c>
      <c r="H3789">
        <v>4329</v>
      </c>
    </row>
    <row r="3790" spans="1:8" ht="15" customHeight="1" x14ac:dyDescent="0.25">
      <c r="A3790" t="s">
        <v>6032</v>
      </c>
      <c r="B3790" t="s">
        <v>10068</v>
      </c>
      <c r="C3790">
        <v>0</v>
      </c>
      <c r="D3790" t="s">
        <v>13287</v>
      </c>
      <c r="E3790">
        <v>0</v>
      </c>
      <c r="F3790" s="17">
        <v>11001</v>
      </c>
      <c r="G3790">
        <v>101932026</v>
      </c>
      <c r="H3790">
        <v>4329</v>
      </c>
    </row>
    <row r="3791" spans="1:8" ht="15" customHeight="1" x14ac:dyDescent="0.25">
      <c r="A3791" t="s">
        <v>6033</v>
      </c>
      <c r="B3791" t="s">
        <v>10069</v>
      </c>
      <c r="C3791">
        <v>0</v>
      </c>
      <c r="D3791" t="s">
        <v>13287</v>
      </c>
      <c r="E3791">
        <v>0</v>
      </c>
      <c r="F3791" s="17">
        <v>11001</v>
      </c>
      <c r="G3791">
        <v>102076335</v>
      </c>
      <c r="H3791">
        <v>4329</v>
      </c>
    </row>
    <row r="3792" spans="1:8" ht="15" customHeight="1" x14ac:dyDescent="0.25">
      <c r="A3792" t="s">
        <v>6034</v>
      </c>
      <c r="B3792" t="s">
        <v>10070</v>
      </c>
      <c r="C3792">
        <v>0</v>
      </c>
      <c r="D3792" t="s">
        <v>13287</v>
      </c>
      <c r="E3792">
        <v>0</v>
      </c>
      <c r="F3792" s="17">
        <v>11001</v>
      </c>
      <c r="G3792">
        <v>102172407</v>
      </c>
      <c r="H3792">
        <v>4329</v>
      </c>
    </row>
    <row r="3793" spans="1:8" ht="15" customHeight="1" x14ac:dyDescent="0.25">
      <c r="A3793" t="s">
        <v>6035</v>
      </c>
      <c r="B3793" t="s">
        <v>10071</v>
      </c>
      <c r="C3793">
        <v>0</v>
      </c>
      <c r="D3793" t="s">
        <v>13287</v>
      </c>
      <c r="E3793">
        <v>0</v>
      </c>
      <c r="F3793" s="17">
        <v>11001</v>
      </c>
      <c r="G3793">
        <v>102426063</v>
      </c>
      <c r="H3793">
        <v>4329</v>
      </c>
    </row>
    <row r="3794" spans="1:8" ht="15" customHeight="1" x14ac:dyDescent="0.25">
      <c r="A3794" t="s">
        <v>6036</v>
      </c>
      <c r="B3794" t="s">
        <v>10072</v>
      </c>
      <c r="C3794">
        <v>0</v>
      </c>
      <c r="D3794" t="s">
        <v>13287</v>
      </c>
      <c r="E3794">
        <v>0</v>
      </c>
      <c r="F3794" s="17">
        <v>11001</v>
      </c>
      <c r="G3794">
        <v>102657814</v>
      </c>
      <c r="H3794">
        <v>4329</v>
      </c>
    </row>
    <row r="3795" spans="1:8" ht="15" customHeight="1" x14ac:dyDescent="0.25">
      <c r="A3795" t="s">
        <v>6037</v>
      </c>
      <c r="B3795" t="s">
        <v>10073</v>
      </c>
      <c r="C3795">
        <v>0</v>
      </c>
      <c r="D3795" t="s">
        <v>13287</v>
      </c>
      <c r="E3795">
        <v>0</v>
      </c>
      <c r="F3795" s="17">
        <v>11001</v>
      </c>
      <c r="G3795">
        <v>102741500</v>
      </c>
      <c r="H3795">
        <v>4329</v>
      </c>
    </row>
    <row r="3796" spans="1:8" ht="15" customHeight="1" x14ac:dyDescent="0.25">
      <c r="A3796" t="s">
        <v>6038</v>
      </c>
      <c r="B3796" t="s">
        <v>10074</v>
      </c>
      <c r="C3796">
        <v>0</v>
      </c>
      <c r="D3796" t="s">
        <v>13287</v>
      </c>
      <c r="E3796">
        <v>0</v>
      </c>
      <c r="F3796" s="17">
        <v>11001</v>
      </c>
      <c r="G3796">
        <v>103024376</v>
      </c>
      <c r="H3796">
        <v>4329</v>
      </c>
    </row>
    <row r="3797" spans="1:8" ht="15" customHeight="1" x14ac:dyDescent="0.25">
      <c r="A3797" t="s">
        <v>6039</v>
      </c>
      <c r="B3797" t="s">
        <v>10075</v>
      </c>
      <c r="C3797" t="s">
        <v>13142</v>
      </c>
      <c r="D3797" t="s">
        <v>13287</v>
      </c>
      <c r="E3797" t="str">
        <f>+VLOOKUP(A3797,[1]PFE4!$A$7:$F$5208,6,0)</f>
        <v>AVENIDA CALLE 116  7  15  PISO 16</v>
      </c>
      <c r="F3797" s="17">
        <f>+VLOOKUP(A3797,[1]PFE4!$A$7:$G$5208,7,0)</f>
        <v>11001</v>
      </c>
      <c r="G3797">
        <v>103061942</v>
      </c>
      <c r="H3797">
        <v>4329</v>
      </c>
    </row>
    <row r="3798" spans="1:8" ht="15" customHeight="1" x14ac:dyDescent="0.25">
      <c r="A3798" t="s">
        <v>6040</v>
      </c>
      <c r="B3798" t="s">
        <v>10076</v>
      </c>
      <c r="C3798" t="s">
        <v>13143</v>
      </c>
      <c r="D3798" t="s">
        <v>13287</v>
      </c>
      <c r="E3798" t="str">
        <f>+VLOOKUP(A3798,[1]PFE4!$A$7:$F$5208,6,0)</f>
        <v>CALLE 19  43 G  155</v>
      </c>
      <c r="F3798" s="17" t="str">
        <f>+VLOOKUP(A3798,[1]PFE4!$A$7:$G$5208,7,0)</f>
        <v>05001</v>
      </c>
      <c r="G3798">
        <v>103518805</v>
      </c>
      <c r="H3798">
        <v>4329</v>
      </c>
    </row>
    <row r="3799" spans="1:8" ht="15" customHeight="1" x14ac:dyDescent="0.25">
      <c r="A3799" t="s">
        <v>6041</v>
      </c>
      <c r="B3799" t="s">
        <v>10077</v>
      </c>
      <c r="C3799" t="s">
        <v>13144</v>
      </c>
      <c r="D3799" t="s">
        <v>13287</v>
      </c>
      <c r="E3799" t="str">
        <f>+VLOOKUP(A3799,[1]PFE4!$A$7:$F$5208,6,0)</f>
        <v>CALLE 175  15  20</v>
      </c>
      <c r="F3799" s="17">
        <f>+VLOOKUP(A3799,[1]PFE4!$A$7:$G$5208,7,0)</f>
        <v>11001</v>
      </c>
      <c r="G3799">
        <v>104067363</v>
      </c>
      <c r="H3799">
        <v>4329</v>
      </c>
    </row>
    <row r="3800" spans="1:8" ht="15" customHeight="1" x14ac:dyDescent="0.25">
      <c r="A3800" t="s">
        <v>6042</v>
      </c>
      <c r="B3800" t="s">
        <v>10078</v>
      </c>
      <c r="C3800" t="s">
        <v>13145</v>
      </c>
      <c r="D3800" t="s">
        <v>13287</v>
      </c>
      <c r="E3800" t="str">
        <f>+VLOOKUP(A3800,[1]PFE4!$A$7:$F$5208,6,0)</f>
        <v>CL 16 F 99 72</v>
      </c>
      <c r="F3800" s="17">
        <f>+VLOOKUP(A3800,[1]PFE4!$A$7:$G$5208,7,0)</f>
        <v>11001</v>
      </c>
      <c r="G3800">
        <v>104415252</v>
      </c>
      <c r="H3800">
        <v>4329</v>
      </c>
    </row>
    <row r="3801" spans="1:8" ht="15" customHeight="1" x14ac:dyDescent="0.25">
      <c r="A3801" t="s">
        <v>6043</v>
      </c>
      <c r="B3801" t="s">
        <v>10079</v>
      </c>
      <c r="C3801" t="s">
        <v>13146</v>
      </c>
      <c r="D3801" t="s">
        <v>13287</v>
      </c>
      <c r="E3801" t="str">
        <f>+VLOOKUP(A3801,[1]PFE4!$A$7:$F$5208,6,0)</f>
        <v>CARRERA 27 AA  36 SUR  170</v>
      </c>
      <c r="F3801" s="17" t="str">
        <f>+VLOOKUP(A3801,[1]PFE4!$A$7:$G$5208,7,0)</f>
        <v>05266</v>
      </c>
      <c r="G3801">
        <v>104696168</v>
      </c>
      <c r="H3801">
        <v>4329</v>
      </c>
    </row>
    <row r="3802" spans="1:8" ht="15" customHeight="1" x14ac:dyDescent="0.25">
      <c r="A3802" t="s">
        <v>6044</v>
      </c>
      <c r="B3802" t="s">
        <v>10080</v>
      </c>
      <c r="C3802" t="s">
        <v>13147</v>
      </c>
      <c r="D3802" t="s">
        <v>13287</v>
      </c>
      <c r="E3802" t="str">
        <f>+VLOOKUP(A3802,[1]PFE4!$A$7:$F$5208,6,0)</f>
        <v>CR 7 84 A 29 OF 604</v>
      </c>
      <c r="F3802" s="17">
        <f>+VLOOKUP(A3802,[1]PFE4!$A$7:$G$5208,7,0)</f>
        <v>11001</v>
      </c>
      <c r="G3802">
        <v>105145724</v>
      </c>
      <c r="H3802">
        <v>4329</v>
      </c>
    </row>
    <row r="3803" spans="1:8" ht="15" customHeight="1" x14ac:dyDescent="0.25">
      <c r="A3803" t="s">
        <v>6045</v>
      </c>
      <c r="B3803" t="s">
        <v>10081</v>
      </c>
      <c r="C3803" t="s">
        <v>13148</v>
      </c>
      <c r="D3803" t="s">
        <v>13287</v>
      </c>
      <c r="E3803" t="str">
        <f>+VLOOKUP(A3803,[1]PFE4!$A$7:$F$5208,6,0)</f>
        <v>CL 12 5 75</v>
      </c>
      <c r="F3803" s="17">
        <f>+VLOOKUP(A3803,[1]PFE4!$A$7:$G$5208,7,0)</f>
        <v>54498</v>
      </c>
      <c r="G3803">
        <v>105157477</v>
      </c>
      <c r="H3803">
        <v>4329</v>
      </c>
    </row>
    <row r="3804" spans="1:8" ht="15" customHeight="1" x14ac:dyDescent="0.25">
      <c r="A3804" t="s">
        <v>6046</v>
      </c>
      <c r="B3804" t="s">
        <v>10082</v>
      </c>
      <c r="C3804" t="s">
        <v>13149</v>
      </c>
      <c r="D3804" t="s">
        <v>13287</v>
      </c>
      <c r="E3804" t="str">
        <f>+VLOOKUP(A3804,[1]PFE4!$A$7:$F$5208,6,0)</f>
        <v>Avenida Caracas No. 37 63</v>
      </c>
      <c r="F3804" s="17" t="str">
        <f>+VLOOKUP(A3804,[1]PFE4!$A$7:$G$5208,7,0)</f>
        <v>05001</v>
      </c>
      <c r="G3804">
        <v>106836059</v>
      </c>
      <c r="H3804">
        <v>4329</v>
      </c>
    </row>
    <row r="3805" spans="1:8" ht="15" customHeight="1" x14ac:dyDescent="0.25">
      <c r="A3805" t="s">
        <v>6047</v>
      </c>
      <c r="B3805" t="s">
        <v>10083</v>
      </c>
      <c r="C3805">
        <v>0</v>
      </c>
      <c r="D3805" t="s">
        <v>13287</v>
      </c>
      <c r="E3805">
        <v>0</v>
      </c>
      <c r="F3805" s="17">
        <v>11001</v>
      </c>
      <c r="G3805">
        <v>107126727</v>
      </c>
      <c r="H3805">
        <v>4329</v>
      </c>
    </row>
    <row r="3806" spans="1:8" ht="15" customHeight="1" x14ac:dyDescent="0.25">
      <c r="A3806" t="s">
        <v>6048</v>
      </c>
      <c r="B3806" t="s">
        <v>10084</v>
      </c>
      <c r="C3806" t="s">
        <v>13150</v>
      </c>
      <c r="D3806" t="s">
        <v>13287</v>
      </c>
      <c r="E3806" t="str">
        <f>+VLOOKUP(A3806,[1]PFE4!$A$7:$F$5208,6,0)</f>
        <v>DIAGONAL 13  60  52</v>
      </c>
      <c r="F3806" s="17">
        <f>+VLOOKUP(A3806,[1]PFE4!$A$7:$G$5208,7,0)</f>
        <v>11001</v>
      </c>
      <c r="G3806">
        <v>108318280</v>
      </c>
      <c r="H3806">
        <v>4329</v>
      </c>
    </row>
    <row r="3807" spans="1:8" ht="15" customHeight="1" x14ac:dyDescent="0.25">
      <c r="A3807" t="s">
        <v>6049</v>
      </c>
      <c r="B3807" t="s">
        <v>10085</v>
      </c>
      <c r="C3807">
        <v>3219664011</v>
      </c>
      <c r="D3807" t="s">
        <v>13287</v>
      </c>
      <c r="E3807" t="str">
        <f>+VLOOKUP(A3807,[1]PFE4!$A$7:$F$5208,6,0)</f>
        <v>CALLE 149  50  57 OFICINA 608</v>
      </c>
      <c r="F3807" s="17">
        <f>+VLOOKUP(A3807,[1]PFE4!$A$7:$G$5208,7,0)</f>
        <v>11001</v>
      </c>
      <c r="G3807">
        <v>108577911</v>
      </c>
      <c r="H3807">
        <v>4329</v>
      </c>
    </row>
    <row r="3808" spans="1:8" ht="15" customHeight="1" x14ac:dyDescent="0.25">
      <c r="A3808" t="s">
        <v>6050</v>
      </c>
      <c r="B3808" t="s">
        <v>10086</v>
      </c>
      <c r="C3808">
        <v>0</v>
      </c>
      <c r="D3808" t="s">
        <v>13287</v>
      </c>
      <c r="E3808">
        <v>0</v>
      </c>
      <c r="F3808" s="17">
        <v>11001</v>
      </c>
      <c r="G3808">
        <v>108604600</v>
      </c>
      <c r="H3808">
        <v>4329</v>
      </c>
    </row>
    <row r="3809" spans="1:8" ht="15" customHeight="1" x14ac:dyDescent="0.25">
      <c r="A3809" t="s">
        <v>6051</v>
      </c>
      <c r="B3809" t="s">
        <v>10087</v>
      </c>
      <c r="C3809">
        <v>0</v>
      </c>
      <c r="D3809" t="s">
        <v>13287</v>
      </c>
      <c r="E3809">
        <v>0</v>
      </c>
      <c r="F3809" s="17">
        <v>11001</v>
      </c>
      <c r="G3809">
        <v>108757463</v>
      </c>
      <c r="H3809">
        <v>4329</v>
      </c>
    </row>
    <row r="3810" spans="1:8" ht="15" customHeight="1" x14ac:dyDescent="0.25">
      <c r="A3810" t="s">
        <v>6052</v>
      </c>
      <c r="B3810" t="s">
        <v>10088</v>
      </c>
      <c r="C3810" t="s">
        <v>13151</v>
      </c>
      <c r="D3810" t="s">
        <v>13287</v>
      </c>
      <c r="E3810" t="str">
        <f>+VLOOKUP(A3810,[1]PFE4!$A$7:$F$5208,6,0)</f>
        <v>CARRERA 11  93  77</v>
      </c>
      <c r="F3810" s="17" t="str">
        <f>+VLOOKUP(A3810,[1]PFE4!$A$7:$G$5208,7,0)</f>
        <v>05001</v>
      </c>
      <c r="G3810">
        <v>110331976</v>
      </c>
      <c r="H3810">
        <v>4329</v>
      </c>
    </row>
    <row r="3811" spans="1:8" ht="15" customHeight="1" x14ac:dyDescent="0.25">
      <c r="A3811" t="s">
        <v>6053</v>
      </c>
      <c r="B3811" t="s">
        <v>10089</v>
      </c>
      <c r="C3811">
        <v>0</v>
      </c>
      <c r="D3811" t="s">
        <v>13287</v>
      </c>
      <c r="E3811">
        <v>0</v>
      </c>
      <c r="F3811" s="17">
        <v>11001</v>
      </c>
      <c r="G3811">
        <v>110462743</v>
      </c>
      <c r="H3811">
        <v>4329</v>
      </c>
    </row>
    <row r="3812" spans="1:8" ht="15" customHeight="1" x14ac:dyDescent="0.25">
      <c r="A3812" t="s">
        <v>6054</v>
      </c>
      <c r="B3812" t="s">
        <v>10090</v>
      </c>
      <c r="C3812" t="s">
        <v>13152</v>
      </c>
      <c r="D3812" t="s">
        <v>13287</v>
      </c>
      <c r="E3812" t="str">
        <f>+VLOOKUP(A3812,[1]PFE4!$A$7:$F$5208,6,0)</f>
        <v>CR 75 61 85</v>
      </c>
      <c r="F3812" s="17" t="str">
        <f>+VLOOKUP(A3812,[1]PFE4!$A$7:$G$5208,7,0)</f>
        <v>05001</v>
      </c>
      <c r="G3812">
        <v>110647353</v>
      </c>
      <c r="H3812">
        <v>4329</v>
      </c>
    </row>
    <row r="3813" spans="1:8" ht="15" customHeight="1" x14ac:dyDescent="0.25">
      <c r="A3813" t="s">
        <v>6055</v>
      </c>
      <c r="B3813" t="s">
        <v>10091</v>
      </c>
      <c r="C3813" t="s">
        <v>13153</v>
      </c>
      <c r="D3813" t="s">
        <v>13287</v>
      </c>
      <c r="E3813" t="str">
        <f>+VLOOKUP(A3813,[1]PFE4!$A$7:$F$5208,6,0)</f>
        <v>CALLE 18 43 G 56</v>
      </c>
      <c r="F3813" s="17" t="str">
        <f>+VLOOKUP(A3813,[1]PFE4!$A$7:$G$5208,7,0)</f>
        <v>05001</v>
      </c>
      <c r="G3813">
        <v>110687836</v>
      </c>
      <c r="H3813">
        <v>4329</v>
      </c>
    </row>
    <row r="3814" spans="1:8" ht="15" customHeight="1" x14ac:dyDescent="0.25">
      <c r="A3814" t="s">
        <v>6056</v>
      </c>
      <c r="B3814" t="s">
        <v>10092</v>
      </c>
      <c r="C3814" t="s">
        <v>11735</v>
      </c>
      <c r="D3814" t="s">
        <v>13287</v>
      </c>
      <c r="E3814" t="str">
        <f>+VLOOKUP(A3814,[1]PFE4!$A$7:$F$5208,6,0)</f>
        <v>CL 4 F 39 B - 20</v>
      </c>
      <c r="F3814" s="17">
        <f>+VLOOKUP(A3814,[1]PFE4!$A$7:$G$5208,7,0)</f>
        <v>11001</v>
      </c>
      <c r="G3814">
        <v>110705575</v>
      </c>
      <c r="H3814">
        <v>4329</v>
      </c>
    </row>
    <row r="3815" spans="1:8" ht="15" customHeight="1" x14ac:dyDescent="0.25">
      <c r="A3815" t="s">
        <v>6057</v>
      </c>
      <c r="B3815" t="s">
        <v>10093</v>
      </c>
      <c r="C3815" t="s">
        <v>13154</v>
      </c>
      <c r="D3815" t="s">
        <v>13287</v>
      </c>
      <c r="E3815" t="str">
        <f>+VLOOKUP(A3815,[1]PFE4!$A$7:$F$5208,6,0)</f>
        <v>CARRERA 13 A  35  38</v>
      </c>
      <c r="F3815" s="17">
        <f>+VLOOKUP(A3815,[1]PFE4!$A$7:$G$5208,7,0)</f>
        <v>11001</v>
      </c>
      <c r="G3815">
        <v>111076579</v>
      </c>
      <c r="H3815">
        <v>4329</v>
      </c>
    </row>
    <row r="3816" spans="1:8" ht="15" customHeight="1" x14ac:dyDescent="0.25">
      <c r="A3816" t="s">
        <v>6058</v>
      </c>
      <c r="B3816" t="s">
        <v>10094</v>
      </c>
      <c r="C3816" t="s">
        <v>13155</v>
      </c>
      <c r="D3816" t="s">
        <v>13287</v>
      </c>
      <c r="E3816" t="str">
        <f>+VLOOKUP(A3816,[1]PFE4!$A$7:$F$5208,6,0)</f>
        <v>CR 31 19 445</v>
      </c>
      <c r="F3816" s="17" t="str">
        <f>+VLOOKUP(A3816,[1]PFE4!$A$7:$G$5208,7,0)</f>
        <v>05001</v>
      </c>
      <c r="G3816">
        <v>111109600</v>
      </c>
      <c r="H3816">
        <v>4329</v>
      </c>
    </row>
    <row r="3817" spans="1:8" ht="15" customHeight="1" x14ac:dyDescent="0.25">
      <c r="A3817" t="s">
        <v>6059</v>
      </c>
      <c r="B3817" t="s">
        <v>10095</v>
      </c>
      <c r="C3817">
        <v>0</v>
      </c>
      <c r="D3817" t="s">
        <v>13287</v>
      </c>
      <c r="E3817">
        <v>0</v>
      </c>
      <c r="F3817" s="17">
        <v>11001</v>
      </c>
      <c r="G3817">
        <v>111149171</v>
      </c>
      <c r="H3817">
        <v>4329</v>
      </c>
    </row>
    <row r="3818" spans="1:8" ht="15" customHeight="1" x14ac:dyDescent="0.25">
      <c r="A3818" t="s">
        <v>6060</v>
      </c>
      <c r="B3818" t="s">
        <v>10096</v>
      </c>
      <c r="C3818">
        <v>0</v>
      </c>
      <c r="D3818" t="s">
        <v>13287</v>
      </c>
      <c r="E3818">
        <v>0</v>
      </c>
      <c r="F3818" s="17">
        <v>11001</v>
      </c>
      <c r="G3818">
        <v>111877654</v>
      </c>
      <c r="H3818">
        <v>4329</v>
      </c>
    </row>
    <row r="3819" spans="1:8" ht="15" customHeight="1" x14ac:dyDescent="0.25">
      <c r="A3819" t="s">
        <v>6061</v>
      </c>
      <c r="B3819" t="s">
        <v>10097</v>
      </c>
      <c r="C3819">
        <v>3219664011</v>
      </c>
      <c r="D3819" t="s">
        <v>13287</v>
      </c>
      <c r="E3819" t="str">
        <f>+VLOOKUP(A3819,[1]PFE4!$A$7:$F$5208,6,0)</f>
        <v>CALLE 8 A BIS  80 A  63</v>
      </c>
      <c r="F3819" s="17">
        <f>+VLOOKUP(A3819,[1]PFE4!$A$7:$G$5208,7,0)</f>
        <v>11001</v>
      </c>
      <c r="G3819">
        <v>111949113</v>
      </c>
      <c r="H3819">
        <v>4329</v>
      </c>
    </row>
    <row r="3820" spans="1:8" ht="15" customHeight="1" x14ac:dyDescent="0.25">
      <c r="A3820" t="s">
        <v>6062</v>
      </c>
      <c r="B3820" t="s">
        <v>10098</v>
      </c>
      <c r="C3820" t="s">
        <v>13156</v>
      </c>
      <c r="D3820" t="s">
        <v>13287</v>
      </c>
      <c r="E3820" t="str">
        <f>+VLOOKUP(A3820,[1]PFE4!$A$7:$F$5208,6,0)</f>
        <v>CALLE 118 N°43-46</v>
      </c>
      <c r="F3820" s="17" t="str">
        <f>+VLOOKUP(A3820,[1]PFE4!$A$7:$G$5208,7,0)</f>
        <v>08001</v>
      </c>
      <c r="G3820">
        <v>112001770</v>
      </c>
      <c r="H3820">
        <v>4329</v>
      </c>
    </row>
    <row r="3821" spans="1:8" ht="15" customHeight="1" x14ac:dyDescent="0.25">
      <c r="A3821" t="s">
        <v>6063</v>
      </c>
      <c r="B3821" t="s">
        <v>10099</v>
      </c>
      <c r="C3821">
        <v>0</v>
      </c>
      <c r="D3821" t="s">
        <v>13287</v>
      </c>
      <c r="E3821">
        <v>0</v>
      </c>
      <c r="F3821" s="17">
        <v>11001</v>
      </c>
      <c r="G3821">
        <v>112207357</v>
      </c>
      <c r="H3821">
        <v>4329</v>
      </c>
    </row>
    <row r="3822" spans="1:8" ht="15" customHeight="1" x14ac:dyDescent="0.25">
      <c r="A3822" t="s">
        <v>6064</v>
      </c>
      <c r="B3822" t="s">
        <v>10100</v>
      </c>
      <c r="C3822" t="s">
        <v>13157</v>
      </c>
      <c r="D3822" t="s">
        <v>13287</v>
      </c>
      <c r="E3822" t="str">
        <f>+VLOOKUP(A3822,[1]PFE4!$A$7:$F$5208,6,0)</f>
        <v>CARRERA 70 C BIS  97  60</v>
      </c>
      <c r="F3822" s="17">
        <f>+VLOOKUP(A3822,[1]PFE4!$A$7:$G$5208,7,0)</f>
        <v>11001</v>
      </c>
      <c r="G3822">
        <v>112707296</v>
      </c>
      <c r="H3822">
        <v>4329</v>
      </c>
    </row>
    <row r="3823" spans="1:8" ht="15" customHeight="1" x14ac:dyDescent="0.25">
      <c r="A3823" t="s">
        <v>6065</v>
      </c>
      <c r="B3823" t="s">
        <v>10101</v>
      </c>
      <c r="C3823" t="s">
        <v>13158</v>
      </c>
      <c r="D3823" t="s">
        <v>13287</v>
      </c>
      <c r="E3823" t="str">
        <f>+VLOOKUP(A3823,[1]PFE4!$A$7:$F$5208,6,0)</f>
        <v>CR 10 CL 16 B 43 BRR CENTRO</v>
      </c>
      <c r="F3823" s="17">
        <f>+VLOOKUP(A3823,[1]PFE4!$A$7:$G$5208,7,0)</f>
        <v>11001</v>
      </c>
      <c r="G3823">
        <v>114190081</v>
      </c>
      <c r="H3823">
        <v>4329</v>
      </c>
    </row>
    <row r="3824" spans="1:8" ht="15" customHeight="1" x14ac:dyDescent="0.25">
      <c r="A3824" t="s">
        <v>6066</v>
      </c>
      <c r="B3824" t="s">
        <v>10102</v>
      </c>
      <c r="C3824">
        <v>0</v>
      </c>
      <c r="D3824" t="s">
        <v>13287</v>
      </c>
      <c r="E3824">
        <v>0</v>
      </c>
      <c r="F3824" s="17">
        <v>11001</v>
      </c>
      <c r="G3824">
        <v>114244888</v>
      </c>
      <c r="H3824">
        <v>4329</v>
      </c>
    </row>
    <row r="3825" spans="1:8" ht="15" customHeight="1" x14ac:dyDescent="0.25">
      <c r="A3825" t="s">
        <v>6067</v>
      </c>
      <c r="B3825" t="s">
        <v>10103</v>
      </c>
      <c r="C3825">
        <v>0</v>
      </c>
      <c r="D3825" t="s">
        <v>13287</v>
      </c>
      <c r="E3825">
        <v>0</v>
      </c>
      <c r="F3825" s="17">
        <v>11001</v>
      </c>
      <c r="G3825">
        <v>114562518</v>
      </c>
      <c r="H3825">
        <v>4329</v>
      </c>
    </row>
    <row r="3826" spans="1:8" ht="15" customHeight="1" x14ac:dyDescent="0.25">
      <c r="A3826" t="s">
        <v>6068</v>
      </c>
      <c r="B3826" t="s">
        <v>10104</v>
      </c>
      <c r="C3826" t="s">
        <v>13159</v>
      </c>
      <c r="D3826" t="s">
        <v>13287</v>
      </c>
      <c r="E3826" t="str">
        <f>+VLOOKUP(A3826,[1]PFE4!$A$7:$F$5208,6,0)</f>
        <v>CALLE 86 A  69  41</v>
      </c>
      <c r="F3826" s="17">
        <f>+VLOOKUP(A3826,[1]PFE4!$A$7:$G$5208,7,0)</f>
        <v>11001</v>
      </c>
      <c r="G3826">
        <v>114606297</v>
      </c>
      <c r="H3826">
        <v>4329</v>
      </c>
    </row>
    <row r="3827" spans="1:8" ht="15" customHeight="1" x14ac:dyDescent="0.25">
      <c r="A3827" t="s">
        <v>6069</v>
      </c>
      <c r="B3827" t="s">
        <v>10105</v>
      </c>
      <c r="C3827" t="s">
        <v>13160</v>
      </c>
      <c r="D3827" t="s">
        <v>13287</v>
      </c>
      <c r="E3827" t="str">
        <f>+VLOOKUP(A3827,[1]PFE4!$A$7:$F$5208,6,0)</f>
        <v>CALLE 4B N° 34A - 85</v>
      </c>
      <c r="F3827" s="17">
        <f>+VLOOKUP(A3827,[1]PFE4!$A$7:$G$5208,7,0)</f>
        <v>11001</v>
      </c>
      <c r="G3827">
        <v>115016192</v>
      </c>
      <c r="H3827">
        <v>4329</v>
      </c>
    </row>
    <row r="3828" spans="1:8" ht="15" customHeight="1" x14ac:dyDescent="0.25">
      <c r="A3828" t="s">
        <v>6070</v>
      </c>
      <c r="B3828" t="s">
        <v>10106</v>
      </c>
      <c r="C3828">
        <v>3219664011</v>
      </c>
      <c r="D3828" t="s">
        <v>13287</v>
      </c>
      <c r="E3828" t="str">
        <f>+VLOOKUP(A3828,[1]PFE4!$A$7:$F$5208,6,0)</f>
        <v>CARRERA 5  6  21</v>
      </c>
      <c r="F3828" s="17">
        <f>+VLOOKUP(A3828,[1]PFE4!$A$7:$G$5208,7,0)</f>
        <v>11001</v>
      </c>
      <c r="G3828">
        <v>116005118</v>
      </c>
      <c r="H3828">
        <v>4329</v>
      </c>
    </row>
    <row r="3829" spans="1:8" ht="15" customHeight="1" x14ac:dyDescent="0.25">
      <c r="A3829" t="s">
        <v>6071</v>
      </c>
      <c r="B3829" t="s">
        <v>10107</v>
      </c>
      <c r="C3829" t="s">
        <v>13161</v>
      </c>
      <c r="D3829" t="s">
        <v>13287</v>
      </c>
      <c r="E3829" t="str">
        <f>+VLOOKUP(A3829,[1]PFE4!$A$7:$F$5208,6,0)</f>
        <v>CALLE 166  9  70</v>
      </c>
      <c r="F3829" s="17">
        <f>+VLOOKUP(A3829,[1]PFE4!$A$7:$G$5208,7,0)</f>
        <v>11001</v>
      </c>
      <c r="G3829">
        <v>116495732</v>
      </c>
      <c r="H3829">
        <v>4329</v>
      </c>
    </row>
    <row r="3830" spans="1:8" ht="15" customHeight="1" x14ac:dyDescent="0.25">
      <c r="A3830" t="s">
        <v>6072</v>
      </c>
      <c r="B3830" t="s">
        <v>10108</v>
      </c>
      <c r="C3830">
        <v>0</v>
      </c>
      <c r="D3830" t="s">
        <v>13287</v>
      </c>
      <c r="E3830">
        <v>0</v>
      </c>
      <c r="F3830" s="17">
        <v>11001</v>
      </c>
      <c r="G3830">
        <v>117266615</v>
      </c>
      <c r="H3830">
        <v>4329</v>
      </c>
    </row>
    <row r="3831" spans="1:8" ht="15" customHeight="1" x14ac:dyDescent="0.25">
      <c r="A3831" t="s">
        <v>6073</v>
      </c>
      <c r="B3831" t="s">
        <v>10109</v>
      </c>
      <c r="C3831">
        <v>0</v>
      </c>
      <c r="D3831" t="s">
        <v>13287</v>
      </c>
      <c r="E3831">
        <v>0</v>
      </c>
      <c r="F3831" s="17">
        <v>11001</v>
      </c>
      <c r="G3831">
        <v>117321184</v>
      </c>
      <c r="H3831">
        <v>4329</v>
      </c>
    </row>
    <row r="3832" spans="1:8" ht="15" customHeight="1" x14ac:dyDescent="0.25">
      <c r="A3832" t="s">
        <v>6074</v>
      </c>
      <c r="B3832" t="s">
        <v>10110</v>
      </c>
      <c r="C3832" t="s">
        <v>13162</v>
      </c>
      <c r="D3832" t="s">
        <v>13287</v>
      </c>
      <c r="E3832" t="str">
        <f>+VLOOKUP(A3832,[1]PFE4!$A$7:$F$5208,6,0)</f>
        <v>CALLE 17 A  68 D  88</v>
      </c>
      <c r="F3832" s="17">
        <f>+VLOOKUP(A3832,[1]PFE4!$A$7:$G$5208,7,0)</f>
        <v>11001</v>
      </c>
      <c r="G3832">
        <v>117588902</v>
      </c>
      <c r="H3832">
        <v>4329</v>
      </c>
    </row>
    <row r="3833" spans="1:8" ht="15" customHeight="1" x14ac:dyDescent="0.25">
      <c r="A3833" t="s">
        <v>6075</v>
      </c>
      <c r="B3833" t="s">
        <v>10111</v>
      </c>
      <c r="C3833" t="s">
        <v>13163</v>
      </c>
      <c r="D3833" t="s">
        <v>13287</v>
      </c>
      <c r="E3833" t="str">
        <f>+VLOOKUP(A3833,[1]PFE4!$A$7:$F$5208,6,0)</f>
        <v>CALLE 75 SUR  52 G  40</v>
      </c>
      <c r="F3833" s="17" t="str">
        <f>+VLOOKUP(A3833,[1]PFE4!$A$7:$G$5208,7,0)</f>
        <v>05360</v>
      </c>
      <c r="G3833">
        <v>117818367</v>
      </c>
      <c r="H3833">
        <v>4329</v>
      </c>
    </row>
    <row r="3834" spans="1:8" ht="15" customHeight="1" x14ac:dyDescent="0.25">
      <c r="A3834" t="s">
        <v>6076</v>
      </c>
      <c r="B3834" t="s">
        <v>10112</v>
      </c>
      <c r="C3834">
        <v>0</v>
      </c>
      <c r="D3834" t="s">
        <v>13287</v>
      </c>
      <c r="E3834">
        <v>0</v>
      </c>
      <c r="F3834" s="17">
        <v>11001</v>
      </c>
      <c r="G3834">
        <v>118189142</v>
      </c>
      <c r="H3834">
        <v>4329</v>
      </c>
    </row>
    <row r="3835" spans="1:8" ht="15" customHeight="1" x14ac:dyDescent="0.25">
      <c r="A3835" t="s">
        <v>6077</v>
      </c>
      <c r="B3835" t="s">
        <v>10113</v>
      </c>
      <c r="C3835" t="s">
        <v>12264</v>
      </c>
      <c r="D3835" t="s">
        <v>13287</v>
      </c>
      <c r="E3835" t="str">
        <f>+VLOOKUP(A3835,[1]PFE4!$A$7:$F$5208,6,0)</f>
        <v>CALLE 63  76  55</v>
      </c>
      <c r="F3835" s="17" t="str">
        <f>+VLOOKUP(A3835,[1]PFE4!$A$7:$G$5208,7,0)</f>
        <v>05001</v>
      </c>
      <c r="G3835">
        <v>118269698</v>
      </c>
      <c r="H3835">
        <v>4329</v>
      </c>
    </row>
    <row r="3836" spans="1:8" ht="15" customHeight="1" x14ac:dyDescent="0.25">
      <c r="A3836" t="s">
        <v>6078</v>
      </c>
      <c r="B3836" t="s">
        <v>10114</v>
      </c>
      <c r="C3836">
        <v>0</v>
      </c>
      <c r="D3836" t="s">
        <v>13287</v>
      </c>
      <c r="E3836">
        <v>0</v>
      </c>
      <c r="F3836" s="17">
        <v>11001</v>
      </c>
      <c r="G3836">
        <v>118508776</v>
      </c>
      <c r="H3836">
        <v>4329</v>
      </c>
    </row>
    <row r="3837" spans="1:8" ht="15" customHeight="1" x14ac:dyDescent="0.25">
      <c r="A3837" t="s">
        <v>6079</v>
      </c>
      <c r="B3837" t="s">
        <v>10115</v>
      </c>
      <c r="C3837" t="s">
        <v>13164</v>
      </c>
      <c r="D3837" t="s">
        <v>13287</v>
      </c>
      <c r="E3837" t="str">
        <f>+VLOOKUP(A3837,[1]PFE4!$A$7:$F$5208,6,0)</f>
        <v>CALLE 103  69 B  43</v>
      </c>
      <c r="F3837" s="17">
        <f>+VLOOKUP(A3837,[1]PFE4!$A$7:$G$5208,7,0)</f>
        <v>11001</v>
      </c>
      <c r="G3837">
        <v>118892253</v>
      </c>
      <c r="H3837">
        <v>4329</v>
      </c>
    </row>
    <row r="3838" spans="1:8" ht="15" customHeight="1" x14ac:dyDescent="0.25">
      <c r="A3838" t="s">
        <v>6080</v>
      </c>
      <c r="B3838" t="s">
        <v>10116</v>
      </c>
      <c r="C3838" t="s">
        <v>13027</v>
      </c>
      <c r="D3838" t="s">
        <v>13287</v>
      </c>
      <c r="E3838" t="str">
        <f>+VLOOKUP(A3838,[1]PFE4!$A$7:$F$5208,6,0)</f>
        <v>DG 3 34 T 02 SEC VIA FRAILES</v>
      </c>
      <c r="F3838" s="17">
        <f>+VLOOKUP(A3838,[1]PFE4!$A$7:$G$5208,7,0)</f>
        <v>11001</v>
      </c>
      <c r="G3838">
        <v>119017400</v>
      </c>
      <c r="H3838">
        <v>4329</v>
      </c>
    </row>
    <row r="3839" spans="1:8" ht="15" customHeight="1" x14ac:dyDescent="0.25">
      <c r="A3839" t="s">
        <v>6081</v>
      </c>
      <c r="B3839" t="s">
        <v>10117</v>
      </c>
      <c r="C3839" t="s">
        <v>13165</v>
      </c>
      <c r="D3839" t="s">
        <v>13287</v>
      </c>
      <c r="E3839" t="str">
        <f>+VLOOKUP(A3839,[1]PFE4!$A$7:$F$5208,6,0)</f>
        <v>CR 20 NO. 14 56</v>
      </c>
      <c r="F3839" s="17">
        <f>+VLOOKUP(A3839,[1]PFE4!$A$7:$G$5208,7,0)</f>
        <v>11001</v>
      </c>
      <c r="G3839">
        <v>119072900</v>
      </c>
      <c r="H3839">
        <v>4329</v>
      </c>
    </row>
    <row r="3840" spans="1:8" ht="15" customHeight="1" x14ac:dyDescent="0.25">
      <c r="A3840" t="s">
        <v>6082</v>
      </c>
      <c r="B3840" t="s">
        <v>10118</v>
      </c>
      <c r="C3840" t="s">
        <v>13166</v>
      </c>
      <c r="D3840" t="s">
        <v>13287</v>
      </c>
      <c r="E3840" t="str">
        <f>+VLOOKUP(A3840,[1]PFE4!$A$7:$F$5208,6,0)</f>
        <v>CALLE 49  40  11</v>
      </c>
      <c r="F3840" s="17" t="str">
        <f>+VLOOKUP(A3840,[1]PFE4!$A$7:$G$5208,7,0)</f>
        <v>05001</v>
      </c>
      <c r="G3840">
        <v>119943528</v>
      </c>
      <c r="H3840">
        <v>4329</v>
      </c>
    </row>
    <row r="3841" spans="1:8" ht="15" customHeight="1" x14ac:dyDescent="0.25">
      <c r="A3841" t="s">
        <v>6083</v>
      </c>
      <c r="B3841" t="s">
        <v>10119</v>
      </c>
      <c r="C3841" t="s">
        <v>13167</v>
      </c>
      <c r="D3841" t="s">
        <v>13287</v>
      </c>
      <c r="E3841" t="str">
        <f>+VLOOKUP(A3841,[1]PFE4!$A$7:$F$5208,6,0)</f>
        <v>CALLE 53  19  66</v>
      </c>
      <c r="F3841" s="17">
        <f>+VLOOKUP(A3841,[1]PFE4!$A$7:$G$5208,7,0)</f>
        <v>11001</v>
      </c>
      <c r="G3841">
        <v>120103153</v>
      </c>
      <c r="H3841">
        <v>4329</v>
      </c>
    </row>
    <row r="3842" spans="1:8" ht="15" customHeight="1" x14ac:dyDescent="0.25">
      <c r="A3842" t="s">
        <v>6084</v>
      </c>
      <c r="B3842" t="s">
        <v>10120</v>
      </c>
      <c r="C3842" t="s">
        <v>13168</v>
      </c>
      <c r="D3842" t="s">
        <v>13287</v>
      </c>
      <c r="E3842" t="str">
        <f>+VLOOKUP(A3842,[1]PFE4!$A$7:$F$5208,6,0)</f>
        <v>CALLE 134  7  85</v>
      </c>
      <c r="F3842" s="17">
        <f>+VLOOKUP(A3842,[1]PFE4!$A$7:$G$5208,7,0)</f>
        <v>11001</v>
      </c>
      <c r="G3842">
        <v>120361237</v>
      </c>
      <c r="H3842">
        <v>4329</v>
      </c>
    </row>
    <row r="3843" spans="1:8" ht="15" customHeight="1" x14ac:dyDescent="0.25">
      <c r="A3843" t="s">
        <v>6085</v>
      </c>
      <c r="B3843" t="s">
        <v>10121</v>
      </c>
      <c r="C3843" t="s">
        <v>11706</v>
      </c>
      <c r="D3843" t="s">
        <v>13287</v>
      </c>
      <c r="E3843" t="str">
        <f>+VLOOKUP(A3843,[1]PFE4!$A$7:$F$5208,6,0)</f>
        <v>AVENIDA CALLE 57 R SUR  73 I  35</v>
      </c>
      <c r="F3843" s="17">
        <f>+VLOOKUP(A3843,[1]PFE4!$A$7:$G$5208,7,0)</f>
        <v>11001</v>
      </c>
      <c r="G3843">
        <v>120439069</v>
      </c>
      <c r="H3843">
        <v>4329</v>
      </c>
    </row>
    <row r="3844" spans="1:8" ht="15" customHeight="1" x14ac:dyDescent="0.25">
      <c r="A3844" t="s">
        <v>6086</v>
      </c>
      <c r="B3844" t="s">
        <v>10122</v>
      </c>
      <c r="C3844">
        <v>0</v>
      </c>
      <c r="D3844" t="s">
        <v>13287</v>
      </c>
      <c r="E3844">
        <v>0</v>
      </c>
      <c r="F3844" s="17">
        <v>11001</v>
      </c>
      <c r="G3844">
        <v>120997215</v>
      </c>
      <c r="H3844">
        <v>4329</v>
      </c>
    </row>
    <row r="3845" spans="1:8" ht="15" customHeight="1" x14ac:dyDescent="0.25">
      <c r="A3845" t="s">
        <v>6087</v>
      </c>
      <c r="B3845" t="s">
        <v>10123</v>
      </c>
      <c r="C3845">
        <v>0</v>
      </c>
      <c r="D3845" t="s">
        <v>13287</v>
      </c>
      <c r="E3845">
        <v>0</v>
      </c>
      <c r="F3845" s="17">
        <v>11001</v>
      </c>
      <c r="G3845">
        <v>121255953</v>
      </c>
      <c r="H3845">
        <v>4329</v>
      </c>
    </row>
    <row r="3846" spans="1:8" ht="15" customHeight="1" x14ac:dyDescent="0.25">
      <c r="A3846" t="s">
        <v>6088</v>
      </c>
      <c r="B3846" t="s">
        <v>10124</v>
      </c>
      <c r="C3846" t="s">
        <v>11875</v>
      </c>
      <c r="D3846" t="s">
        <v>13287</v>
      </c>
      <c r="E3846" t="str">
        <f>+VLOOKUP(A3846,[1]PFE4!$A$7:$F$5208,6,0)</f>
        <v>CLL 63 BIS 28A 52</v>
      </c>
      <c r="F3846" s="17">
        <f>+VLOOKUP(A3846,[1]PFE4!$A$7:$G$5208,7,0)</f>
        <v>11001</v>
      </c>
      <c r="G3846">
        <v>121383287</v>
      </c>
      <c r="H3846">
        <v>4329</v>
      </c>
    </row>
    <row r="3847" spans="1:8" ht="15" customHeight="1" x14ac:dyDescent="0.25">
      <c r="A3847" t="s">
        <v>6089</v>
      </c>
      <c r="B3847" t="s">
        <v>10125</v>
      </c>
      <c r="C3847" t="s">
        <v>13169</v>
      </c>
      <c r="D3847" t="s">
        <v>13287</v>
      </c>
      <c r="E3847" t="str">
        <f>+VLOOKUP(A3847,[1]PFE4!$A$7:$F$5208,6,0)</f>
        <v>CL 10 32 115 OF 400</v>
      </c>
      <c r="F3847" s="17" t="str">
        <f>+VLOOKUP(A3847,[1]PFE4!$A$7:$G$5208,7,0)</f>
        <v>05360</v>
      </c>
      <c r="G3847">
        <v>121515089</v>
      </c>
      <c r="H3847">
        <v>4329</v>
      </c>
    </row>
    <row r="3848" spans="1:8" ht="15" customHeight="1" x14ac:dyDescent="0.25">
      <c r="A3848" t="s">
        <v>6090</v>
      </c>
      <c r="B3848" t="s">
        <v>10126</v>
      </c>
      <c r="C3848" t="s">
        <v>13170</v>
      </c>
      <c r="D3848" t="s">
        <v>13287</v>
      </c>
      <c r="E3848" t="str">
        <f>+VLOOKUP(A3848,[1]PFE4!$A$7:$F$5208,6,0)</f>
        <v>CARRERA 36 A  6  42</v>
      </c>
      <c r="F3848" s="17">
        <f>+VLOOKUP(A3848,[1]PFE4!$A$7:$G$5208,7,0)</f>
        <v>11001</v>
      </c>
      <c r="G3848">
        <v>122963587</v>
      </c>
      <c r="H3848">
        <v>4329</v>
      </c>
    </row>
    <row r="3849" spans="1:8" ht="15" customHeight="1" x14ac:dyDescent="0.25">
      <c r="A3849" t="s">
        <v>6091</v>
      </c>
      <c r="B3849" t="s">
        <v>10127</v>
      </c>
      <c r="C3849">
        <v>0</v>
      </c>
      <c r="D3849" t="s">
        <v>13287</v>
      </c>
      <c r="E3849">
        <v>0</v>
      </c>
      <c r="F3849" s="17">
        <v>11001</v>
      </c>
      <c r="G3849">
        <v>122985719</v>
      </c>
      <c r="H3849">
        <v>4329</v>
      </c>
    </row>
    <row r="3850" spans="1:8" ht="15" customHeight="1" x14ac:dyDescent="0.25">
      <c r="A3850" t="s">
        <v>6092</v>
      </c>
      <c r="B3850" t="s">
        <v>10128</v>
      </c>
      <c r="C3850" t="s">
        <v>13171</v>
      </c>
      <c r="D3850" t="s">
        <v>13287</v>
      </c>
      <c r="E3850" t="str">
        <f>+VLOOKUP(A3850,[1]PFE4!$A$7:$F$5208,6,0)</f>
        <v>CARRERA 23  26 B  46 PISO 9</v>
      </c>
      <c r="F3850" s="17">
        <f>+VLOOKUP(A3850,[1]PFE4!$A$7:$G$5208,7,0)</f>
        <v>11001</v>
      </c>
      <c r="G3850">
        <v>123662339</v>
      </c>
      <c r="H3850">
        <v>4329</v>
      </c>
    </row>
    <row r="3851" spans="1:8" ht="15" customHeight="1" x14ac:dyDescent="0.25">
      <c r="A3851" t="s">
        <v>6093</v>
      </c>
      <c r="B3851" t="s">
        <v>10129</v>
      </c>
      <c r="C3851" t="s">
        <v>13172</v>
      </c>
      <c r="D3851" t="s">
        <v>13287</v>
      </c>
      <c r="E3851" t="str">
        <f>+VLOOKUP(A3851,[1]PFE4!$A$7:$F$5208,6,0)</f>
        <v>CALLE 22  1  67</v>
      </c>
      <c r="F3851" s="17">
        <f>+VLOOKUP(A3851,[1]PFE4!$A$7:$G$5208,7,0)</f>
        <v>11001</v>
      </c>
      <c r="G3851">
        <v>124447272</v>
      </c>
      <c r="H3851">
        <v>4329</v>
      </c>
    </row>
    <row r="3852" spans="1:8" ht="15" customHeight="1" x14ac:dyDescent="0.25">
      <c r="A3852" t="s">
        <v>6094</v>
      </c>
      <c r="B3852" t="s">
        <v>10130</v>
      </c>
      <c r="C3852" t="s">
        <v>13173</v>
      </c>
      <c r="D3852" t="s">
        <v>13287</v>
      </c>
      <c r="E3852" t="str">
        <f>+VLOOKUP(A3852,[1]PFE4!$A$7:$F$5208,6,0)</f>
        <v>CARRERA 46  47  66</v>
      </c>
      <c r="F3852" s="17" t="str">
        <f>+VLOOKUP(A3852,[1]PFE4!$A$7:$G$5208,7,0)</f>
        <v>05001</v>
      </c>
      <c r="G3852">
        <v>124606825</v>
      </c>
      <c r="H3852">
        <v>4329</v>
      </c>
    </row>
    <row r="3853" spans="1:8" ht="15" customHeight="1" x14ac:dyDescent="0.25">
      <c r="A3853" t="s">
        <v>6095</v>
      </c>
      <c r="B3853" t="s">
        <v>10131</v>
      </c>
      <c r="C3853" t="s">
        <v>11428</v>
      </c>
      <c r="D3853" t="s">
        <v>13287</v>
      </c>
      <c r="E3853" t="str">
        <f>+VLOOKUP(A3853,[1]PFE4!$A$7:$F$5208,6,0)</f>
        <v>CALLE 73  7  50  OFICINA 501</v>
      </c>
      <c r="F3853" s="17">
        <f>+VLOOKUP(A3853,[1]PFE4!$A$7:$G$5208,7,0)</f>
        <v>11001</v>
      </c>
      <c r="G3853">
        <v>125105808</v>
      </c>
      <c r="H3853">
        <v>4329</v>
      </c>
    </row>
    <row r="3854" spans="1:8" ht="15" customHeight="1" x14ac:dyDescent="0.25">
      <c r="A3854" t="s">
        <v>6096</v>
      </c>
      <c r="B3854" t="s">
        <v>10132</v>
      </c>
      <c r="C3854">
        <v>0</v>
      </c>
      <c r="D3854" t="s">
        <v>13287</v>
      </c>
      <c r="E3854">
        <v>0</v>
      </c>
      <c r="F3854" s="17">
        <v>11001</v>
      </c>
      <c r="G3854">
        <v>125260127</v>
      </c>
      <c r="H3854">
        <v>4329</v>
      </c>
    </row>
    <row r="3855" spans="1:8" ht="15" customHeight="1" x14ac:dyDescent="0.25">
      <c r="A3855" t="s">
        <v>6097</v>
      </c>
      <c r="B3855" t="s">
        <v>10133</v>
      </c>
      <c r="C3855" t="s">
        <v>13088</v>
      </c>
      <c r="D3855" t="s">
        <v>13287</v>
      </c>
      <c r="E3855" t="str">
        <f>+VLOOKUP(A3855,[1]PFE4!$A$7:$F$5208,6,0)</f>
        <v>CALLE 49 E  83 A  200</v>
      </c>
      <c r="F3855" s="17" t="str">
        <f>+VLOOKUP(A3855,[1]PFE4!$A$7:$G$5208,7,0)</f>
        <v>05001</v>
      </c>
      <c r="G3855">
        <v>125746012</v>
      </c>
      <c r="H3855">
        <v>4329</v>
      </c>
    </row>
    <row r="3856" spans="1:8" ht="15" customHeight="1" x14ac:dyDescent="0.25">
      <c r="A3856" t="s">
        <v>6098</v>
      </c>
      <c r="B3856" t="s">
        <v>10134</v>
      </c>
      <c r="C3856" t="s">
        <v>13174</v>
      </c>
      <c r="D3856" t="s">
        <v>13287</v>
      </c>
      <c r="E3856" t="str">
        <f>+VLOOKUP(A3856,[1]PFE4!$A$7:$F$5208,6,0)</f>
        <v>CARRERA 55  11  49</v>
      </c>
      <c r="F3856" s="17">
        <f>+VLOOKUP(A3856,[1]PFE4!$A$7:$G$5208,7,0)</f>
        <v>11001</v>
      </c>
      <c r="G3856">
        <v>125896263</v>
      </c>
      <c r="H3856">
        <v>4329</v>
      </c>
    </row>
    <row r="3857" spans="1:8" ht="15" customHeight="1" x14ac:dyDescent="0.25">
      <c r="A3857" t="s">
        <v>6099</v>
      </c>
      <c r="B3857" t="s">
        <v>10135</v>
      </c>
      <c r="C3857" t="s">
        <v>13175</v>
      </c>
      <c r="D3857" t="s">
        <v>13287</v>
      </c>
      <c r="E3857" t="str">
        <f>+VLOOKUP(A3857,[1]PFE4!$A$7:$F$5208,6,0)</f>
        <v>CALLE 63 B SUR 32 552</v>
      </c>
      <c r="F3857" s="17" t="str">
        <f>+VLOOKUP(A3857,[1]PFE4!$A$7:$G$5208,7,0)</f>
        <v>05631</v>
      </c>
      <c r="G3857">
        <v>126197052</v>
      </c>
      <c r="H3857">
        <v>4329</v>
      </c>
    </row>
    <row r="3858" spans="1:8" ht="15" customHeight="1" x14ac:dyDescent="0.25">
      <c r="A3858" t="s">
        <v>6100</v>
      </c>
      <c r="B3858" t="s">
        <v>10136</v>
      </c>
      <c r="C3858" t="s">
        <v>11074</v>
      </c>
      <c r="D3858" t="s">
        <v>13287</v>
      </c>
      <c r="E3858" t="str">
        <f>+VLOOKUP(A3858,[1]PFE4!$A$7:$F$5208,6,0)</f>
        <v>CALLE 38 B SUR  26  02</v>
      </c>
      <c r="F3858" s="17" t="str">
        <f>+VLOOKUP(A3858,[1]PFE4!$A$7:$G$5208,7,0)</f>
        <v>05266</v>
      </c>
      <c r="G3858">
        <v>127597814</v>
      </c>
      <c r="H3858">
        <v>4329</v>
      </c>
    </row>
    <row r="3859" spans="1:8" ht="15" customHeight="1" x14ac:dyDescent="0.25">
      <c r="A3859" t="s">
        <v>6101</v>
      </c>
      <c r="B3859" t="s">
        <v>10137</v>
      </c>
      <c r="C3859" t="s">
        <v>13176</v>
      </c>
      <c r="D3859" t="s">
        <v>13287</v>
      </c>
      <c r="E3859" t="str">
        <f>+VLOOKUP(A3859,[1]PFE4!$A$7:$F$5208,6,0)</f>
        <v>CARRERA 102  154  30</v>
      </c>
      <c r="F3859" s="17">
        <f>+VLOOKUP(A3859,[1]PFE4!$A$7:$G$5208,7,0)</f>
        <v>11001</v>
      </c>
      <c r="G3859">
        <v>127746460</v>
      </c>
      <c r="H3859">
        <v>4329</v>
      </c>
    </row>
    <row r="3860" spans="1:8" ht="15" customHeight="1" x14ac:dyDescent="0.25">
      <c r="A3860" t="s">
        <v>6102</v>
      </c>
      <c r="B3860" t="s">
        <v>10138</v>
      </c>
      <c r="C3860" t="s">
        <v>13177</v>
      </c>
      <c r="D3860" t="s">
        <v>13287</v>
      </c>
      <c r="E3860" t="str">
        <f>+VLOOKUP(A3860,[1]PFE4!$A$7:$F$5208,6,0)</f>
        <v>CARRERA 29  29  59 BRR LAGOS III</v>
      </c>
      <c r="F3860" s="17">
        <f>+VLOOKUP(A3860,[1]PFE4!$A$7:$G$5208,7,0)</f>
        <v>11001</v>
      </c>
      <c r="G3860">
        <v>127797276</v>
      </c>
      <c r="H3860">
        <v>4329</v>
      </c>
    </row>
    <row r="3861" spans="1:8" ht="15" customHeight="1" x14ac:dyDescent="0.25">
      <c r="A3861" t="s">
        <v>6103</v>
      </c>
      <c r="B3861" t="s">
        <v>10139</v>
      </c>
      <c r="C3861">
        <v>0</v>
      </c>
      <c r="D3861" t="s">
        <v>13287</v>
      </c>
      <c r="E3861">
        <v>0</v>
      </c>
      <c r="F3861" s="17">
        <v>11001</v>
      </c>
      <c r="G3861">
        <v>128011871</v>
      </c>
      <c r="H3861">
        <v>4329</v>
      </c>
    </row>
    <row r="3862" spans="1:8" ht="15" customHeight="1" x14ac:dyDescent="0.25">
      <c r="A3862" t="s">
        <v>6104</v>
      </c>
      <c r="B3862" t="s">
        <v>10140</v>
      </c>
      <c r="C3862" t="s">
        <v>12187</v>
      </c>
      <c r="D3862" t="s">
        <v>13287</v>
      </c>
      <c r="E3862" t="str">
        <f>+VLOOKUP(A3862,[1]PFE4!$A$7:$F$5208,6,0)</f>
        <v>TRANSVERSAL 65 59-21 SUR</v>
      </c>
      <c r="F3862" s="17">
        <f>+VLOOKUP(A3862,[1]PFE4!$A$7:$G$5208,7,0)</f>
        <v>11001</v>
      </c>
      <c r="G3862">
        <v>128735300</v>
      </c>
      <c r="H3862">
        <v>4329</v>
      </c>
    </row>
    <row r="3863" spans="1:8" ht="15" customHeight="1" x14ac:dyDescent="0.25">
      <c r="A3863" t="s">
        <v>6105</v>
      </c>
      <c r="B3863" t="s">
        <v>10141</v>
      </c>
      <c r="C3863" t="s">
        <v>13178</v>
      </c>
      <c r="D3863" t="s">
        <v>13287</v>
      </c>
      <c r="E3863" t="str">
        <f>+VLOOKUP(A3863,[1]PFE4!$A$7:$F$5208,6,0)</f>
        <v>CR 29 47 32 BRR SOTOMAYOR</v>
      </c>
      <c r="F3863" s="17">
        <f>+VLOOKUP(A3863,[1]PFE4!$A$7:$G$5208,7,0)</f>
        <v>11001</v>
      </c>
      <c r="G3863">
        <v>128847811</v>
      </c>
      <c r="H3863">
        <v>4329</v>
      </c>
    </row>
    <row r="3864" spans="1:8" ht="15" customHeight="1" x14ac:dyDescent="0.25">
      <c r="A3864" t="s">
        <v>6106</v>
      </c>
      <c r="B3864" t="s">
        <v>10142</v>
      </c>
      <c r="C3864">
        <v>0</v>
      </c>
      <c r="D3864" t="s">
        <v>13287</v>
      </c>
      <c r="E3864">
        <v>0</v>
      </c>
      <c r="F3864" s="17">
        <v>11001</v>
      </c>
      <c r="G3864">
        <v>129633206</v>
      </c>
      <c r="H3864">
        <v>4329</v>
      </c>
    </row>
    <row r="3865" spans="1:8" ht="15" customHeight="1" x14ac:dyDescent="0.25">
      <c r="A3865" t="s">
        <v>6107</v>
      </c>
      <c r="B3865" t="s">
        <v>10143</v>
      </c>
      <c r="C3865" t="s">
        <v>13179</v>
      </c>
      <c r="D3865" t="s">
        <v>13287</v>
      </c>
      <c r="E3865" t="str">
        <f>+VLOOKUP(A3865,[1]PFE4!$A$7:$F$5208,6,0)</f>
        <v>CARRERA 20  158  40</v>
      </c>
      <c r="F3865" s="17">
        <f>+VLOOKUP(A3865,[1]PFE4!$A$7:$G$5208,7,0)</f>
        <v>11001</v>
      </c>
      <c r="G3865">
        <v>129979683</v>
      </c>
      <c r="H3865">
        <v>4329</v>
      </c>
    </row>
    <row r="3866" spans="1:8" ht="15" customHeight="1" x14ac:dyDescent="0.25">
      <c r="A3866" t="s">
        <v>6108</v>
      </c>
      <c r="B3866" t="s">
        <v>10144</v>
      </c>
      <c r="C3866" t="s">
        <v>12429</v>
      </c>
      <c r="D3866" t="s">
        <v>13287</v>
      </c>
      <c r="E3866" t="str">
        <f>+VLOOKUP(A3866,[1]PFE4!$A$7:$F$5208,6,0)</f>
        <v>CARRERA 77  60  45</v>
      </c>
      <c r="F3866" s="17" t="str">
        <f>+VLOOKUP(A3866,[1]PFE4!$A$7:$G$5208,7,0)</f>
        <v>05001</v>
      </c>
      <c r="G3866">
        <v>130843479</v>
      </c>
      <c r="H3866">
        <v>4329</v>
      </c>
    </row>
    <row r="3867" spans="1:8" ht="15" customHeight="1" x14ac:dyDescent="0.25">
      <c r="A3867" t="s">
        <v>6109</v>
      </c>
      <c r="B3867" t="s">
        <v>10145</v>
      </c>
      <c r="C3867">
        <v>0</v>
      </c>
      <c r="D3867" t="s">
        <v>13287</v>
      </c>
      <c r="E3867">
        <v>0</v>
      </c>
      <c r="F3867" s="17">
        <v>11001</v>
      </c>
      <c r="G3867">
        <v>131069045</v>
      </c>
      <c r="H3867">
        <v>4329</v>
      </c>
    </row>
    <row r="3868" spans="1:8" ht="15" customHeight="1" x14ac:dyDescent="0.25">
      <c r="A3868" t="s">
        <v>6110</v>
      </c>
      <c r="B3868" t="s">
        <v>10146</v>
      </c>
      <c r="C3868" t="s">
        <v>10516</v>
      </c>
      <c r="D3868" t="s">
        <v>13287</v>
      </c>
      <c r="E3868" t="str">
        <f>+VLOOKUP(A3868,[1]PFE4!$A$7:$F$5208,6,0)</f>
        <v>CARRERA 5  81  30 BRR ROSALES</v>
      </c>
      <c r="F3868" s="17">
        <f>+VLOOKUP(A3868,[1]PFE4!$A$7:$G$5208,7,0)</f>
        <v>11001</v>
      </c>
      <c r="G3868">
        <v>131310255</v>
      </c>
      <c r="H3868">
        <v>4329</v>
      </c>
    </row>
    <row r="3869" spans="1:8" ht="15" customHeight="1" x14ac:dyDescent="0.25">
      <c r="A3869" t="s">
        <v>6111</v>
      </c>
      <c r="B3869" t="s">
        <v>10147</v>
      </c>
      <c r="C3869" t="s">
        <v>13180</v>
      </c>
      <c r="D3869" t="s">
        <v>13287</v>
      </c>
      <c r="E3869" t="str">
        <f>+VLOOKUP(A3869,[1]PFE4!$A$7:$F$5208,6,0)</f>
        <v>CALLE 13  1  25</v>
      </c>
      <c r="F3869" s="17">
        <f>+VLOOKUP(A3869,[1]PFE4!$A$7:$G$5208,7,0)</f>
        <v>13001</v>
      </c>
      <c r="G3869">
        <v>131331893</v>
      </c>
      <c r="H3869">
        <v>4329</v>
      </c>
    </row>
    <row r="3870" spans="1:8" ht="15" customHeight="1" x14ac:dyDescent="0.25">
      <c r="A3870" t="s">
        <v>6112</v>
      </c>
      <c r="B3870" t="s">
        <v>10148</v>
      </c>
      <c r="C3870" t="s">
        <v>13181</v>
      </c>
      <c r="D3870" t="s">
        <v>13287</v>
      </c>
      <c r="E3870" t="str">
        <f>+VLOOKUP(A3870,[1]PFE4!$A$7:$F$5208,6,0)</f>
        <v>CL 8 43 A 48</v>
      </c>
      <c r="F3870" s="17" t="str">
        <f>+VLOOKUP(A3870,[1]PFE4!$A$7:$G$5208,7,0)</f>
        <v>05615</v>
      </c>
      <c r="G3870">
        <v>131552967</v>
      </c>
      <c r="H3870">
        <v>4329</v>
      </c>
    </row>
    <row r="3871" spans="1:8" ht="15" customHeight="1" x14ac:dyDescent="0.25">
      <c r="A3871" t="s">
        <v>6113</v>
      </c>
      <c r="B3871" t="s">
        <v>10149</v>
      </c>
      <c r="C3871" t="s">
        <v>13182</v>
      </c>
      <c r="D3871" t="s">
        <v>13287</v>
      </c>
      <c r="E3871" t="str">
        <f>+VLOOKUP(A3871,[1]PFE4!$A$7:$F$5208,6,0)</f>
        <v>CARRERA 57  38  290</v>
      </c>
      <c r="F3871" s="17" t="str">
        <f>+VLOOKUP(A3871,[1]PFE4!$A$7:$G$5208,7,0)</f>
        <v>05088</v>
      </c>
      <c r="G3871">
        <v>131734603</v>
      </c>
      <c r="H3871">
        <v>4329</v>
      </c>
    </row>
    <row r="3872" spans="1:8" ht="15" customHeight="1" x14ac:dyDescent="0.25">
      <c r="A3872" t="s">
        <v>6114</v>
      </c>
      <c r="B3872" t="s">
        <v>10150</v>
      </c>
      <c r="C3872" t="s">
        <v>13183</v>
      </c>
      <c r="D3872" t="s">
        <v>13287</v>
      </c>
      <c r="E3872" t="str">
        <f>+VLOOKUP(A3872,[1]PFE4!$A$7:$F$5208,6,0)</f>
        <v>CR 27 A A 36 SUR 160</v>
      </c>
      <c r="F3872" s="17" t="str">
        <f>+VLOOKUP(A3872,[1]PFE4!$A$7:$G$5208,7,0)</f>
        <v>05266</v>
      </c>
      <c r="G3872">
        <v>132272654</v>
      </c>
      <c r="H3872">
        <v>4329</v>
      </c>
    </row>
    <row r="3873" spans="1:8" ht="15" customHeight="1" x14ac:dyDescent="0.25">
      <c r="A3873" t="s">
        <v>6115</v>
      </c>
      <c r="B3873" t="s">
        <v>10151</v>
      </c>
      <c r="C3873">
        <v>0</v>
      </c>
      <c r="D3873" t="s">
        <v>13287</v>
      </c>
      <c r="E3873">
        <v>0</v>
      </c>
      <c r="F3873" s="17">
        <v>11001</v>
      </c>
      <c r="G3873">
        <v>132843524</v>
      </c>
      <c r="H3873">
        <v>4329</v>
      </c>
    </row>
    <row r="3874" spans="1:8" ht="15" customHeight="1" x14ac:dyDescent="0.25">
      <c r="A3874" t="s">
        <v>6116</v>
      </c>
      <c r="B3874" t="s">
        <v>10152</v>
      </c>
      <c r="C3874" t="s">
        <v>13184</v>
      </c>
      <c r="D3874" t="s">
        <v>13287</v>
      </c>
      <c r="E3874" t="str">
        <f>+VLOOKUP(A3874,[1]PFE4!$A$7:$F$5208,6,0)</f>
        <v>CALLE 95  71  75</v>
      </c>
      <c r="F3874" s="17">
        <f>+VLOOKUP(A3874,[1]PFE4!$A$7:$G$5208,7,0)</f>
        <v>11001</v>
      </c>
      <c r="G3874">
        <v>132994533</v>
      </c>
      <c r="H3874">
        <v>4329</v>
      </c>
    </row>
    <row r="3875" spans="1:8" ht="15" customHeight="1" x14ac:dyDescent="0.25">
      <c r="A3875" t="s">
        <v>6117</v>
      </c>
      <c r="B3875" t="s">
        <v>10153</v>
      </c>
      <c r="C3875">
        <v>3219664011</v>
      </c>
      <c r="D3875" t="s">
        <v>13287</v>
      </c>
      <c r="E3875" t="str">
        <f>+VLOOKUP(A3875,[1]PFE4!$A$7:$F$5208,6,0)</f>
        <v>CALLE 8  48  145</v>
      </c>
      <c r="F3875" s="17">
        <f>+VLOOKUP(A3875,[1]PFE4!$A$7:$G$5208,7,0)</f>
        <v>11001</v>
      </c>
      <c r="G3875">
        <v>133533880</v>
      </c>
      <c r="H3875">
        <v>4329</v>
      </c>
    </row>
    <row r="3876" spans="1:8" ht="15" customHeight="1" x14ac:dyDescent="0.25">
      <c r="A3876" t="s">
        <v>6118</v>
      </c>
      <c r="B3876" t="s">
        <v>10154</v>
      </c>
      <c r="C3876" t="s">
        <v>13185</v>
      </c>
      <c r="D3876" t="s">
        <v>13287</v>
      </c>
      <c r="E3876" t="str">
        <f>+VLOOKUP(A3876,[1]PFE4!$A$7:$F$5208,6,0)</f>
        <v>CL 8 20 30 OF 614</v>
      </c>
      <c r="F3876" s="17">
        <f>+VLOOKUP(A3876,[1]PFE4!$A$7:$G$5208,7,0)</f>
        <v>11001</v>
      </c>
      <c r="G3876">
        <v>134927746</v>
      </c>
      <c r="H3876">
        <v>4329</v>
      </c>
    </row>
    <row r="3877" spans="1:8" ht="15" customHeight="1" x14ac:dyDescent="0.25">
      <c r="A3877" t="s">
        <v>6119</v>
      </c>
      <c r="B3877" t="s">
        <v>10155</v>
      </c>
      <c r="C3877" t="s">
        <v>13186</v>
      </c>
      <c r="D3877" t="s">
        <v>13287</v>
      </c>
      <c r="E3877" t="str">
        <f>+VLOOKUP(A3877,[1]PFE4!$A$7:$F$5208,6,0)</f>
        <v>CL 26 25 50</v>
      </c>
      <c r="F3877" s="17">
        <f>+VLOOKUP(A3877,[1]PFE4!$A$7:$G$5208,7,0)</f>
        <v>11001</v>
      </c>
      <c r="G3877">
        <v>136162799</v>
      </c>
      <c r="H3877">
        <v>4329</v>
      </c>
    </row>
    <row r="3878" spans="1:8" ht="15" customHeight="1" x14ac:dyDescent="0.25">
      <c r="A3878" t="s">
        <v>6120</v>
      </c>
      <c r="B3878" t="s">
        <v>10156</v>
      </c>
      <c r="C3878">
        <v>0</v>
      </c>
      <c r="D3878" t="s">
        <v>13287</v>
      </c>
      <c r="E3878">
        <v>0</v>
      </c>
      <c r="F3878" s="17">
        <v>11001</v>
      </c>
      <c r="G3878">
        <v>136344485</v>
      </c>
      <c r="H3878">
        <v>4329</v>
      </c>
    </row>
    <row r="3879" spans="1:8" ht="15" customHeight="1" x14ac:dyDescent="0.25">
      <c r="A3879" t="s">
        <v>6121</v>
      </c>
      <c r="B3879" t="s">
        <v>10157</v>
      </c>
      <c r="C3879">
        <v>0</v>
      </c>
      <c r="D3879" t="s">
        <v>13287</v>
      </c>
      <c r="E3879">
        <v>0</v>
      </c>
      <c r="F3879" s="17">
        <v>11001</v>
      </c>
      <c r="G3879">
        <v>137418128</v>
      </c>
      <c r="H3879">
        <v>4329</v>
      </c>
    </row>
    <row r="3880" spans="1:8" ht="15" customHeight="1" x14ac:dyDescent="0.25">
      <c r="A3880" t="s">
        <v>6122</v>
      </c>
      <c r="B3880" t="s">
        <v>10158</v>
      </c>
      <c r="C3880">
        <v>0</v>
      </c>
      <c r="D3880" t="s">
        <v>13287</v>
      </c>
      <c r="E3880">
        <v>0</v>
      </c>
      <c r="F3880" s="17">
        <v>11001</v>
      </c>
      <c r="G3880">
        <v>139088388</v>
      </c>
      <c r="H3880">
        <v>4329</v>
      </c>
    </row>
    <row r="3881" spans="1:8" ht="15" customHeight="1" x14ac:dyDescent="0.25">
      <c r="A3881" t="s">
        <v>6123</v>
      </c>
      <c r="B3881" t="s">
        <v>10159</v>
      </c>
      <c r="C3881" t="s">
        <v>13187</v>
      </c>
      <c r="D3881" t="s">
        <v>13287</v>
      </c>
      <c r="E3881" t="str">
        <f>+VLOOKUP(A3881,[1]PFE4!$A$7:$F$5208,6,0)</f>
        <v>CALLE 8  5  80</v>
      </c>
      <c r="F3881" s="17" t="str">
        <f>+VLOOKUP(A3881,[1]PFE4!$A$7:$G$5208,7,0)</f>
        <v>08001</v>
      </c>
      <c r="G3881">
        <v>139250144</v>
      </c>
      <c r="H3881">
        <v>4329</v>
      </c>
    </row>
    <row r="3882" spans="1:8" ht="15" customHeight="1" x14ac:dyDescent="0.25">
      <c r="A3882" t="s">
        <v>6124</v>
      </c>
      <c r="B3882" t="s">
        <v>10160</v>
      </c>
      <c r="C3882">
        <v>0</v>
      </c>
      <c r="D3882" t="s">
        <v>13287</v>
      </c>
      <c r="E3882">
        <v>0</v>
      </c>
      <c r="F3882" s="17">
        <v>11001</v>
      </c>
      <c r="G3882">
        <v>139608554</v>
      </c>
      <c r="H3882">
        <v>4329</v>
      </c>
    </row>
    <row r="3883" spans="1:8" ht="15" customHeight="1" x14ac:dyDescent="0.25">
      <c r="A3883" t="s">
        <v>6125</v>
      </c>
      <c r="B3883" t="s">
        <v>10161</v>
      </c>
      <c r="C3883" t="s">
        <v>13188</v>
      </c>
      <c r="D3883" t="s">
        <v>13287</v>
      </c>
      <c r="E3883" t="str">
        <f>+VLOOKUP(A3883,[1]PFE4!$A$7:$F$5208,6,0)</f>
        <v>CARRERA  5 21 38</v>
      </c>
      <c r="F3883" s="17">
        <f>+VLOOKUP(A3883,[1]PFE4!$A$7:$G$5208,7,0)</f>
        <v>11001</v>
      </c>
      <c r="G3883">
        <v>141403312</v>
      </c>
      <c r="H3883">
        <v>4329</v>
      </c>
    </row>
    <row r="3884" spans="1:8" ht="15" customHeight="1" x14ac:dyDescent="0.25">
      <c r="A3884" t="s">
        <v>6126</v>
      </c>
      <c r="B3884" t="s">
        <v>10162</v>
      </c>
      <c r="C3884" t="s">
        <v>13160</v>
      </c>
      <c r="D3884" t="s">
        <v>13287</v>
      </c>
      <c r="E3884" t="str">
        <f>+VLOOKUP(A3884,[1]PFE4!$A$7:$F$5208,6,0)</f>
        <v>CALLE 49A BIS 10D-20</v>
      </c>
      <c r="F3884" s="17">
        <f>+VLOOKUP(A3884,[1]PFE4!$A$7:$G$5208,7,0)</f>
        <v>11001</v>
      </c>
      <c r="G3884">
        <v>141511965</v>
      </c>
      <c r="H3884">
        <v>4329</v>
      </c>
    </row>
    <row r="3885" spans="1:8" ht="15" customHeight="1" x14ac:dyDescent="0.25">
      <c r="A3885" t="s">
        <v>6127</v>
      </c>
      <c r="B3885" t="s">
        <v>10163</v>
      </c>
      <c r="C3885" t="s">
        <v>13183</v>
      </c>
      <c r="D3885" t="s">
        <v>13287</v>
      </c>
      <c r="E3885" t="str">
        <f>+VLOOKUP(A3885,[1]PFE4!$A$7:$F$5208,6,0)</f>
        <v>CALLE 65 SUR  39  235</v>
      </c>
      <c r="F3885" s="17" t="str">
        <f>+VLOOKUP(A3885,[1]PFE4!$A$7:$G$5208,7,0)</f>
        <v>05631</v>
      </c>
      <c r="G3885">
        <v>142763491</v>
      </c>
      <c r="H3885">
        <v>4329</v>
      </c>
    </row>
    <row r="3886" spans="1:8" ht="15" customHeight="1" x14ac:dyDescent="0.25">
      <c r="A3886" t="s">
        <v>6128</v>
      </c>
      <c r="B3886" t="s">
        <v>10164</v>
      </c>
      <c r="C3886" t="s">
        <v>13189</v>
      </c>
      <c r="D3886" t="s">
        <v>13287</v>
      </c>
      <c r="E3886" t="str">
        <f>+VLOOKUP(A3886,[1]PFE4!$A$7:$F$5208,6,0)</f>
        <v>CARRERA 8  167 D  62</v>
      </c>
      <c r="F3886" s="17">
        <f>+VLOOKUP(A3886,[1]PFE4!$A$7:$G$5208,7,0)</f>
        <v>11001</v>
      </c>
      <c r="G3886">
        <v>143020101</v>
      </c>
      <c r="H3886">
        <v>4329</v>
      </c>
    </row>
    <row r="3887" spans="1:8" ht="15" customHeight="1" x14ac:dyDescent="0.25">
      <c r="A3887" t="s">
        <v>6129</v>
      </c>
      <c r="B3887" t="s">
        <v>10165</v>
      </c>
      <c r="C3887">
        <v>0</v>
      </c>
      <c r="D3887" t="s">
        <v>13287</v>
      </c>
      <c r="E3887">
        <v>0</v>
      </c>
      <c r="F3887" s="17">
        <v>11001</v>
      </c>
      <c r="G3887">
        <v>143604167</v>
      </c>
      <c r="H3887">
        <v>4329</v>
      </c>
    </row>
    <row r="3888" spans="1:8" ht="15" customHeight="1" x14ac:dyDescent="0.25">
      <c r="A3888" t="s">
        <v>6130</v>
      </c>
      <c r="B3888" t="s">
        <v>10166</v>
      </c>
      <c r="C3888" t="s">
        <v>13190</v>
      </c>
      <c r="D3888" t="s">
        <v>13287</v>
      </c>
      <c r="E3888" t="str">
        <f>+VLOOKUP(A3888,[1]PFE4!$A$7:$F$5208,6,0)</f>
        <v>BRR BOCAGRANDE CR 5 7 45</v>
      </c>
      <c r="F3888" s="17">
        <f>+VLOOKUP(A3888,[1]PFE4!$A$7:$G$5208,7,0)</f>
        <v>11001</v>
      </c>
      <c r="G3888">
        <v>143810629</v>
      </c>
      <c r="H3888">
        <v>4329</v>
      </c>
    </row>
    <row r="3889" spans="1:8" ht="15" customHeight="1" x14ac:dyDescent="0.25">
      <c r="A3889" t="s">
        <v>6131</v>
      </c>
      <c r="B3889" t="s">
        <v>10167</v>
      </c>
      <c r="C3889" t="s">
        <v>13191</v>
      </c>
      <c r="D3889" t="s">
        <v>13287</v>
      </c>
      <c r="E3889" t="str">
        <f>+VLOOKUP(A3889,[1]PFE4!$A$7:$F$5208,6,0)</f>
        <v>CALLE 163 A  28  60</v>
      </c>
      <c r="F3889" s="17">
        <f>+VLOOKUP(A3889,[1]PFE4!$A$7:$G$5208,7,0)</f>
        <v>11001</v>
      </c>
      <c r="G3889">
        <v>144460943</v>
      </c>
      <c r="H3889">
        <v>4329</v>
      </c>
    </row>
    <row r="3890" spans="1:8" ht="15" customHeight="1" x14ac:dyDescent="0.25">
      <c r="A3890" t="s">
        <v>6132</v>
      </c>
      <c r="B3890" t="s">
        <v>10168</v>
      </c>
      <c r="C3890">
        <v>0</v>
      </c>
      <c r="D3890" t="s">
        <v>13287</v>
      </c>
      <c r="E3890">
        <v>0</v>
      </c>
      <c r="F3890" s="17">
        <v>11001</v>
      </c>
      <c r="G3890">
        <v>144927876</v>
      </c>
      <c r="H3890">
        <v>4329</v>
      </c>
    </row>
    <row r="3891" spans="1:8" ht="15" customHeight="1" x14ac:dyDescent="0.25">
      <c r="A3891" t="s">
        <v>6133</v>
      </c>
      <c r="B3891" t="s">
        <v>10169</v>
      </c>
      <c r="C3891" t="s">
        <v>13192</v>
      </c>
      <c r="D3891" t="s">
        <v>13287</v>
      </c>
      <c r="E3891" t="str">
        <f>+VLOOKUP(A3891,[1]PFE4!$A$7:$F$5208,6,0)</f>
        <v>CALLE 26  69  43</v>
      </c>
      <c r="F3891" s="17">
        <f>+VLOOKUP(A3891,[1]PFE4!$A$7:$G$5208,7,0)</f>
        <v>11001</v>
      </c>
      <c r="G3891">
        <v>145568772</v>
      </c>
      <c r="H3891">
        <v>4329</v>
      </c>
    </row>
    <row r="3892" spans="1:8" ht="15" customHeight="1" x14ac:dyDescent="0.25">
      <c r="A3892" t="s">
        <v>6134</v>
      </c>
      <c r="B3892" t="s">
        <v>10170</v>
      </c>
      <c r="C3892">
        <v>0</v>
      </c>
      <c r="D3892" t="s">
        <v>13287</v>
      </c>
      <c r="E3892">
        <v>0</v>
      </c>
      <c r="F3892" s="17">
        <v>11001</v>
      </c>
      <c r="G3892">
        <v>145875833</v>
      </c>
      <c r="H3892">
        <v>4329</v>
      </c>
    </row>
    <row r="3893" spans="1:8" ht="15" customHeight="1" x14ac:dyDescent="0.25">
      <c r="A3893" t="s">
        <v>6135</v>
      </c>
      <c r="B3893" t="s">
        <v>10171</v>
      </c>
      <c r="C3893">
        <v>0</v>
      </c>
      <c r="D3893" t="s">
        <v>13287</v>
      </c>
      <c r="E3893">
        <v>0</v>
      </c>
      <c r="F3893" s="17">
        <v>11001</v>
      </c>
      <c r="G3893">
        <v>146990389</v>
      </c>
      <c r="H3893">
        <v>4329</v>
      </c>
    </row>
    <row r="3894" spans="1:8" ht="15" customHeight="1" x14ac:dyDescent="0.25">
      <c r="A3894" t="s">
        <v>6136</v>
      </c>
      <c r="B3894" t="s">
        <v>10172</v>
      </c>
      <c r="C3894">
        <v>0</v>
      </c>
      <c r="D3894" t="s">
        <v>13287</v>
      </c>
      <c r="E3894">
        <v>0</v>
      </c>
      <c r="F3894" s="17">
        <v>11001</v>
      </c>
      <c r="G3894">
        <v>147835349</v>
      </c>
      <c r="H3894">
        <v>4329</v>
      </c>
    </row>
    <row r="3895" spans="1:8" ht="15" customHeight="1" x14ac:dyDescent="0.25">
      <c r="A3895" t="s">
        <v>6137</v>
      </c>
      <c r="B3895" t="s">
        <v>10173</v>
      </c>
      <c r="C3895" t="s">
        <v>11958</v>
      </c>
      <c r="D3895" t="s">
        <v>13287</v>
      </c>
      <c r="E3895" t="str">
        <f>+VLOOKUP(A3895,[1]PFE4!$A$7:$F$5208,6,0)</f>
        <v>CARRERA 15  18  42</v>
      </c>
      <c r="F3895" s="17">
        <f>+VLOOKUP(A3895,[1]PFE4!$A$7:$G$5208,7,0)</f>
        <v>63001</v>
      </c>
      <c r="G3895">
        <v>148550134</v>
      </c>
      <c r="H3895">
        <v>4329</v>
      </c>
    </row>
    <row r="3896" spans="1:8" ht="15" customHeight="1" x14ac:dyDescent="0.25">
      <c r="A3896" t="s">
        <v>6138</v>
      </c>
      <c r="B3896" t="s">
        <v>10174</v>
      </c>
      <c r="C3896">
        <v>0</v>
      </c>
      <c r="D3896" t="s">
        <v>13287</v>
      </c>
      <c r="E3896">
        <v>0</v>
      </c>
      <c r="F3896" s="17">
        <v>11001</v>
      </c>
      <c r="G3896">
        <v>149488204</v>
      </c>
      <c r="H3896">
        <v>4329</v>
      </c>
    </row>
    <row r="3897" spans="1:8" ht="15" customHeight="1" x14ac:dyDescent="0.25">
      <c r="A3897" t="s">
        <v>6139</v>
      </c>
      <c r="B3897" t="s">
        <v>10175</v>
      </c>
      <c r="C3897" t="s">
        <v>13193</v>
      </c>
      <c r="D3897" t="s">
        <v>13287</v>
      </c>
      <c r="E3897" t="str">
        <f>+VLOOKUP(A3897,[1]PFE4!$A$7:$F$5208,6,0)</f>
        <v>BRR LA BOQUILLA VIA 90 A KM 4 50</v>
      </c>
      <c r="F3897" s="17">
        <f>+VLOOKUP(A3897,[1]PFE4!$A$7:$G$5208,7,0)</f>
        <v>13001</v>
      </c>
      <c r="G3897">
        <v>150300405</v>
      </c>
      <c r="H3897">
        <v>4329</v>
      </c>
    </row>
    <row r="3898" spans="1:8" ht="15" customHeight="1" x14ac:dyDescent="0.25">
      <c r="A3898" t="s">
        <v>6140</v>
      </c>
      <c r="B3898" t="s">
        <v>10176</v>
      </c>
      <c r="C3898" t="s">
        <v>11875</v>
      </c>
      <c r="D3898" t="s">
        <v>13287</v>
      </c>
      <c r="E3898" t="str">
        <f>+VLOOKUP(A3898,[1]PFE4!$A$7:$F$5208,6,0)</f>
        <v>CR 31 ESTE 34 70</v>
      </c>
      <c r="F3898" s="17">
        <f>+VLOOKUP(A3898,[1]PFE4!$A$7:$G$5208,7,0)</f>
        <v>11001</v>
      </c>
      <c r="G3898">
        <v>150548671</v>
      </c>
      <c r="H3898">
        <v>4329</v>
      </c>
    </row>
    <row r="3899" spans="1:8" ht="15" customHeight="1" x14ac:dyDescent="0.25">
      <c r="A3899" t="s">
        <v>6141</v>
      </c>
      <c r="B3899" t="s">
        <v>10177</v>
      </c>
      <c r="C3899" t="s">
        <v>13194</v>
      </c>
      <c r="D3899" t="s">
        <v>13287</v>
      </c>
      <c r="E3899" t="str">
        <f>+VLOOKUP(A3899,[1]PFE4!$A$7:$F$5208,6,0)</f>
        <v>CARRERA 84 B  4 A  75</v>
      </c>
      <c r="F3899" s="17" t="str">
        <f>+VLOOKUP(A3899,[1]PFE4!$A$7:$G$5208,7,0)</f>
        <v>05001</v>
      </c>
      <c r="G3899">
        <v>152728998</v>
      </c>
      <c r="H3899">
        <v>4329</v>
      </c>
    </row>
    <row r="3900" spans="1:8" ht="15" customHeight="1" x14ac:dyDescent="0.25">
      <c r="A3900" t="s">
        <v>6142</v>
      </c>
      <c r="B3900" t="s">
        <v>10178</v>
      </c>
      <c r="C3900" t="s">
        <v>13195</v>
      </c>
      <c r="D3900" t="s">
        <v>13287</v>
      </c>
      <c r="E3900" t="str">
        <f>+VLOOKUP(A3900,[1]PFE4!$A$7:$F$5208,6,0)</f>
        <v>CALLE 45  1  85</v>
      </c>
      <c r="F3900" s="17" t="str">
        <f>+VLOOKUP(A3900,[1]PFE4!$A$7:$G$5208,7,0)</f>
        <v>08001</v>
      </c>
      <c r="G3900">
        <v>153515353</v>
      </c>
      <c r="H3900">
        <v>4329</v>
      </c>
    </row>
    <row r="3901" spans="1:8" ht="15" customHeight="1" x14ac:dyDescent="0.25">
      <c r="A3901" t="s">
        <v>6143</v>
      </c>
      <c r="B3901" t="s">
        <v>10179</v>
      </c>
      <c r="C3901" t="s">
        <v>13196</v>
      </c>
      <c r="D3901" t="s">
        <v>13287</v>
      </c>
      <c r="E3901" t="str">
        <f>+VLOOKUP(A3901,[1]PFE4!$A$7:$F$5208,6,0)</f>
        <v>CL 11 C 31 79 OF 301 ED LA MANIGUA</v>
      </c>
      <c r="F3901" s="17" t="str">
        <f>+VLOOKUP(A3901,[1]PFE4!$A$7:$G$5208,7,0)</f>
        <v>05001</v>
      </c>
      <c r="G3901">
        <v>154836795</v>
      </c>
      <c r="H3901">
        <v>4329</v>
      </c>
    </row>
    <row r="3902" spans="1:8" ht="15" customHeight="1" x14ac:dyDescent="0.25">
      <c r="A3902" t="s">
        <v>6144</v>
      </c>
      <c r="B3902" t="s">
        <v>10180</v>
      </c>
      <c r="C3902" t="s">
        <v>13197</v>
      </c>
      <c r="D3902" t="s">
        <v>13287</v>
      </c>
      <c r="E3902" t="str">
        <f>+VLOOKUP(A3902,[1]PFE4!$A$7:$F$5208,6,0)</f>
        <v>CARRERA 5 A  78  75</v>
      </c>
      <c r="F3902" s="17">
        <f>+VLOOKUP(A3902,[1]PFE4!$A$7:$G$5208,7,0)</f>
        <v>11001</v>
      </c>
      <c r="G3902">
        <v>155126112</v>
      </c>
      <c r="H3902">
        <v>4329</v>
      </c>
    </row>
    <row r="3903" spans="1:8" ht="15" customHeight="1" x14ac:dyDescent="0.25">
      <c r="A3903" t="s">
        <v>6145</v>
      </c>
      <c r="B3903" t="s">
        <v>10181</v>
      </c>
      <c r="C3903">
        <v>0</v>
      </c>
      <c r="D3903" t="s">
        <v>13287</v>
      </c>
      <c r="E3903">
        <v>0</v>
      </c>
      <c r="F3903" s="17">
        <v>11001</v>
      </c>
      <c r="G3903">
        <v>155408535</v>
      </c>
      <c r="H3903">
        <v>4329</v>
      </c>
    </row>
    <row r="3904" spans="1:8" ht="15" customHeight="1" x14ac:dyDescent="0.25">
      <c r="A3904" t="s">
        <v>6146</v>
      </c>
      <c r="B3904" t="s">
        <v>10182</v>
      </c>
      <c r="C3904">
        <v>0</v>
      </c>
      <c r="D3904" t="s">
        <v>13287</v>
      </c>
      <c r="E3904">
        <v>0</v>
      </c>
      <c r="F3904" s="17">
        <v>11001</v>
      </c>
      <c r="G3904">
        <v>157033609</v>
      </c>
      <c r="H3904">
        <v>4329</v>
      </c>
    </row>
    <row r="3905" spans="1:8" ht="15" customHeight="1" x14ac:dyDescent="0.25">
      <c r="A3905" t="s">
        <v>6147</v>
      </c>
      <c r="B3905" t="s">
        <v>10183</v>
      </c>
      <c r="C3905" t="s">
        <v>12429</v>
      </c>
      <c r="D3905" t="s">
        <v>13287</v>
      </c>
      <c r="E3905" t="str">
        <f>+VLOOKUP(A3905,[1]PFE4!$A$7:$F$5208,6,0)</f>
        <v>CALLE 37 SUR  27  90</v>
      </c>
      <c r="F3905" s="17" t="str">
        <f>+VLOOKUP(A3905,[1]PFE4!$A$7:$G$5208,7,0)</f>
        <v>05266</v>
      </c>
      <c r="G3905">
        <v>157692313</v>
      </c>
      <c r="H3905">
        <v>4329</v>
      </c>
    </row>
    <row r="3906" spans="1:8" ht="15" customHeight="1" x14ac:dyDescent="0.25">
      <c r="A3906" t="s">
        <v>6148</v>
      </c>
      <c r="B3906" t="s">
        <v>10184</v>
      </c>
      <c r="C3906">
        <v>3219664011</v>
      </c>
      <c r="D3906" t="s">
        <v>13287</v>
      </c>
      <c r="E3906" t="str">
        <f>+VLOOKUP(A3906,[1]PFE4!$A$7:$F$5208,6,0)</f>
        <v>CL 98 52 115</v>
      </c>
      <c r="F3906" s="17" t="str">
        <f>+VLOOKUP(A3906,[1]PFE4!$A$7:$G$5208,7,0)</f>
        <v>08001</v>
      </c>
      <c r="G3906">
        <v>160173640</v>
      </c>
      <c r="H3906">
        <v>4329</v>
      </c>
    </row>
    <row r="3907" spans="1:8" ht="15" customHeight="1" x14ac:dyDescent="0.25">
      <c r="A3907" t="s">
        <v>6149</v>
      </c>
      <c r="B3907" t="s">
        <v>10185</v>
      </c>
      <c r="C3907" t="s">
        <v>13198</v>
      </c>
      <c r="D3907" t="s">
        <v>13287</v>
      </c>
      <c r="E3907" t="str">
        <f>+VLOOKUP(A3907,[1]PFE4!$A$7:$F$5208,6,0)</f>
        <v>CARRERA 53  74  117  PISO 2</v>
      </c>
      <c r="F3907" s="17">
        <f>+VLOOKUP(A3907,[1]PFE4!$A$7:$G$5208,7,0)</f>
        <v>13001</v>
      </c>
      <c r="G3907">
        <v>161336681</v>
      </c>
      <c r="H3907">
        <v>4329</v>
      </c>
    </row>
    <row r="3908" spans="1:8" ht="15" customHeight="1" x14ac:dyDescent="0.25">
      <c r="A3908" t="s">
        <v>6150</v>
      </c>
      <c r="B3908" t="s">
        <v>10186</v>
      </c>
      <c r="C3908" t="s">
        <v>13199</v>
      </c>
      <c r="D3908" t="s">
        <v>13287</v>
      </c>
      <c r="E3908" t="str">
        <f>+VLOOKUP(A3908,[1]PFE4!$A$7:$F$5208,6,0)</f>
        <v>BRR MANGA AV MIRAMAR CL 24 18 63</v>
      </c>
      <c r="F3908" s="17">
        <f>+VLOOKUP(A3908,[1]PFE4!$A$7:$G$5208,7,0)</f>
        <v>11001</v>
      </c>
      <c r="G3908">
        <v>162725716</v>
      </c>
      <c r="H3908">
        <v>4329</v>
      </c>
    </row>
    <row r="3909" spans="1:8" ht="15" customHeight="1" x14ac:dyDescent="0.25">
      <c r="A3909" t="s">
        <v>6151</v>
      </c>
      <c r="B3909" t="s">
        <v>10187</v>
      </c>
      <c r="C3909" t="s">
        <v>13200</v>
      </c>
      <c r="D3909" t="s">
        <v>13287</v>
      </c>
      <c r="E3909" t="str">
        <f>+VLOOKUP(A3909,[1]PFE4!$A$7:$F$5208,6,0)</f>
        <v>BOCAGRANDE CRA 3 NO 9-30 EDIFICIO TORRE EMPRESARIAL PRODEGUI OF 1901</v>
      </c>
      <c r="F3909" s="17">
        <f>+VLOOKUP(A3909,[1]PFE4!$A$7:$G$5208,7,0)</f>
        <v>11001</v>
      </c>
      <c r="G3909">
        <v>165109034</v>
      </c>
      <c r="H3909">
        <v>4329</v>
      </c>
    </row>
    <row r="3910" spans="1:8" ht="15" customHeight="1" x14ac:dyDescent="0.25">
      <c r="A3910" t="s">
        <v>6152</v>
      </c>
      <c r="B3910" t="s">
        <v>10188</v>
      </c>
      <c r="C3910">
        <v>0</v>
      </c>
      <c r="D3910" t="s">
        <v>13287</v>
      </c>
      <c r="E3910">
        <v>0</v>
      </c>
      <c r="F3910" s="17">
        <v>11001</v>
      </c>
      <c r="G3910">
        <v>167769257</v>
      </c>
      <c r="H3910">
        <v>4329</v>
      </c>
    </row>
    <row r="3911" spans="1:8" ht="15" customHeight="1" x14ac:dyDescent="0.25">
      <c r="A3911" t="s">
        <v>6153</v>
      </c>
      <c r="B3911" t="s">
        <v>10189</v>
      </c>
      <c r="C3911" t="s">
        <v>13160</v>
      </c>
      <c r="D3911" t="s">
        <v>13287</v>
      </c>
      <c r="E3911" t="str">
        <f>+VLOOKUP(A3911,[1]PFE4!$A$7:$F$5208,6,0)</f>
        <v>CALLE 9  14 A  88 SUR</v>
      </c>
      <c r="F3911" s="17">
        <f>+VLOOKUP(A3911,[1]PFE4!$A$7:$G$5208,7,0)</f>
        <v>11001</v>
      </c>
      <c r="G3911">
        <v>167977590</v>
      </c>
      <c r="H3911">
        <v>4329</v>
      </c>
    </row>
    <row r="3912" spans="1:8" ht="15" customHeight="1" x14ac:dyDescent="0.25">
      <c r="A3912" t="s">
        <v>6154</v>
      </c>
      <c r="B3912" t="s">
        <v>10190</v>
      </c>
      <c r="C3912">
        <v>0</v>
      </c>
      <c r="D3912" t="s">
        <v>13287</v>
      </c>
      <c r="E3912">
        <v>0</v>
      </c>
      <c r="F3912" s="17">
        <v>11001</v>
      </c>
      <c r="G3912">
        <v>168582586</v>
      </c>
      <c r="H3912">
        <v>4329</v>
      </c>
    </row>
    <row r="3913" spans="1:8" ht="15" customHeight="1" x14ac:dyDescent="0.25">
      <c r="A3913" t="s">
        <v>6155</v>
      </c>
      <c r="B3913" t="s">
        <v>10191</v>
      </c>
      <c r="C3913" t="s">
        <v>13201</v>
      </c>
      <c r="D3913" t="s">
        <v>13287</v>
      </c>
      <c r="E3913" t="str">
        <f>+VLOOKUP(A3913,[1]PFE4!$A$7:$F$5208,6,0)</f>
        <v>KILOMETRO 12 DEL ANILLO VIAL VIA BARRANQUILLA</v>
      </c>
      <c r="F3913" s="17">
        <f>+VLOOKUP(A3913,[1]PFE4!$A$7:$G$5208,7,0)</f>
        <v>11001</v>
      </c>
      <c r="G3913">
        <v>169529444</v>
      </c>
      <c r="H3913">
        <v>4329</v>
      </c>
    </row>
    <row r="3914" spans="1:8" ht="15" customHeight="1" x14ac:dyDescent="0.25">
      <c r="A3914" t="s">
        <v>6156</v>
      </c>
      <c r="B3914" t="s">
        <v>10192</v>
      </c>
      <c r="C3914">
        <v>0</v>
      </c>
      <c r="D3914" t="s">
        <v>13287</v>
      </c>
      <c r="E3914">
        <v>0</v>
      </c>
      <c r="F3914" s="17">
        <v>11001</v>
      </c>
      <c r="G3914">
        <v>174283537</v>
      </c>
      <c r="H3914">
        <v>4329</v>
      </c>
    </row>
    <row r="3915" spans="1:8" ht="15" customHeight="1" x14ac:dyDescent="0.25">
      <c r="A3915" t="s">
        <v>6157</v>
      </c>
      <c r="B3915" t="s">
        <v>10193</v>
      </c>
      <c r="C3915" t="s">
        <v>13202</v>
      </c>
      <c r="D3915" t="s">
        <v>13287</v>
      </c>
      <c r="E3915" t="str">
        <f>+VLOOKUP(A3915,[1]PFE4!$A$7:$F$5208,6,0)</f>
        <v>CALLE 192  11 A  51</v>
      </c>
      <c r="F3915" s="17">
        <f>+VLOOKUP(A3915,[1]PFE4!$A$7:$G$5208,7,0)</f>
        <v>11001</v>
      </c>
      <c r="G3915">
        <v>175296203</v>
      </c>
      <c r="H3915">
        <v>4329</v>
      </c>
    </row>
    <row r="3916" spans="1:8" ht="15" customHeight="1" x14ac:dyDescent="0.25">
      <c r="A3916" t="s">
        <v>6158</v>
      </c>
      <c r="B3916" t="s">
        <v>10194</v>
      </c>
      <c r="C3916" t="s">
        <v>13203</v>
      </c>
      <c r="D3916" t="s">
        <v>13287</v>
      </c>
      <c r="E3916" t="str">
        <f>+VLOOKUP(A3916,[1]PFE4!$A$7:$F$5208,6,0)</f>
        <v>AV  CL 19 28 80  P 6 OF AD</v>
      </c>
      <c r="F3916" s="17">
        <f>+VLOOKUP(A3916,[1]PFE4!$A$7:$G$5208,7,0)</f>
        <v>11001</v>
      </c>
      <c r="G3916">
        <v>175699166</v>
      </c>
      <c r="H3916">
        <v>4329</v>
      </c>
    </row>
    <row r="3917" spans="1:8" ht="15" customHeight="1" x14ac:dyDescent="0.25">
      <c r="A3917" t="s">
        <v>6159</v>
      </c>
      <c r="B3917" t="s">
        <v>10195</v>
      </c>
      <c r="C3917" t="s">
        <v>13204</v>
      </c>
      <c r="D3917" t="s">
        <v>13287</v>
      </c>
      <c r="E3917" t="str">
        <f>+VLOOKUP(A3917,[1]PFE4!$A$7:$F$5208,6,0)</f>
        <v>AVENIDA LOS BUCAROS  60  168</v>
      </c>
      <c r="F3917" s="17">
        <f>+VLOOKUP(A3917,[1]PFE4!$A$7:$G$5208,7,0)</f>
        <v>11001</v>
      </c>
      <c r="G3917">
        <v>176071130</v>
      </c>
      <c r="H3917">
        <v>4329</v>
      </c>
    </row>
    <row r="3918" spans="1:8" ht="15" customHeight="1" x14ac:dyDescent="0.25">
      <c r="A3918" t="s">
        <v>6160</v>
      </c>
      <c r="B3918" t="s">
        <v>10196</v>
      </c>
      <c r="C3918" t="s">
        <v>13205</v>
      </c>
      <c r="D3918" t="s">
        <v>13287</v>
      </c>
      <c r="E3918" t="str">
        <f>+VLOOKUP(A3918,[1]PFE4!$A$7:$F$5208,6,0)</f>
        <v>CL19 NO. 2 A - 10 P 4 BRR LAS AGUAS</v>
      </c>
      <c r="F3918" s="17">
        <f>+VLOOKUP(A3918,[1]PFE4!$A$7:$G$5208,7,0)</f>
        <v>11001</v>
      </c>
      <c r="G3918">
        <v>176242634</v>
      </c>
      <c r="H3918">
        <v>4329</v>
      </c>
    </row>
    <row r="3919" spans="1:8" ht="15" customHeight="1" x14ac:dyDescent="0.25">
      <c r="A3919" t="s">
        <v>6161</v>
      </c>
      <c r="B3919" t="s">
        <v>10197</v>
      </c>
      <c r="C3919" t="s">
        <v>13206</v>
      </c>
      <c r="D3919" t="s">
        <v>13287</v>
      </c>
      <c r="E3919" t="str">
        <f>+VLOOKUP(A3919,[1]PFE4!$A$7:$F$5208,6,0)</f>
        <v>CL 16 55 129 CC DEMODA OUTLET NIVEL 4</v>
      </c>
      <c r="F3919" s="17" t="str">
        <f>+VLOOKUP(A3919,[1]PFE4!$A$7:$G$5208,7,0)</f>
        <v>05001</v>
      </c>
      <c r="G3919">
        <v>178575528</v>
      </c>
      <c r="H3919">
        <v>4329</v>
      </c>
    </row>
    <row r="3920" spans="1:8" ht="15" customHeight="1" x14ac:dyDescent="0.25">
      <c r="A3920" t="s">
        <v>6162</v>
      </c>
      <c r="B3920" t="s">
        <v>10198</v>
      </c>
      <c r="C3920" t="s">
        <v>13207</v>
      </c>
      <c r="D3920" t="s">
        <v>13287</v>
      </c>
      <c r="E3920" t="str">
        <f>+VLOOKUP(A3920,[1]PFE4!$A$7:$F$5208,6,0)</f>
        <v>CALLE 58 No. 24 - 35</v>
      </c>
      <c r="F3920" s="17">
        <f>+VLOOKUP(A3920,[1]PFE4!$A$7:$G$5208,7,0)</f>
        <v>11001</v>
      </c>
      <c r="G3920">
        <v>179942038</v>
      </c>
      <c r="H3920">
        <v>4329</v>
      </c>
    </row>
    <row r="3921" spans="1:8" ht="15" customHeight="1" x14ac:dyDescent="0.25">
      <c r="A3921" t="s">
        <v>6163</v>
      </c>
      <c r="B3921" t="s">
        <v>10199</v>
      </c>
      <c r="C3921" t="s">
        <v>13208</v>
      </c>
      <c r="D3921" t="s">
        <v>13287</v>
      </c>
      <c r="E3921" t="str">
        <f>+VLOOKUP(A3921,[1]PFE4!$A$7:$F$5208,6,0)</f>
        <v>CALLE 37  45  200</v>
      </c>
      <c r="F3921" s="17" t="str">
        <f>+VLOOKUP(A3921,[1]PFE4!$A$7:$G$5208,7,0)</f>
        <v>05088</v>
      </c>
      <c r="G3921">
        <v>180062319</v>
      </c>
      <c r="H3921">
        <v>4329</v>
      </c>
    </row>
    <row r="3922" spans="1:8" ht="15" customHeight="1" x14ac:dyDescent="0.25">
      <c r="A3922" t="s">
        <v>6164</v>
      </c>
      <c r="B3922" t="s">
        <v>10200</v>
      </c>
      <c r="C3922" t="s">
        <v>13209</v>
      </c>
      <c r="D3922" t="s">
        <v>13287</v>
      </c>
      <c r="E3922" t="str">
        <f>+VLOOKUP(A3922,[1]PFE4!$A$7:$F$5208,6,0)</f>
        <v>CALLE 78 SUR  40  211</v>
      </c>
      <c r="F3922" s="17" t="str">
        <f>+VLOOKUP(A3922,[1]PFE4!$A$7:$G$5208,7,0)</f>
        <v>05631</v>
      </c>
      <c r="G3922">
        <v>180111072</v>
      </c>
      <c r="H3922">
        <v>4329</v>
      </c>
    </row>
    <row r="3923" spans="1:8" ht="15" customHeight="1" x14ac:dyDescent="0.25">
      <c r="A3923" t="s">
        <v>6165</v>
      </c>
      <c r="B3923" t="s">
        <v>10201</v>
      </c>
      <c r="C3923" t="s">
        <v>13210</v>
      </c>
      <c r="D3923" t="s">
        <v>13287</v>
      </c>
      <c r="E3923" t="str">
        <f>+VLOOKUP(A3923,[1]PFE4!$A$7:$F$5208,6,0)</f>
        <v>AVENIDA CARRERA 9  62  84</v>
      </c>
      <c r="F3923" s="17">
        <f>+VLOOKUP(A3923,[1]PFE4!$A$7:$G$5208,7,0)</f>
        <v>11001</v>
      </c>
      <c r="G3923">
        <v>180397743</v>
      </c>
      <c r="H3923">
        <v>4329</v>
      </c>
    </row>
    <row r="3924" spans="1:8" ht="15" customHeight="1" x14ac:dyDescent="0.25">
      <c r="A3924" t="s">
        <v>6166</v>
      </c>
      <c r="B3924" t="s">
        <v>10202</v>
      </c>
      <c r="C3924">
        <v>0</v>
      </c>
      <c r="D3924" t="s">
        <v>13287</v>
      </c>
      <c r="E3924">
        <v>0</v>
      </c>
      <c r="F3924" s="17">
        <v>11001</v>
      </c>
      <c r="G3924">
        <v>181812713</v>
      </c>
      <c r="H3924">
        <v>4329</v>
      </c>
    </row>
    <row r="3925" spans="1:8" ht="15" customHeight="1" x14ac:dyDescent="0.25">
      <c r="A3925" t="s">
        <v>6167</v>
      </c>
      <c r="B3925" t="s">
        <v>10203</v>
      </c>
      <c r="C3925" t="s">
        <v>13211</v>
      </c>
      <c r="D3925" t="s">
        <v>13287</v>
      </c>
      <c r="E3925" t="str">
        <f>+VLOOKUP(A3925,[1]PFE4!$A$7:$F$5208,6,0)</f>
        <v>CR 7 71 52 TO B P 16</v>
      </c>
      <c r="F3925" s="17">
        <f>+VLOOKUP(A3925,[1]PFE4!$A$7:$G$5208,7,0)</f>
        <v>11001</v>
      </c>
      <c r="G3925">
        <v>183890080</v>
      </c>
      <c r="H3925">
        <v>4329</v>
      </c>
    </row>
    <row r="3926" spans="1:8" ht="15" customHeight="1" x14ac:dyDescent="0.25">
      <c r="A3926" t="s">
        <v>6168</v>
      </c>
      <c r="B3926" t="s">
        <v>10204</v>
      </c>
      <c r="C3926" t="s">
        <v>13212</v>
      </c>
      <c r="D3926" t="s">
        <v>13287</v>
      </c>
      <c r="E3926" t="str">
        <f>+VLOOKUP(A3926,[1]PFE4!$A$7:$F$5208,6,0)</f>
        <v>CARRERA 23  30  25</v>
      </c>
      <c r="F3926" s="17">
        <f>+VLOOKUP(A3926,[1]PFE4!$A$7:$G$5208,7,0)</f>
        <v>11001</v>
      </c>
      <c r="G3926">
        <v>185967319</v>
      </c>
      <c r="H3926">
        <v>4329</v>
      </c>
    </row>
    <row r="3927" spans="1:8" ht="15" customHeight="1" x14ac:dyDescent="0.25">
      <c r="A3927" t="s">
        <v>6169</v>
      </c>
      <c r="B3927" t="s">
        <v>10205</v>
      </c>
      <c r="C3927">
        <v>3219664011</v>
      </c>
      <c r="D3927" t="s">
        <v>13287</v>
      </c>
      <c r="E3927" t="str">
        <f>+VLOOKUP(A3927,[1]PFE4!$A$7:$F$5208,6,0)</f>
        <v>CARRERA 45  80 SUR  155</v>
      </c>
      <c r="F3927" s="17" t="str">
        <f>+VLOOKUP(A3927,[1]PFE4!$A$7:$G$5208,7,0)</f>
        <v>05631</v>
      </c>
      <c r="G3927">
        <v>186375030</v>
      </c>
      <c r="H3927">
        <v>4329</v>
      </c>
    </row>
    <row r="3928" spans="1:8" ht="15" customHeight="1" x14ac:dyDescent="0.25">
      <c r="A3928" t="s">
        <v>6170</v>
      </c>
      <c r="B3928" t="s">
        <v>10206</v>
      </c>
      <c r="C3928" t="s">
        <v>12302</v>
      </c>
      <c r="D3928" t="s">
        <v>13287</v>
      </c>
      <c r="E3928" t="str">
        <f>+VLOOKUP(A3928,[1]PFE4!$A$7:$F$5208,6,0)</f>
        <v>CARRERA 43 A  17  240</v>
      </c>
      <c r="F3928" s="17" t="str">
        <f>+VLOOKUP(A3928,[1]PFE4!$A$7:$G$5208,7,0)</f>
        <v>05001</v>
      </c>
      <c r="G3928">
        <v>188359400</v>
      </c>
      <c r="H3928">
        <v>4329</v>
      </c>
    </row>
    <row r="3929" spans="1:8" ht="15" customHeight="1" x14ac:dyDescent="0.25">
      <c r="A3929" t="s">
        <v>6171</v>
      </c>
      <c r="B3929" t="s">
        <v>10207</v>
      </c>
      <c r="C3929" t="s">
        <v>13213</v>
      </c>
      <c r="D3929" t="s">
        <v>13287</v>
      </c>
      <c r="E3929" t="str">
        <f>+VLOOKUP(A3929,[1]PFE4!$A$7:$F$5208,6,0)</f>
        <v>CARRERA 72  13 A  56</v>
      </c>
      <c r="F3929" s="17">
        <f>+VLOOKUP(A3929,[1]PFE4!$A$7:$G$5208,7,0)</f>
        <v>11001</v>
      </c>
      <c r="G3929">
        <v>190680416</v>
      </c>
      <c r="H3929">
        <v>4329</v>
      </c>
    </row>
    <row r="3930" spans="1:8" ht="15" customHeight="1" x14ac:dyDescent="0.25">
      <c r="A3930" t="s">
        <v>6172</v>
      </c>
      <c r="B3930" t="s">
        <v>10208</v>
      </c>
      <c r="C3930">
        <v>0</v>
      </c>
      <c r="D3930" t="s">
        <v>13287</v>
      </c>
      <c r="E3930">
        <v>0</v>
      </c>
      <c r="F3930" s="17">
        <v>11001</v>
      </c>
      <c r="G3930">
        <v>192438208</v>
      </c>
      <c r="H3930">
        <v>4329</v>
      </c>
    </row>
    <row r="3931" spans="1:8" ht="15" customHeight="1" x14ac:dyDescent="0.25">
      <c r="A3931" t="s">
        <v>6173</v>
      </c>
      <c r="B3931" t="s">
        <v>10209</v>
      </c>
      <c r="C3931" t="s">
        <v>13214</v>
      </c>
      <c r="D3931" t="s">
        <v>13287</v>
      </c>
      <c r="E3931" t="str">
        <f>+VLOOKUP(A3931,[1]PFE4!$A$7:$F$5208,6,0)</f>
        <v>CR 4 3 74 47</v>
      </c>
      <c r="F3931" s="17">
        <f>+VLOOKUP(A3931,[1]PFE4!$A$7:$G$5208,7,0)</f>
        <v>11001</v>
      </c>
      <c r="G3931">
        <v>192721173</v>
      </c>
      <c r="H3931">
        <v>4329</v>
      </c>
    </row>
    <row r="3932" spans="1:8" ht="15" customHeight="1" x14ac:dyDescent="0.25">
      <c r="A3932" t="s">
        <v>6174</v>
      </c>
      <c r="B3932" t="s">
        <v>10210</v>
      </c>
      <c r="C3932" t="s">
        <v>13215</v>
      </c>
      <c r="D3932" t="s">
        <v>13287</v>
      </c>
      <c r="E3932" t="str">
        <f>+VLOOKUP(A3932,[1]PFE4!$A$7:$F$5208,6,0)</f>
        <v>CARRERA 43 29 21</v>
      </c>
      <c r="F3932" s="17" t="str">
        <f>+VLOOKUP(A3932,[1]PFE4!$A$7:$G$5208,7,0)</f>
        <v>05001</v>
      </c>
      <c r="G3932">
        <v>194650857</v>
      </c>
      <c r="H3932">
        <v>4329</v>
      </c>
    </row>
    <row r="3933" spans="1:8" ht="15" customHeight="1" x14ac:dyDescent="0.25">
      <c r="A3933" t="s">
        <v>6175</v>
      </c>
      <c r="B3933" t="s">
        <v>10211</v>
      </c>
      <c r="C3933" t="s">
        <v>13216</v>
      </c>
      <c r="D3933" t="s">
        <v>13287</v>
      </c>
      <c r="E3933" t="str">
        <f>+VLOOKUP(A3933,[1]PFE4!$A$7:$F$5208,6,0)</f>
        <v>CL 99 9A 45 P7</v>
      </c>
      <c r="F3933" s="17">
        <f>+VLOOKUP(A3933,[1]PFE4!$A$7:$G$5208,7,0)</f>
        <v>11001</v>
      </c>
      <c r="G3933">
        <v>194966326</v>
      </c>
      <c r="H3933">
        <v>4329</v>
      </c>
    </row>
    <row r="3934" spans="1:8" ht="15" customHeight="1" x14ac:dyDescent="0.25">
      <c r="A3934" t="s">
        <v>6176</v>
      </c>
      <c r="B3934" t="s">
        <v>10212</v>
      </c>
      <c r="C3934" t="s">
        <v>13217</v>
      </c>
      <c r="D3934" t="s">
        <v>13287</v>
      </c>
      <c r="E3934" t="str">
        <f>+VLOOKUP(A3934,[1]PFE4!$A$7:$F$5208,6,0)</f>
        <v>CL 93 17 45 OF 303</v>
      </c>
      <c r="F3934" s="17">
        <f>+VLOOKUP(A3934,[1]PFE4!$A$7:$G$5208,7,0)</f>
        <v>11001</v>
      </c>
      <c r="G3934">
        <v>195789662</v>
      </c>
      <c r="H3934">
        <v>4329</v>
      </c>
    </row>
    <row r="3935" spans="1:8" ht="15" customHeight="1" x14ac:dyDescent="0.25">
      <c r="A3935" t="s">
        <v>6177</v>
      </c>
      <c r="B3935" t="s">
        <v>10213</v>
      </c>
      <c r="C3935" t="s">
        <v>13218</v>
      </c>
      <c r="D3935" t="s">
        <v>13287</v>
      </c>
      <c r="E3935" t="str">
        <f>+VLOOKUP(A3935,[1]PFE4!$A$7:$F$5208,6,0)</f>
        <v>CARRERA 32  20  26  LOCAL 2</v>
      </c>
      <c r="F3935" s="17">
        <f>+VLOOKUP(A3935,[1]PFE4!$A$7:$G$5208,7,0)</f>
        <v>11001</v>
      </c>
      <c r="G3935">
        <v>196283071</v>
      </c>
      <c r="H3935">
        <v>4329</v>
      </c>
    </row>
    <row r="3936" spans="1:8" ht="15" customHeight="1" x14ac:dyDescent="0.25">
      <c r="A3936" t="s">
        <v>6178</v>
      </c>
      <c r="B3936" t="s">
        <v>10214</v>
      </c>
      <c r="C3936">
        <v>0</v>
      </c>
      <c r="D3936" t="s">
        <v>13287</v>
      </c>
      <c r="E3936">
        <v>0</v>
      </c>
      <c r="F3936" s="17">
        <v>11001</v>
      </c>
      <c r="G3936">
        <v>197694725</v>
      </c>
      <c r="H3936">
        <v>4329</v>
      </c>
    </row>
    <row r="3937" spans="1:8" ht="15" customHeight="1" x14ac:dyDescent="0.25">
      <c r="A3937" t="s">
        <v>6179</v>
      </c>
      <c r="B3937" t="s">
        <v>10215</v>
      </c>
      <c r="C3937">
        <v>3219664011</v>
      </c>
      <c r="D3937" t="s">
        <v>13287</v>
      </c>
      <c r="E3937" t="str">
        <f>+VLOOKUP(A3937,[1]PFE4!$A$7:$F$5208,6,0)</f>
        <v>CL 47 A 6 A B 30</v>
      </c>
      <c r="F3937" s="17" t="str">
        <f>+VLOOKUP(A3937,[1]PFE4!$A$7:$G$5208,7,0)</f>
        <v>05001</v>
      </c>
      <c r="G3937">
        <v>201011255</v>
      </c>
      <c r="H3937">
        <v>4329</v>
      </c>
    </row>
    <row r="3938" spans="1:8" ht="15" customHeight="1" x14ac:dyDescent="0.25">
      <c r="A3938" t="s">
        <v>6180</v>
      </c>
      <c r="B3938" t="s">
        <v>10216</v>
      </c>
      <c r="C3938" t="s">
        <v>13219</v>
      </c>
      <c r="D3938" t="s">
        <v>13287</v>
      </c>
      <c r="E3938" t="str">
        <f>+VLOOKUP(A3938,[1]PFE4!$A$7:$F$5208,6,0)</f>
        <v>AVENIDA PEDRO DE HEREDIA 50 57</v>
      </c>
      <c r="F3938" s="17">
        <f>+VLOOKUP(A3938,[1]PFE4!$A$7:$G$5208,7,0)</f>
        <v>13001</v>
      </c>
      <c r="G3938">
        <v>203610952</v>
      </c>
      <c r="H3938">
        <v>4329</v>
      </c>
    </row>
    <row r="3939" spans="1:8" ht="15" customHeight="1" x14ac:dyDescent="0.25">
      <c r="A3939" t="s">
        <v>6181</v>
      </c>
      <c r="B3939" t="s">
        <v>10217</v>
      </c>
      <c r="C3939">
        <v>0</v>
      </c>
      <c r="D3939" t="s">
        <v>13287</v>
      </c>
      <c r="E3939">
        <v>0</v>
      </c>
      <c r="F3939" s="17">
        <v>11001</v>
      </c>
      <c r="G3939">
        <v>204263529</v>
      </c>
      <c r="H3939">
        <v>4329</v>
      </c>
    </row>
    <row r="3940" spans="1:8" ht="15" customHeight="1" x14ac:dyDescent="0.25">
      <c r="A3940" t="s">
        <v>6182</v>
      </c>
      <c r="B3940" t="s">
        <v>10218</v>
      </c>
      <c r="C3940" t="s">
        <v>13220</v>
      </c>
      <c r="D3940" t="s">
        <v>13287</v>
      </c>
      <c r="E3940" t="str">
        <f>+VLOOKUP(A3940,[1]PFE4!$A$7:$F$5208,6,0)</f>
        <v>CR 12A 83 75 OF 502</v>
      </c>
      <c r="F3940" s="17" t="str">
        <f>+VLOOKUP(A3940,[1]PFE4!$A$7:$G$5208,7,0)</f>
        <v>05001</v>
      </c>
      <c r="G3940">
        <v>206695233</v>
      </c>
      <c r="H3940">
        <v>4329</v>
      </c>
    </row>
    <row r="3941" spans="1:8" ht="15" customHeight="1" x14ac:dyDescent="0.25">
      <c r="A3941" t="s">
        <v>6183</v>
      </c>
      <c r="B3941" t="s">
        <v>10219</v>
      </c>
      <c r="C3941" t="s">
        <v>13221</v>
      </c>
      <c r="D3941" t="s">
        <v>13287</v>
      </c>
      <c r="E3941" t="str">
        <f>+VLOOKUP(A3941,[1]PFE4!$A$7:$F$5208,6,0)</f>
        <v>CARRERA 53  106  280</v>
      </c>
      <c r="F3941" s="17" t="str">
        <f>+VLOOKUP(A3941,[1]PFE4!$A$7:$G$5208,7,0)</f>
        <v>08001</v>
      </c>
      <c r="G3941">
        <v>211199978</v>
      </c>
      <c r="H3941">
        <v>4329</v>
      </c>
    </row>
    <row r="3942" spans="1:8" ht="15" customHeight="1" x14ac:dyDescent="0.25">
      <c r="A3942" t="s">
        <v>6184</v>
      </c>
      <c r="B3942" t="s">
        <v>10220</v>
      </c>
      <c r="C3942" t="s">
        <v>13222</v>
      </c>
      <c r="D3942" t="s">
        <v>13287</v>
      </c>
      <c r="E3942" t="str">
        <f>+VLOOKUP(A3942,[1]PFE4!$A$7:$F$5208,6,0)</f>
        <v>AVENIDA COLOMBIA  2  72</v>
      </c>
      <c r="F3942" s="17">
        <f>+VLOOKUP(A3942,[1]PFE4!$A$7:$G$5208,7,0)</f>
        <v>11001</v>
      </c>
      <c r="G3942">
        <v>212386420</v>
      </c>
      <c r="H3942">
        <v>4329</v>
      </c>
    </row>
    <row r="3943" spans="1:8" ht="15" customHeight="1" x14ac:dyDescent="0.25">
      <c r="A3943" t="s">
        <v>6185</v>
      </c>
      <c r="B3943" t="s">
        <v>10221</v>
      </c>
      <c r="C3943" t="s">
        <v>13223</v>
      </c>
      <c r="D3943" t="s">
        <v>13287</v>
      </c>
      <c r="E3943" t="str">
        <f>+VLOOKUP(A3943,[1]PFE4!$A$7:$F$5208,6,0)</f>
        <v>CALLE 90  14  37</v>
      </c>
      <c r="F3943" s="17" t="str">
        <f>+VLOOKUP(A3943,[1]PFE4!$A$7:$G$5208,7,0)</f>
        <v>05001</v>
      </c>
      <c r="G3943">
        <v>215481000</v>
      </c>
      <c r="H3943">
        <v>4329</v>
      </c>
    </row>
    <row r="3944" spans="1:8" ht="15" customHeight="1" x14ac:dyDescent="0.25">
      <c r="A3944" t="s">
        <v>6186</v>
      </c>
      <c r="B3944" t="s">
        <v>10222</v>
      </c>
      <c r="C3944" t="s">
        <v>13224</v>
      </c>
      <c r="D3944" t="s">
        <v>13287</v>
      </c>
      <c r="E3944" t="str">
        <f>+VLOOKUP(A3944,[1]PFE4!$A$7:$F$5208,6,0)</f>
        <v>TRANSVERSAL 70 N° 63 - 52 SUR</v>
      </c>
      <c r="F3944" s="17">
        <f>+VLOOKUP(A3944,[1]PFE4!$A$7:$G$5208,7,0)</f>
        <v>11001</v>
      </c>
      <c r="G3944">
        <v>218326164</v>
      </c>
      <c r="H3944">
        <v>4329</v>
      </c>
    </row>
    <row r="3945" spans="1:8" ht="15" customHeight="1" x14ac:dyDescent="0.25">
      <c r="A3945" t="s">
        <v>6187</v>
      </c>
      <c r="B3945" t="s">
        <v>10223</v>
      </c>
      <c r="C3945" t="s">
        <v>13225</v>
      </c>
      <c r="D3945" t="s">
        <v>13287</v>
      </c>
      <c r="E3945" t="str">
        <f>+VLOOKUP(A3945,[1]PFE4!$A$7:$F$5208,6,0)</f>
        <v>CALLE 38 NORTE  6 N  35</v>
      </c>
      <c r="F3945" s="17">
        <f>+VLOOKUP(A3945,[1]PFE4!$A$7:$G$5208,7,0)</f>
        <v>11001</v>
      </c>
      <c r="G3945">
        <v>220738719</v>
      </c>
      <c r="H3945">
        <v>4329</v>
      </c>
    </row>
    <row r="3946" spans="1:8" ht="15" customHeight="1" x14ac:dyDescent="0.25">
      <c r="A3946" t="s">
        <v>6188</v>
      </c>
      <c r="B3946" t="s">
        <v>10224</v>
      </c>
      <c r="C3946" t="s">
        <v>13226</v>
      </c>
      <c r="D3946" t="s">
        <v>13287</v>
      </c>
      <c r="E3946" t="str">
        <f>+VLOOKUP(A3946,[1]PFE4!$A$7:$F$5208,6,0)</f>
        <v>CARRERA 49  7 SUR  50</v>
      </c>
      <c r="F3946" s="17" t="str">
        <f>+VLOOKUP(A3946,[1]PFE4!$A$7:$G$5208,7,0)</f>
        <v>05001</v>
      </c>
      <c r="G3946">
        <v>223490497</v>
      </c>
      <c r="H3946">
        <v>4329</v>
      </c>
    </row>
    <row r="3947" spans="1:8" ht="15" customHeight="1" x14ac:dyDescent="0.25">
      <c r="A3947" t="s">
        <v>6189</v>
      </c>
      <c r="B3947" t="s">
        <v>10225</v>
      </c>
      <c r="C3947" t="s">
        <v>13227</v>
      </c>
      <c r="D3947" t="s">
        <v>13287</v>
      </c>
      <c r="E3947" t="str">
        <f>+VLOOKUP(A3947,[1]PFE4!$A$7:$F$5208,6,0)</f>
        <v>CALLE 84  58  50</v>
      </c>
      <c r="F3947" s="17" t="str">
        <f>+VLOOKUP(A3947,[1]PFE4!$A$7:$G$5208,7,0)</f>
        <v>05360</v>
      </c>
      <c r="G3947">
        <v>224023284</v>
      </c>
      <c r="H3947">
        <v>4329</v>
      </c>
    </row>
    <row r="3948" spans="1:8" ht="15" customHeight="1" x14ac:dyDescent="0.25">
      <c r="A3948" t="s">
        <v>6190</v>
      </c>
      <c r="B3948" t="s">
        <v>10226</v>
      </c>
      <c r="C3948">
        <v>3219664011</v>
      </c>
      <c r="D3948" t="s">
        <v>13287</v>
      </c>
      <c r="E3948" t="str">
        <f>+VLOOKUP(A3948,[1]PFE4!$A$7:$F$5208,6,0)</f>
        <v>CARRERA 10  15 D  27</v>
      </c>
      <c r="F3948" s="17">
        <f>+VLOOKUP(A3948,[1]PFE4!$A$7:$G$5208,7,0)</f>
        <v>11001</v>
      </c>
      <c r="G3948">
        <v>224875749</v>
      </c>
      <c r="H3948">
        <v>4329</v>
      </c>
    </row>
    <row r="3949" spans="1:8" ht="15" customHeight="1" x14ac:dyDescent="0.25">
      <c r="A3949" t="s">
        <v>6191</v>
      </c>
      <c r="B3949" t="s">
        <v>10227</v>
      </c>
      <c r="C3949">
        <v>0</v>
      </c>
      <c r="D3949" t="s">
        <v>13287</v>
      </c>
      <c r="E3949">
        <v>0</v>
      </c>
      <c r="F3949" s="17">
        <v>11001</v>
      </c>
      <c r="G3949">
        <v>225071003</v>
      </c>
      <c r="H3949">
        <v>4329</v>
      </c>
    </row>
    <row r="3950" spans="1:8" ht="15" customHeight="1" x14ac:dyDescent="0.25">
      <c r="A3950" t="s">
        <v>6192</v>
      </c>
      <c r="B3950" t="s">
        <v>10228</v>
      </c>
      <c r="C3950" t="s">
        <v>13228</v>
      </c>
      <c r="D3950" t="s">
        <v>13287</v>
      </c>
      <c r="E3950" t="str">
        <f>+VLOOKUP(A3950,[1]PFE4!$A$7:$F$5208,6,0)</f>
        <v>CARRERA 7  71  52</v>
      </c>
      <c r="F3950" s="17">
        <f>+VLOOKUP(A3950,[1]PFE4!$A$7:$G$5208,7,0)</f>
        <v>11001</v>
      </c>
      <c r="G3950">
        <v>226970487</v>
      </c>
      <c r="H3950">
        <v>4329</v>
      </c>
    </row>
    <row r="3951" spans="1:8" ht="15" customHeight="1" x14ac:dyDescent="0.25">
      <c r="A3951" t="s">
        <v>6193</v>
      </c>
      <c r="B3951" t="s">
        <v>10229</v>
      </c>
      <c r="C3951">
        <v>0</v>
      </c>
      <c r="D3951" t="s">
        <v>13287</v>
      </c>
      <c r="E3951">
        <v>0</v>
      </c>
      <c r="F3951" s="17">
        <v>11001</v>
      </c>
      <c r="G3951">
        <v>227632233</v>
      </c>
      <c r="H3951">
        <v>4329</v>
      </c>
    </row>
    <row r="3952" spans="1:8" ht="15" customHeight="1" x14ac:dyDescent="0.25">
      <c r="A3952" t="s">
        <v>6194</v>
      </c>
      <c r="B3952" t="s">
        <v>10230</v>
      </c>
      <c r="C3952">
        <v>0</v>
      </c>
      <c r="D3952" t="s">
        <v>13287</v>
      </c>
      <c r="E3952">
        <v>0</v>
      </c>
      <c r="F3952" s="17">
        <v>11001</v>
      </c>
      <c r="G3952">
        <v>228129795</v>
      </c>
      <c r="H3952">
        <v>4329</v>
      </c>
    </row>
    <row r="3953" spans="1:8" ht="15" customHeight="1" x14ac:dyDescent="0.25">
      <c r="A3953" t="s">
        <v>6195</v>
      </c>
      <c r="B3953" t="s">
        <v>10231</v>
      </c>
      <c r="C3953" t="s">
        <v>13229</v>
      </c>
      <c r="D3953" t="s">
        <v>13287</v>
      </c>
      <c r="E3953" t="str">
        <f>+VLOOKUP(A3953,[1]PFE4!$A$7:$F$5208,6,0)</f>
        <v>CARRERA 1  18 A  12</v>
      </c>
      <c r="F3953" s="17">
        <f>+VLOOKUP(A3953,[1]PFE4!$A$7:$G$5208,7,0)</f>
        <v>11001</v>
      </c>
      <c r="G3953">
        <v>230313562</v>
      </c>
      <c r="H3953">
        <v>4329</v>
      </c>
    </row>
    <row r="3954" spans="1:8" ht="15" customHeight="1" x14ac:dyDescent="0.25">
      <c r="A3954" t="s">
        <v>6196</v>
      </c>
      <c r="B3954" t="s">
        <v>10232</v>
      </c>
      <c r="C3954" t="s">
        <v>13230</v>
      </c>
      <c r="D3954" t="s">
        <v>13287</v>
      </c>
      <c r="E3954" t="str">
        <f>+VLOOKUP(A3954,[1]PFE4!$A$7:$F$5208,6,0)</f>
        <v>CR 51 55 30 IN 108</v>
      </c>
      <c r="F3954" s="17">
        <f>+VLOOKUP(A3954,[1]PFE4!$A$7:$G$5208,7,0)</f>
        <v>11001</v>
      </c>
      <c r="G3954">
        <v>231692580</v>
      </c>
      <c r="H3954">
        <v>4329</v>
      </c>
    </row>
    <row r="3955" spans="1:8" ht="15" customHeight="1" x14ac:dyDescent="0.25">
      <c r="A3955" t="s">
        <v>6197</v>
      </c>
      <c r="B3955" t="s">
        <v>10233</v>
      </c>
      <c r="C3955" t="s">
        <v>13231</v>
      </c>
      <c r="D3955" t="s">
        <v>13287</v>
      </c>
      <c r="E3955" t="str">
        <f>+VLOOKUP(A3955,[1]PFE4!$A$7:$F$5208,6,0)</f>
        <v>CALLE 8  43 B  148</v>
      </c>
      <c r="F3955" s="17" t="str">
        <f>+VLOOKUP(A3955,[1]PFE4!$A$7:$G$5208,7,0)</f>
        <v>05607</v>
      </c>
      <c r="G3955">
        <v>232386482</v>
      </c>
      <c r="H3955">
        <v>4329</v>
      </c>
    </row>
    <row r="3956" spans="1:8" ht="15" customHeight="1" x14ac:dyDescent="0.25">
      <c r="A3956" t="s">
        <v>6198</v>
      </c>
      <c r="B3956" t="s">
        <v>10234</v>
      </c>
      <c r="C3956" t="s">
        <v>13232</v>
      </c>
      <c r="D3956" t="s">
        <v>13287</v>
      </c>
      <c r="E3956" t="str">
        <f>+VLOOKUP(A3956,[1]PFE4!$A$7:$F$5208,6,0)</f>
        <v>CARRERA 7  52 N  99</v>
      </c>
      <c r="F3956" s="17">
        <f>+VLOOKUP(A3956,[1]PFE4!$A$7:$G$5208,7,0)</f>
        <v>11001</v>
      </c>
      <c r="G3956">
        <v>232748267</v>
      </c>
      <c r="H3956">
        <v>4329</v>
      </c>
    </row>
    <row r="3957" spans="1:8" ht="15" customHeight="1" x14ac:dyDescent="0.25">
      <c r="A3957" t="s">
        <v>6199</v>
      </c>
      <c r="B3957" t="s">
        <v>10235</v>
      </c>
      <c r="C3957">
        <v>0</v>
      </c>
      <c r="D3957" t="s">
        <v>13287</v>
      </c>
      <c r="E3957">
        <v>0</v>
      </c>
      <c r="F3957" s="17">
        <v>11001</v>
      </c>
      <c r="G3957">
        <v>235640412</v>
      </c>
      <c r="H3957">
        <v>4329</v>
      </c>
    </row>
    <row r="3958" spans="1:8" ht="15" customHeight="1" x14ac:dyDescent="0.25">
      <c r="A3958" t="s">
        <v>6200</v>
      </c>
      <c r="B3958" t="s">
        <v>10236</v>
      </c>
      <c r="C3958" t="s">
        <v>13233</v>
      </c>
      <c r="D3958" t="s">
        <v>13287</v>
      </c>
      <c r="E3958" t="str">
        <f>+VLOOKUP(A3958,[1]PFE4!$A$7:$F$5208,6,0)</f>
        <v>CALLE 19  43 G  80</v>
      </c>
      <c r="F3958" s="17" t="str">
        <f>+VLOOKUP(A3958,[1]PFE4!$A$7:$G$5208,7,0)</f>
        <v>05001</v>
      </c>
      <c r="G3958">
        <v>236226351</v>
      </c>
      <c r="H3958">
        <v>4329</v>
      </c>
    </row>
    <row r="3959" spans="1:8" ht="15" customHeight="1" x14ac:dyDescent="0.25">
      <c r="A3959" t="s">
        <v>6201</v>
      </c>
      <c r="B3959" t="s">
        <v>10237</v>
      </c>
      <c r="C3959" t="s">
        <v>13234</v>
      </c>
      <c r="D3959" t="s">
        <v>13287</v>
      </c>
      <c r="E3959" t="str">
        <f>+VLOOKUP(A3959,[1]PFE4!$A$7:$F$5208,6,0)</f>
        <v>CALLE 99 No. 11 A – 32 BOGOTÁ D.C</v>
      </c>
      <c r="F3959" s="17">
        <f>+VLOOKUP(A3959,[1]PFE4!$A$7:$G$5208,7,0)</f>
        <v>11001</v>
      </c>
      <c r="G3959">
        <v>241606100</v>
      </c>
      <c r="H3959">
        <v>4329</v>
      </c>
    </row>
    <row r="3960" spans="1:8" ht="15" customHeight="1" x14ac:dyDescent="0.25">
      <c r="A3960" t="s">
        <v>6202</v>
      </c>
      <c r="B3960" t="s">
        <v>10238</v>
      </c>
      <c r="C3960">
        <v>0</v>
      </c>
      <c r="D3960" t="s">
        <v>13287</v>
      </c>
      <c r="E3960">
        <v>0</v>
      </c>
      <c r="F3960" s="17">
        <v>11001</v>
      </c>
      <c r="G3960">
        <v>242540331</v>
      </c>
      <c r="H3960">
        <v>4329</v>
      </c>
    </row>
    <row r="3961" spans="1:8" ht="15" customHeight="1" x14ac:dyDescent="0.25">
      <c r="A3961" t="s">
        <v>6203</v>
      </c>
      <c r="B3961" t="s">
        <v>10239</v>
      </c>
      <c r="C3961" t="s">
        <v>13235</v>
      </c>
      <c r="D3961" t="s">
        <v>13287</v>
      </c>
      <c r="E3961" t="str">
        <f>+VLOOKUP(A3961,[1]PFE4!$A$7:$F$5208,6,0)</f>
        <v>CARRERA 68 B  96  76</v>
      </c>
      <c r="F3961" s="17">
        <f>+VLOOKUP(A3961,[1]PFE4!$A$7:$G$5208,7,0)</f>
        <v>11001</v>
      </c>
      <c r="G3961">
        <v>246672607</v>
      </c>
      <c r="H3961">
        <v>4329</v>
      </c>
    </row>
    <row r="3962" spans="1:8" ht="15" customHeight="1" x14ac:dyDescent="0.25">
      <c r="A3962" t="s">
        <v>6204</v>
      </c>
      <c r="B3962" t="s">
        <v>10240</v>
      </c>
      <c r="C3962">
        <v>0</v>
      </c>
      <c r="D3962" t="s">
        <v>13287</v>
      </c>
      <c r="E3962">
        <v>0</v>
      </c>
      <c r="F3962" s="17">
        <v>11001</v>
      </c>
      <c r="G3962">
        <v>247137492</v>
      </c>
      <c r="H3962">
        <v>4329</v>
      </c>
    </row>
    <row r="3963" spans="1:8" ht="15" customHeight="1" x14ac:dyDescent="0.25">
      <c r="A3963" t="s">
        <v>6205</v>
      </c>
      <c r="B3963" t="s">
        <v>10241</v>
      </c>
      <c r="C3963" t="s">
        <v>13236</v>
      </c>
      <c r="D3963" t="s">
        <v>13287</v>
      </c>
      <c r="E3963" t="str">
        <f>+VLOOKUP(A3963,[1]PFE4!$A$7:$F$5208,6,0)</f>
        <v>CALLE 95 13 - 09 OF.405</v>
      </c>
      <c r="F3963" s="17">
        <f>+VLOOKUP(A3963,[1]PFE4!$A$7:$G$5208,7,0)</f>
        <v>11001</v>
      </c>
      <c r="G3963">
        <v>248355473</v>
      </c>
      <c r="H3963">
        <v>4329</v>
      </c>
    </row>
    <row r="3964" spans="1:8" ht="15" customHeight="1" x14ac:dyDescent="0.25">
      <c r="A3964" t="s">
        <v>6206</v>
      </c>
      <c r="B3964" t="s">
        <v>10242</v>
      </c>
      <c r="C3964">
        <v>0</v>
      </c>
      <c r="D3964" t="s">
        <v>13287</v>
      </c>
      <c r="E3964">
        <v>0</v>
      </c>
      <c r="F3964" s="17">
        <v>11001</v>
      </c>
      <c r="G3964">
        <v>251733207</v>
      </c>
      <c r="H3964">
        <v>4329</v>
      </c>
    </row>
    <row r="3965" spans="1:8" ht="15" customHeight="1" x14ac:dyDescent="0.25">
      <c r="A3965" t="s">
        <v>6207</v>
      </c>
      <c r="B3965" t="s">
        <v>10243</v>
      </c>
      <c r="C3965">
        <v>0</v>
      </c>
      <c r="D3965" t="s">
        <v>13287</v>
      </c>
      <c r="E3965">
        <v>0</v>
      </c>
      <c r="F3965" s="17">
        <v>11001</v>
      </c>
      <c r="G3965">
        <v>255441029</v>
      </c>
      <c r="H3965">
        <v>4329</v>
      </c>
    </row>
    <row r="3966" spans="1:8" ht="15" customHeight="1" x14ac:dyDescent="0.25">
      <c r="A3966" t="s">
        <v>6208</v>
      </c>
      <c r="B3966" t="s">
        <v>10244</v>
      </c>
      <c r="C3966">
        <v>3219664011</v>
      </c>
      <c r="D3966" t="s">
        <v>13287</v>
      </c>
      <c r="E3966" t="str">
        <f>+VLOOKUP(A3966,[1]PFE4!$A$7:$F$5208,6,0)</f>
        <v>CARRERA 6 A  47 A  40</v>
      </c>
      <c r="F3966" s="17" t="str">
        <f>+VLOOKUP(A3966,[1]PFE4!$A$7:$G$5208,7,0)</f>
        <v>05001</v>
      </c>
      <c r="G3966">
        <v>256558752</v>
      </c>
      <c r="H3966">
        <v>4329</v>
      </c>
    </row>
    <row r="3967" spans="1:8" ht="15" customHeight="1" x14ac:dyDescent="0.25">
      <c r="A3967" t="s">
        <v>6209</v>
      </c>
      <c r="B3967" t="s">
        <v>10245</v>
      </c>
      <c r="C3967" t="s">
        <v>13237</v>
      </c>
      <c r="D3967" t="s">
        <v>13287</v>
      </c>
      <c r="E3967" t="str">
        <f>+VLOOKUP(A3967,[1]PFE4!$A$7:$F$5208,6,0)</f>
        <v>CARRERA 42 D  45 B SUR  176</v>
      </c>
      <c r="F3967" s="17" t="str">
        <f>+VLOOKUP(A3967,[1]PFE4!$A$7:$G$5208,7,0)</f>
        <v>05266</v>
      </c>
      <c r="G3967">
        <v>260773548</v>
      </c>
      <c r="H3967">
        <v>4329</v>
      </c>
    </row>
    <row r="3968" spans="1:8" ht="15" customHeight="1" x14ac:dyDescent="0.25">
      <c r="A3968" t="s">
        <v>6210</v>
      </c>
      <c r="B3968" t="s">
        <v>10246</v>
      </c>
      <c r="C3968">
        <v>3219664011</v>
      </c>
      <c r="D3968" t="s">
        <v>13287</v>
      </c>
      <c r="E3968" t="str">
        <f>+VLOOKUP(A3968,[1]PFE4!$A$7:$F$5208,6,0)</f>
        <v>CARRERA 43  19 A  87  OFICINA 201</v>
      </c>
      <c r="F3968" s="17" t="str">
        <f>+VLOOKUP(A3968,[1]PFE4!$A$7:$G$5208,7,0)</f>
        <v>05266</v>
      </c>
      <c r="G3968">
        <v>262333051</v>
      </c>
      <c r="H3968">
        <v>4329</v>
      </c>
    </row>
    <row r="3969" spans="1:8" ht="15" customHeight="1" x14ac:dyDescent="0.25">
      <c r="A3969" t="s">
        <v>6211</v>
      </c>
      <c r="B3969" t="s">
        <v>10247</v>
      </c>
      <c r="C3969">
        <v>0</v>
      </c>
      <c r="D3969" t="s">
        <v>13287</v>
      </c>
      <c r="E3969">
        <v>0</v>
      </c>
      <c r="F3969" s="17">
        <v>11001</v>
      </c>
      <c r="G3969">
        <v>265357754</v>
      </c>
      <c r="H3969">
        <v>4329</v>
      </c>
    </row>
    <row r="3970" spans="1:8" ht="15" customHeight="1" x14ac:dyDescent="0.25">
      <c r="A3970" t="s">
        <v>6212</v>
      </c>
      <c r="B3970" t="s">
        <v>10248</v>
      </c>
      <c r="C3970" t="s">
        <v>13238</v>
      </c>
      <c r="D3970" t="s">
        <v>13287</v>
      </c>
      <c r="E3970" t="str">
        <f>+VLOOKUP(A3970,[1]PFE4!$A$7:$F$5208,6,0)</f>
        <v>TV 70 G 63 52 SUR</v>
      </c>
      <c r="F3970" s="17">
        <f>+VLOOKUP(A3970,[1]PFE4!$A$7:$G$5208,7,0)</f>
        <v>11001</v>
      </c>
      <c r="G3970">
        <v>265975587</v>
      </c>
      <c r="H3970">
        <v>4329</v>
      </c>
    </row>
    <row r="3971" spans="1:8" ht="15" customHeight="1" x14ac:dyDescent="0.25">
      <c r="A3971" t="s">
        <v>6213</v>
      </c>
      <c r="B3971" t="s">
        <v>10249</v>
      </c>
      <c r="C3971">
        <v>0</v>
      </c>
      <c r="D3971" t="s">
        <v>13287</v>
      </c>
      <c r="E3971">
        <v>0</v>
      </c>
      <c r="F3971" s="17">
        <v>11001</v>
      </c>
      <c r="G3971">
        <v>266057751</v>
      </c>
      <c r="H3971">
        <v>4329</v>
      </c>
    </row>
    <row r="3972" spans="1:8" ht="15" customHeight="1" x14ac:dyDescent="0.25">
      <c r="A3972" t="s">
        <v>6214</v>
      </c>
      <c r="B3972" t="s">
        <v>10250</v>
      </c>
      <c r="C3972" t="s">
        <v>13239</v>
      </c>
      <c r="D3972" t="s">
        <v>13287</v>
      </c>
      <c r="E3972" t="str">
        <f>+VLOOKUP(A3972,[1]PFE4!$A$7:$F$5208,6,0)</f>
        <v>CL 3 SUR 43 A 52 OF 705 ED ULTRABURSATILES</v>
      </c>
      <c r="F3972" s="17" t="str">
        <f>+VLOOKUP(A3972,[1]PFE4!$A$7:$G$5208,7,0)</f>
        <v>05088</v>
      </c>
      <c r="G3972">
        <v>266857652</v>
      </c>
      <c r="H3972">
        <v>4329</v>
      </c>
    </row>
    <row r="3973" spans="1:8" ht="15" customHeight="1" x14ac:dyDescent="0.25">
      <c r="A3973" t="s">
        <v>6215</v>
      </c>
      <c r="B3973" t="s">
        <v>10251</v>
      </c>
      <c r="C3973" t="s">
        <v>13240</v>
      </c>
      <c r="D3973" t="s">
        <v>13287</v>
      </c>
      <c r="E3973" t="str">
        <f>+VLOOKUP(A3973,[1]PFE4!$A$7:$F$5208,6,0)</f>
        <v>CRA 9 76-49 OF.201</v>
      </c>
      <c r="F3973" s="17">
        <f>+VLOOKUP(A3973,[1]PFE4!$A$7:$G$5208,7,0)</f>
        <v>11001</v>
      </c>
      <c r="G3973">
        <v>268576823</v>
      </c>
      <c r="H3973">
        <v>4329</v>
      </c>
    </row>
    <row r="3974" spans="1:8" ht="15" customHeight="1" x14ac:dyDescent="0.25">
      <c r="A3974" t="s">
        <v>6216</v>
      </c>
      <c r="B3974" t="s">
        <v>10252</v>
      </c>
      <c r="C3974" t="s">
        <v>13241</v>
      </c>
      <c r="D3974" t="s">
        <v>13287</v>
      </c>
      <c r="E3974" t="str">
        <f>+VLOOKUP(A3974,[1]PFE4!$A$7:$F$5208,6,0)</f>
        <v>KM 2 PAR EMPRESARIAL NATURA TO 2 OF 325</v>
      </c>
      <c r="F3974" s="17">
        <f>+VLOOKUP(A3974,[1]PFE4!$A$7:$G$5208,7,0)</f>
        <v>11001</v>
      </c>
      <c r="G3974">
        <v>268697137</v>
      </c>
      <c r="H3974">
        <v>4329</v>
      </c>
    </row>
    <row r="3975" spans="1:8" ht="15" customHeight="1" x14ac:dyDescent="0.25">
      <c r="A3975" t="s">
        <v>6217</v>
      </c>
      <c r="B3975" t="s">
        <v>10253</v>
      </c>
      <c r="C3975" t="s">
        <v>13242</v>
      </c>
      <c r="D3975" t="s">
        <v>13287</v>
      </c>
      <c r="E3975" t="str">
        <f>+VLOOKUP(A3975,[1]PFE4!$A$7:$F$5208,6,0)</f>
        <v>CARRERA 56  152 B  60</v>
      </c>
      <c r="F3975" s="17">
        <f>+VLOOKUP(A3975,[1]PFE4!$A$7:$G$5208,7,0)</f>
        <v>11001</v>
      </c>
      <c r="G3975">
        <v>268797171</v>
      </c>
      <c r="H3975">
        <v>4329</v>
      </c>
    </row>
    <row r="3976" spans="1:8" ht="15" customHeight="1" x14ac:dyDescent="0.25">
      <c r="A3976" t="s">
        <v>6218</v>
      </c>
      <c r="B3976" t="s">
        <v>10254</v>
      </c>
      <c r="C3976">
        <v>0</v>
      </c>
      <c r="D3976" t="s">
        <v>13287</v>
      </c>
      <c r="E3976">
        <v>0</v>
      </c>
      <c r="F3976" s="17">
        <v>11001</v>
      </c>
      <c r="G3976">
        <v>269606639</v>
      </c>
      <c r="H3976">
        <v>4329</v>
      </c>
    </row>
    <row r="3977" spans="1:8" ht="15" customHeight="1" x14ac:dyDescent="0.25">
      <c r="A3977" t="s">
        <v>6219</v>
      </c>
      <c r="B3977" t="s">
        <v>10255</v>
      </c>
      <c r="C3977" t="s">
        <v>13243</v>
      </c>
      <c r="D3977" t="s">
        <v>13287</v>
      </c>
      <c r="E3977" t="str">
        <f>+VLOOKUP(A3977,[1]PFE4!$A$7:$F$5208,6,0)</f>
        <v>CR 23 C 62 06 OF 901 ED FORUM</v>
      </c>
      <c r="F3977" s="17">
        <f>+VLOOKUP(A3977,[1]PFE4!$A$7:$G$5208,7,0)</f>
        <v>11001</v>
      </c>
      <c r="G3977">
        <v>269845983</v>
      </c>
      <c r="H3977">
        <v>4329</v>
      </c>
    </row>
    <row r="3978" spans="1:8" ht="15" customHeight="1" x14ac:dyDescent="0.25">
      <c r="A3978" t="s">
        <v>6220</v>
      </c>
      <c r="B3978" t="s">
        <v>10256</v>
      </c>
      <c r="C3978">
        <v>3219664011</v>
      </c>
      <c r="D3978" t="s">
        <v>13287</v>
      </c>
      <c r="E3978" t="str">
        <f>+VLOOKUP(A3978,[1]PFE4!$A$7:$F$5208,6,0)</f>
        <v>AVENIDA CALLE 82  10  33 OFICINA 1001</v>
      </c>
      <c r="F3978" s="17">
        <f>+VLOOKUP(A3978,[1]PFE4!$A$7:$G$5208,7,0)</f>
        <v>11001</v>
      </c>
      <c r="G3978">
        <v>271938681</v>
      </c>
      <c r="H3978">
        <v>4329</v>
      </c>
    </row>
    <row r="3979" spans="1:8" ht="15" customHeight="1" x14ac:dyDescent="0.25">
      <c r="A3979" t="s">
        <v>6221</v>
      </c>
      <c r="B3979" t="s">
        <v>10257</v>
      </c>
      <c r="C3979">
        <v>0</v>
      </c>
      <c r="D3979" t="s">
        <v>13287</v>
      </c>
      <c r="E3979">
        <v>0</v>
      </c>
      <c r="F3979" s="17">
        <v>11001</v>
      </c>
      <c r="G3979">
        <v>272958682</v>
      </c>
      <c r="H3979">
        <v>4329</v>
      </c>
    </row>
    <row r="3980" spans="1:8" ht="15" customHeight="1" x14ac:dyDescent="0.25">
      <c r="A3980" t="s">
        <v>6222</v>
      </c>
      <c r="B3980" t="s">
        <v>10258</v>
      </c>
      <c r="C3980" t="s">
        <v>13244</v>
      </c>
      <c r="D3980" t="s">
        <v>13287</v>
      </c>
      <c r="E3980" t="str">
        <f>+VLOOKUP(A3980,[1]PFE4!$A$7:$F$5208,6,0)</f>
        <v>AV LAS PALMAS CL 26 38 26 OF 832</v>
      </c>
      <c r="F3980" s="17" t="str">
        <f>+VLOOKUP(A3980,[1]PFE4!$A$7:$G$5208,7,0)</f>
        <v>05607</v>
      </c>
      <c r="G3980">
        <v>272969303</v>
      </c>
      <c r="H3980">
        <v>4329</v>
      </c>
    </row>
    <row r="3981" spans="1:8" ht="15" customHeight="1" x14ac:dyDescent="0.25">
      <c r="A3981" t="s">
        <v>6223</v>
      </c>
      <c r="B3981" t="s">
        <v>10259</v>
      </c>
      <c r="C3981">
        <v>0</v>
      </c>
      <c r="D3981" t="s">
        <v>13287</v>
      </c>
      <c r="E3981">
        <v>0</v>
      </c>
      <c r="F3981" s="17">
        <v>11001</v>
      </c>
      <c r="G3981">
        <v>280320347</v>
      </c>
      <c r="H3981">
        <v>4329</v>
      </c>
    </row>
    <row r="3982" spans="1:8" ht="15" customHeight="1" x14ac:dyDescent="0.25">
      <c r="A3982" t="s">
        <v>6224</v>
      </c>
      <c r="B3982" t="s">
        <v>10260</v>
      </c>
      <c r="C3982" t="s">
        <v>13245</v>
      </c>
      <c r="D3982" t="s">
        <v>13287</v>
      </c>
      <c r="E3982" t="str">
        <f>+VLOOKUP(A3982,[1]PFE4!$A$7:$F$5208,6,0)</f>
        <v>CL 67 7 37 P3</v>
      </c>
      <c r="F3982" s="17">
        <f>+VLOOKUP(A3982,[1]PFE4!$A$7:$G$5208,7,0)</f>
        <v>11001</v>
      </c>
      <c r="G3982">
        <v>282219239</v>
      </c>
      <c r="H3982">
        <v>4329</v>
      </c>
    </row>
    <row r="3983" spans="1:8" ht="15" customHeight="1" x14ac:dyDescent="0.25">
      <c r="A3983" t="s">
        <v>6225</v>
      </c>
      <c r="B3983" t="s">
        <v>10261</v>
      </c>
      <c r="C3983" t="s">
        <v>13246</v>
      </c>
      <c r="D3983" t="s">
        <v>13287</v>
      </c>
      <c r="E3983" t="str">
        <f>+VLOOKUP(A3983,[1]PFE4!$A$7:$F$5208,6,0)</f>
        <v>CALLE 68 B  24  39</v>
      </c>
      <c r="F3983" s="17">
        <f>+VLOOKUP(A3983,[1]PFE4!$A$7:$G$5208,7,0)</f>
        <v>11001</v>
      </c>
      <c r="G3983">
        <v>283143806</v>
      </c>
      <c r="H3983">
        <v>4329</v>
      </c>
    </row>
    <row r="3984" spans="1:8" ht="15" customHeight="1" x14ac:dyDescent="0.25">
      <c r="A3984" t="s">
        <v>6226</v>
      </c>
      <c r="B3984" t="s">
        <v>10262</v>
      </c>
      <c r="C3984">
        <v>0</v>
      </c>
      <c r="D3984" t="s">
        <v>13287</v>
      </c>
      <c r="E3984">
        <v>0</v>
      </c>
      <c r="F3984" s="17">
        <v>11001</v>
      </c>
      <c r="G3984">
        <v>284536204</v>
      </c>
      <c r="H3984">
        <v>4329</v>
      </c>
    </row>
    <row r="3985" spans="1:8" ht="15" customHeight="1" x14ac:dyDescent="0.25">
      <c r="A3985" t="s">
        <v>6227</v>
      </c>
      <c r="B3985" t="s">
        <v>10263</v>
      </c>
      <c r="C3985">
        <v>0</v>
      </c>
      <c r="D3985" t="s">
        <v>13287</v>
      </c>
      <c r="E3985">
        <v>0</v>
      </c>
      <c r="F3985" s="17">
        <v>11001</v>
      </c>
      <c r="G3985">
        <v>286313632</v>
      </c>
      <c r="H3985">
        <v>4329</v>
      </c>
    </row>
    <row r="3986" spans="1:8" ht="15" customHeight="1" x14ac:dyDescent="0.25">
      <c r="A3986" t="s">
        <v>6228</v>
      </c>
      <c r="B3986" t="s">
        <v>10264</v>
      </c>
      <c r="C3986">
        <v>0</v>
      </c>
      <c r="D3986" t="s">
        <v>13287</v>
      </c>
      <c r="E3986">
        <v>0</v>
      </c>
      <c r="F3986" s="17">
        <v>11001</v>
      </c>
      <c r="G3986">
        <v>286982698</v>
      </c>
      <c r="H3986">
        <v>4329</v>
      </c>
    </row>
    <row r="3987" spans="1:8" ht="15" customHeight="1" x14ac:dyDescent="0.25">
      <c r="A3987" t="s">
        <v>6229</v>
      </c>
      <c r="B3987" t="s">
        <v>10265</v>
      </c>
      <c r="C3987" t="s">
        <v>13247</v>
      </c>
      <c r="D3987" t="s">
        <v>13287</v>
      </c>
      <c r="E3987" t="str">
        <f>+VLOOKUP(A3987,[1]PFE4!$A$7:$F$5208,6,0)</f>
        <v>AK 68 SUR 70 D 71</v>
      </c>
      <c r="F3987" s="17">
        <f>+VLOOKUP(A3987,[1]PFE4!$A$7:$G$5208,7,0)</f>
        <v>11001</v>
      </c>
      <c r="G3987">
        <v>287300255</v>
      </c>
      <c r="H3987">
        <v>4329</v>
      </c>
    </row>
    <row r="3988" spans="1:8" ht="15" customHeight="1" x14ac:dyDescent="0.25">
      <c r="A3988" t="s">
        <v>6230</v>
      </c>
      <c r="B3988" t="s">
        <v>10266</v>
      </c>
      <c r="C3988" t="s">
        <v>13248</v>
      </c>
      <c r="D3988" t="s">
        <v>13287</v>
      </c>
      <c r="E3988" t="str">
        <f>+VLOOKUP(A3988,[1]PFE4!$A$7:$F$5208,6,0)</f>
        <v>CARRERA 100  5  169</v>
      </c>
      <c r="F3988" s="17">
        <f>+VLOOKUP(A3988,[1]PFE4!$A$7:$G$5208,7,0)</f>
        <v>11001</v>
      </c>
      <c r="G3988">
        <v>291922610</v>
      </c>
      <c r="H3988">
        <v>4329</v>
      </c>
    </row>
    <row r="3989" spans="1:8" ht="15" customHeight="1" x14ac:dyDescent="0.25">
      <c r="A3989" t="s">
        <v>6231</v>
      </c>
      <c r="B3989" t="s">
        <v>10267</v>
      </c>
      <c r="C3989" t="s">
        <v>13249</v>
      </c>
      <c r="D3989" t="s">
        <v>13287</v>
      </c>
      <c r="E3989" t="str">
        <f>+VLOOKUP(A3989,[1]PFE4!$A$7:$F$5208,6,0)</f>
        <v>CR 5 A 108 A 55</v>
      </c>
      <c r="F3989" s="17">
        <f>+VLOOKUP(A3989,[1]PFE4!$A$7:$G$5208,7,0)</f>
        <v>11001</v>
      </c>
      <c r="G3989">
        <v>295482695</v>
      </c>
      <c r="H3989">
        <v>4329</v>
      </c>
    </row>
    <row r="3990" spans="1:8" ht="15" customHeight="1" x14ac:dyDescent="0.25">
      <c r="A3990" t="s">
        <v>6232</v>
      </c>
      <c r="B3990" t="s">
        <v>10268</v>
      </c>
      <c r="C3990" t="s">
        <v>13250</v>
      </c>
      <c r="D3990" t="s">
        <v>13287</v>
      </c>
      <c r="E3990" t="str">
        <f>+VLOOKUP(A3990,[1]PFE4!$A$7:$F$5208,6,0)</f>
        <v>SERENA DEL MAR VIA AL MAR KM 8</v>
      </c>
      <c r="F3990" s="17">
        <f>+VLOOKUP(A3990,[1]PFE4!$A$7:$G$5208,7,0)</f>
        <v>11001</v>
      </c>
      <c r="G3990">
        <v>299558912</v>
      </c>
      <c r="H3990">
        <v>4329</v>
      </c>
    </row>
    <row r="3991" spans="1:8" ht="15" customHeight="1" x14ac:dyDescent="0.25">
      <c r="A3991" t="s">
        <v>6233</v>
      </c>
      <c r="B3991" t="s">
        <v>10269</v>
      </c>
      <c r="C3991">
        <v>0</v>
      </c>
      <c r="D3991" t="s">
        <v>13287</v>
      </c>
      <c r="E3991">
        <v>0</v>
      </c>
      <c r="F3991" s="17">
        <v>11001</v>
      </c>
      <c r="G3991">
        <v>303554602</v>
      </c>
      <c r="H3991">
        <v>4329</v>
      </c>
    </row>
    <row r="3992" spans="1:8" ht="15" customHeight="1" x14ac:dyDescent="0.25">
      <c r="A3992" t="s">
        <v>6234</v>
      </c>
      <c r="B3992" t="s">
        <v>10270</v>
      </c>
      <c r="C3992" t="s">
        <v>13251</v>
      </c>
      <c r="D3992" t="s">
        <v>13287</v>
      </c>
      <c r="E3992" t="str">
        <f>+VLOOKUP(A3992,[1]PFE4!$A$7:$F$5208,6,0)</f>
        <v>CALLE 95  71  45</v>
      </c>
      <c r="F3992" s="17">
        <f>+VLOOKUP(A3992,[1]PFE4!$A$7:$G$5208,7,0)</f>
        <v>11001</v>
      </c>
      <c r="G3992">
        <v>304342614</v>
      </c>
      <c r="H3992">
        <v>4329</v>
      </c>
    </row>
    <row r="3993" spans="1:8" ht="15" customHeight="1" x14ac:dyDescent="0.25">
      <c r="A3993" t="s">
        <v>6235</v>
      </c>
      <c r="B3993" t="s">
        <v>10271</v>
      </c>
      <c r="C3993">
        <v>0</v>
      </c>
      <c r="D3993" t="s">
        <v>13287</v>
      </c>
      <c r="E3993">
        <v>0</v>
      </c>
      <c r="F3993" s="17">
        <v>11001</v>
      </c>
      <c r="G3993">
        <v>313504648</v>
      </c>
      <c r="H3993">
        <v>4329</v>
      </c>
    </row>
    <row r="3994" spans="1:8" ht="15" customHeight="1" x14ac:dyDescent="0.25">
      <c r="A3994" t="s">
        <v>6236</v>
      </c>
      <c r="B3994" t="s">
        <v>10272</v>
      </c>
      <c r="C3994" t="s">
        <v>13252</v>
      </c>
      <c r="D3994" t="s">
        <v>13287</v>
      </c>
      <c r="E3994" t="str">
        <f>+VLOOKUP(A3994,[1]PFE4!$A$7:$F$5208,6,0)</f>
        <v>CR 43 61 50</v>
      </c>
      <c r="F3994" s="17" t="str">
        <f>+VLOOKUP(A3994,[1]PFE4!$A$7:$G$5208,7,0)</f>
        <v>05001</v>
      </c>
      <c r="G3994">
        <v>314854291</v>
      </c>
      <c r="H3994">
        <v>4329</v>
      </c>
    </row>
    <row r="3995" spans="1:8" ht="15" customHeight="1" x14ac:dyDescent="0.25">
      <c r="A3995" t="s">
        <v>6237</v>
      </c>
      <c r="B3995" t="s">
        <v>10273</v>
      </c>
      <c r="C3995" t="s">
        <v>13253</v>
      </c>
      <c r="D3995" t="s">
        <v>13287</v>
      </c>
      <c r="E3995" t="str">
        <f>+VLOOKUP(A3995,[1]PFE4!$A$7:$F$5208,6,0)</f>
        <v>CR 43 A 16 A SUR 38 OF 1106</v>
      </c>
      <c r="F3995" s="17" t="str">
        <f>+VLOOKUP(A3995,[1]PFE4!$A$7:$G$5208,7,0)</f>
        <v>05380</v>
      </c>
      <c r="G3995">
        <v>314995232</v>
      </c>
      <c r="H3995">
        <v>4329</v>
      </c>
    </row>
    <row r="3996" spans="1:8" ht="15" customHeight="1" x14ac:dyDescent="0.25">
      <c r="A3996" t="s">
        <v>6238</v>
      </c>
      <c r="B3996" t="s">
        <v>10274</v>
      </c>
      <c r="C3996">
        <v>0</v>
      </c>
      <c r="D3996" t="s">
        <v>13287</v>
      </c>
      <c r="E3996">
        <v>0</v>
      </c>
      <c r="F3996" s="17">
        <v>11001</v>
      </c>
      <c r="G3996">
        <v>315907306</v>
      </c>
      <c r="H3996">
        <v>4329</v>
      </c>
    </row>
    <row r="3997" spans="1:8" ht="15" customHeight="1" x14ac:dyDescent="0.25">
      <c r="A3997" t="s">
        <v>6239</v>
      </c>
      <c r="B3997" t="s">
        <v>10275</v>
      </c>
      <c r="C3997" t="s">
        <v>13254</v>
      </c>
      <c r="D3997" t="s">
        <v>13287</v>
      </c>
      <c r="E3997" t="str">
        <f>+VLOOKUP(A3997,[1]PFE4!$A$7:$F$5208,6,0)</f>
        <v>BRR BOCAGRANDE CR 3 A 8 104</v>
      </c>
      <c r="F3997" s="17">
        <f>+VLOOKUP(A3997,[1]PFE4!$A$7:$G$5208,7,0)</f>
        <v>11001</v>
      </c>
      <c r="G3997">
        <v>318727196</v>
      </c>
      <c r="H3997">
        <v>4329</v>
      </c>
    </row>
    <row r="3998" spans="1:8" ht="15" customHeight="1" x14ac:dyDescent="0.25">
      <c r="A3998" t="s">
        <v>6240</v>
      </c>
      <c r="B3998" t="s">
        <v>10276</v>
      </c>
      <c r="C3998">
        <v>0</v>
      </c>
      <c r="D3998" t="s">
        <v>13287</v>
      </c>
      <c r="E3998">
        <v>0</v>
      </c>
      <c r="F3998" s="17">
        <v>11001</v>
      </c>
      <c r="G3998">
        <v>319990252</v>
      </c>
      <c r="H3998">
        <v>4329</v>
      </c>
    </row>
    <row r="3999" spans="1:8" ht="15" customHeight="1" x14ac:dyDescent="0.25">
      <c r="A3999" t="s">
        <v>6241</v>
      </c>
      <c r="B3999" t="s">
        <v>10277</v>
      </c>
      <c r="C3999">
        <v>0</v>
      </c>
      <c r="D3999" t="s">
        <v>13287</v>
      </c>
      <c r="E3999">
        <v>0</v>
      </c>
      <c r="F3999" s="17">
        <v>11001</v>
      </c>
      <c r="G3999">
        <v>328369702</v>
      </c>
      <c r="H3999">
        <v>4329</v>
      </c>
    </row>
    <row r="4000" spans="1:8" ht="15" customHeight="1" x14ac:dyDescent="0.25">
      <c r="A4000" t="s">
        <v>6242</v>
      </c>
      <c r="B4000" t="s">
        <v>10278</v>
      </c>
      <c r="C4000" t="s">
        <v>13255</v>
      </c>
      <c r="D4000" t="s">
        <v>13287</v>
      </c>
      <c r="E4000" t="str">
        <f>+VLOOKUP(A4000,[1]PFE4!$A$7:$F$5208,6,0)</f>
        <v>CALLE 5  6  63</v>
      </c>
      <c r="F4000" s="17">
        <f>+VLOOKUP(A4000,[1]PFE4!$A$7:$G$5208,7,0)</f>
        <v>76001</v>
      </c>
      <c r="G4000">
        <v>340104316</v>
      </c>
      <c r="H4000">
        <v>4329</v>
      </c>
    </row>
    <row r="4001" spans="1:8" ht="15" customHeight="1" x14ac:dyDescent="0.25">
      <c r="A4001" t="s">
        <v>6243</v>
      </c>
      <c r="B4001" t="s">
        <v>10279</v>
      </c>
      <c r="C4001" t="s">
        <v>13256</v>
      </c>
      <c r="D4001" t="s">
        <v>13287</v>
      </c>
      <c r="E4001" t="str">
        <f>+VLOOKUP(A4001,[1]PFE4!$A$7:$F$5208,6,0)</f>
        <v>CALLE 24 N° 2-66 ED CAMARA DE COMERCIO OFICINA 810</v>
      </c>
      <c r="F4001" s="17">
        <f>+VLOOKUP(A4001,[1]PFE4!$A$7:$G$5208,7,0)</f>
        <v>11001</v>
      </c>
      <c r="G4001">
        <v>354004563</v>
      </c>
      <c r="H4001">
        <v>4329</v>
      </c>
    </row>
    <row r="4002" spans="1:8" ht="15" customHeight="1" x14ac:dyDescent="0.25">
      <c r="A4002" t="s">
        <v>6244</v>
      </c>
      <c r="B4002" t="s">
        <v>10280</v>
      </c>
      <c r="C4002" t="s">
        <v>13257</v>
      </c>
      <c r="D4002" t="s">
        <v>13287</v>
      </c>
      <c r="E4002" t="str">
        <f>+VLOOKUP(A4002,[1]PFE4!$A$7:$F$5208,6,0)</f>
        <v>CALLE 5  38  62</v>
      </c>
      <c r="F4002" s="17">
        <f>+VLOOKUP(A4002,[1]PFE4!$A$7:$G$5208,7,0)</f>
        <v>11001</v>
      </c>
      <c r="G4002">
        <v>356388469</v>
      </c>
      <c r="H4002">
        <v>4329</v>
      </c>
    </row>
    <row r="4003" spans="1:8" ht="15" customHeight="1" x14ac:dyDescent="0.25">
      <c r="A4003" t="s">
        <v>6245</v>
      </c>
      <c r="B4003" t="s">
        <v>10281</v>
      </c>
      <c r="C4003" t="s">
        <v>11719</v>
      </c>
      <c r="D4003" t="s">
        <v>13287</v>
      </c>
      <c r="E4003" t="str">
        <f>+VLOOKUP(A4003,[1]PFE4!$A$7:$F$5208,6,0)</f>
        <v>CL 17 A SUR 44 214</v>
      </c>
      <c r="F4003" s="17" t="str">
        <f>+VLOOKUP(A4003,[1]PFE4!$A$7:$G$5208,7,0)</f>
        <v>05380</v>
      </c>
      <c r="G4003">
        <v>358270752</v>
      </c>
      <c r="H4003">
        <v>4329</v>
      </c>
    </row>
    <row r="4004" spans="1:8" ht="15" customHeight="1" x14ac:dyDescent="0.25">
      <c r="A4004" t="s">
        <v>6246</v>
      </c>
      <c r="B4004" t="s">
        <v>10282</v>
      </c>
      <c r="C4004" t="s">
        <v>13258</v>
      </c>
      <c r="D4004" t="s">
        <v>13287</v>
      </c>
      <c r="E4004" t="str">
        <f>+VLOOKUP(A4004,[1]PFE4!$A$7:$F$5208,6,0)</f>
        <v>AVENIDA CARRERA 58  127  59</v>
      </c>
      <c r="F4004" s="17">
        <f>+VLOOKUP(A4004,[1]PFE4!$A$7:$G$5208,7,0)</f>
        <v>11001</v>
      </c>
      <c r="G4004">
        <v>358448770</v>
      </c>
      <c r="H4004">
        <v>4329</v>
      </c>
    </row>
    <row r="4005" spans="1:8" ht="15" customHeight="1" x14ac:dyDescent="0.25">
      <c r="A4005" t="s">
        <v>6247</v>
      </c>
      <c r="B4005" t="s">
        <v>10283</v>
      </c>
      <c r="C4005">
        <v>3219664011</v>
      </c>
      <c r="D4005" t="s">
        <v>13287</v>
      </c>
      <c r="E4005" t="str">
        <f>+VLOOKUP(A4005,[1]PFE4!$A$7:$F$5208,6,0)</f>
        <v>CARRERA 38  38 SUR  34</v>
      </c>
      <c r="F4005" s="17" t="str">
        <f>+VLOOKUP(A4005,[1]PFE4!$A$7:$G$5208,7,0)</f>
        <v>05631</v>
      </c>
      <c r="G4005">
        <v>359542185</v>
      </c>
      <c r="H4005">
        <v>4329</v>
      </c>
    </row>
    <row r="4006" spans="1:8" ht="15" customHeight="1" x14ac:dyDescent="0.25">
      <c r="A4006" t="s">
        <v>6248</v>
      </c>
      <c r="B4006" t="s">
        <v>10284</v>
      </c>
      <c r="C4006" t="s">
        <v>11095</v>
      </c>
      <c r="D4006" t="s">
        <v>13287</v>
      </c>
      <c r="E4006" t="str">
        <f>+VLOOKUP(A4006,[1]PFE4!$A$7:$F$5208,6,0)</f>
        <v>KM 3 VIA DON DIEGO LLANOGRANDE</v>
      </c>
      <c r="F4006" s="17" t="str">
        <f>+VLOOKUP(A4006,[1]PFE4!$A$7:$G$5208,7,0)</f>
        <v>05615</v>
      </c>
      <c r="G4006">
        <v>370720371</v>
      </c>
      <c r="H4006">
        <v>4329</v>
      </c>
    </row>
    <row r="4007" spans="1:8" ht="15" customHeight="1" x14ac:dyDescent="0.25">
      <c r="A4007" t="s">
        <v>6249</v>
      </c>
      <c r="B4007" t="s">
        <v>10285</v>
      </c>
      <c r="C4007" t="s">
        <v>13259</v>
      </c>
      <c r="D4007" t="s">
        <v>13287</v>
      </c>
      <c r="E4007" t="str">
        <f>+VLOOKUP(A4007,[1]PFE4!$A$7:$F$5208,6,0)</f>
        <v>CL 99 52 53</v>
      </c>
      <c r="F4007" s="17" t="str">
        <f>+VLOOKUP(A4007,[1]PFE4!$A$7:$G$5208,7,0)</f>
        <v>08001</v>
      </c>
      <c r="G4007">
        <v>373615321</v>
      </c>
      <c r="H4007">
        <v>4329</v>
      </c>
    </row>
    <row r="4008" spans="1:8" ht="15" customHeight="1" x14ac:dyDescent="0.25">
      <c r="A4008" t="s">
        <v>6250</v>
      </c>
      <c r="B4008" t="s">
        <v>10286</v>
      </c>
      <c r="C4008" t="s">
        <v>13260</v>
      </c>
      <c r="D4008" t="s">
        <v>13287</v>
      </c>
      <c r="E4008" t="str">
        <f>+VLOOKUP(A4008,[1]PFE4!$A$7:$F$5208,6,0)</f>
        <v>CR 71 D 6 94 SUR</v>
      </c>
      <c r="F4008" s="17">
        <f>+VLOOKUP(A4008,[1]PFE4!$A$7:$G$5208,7,0)</f>
        <v>11001</v>
      </c>
      <c r="G4008">
        <v>382089171</v>
      </c>
      <c r="H4008">
        <v>4329</v>
      </c>
    </row>
    <row r="4009" spans="1:8" ht="15" customHeight="1" x14ac:dyDescent="0.25">
      <c r="A4009" t="s">
        <v>6251</v>
      </c>
      <c r="B4009" t="s">
        <v>10287</v>
      </c>
      <c r="C4009" t="s">
        <v>10361</v>
      </c>
      <c r="D4009" t="s">
        <v>13287</v>
      </c>
      <c r="E4009" t="str">
        <f>+VLOOKUP(A4009,[1]PFE4!$A$7:$F$5208,6,0)</f>
        <v>CR 79 39 D 37</v>
      </c>
      <c r="F4009" s="17" t="str">
        <f>+VLOOKUP(A4009,[1]PFE4!$A$7:$G$5208,7,0)</f>
        <v>05148</v>
      </c>
      <c r="G4009">
        <v>388362907</v>
      </c>
      <c r="H4009">
        <v>4329</v>
      </c>
    </row>
    <row r="4010" spans="1:8" ht="15" customHeight="1" x14ac:dyDescent="0.25">
      <c r="A4010" t="s">
        <v>6252</v>
      </c>
      <c r="B4010" t="s">
        <v>10288</v>
      </c>
      <c r="C4010" t="s">
        <v>13261</v>
      </c>
      <c r="D4010" t="s">
        <v>13287</v>
      </c>
      <c r="E4010" t="str">
        <f>+VLOOKUP(A4010,[1]PFE4!$A$7:$F$5208,6,0)</f>
        <v>AK 9 101 67 OF  P6 ED NAOS</v>
      </c>
      <c r="F4010" s="17">
        <f>+VLOOKUP(A4010,[1]PFE4!$A$7:$G$5208,7,0)</f>
        <v>11001</v>
      </c>
      <c r="G4010">
        <v>410572796</v>
      </c>
      <c r="H4010">
        <v>4329</v>
      </c>
    </row>
    <row r="4011" spans="1:8" ht="15" customHeight="1" x14ac:dyDescent="0.25">
      <c r="A4011" t="s">
        <v>6253</v>
      </c>
      <c r="B4011" t="s">
        <v>10289</v>
      </c>
      <c r="C4011" t="s">
        <v>13262</v>
      </c>
      <c r="D4011" t="s">
        <v>13287</v>
      </c>
      <c r="E4011" t="str">
        <f>+VLOOKUP(A4011,[1]PFE4!$A$7:$F$5208,6,0)</f>
        <v>CR 43 B 16 95 OF 207</v>
      </c>
      <c r="F4011" s="17" t="str">
        <f>+VLOOKUP(A4011,[1]PFE4!$A$7:$G$5208,7,0)</f>
        <v>05001</v>
      </c>
      <c r="G4011">
        <v>451527380</v>
      </c>
      <c r="H4011">
        <v>4329</v>
      </c>
    </row>
    <row r="4012" spans="1:8" ht="15" customHeight="1" x14ac:dyDescent="0.25">
      <c r="A4012" t="s">
        <v>6254</v>
      </c>
      <c r="B4012" t="s">
        <v>10290</v>
      </c>
      <c r="C4012" t="s">
        <v>13263</v>
      </c>
      <c r="D4012" t="s">
        <v>13287</v>
      </c>
      <c r="E4012" t="str">
        <f>+VLOOKUP(A4012,[1]PFE4!$A$7:$F$5208,6,0)</f>
        <v>CARRERA 52  42  73  PISO 26</v>
      </c>
      <c r="F4012" s="17" t="str">
        <f>+VLOOKUP(A4012,[1]PFE4!$A$7:$G$5208,7,0)</f>
        <v>05001</v>
      </c>
      <c r="G4012">
        <v>458258308</v>
      </c>
      <c r="H4012">
        <v>4329</v>
      </c>
    </row>
    <row r="4013" spans="1:8" ht="15" customHeight="1" x14ac:dyDescent="0.25">
      <c r="A4013" t="s">
        <v>6255</v>
      </c>
      <c r="B4013" t="s">
        <v>10291</v>
      </c>
      <c r="C4013" t="s">
        <v>13264</v>
      </c>
      <c r="D4013" t="s">
        <v>13287</v>
      </c>
      <c r="E4013" t="str">
        <f>+VLOOKUP(A4013,[1]PFE4!$A$7:$F$5208,6,0)</f>
        <v>CALLE 3 SUR  43 A  52 OFICINA 1801</v>
      </c>
      <c r="F4013" s="17" t="str">
        <f>+VLOOKUP(A4013,[1]PFE4!$A$7:$G$5208,7,0)</f>
        <v>05615</v>
      </c>
      <c r="G4013">
        <v>462776096</v>
      </c>
      <c r="H4013">
        <v>4329</v>
      </c>
    </row>
    <row r="4014" spans="1:8" ht="15" customHeight="1" x14ac:dyDescent="0.25">
      <c r="A4014" t="s">
        <v>6256</v>
      </c>
      <c r="B4014" t="s">
        <v>10292</v>
      </c>
      <c r="C4014" t="s">
        <v>13265</v>
      </c>
      <c r="D4014" t="s">
        <v>13287</v>
      </c>
      <c r="E4014" t="str">
        <f>+VLOOKUP(A4014,[1]PFE4!$A$7:$F$5208,6,0)</f>
        <v>CL 72 7 64 P 2</v>
      </c>
      <c r="F4014" s="17">
        <f>+VLOOKUP(A4014,[1]PFE4!$A$7:$G$5208,7,0)</f>
        <v>11001</v>
      </c>
      <c r="G4014">
        <v>473044269</v>
      </c>
      <c r="H4014">
        <v>4329</v>
      </c>
    </row>
    <row r="4015" spans="1:8" ht="15" customHeight="1" x14ac:dyDescent="0.25">
      <c r="A4015" t="s">
        <v>6257</v>
      </c>
      <c r="B4015" t="s">
        <v>10293</v>
      </c>
      <c r="C4015" t="s">
        <v>13266</v>
      </c>
      <c r="D4015" t="s">
        <v>13287</v>
      </c>
      <c r="E4015" t="str">
        <f>+VLOOKUP(A4015,[1]PFE4!$A$7:$F$5208,6,0)</f>
        <v>CARRERA 7  71  21</v>
      </c>
      <c r="F4015" s="17">
        <f>+VLOOKUP(A4015,[1]PFE4!$A$7:$G$5208,7,0)</f>
        <v>11001</v>
      </c>
      <c r="G4015">
        <v>477473810</v>
      </c>
      <c r="H4015">
        <v>4329</v>
      </c>
    </row>
    <row r="4016" spans="1:8" ht="15" customHeight="1" x14ac:dyDescent="0.25">
      <c r="A4016" t="s">
        <v>6258</v>
      </c>
      <c r="B4016" t="s">
        <v>10294</v>
      </c>
      <c r="C4016" t="s">
        <v>13267</v>
      </c>
      <c r="D4016" t="s">
        <v>13287</v>
      </c>
      <c r="E4016" t="str">
        <f>+VLOOKUP(A4016,[1]PFE4!$A$7:$F$5208,6,0)</f>
        <v>CLL 11 1 E 125 OF 301 BRR QUINTA VELEZ</v>
      </c>
      <c r="F4016" s="17">
        <f>+VLOOKUP(A4016,[1]PFE4!$A$7:$G$5208,7,0)</f>
        <v>11001</v>
      </c>
      <c r="G4016">
        <v>496878580</v>
      </c>
      <c r="H4016">
        <v>4329</v>
      </c>
    </row>
    <row r="4017" spans="1:8" ht="15" customHeight="1" x14ac:dyDescent="0.25">
      <c r="A4017" t="s">
        <v>6259</v>
      </c>
      <c r="B4017" t="s">
        <v>10295</v>
      </c>
      <c r="C4017" t="s">
        <v>13268</v>
      </c>
      <c r="D4017" t="s">
        <v>13287</v>
      </c>
      <c r="E4017" t="str">
        <f>+VLOOKUP(A4017,[1]PFE4!$A$7:$F$5208,6,0)</f>
        <v>ZONA NORTE ANILLO VIAL KM 12 655</v>
      </c>
      <c r="F4017" s="17">
        <f>+VLOOKUP(A4017,[1]PFE4!$A$7:$G$5208,7,0)</f>
        <v>11001</v>
      </c>
      <c r="G4017">
        <v>521704464</v>
      </c>
      <c r="H4017">
        <v>4329</v>
      </c>
    </row>
    <row r="4018" spans="1:8" ht="15" customHeight="1" x14ac:dyDescent="0.25">
      <c r="A4018" t="s">
        <v>6260</v>
      </c>
      <c r="B4018" t="s">
        <v>10296</v>
      </c>
      <c r="C4018">
        <v>0</v>
      </c>
      <c r="D4018" t="s">
        <v>13287</v>
      </c>
      <c r="E4018">
        <v>0</v>
      </c>
      <c r="F4018" s="17">
        <v>11001</v>
      </c>
      <c r="G4018">
        <v>526426847</v>
      </c>
      <c r="H4018">
        <v>4329</v>
      </c>
    </row>
    <row r="4019" spans="1:8" ht="15" customHeight="1" x14ac:dyDescent="0.25">
      <c r="A4019" t="s">
        <v>6261</v>
      </c>
      <c r="B4019" t="s">
        <v>10297</v>
      </c>
      <c r="C4019">
        <v>3219664011</v>
      </c>
      <c r="D4019" t="s">
        <v>13287</v>
      </c>
      <c r="E4019" t="str">
        <f>+VLOOKUP(A4019,[1]PFE4!$A$7:$F$5208,6,0)</f>
        <v>CL 99 9 A 45 OF 305 A</v>
      </c>
      <c r="F4019" s="17">
        <f>+VLOOKUP(A4019,[1]PFE4!$A$7:$G$5208,7,0)</f>
        <v>11001</v>
      </c>
      <c r="G4019">
        <v>526985124</v>
      </c>
      <c r="H4019">
        <v>4329</v>
      </c>
    </row>
    <row r="4020" spans="1:8" ht="15" customHeight="1" x14ac:dyDescent="0.25">
      <c r="A4020" t="s">
        <v>6262</v>
      </c>
      <c r="B4020" t="s">
        <v>10298</v>
      </c>
      <c r="C4020" t="s">
        <v>13269</v>
      </c>
      <c r="D4020" t="s">
        <v>13287</v>
      </c>
      <c r="E4020" t="str">
        <f>+VLOOKUP(A4020,[1]PFE4!$A$7:$F$5208,6,0)</f>
        <v>AUTOPISTA NORTE KM 21 VEREDA FUSCA</v>
      </c>
      <c r="F4020" s="17">
        <f>+VLOOKUP(A4020,[1]PFE4!$A$7:$G$5208,7,0)</f>
        <v>11001</v>
      </c>
      <c r="G4020">
        <v>527898522</v>
      </c>
      <c r="H4020">
        <v>4329</v>
      </c>
    </row>
    <row r="4021" spans="1:8" ht="15" customHeight="1" x14ac:dyDescent="0.25">
      <c r="A4021" t="s">
        <v>6263</v>
      </c>
      <c r="B4021" t="s">
        <v>10299</v>
      </c>
      <c r="C4021">
        <v>0</v>
      </c>
      <c r="D4021" t="s">
        <v>13287</v>
      </c>
      <c r="E4021">
        <v>0</v>
      </c>
      <c r="F4021" s="17">
        <v>11001</v>
      </c>
      <c r="G4021">
        <v>528618744</v>
      </c>
      <c r="H4021">
        <v>4329</v>
      </c>
    </row>
    <row r="4022" spans="1:8" ht="15" customHeight="1" x14ac:dyDescent="0.25">
      <c r="A4022" t="s">
        <v>6264</v>
      </c>
      <c r="B4022" t="s">
        <v>10300</v>
      </c>
      <c r="C4022" t="s">
        <v>11095</v>
      </c>
      <c r="D4022" t="s">
        <v>13287</v>
      </c>
      <c r="E4022" t="str">
        <f>+VLOOKUP(A4022,[1]PFE4!$A$7:$F$5208,6,0)</f>
        <v>CALLE 17 A SUR  44  214</v>
      </c>
      <c r="F4022" s="17" t="str">
        <f>+VLOOKUP(A4022,[1]PFE4!$A$7:$G$5208,7,0)</f>
        <v>05615</v>
      </c>
      <c r="G4022">
        <v>540424229</v>
      </c>
      <c r="H4022">
        <v>4329</v>
      </c>
    </row>
    <row r="4023" spans="1:8" ht="15" customHeight="1" x14ac:dyDescent="0.25">
      <c r="A4023" t="s">
        <v>6265</v>
      </c>
      <c r="B4023" t="s">
        <v>10301</v>
      </c>
      <c r="C4023">
        <v>0</v>
      </c>
      <c r="D4023" t="s">
        <v>13287</v>
      </c>
      <c r="E4023">
        <v>0</v>
      </c>
      <c r="F4023" s="17">
        <v>11001</v>
      </c>
      <c r="G4023">
        <v>544241201</v>
      </c>
      <c r="H4023">
        <v>4329</v>
      </c>
    </row>
    <row r="4024" spans="1:8" ht="15" customHeight="1" x14ac:dyDescent="0.25">
      <c r="A4024" t="s">
        <v>6266</v>
      </c>
      <c r="B4024" t="s">
        <v>10302</v>
      </c>
      <c r="C4024" t="s">
        <v>13270</v>
      </c>
      <c r="D4024" t="s">
        <v>13287</v>
      </c>
      <c r="E4024" t="str">
        <f>+VLOOKUP(A4024,[1]PFE4!$A$7:$F$5208,6,0)</f>
        <v>CR 23 62 39 P 11</v>
      </c>
      <c r="F4024" s="17">
        <f>+VLOOKUP(A4024,[1]PFE4!$A$7:$G$5208,7,0)</f>
        <v>11001</v>
      </c>
      <c r="G4024">
        <v>549196919</v>
      </c>
      <c r="H4024">
        <v>4329</v>
      </c>
    </row>
    <row r="4025" spans="1:8" ht="15" customHeight="1" x14ac:dyDescent="0.25">
      <c r="A4025" t="s">
        <v>6267</v>
      </c>
      <c r="B4025" t="s">
        <v>10303</v>
      </c>
      <c r="C4025" t="s">
        <v>13271</v>
      </c>
      <c r="D4025" t="s">
        <v>13287</v>
      </c>
      <c r="E4025" t="str">
        <f>+VLOOKUP(A4025,[1]PFE4!$A$7:$F$5208,6,0)</f>
        <v>CR 53 29 C 47</v>
      </c>
      <c r="F4025" s="17">
        <f>+VLOOKUP(A4025,[1]PFE4!$A$7:$G$5208,7,0)</f>
        <v>11001</v>
      </c>
      <c r="G4025">
        <v>551383297</v>
      </c>
      <c r="H4025">
        <v>4329</v>
      </c>
    </row>
    <row r="4026" spans="1:8" ht="15" customHeight="1" x14ac:dyDescent="0.25">
      <c r="A4026" t="s">
        <v>6268</v>
      </c>
      <c r="B4026" t="s">
        <v>10304</v>
      </c>
      <c r="C4026">
        <v>0</v>
      </c>
      <c r="D4026" t="s">
        <v>13287</v>
      </c>
      <c r="E4026">
        <v>0</v>
      </c>
      <c r="F4026" s="17">
        <v>11001</v>
      </c>
      <c r="G4026">
        <v>565265256</v>
      </c>
      <c r="H4026">
        <v>4329</v>
      </c>
    </row>
    <row r="4027" spans="1:8" ht="15" customHeight="1" x14ac:dyDescent="0.25">
      <c r="A4027" t="s">
        <v>6269</v>
      </c>
      <c r="B4027" t="s">
        <v>10305</v>
      </c>
      <c r="C4027" t="s">
        <v>13181</v>
      </c>
      <c r="D4027" t="s">
        <v>13287</v>
      </c>
      <c r="E4027" t="str">
        <f>+VLOOKUP(A4027,[1]PFE4!$A$7:$F$5208,6,0)</f>
        <v>CALLE 8  43 A  48</v>
      </c>
      <c r="F4027" s="17">
        <f>+VLOOKUP(A4027,[1]PFE4!$A$7:$G$5208,7,0)</f>
        <v>11001</v>
      </c>
      <c r="G4027">
        <v>568793559</v>
      </c>
      <c r="H4027">
        <v>4329</v>
      </c>
    </row>
    <row r="4028" spans="1:8" ht="15" customHeight="1" x14ac:dyDescent="0.25">
      <c r="A4028" t="s">
        <v>6270</v>
      </c>
      <c r="B4028" t="s">
        <v>10306</v>
      </c>
      <c r="C4028">
        <v>0</v>
      </c>
      <c r="D4028" t="s">
        <v>13287</v>
      </c>
      <c r="E4028">
        <v>0</v>
      </c>
      <c r="F4028" s="17">
        <v>11001</v>
      </c>
      <c r="G4028">
        <v>618288480</v>
      </c>
      <c r="H4028">
        <v>4329</v>
      </c>
    </row>
    <row r="4029" spans="1:8" ht="15" customHeight="1" x14ac:dyDescent="0.25">
      <c r="A4029" t="s">
        <v>6271</v>
      </c>
      <c r="B4029" t="s">
        <v>10307</v>
      </c>
      <c r="C4029">
        <v>0</v>
      </c>
      <c r="D4029" t="s">
        <v>13287</v>
      </c>
      <c r="E4029">
        <v>0</v>
      </c>
      <c r="F4029" s="17">
        <v>11001</v>
      </c>
      <c r="G4029">
        <v>623078410</v>
      </c>
      <c r="H4029">
        <v>4329</v>
      </c>
    </row>
    <row r="4030" spans="1:8" ht="15" customHeight="1" x14ac:dyDescent="0.25">
      <c r="A4030" t="s">
        <v>6272</v>
      </c>
      <c r="B4030" t="s">
        <v>10308</v>
      </c>
      <c r="C4030" t="s">
        <v>13272</v>
      </c>
      <c r="D4030" t="s">
        <v>13287</v>
      </c>
      <c r="E4030" t="str">
        <f>+VLOOKUP(A4030,[1]PFE4!$A$7:$F$5208,6,0)</f>
        <v>CARRERA 82 A  32 E E  45</v>
      </c>
      <c r="F4030" s="17" t="str">
        <f>+VLOOKUP(A4030,[1]PFE4!$A$7:$G$5208,7,0)</f>
        <v>05631</v>
      </c>
      <c r="G4030">
        <v>636150481</v>
      </c>
      <c r="H4030">
        <v>4329</v>
      </c>
    </row>
    <row r="4031" spans="1:8" ht="15" customHeight="1" x14ac:dyDescent="0.25">
      <c r="A4031" t="s">
        <v>6273</v>
      </c>
      <c r="B4031" t="s">
        <v>10309</v>
      </c>
      <c r="C4031">
        <v>0</v>
      </c>
      <c r="D4031" t="s">
        <v>13287</v>
      </c>
      <c r="E4031">
        <v>0</v>
      </c>
      <c r="F4031" s="17">
        <v>11001</v>
      </c>
      <c r="G4031">
        <v>631713679</v>
      </c>
      <c r="H4031">
        <v>4329</v>
      </c>
    </row>
    <row r="4032" spans="1:8" ht="15" customHeight="1" x14ac:dyDescent="0.25">
      <c r="A4032" t="s">
        <v>6273</v>
      </c>
      <c r="B4032" t="s">
        <v>10309</v>
      </c>
      <c r="C4032">
        <v>0</v>
      </c>
      <c r="D4032" t="s">
        <v>13287</v>
      </c>
      <c r="E4032">
        <v>0</v>
      </c>
      <c r="F4032" s="17">
        <v>11001</v>
      </c>
      <c r="G4032">
        <v>5106622</v>
      </c>
      <c r="H4032">
        <v>4329</v>
      </c>
    </row>
    <row r="4033" spans="1:8" ht="15" customHeight="1" x14ac:dyDescent="0.25">
      <c r="A4033" t="s">
        <v>6274</v>
      </c>
      <c r="B4033" t="s">
        <v>10310</v>
      </c>
      <c r="C4033" t="s">
        <v>13273</v>
      </c>
      <c r="D4033" t="s">
        <v>13287</v>
      </c>
      <c r="E4033" t="str">
        <f>+VLOOKUP(A4033,[1]PFE4!$A$7:$F$5208,6,0)</f>
        <v>CL 50 101 31</v>
      </c>
      <c r="F4033" s="17">
        <f>+VLOOKUP(A4033,[1]PFE4!$A$7:$G$5208,7,0)</f>
        <v>11001</v>
      </c>
      <c r="G4033">
        <v>693557655</v>
      </c>
      <c r="H4033">
        <v>4329</v>
      </c>
    </row>
    <row r="4034" spans="1:8" ht="15" customHeight="1" x14ac:dyDescent="0.25">
      <c r="A4034" t="s">
        <v>6275</v>
      </c>
      <c r="B4034" t="s">
        <v>10311</v>
      </c>
      <c r="C4034" t="s">
        <v>13274</v>
      </c>
      <c r="D4034" t="s">
        <v>13287</v>
      </c>
      <c r="E4034" t="str">
        <f>+VLOOKUP(A4034,[1]PFE4!$A$7:$F$5208,6,0)</f>
        <v>CR 26 36 14 OF 701 ED FENIX BUSINESS CENTER</v>
      </c>
      <c r="F4034" s="17">
        <f>+VLOOKUP(A4034,[1]PFE4!$A$7:$G$5208,7,0)</f>
        <v>11001</v>
      </c>
      <c r="G4034">
        <v>749735099</v>
      </c>
      <c r="H4034">
        <v>4329</v>
      </c>
    </row>
    <row r="4035" spans="1:8" ht="15" customHeight="1" x14ac:dyDescent="0.25">
      <c r="A4035" t="s">
        <v>6276</v>
      </c>
      <c r="B4035" t="s">
        <v>10312</v>
      </c>
      <c r="C4035">
        <v>3219664011</v>
      </c>
      <c r="D4035" t="s">
        <v>13287</v>
      </c>
      <c r="E4035" t="str">
        <f>+VLOOKUP(A4035,[1]PFE4!$A$7:$F$5208,6,0)</f>
        <v>CALLE 23  6  18  OFICINA 302</v>
      </c>
      <c r="F4035" s="17">
        <f>+VLOOKUP(A4035,[1]PFE4!$A$7:$G$5208,7,0)</f>
        <v>11001</v>
      </c>
      <c r="G4035">
        <v>753965007</v>
      </c>
      <c r="H4035">
        <v>4329</v>
      </c>
    </row>
    <row r="4036" spans="1:8" ht="15" customHeight="1" x14ac:dyDescent="0.25">
      <c r="A4036" t="s">
        <v>6277</v>
      </c>
      <c r="B4036" t="s">
        <v>10313</v>
      </c>
      <c r="C4036" t="s">
        <v>13275</v>
      </c>
      <c r="D4036" t="s">
        <v>13287</v>
      </c>
      <c r="E4036" t="str">
        <f>+VLOOKUP(A4036,[1]PFE4!$A$7:$F$5208,6,0)</f>
        <v>CL 55 45 55</v>
      </c>
      <c r="F4036" s="17" t="str">
        <f>+VLOOKUP(A4036,[1]PFE4!$A$7:$G$5208,7,0)</f>
        <v>05001</v>
      </c>
      <c r="G4036">
        <v>773024819</v>
      </c>
      <c r="H4036">
        <v>4329</v>
      </c>
    </row>
    <row r="4037" spans="1:8" ht="15" customHeight="1" x14ac:dyDescent="0.25">
      <c r="A4037" t="s">
        <v>6278</v>
      </c>
      <c r="B4037" t="s">
        <v>10314</v>
      </c>
      <c r="C4037">
        <v>0</v>
      </c>
      <c r="D4037" t="s">
        <v>13287</v>
      </c>
      <c r="E4037">
        <v>0</v>
      </c>
      <c r="F4037" s="17">
        <v>11001</v>
      </c>
      <c r="G4037">
        <v>884844641</v>
      </c>
      <c r="H4037">
        <v>4329</v>
      </c>
    </row>
    <row r="4038" spans="1:8" ht="15" customHeight="1" x14ac:dyDescent="0.25">
      <c r="A4038" t="s">
        <v>6279</v>
      </c>
      <c r="B4038" t="s">
        <v>10315</v>
      </c>
      <c r="C4038" t="s">
        <v>13181</v>
      </c>
      <c r="D4038" t="s">
        <v>13287</v>
      </c>
      <c r="E4038" t="str">
        <f>+VLOOKUP(A4038,[1]PFE4!$A$7:$F$5208,6,0)</f>
        <v>CALLE 8 NO. 43 A 48</v>
      </c>
      <c r="F4038" s="17" t="str">
        <f>+VLOOKUP(A4038,[1]PFE4!$A$7:$G$5208,7,0)</f>
        <v>05615</v>
      </c>
      <c r="G4038">
        <v>950971690</v>
      </c>
      <c r="H4038">
        <v>4329</v>
      </c>
    </row>
    <row r="4039" spans="1:8" ht="15" customHeight="1" x14ac:dyDescent="0.25">
      <c r="A4039" t="s">
        <v>6280</v>
      </c>
      <c r="B4039" t="s">
        <v>10316</v>
      </c>
      <c r="C4039" t="s">
        <v>13276</v>
      </c>
      <c r="D4039" t="s">
        <v>13287</v>
      </c>
      <c r="E4039" t="str">
        <f>+VLOOKUP(A4039,[1]PFE4!$A$7:$F$5208,6,0)</f>
        <v>CARRERA 4  7  14</v>
      </c>
      <c r="F4039" s="17" t="str">
        <f>+VLOOKUP(A4039,[1]PFE4!$A$7:$G$5208,7,0)</f>
        <v>08001</v>
      </c>
      <c r="G4039">
        <v>1100571743</v>
      </c>
      <c r="H4039">
        <v>4329</v>
      </c>
    </row>
    <row r="4040" spans="1:8" ht="15" customHeight="1" x14ac:dyDescent="0.25">
      <c r="A4040" t="s">
        <v>6281</v>
      </c>
      <c r="B4040" t="s">
        <v>10317</v>
      </c>
      <c r="C4040" t="s">
        <v>13277</v>
      </c>
      <c r="D4040" t="s">
        <v>13287</v>
      </c>
      <c r="E4040" t="str">
        <f>+VLOOKUP(A4040,[1]PFE4!$A$7:$F$5208,6,0)</f>
        <v>CR 9 113 52 P 21 ED TO UNIDAS 2</v>
      </c>
      <c r="F4040" s="17">
        <f>+VLOOKUP(A4040,[1]PFE4!$A$7:$G$5208,7,0)</f>
        <v>11001</v>
      </c>
      <c r="G4040">
        <v>1175771729</v>
      </c>
      <c r="H4040">
        <v>4329</v>
      </c>
    </row>
    <row r="4041" spans="1:8" ht="15" customHeight="1" x14ac:dyDescent="0.25">
      <c r="A4041" t="s">
        <v>6282</v>
      </c>
      <c r="B4041" t="s">
        <v>10318</v>
      </c>
      <c r="C4041">
        <v>3219664011</v>
      </c>
      <c r="D4041" t="s">
        <v>13287</v>
      </c>
      <c r="E4041" t="str">
        <f>+VLOOKUP(A4041,[1]PFE4!$A$7:$F$5208,6,0)</f>
        <v>CARRERA 5  71  45 OFICINA 202</v>
      </c>
      <c r="F4041" s="17" t="str">
        <f>+VLOOKUP(A4041,[1]PFE4!$A$7:$G$5208,7,0)</f>
        <v>05088</v>
      </c>
      <c r="G4041">
        <v>1429135287</v>
      </c>
      <c r="H4041">
        <v>4329</v>
      </c>
    </row>
    <row r="4042" spans="1:8" ht="15" customHeight="1" x14ac:dyDescent="0.25">
      <c r="A4042" t="s">
        <v>6283</v>
      </c>
      <c r="B4042" t="s">
        <v>10319</v>
      </c>
      <c r="C4042" t="s">
        <v>13278</v>
      </c>
      <c r="D4042" t="s">
        <v>13287</v>
      </c>
      <c r="E4042" t="str">
        <f>+VLOOKUP(A4042,[1]PFE4!$A$7:$F$5208,6,0)</f>
        <v>CALLE 93 B  13  92  OFICINA 303</v>
      </c>
      <c r="F4042" s="17" t="str">
        <f>+VLOOKUP(A4042,[1]PFE4!$A$7:$G$5208,7,0)</f>
        <v>08001</v>
      </c>
      <c r="G4042">
        <v>1436388348</v>
      </c>
      <c r="H4042">
        <v>4329</v>
      </c>
    </row>
    <row r="4043" spans="1:8" ht="15" customHeight="1" x14ac:dyDescent="0.25">
      <c r="A4043" t="s">
        <v>6284</v>
      </c>
      <c r="B4043" t="s">
        <v>10320</v>
      </c>
      <c r="C4043">
        <v>3219664011</v>
      </c>
      <c r="D4043" t="s">
        <v>13287</v>
      </c>
      <c r="E4043" t="str">
        <f>+VLOOKUP(A4043,[1]PFE4!$A$7:$F$5208,6,0)</f>
        <v>CARRERA 63 B  32 E  26</v>
      </c>
      <c r="F4043" s="17" t="str">
        <f>+VLOOKUP(A4043,[1]PFE4!$A$7:$G$5208,7,0)</f>
        <v>05001</v>
      </c>
      <c r="G4043">
        <v>1470058997</v>
      </c>
      <c r="H4043">
        <v>4329</v>
      </c>
    </row>
    <row r="4044" spans="1:8" ht="15" customHeight="1" x14ac:dyDescent="0.25">
      <c r="A4044" t="s">
        <v>6285</v>
      </c>
      <c r="B4044" t="s">
        <v>10321</v>
      </c>
      <c r="C4044" t="s">
        <v>13279</v>
      </c>
      <c r="D4044" t="s">
        <v>13287</v>
      </c>
      <c r="E4044" t="str">
        <f>+VLOOKUP(A4044,[1]PFE4!$A$7:$F$5208,6,0)</f>
        <v>CR 43 B 16 41 OF 1703 ED CENTRO DE OFICINAS STAFF</v>
      </c>
      <c r="F4044" s="17" t="str">
        <f>+VLOOKUP(A4044,[1]PFE4!$A$7:$G$5208,7,0)</f>
        <v>05001</v>
      </c>
      <c r="G4044">
        <v>1502944534</v>
      </c>
      <c r="H4044">
        <v>4329</v>
      </c>
    </row>
    <row r="4045" spans="1:8" ht="15" customHeight="1" x14ac:dyDescent="0.25">
      <c r="A4045" t="s">
        <v>6286</v>
      </c>
      <c r="B4045" t="s">
        <v>10322</v>
      </c>
      <c r="C4045" t="s">
        <v>13280</v>
      </c>
      <c r="D4045" t="s">
        <v>13287</v>
      </c>
      <c r="E4045" t="str">
        <f>+VLOOKUP(A4045,[1]PFE4!$A$7:$F$5208,6,0)</f>
        <v>AUTOPISTA NORTE 114 78 OF 401</v>
      </c>
      <c r="F4045" s="17">
        <f>+VLOOKUP(A4045,[1]PFE4!$A$7:$G$5208,7,0)</f>
        <v>11001</v>
      </c>
      <c r="G4045">
        <v>1551199580</v>
      </c>
      <c r="H4045">
        <v>4329</v>
      </c>
    </row>
    <row r="4046" spans="1:8" ht="15" customHeight="1" x14ac:dyDescent="0.25">
      <c r="A4046" t="s">
        <v>6287</v>
      </c>
      <c r="B4046" t="s">
        <v>10323</v>
      </c>
      <c r="C4046" t="s">
        <v>13281</v>
      </c>
      <c r="D4046" t="s">
        <v>13287</v>
      </c>
      <c r="E4046" t="str">
        <f>+VLOOKUP(A4046,[1]PFE4!$A$7:$F$5208,6,0)</f>
        <v>AVENIDA 7 NORTE  23 N  74</v>
      </c>
      <c r="F4046" s="17">
        <f>+VLOOKUP(A4046,[1]PFE4!$A$7:$G$5208,7,0)</f>
        <v>76001</v>
      </c>
      <c r="G4046">
        <v>1804305481</v>
      </c>
      <c r="H4046">
        <v>4329</v>
      </c>
    </row>
    <row r="4047" spans="1:8" ht="15" customHeight="1" x14ac:dyDescent="0.25">
      <c r="A4047" t="s">
        <v>6288</v>
      </c>
      <c r="B4047" t="s">
        <v>10324</v>
      </c>
      <c r="C4047" t="s">
        <v>12812</v>
      </c>
      <c r="D4047" t="s">
        <v>13287</v>
      </c>
      <c r="E4047" t="str">
        <f>+VLOOKUP(A4047,[1]PFE4!$A$7:$F$5208,6,0)</f>
        <v>CARRERA 19  43 G  169 OFICINA 601</v>
      </c>
      <c r="F4047" s="17">
        <f>+VLOOKUP(A4047,[1]PFE4!$A$7:$G$5208,7,0)</f>
        <v>11001</v>
      </c>
      <c r="G4047">
        <v>2058771325</v>
      </c>
      <c r="H4047">
        <v>4329</v>
      </c>
    </row>
    <row r="4048" spans="1:8" ht="15" customHeight="1" x14ac:dyDescent="0.25">
      <c r="A4048" t="s">
        <v>6289</v>
      </c>
      <c r="B4048" t="s">
        <v>10325</v>
      </c>
      <c r="C4048" t="s">
        <v>13282</v>
      </c>
      <c r="D4048" t="s">
        <v>13287</v>
      </c>
      <c r="E4048" t="str">
        <f>+VLOOKUP(A4048,[1]PFE4!$A$7:$F$5208,6,0)</f>
        <v>CL 116 7 15</v>
      </c>
      <c r="F4048" s="17">
        <f>+VLOOKUP(A4048,[1]PFE4!$A$7:$G$5208,7,0)</f>
        <v>11001</v>
      </c>
      <c r="G4048">
        <v>2115029726</v>
      </c>
      <c r="H4048">
        <v>4329</v>
      </c>
    </row>
    <row r="4049" spans="1:8" ht="15" customHeight="1" x14ac:dyDescent="0.25">
      <c r="A4049" t="s">
        <v>6290</v>
      </c>
      <c r="B4049" t="s">
        <v>10326</v>
      </c>
      <c r="C4049">
        <v>3219664011</v>
      </c>
      <c r="D4049" t="s">
        <v>13287</v>
      </c>
      <c r="E4049" t="str">
        <f>+VLOOKUP(A4049,[1]PFE4!$A$7:$F$5208,6,0)</f>
        <v>CARRERA 54 A  127 A  45</v>
      </c>
      <c r="F4049" s="17" t="str">
        <f>+VLOOKUP(A4049,[1]PFE4!$A$7:$G$5208,7,0)</f>
        <v>05631</v>
      </c>
      <c r="G4049">
        <v>2349968114</v>
      </c>
      <c r="H4049">
        <v>4329</v>
      </c>
    </row>
    <row r="4050" spans="1:8" ht="15" customHeight="1" x14ac:dyDescent="0.25">
      <c r="A4050" t="s">
        <v>6291</v>
      </c>
      <c r="B4050" t="s">
        <v>10327</v>
      </c>
      <c r="C4050" t="s">
        <v>13052</v>
      </c>
      <c r="D4050" t="s">
        <v>13287</v>
      </c>
      <c r="E4050" t="str">
        <f>+VLOOKUP(A4050,[1]PFE4!$A$7:$F$5208,6,0)</f>
        <v>CL 90 11 A - 27</v>
      </c>
      <c r="F4050" s="17" t="str">
        <f>+VLOOKUP(A4050,[1]PFE4!$A$7:$G$5208,7,0)</f>
        <v>08001</v>
      </c>
      <c r="G4050">
        <v>2407295693</v>
      </c>
      <c r="H4050">
        <v>4329</v>
      </c>
    </row>
    <row r="4051" spans="1:8" ht="15" customHeight="1" x14ac:dyDescent="0.25">
      <c r="A4051" t="s">
        <v>6292</v>
      </c>
      <c r="B4051" t="s">
        <v>10328</v>
      </c>
      <c r="C4051" t="s">
        <v>13283</v>
      </c>
      <c r="D4051" t="s">
        <v>13287</v>
      </c>
      <c r="E4051" t="str">
        <f>+VLOOKUP(A4051,[1]PFE4!$A$7:$F$5208,6,0)</f>
        <v>CALLE 134  72  31</v>
      </c>
      <c r="F4051" s="17" t="str">
        <f>+VLOOKUP(A4051,[1]PFE4!$A$7:$G$5208,7,0)</f>
        <v>05615</v>
      </c>
      <c r="G4051">
        <v>2461025388</v>
      </c>
      <c r="H4051">
        <v>4329</v>
      </c>
    </row>
    <row r="4052" spans="1:8" ht="15" customHeight="1" x14ac:dyDescent="0.25">
      <c r="A4052" t="s">
        <v>6293</v>
      </c>
      <c r="B4052" t="s">
        <v>10329</v>
      </c>
      <c r="C4052">
        <v>0</v>
      </c>
      <c r="D4052" t="s">
        <v>13287</v>
      </c>
      <c r="E4052">
        <v>0</v>
      </c>
      <c r="F4052" s="17">
        <v>11001</v>
      </c>
      <c r="G4052">
        <v>2673924920</v>
      </c>
      <c r="H4052">
        <v>4329</v>
      </c>
    </row>
    <row r="4053" spans="1:8" ht="15" customHeight="1" x14ac:dyDescent="0.25">
      <c r="A4053" t="s">
        <v>6294</v>
      </c>
      <c r="B4053" t="s">
        <v>10330</v>
      </c>
      <c r="C4053" t="s">
        <v>13284</v>
      </c>
      <c r="D4053" t="s">
        <v>13287</v>
      </c>
      <c r="E4053" t="str">
        <f>+VLOOKUP(A4053,[1]PFE4!$A$7:$F$5208,6,0)</f>
        <v>CARRERA 80 C  8 D  60</v>
      </c>
      <c r="F4053" s="17">
        <f>+VLOOKUP(A4053,[1]PFE4!$A$7:$G$5208,7,0)</f>
        <v>11001</v>
      </c>
      <c r="G4053">
        <v>3272808025</v>
      </c>
      <c r="H4053">
        <v>4329</v>
      </c>
    </row>
    <row r="4054" spans="1:8" ht="15" customHeight="1" x14ac:dyDescent="0.25">
      <c r="A4054" t="s">
        <v>6295</v>
      </c>
      <c r="B4054" t="s">
        <v>10331</v>
      </c>
      <c r="C4054" t="s">
        <v>13285</v>
      </c>
      <c r="D4054" t="s">
        <v>13287</v>
      </c>
      <c r="E4054" t="str">
        <f>+VLOOKUP(A4054,[1]PFE4!$A$7:$F$5208,6,0)</f>
        <v>CALLE 8  43 A  48</v>
      </c>
      <c r="F4054" s="17" t="str">
        <f>+VLOOKUP(A4054,[1]PFE4!$A$7:$G$5208,7,0)</f>
        <v>05001</v>
      </c>
      <c r="G4054">
        <v>3336006604</v>
      </c>
      <c r="H4054">
        <v>4329</v>
      </c>
    </row>
    <row r="4055" spans="1:8" ht="15" customHeight="1" x14ac:dyDescent="0.25">
      <c r="A4055" t="s">
        <v>6296</v>
      </c>
      <c r="B4055" t="s">
        <v>10332</v>
      </c>
      <c r="C4055" t="s">
        <v>13286</v>
      </c>
      <c r="D4055" t="s">
        <v>13287</v>
      </c>
      <c r="E4055" t="str">
        <f>+VLOOKUP(A4055,[1]PFE4!$A$7:$F$5208,6,0)</f>
        <v>CALLE 10 SUR  50 F F  28  OFICINA 407</v>
      </c>
      <c r="F4055" s="17" t="str">
        <f>+VLOOKUP(A4055,[1]PFE4!$A$7:$G$5208,7,0)</f>
        <v>05001</v>
      </c>
      <c r="G4055">
        <v>4374377568</v>
      </c>
      <c r="H4055">
        <v>4329</v>
      </c>
    </row>
    <row r="4056" spans="1:8" ht="15" customHeight="1" x14ac:dyDescent="0.25">
      <c r="A4056" t="s">
        <v>6297</v>
      </c>
      <c r="B4056" t="s">
        <v>10333</v>
      </c>
      <c r="C4056">
        <v>0</v>
      </c>
      <c r="D4056" t="s">
        <v>13287</v>
      </c>
      <c r="E4056">
        <v>0</v>
      </c>
      <c r="F4056" s="17">
        <v>11001</v>
      </c>
      <c r="G4056">
        <v>934555678</v>
      </c>
      <c r="H4056">
        <v>4329</v>
      </c>
    </row>
    <row r="4057" spans="1:8" ht="15" customHeight="1" x14ac:dyDescent="0.25">
      <c r="A4057" t="s">
        <v>6298</v>
      </c>
      <c r="B4057" t="s">
        <v>10334</v>
      </c>
      <c r="C4057">
        <v>0</v>
      </c>
      <c r="D4057" t="s">
        <v>13287</v>
      </c>
      <c r="E4057">
        <v>0</v>
      </c>
      <c r="F4057" s="17">
        <v>11001</v>
      </c>
      <c r="G4057">
        <v>4937885</v>
      </c>
      <c r="H4057">
        <v>4329</v>
      </c>
    </row>
    <row r="4058" spans="1:8" ht="15" customHeight="1" x14ac:dyDescent="0.25">
      <c r="A4058" t="s">
        <v>6299</v>
      </c>
      <c r="B4058" t="s">
        <v>10335</v>
      </c>
      <c r="C4058">
        <v>0</v>
      </c>
      <c r="D4058" t="s">
        <v>13287</v>
      </c>
      <c r="E4058">
        <v>0</v>
      </c>
      <c r="F4058" s="17">
        <v>11001</v>
      </c>
      <c r="G4058">
        <v>16605594</v>
      </c>
      <c r="H4058">
        <v>4329</v>
      </c>
    </row>
    <row r="4059" spans="1:8" ht="15" customHeight="1" x14ac:dyDescent="0.25">
      <c r="A4059" t="s">
        <v>6300</v>
      </c>
      <c r="B4059" t="s">
        <v>10336</v>
      </c>
      <c r="C4059">
        <v>0</v>
      </c>
      <c r="D4059" t="s">
        <v>13287</v>
      </c>
      <c r="E4059">
        <v>0</v>
      </c>
      <c r="F4059" s="17">
        <v>11001</v>
      </c>
      <c r="G4059">
        <v>1164000</v>
      </c>
      <c r="H4059">
        <v>4329</v>
      </c>
    </row>
    <row r="4060" spans="1:8" ht="15" customHeight="1" x14ac:dyDescent="0.25">
      <c r="A4060" t="s">
        <v>6301</v>
      </c>
      <c r="B4060" t="s">
        <v>10337</v>
      </c>
      <c r="C4060">
        <v>0</v>
      </c>
      <c r="D4060" t="s">
        <v>13287</v>
      </c>
      <c r="E4060">
        <v>0</v>
      </c>
      <c r="F4060" s="17">
        <v>11001</v>
      </c>
      <c r="G4060">
        <v>65641264</v>
      </c>
      <c r="H4060">
        <v>4329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Office 41</cp:lastModifiedBy>
  <dcterms:created xsi:type="dcterms:W3CDTF">2026-04-09T15:30:19Z</dcterms:created>
  <dcterms:modified xsi:type="dcterms:W3CDTF">2026-06-25T14:49:40Z</dcterms:modified>
</cp:coreProperties>
</file>