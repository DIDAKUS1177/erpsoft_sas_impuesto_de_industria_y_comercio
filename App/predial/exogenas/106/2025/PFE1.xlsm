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192.168.1.71\Impuestos\1. Especialista de Impuestos\Declaraciones Tributarias\ICA\HOJAS DE TRABAJO\2025\Exogenas\Centro\PAIPA\"/>
    </mc:Choice>
  </mc:AlternateContent>
  <xr:revisionPtr revIDLastSave="0" documentId="13_ncr:1_{FC80C12F-D88E-43B4-9708-20DB1F40B084}" xr6:coauthVersionLast="47" xr6:coauthVersionMax="47" xr10:uidLastSave="{00000000-0000-0000-0000-000000000000}"/>
  <bookViews>
    <workbookView xWindow="-120" yWindow="-120" windowWidth="21840" windowHeight="13020" xr2:uid="{E3B7024B-2C8B-4B30-80B9-75B595FF4EE3}"/>
  </bookViews>
  <sheets>
    <sheet name="PFE1" sheetId="1" r:id="rId1"/>
    <sheet name="Actividades" sheetId="2" r:id="rId2"/>
    <sheet name="Municipios" sheetId="3" r:id="rId3"/>
  </sheets>
  <functionGroups builtInGroupCount="19"/>
  <externalReferences>
    <externalReference r:id="rId4"/>
  </externalReference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1" l="1"/>
  <c r="E15" i="1"/>
  <c r="E13" i="1"/>
  <c r="E12" i="1"/>
  <c r="E11" i="1"/>
  <c r="E10" i="1"/>
  <c r="E9" i="1"/>
  <c r="E8" i="1"/>
  <c r="E7" i="1"/>
  <c r="D16" i="1"/>
  <c r="D15" i="1"/>
  <c r="D13" i="1"/>
  <c r="D12" i="1"/>
  <c r="D11" i="1"/>
  <c r="D10" i="1"/>
  <c r="D9" i="1"/>
  <c r="D8" i="1"/>
  <c r="D7" i="1"/>
  <c r="C16" i="1"/>
  <c r="C15" i="1"/>
  <c r="C13" i="1"/>
  <c r="C12" i="1"/>
  <c r="C11" i="1"/>
  <c r="C10" i="1"/>
  <c r="C9" i="1"/>
  <c r="C8" i="1"/>
  <c r="C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<sst xmlns="http://schemas.openxmlformats.org/spreadsheetml/2006/main" count="2343" uniqueCount="2265">
  <si>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</si>
  <si>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</si>
  <si>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</si>
  <si>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</si>
  <si>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</si>
  <si>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</si>
  <si>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</si>
  <si>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</si>
  <si>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</si>
  <si>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</si>
  <si>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</si>
  <si>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</si>
  <si>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</si>
  <si>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</si>
  <si>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</si>
  <si>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</si>
  <si>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</si>
  <si>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</si>
  <si>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</si>
  <si>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</si>
  <si>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</si>
  <si>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</si>
  <si>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</si>
  <si>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</si>
  <si>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</si>
  <si>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</si>
  <si>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</si>
  <si>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</si>
  <si>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</si>
  <si>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</si>
  <si>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</si>
  <si>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</si>
  <si>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</si>
  <si>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</si>
  <si>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</si>
  <si>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</si>
  <si>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</si>
  <si>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</si>
  <si>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</si>
  <si>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</si>
  <si>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</si>
  <si>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</si>
  <si>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</si>
  <si>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</si>
  <si>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</si>
  <si>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</si>
  <si>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</si>
  <si>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</si>
  <si>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</si>
  <si>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</si>
  <si>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</si>
  <si>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</si>
  <si>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</si>
  <si>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</si>
  <si>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</si>
  <si>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</si>
  <si>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</si>
  <si>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</si>
  <si>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</si>
  <si>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</si>
  <si>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</si>
  <si>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</si>
  <si>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</si>
  <si>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</si>
  <si>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</si>
  <si>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</si>
  <si>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</si>
  <si>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</si>
  <si>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</si>
  <si>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</si>
  <si>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</si>
  <si>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</si>
  <si>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</si>
  <si>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</si>
  <si>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</si>
  <si>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</si>
  <si>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</si>
  <si>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</si>
  <si>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</si>
  <si>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</si>
  <si>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</si>
  <si>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</si>
  <si>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</si>
  <si>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</si>
  <si>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</si>
  <si>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</si>
  <si>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</si>
  <si>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</si>
  <si>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</si>
  <si>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</si>
  <si>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</si>
  <si>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</si>
  <si>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</si>
  <si>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</si>
  <si>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</si>
  <si>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</si>
  <si>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</si>
  <si>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</si>
  <si>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</si>
  <si>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</si>
  <si>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</si>
  <si>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</si>
  <si>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</si>
  <si>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</si>
  <si>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</si>
  <si>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</si>
  <si>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</si>
  <si>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</si>
  <si>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</si>
  <si>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</si>
  <si>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</si>
  <si>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</si>
  <si>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</si>
  <si>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</si>
  <si>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</si>
  <si>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</si>
  <si>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</si>
  <si>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</si>
  <si>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</si>
  <si>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</si>
  <si>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</si>
  <si>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</si>
  <si>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</si>
  <si>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</si>
  <si>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</si>
  <si>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</si>
  <si>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</si>
  <si>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</si>
  <si>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</si>
  <si>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</si>
  <si>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</si>
  <si>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</si>
  <si>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</si>
  <si>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</si>
  <si>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</si>
  <si>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</si>
  <si>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</si>
  <si>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</si>
  <si>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</si>
  <si>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</si>
  <si>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</si>
  <si>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</si>
  <si>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</si>
  <si>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</si>
  <si>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</si>
  <si>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</si>
  <si>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</si>
  <si>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</si>
  <si>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</si>
  <si>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</si>
  <si>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</si>
  <si>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</si>
  <si>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</si>
  <si>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</si>
  <si>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</si>
  <si>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</si>
  <si>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</si>
  <si>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</si>
  <si>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</si>
  <si>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</si>
  <si>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</si>
  <si>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</si>
  <si>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</si>
  <si>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</si>
  <si>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</si>
  <si>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</si>
  <si>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</si>
  <si>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</si>
  <si>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</si>
  <si>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</si>
  <si>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</si>
  <si>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</si>
  <si>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</si>
  <si>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</si>
  <si>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</si>
  <si>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</si>
  <si>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</si>
  <si>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</si>
  <si>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</si>
  <si>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</si>
  <si>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</si>
  <si>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</si>
  <si>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</si>
  <si>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</si>
  <si>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</si>
  <si>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</si>
  <si>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</si>
  <si>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</si>
  <si>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</si>
  <si>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</si>
  <si>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</si>
  <si>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</si>
  <si>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</si>
  <si>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</si>
  <si>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</si>
  <si>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</si>
  <si>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</si>
  <si>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</si>
  <si>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</si>
  <si>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</si>
  <si>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</si>
  <si>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</si>
  <si>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</si>
  <si>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</si>
  <si>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</si>
  <si>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</si>
  <si>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</si>
  <si>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</si>
  <si>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</si>
  <si>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</si>
  <si>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</si>
  <si>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</si>
  <si>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</si>
  <si>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</si>
  <si>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</si>
  <si>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</si>
  <si>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</si>
  <si>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</si>
  <si>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</si>
  <si>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</si>
  <si>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</si>
  <si>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</si>
  <si>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</si>
  <si>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</si>
  <si>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</si>
  <si>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</si>
  <si>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</si>
  <si>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</si>
  <si>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</si>
  <si>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</si>
  <si>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</si>
  <si>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</si>
  <si>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</si>
  <si>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</si>
  <si>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</si>
  <si>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</si>
  <si>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</si>
  <si>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</si>
  <si>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</si>
  <si>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</si>
  <si>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</si>
  <si>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</si>
  <si>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</si>
  <si>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</si>
  <si>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</si>
  <si>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</si>
  <si>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</si>
  <si>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</si>
  <si>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</si>
  <si>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</si>
  <si>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</si>
  <si>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</si>
  <si>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</si>
  <si>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</si>
  <si>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</si>
  <si>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</si>
  <si>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</si>
  <si>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</si>
  <si>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</si>
  <si>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</si>
  <si>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</si>
  <si>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</si>
  <si>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</si>
  <si>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</si>
  <si>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</si>
  <si>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</si>
  <si>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</si>
  <si>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</si>
  <si>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</si>
  <si>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</si>
  <si>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</si>
  <si>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</si>
  <si>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</si>
  <si>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</si>
  <si>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</si>
  <si>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</si>
  <si>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</si>
  <si>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</si>
  <si>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</si>
  <si>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</si>
  <si>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</si>
  <si>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</si>
  <si>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</si>
  <si>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</si>
  <si>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</si>
  <si>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</si>
  <si>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</si>
  <si>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</si>
  <si>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</si>
  <si>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</si>
  <si>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</si>
  <si>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</si>
  <si>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</si>
  <si>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</si>
  <si>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</si>
  <si>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</si>
  <si>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</si>
  <si>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</si>
  <si>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</si>
  <si>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</si>
  <si>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</si>
  <si>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</si>
  <si>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</si>
  <si>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</si>
  <si>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</si>
  <si>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</si>
  <si>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</si>
  <si>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</si>
  <si>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</si>
  <si>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</si>
  <si>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</si>
  <si>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</si>
  <si>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</si>
  <si>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</si>
  <si>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</si>
  <si>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</si>
  <si>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</si>
  <si>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</si>
  <si>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</si>
  <si>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</si>
  <si>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</si>
  <si>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</si>
  <si>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</si>
  <si>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</si>
  <si>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</si>
  <si>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</si>
  <si>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</si>
  <si>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</si>
  <si>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</si>
  <si>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</si>
  <si>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</si>
  <si>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</si>
  <si>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</si>
  <si>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</si>
  <si>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</si>
  <si>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</si>
  <si>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</si>
  <si>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</si>
  <si>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</si>
  <si>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</si>
  <si>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</si>
  <si>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</si>
  <si>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</si>
  <si>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</si>
  <si>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</si>
  <si>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</si>
  <si>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</si>
  <si>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</si>
  <si>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</si>
  <si>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</si>
  <si>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</si>
  <si>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</si>
  <si>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</si>
  <si>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</si>
  <si>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</si>
  <si>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</si>
  <si>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</si>
  <si>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</si>
  <si>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</si>
  <si>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</si>
  <si>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</si>
  <si>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</si>
  <si>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</si>
  <si>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</si>
  <si>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</si>
  <si>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</si>
  <si>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</si>
  <si>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</si>
  <si>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</si>
  <si>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</si>
  <si>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</si>
  <si>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</si>
  <si>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</si>
  <si>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</si>
  <si>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</si>
  <si>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</si>
  <si>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</si>
  <si>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</si>
  <si>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</si>
  <si>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</si>
  <si>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</si>
  <si>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</si>
  <si>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</si>
  <si>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</si>
  <si>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</si>
  <si>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</si>
  <si>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</si>
  <si>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</si>
  <si>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</si>
  <si>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</si>
  <si>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</si>
  <si>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</si>
  <si>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</si>
  <si>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</si>
  <si>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</si>
  <si>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</si>
  <si>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</si>
  <si>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</si>
  <si>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</si>
  <si>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</si>
  <si>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</si>
  <si>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</si>
  <si>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</si>
  <si>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</si>
  <si>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</si>
  <si>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</si>
  <si>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</si>
  <si>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</si>
  <si>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</si>
  <si>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</si>
  <si>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</si>
  <si>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</si>
  <si>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</si>
  <si>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</si>
  <si>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</si>
  <si>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</si>
  <si>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</si>
  <si>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</si>
  <si>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</si>
  <si>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</si>
  <si>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</si>
  <si>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</si>
  <si>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</si>
  <si>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</si>
  <si>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</si>
  <si>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</si>
  <si>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</si>
  <si>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</si>
  <si>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</si>
  <si>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</si>
  <si>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</si>
  <si>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</si>
  <si>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</si>
  <si>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</si>
  <si>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</si>
  <si>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</si>
  <si>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</si>
  <si>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</si>
  <si>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</si>
  <si>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</si>
  <si>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</si>
  <si>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</si>
  <si>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</si>
  <si>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</si>
  <si>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</si>
  <si>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</si>
  <si>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</si>
  <si>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</si>
  <si>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</si>
  <si>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</si>
  <si>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</si>
  <si>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</si>
  <si>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</si>
  <si>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</si>
  <si>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</si>
  <si>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</si>
  <si>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</si>
  <si>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</si>
  <si>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</si>
  <si>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</si>
  <si>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</si>
  <si>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</si>
  <si>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</si>
  <si>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</si>
  <si>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</si>
  <si>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</si>
  <si>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</si>
  <si>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</si>
  <si>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</si>
  <si>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</si>
  <si>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</si>
  <si>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</si>
  <si>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</si>
  <si>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</si>
  <si>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</si>
  <si>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</si>
  <si>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</si>
  <si>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</si>
  <si>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</si>
  <si>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</si>
  <si>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</si>
  <si>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</si>
  <si>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</si>
  <si>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</si>
  <si>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</si>
  <si>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</si>
  <si>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</si>
  <si>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</si>
  <si>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</si>
  <si>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</si>
  <si>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</si>
  <si>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</si>
  <si>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</si>
  <si>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</si>
  <si>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</si>
  <si>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</si>
  <si>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</si>
  <si>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</si>
  <si>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</si>
  <si>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</si>
  <si>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</si>
  <si>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</si>
  <si>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</si>
  <si>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</si>
  <si>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</si>
  <si>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</si>
  <si>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</si>
  <si>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</si>
  <si>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</si>
  <si>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</si>
  <si>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</si>
  <si>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</si>
  <si>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</si>
  <si>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</si>
  <si>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</si>
  <si>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</si>
  <si>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</si>
  <si>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</si>
  <si>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</si>
  <si>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</si>
  <si>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</si>
  <si>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</si>
  <si>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</si>
  <si>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</si>
  <si>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</si>
  <si>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</si>
  <si>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</si>
  <si>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</si>
  <si>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</si>
  <si>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</si>
  <si>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</si>
  <si>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</si>
  <si>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</si>
  <si>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</si>
  <si>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</si>
  <si>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</si>
  <si>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</si>
  <si>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</si>
  <si>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</si>
  <si>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</si>
  <si>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</si>
  <si>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</si>
  <si>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</si>
  <si>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</si>
  <si>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</si>
  <si>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</si>
  <si>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</si>
  <si>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</si>
  <si>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</si>
  <si>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</si>
  <si>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</si>
  <si>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</si>
  <si>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</si>
  <si>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</si>
  <si>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</si>
  <si>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</si>
  <si>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</si>
  <si>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</si>
  <si>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</si>
  <si>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</si>
  <si>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</si>
  <si>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</si>
  <si>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</si>
  <si>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</si>
  <si>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</si>
  <si>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</si>
  <si>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</si>
  <si>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</si>
  <si>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</si>
  <si>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</si>
  <si>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</si>
  <si>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</si>
  <si>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</si>
  <si>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</si>
  <si>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</si>
  <si>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</si>
  <si>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</si>
  <si>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</si>
  <si>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</si>
  <si>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</si>
  <si>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</si>
  <si>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</si>
  <si>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</si>
  <si>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</si>
  <si>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</si>
  <si>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</si>
  <si>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</si>
  <si>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</si>
  <si>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</si>
  <si>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</si>
  <si>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</si>
  <si>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</si>
  <si>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</si>
  <si>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</si>
  <si>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</si>
  <si>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</si>
  <si>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</si>
  <si>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</si>
  <si>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</si>
  <si>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</si>
  <si>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</si>
  <si>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</si>
  <si>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</si>
  <si>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</si>
  <si>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</si>
  <si>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</si>
  <si>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</si>
  <si>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</si>
  <si>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</si>
  <si>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</si>
  <si>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</si>
  <si>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</si>
  <si>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</si>
  <si>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</si>
  <si>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</si>
  <si>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</si>
  <si>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</si>
  <si>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</si>
  <si>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</si>
  <si>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</si>
  <si>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</si>
  <si>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</si>
  <si>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</si>
  <si>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</si>
  <si>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</si>
  <si>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</si>
  <si>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</si>
  <si>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</si>
  <si>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</si>
  <si>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</si>
  <si>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</si>
  <si>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</si>
  <si>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</si>
  <si>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</si>
  <si>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</si>
  <si>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</si>
  <si>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</si>
  <si>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</si>
  <si>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</si>
  <si>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</si>
  <si>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</si>
  <si>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</si>
  <si>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</si>
  <si>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</si>
  <si>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</si>
  <si>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</si>
  <si>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</si>
  <si>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</si>
  <si>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</si>
  <si>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</si>
  <si>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</si>
  <si>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</si>
  <si>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</si>
  <si>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</si>
  <si>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</si>
  <si>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</si>
  <si>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</si>
  <si>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</si>
  <si>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</si>
  <si>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</si>
  <si>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</si>
  <si>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</si>
  <si>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</si>
  <si>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</si>
  <si>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</si>
  <si>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</si>
  <si>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</si>
  <si>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</si>
  <si>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</si>
  <si>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</si>
  <si>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</si>
  <si>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</si>
  <si>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</si>
  <si>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</si>
  <si>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</si>
  <si>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</si>
  <si>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</si>
  <si>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</si>
  <si>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</si>
  <si>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</si>
  <si>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</si>
  <si>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</si>
  <si>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</si>
  <si>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</si>
  <si>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</si>
  <si>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</si>
  <si>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</si>
  <si>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</si>
  <si>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</si>
  <si>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</si>
  <si>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</si>
  <si>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</si>
  <si>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</si>
  <si>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</si>
  <si>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</si>
  <si>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</si>
  <si>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</si>
  <si>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</si>
  <si>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</si>
  <si>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</si>
  <si>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</si>
  <si>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</si>
  <si>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</si>
  <si>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</si>
  <si>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</si>
  <si>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</si>
  <si>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</si>
  <si>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</si>
  <si>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</si>
  <si>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</si>
  <si>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</si>
  <si>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</si>
  <si>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</si>
  <si>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</si>
  <si>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</si>
  <si>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</si>
  <si>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</si>
  <si>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</si>
  <si>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</si>
  <si>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</si>
  <si>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</si>
  <si>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</si>
  <si>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</si>
  <si>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</si>
  <si>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</si>
  <si>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</si>
  <si>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</si>
  <si>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</si>
  <si>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</si>
  <si>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</si>
  <si>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</si>
  <si>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</si>
  <si>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</si>
  <si>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</si>
  <si>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</si>
  <si>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</si>
  <si>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</si>
  <si>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</si>
  <si>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</si>
  <si>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</si>
  <si>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</si>
  <si>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</si>
  <si>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</si>
  <si>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</si>
  <si>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</si>
  <si>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</si>
  <si>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</si>
  <si>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</si>
  <si>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</si>
  <si>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</si>
  <si>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</si>
  <si>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</si>
  <si>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</si>
  <si>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</si>
  <si>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</si>
  <si>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</si>
  <si>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</si>
  <si>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</si>
  <si>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</si>
  <si>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</si>
  <si>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</si>
  <si>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</si>
  <si>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</si>
  <si>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</si>
  <si>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</si>
  <si>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</si>
  <si>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</si>
  <si>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</si>
  <si>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</si>
  <si>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</si>
  <si>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</si>
  <si>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</si>
  <si>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</si>
  <si>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</si>
  <si>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</si>
  <si>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</si>
  <si>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</si>
  <si>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</si>
  <si>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</si>
  <si>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</si>
  <si>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</si>
  <si>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</si>
  <si>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</si>
  <si>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</si>
  <si>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</si>
  <si>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</si>
  <si>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</si>
  <si>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</si>
  <si>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</si>
  <si>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</si>
  <si>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</si>
  <si>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</si>
  <si>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</si>
  <si>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</si>
  <si>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</si>
  <si>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</si>
  <si>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</si>
  <si>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</si>
  <si>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</si>
  <si>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</si>
  <si>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</si>
  <si>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</si>
  <si>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</si>
  <si>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</si>
  <si>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</si>
  <si>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</si>
  <si>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</si>
  <si>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</si>
  <si>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</si>
  <si>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</si>
  <si>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</si>
  <si>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</si>
  <si>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</si>
  <si>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</si>
  <si>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</si>
  <si>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</si>
  <si>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</si>
  <si>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</si>
  <si>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</si>
  <si>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</si>
  <si>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</si>
  <si>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</si>
  <si>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</si>
  <si>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</si>
  <si>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</si>
  <si>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</si>
  <si>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</si>
  <si>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</si>
  <si>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</si>
  <si>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</si>
  <si>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</si>
  <si>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</si>
  <si>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</si>
  <si>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</si>
  <si>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</si>
  <si>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</si>
  <si>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</si>
  <si>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</si>
  <si>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</si>
  <si>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</si>
  <si>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</si>
  <si>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</si>
  <si>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</si>
  <si>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</si>
  <si>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</si>
  <si>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</si>
  <si>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</si>
  <si>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</si>
  <si>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</si>
  <si>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</si>
  <si>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</si>
  <si>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</si>
  <si>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</si>
  <si>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</si>
  <si>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</si>
  <si>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</si>
  <si>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</si>
  <si>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</si>
  <si>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</si>
  <si>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</si>
  <si>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</si>
  <si>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</si>
  <si>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</si>
  <si>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</si>
  <si>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</si>
  <si>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</si>
  <si>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</si>
  <si>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</si>
  <si>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</si>
  <si>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</si>
  <si>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</si>
  <si>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</si>
  <si>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</si>
  <si>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</si>
  <si>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</si>
  <si>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</si>
  <si>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</si>
  <si>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</si>
  <si>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</si>
  <si>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</si>
  <si>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</si>
  <si>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</si>
  <si>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</si>
  <si>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</si>
  <si>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</si>
  <si>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</si>
  <si>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</si>
  <si>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</si>
  <si>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</si>
  <si>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</si>
  <si>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</si>
  <si>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</si>
  <si>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</si>
  <si>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</si>
  <si>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</si>
  <si>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</si>
  <si>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</si>
  <si>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</si>
  <si>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</si>
  <si>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</si>
  <si>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</si>
  <si>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</si>
  <si>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</si>
  <si>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</si>
  <si>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</si>
  <si>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</si>
  <si>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</si>
  <si>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</si>
  <si>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</si>
  <si>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</si>
  <si>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</si>
  <si>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</si>
  <si>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</si>
  <si>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</si>
  <si>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</si>
  <si>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</si>
  <si>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</si>
  <si>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</si>
  <si>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</si>
  <si>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</si>
  <si>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</si>
  <si>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</si>
  <si>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</si>
  <si>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</si>
  <si>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</si>
  <si>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</si>
  <si>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</si>
  <si>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</si>
  <si>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</si>
  <si>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</si>
  <si>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</si>
  <si>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</si>
  <si>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</si>
  <si>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</si>
  <si>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</si>
  <si>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</si>
  <si>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</si>
  <si>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</si>
  <si>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</si>
  <si>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</si>
  <si>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</si>
  <si>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</si>
  <si>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</si>
  <si>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</si>
  <si>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</si>
  <si>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</si>
  <si>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</si>
  <si>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</si>
  <si>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</si>
  <si>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</si>
  <si>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</si>
  <si>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</si>
  <si>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</si>
  <si>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</si>
  <si>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</si>
  <si>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</si>
  <si>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</si>
  <si>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</si>
  <si>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</si>
  <si>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</si>
  <si>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</si>
  <si>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</si>
  <si>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</si>
  <si>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</si>
  <si>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</si>
  <si>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</si>
  <si>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</si>
  <si>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</si>
  <si>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</si>
  <si>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</si>
  <si>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</si>
  <si>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</si>
  <si>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</si>
  <si>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</si>
  <si>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</si>
  <si>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</si>
  <si>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</si>
  <si>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</si>
  <si>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</si>
  <si>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</si>
  <si>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</si>
  <si>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</si>
  <si>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</si>
  <si>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</si>
  <si>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</si>
  <si>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</si>
  <si>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</si>
  <si>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</si>
  <si>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</si>
  <si>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</si>
  <si>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</si>
  <si>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</si>
  <si>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</si>
  <si>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</si>
  <si>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</si>
  <si>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</si>
  <si>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</si>
  <si>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</si>
  <si>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</si>
  <si>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</si>
  <si>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</si>
  <si>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</si>
  <si>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</si>
  <si>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</si>
  <si>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</si>
  <si>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</si>
  <si>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</si>
  <si>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</si>
  <si>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</si>
  <si>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</si>
  <si>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</si>
  <si>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</si>
  <si>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</si>
  <si>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</si>
  <si>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</si>
  <si>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</si>
  <si>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</si>
  <si>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</si>
  <si>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</si>
  <si>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</si>
  <si>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</si>
  <si>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</si>
  <si>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</si>
  <si>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</si>
  <si>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</si>
  <si>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</si>
  <si>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</si>
  <si>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</si>
  <si>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</si>
  <si>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</si>
  <si>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</si>
  <si>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</si>
  <si>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</si>
  <si>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</si>
  <si>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</si>
  <si>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</si>
  <si>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</si>
  <si>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</si>
  <si>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</si>
  <si>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</si>
  <si>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</si>
  <si>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</si>
  <si>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</si>
  <si>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</si>
  <si>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</si>
  <si>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</si>
  <si>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</si>
  <si>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</si>
  <si>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</si>
  <si>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</si>
  <si>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</si>
  <si>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</si>
  <si>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</si>
  <si>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</si>
  <si>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</si>
  <si>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</si>
  <si>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</si>
  <si>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</si>
  <si>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</si>
  <si>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</si>
  <si>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</si>
  <si>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</si>
  <si>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</si>
  <si>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</si>
  <si>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</si>
  <si>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</si>
  <si>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</si>
  <si>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</si>
  <si>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</si>
  <si>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</si>
  <si>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</si>
  <si>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</si>
  <si>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</si>
  <si>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</si>
  <si>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</si>
  <si>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</si>
  <si>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</si>
  <si>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</si>
  <si>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</si>
  <si>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</si>
  <si>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</si>
  <si>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</si>
  <si>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</si>
  <si>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</si>
  <si>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</si>
  <si>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</si>
  <si>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</si>
  <si>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</si>
  <si>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</si>
  <si>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</si>
  <si>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</si>
  <si>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</si>
  <si>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</si>
  <si>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</si>
  <si>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</si>
  <si>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</si>
  <si>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</si>
  <si>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</si>
  <si>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</si>
  <si>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</si>
  <si>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</si>
  <si>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</si>
  <si>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</si>
  <si>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</si>
  <si>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</si>
  <si>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</si>
  <si>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</si>
  <si>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</si>
  <si>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</si>
  <si>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</si>
  <si>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</si>
  <si>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</si>
  <si>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</si>
  <si>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</si>
  <si>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</si>
  <si>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</si>
  <si>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</si>
  <si>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</si>
  <si>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</si>
  <si>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</si>
  <si>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</si>
  <si>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</si>
  <si>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</si>
  <si>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</si>
  <si>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</si>
  <si>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</si>
  <si>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</si>
  <si>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</si>
  <si>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</si>
  <si>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</si>
  <si>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</si>
  <si>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</si>
  <si>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</si>
  <si>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</si>
  <si>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</si>
  <si>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</si>
  <si>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</si>
  <si>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</si>
  <si>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</si>
  <si>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</si>
  <si>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</si>
  <si>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</si>
  <si>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</si>
  <si>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</si>
  <si>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</si>
  <si>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</si>
  <si>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</si>
  <si>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</si>
  <si>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</si>
  <si>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</si>
  <si>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</si>
  <si>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</si>
  <si>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</si>
  <si>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</si>
  <si>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</si>
  <si>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</si>
  <si>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</si>
  <si>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</si>
  <si>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</si>
  <si>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</si>
  <si>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</si>
  <si>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</si>
  <si>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</si>
  <si>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</si>
  <si>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</si>
  <si>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</si>
  <si>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</si>
  <si>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</si>
  <si>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</si>
  <si>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</si>
  <si>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</si>
  <si>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</si>
  <si>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</si>
  <si>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</si>
  <si>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</si>
  <si>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</si>
  <si>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</si>
  <si>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</si>
  <si>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</si>
  <si>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</si>
  <si>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</si>
  <si>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</si>
  <si>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</si>
  <si>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</si>
  <si>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</si>
  <si>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</si>
  <si>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</si>
  <si>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</si>
  <si>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</si>
  <si>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</si>
  <si>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</si>
  <si>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</si>
  <si>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</si>
  <si>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</si>
  <si>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</si>
  <si>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</si>
  <si>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</si>
  <si>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</si>
  <si>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</si>
  <si>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</si>
  <si>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</si>
  <si>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</si>
  <si>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</si>
  <si>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</si>
  <si>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</si>
  <si>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</si>
  <si>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</si>
  <si>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</si>
  <si>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</si>
  <si>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</si>
  <si>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</si>
  <si>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</si>
  <si>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</si>
  <si>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</si>
  <si>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</si>
  <si>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</si>
  <si>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</si>
  <si>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</si>
  <si>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</si>
  <si>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</si>
  <si>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</si>
  <si>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</si>
  <si>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</si>
  <si>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</si>
  <si>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</si>
  <si>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</si>
  <si>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</si>
  <si>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</si>
  <si>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</si>
  <si>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</si>
  <si>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</si>
  <si>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</si>
  <si>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</si>
  <si>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</si>
  <si>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</si>
  <si>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</si>
  <si>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</si>
  <si>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</si>
  <si>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</si>
  <si>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</si>
  <si>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</si>
  <si>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</si>
  <si>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</si>
  <si>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</si>
  <si>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</si>
  <si>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</si>
  <si>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</si>
  <si>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</si>
  <si>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</si>
  <si>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</si>
  <si>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</si>
  <si>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</si>
  <si>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</si>
  <si>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</si>
  <si>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</si>
  <si>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</si>
  <si>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</si>
  <si>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</si>
  <si>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</si>
  <si>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</si>
  <si>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</si>
  <si>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</si>
  <si>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</si>
  <si>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</si>
  <si>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</si>
  <si>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</si>
  <si>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</si>
  <si>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</si>
  <si>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</si>
  <si>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</si>
  <si>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</si>
  <si>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</si>
  <si>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</si>
  <si>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</si>
  <si>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</si>
  <si>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</si>
  <si>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</si>
  <si>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</si>
  <si>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</si>
  <si>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</si>
  <si>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</si>
  <si>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</si>
  <si>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</si>
  <si>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</si>
  <si>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</si>
  <si>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</si>
  <si>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</si>
  <si>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</si>
  <si>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</si>
  <si>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</si>
  <si>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</si>
  <si>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</si>
  <si>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</si>
  <si>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</si>
  <si>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</si>
  <si>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</si>
  <si>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</si>
  <si>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</si>
  <si>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</si>
  <si>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</si>
  <si>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</si>
  <si>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</si>
  <si>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</si>
  <si>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</si>
  <si>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</si>
  <si>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</si>
  <si>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</si>
  <si>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</si>
  <si>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</si>
  <si>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</si>
  <si>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</si>
  <si>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</si>
  <si>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</si>
  <si>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</si>
  <si>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</si>
  <si>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</si>
  <si>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</si>
  <si>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</si>
  <si>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</si>
  <si>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</si>
  <si>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</si>
  <si>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</si>
  <si>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</si>
  <si>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</si>
  <si>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</si>
  <si>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</si>
  <si>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</si>
  <si>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</si>
  <si>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</si>
  <si>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</si>
  <si>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</si>
  <si>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</si>
  <si>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</si>
  <si>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</si>
  <si>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</si>
  <si>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</si>
  <si>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</si>
  <si>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</si>
  <si>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</si>
  <si>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</si>
  <si>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</si>
  <si>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</si>
  <si>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</si>
  <si>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</si>
  <si>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</si>
  <si>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</si>
  <si>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</si>
  <si>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</si>
  <si>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</si>
  <si>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</si>
  <si>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</si>
  <si>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</si>
  <si>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</si>
  <si>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</si>
  <si>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</si>
  <si>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</si>
  <si>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</si>
  <si>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</si>
  <si>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</si>
  <si>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</si>
  <si>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</si>
  <si>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</si>
  <si>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</si>
  <si>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</si>
  <si>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</si>
  <si>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</si>
  <si>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</si>
  <si>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</si>
  <si>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</si>
  <si>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</si>
  <si>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</si>
  <si>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</si>
  <si>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</si>
  <si>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</si>
  <si>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</si>
  <si>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</si>
  <si>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</si>
  <si>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</si>
  <si>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</si>
  <si>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</si>
  <si>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</si>
  <si>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</si>
  <si>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</si>
  <si>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</si>
  <si>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</si>
  <si>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</si>
  <si>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</si>
  <si>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</si>
  <si>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</si>
  <si>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</si>
  <si>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</si>
  <si>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</si>
  <si>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</si>
  <si>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</si>
  <si>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</si>
  <si>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</si>
  <si>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</si>
  <si>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</si>
  <si>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</si>
  <si>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</si>
  <si>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</si>
  <si>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</si>
  <si>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</si>
  <si>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</si>
  <si>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</si>
  <si>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</si>
  <si>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</si>
  <si>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</si>
  <si>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</si>
  <si>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</si>
  <si>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</si>
  <si>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</si>
  <si>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</si>
  <si>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</si>
  <si>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</si>
  <si>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</si>
  <si>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</si>
  <si>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</si>
  <si>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</si>
  <si>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</si>
  <si>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</si>
  <si>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</si>
  <si>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</si>
  <si>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</si>
  <si>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</si>
  <si>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</si>
  <si>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</si>
  <si>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</si>
  <si>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</si>
  <si>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</si>
  <si>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</si>
  <si>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</si>
  <si>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</si>
  <si>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</si>
  <si>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</si>
  <si>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</si>
  <si>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</si>
  <si>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</si>
  <si>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</si>
  <si>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</si>
  <si>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</si>
  <si>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</si>
  <si>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</si>
  <si>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</si>
  <si>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</si>
  <si>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</si>
  <si>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</si>
  <si>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</si>
  <si>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</si>
  <si>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</si>
  <si>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</si>
  <si>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</si>
  <si>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</si>
  <si>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</si>
  <si>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</si>
  <si>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</si>
  <si>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</si>
  <si>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</si>
  <si>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</si>
  <si>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</si>
  <si>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</si>
  <si>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</si>
  <si>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</si>
  <si>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</si>
  <si>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</si>
  <si>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</si>
  <si>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</si>
  <si>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</si>
  <si>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</si>
  <si>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</si>
  <si>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</si>
  <si>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</si>
  <si>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</si>
  <si>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</si>
  <si>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</si>
  <si>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</si>
  <si>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</si>
  <si>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</si>
  <si>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</si>
  <si>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</si>
  <si>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</si>
  <si>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</si>
  <si>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</si>
  <si>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</si>
  <si>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</si>
  <si>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</si>
  <si>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</si>
  <si>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</si>
  <si>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</si>
  <si>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</si>
  <si>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</si>
  <si>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</si>
  <si>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</si>
  <si>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</si>
  <si>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</si>
  <si>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</si>
  <si>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</si>
  <si>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</si>
  <si>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</si>
  <si>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</si>
  <si>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</si>
  <si>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</si>
  <si>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</si>
  <si>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</si>
  <si>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</si>
  <si>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</si>
  <si>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</si>
  <si>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</si>
  <si>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</si>
  <si>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</si>
  <si>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</si>
  <si>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</si>
  <si>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</si>
  <si>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</si>
  <si>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</si>
  <si>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</si>
  <si>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</si>
  <si>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</si>
  <si>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</si>
  <si>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</si>
  <si>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</si>
  <si>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</si>
  <si>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</si>
  <si>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</si>
  <si>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</si>
  <si>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</si>
  <si>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</si>
  <si>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</si>
  <si>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</si>
  <si>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</si>
  <si>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</si>
  <si>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</si>
  <si>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</si>
  <si>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</si>
  <si>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</si>
  <si>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</si>
  <si>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</si>
  <si>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</si>
  <si>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</si>
  <si>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</si>
  <si>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</si>
  <si>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</si>
  <si>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</si>
  <si>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</si>
  <si>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</si>
  <si>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</si>
  <si>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</si>
  <si>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</si>
  <si>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</si>
  <si>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</si>
  <si>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</si>
  <si>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</si>
  <si>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</si>
  <si>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</si>
  <si>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</si>
  <si>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</si>
  <si>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</si>
  <si>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</si>
  <si>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</si>
  <si>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</si>
  <si>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</si>
  <si>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</si>
  <si>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</si>
  <si>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</si>
  <si>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</si>
  <si>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</si>
  <si>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</si>
  <si>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</si>
  <si>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</si>
  <si>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</si>
  <si>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</si>
  <si>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</si>
  <si>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</si>
  <si>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</si>
  <si>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</si>
  <si>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</si>
  <si>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</si>
  <si>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</si>
  <si>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</si>
  <si>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</si>
  <si>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</si>
  <si>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</si>
  <si>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</si>
  <si>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</si>
  <si>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</si>
  <si>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</si>
  <si>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</si>
  <si>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</si>
  <si>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</si>
  <si>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</si>
  <si>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</si>
  <si>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</si>
  <si>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</si>
  <si>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</si>
  <si>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</si>
  <si>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</si>
  <si>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</si>
  <si>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</si>
  <si>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</si>
  <si>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</si>
  <si>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</si>
  <si>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</si>
  <si>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</si>
  <si>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</si>
  <si>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</si>
  <si>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</si>
  <si>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</si>
  <si>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</si>
  <si>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</si>
  <si>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</si>
  <si>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</si>
  <si>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</si>
  <si>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</si>
  <si>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</si>
  <si>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</si>
  <si>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</si>
  <si>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</si>
  <si>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</si>
  <si>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</si>
  <si>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</si>
  <si>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</si>
  <si>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</si>
  <si>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</si>
  <si>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</si>
  <si>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</si>
  <si>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</si>
  <si>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</si>
  <si>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</si>
  <si>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</si>
  <si>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</si>
  <si>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</si>
  <si>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</si>
  <si>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</si>
  <si>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</si>
  <si>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</si>
  <si>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</si>
  <si>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</si>
  <si>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</si>
  <si>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</si>
  <si>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</si>
  <si>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</si>
  <si>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</si>
  <si>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</si>
  <si>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</si>
  <si>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</si>
  <si>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</si>
  <si>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</si>
  <si>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</si>
  <si>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</si>
  <si>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</si>
  <si>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</si>
  <si>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</si>
  <si>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</si>
  <si>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</si>
  <si>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</si>
  <si>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</si>
  <si>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</si>
  <si>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</si>
  <si>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</si>
  <si>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</si>
  <si>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</si>
  <si>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</si>
  <si>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</si>
  <si>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</si>
  <si>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</si>
  <si>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</si>
  <si>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</si>
  <si>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</si>
  <si>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</si>
  <si>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</si>
  <si>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</si>
  <si>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</si>
  <si>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</si>
  <si>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</si>
  <si>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</si>
  <si>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</si>
  <si>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</si>
  <si>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</si>
  <si>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</si>
  <si>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</si>
  <si>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</si>
  <si>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</si>
  <si>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</si>
  <si>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</si>
  <si>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</si>
  <si>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</si>
  <si>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</si>
  <si>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</si>
  <si>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</si>
  <si>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</si>
  <si>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</si>
  <si>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</si>
  <si>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</si>
  <si>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</si>
  <si>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</si>
  <si>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</si>
  <si>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</si>
  <si>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</si>
  <si>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</si>
  <si>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</si>
  <si>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</si>
  <si>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</si>
  <si>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</si>
  <si>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</si>
  <si>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</si>
  <si>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</si>
  <si>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</si>
  <si>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</si>
  <si>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</si>
  <si>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</si>
  <si>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</si>
  <si>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</si>
  <si>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</si>
  <si>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</si>
  <si>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</si>
  <si>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</si>
  <si>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</si>
  <si>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</si>
  <si>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</si>
  <si>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</si>
  <si>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</si>
  <si>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</si>
  <si>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</si>
  <si>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</si>
  <si>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</si>
  <si>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</si>
  <si>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</si>
  <si>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</si>
  <si>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</si>
  <si>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</si>
  <si>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</si>
  <si>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</si>
  <si>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</si>
  <si>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</si>
  <si>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</si>
  <si>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</si>
  <si>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</si>
  <si>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</si>
  <si>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</si>
  <si>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</si>
  <si>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</si>
  <si>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</si>
  <si>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</si>
  <si>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</si>
  <si>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</si>
  <si>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</si>
  <si>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</si>
  <si>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</si>
  <si>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</si>
  <si>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</si>
  <si>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</si>
  <si>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</si>
  <si>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</si>
  <si>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</si>
  <si>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</si>
  <si>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</si>
  <si>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</si>
  <si>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</si>
  <si>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</si>
  <si>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</si>
  <si>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</si>
  <si>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</si>
  <si>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</si>
  <si>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</si>
  <si>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</si>
  <si>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</si>
  <si>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</si>
  <si>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</si>
  <si>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</si>
  <si>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</si>
  <si>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</si>
  <si>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</si>
  <si>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</si>
  <si>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</si>
  <si>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</si>
  <si>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</si>
  <si>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</si>
  <si>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</si>
  <si>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</si>
  <si>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</si>
  <si>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</si>
  <si>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</si>
  <si>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</si>
  <si>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</si>
  <si>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</si>
  <si>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</si>
  <si>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</si>
  <si>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</si>
  <si>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</si>
  <si>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</si>
  <si>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</si>
  <si>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</si>
  <si>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</si>
  <si>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</si>
  <si>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</si>
  <si>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</si>
  <si>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</si>
  <si>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</si>
  <si>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</si>
  <si>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</si>
  <si>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</si>
  <si>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</si>
  <si>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</si>
  <si>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</si>
  <si>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</si>
  <si>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</si>
  <si>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</si>
  <si>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</si>
  <si>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</si>
  <si>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</si>
  <si>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</si>
  <si>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</si>
  <si>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</si>
  <si>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</si>
  <si>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</si>
  <si>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</si>
  <si>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</si>
  <si>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</si>
  <si>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</si>
  <si>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</si>
  <si>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</si>
  <si>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</si>
  <si>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</si>
  <si>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</si>
  <si>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</si>
  <si>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</si>
  <si>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</si>
  <si>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</si>
  <si>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</si>
  <si>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</si>
  <si>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</si>
  <si>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</si>
  <si>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</si>
  <si>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</si>
  <si>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</si>
  <si>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</si>
  <si>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</si>
  <si>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</si>
  <si>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</si>
  <si>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</si>
  <si>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</si>
  <si>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</si>
  <si>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</si>
  <si>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</si>
  <si>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</si>
  <si>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</si>
  <si>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</si>
  <si>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</si>
  <si>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</si>
  <si>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</si>
  <si>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</si>
  <si>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</si>
  <si>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</si>
  <si>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</si>
  <si>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</si>
  <si>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</si>
  <si>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</si>
  <si>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</si>
  <si>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</si>
  <si>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</si>
  <si>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</si>
  <si>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</si>
  <si>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</si>
  <si>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</si>
  <si>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</si>
  <si>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</si>
  <si>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</si>
  <si>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</si>
  <si>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</si>
  <si>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</si>
  <si>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</si>
  <si>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</si>
  <si>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</si>
  <si>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</si>
  <si>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</si>
  <si>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</si>
  <si>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</si>
  <si>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</si>
  <si>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</si>
  <si>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</si>
  <si>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</si>
  <si>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</si>
  <si>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</si>
  <si>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</si>
  <si>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</si>
  <si>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</si>
  <si>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</si>
  <si>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</si>
  <si>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</si>
  <si>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</si>
  <si>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</si>
  <si>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</si>
  <si>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</si>
  <si>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</si>
  <si>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</si>
  <si>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</si>
  <si>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</si>
  <si>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</si>
  <si>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</si>
  <si>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</si>
  <si>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</si>
  <si>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</si>
  <si>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</si>
  <si>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</si>
  <si>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</si>
  <si>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</si>
  <si>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</si>
  <si>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</si>
  <si>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</si>
  <si>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</si>
  <si>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</si>
  <si>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</si>
  <si>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</si>
  <si>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</si>
  <si>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</si>
  <si>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</si>
  <si>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</si>
  <si>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</si>
  <si>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</si>
  <si>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</si>
  <si>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</si>
  <si>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</si>
  <si>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</si>
  <si>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</si>
  <si>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</si>
  <si>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</si>
  <si>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</si>
  <si>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</si>
  <si>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</si>
  <si>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</si>
  <si>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</si>
  <si>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</si>
  <si>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</si>
  <si>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</si>
  <si>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</si>
  <si>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</si>
  <si>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</si>
  <si>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</si>
  <si>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</si>
  <si>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</si>
  <si>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</si>
  <si>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</si>
  <si>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</si>
  <si>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</si>
  <si>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</si>
  <si>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</si>
  <si>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</si>
  <si>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</si>
  <si>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</si>
  <si>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</si>
  <si>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</si>
  <si>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</si>
  <si>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</si>
  <si>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</si>
  <si>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</si>
  <si>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</si>
  <si>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</si>
  <si>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</si>
  <si>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</si>
  <si>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</si>
  <si>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</si>
  <si>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</si>
  <si>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</si>
  <si>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</si>
  <si>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</si>
  <si>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</si>
  <si>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</si>
  <si>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</si>
  <si>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</si>
  <si>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</si>
  <si>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</si>
  <si>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</si>
  <si>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</si>
  <si>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</si>
  <si>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</si>
  <si>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</si>
  <si>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</si>
  <si>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</si>
  <si>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</si>
  <si>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</si>
  <si>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</si>
  <si>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</si>
  <si>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</si>
  <si>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</si>
  <si>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</si>
  <si>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</si>
  <si>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</si>
  <si>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</si>
  <si>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</si>
  <si>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</si>
  <si>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</si>
  <si>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</si>
  <si>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</si>
  <si>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</si>
  <si>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</si>
  <si>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</si>
  <si>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</si>
  <si>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</si>
  <si>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</si>
  <si>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</si>
  <si>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</si>
  <si>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</si>
  <si>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</si>
  <si>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</si>
  <si>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</si>
  <si>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</si>
  <si>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</si>
  <si>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</si>
  <si>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</si>
  <si>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</si>
  <si>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</si>
  <si>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</si>
  <si>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</si>
  <si>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</si>
  <si>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</si>
  <si>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</si>
  <si>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</si>
  <si>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</si>
  <si>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</si>
  <si>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</si>
  <si>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</si>
  <si>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</si>
  <si>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</si>
  <si>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</si>
  <si>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</si>
  <si>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</si>
  <si>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</si>
  <si>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</si>
  <si>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</si>
  <si>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</si>
  <si>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</si>
  <si>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</si>
  <si>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</si>
  <si>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</si>
  <si>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</si>
  <si>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</si>
  <si>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</si>
  <si>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</si>
  <si>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</si>
  <si>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</si>
  <si>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</si>
  <si>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</si>
  <si>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</si>
  <si>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</si>
  <si>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</si>
  <si>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</si>
  <si>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</si>
  <si>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</si>
  <si>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</si>
  <si>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</si>
  <si>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</si>
  <si>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</si>
  <si>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</si>
  <si>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</si>
  <si>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</si>
  <si>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</si>
  <si>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</si>
  <si>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</si>
  <si>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</si>
  <si>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</si>
  <si>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</si>
  <si>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</si>
  <si>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</si>
  <si>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</si>
  <si>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</si>
  <si>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</si>
  <si>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</si>
  <si>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</si>
  <si>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</si>
  <si>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</si>
  <si>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</si>
  <si>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</si>
  <si>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</si>
  <si>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</si>
  <si>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</si>
  <si>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</si>
  <si>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</si>
  <si>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</si>
  <si>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</si>
  <si>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</si>
  <si>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</si>
  <si>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</si>
  <si>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</si>
  <si>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</si>
  <si>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</si>
  <si>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</si>
  <si>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</si>
  <si>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</si>
  <si>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</si>
  <si>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</si>
  <si>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</si>
  <si>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</si>
  <si>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</si>
  <si>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</si>
  <si>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</si>
  <si>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</si>
  <si>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</si>
  <si>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</si>
  <si>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</si>
  <si>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</si>
  <si>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</si>
  <si>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</si>
  <si>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</si>
  <si>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</si>
  <si>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</si>
  <si>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</si>
  <si>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</si>
  <si>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</si>
  <si>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</si>
  <si>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</si>
  <si>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</si>
  <si>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</si>
  <si>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</si>
  <si>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</si>
  <si>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</si>
  <si>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</si>
  <si>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</si>
  <si>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</si>
  <si>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</si>
  <si>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</si>
  <si>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</si>
  <si>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</si>
  <si>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</si>
  <si>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</si>
  <si>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</si>
  <si>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</si>
  <si>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</si>
  <si>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</si>
  <si>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</si>
  <si>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</si>
  <si>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</si>
  <si>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</si>
  <si>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</si>
  <si>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</si>
  <si>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</si>
  <si>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</si>
  <si>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</si>
  <si>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</si>
  <si>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</si>
  <si>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</si>
  <si>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</si>
  <si>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</si>
  <si>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</si>
  <si>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</si>
  <si>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</si>
  <si>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</si>
  <si>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</si>
  <si>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</si>
  <si>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</si>
  <si>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</si>
  <si>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</si>
  <si>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</si>
  <si>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</si>
  <si>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</si>
  <si>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</si>
  <si>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</si>
  <si>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</si>
  <si>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</si>
  <si>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</si>
  <si>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</si>
  <si>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</si>
  <si>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</si>
  <si>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</si>
  <si>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</si>
  <si>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</si>
  <si>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</si>
  <si>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</si>
  <si>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</si>
  <si>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</si>
  <si>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</si>
  <si>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</si>
  <si>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</si>
  <si>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</si>
  <si>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</si>
  <si>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</si>
  <si>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</si>
  <si>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</si>
  <si>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</si>
  <si>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</si>
  <si>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</si>
  <si>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</si>
  <si>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</si>
  <si>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</si>
  <si>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</si>
  <si>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</si>
  <si>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</si>
  <si>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</si>
  <si>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</si>
  <si>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</si>
  <si>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</si>
  <si>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</si>
  <si>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</si>
  <si>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</si>
  <si>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</si>
  <si>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</si>
  <si>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</si>
  <si>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</si>
  <si>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</si>
  <si>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</si>
  <si>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</si>
  <si>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</si>
  <si>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</si>
  <si>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</si>
  <si>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</si>
  <si>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</si>
  <si>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</si>
  <si>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</si>
  <si>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</si>
  <si>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</si>
  <si>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</si>
  <si>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</si>
  <si>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</si>
  <si>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</si>
  <si>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</si>
  <si>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</si>
  <si>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</si>
  <si>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</si>
  <si>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</si>
  <si>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</si>
  <si>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</si>
  <si>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</si>
  <si>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</si>
  <si>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</si>
  <si>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</si>
  <si>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</si>
  <si>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</si>
  <si>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</si>
  <si>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</si>
  <si>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</si>
  <si>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</si>
  <si>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</si>
  <si>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</si>
  <si>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</si>
  <si>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</si>
  <si>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</si>
  <si>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</si>
  <si>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</si>
  <si>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</si>
  <si>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</si>
  <si>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</si>
  <si>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</si>
  <si>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</si>
  <si>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</si>
  <si>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</si>
  <si>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</si>
  <si>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</si>
  <si>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</si>
  <si>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</si>
  <si>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</si>
  <si>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</si>
  <si>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</si>
  <si>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</si>
  <si>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</si>
  <si>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ESTILO INGENIERIA S.A.</t>
  </si>
  <si>
    <t>MARKETING ADS S.A.S</t>
  </si>
  <si>
    <t>LUIS ENRRIQUE CRUZ</t>
  </si>
  <si>
    <t>CONDOMINIO MIRADOR DEL SOCHAGOTA</t>
  </si>
  <si>
    <t>CONJUNTO MULTIFAMILIAR SENDEROS DEL PARQUE</t>
  </si>
  <si>
    <t>PH EDIFICIO MULTIFAMILIAR EL SENDERO II</t>
  </si>
  <si>
    <t>PH EDIFICIO MALOCA</t>
  </si>
  <si>
    <t>PH EDIFICIO RUSTICO 6-17</t>
  </si>
  <si>
    <t>PH EDIFICIO COMERCIAL MULTIFAMILIAR SALITRE PAIPA</t>
  </si>
  <si>
    <t>EDIFICIO SENDERO 1</t>
  </si>
  <si>
    <t>EDIFICIO SENDERO III</t>
  </si>
  <si>
    <t>impuestos@estiloingenieria.com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</si>
</sst>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2"/>
      <color rgb="FF045A8D"/>
      <name val="Arial"/>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14" fillId="0" borderId="0" xfId="0" applyFont="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2024/Exogenas/Regional%20Centro/PAIPA/PFE1.xlsx" TargetMode="External"/><Relationship Id="rId2" Type="http://schemas.openxmlformats.org/officeDocument/2006/relationships/externalLinkPath" Target="file:///\\192.168.1.71\Impuestos\1.%20Especialista%20de%20Impuestos\Declaraciones%20Tributarias\ICA\HOJAS%20DE%20TRABAJO\2024\Exogenas\Regional%20Centro\PAIPA\PFE1.xlsx" TargetMode="External"/><Relationship Id="rId1" Type="http://schemas.openxmlformats.org/officeDocument/2006/relationships/externalLinkPath" Target="/1.%20Especialista%20de%20Impuestos/Declaraciones%20Tributarias/ICA/HOJAS%20DE%20TRABAJO/2024/Exogenas/Regional%20Centro/PAIPA/PFE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PFE1"/>
      <sheetName val="Actividades"/>
      <sheetName val="Municipios"/>
    </sheetNames>
    <sheetDataSet>
      <sheetData sheetId="0">
        <row r="7">
          <cell r="A7">
            <v>900532539</v>
          </cell>
          <cell r="B7">
            <v>5</v>
          </cell>
          <cell r="C7" t="str">
            <v>CONJUNTO MULTIFAMILIAR SENDEROS DEL PARQUE</v>
          </cell>
          <cell r="D7" t="str">
            <v>senderosdelparquepaipab@gmail.com</v>
          </cell>
          <cell r="E7">
            <v>3017868840</v>
          </cell>
          <cell r="F7" t="str">
            <v>CR 22  25  43</v>
          </cell>
        </row>
        <row r="8">
          <cell r="A8">
            <v>901377297</v>
          </cell>
          <cell r="B8">
            <v>7</v>
          </cell>
          <cell r="C8" t="str">
            <v>EDIFICIO SENDERO 1</v>
          </cell>
          <cell r="D8" t="str">
            <v>edificiosendero1@hotmail.com</v>
          </cell>
          <cell r="E8">
            <v>3163526441</v>
          </cell>
          <cell r="F8" t="str">
            <v>CL 21 22 A 10 ED SENDERO 1</v>
          </cell>
        </row>
        <row r="9">
          <cell r="A9">
            <v>900675081</v>
          </cell>
          <cell r="B9">
            <v>8</v>
          </cell>
          <cell r="C9" t="str">
            <v>PH EDIFICIO MULTIFAMILIAR EL SENDERO II</v>
          </cell>
          <cell r="D9" t="str">
            <v>edificiomultifamiliarsendero2@gmail.com</v>
          </cell>
          <cell r="E9">
            <v>3103109620</v>
          </cell>
          <cell r="F9" t="str">
            <v>CL 21 22 13 BRR CENTRO</v>
          </cell>
        </row>
        <row r="10">
          <cell r="A10">
            <v>900780519</v>
          </cell>
          <cell r="B10">
            <v>0</v>
          </cell>
          <cell r="C10" t="str">
            <v>PH EDIFICIO MALOCA</v>
          </cell>
          <cell r="D10" t="str">
            <v>edificiomalocapaipa@outlook.com</v>
          </cell>
          <cell r="E10">
            <v>3213704582</v>
          </cell>
          <cell r="F10" t="str">
            <v>CR 19 28 60</v>
          </cell>
        </row>
        <row r="11">
          <cell r="A11">
            <v>901169520</v>
          </cell>
          <cell r="B11">
            <v>3</v>
          </cell>
          <cell r="C11" t="str">
            <v>PH EDIFICIO COMERCIAL MULTIFAMILIAR SALITRE PAIPA</v>
          </cell>
          <cell r="D11" t="str">
            <v>luedfosa26@hotmail.com</v>
          </cell>
          <cell r="E11">
            <v>3115686721</v>
          </cell>
          <cell r="F11" t="str">
            <v>CL 25 19 47</v>
          </cell>
        </row>
        <row r="12">
          <cell r="A12">
            <v>901113516</v>
          </cell>
          <cell r="B12">
            <v>2</v>
          </cell>
          <cell r="C12" t="str">
            <v>PH EDIFICIO RUSTICO 6-17</v>
          </cell>
          <cell r="D12" t="str">
            <v>edificiorustico6.17@gmail.com</v>
          </cell>
          <cell r="E12">
            <v>3144119262</v>
          </cell>
          <cell r="F12" t="str">
            <v>CL 25 6 17</v>
          </cell>
        </row>
        <row r="13">
          <cell r="A13">
            <v>901414807</v>
          </cell>
          <cell r="B13">
            <v>2</v>
          </cell>
          <cell r="C13" t="str">
            <v>EDIFICIO SENDERO III</v>
          </cell>
          <cell r="D13" t="str">
            <v>edificiosendero3@gmail.com</v>
          </cell>
          <cell r="E13">
            <v>3133920847</v>
          </cell>
          <cell r="F13" t="str">
            <v>CR 22 20 A 38</v>
          </cell>
        </row>
        <row r="14">
          <cell r="A14">
            <v>900147540</v>
          </cell>
          <cell r="B14">
            <v>2</v>
          </cell>
          <cell r="C14" t="str">
            <v>CONDOMINIO MIRADOR DEL SOCHAGOTA</v>
          </cell>
          <cell r="D14" t="str">
            <v>edificiomiradorsochagotapaipa@gmail.com</v>
          </cell>
          <cell r="E14">
            <v>3125547559</v>
          </cell>
          <cell r="F14" t="str">
            <v>CR 19 27 97</v>
          </cell>
        </row>
        <row r="15">
          <cell r="A15">
            <v>19099642</v>
          </cell>
          <cell r="B15">
            <v>3</v>
          </cell>
          <cell r="C15" t="str">
            <v>LUIS ENRRIQUE CRUZ</v>
          </cell>
          <cell r="D15" t="str">
            <v>cruzbaronasociados@yahoo.es</v>
          </cell>
          <cell r="F15" t="str">
            <v>AV LIBERTADORES 22 01</v>
          </cell>
        </row>
      </sheetData>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K7" sqref="K7:K1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860063830</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2026</v>
      </c>
      <c r="D4" s="21"/>
      <c r="E4" s="22"/>
      <c r="F4" s="1"/>
      <c r="G4" s="1"/>
      <c r="H4" s="1"/>
      <c r="I4" s="1"/>
      <c r="J4" s="1"/>
      <c r="K4" s="1"/>
    </row>
    <row r="5" spans="1:11" x14ac:dyDescent="0.25">
      <c r="A5" s="15" t="s">
        <v>5</v>
      </c>
      <c r="B5" s="15"/>
      <c r="C5" s="16">
        <v>46167</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19099642</v>
      </c>
      <c r="B7" t="s">
        <v>2255</v>
      </c>
      <c r="C7" s="6" t="str">
        <f>+VLOOKUP(A7,[1]PFE1!$A$7:$D$15,4,0)</f>
        <v>cruzbaronasociados@yahoo.es</v>
      </c>
      <c r="D7" s="6">
        <f>+VLOOKUP(A7,[1]PFE1!$A$7:$E$15,5,0)</f>
        <v>0</v>
      </c>
      <c r="E7" s="6" t="str">
        <f>+VLOOKUP(A7,[1]PFE1!$A$7:$F$15,6,0)</f>
        <v>AV LIBERTADORES 22 01</v>
      </c>
      <c r="F7" s="6">
        <v>15516</v>
      </c>
      <c r="G7" s="6">
        <v>334</v>
      </c>
      <c r="H7" s="6">
        <v>2397394</v>
      </c>
      <c r="I7" s="6">
        <v>0</v>
      </c>
      <c r="J7" s="6">
        <v>0</v>
      </c>
      <c r="K7" s="6">
        <v>25412</v>
      </c>
    </row>
    <row r="8" spans="1:11" x14ac:dyDescent="0.25">
      <c r="A8" s="6">
        <v>900147540</v>
      </c>
      <c r="B8" s="6" t="s">
        <v>2256</v>
      </c>
      <c r="C8" s="6" t="str">
        <f>+VLOOKUP(A8,[1]PFE1!$A$7:$D$15,4,0)</f>
        <v>edificiomiradorsochagotapaipa@gmail.com</v>
      </c>
      <c r="D8" s="6">
        <f>+VLOOKUP(A8,[1]PFE1!$A$7:$E$15,5,0)</f>
        <v>3125547559</v>
      </c>
      <c r="E8" s="6" t="str">
        <f>+VLOOKUP(A8,[1]PFE1!$A$7:$F$15,6,0)</f>
        <v>CR 19 27 97</v>
      </c>
      <c r="F8" s="6">
        <v>15516</v>
      </c>
      <c r="G8" s="6">
        <v>334</v>
      </c>
      <c r="H8" s="6">
        <v>4763905</v>
      </c>
      <c r="I8" s="6">
        <v>0</v>
      </c>
      <c r="J8" s="6">
        <v>0</v>
      </c>
      <c r="K8" s="6">
        <v>50021</v>
      </c>
    </row>
    <row r="9" spans="1:11" x14ac:dyDescent="0.25">
      <c r="A9" s="6">
        <v>900532539</v>
      </c>
      <c r="B9" s="6" t="s">
        <v>2257</v>
      </c>
      <c r="C9" s="6" t="str">
        <f>+VLOOKUP(A9,[1]PFE1!$A$7:$D$15,4,0)</f>
        <v>senderosdelparquepaipab@gmail.com</v>
      </c>
      <c r="D9" s="6">
        <f>+VLOOKUP(A9,[1]PFE1!$A$7:$E$15,5,0)</f>
        <v>3017868840</v>
      </c>
      <c r="E9" s="6" t="str">
        <f>+VLOOKUP(A9,[1]PFE1!$A$7:$F$15,6,0)</f>
        <v>CR 22  25  43</v>
      </c>
      <c r="F9" s="6">
        <v>15516</v>
      </c>
      <c r="G9" s="6">
        <v>334</v>
      </c>
      <c r="H9" s="6">
        <v>6807077</v>
      </c>
      <c r="I9" s="6">
        <v>0</v>
      </c>
      <c r="J9" s="6">
        <v>0</v>
      </c>
      <c r="K9" s="6">
        <v>71474</v>
      </c>
    </row>
    <row r="10" spans="1:11" x14ac:dyDescent="0.25">
      <c r="A10" s="6">
        <v>900675081</v>
      </c>
      <c r="B10" s="6" t="s">
        <v>2258</v>
      </c>
      <c r="C10" s="6" t="str">
        <f>+VLOOKUP(A10,[1]PFE1!$A$7:$D$15,4,0)</f>
        <v>edificiomultifamiliarsendero2@gmail.com</v>
      </c>
      <c r="D10" s="6">
        <f>+VLOOKUP(A10,[1]PFE1!$A$7:$E$15,5,0)</f>
        <v>3103109620</v>
      </c>
      <c r="E10" s="6" t="str">
        <f>+VLOOKUP(A10,[1]PFE1!$A$7:$F$15,6,0)</f>
        <v>CL 21 22 13 BRR CENTRO</v>
      </c>
      <c r="F10" s="6">
        <v>15516</v>
      </c>
      <c r="G10" s="6">
        <v>334</v>
      </c>
      <c r="H10" s="6">
        <v>7288670</v>
      </c>
      <c r="I10" s="6">
        <v>0</v>
      </c>
      <c r="J10" s="6">
        <v>0</v>
      </c>
      <c r="K10" s="6">
        <v>76531</v>
      </c>
    </row>
    <row r="11" spans="1:11" x14ac:dyDescent="0.25">
      <c r="A11" s="6">
        <v>900780519</v>
      </c>
      <c r="B11" s="6" t="s">
        <v>2259</v>
      </c>
      <c r="C11" s="6" t="str">
        <f>+VLOOKUP(A11,[1]PFE1!$A$7:$D$15,4,0)</f>
        <v>edificiomalocapaipa@outlook.com</v>
      </c>
      <c r="D11" s="6">
        <f>+VLOOKUP(A11,[1]PFE1!$A$7:$E$15,5,0)</f>
        <v>3213704582</v>
      </c>
      <c r="E11" s="6" t="str">
        <f>+VLOOKUP(A11,[1]PFE1!$A$7:$F$15,6,0)</f>
        <v>CR 19 28 60</v>
      </c>
      <c r="F11" s="6">
        <v>15516</v>
      </c>
      <c r="G11" s="6">
        <v>334</v>
      </c>
      <c r="H11" s="6">
        <v>5962242</v>
      </c>
      <c r="I11" s="6">
        <v>0</v>
      </c>
      <c r="J11" s="6">
        <v>0</v>
      </c>
      <c r="K11" s="6">
        <v>62603</v>
      </c>
    </row>
    <row r="12" spans="1:11" x14ac:dyDescent="0.25">
      <c r="A12" s="6">
        <v>901113516</v>
      </c>
      <c r="B12" s="6" t="s">
        <v>2260</v>
      </c>
      <c r="C12" s="6" t="str">
        <f>+VLOOKUP(A12,[1]PFE1!$A$7:$D$15,4,0)</f>
        <v>edificiorustico6.17@gmail.com</v>
      </c>
      <c r="D12" s="6">
        <f>+VLOOKUP(A12,[1]PFE1!$A$7:$E$15,5,0)</f>
        <v>3144119262</v>
      </c>
      <c r="E12" s="6" t="str">
        <f>+VLOOKUP(A12,[1]PFE1!$A$7:$F$15,6,0)</f>
        <v>CL 25 6 17</v>
      </c>
      <c r="F12" s="6">
        <v>15516</v>
      </c>
      <c r="G12" s="6">
        <v>334</v>
      </c>
      <c r="H12" s="6">
        <v>6506660</v>
      </c>
      <c r="I12" s="6">
        <v>0</v>
      </c>
      <c r="J12" s="6">
        <v>0</v>
      </c>
      <c r="K12" s="6">
        <v>68319</v>
      </c>
    </row>
    <row r="13" spans="1:11" x14ac:dyDescent="0.25">
      <c r="A13" s="6">
        <v>901169520</v>
      </c>
      <c r="B13" s="6" t="s">
        <v>2261</v>
      </c>
      <c r="C13" s="6" t="str">
        <f>+VLOOKUP(A13,[1]PFE1!$A$7:$D$15,4,0)</f>
        <v>luedfosa26@hotmail.com</v>
      </c>
      <c r="D13" s="6">
        <f>+VLOOKUP(A13,[1]PFE1!$A$7:$E$15,5,0)</f>
        <v>3115686721</v>
      </c>
      <c r="E13" s="6" t="str">
        <f>+VLOOKUP(A13,[1]PFE1!$A$7:$F$15,6,0)</f>
        <v>CL 25 19 47</v>
      </c>
      <c r="F13" s="6">
        <v>15516</v>
      </c>
      <c r="G13" s="6">
        <v>334</v>
      </c>
      <c r="H13" s="6">
        <v>7175562</v>
      </c>
      <c r="I13" s="6">
        <v>0</v>
      </c>
      <c r="J13" s="6">
        <v>0</v>
      </c>
      <c r="K13" s="6">
        <v>76343</v>
      </c>
    </row>
    <row r="14" spans="1:11" ht="15.75" x14ac:dyDescent="0.25">
      <c r="A14" s="6">
        <v>901242228</v>
      </c>
      <c r="B14" s="25" t="s">
        <v>2254</v>
      </c>
      <c r="C14" s="6" t="s">
        <v>2264</v>
      </c>
      <c r="D14" s="6">
        <v>0</v>
      </c>
      <c r="E14" s="6">
        <v>0</v>
      </c>
      <c r="F14" s="6">
        <v>15516</v>
      </c>
      <c r="G14" s="6">
        <v>334</v>
      </c>
      <c r="H14" s="6">
        <v>270000</v>
      </c>
      <c r="I14" s="6">
        <v>0</v>
      </c>
      <c r="J14" s="6">
        <v>0</v>
      </c>
      <c r="K14" s="6">
        <v>2835</v>
      </c>
    </row>
    <row r="15" spans="1:11" x14ac:dyDescent="0.25">
      <c r="A15" s="6">
        <v>901377297</v>
      </c>
      <c r="B15" s="6" t="s">
        <v>2262</v>
      </c>
      <c r="C15" s="6" t="str">
        <f>+VLOOKUP(A15,[1]PFE1!$A$7:$D$15,4,0)</f>
        <v>edificiosendero1@hotmail.com</v>
      </c>
      <c r="D15" s="6">
        <f>+VLOOKUP(A15,[1]PFE1!$A$7:$E$15,5,0)</f>
        <v>3163526441</v>
      </c>
      <c r="E15" s="6" t="str">
        <f>+VLOOKUP(A15,[1]PFE1!$A$7:$F$15,6,0)</f>
        <v>CL 21 22 A 10 ED SENDERO 1</v>
      </c>
      <c r="F15" s="6">
        <v>15516</v>
      </c>
      <c r="G15" s="6">
        <v>334</v>
      </c>
      <c r="H15" s="6">
        <v>6339743</v>
      </c>
      <c r="I15" s="6">
        <v>0</v>
      </c>
      <c r="J15" s="6">
        <v>0</v>
      </c>
      <c r="K15" s="6">
        <v>66567</v>
      </c>
    </row>
    <row r="16" spans="1:11" x14ac:dyDescent="0.25">
      <c r="A16" s="6">
        <v>901414807</v>
      </c>
      <c r="B16" s="6" t="s">
        <v>2263</v>
      </c>
      <c r="C16" s="6" t="str">
        <f>+VLOOKUP(A16,[1]PFE1!$A$7:$D$15,4,0)</f>
        <v>edificiosendero3@gmail.com</v>
      </c>
      <c r="D16" s="6">
        <f>+VLOOKUP(A16,[1]PFE1!$A$7:$E$15,5,0)</f>
        <v>3133920847</v>
      </c>
      <c r="E16" s="6" t="str">
        <f>+VLOOKUP(A16,[1]PFE1!$A$7:$F$15,6,0)</f>
        <v>CR 22 20 A 38</v>
      </c>
      <c r="F16" s="6">
        <v>15516</v>
      </c>
      <c r="G16" s="6">
        <v>334</v>
      </c>
      <c r="H16" s="6">
        <v>6910189</v>
      </c>
      <c r="I16" s="6">
        <v>0</v>
      </c>
      <c r="J16" s="6">
        <v>0</v>
      </c>
      <c r="K16" s="6">
        <v>72556</v>
      </c>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ht="15.75" x14ac:dyDescent="0.25">
      <c r="A19" s="6"/>
      <c r="B19" s="25"/>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3 B15:B18 B20: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Office 41</cp:lastModifiedBy>
  <dcterms:created xsi:type="dcterms:W3CDTF">2026-04-10T15:51:51Z</dcterms:created>
  <dcterms:modified xsi:type="dcterms:W3CDTF">2026-06-25T13:47:38Z</dcterms:modified>
</cp:coreProperties>
</file>