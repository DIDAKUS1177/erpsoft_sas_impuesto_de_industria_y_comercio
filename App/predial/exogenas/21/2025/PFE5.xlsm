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28389E77-7640-9E18-AD5C-E98E2F4A8B83}"/>
  <workbookPr codeName="ThisWorkbook"/>
  <mc:AlternateContent xmlns:mc="http://schemas.openxmlformats.org/markup-compatibility/2006">
    <mc:Choice Requires="x15">
      <x15ac:absPath xmlns:x15ac="http://schemas.microsoft.com/office/spreadsheetml/2010/11/ac" url="\\Gerente\_e\disco c\IVA 2025\INDUSTRIAS CEM\"/>
    </mc:Choice>
  </mc:AlternateContent>
  <xr:revisionPtr revIDLastSave="0" documentId="13_ncr:1_{5C4F0420-1D1F-4A88-A721-B0CBD7E09876}"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0730" windowHeight="11040" xr2:uid="{00000000-000D-0000-FFFF-FFFF00000000}"/>
  </bookViews>
  <sheets>
    <sheet name="PFE5" sheetId="1" r:id="rId1"/>
    <sheet name="Actividades" sheetId="2" r:id="rId2"/>
    <sheet name="Municipios" sheetId="3" r:id="rId3"/>
  </sheets>
  <definedNames>
    <definedName name="MiLista">#REF!</definedName>
  </definedNames>
  <calcPr calcId="191029"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 uri="GoogleSheetsCustomDataVersion2">
      <go:sheetsCustomData xmlns:go="http://customooxmlschemas.google.com/" r:id="rId7" roundtripDataChecksum="zd464GkZmhfDPnV9TSrcXUGqoZMVr/z8x/ruWicrsL0="/>
    </ext>
  </extLst>
</workbook>
</file>

<file path=xl/calcChain.xml><?xml version="1.0" encoding="utf-8"?>
<calcChain xmlns="http://schemas.openxmlformats.org/spreadsheetml/2006/main">
  <c r="I12" i="1" l="1"/>
  <c r="H12" i="1"/>
  <c r="I11" i="1"/>
  <c r="H11" i="1"/>
  <c r="I16" i="1"/>
  <c r="H16" i="1"/>
  <c r="I14" i="1"/>
  <c r="H14" i="1"/>
  <c r="I13" i="1" l="1"/>
  <c r="H13" i="1"/>
  <c r="I9" i="1" l="1"/>
  <c r="H9" i="1"/>
  <c r="I7" i="1"/>
  <c r="H7" i="1"/>
  <c r="I15" i="1" l="1"/>
  <c r="H15" i="1"/>
  <c r="I8" i="1" l="1"/>
  <c r="H8"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<sst xmlns="http://schemas.openxmlformats.org/spreadsheetml/2006/main" count="2393" uniqueCount="2302">
  <si>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</si>
  <si>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</si>
  <si>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</si>
  <si>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</si>
  <si>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</si>
  <si>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</si>
  <si>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</si>
  <si>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</si>
  <si>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</si>
  <si>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</si>
  <si>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</si>
  <si>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</si>
  <si>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</si>
  <si>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</si>
  <si>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</si>
  <si>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</si>
  <si>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</si>
  <si>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</si>
  <si>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</si>
  <si>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</si>
  <si>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</si>
  <si>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</si>
  <si>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</si>
  <si>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</si>
  <si>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</si>
  <si>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</si>
  <si>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</si>
  <si>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</si>
  <si>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</si>
  <si>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</si>
  <si>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</si>
  <si>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</si>
  <si>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</si>
  <si>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</si>
  <si>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</si>
  <si>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</si>
  <si>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</si>
  <si>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</si>
  <si>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</si>
  <si>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</si>
  <si>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</si>
  <si>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</si>
  <si>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</si>
  <si>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</si>
  <si>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</si>
  <si>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</si>
  <si>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</si>
  <si>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</si>
  <si>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</si>
  <si>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</si>
  <si>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</si>
  <si>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</si>
  <si>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</si>
  <si>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</si>
  <si>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</si>
  <si>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</si>
  <si>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</si>
  <si>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</si>
  <si>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</si>
  <si>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</si>
  <si>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</si>
  <si>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</si>
  <si>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</si>
  <si>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</si>
  <si>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</si>
  <si>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</si>
  <si>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</si>
  <si>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</si>
  <si>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</si>
  <si>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</si>
  <si>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</si>
  <si>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</si>
  <si>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</si>
  <si>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</si>
  <si>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</si>
  <si>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</si>
  <si>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</si>
  <si>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</si>
  <si>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</si>
  <si>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</si>
  <si>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</si>
  <si>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</si>
  <si>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</si>
  <si>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</si>
  <si>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</si>
  <si>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</si>
  <si>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</si>
  <si>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</si>
  <si>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</si>
  <si>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</si>
  <si>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</si>
  <si>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</si>
  <si>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</si>
  <si>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</si>
  <si>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</si>
  <si>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</si>
  <si>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</si>
  <si>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</si>
  <si>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</si>
  <si>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</si>
  <si>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</si>
  <si>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</si>
  <si>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</si>
  <si>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</si>
  <si>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</si>
  <si>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</si>
  <si>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</si>
  <si>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</si>
  <si>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</si>
  <si>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</si>
  <si>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</si>
  <si>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</si>
  <si>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</si>
  <si>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</si>
  <si>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</si>
  <si>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</si>
  <si>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</si>
  <si>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</si>
  <si>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</si>
  <si>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</si>
  <si>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</si>
  <si>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</si>
  <si>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</si>
  <si>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</si>
  <si>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</si>
  <si>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</si>
  <si>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</si>
  <si>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</si>
  <si>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</si>
  <si>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</si>
  <si>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</si>
  <si>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</si>
  <si>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</si>
  <si>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</si>
  <si>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</si>
  <si>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</si>
  <si>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</si>
  <si>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</si>
  <si>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</si>
  <si>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</si>
  <si>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</si>
  <si>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</si>
  <si>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</si>
  <si>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</si>
  <si>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</si>
  <si>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</si>
  <si>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</si>
  <si>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</si>
  <si>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</si>
  <si>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</si>
  <si>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</si>
  <si>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</si>
  <si>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</si>
  <si>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</si>
  <si>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</si>
  <si>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</si>
  <si>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</si>
  <si>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</si>
  <si>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</si>
  <si>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</si>
  <si>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</si>
  <si>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</si>
  <si>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</si>
  <si>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</si>
  <si>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</si>
  <si>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</si>
  <si>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</si>
  <si>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</si>
  <si>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</si>
  <si>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</si>
  <si>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</si>
  <si>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</si>
  <si>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</si>
  <si>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</si>
  <si>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</si>
  <si>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</si>
  <si>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</si>
  <si>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</si>
  <si>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</si>
  <si>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</si>
  <si>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</si>
  <si>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</si>
  <si>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</si>
  <si>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</si>
  <si>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</si>
  <si>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</si>
  <si>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</si>
  <si>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</si>
  <si>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</si>
  <si>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</si>
  <si>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</si>
  <si>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</si>
  <si>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</si>
  <si>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</si>
  <si>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</si>
  <si>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</si>
  <si>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</si>
  <si>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</si>
  <si>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</si>
  <si>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</si>
  <si>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</si>
  <si>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</si>
  <si>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</si>
  <si>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</si>
  <si>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</si>
  <si>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</si>
  <si>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</si>
  <si>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</si>
  <si>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</si>
  <si>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</si>
  <si>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</si>
  <si>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</si>
  <si>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</si>
  <si>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</si>
  <si>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</si>
  <si>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</si>
  <si>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</si>
  <si>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</si>
  <si>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</si>
  <si>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</si>
  <si>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</si>
  <si>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</si>
  <si>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</si>
  <si>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</si>
  <si>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</si>
  <si>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</si>
  <si>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</si>
  <si>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</si>
  <si>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</si>
  <si>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</si>
  <si>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</si>
  <si>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</si>
  <si>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</si>
  <si>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</si>
  <si>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</si>
  <si>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</si>
  <si>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</si>
  <si>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</si>
  <si>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</si>
  <si>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</si>
  <si>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</si>
  <si>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</si>
  <si>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</si>
  <si>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</si>
  <si>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</si>
  <si>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</si>
  <si>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</si>
  <si>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</si>
  <si>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</si>
  <si>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</si>
  <si>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</si>
  <si>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</si>
  <si>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</si>
  <si>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</si>
  <si>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</si>
  <si>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</si>
  <si>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</si>
  <si>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</si>
  <si>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</si>
  <si>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</si>
  <si>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</si>
  <si>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</si>
  <si>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</si>
  <si>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</si>
  <si>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</si>
  <si>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</si>
  <si>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</si>
  <si>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</si>
  <si>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</si>
  <si>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</si>
  <si>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</si>
  <si>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</si>
  <si>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</si>
  <si>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</si>
  <si>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</si>
  <si>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</si>
  <si>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</si>
  <si>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</si>
  <si>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</si>
  <si>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</si>
  <si>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</si>
  <si>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</si>
  <si>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</si>
  <si>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</si>
  <si>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</si>
  <si>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</si>
  <si>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</si>
  <si>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</si>
  <si>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</si>
  <si>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</si>
  <si>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</si>
  <si>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</si>
  <si>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</si>
  <si>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</si>
  <si>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</si>
  <si>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</si>
  <si>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</si>
  <si>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</si>
  <si>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</si>
  <si>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</si>
  <si>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</si>
  <si>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</si>
  <si>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</si>
  <si>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</si>
  <si>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</si>
  <si>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</si>
  <si>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</si>
  <si>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</si>
  <si>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</si>
  <si>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</si>
  <si>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</si>
  <si>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</si>
  <si>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</si>
  <si>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</si>
  <si>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</si>
  <si>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</si>
  <si>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</si>
  <si>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</si>
  <si>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</si>
  <si>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</si>
  <si>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</si>
  <si>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</si>
  <si>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</si>
  <si>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</si>
  <si>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</si>
  <si>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</si>
  <si>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</si>
  <si>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</si>
  <si>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</si>
  <si>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</si>
  <si>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</si>
  <si>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</si>
  <si>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</si>
  <si>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</si>
  <si>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</si>
  <si>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</si>
  <si>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</si>
  <si>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</si>
  <si>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</si>
  <si>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</si>
  <si>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</si>
  <si>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</si>
  <si>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</si>
  <si>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</si>
  <si>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</si>
  <si>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</si>
  <si>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</si>
  <si>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</si>
  <si>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</si>
  <si>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</si>
  <si>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</si>
  <si>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</si>
  <si>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</si>
  <si>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</si>
  <si>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</si>
  <si>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</si>
  <si>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</si>
  <si>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</si>
  <si>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</si>
  <si>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</si>
  <si>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</si>
  <si>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</si>
  <si>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</si>
  <si>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</si>
  <si>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</si>
  <si>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</si>
  <si>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</si>
  <si>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</si>
  <si>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</si>
  <si>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</si>
  <si>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</si>
  <si>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</si>
  <si>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</si>
  <si>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</si>
  <si>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</si>
  <si>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</si>
  <si>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</si>
  <si>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</si>
  <si>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</si>
  <si>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</si>
  <si>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</si>
  <si>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</si>
  <si>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</si>
  <si>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</si>
  <si>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</si>
  <si>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</si>
  <si>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</si>
  <si>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</si>
  <si>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</si>
  <si>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</si>
  <si>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</si>
  <si>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</si>
  <si>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</si>
  <si>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</si>
  <si>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</si>
  <si>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</si>
  <si>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</si>
  <si>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</si>
  <si>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</si>
  <si>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</si>
  <si>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</si>
  <si>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</si>
  <si>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</si>
  <si>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</si>
  <si>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</si>
  <si>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</si>
  <si>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</si>
  <si>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</si>
  <si>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</si>
  <si>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</si>
  <si>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</si>
  <si>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</si>
  <si>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</si>
  <si>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</si>
  <si>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</si>
  <si>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</si>
  <si>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</si>
  <si>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</si>
  <si>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</si>
  <si>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</si>
  <si>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</si>
  <si>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</si>
  <si>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</si>
  <si>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</si>
  <si>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</si>
  <si>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</si>
  <si>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</si>
  <si>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</si>
  <si>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</si>
  <si>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</si>
  <si>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</si>
  <si>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</si>
  <si>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</si>
  <si>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</si>
  <si>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</si>
  <si>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</si>
  <si>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</si>
  <si>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</si>
  <si>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</si>
  <si>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</si>
  <si>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</si>
  <si>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</si>
  <si>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</si>
  <si>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</si>
  <si>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</si>
  <si>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</si>
  <si>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</si>
  <si>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</si>
  <si>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</si>
  <si>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</si>
  <si>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</si>
  <si>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</si>
  <si>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</si>
  <si>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</si>
  <si>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</si>
  <si>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</si>
  <si>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</si>
  <si>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</si>
  <si>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</si>
  <si>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</si>
  <si>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</si>
  <si>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</si>
  <si>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</si>
  <si>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</si>
  <si>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</si>
  <si>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</si>
  <si>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</si>
  <si>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</si>
  <si>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</si>
  <si>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</si>
  <si>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</si>
  <si>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</si>
  <si>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</si>
  <si>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</si>
  <si>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</si>
  <si>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</si>
  <si>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</si>
  <si>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</si>
  <si>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</si>
  <si>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</si>
  <si>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</si>
  <si>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</si>
  <si>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</si>
  <si>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</si>
  <si>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</si>
  <si>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</si>
  <si>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</si>
  <si>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</si>
  <si>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</si>
  <si>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</si>
  <si>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</si>
  <si>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</si>
  <si>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</si>
  <si>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</si>
  <si>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</si>
  <si>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</si>
  <si>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</si>
  <si>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</si>
  <si>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</si>
  <si>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</si>
  <si>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</si>
  <si>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</si>
  <si>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</si>
  <si>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</si>
  <si>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</si>
  <si>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</si>
  <si>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</si>
  <si>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</si>
  <si>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</si>
  <si>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</si>
  <si>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</si>
  <si>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</si>
  <si>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</si>
  <si>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</si>
  <si>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</si>
  <si>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</si>
  <si>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</si>
  <si>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</si>
  <si>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</si>
  <si>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</si>
  <si>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</si>
  <si>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</si>
  <si>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</si>
  <si>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</si>
  <si>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</si>
  <si>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</si>
  <si>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</si>
  <si>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</si>
  <si>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</si>
  <si>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</si>
  <si>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</si>
  <si>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</si>
  <si>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</si>
  <si>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</si>
  <si>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</si>
  <si>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</si>
  <si>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</si>
  <si>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</si>
  <si>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</si>
  <si>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</si>
  <si>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</si>
  <si>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</si>
  <si>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</si>
  <si>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</si>
  <si>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</si>
  <si>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</si>
  <si>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</si>
  <si>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</si>
  <si>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</si>
  <si>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</si>
  <si>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</si>
  <si>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</si>
  <si>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</si>
  <si>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</si>
  <si>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</si>
  <si>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</si>
  <si>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</si>
  <si>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</si>
  <si>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</si>
  <si>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</si>
  <si>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</si>
  <si>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</si>
  <si>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</si>
  <si>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</si>
  <si>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</si>
  <si>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</si>
  <si>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</si>
  <si>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</si>
  <si>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</si>
  <si>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</si>
  <si>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</si>
  <si>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</si>
  <si>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</si>
  <si>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</si>
  <si>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</si>
  <si>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</si>
  <si>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</si>
  <si>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</si>
  <si>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</si>
  <si>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</si>
  <si>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</si>
  <si>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</si>
  <si>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</si>
  <si>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</si>
  <si>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</si>
  <si>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</si>
  <si>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</si>
  <si>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</si>
  <si>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</si>
  <si>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</si>
  <si>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</si>
  <si>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</si>
  <si>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</si>
  <si>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</si>
  <si>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</si>
  <si>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</si>
  <si>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</si>
  <si>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</si>
  <si>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</si>
  <si>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</si>
  <si>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</si>
  <si>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</si>
  <si>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</si>
  <si>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</si>
  <si>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</si>
  <si>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</si>
  <si>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</si>
  <si>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</si>
  <si>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</si>
  <si>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</si>
  <si>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</si>
  <si>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</si>
  <si>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</si>
  <si>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</si>
  <si>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</si>
  <si>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</si>
  <si>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</si>
  <si>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</si>
  <si>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</si>
  <si>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</si>
  <si>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</si>
  <si>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</si>
  <si>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</si>
  <si>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</si>
  <si>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</si>
  <si>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</si>
  <si>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</si>
  <si>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</si>
  <si>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</si>
  <si>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</si>
  <si>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</si>
  <si>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</si>
  <si>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</si>
  <si>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</si>
  <si>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</si>
  <si>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</si>
  <si>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</si>
  <si>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</si>
  <si>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</si>
  <si>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</si>
  <si>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</si>
  <si>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</si>
  <si>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</si>
  <si>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</si>
  <si>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</si>
  <si>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</si>
  <si>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</si>
  <si>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</si>
  <si>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</si>
  <si>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</si>
  <si>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</si>
  <si>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</si>
  <si>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</si>
  <si>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</si>
  <si>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</si>
  <si>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</si>
  <si>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</si>
  <si>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</si>
  <si>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</si>
  <si>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</si>
  <si>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</si>
  <si>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</si>
  <si>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</si>
  <si>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</si>
  <si>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</si>
  <si>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</si>
  <si>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</si>
  <si>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</si>
  <si>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</si>
  <si>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</si>
  <si>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</si>
  <si>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</si>
  <si>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</si>
  <si>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</si>
  <si>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</si>
  <si>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</si>
  <si>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</si>
  <si>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</si>
  <si>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</si>
  <si>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</si>
  <si>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</si>
  <si>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</si>
  <si>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</si>
  <si>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</si>
  <si>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</si>
  <si>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</si>
  <si>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</si>
  <si>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</si>
  <si>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</si>
  <si>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</si>
  <si>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</si>
  <si>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</si>
  <si>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</si>
  <si>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</si>
  <si>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</si>
  <si>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</si>
  <si>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</si>
  <si>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</si>
  <si>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</si>
  <si>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</si>
  <si>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</si>
  <si>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</si>
  <si>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</si>
  <si>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</si>
  <si>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</si>
  <si>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</si>
  <si>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</si>
  <si>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</si>
  <si>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</si>
  <si>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</si>
  <si>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</si>
  <si>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</si>
  <si>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</si>
  <si>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</si>
  <si>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</si>
  <si>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</si>
  <si>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</si>
  <si>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</si>
  <si>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</si>
  <si>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</si>
  <si>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</si>
  <si>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</si>
  <si>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</si>
  <si>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</si>
  <si>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</si>
  <si>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</si>
  <si>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</si>
  <si>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</si>
  <si>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</si>
  <si>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</si>
  <si>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</si>
  <si>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</si>
  <si>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</si>
  <si>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</si>
  <si>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</si>
  <si>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</si>
  <si>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</si>
  <si>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</si>
  <si>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</si>
  <si>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</si>
  <si>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</si>
  <si>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</si>
  <si>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</si>
  <si>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</si>
  <si>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</si>
  <si>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</si>
  <si>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</si>
  <si>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</si>
  <si>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</si>
  <si>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</si>
  <si>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</si>
  <si>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</si>
  <si>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</si>
  <si>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</si>
  <si>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</si>
  <si>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</si>
  <si>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</si>
  <si>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</si>
  <si>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</si>
  <si>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</si>
  <si>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</si>
  <si>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</si>
  <si>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</si>
  <si>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</si>
  <si>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</si>
  <si>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</si>
  <si>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</si>
  <si>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</si>
  <si>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</si>
  <si>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</si>
  <si>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</si>
  <si>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</si>
  <si>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</si>
  <si>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</si>
  <si>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</si>
  <si>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</si>
  <si>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</si>
  <si>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</si>
  <si>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</si>
  <si>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</si>
  <si>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</si>
  <si>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</si>
  <si>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</si>
  <si>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</si>
  <si>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</si>
  <si>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</si>
  <si>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</si>
  <si>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</si>
  <si>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</si>
  <si>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</si>
  <si>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</si>
  <si>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</si>
  <si>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</si>
  <si>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</si>
  <si>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</si>
  <si>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</si>
  <si>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</si>
  <si>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</si>
  <si>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</si>
  <si>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</si>
  <si>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</si>
  <si>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</si>
  <si>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</si>
  <si>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</si>
  <si>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</si>
  <si>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</si>
  <si>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</si>
  <si>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</si>
  <si>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</si>
  <si>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</si>
  <si>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</si>
  <si>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</si>
  <si>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</si>
  <si>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</si>
  <si>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</si>
  <si>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</si>
  <si>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</si>
  <si>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</si>
  <si>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</si>
  <si>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</si>
  <si>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</si>
  <si>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</si>
  <si>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</si>
  <si>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</si>
  <si>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</si>
  <si>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</si>
  <si>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</si>
  <si>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</si>
  <si>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</si>
  <si>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</si>
  <si>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</si>
  <si>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</si>
  <si>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</si>
  <si>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</si>
  <si>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</si>
  <si>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</si>
  <si>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</si>
  <si>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</si>
  <si>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</si>
  <si>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</si>
  <si>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</si>
  <si>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</si>
  <si>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</si>
  <si>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</si>
  <si>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</si>
  <si>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</si>
  <si>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</si>
  <si>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</si>
  <si>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</si>
  <si>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</si>
  <si>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</si>
  <si>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</si>
  <si>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</si>
  <si>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</si>
  <si>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</si>
  <si>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</si>
  <si>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</si>
  <si>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</si>
  <si>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</si>
  <si>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</si>
  <si>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</si>
  <si>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</si>
  <si>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</si>
  <si>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</si>
  <si>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</si>
  <si>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</si>
  <si>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</si>
  <si>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</si>
  <si>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</si>
  <si>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</si>
  <si>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</si>
  <si>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</si>
  <si>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</si>
  <si>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</si>
  <si>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</si>
  <si>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</si>
  <si>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</si>
  <si>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</si>
  <si>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</si>
  <si>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</si>
  <si>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</si>
  <si>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</si>
  <si>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</si>
  <si>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</si>
  <si>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</si>
  <si>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</si>
  <si>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</si>
  <si>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</si>
  <si>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</si>
  <si>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</si>
  <si>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</si>
  <si>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</si>
  <si>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</si>
  <si>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</si>
  <si>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</si>
  <si>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</si>
  <si>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</si>
  <si>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</si>
  <si>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</si>
  <si>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</si>
  <si>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</si>
  <si>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</si>
  <si>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</si>
  <si>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</si>
  <si>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</si>
  <si>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</si>
  <si>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</si>
  <si>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</si>
  <si>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</si>
  <si>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</si>
  <si>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</si>
  <si>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</si>
  <si>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</si>
  <si>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</si>
  <si>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</si>
  <si>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</si>
  <si>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</si>
  <si>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</si>
  <si>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</si>
  <si>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</si>
  <si>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</si>
  <si>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</si>
  <si>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</si>
  <si>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</si>
  <si>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</si>
  <si>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</si>
  <si>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</si>
  <si>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</si>
  <si>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</si>
  <si>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</si>
  <si>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</si>
  <si>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</si>
  <si>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</si>
  <si>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</si>
  <si>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</si>
  <si>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</si>
  <si>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</si>
  <si>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</si>
  <si>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</si>
  <si>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</si>
  <si>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</si>
  <si>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</si>
  <si>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</si>
  <si>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</si>
  <si>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</si>
  <si>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</si>
  <si>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</si>
  <si>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</si>
  <si>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</si>
  <si>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</si>
  <si>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</si>
  <si>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</si>
  <si>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</si>
  <si>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</si>
  <si>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</si>
  <si>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</si>
  <si>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</si>
  <si>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</si>
  <si>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</si>
  <si>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</si>
  <si>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</si>
  <si>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</si>
  <si>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</si>
  <si>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</si>
  <si>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</si>
  <si>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</si>
  <si>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</si>
  <si>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</si>
  <si>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</si>
  <si>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</si>
  <si>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</si>
  <si>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</si>
  <si>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</si>
  <si>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</si>
  <si>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</si>
  <si>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</si>
  <si>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</si>
  <si>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</si>
  <si>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</si>
  <si>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</si>
  <si>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</si>
  <si>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</si>
  <si>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</si>
  <si>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</si>
  <si>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</si>
  <si>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</si>
  <si>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</si>
  <si>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</si>
  <si>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</si>
  <si>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</si>
  <si>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</si>
  <si>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</si>
  <si>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</si>
  <si>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</si>
  <si>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</si>
  <si>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</si>
  <si>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</si>
  <si>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</si>
  <si>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</si>
  <si>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</si>
  <si>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</si>
  <si>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</si>
  <si>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</si>
  <si>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</si>
  <si>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</si>
  <si>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</si>
  <si>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</si>
  <si>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</si>
  <si>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</si>
  <si>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</si>
  <si>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</si>
  <si>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</si>
  <si>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</si>
  <si>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</si>
  <si>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</si>
  <si>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</si>
  <si>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</si>
  <si>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</si>
  <si>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</si>
  <si>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</si>
  <si>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</si>
  <si>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</si>
  <si>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</si>
  <si>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</si>
  <si>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</si>
  <si>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</si>
  <si>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</si>
  <si>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</si>
  <si>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</si>
  <si>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</si>
  <si>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</si>
  <si>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</si>
  <si>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</si>
  <si>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</si>
  <si>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</si>
  <si>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</si>
  <si>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</si>
  <si>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</si>
  <si>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</si>
  <si>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</si>
  <si>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</si>
  <si>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</si>
  <si>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</si>
  <si>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</si>
  <si>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</si>
  <si>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</si>
  <si>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</si>
  <si>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</si>
  <si>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</si>
  <si>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</si>
  <si>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</si>
  <si>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</si>
  <si>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</si>
  <si>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</si>
  <si>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</si>
  <si>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</si>
  <si>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</si>
  <si>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</si>
  <si>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</si>
  <si>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</si>
  <si>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</si>
  <si>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</si>
  <si>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</si>
  <si>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</si>
  <si>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</si>
  <si>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</si>
  <si>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</si>
  <si>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</si>
  <si>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</si>
  <si>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</si>
  <si>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</si>
  <si>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</si>
  <si>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</si>
  <si>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</si>
  <si>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</si>
  <si>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</si>
  <si>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</si>
  <si>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</si>
  <si>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</si>
  <si>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</si>
  <si>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</si>
  <si>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</si>
  <si>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</si>
  <si>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</si>
  <si>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</si>
  <si>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</si>
  <si>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</si>
  <si>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</si>
  <si>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</si>
  <si>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</si>
  <si>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</si>
  <si>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</si>
  <si>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</si>
  <si>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</si>
  <si>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</si>
  <si>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</si>
  <si>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</si>
  <si>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</si>
  <si>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</si>
  <si>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</si>
  <si>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</si>
  <si>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</si>
  <si>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</si>
  <si>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</si>
  <si>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</si>
  <si>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</si>
  <si>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</si>
  <si>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</si>
  <si>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</si>
  <si>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</si>
  <si>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</si>
  <si>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</si>
  <si>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</si>
  <si>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</si>
  <si>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</si>
  <si>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</si>
  <si>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</si>
  <si>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</si>
  <si>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</si>
  <si>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</si>
  <si>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</si>
  <si>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</si>
  <si>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</si>
  <si>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</si>
  <si>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</si>
  <si>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</si>
  <si>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</si>
  <si>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</si>
  <si>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</si>
  <si>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</si>
  <si>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</si>
  <si>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</si>
  <si>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</si>
  <si>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</si>
  <si>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</si>
  <si>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</si>
  <si>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</si>
  <si>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</si>
  <si>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</si>
  <si>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</si>
  <si>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</si>
  <si>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</si>
  <si>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</si>
  <si>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</si>
  <si>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</si>
  <si>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</si>
  <si>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</si>
  <si>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</si>
  <si>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</si>
  <si>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</si>
  <si>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</si>
  <si>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</si>
  <si>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</si>
  <si>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</si>
  <si>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</si>
  <si>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</si>
  <si>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</si>
  <si>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</si>
  <si>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</si>
  <si>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</si>
  <si>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</si>
  <si>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</si>
  <si>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</si>
  <si>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</si>
  <si>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</si>
  <si>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</si>
  <si>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</si>
  <si>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</si>
  <si>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</si>
  <si>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</si>
  <si>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</si>
  <si>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</si>
  <si>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</si>
  <si>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</si>
  <si>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</si>
  <si>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</si>
  <si>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</si>
  <si>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</si>
  <si>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</si>
  <si>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</si>
  <si>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</si>
  <si>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</si>
  <si>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</si>
  <si>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</si>
  <si>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</si>
  <si>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</si>
  <si>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</si>
  <si>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</si>
  <si>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</si>
  <si>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</si>
  <si>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</si>
  <si>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</si>
  <si>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</si>
  <si>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</si>
  <si>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</si>
  <si>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</si>
  <si>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</si>
  <si>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</si>
  <si>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</si>
  <si>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</si>
  <si>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</si>
  <si>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</si>
  <si>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</si>
  <si>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</si>
  <si>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</si>
  <si>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</si>
  <si>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</si>
  <si>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</si>
  <si>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</si>
  <si>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</si>
  <si>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</si>
  <si>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</si>
  <si>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</si>
  <si>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</si>
  <si>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</si>
  <si>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</si>
  <si>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</si>
  <si>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</si>
  <si>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</si>
  <si>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</si>
  <si>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</si>
  <si>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</si>
  <si>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</si>
  <si>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</si>
  <si>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</si>
  <si>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</si>
  <si>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</si>
  <si>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</si>
  <si>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</si>
  <si>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</si>
  <si>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</si>
  <si>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</si>
  <si>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</si>
  <si>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</si>
  <si>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</si>
  <si>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</si>
  <si>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</si>
  <si>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</si>
  <si>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</si>
  <si>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</si>
  <si>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</si>
  <si>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</si>
  <si>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</si>
  <si>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</si>
  <si>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</si>
  <si>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</si>
  <si>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</si>
  <si>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</si>
  <si>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</si>
  <si>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</si>
  <si>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</si>
  <si>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</si>
  <si>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</si>
  <si>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</si>
  <si>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</si>
  <si>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</si>
  <si>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</si>
  <si>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</si>
  <si>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</si>
  <si>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</si>
  <si>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</si>
  <si>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</si>
  <si>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</si>
  <si>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</si>
  <si>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</si>
  <si>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</si>
  <si>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</si>
  <si>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</si>
  <si>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</si>
  <si>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</si>
  <si>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</si>
  <si>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</si>
  <si>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</si>
  <si>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</si>
  <si>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</si>
  <si>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</si>
  <si>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</si>
  <si>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</si>
  <si>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</si>
  <si>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</si>
  <si>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</si>
  <si>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</si>
  <si>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</si>
  <si>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</si>
  <si>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</si>
  <si>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</si>
  <si>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</si>
  <si>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</si>
  <si>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</si>
  <si>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</si>
  <si>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</si>
  <si>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</si>
  <si>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</si>
  <si>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</si>
  <si>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</si>
  <si>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</si>
  <si>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</si>
  <si>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</si>
  <si>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</si>
  <si>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</si>
  <si>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</si>
  <si>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</si>
  <si>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</si>
  <si>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</si>
  <si>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</si>
  <si>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</si>
  <si>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</si>
  <si>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</si>
  <si>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</si>
  <si>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</si>
  <si>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</si>
  <si>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</si>
  <si>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</si>
  <si>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</si>
  <si>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</si>
  <si>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</si>
  <si>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</si>
  <si>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</si>
  <si>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</si>
  <si>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</si>
  <si>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</si>
  <si>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</si>
  <si>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</si>
  <si>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</si>
  <si>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</si>
  <si>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</si>
  <si>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</si>
  <si>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</si>
  <si>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</si>
  <si>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</si>
  <si>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</si>
  <si>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</si>
  <si>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</si>
  <si>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</si>
  <si>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</si>
  <si>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</si>
  <si>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</si>
  <si>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</si>
  <si>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</si>
  <si>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</si>
  <si>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</si>
  <si>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</si>
  <si>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</si>
  <si>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</si>
  <si>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</si>
  <si>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</si>
  <si>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</si>
  <si>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</si>
  <si>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</si>
  <si>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</si>
  <si>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</si>
  <si>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</si>
  <si>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</si>
  <si>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</si>
  <si>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</si>
  <si>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</si>
  <si>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</si>
  <si>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</si>
  <si>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</si>
  <si>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</si>
  <si>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</si>
  <si>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</si>
  <si>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</si>
  <si>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</si>
  <si>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</si>
  <si>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</si>
  <si>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</si>
  <si>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</si>
  <si>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</si>
  <si>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</si>
  <si>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</si>
  <si>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</si>
  <si>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</si>
  <si>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</si>
  <si>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</si>
  <si>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</si>
  <si>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</si>
  <si>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</si>
  <si>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</si>
  <si>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</si>
  <si>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</si>
  <si>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</si>
  <si>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</si>
  <si>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</si>
  <si>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</si>
  <si>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</si>
  <si>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</si>
  <si>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</si>
  <si>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</si>
  <si>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</si>
  <si>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</si>
  <si>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</si>
  <si>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</si>
  <si>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</si>
  <si>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</si>
  <si>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</si>
  <si>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</si>
  <si>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</si>
  <si>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</si>
  <si>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</si>
  <si>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</si>
  <si>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</si>
  <si>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</si>
  <si>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</si>
  <si>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</si>
  <si>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</si>
  <si>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</si>
  <si>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</si>
  <si>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</si>
  <si>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</si>
  <si>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</si>
  <si>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</si>
  <si>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</si>
  <si>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</si>
  <si>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</si>
  <si>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</si>
  <si>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</si>
  <si>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</si>
  <si>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</si>
  <si>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</si>
  <si>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</si>
  <si>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</si>
  <si>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</si>
  <si>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</si>
  <si>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</si>
  <si>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</si>
  <si>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</si>
  <si>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</si>
  <si>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</si>
  <si>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</si>
  <si>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</si>
  <si>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</si>
  <si>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</si>
  <si>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</si>
  <si>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</si>
  <si>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</si>
  <si>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</si>
  <si>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</si>
  <si>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</si>
  <si>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</si>
  <si>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</si>
  <si>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</si>
  <si>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</si>
  <si>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</si>
  <si>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</si>
  <si>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</si>
  <si>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</si>
  <si>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</si>
  <si>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</si>
  <si>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</si>
  <si>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</si>
  <si>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</si>
  <si>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</si>
  <si>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</si>
  <si>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</si>
  <si>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</si>
  <si>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</si>
  <si>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</si>
  <si>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</si>
  <si>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</si>
  <si>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</si>
  <si>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</si>
  <si>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</si>
  <si>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</si>
  <si>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</si>
  <si>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</si>
  <si>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</si>
  <si>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</si>
  <si>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</si>
  <si>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</si>
  <si>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</si>
  <si>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</si>
  <si>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</si>
  <si>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</si>
  <si>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</si>
  <si>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</si>
  <si>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</si>
  <si>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</si>
  <si>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</si>
  <si>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</si>
  <si>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</si>
  <si>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</si>
  <si>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</si>
  <si>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</si>
  <si>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</si>
  <si>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</si>
  <si>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</si>
  <si>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</si>
  <si>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</si>
  <si>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</si>
  <si>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</si>
  <si>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</si>
  <si>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</si>
  <si>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</si>
  <si>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</si>
  <si>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</si>
  <si>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</si>
  <si>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</si>
  <si>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</si>
  <si>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</si>
  <si>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</si>
  <si>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</si>
  <si>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</si>
  <si>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</si>
  <si>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</si>
  <si>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</si>
  <si>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</si>
  <si>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</si>
  <si>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</si>
  <si>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</si>
  <si>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</si>
  <si>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</si>
  <si>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</si>
  <si>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</si>
  <si>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</si>
  <si>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</si>
  <si>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</si>
  <si>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</si>
  <si>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</si>
  <si>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</si>
  <si>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</si>
  <si>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</si>
  <si>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</si>
  <si>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</si>
  <si>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</si>
  <si>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</si>
  <si>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</si>
  <si>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</si>
  <si>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</si>
  <si>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</si>
  <si>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</si>
  <si>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</si>
  <si>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</si>
  <si>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</si>
  <si>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</si>
  <si>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</si>
  <si>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</si>
  <si>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</si>
  <si>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</si>
  <si>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</si>
  <si>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</si>
  <si>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</si>
  <si>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</si>
  <si>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</si>
  <si>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</si>
  <si>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</si>
  <si>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</si>
  <si>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</si>
  <si>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</si>
  <si>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</si>
  <si>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</si>
  <si>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</si>
  <si>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</si>
  <si>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</si>
  <si>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</si>
  <si>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</si>
  <si>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</si>
  <si>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</si>
  <si>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</si>
  <si>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</si>
  <si>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</si>
  <si>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</si>
  <si>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</si>
  <si>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</si>
  <si>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</si>
  <si>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</si>
  <si>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</si>
  <si>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</si>
  <si>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</si>
  <si>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</si>
  <si>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</si>
  <si>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</si>
  <si>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</si>
  <si>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</si>
  <si>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</si>
  <si>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</si>
  <si>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</si>
  <si>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</si>
  <si>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</si>
  <si>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</si>
  <si>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</si>
  <si>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</si>
  <si>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</si>
  <si>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</si>
  <si>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</si>
  <si>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</si>
  <si>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</si>
  <si>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</si>
  <si>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</si>
  <si>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</si>
  <si>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</si>
  <si>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</si>
  <si>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</si>
  <si>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</si>
  <si>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</si>
  <si>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</si>
  <si>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</si>
  <si>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</si>
  <si>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</si>
  <si>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</si>
  <si>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</si>
  <si>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</si>
  <si>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</si>
  <si>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</si>
  <si>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</si>
  <si>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</si>
  <si>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</si>
  <si>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</si>
  <si>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</si>
  <si>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</si>
  <si>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</si>
  <si>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</si>
  <si>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</si>
  <si>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</si>
  <si>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</si>
  <si>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</si>
  <si>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</si>
  <si>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</si>
  <si>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</si>
  <si>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</si>
  <si>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</si>
  <si>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</si>
  <si>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</si>
  <si>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</si>
  <si>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</si>
  <si>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</si>
  <si>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</si>
  <si>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</si>
  <si>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</si>
  <si>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</si>
  <si>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</si>
  <si>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</si>
  <si>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</si>
  <si>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</si>
  <si>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</si>
  <si>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</si>
  <si>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</si>
  <si>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</si>
  <si>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</si>
  <si>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</si>
  <si>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</si>
  <si>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</si>
  <si>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</si>
  <si>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</si>
  <si>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</si>
  <si>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</si>
  <si>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</si>
  <si>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</si>
  <si>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</si>
  <si>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</si>
  <si>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</si>
  <si>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</si>
  <si>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</si>
  <si>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</si>
  <si>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</si>
  <si>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</si>
  <si>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</si>
  <si>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</si>
  <si>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</si>
  <si>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</si>
  <si>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</si>
  <si>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</si>
  <si>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</si>
  <si>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</si>
  <si>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</si>
  <si>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</si>
  <si>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</si>
  <si>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</si>
  <si>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</si>
  <si>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</si>
  <si>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</si>
  <si>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</si>
  <si>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</si>
  <si>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</si>
  <si>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</si>
  <si>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</si>
  <si>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</si>
  <si>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</si>
  <si>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</si>
  <si>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</si>
  <si>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</si>
  <si>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</si>
  <si>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</si>
  <si>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</si>
  <si>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</si>
  <si>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</si>
  <si>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</si>
  <si>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</si>
  <si>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</si>
  <si>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</si>
  <si>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</si>
  <si>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</si>
  <si>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</si>
  <si>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</si>
  <si>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</si>
  <si>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</si>
  <si>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</si>
  <si>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</si>
  <si>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</si>
  <si>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</si>
  <si>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</si>
  <si>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</si>
  <si>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</si>
  <si>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</si>
  <si>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</si>
  <si>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</si>
  <si>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</si>
  <si>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</si>
  <si>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</si>
  <si>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</si>
  <si>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</si>
  <si>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</si>
  <si>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</si>
  <si>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</si>
  <si>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</si>
  <si>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</si>
  <si>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</si>
  <si>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</si>
  <si>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</si>
  <si>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</si>
  <si>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</si>
  <si>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</si>
  <si>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</si>
  <si>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</si>
  <si>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</si>
  <si>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</si>
  <si>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</si>
  <si>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</si>
  <si>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</si>
  <si>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</si>
  <si>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</si>
  <si>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</si>
  <si>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</si>
  <si>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</si>
  <si>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</si>
  <si>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</si>
  <si>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</si>
  <si>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</si>
  <si>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</si>
  <si>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</si>
  <si>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</si>
  <si>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</si>
  <si>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</si>
  <si>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</si>
  <si>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</si>
  <si>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</si>
  <si>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</si>
  <si>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</si>
  <si>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</si>
  <si>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</si>
  <si>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</si>
  <si>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</si>
  <si>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</si>
  <si>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</si>
  <si>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</si>
  <si>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</si>
  <si>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</si>
  <si>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</si>
  <si>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</si>
  <si>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</si>
  <si>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</si>
  <si>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</si>
  <si>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</si>
  <si>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</si>
  <si>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</si>
  <si>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</si>
  <si>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</si>
  <si>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</si>
  <si>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</si>
  <si>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</si>
  <si>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</si>
  <si>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</si>
  <si>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</si>
  <si>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</si>
  <si>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</si>
  <si>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</si>
  <si>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</si>
  <si>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</si>
  <si>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</si>
  <si>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</si>
  <si>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</si>
  <si>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</si>
  <si>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</si>
  <si>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</si>
  <si>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</si>
  <si>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</si>
  <si>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</si>
  <si>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</si>
  <si>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</si>
  <si>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</si>
  <si>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</si>
  <si>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</si>
  <si>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</si>
  <si>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</si>
  <si>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</si>
  <si>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</si>
  <si>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</si>
  <si>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</si>
  <si>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</si>
  <si>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</si>
  <si>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</si>
  <si>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</si>
  <si>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</si>
  <si>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</si>
  <si>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</si>
  <si>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</si>
  <si>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</si>
  <si>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</si>
  <si>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</si>
  <si>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</si>
  <si>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</si>
  <si>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</si>
  <si>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</si>
  <si>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</si>
  <si>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</si>
  <si>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</si>
  <si>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</si>
  <si>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</si>
  <si>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</si>
  <si>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</si>
  <si>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</si>
  <si>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</si>
  <si>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</si>
  <si>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</si>
  <si>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</si>
  <si>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</si>
  <si>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</si>
  <si>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</si>
  <si>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</si>
  <si>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</si>
  <si>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</si>
  <si>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</si>
  <si>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</si>
  <si>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</si>
  <si>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</si>
  <si>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</si>
  <si>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</si>
  <si>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</si>
  <si>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</si>
  <si>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</si>
  <si>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</si>
  <si>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</si>
  <si>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</si>
  <si>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</si>
  <si>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</si>
  <si>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</si>
  <si>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</si>
  <si>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</si>
  <si>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</si>
  <si>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</si>
  <si>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</si>
  <si>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</si>
  <si>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</si>
  <si>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</si>
  <si>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</si>
  <si>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</si>
  <si>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</si>
  <si>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</si>
  <si>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</si>
  <si>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</si>
  <si>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</si>
  <si>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</si>
  <si>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</si>
  <si>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</si>
  <si>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</si>
  <si>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</si>
  <si>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</si>
  <si>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</si>
  <si>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</si>
  <si>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</si>
  <si>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</si>
  <si>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</si>
  <si>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</si>
  <si>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</si>
  <si>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</si>
  <si>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</si>
  <si>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</si>
  <si>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</si>
  <si>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</si>
  <si>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</si>
  <si>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</si>
  <si>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</si>
  <si>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</si>
  <si>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</si>
  <si>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</si>
  <si>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</si>
  <si>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</si>
  <si>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</si>
  <si>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</si>
  <si>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</si>
  <si>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</si>
  <si>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</si>
  <si>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</si>
  <si>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</si>
  <si>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</si>
  <si>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</si>
  <si>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</si>
  <si>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</si>
  <si>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</si>
  <si>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</si>
  <si>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</si>
  <si>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</si>
  <si>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</si>
  <si>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</si>
  <si>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</si>
  <si>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</si>
  <si>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</si>
  <si>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</si>
  <si>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</si>
  <si>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</si>
  <si>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</si>
  <si>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</si>
  <si>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</si>
  <si>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</si>
  <si>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</si>
  <si>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</si>
  <si>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</si>
  <si>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</si>
  <si>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</si>
  <si>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</si>
  <si>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</si>
  <si>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</si>
  <si>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</si>
  <si>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</si>
  <si>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</si>
  <si>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</si>
  <si>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</si>
  <si>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</si>
  <si>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</si>
  <si>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</si>
  <si>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</si>
  <si>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</si>
  <si>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</si>
  <si>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</si>
  <si>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</si>
  <si>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</si>
  <si>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</si>
  <si>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</si>
  <si>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</si>
  <si>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</si>
  <si>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</si>
  <si>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</si>
  <si>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</si>
  <si>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</si>
  <si>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</si>
  <si>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</si>
  <si>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</si>
  <si>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</si>
  <si>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</si>
  <si>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</si>
  <si>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</si>
  <si>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</si>
  <si>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</si>
  <si>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</si>
  <si>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</si>
  <si>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</si>
  <si>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</si>
  <si>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</si>
  <si>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</si>
  <si>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</si>
  <si>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</si>
  <si>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</si>
  <si>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</si>
  <si>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</si>
  <si>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</si>
  <si>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</si>
  <si>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</si>
  <si>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</si>
  <si>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</si>
  <si>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</si>
  <si>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</si>
  <si>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</si>
  <si>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</si>
  <si>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</si>
  <si>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</si>
  <si>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</si>
  <si>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</si>
  <si>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</si>
  <si>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</si>
  <si>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</si>
  <si>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</si>
  <si>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</si>
  <si>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</si>
  <si>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</si>
  <si>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</si>
  <si>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</si>
  <si>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</si>
  <si>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</si>
  <si>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</si>
  <si>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</si>
  <si>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</si>
  <si>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</si>
  <si>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</si>
  <si>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</si>
  <si>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</si>
  <si>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</si>
  <si>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</si>
  <si>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</si>
  <si>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</si>
  <si>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</si>
  <si>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</si>
  <si>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</si>
  <si>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</si>
  <si>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</si>
  <si>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</si>
  <si>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</si>
  <si>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</si>
  <si>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</si>
  <si>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</si>
  <si>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</si>
  <si>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</si>
  <si>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</si>
  <si>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</si>
  <si>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</si>
  <si>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</si>
  <si>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</si>
  <si>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</si>
  <si>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</si>
  <si>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</si>
  <si>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</si>
  <si>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</si>
  <si>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</si>
  <si>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</si>
  <si>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</si>
  <si>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</si>
  <si>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</si>
  <si>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</si>
  <si>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</si>
  <si>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</si>
  <si>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</si>
  <si>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</si>
  <si>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</si>
  <si>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</si>
  <si>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</si>
  <si>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</si>
  <si>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</si>
  <si>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</si>
  <si>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</si>
  <si>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</si>
  <si>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</si>
  <si>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</si>
  <si>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</si>
  <si>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</si>
  <si>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</si>
  <si>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</si>
  <si>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</si>
  <si>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</si>
  <si>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</si>
  <si>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</si>
  <si>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</si>
  <si>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</si>
  <si>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</si>
  <si>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</si>
  <si>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</si>
  <si>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</si>
  <si>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</si>
  <si>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</si>
  <si>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</si>
  <si>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</si>
  <si>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</si>
  <si>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</si>
  <si>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</si>
  <si>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</si>
  <si>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</si>
  <si>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</si>
  <si>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</si>
  <si>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</si>
  <si>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</si>
  <si>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</si>
  <si>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</si>
  <si>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</si>
  <si>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</si>
  <si>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</si>
  <si>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</si>
  <si>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</si>
  <si>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</si>
  <si>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</si>
  <si>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</si>
  <si>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</si>
  <si>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</si>
  <si>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</si>
  <si>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</si>
  <si>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</si>
  <si>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</si>
  <si>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</si>
  <si>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</si>
  <si>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</si>
  <si>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</si>
  <si>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</si>
  <si>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</si>
  <si>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</si>
  <si>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</si>
  <si>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</si>
  <si>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</si>
  <si>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</si>
  <si>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</si>
  <si>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</si>
  <si>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</si>
  <si>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</si>
  <si>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</si>
  <si>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</si>
  <si>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</si>
  <si>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</si>
  <si>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</si>
  <si>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</si>
  <si>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</si>
  <si>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</si>
  <si>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</si>
  <si>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</si>
  <si>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</si>
  <si>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</si>
  <si>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</si>
  <si>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</si>
  <si>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</si>
  <si>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</si>
  <si>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</si>
  <si>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</si>
  <si>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</si>
  <si>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</si>
  <si>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</si>
  <si>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</si>
  <si>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</si>
  <si>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</si>
  <si>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</si>
  <si>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</si>
  <si>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</si>
  <si>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</si>
  <si>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</si>
  <si>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</si>
  <si>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</si>
  <si>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</si>
  <si>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</si>
  <si>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</si>
  <si>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</si>
  <si>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</si>
  <si>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</si>
  <si>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</si>
  <si>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</si>
  <si>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</si>
  <si>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</si>
  <si>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</si>
  <si>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</si>
  <si>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</si>
  <si>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</si>
  <si>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</si>
  <si>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</si>
  <si>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</si>
  <si>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</si>
  <si>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</si>
  <si>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</si>
  <si>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</si>
  <si>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</si>
  <si>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</si>
  <si>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</si>
  <si>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</si>
  <si>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</si>
  <si>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</si>
  <si>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</si>
  <si>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</si>
  <si>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</si>
  <si>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</si>
  <si>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</si>
  <si>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</si>
  <si>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</si>
  <si>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</si>
  <si>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</si>
  <si>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</si>
  <si>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</si>
  <si>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</si>
  <si>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</si>
  <si>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</si>
  <si>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</si>
  <si>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</si>
  <si>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</si>
  <si>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</si>
  <si>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</si>
  <si>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</si>
  <si>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</si>
  <si>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</si>
  <si>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</si>
  <si>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</si>
  <si>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</si>
  <si>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</si>
  <si>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</si>
  <si>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</si>
  <si>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</si>
  <si>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</si>
  <si>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</si>
  <si>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</si>
  <si>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</si>
  <si>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</si>
  <si>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</si>
  <si>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</si>
  <si>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</si>
  <si>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</si>
  <si>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</si>
  <si>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</si>
  <si>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</si>
  <si>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</si>
  <si>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</si>
  <si>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</si>
  <si>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</si>
  <si>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</si>
  <si>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</si>
  <si>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</si>
  <si>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</si>
  <si>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</si>
  <si>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</si>
  <si>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</si>
  <si>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</si>
  <si>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</si>
  <si>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</si>
  <si>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</si>
  <si>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</si>
  <si>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</si>
  <si>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</si>
  <si>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</si>
  <si>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</si>
  <si>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</si>
  <si>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</si>
  <si>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</si>
  <si>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</si>
  <si>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</si>
  <si>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</si>
  <si>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</si>
  <si>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</si>
  <si>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</si>
  <si>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</si>
  <si>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</si>
  <si>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</si>
  <si>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</si>
  <si>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</si>
  <si>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</si>
  <si>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</si>
  <si>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</si>
  <si>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</si>
  <si>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</si>
  <si>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</si>
  <si>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</si>
  <si>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</si>
  <si>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</si>
  <si>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</si>
  <si>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</si>
  <si>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</si>
  <si>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</si>
  <si>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</si>
  <si>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</si>
  <si>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</si>
  <si>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</si>
  <si>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INDUSTRIAS I CONSTRUCIONES CIVILES Y ESTRUCTURAS METALICAS SAS</t>
  </si>
  <si>
    <t>74130977</t>
  </si>
  <si>
    <t xml:space="preserve">ERNESTO FONSECA VASQUEZ </t>
  </si>
  <si>
    <t>lubriservicios.we@gmail.com</t>
  </si>
  <si>
    <t>AV LIBERTADORES 35 99</t>
  </si>
  <si>
    <t>79869266</t>
  </si>
  <si>
    <t xml:space="preserve">GERMAN CAMARGO CIPAGAUTA </t>
  </si>
  <si>
    <t>andrea.camargo2305@gmail.com</t>
  </si>
  <si>
    <t>CR 24 22 04</t>
  </si>
  <si>
    <t>74130335</t>
  </si>
  <si>
    <t>RICHAR FONSECA PATARROYO</t>
  </si>
  <si>
    <t>ferreteria.alcatraz@hotmail.com</t>
  </si>
  <si>
    <t>CL 27 22 70</t>
  </si>
  <si>
    <t>826000697</t>
  </si>
  <si>
    <t>CENTRALCO SAS</t>
  </si>
  <si>
    <t>AV LIBERTADORES 11 31</t>
  </si>
  <si>
    <t>mateusgladys@hotmail.com</t>
  </si>
  <si>
    <t>4191297</t>
  </si>
  <si>
    <t>JOSE OSVALDO RIVERA TUTA</t>
  </si>
  <si>
    <t>com.elrey@yahoo.es</t>
  </si>
  <si>
    <t>DG 31 31A 6</t>
  </si>
  <si>
    <t>800025690</t>
  </si>
  <si>
    <t>TAXTURISTICO PAIPA S A</t>
  </si>
  <si>
    <t>facturacionelectronicatax@gmail.com</t>
  </si>
  <si>
    <t>CR 19  34  12</t>
  </si>
  <si>
    <t>46663540</t>
  </si>
  <si>
    <t>YOLANDA TORRES VALDERRAMA</t>
  </si>
  <si>
    <t>yolandat24@hotmail.com</t>
  </si>
  <si>
    <t>CL 27 A 22  32</t>
  </si>
  <si>
    <t>900031780</t>
  </si>
  <si>
    <t>S M  ASOCIADOS SA</t>
  </si>
  <si>
    <t>ferreteriasym@hotmail.e</t>
  </si>
  <si>
    <t xml:space="preserve">AV  LIBERTADORES 22 71 </t>
  </si>
  <si>
    <t>9526962</t>
  </si>
  <si>
    <t xml:space="preserve">HUMBERTO ACEVEDO NOSSA </t>
  </si>
  <si>
    <t>humberto-acevedo@hotmail.com</t>
  </si>
  <si>
    <t>CL 27 23 41</t>
  </si>
  <si>
    <t>46450687</t>
  </si>
  <si>
    <t>EDNA MARGARITA CEPEDA RINCON</t>
  </si>
  <si>
    <t>CR 19 27 33</t>
  </si>
  <si>
    <t>facturastarcolors@gmail.com</t>
  </si>
  <si>
    <t>901553229</t>
  </si>
  <si>
    <t>SURTIELECTRICOS RV S.A.S</t>
  </si>
  <si>
    <t>surtielectricosrvs.a.s@gmail.com</t>
  </si>
  <si>
    <t>CL 22 26 22</t>
  </si>
  <si>
    <t>901128826</t>
  </si>
  <si>
    <t>SOCIAL SOLAR SAS</t>
  </si>
  <si>
    <t>Administrativo@socialsolar.com.co</t>
  </si>
  <si>
    <t>CR 19 28 60</t>
  </si>
  <si>
    <t>901172467</t>
  </si>
  <si>
    <t>MAKRO ALEJO S A S</t>
  </si>
  <si>
    <t>makroalejosas@gmail.com</t>
  </si>
  <si>
    <t>AV LIBERTADORES 21 78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</si>
</sst>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2"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calcChain" Target="calcChain.xml"/><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D19" sqref="D19"/>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4"/>
      <c r="B1" s="15"/>
      <c r="C1" s="15"/>
      <c r="D1" s="15"/>
      <c r="E1" s="15"/>
      <c r="F1" s="15"/>
      <c r="G1" s="15"/>
      <c r="H1" s="15"/>
      <c r="I1" s="15"/>
      <c r="J1" s="15"/>
    </row>
    <row r="2" spans="1:10" x14ac:dyDescent="0.25">
      <c r="A2" s="23" t="s">
        <v>0</v>
      </c>
      <c r="B2" s="23"/>
      <c r="C2" s="16">
        <v>900244577</v>
      </c>
      <c r="D2" s="17"/>
      <c r="E2" s="18"/>
      <c r="F2" s="1"/>
      <c r="G2" s="1"/>
      <c r="H2" s="1"/>
      <c r="I2" s="11" t="s">
        <v>2243</v>
      </c>
      <c r="J2" s="13" t="s">
        <v>2244</v>
      </c>
    </row>
    <row r="3" spans="1:10" x14ac:dyDescent="0.25">
      <c r="A3" s="24" t="s">
        <v>1</v>
      </c>
      <c r="B3" s="24"/>
      <c r="C3" s="19" t="s">
        <v>2249</v>
      </c>
      <c r="D3" s="17"/>
      <c r="E3" s="18"/>
      <c r="F3" s="1"/>
      <c r="G3" s="1"/>
      <c r="H3" s="1"/>
      <c r="I3" s="1"/>
      <c r="J3" s="1"/>
    </row>
    <row r="4" spans="1:10" x14ac:dyDescent="0.25">
      <c r="A4" s="23" t="s">
        <v>2</v>
      </c>
      <c r="B4" s="23"/>
      <c r="C4" s="16">
        <v>2025</v>
      </c>
      <c r="D4" s="17"/>
      <c r="E4" s="18"/>
      <c r="F4" s="1"/>
      <c r="G4" s="1"/>
      <c r="H4" s="1"/>
      <c r="I4" s="1"/>
      <c r="J4" s="1"/>
    </row>
    <row r="5" spans="1:10" x14ac:dyDescent="0.25">
      <c r="A5" s="25" t="s">
        <v>3</v>
      </c>
      <c r="B5" s="25"/>
      <c r="C5" s="20">
        <v>46195</v>
      </c>
      <c r="D5" s="21"/>
      <c r="E5" s="22"/>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t="s">
        <v>2250</v>
      </c>
      <c r="B7" s="4" t="s">
        <v>2251</v>
      </c>
      <c r="C7" s="12" t="s">
        <v>2252</v>
      </c>
      <c r="D7" s="4">
        <v>3108098891</v>
      </c>
      <c r="E7" s="4" t="s">
        <v>2253</v>
      </c>
      <c r="F7" s="4" t="s">
        <v>733</v>
      </c>
      <c r="G7" s="4">
        <v>211</v>
      </c>
      <c r="H7" s="4">
        <f>320000+1000000+501000+440000+160000+50000+160000+470000+160000</f>
        <v>3261000</v>
      </c>
      <c r="I7" s="4">
        <f>2560+8000+4008+3960+1280+400+1280+3760+1280</f>
        <v>26528</v>
      </c>
      <c r="J7" s="4">
        <v>0</v>
      </c>
    </row>
    <row r="8" spans="1:10" x14ac:dyDescent="0.25">
      <c r="A8" s="4" t="s">
        <v>2254</v>
      </c>
      <c r="B8" s="4" t="s">
        <v>2255</v>
      </c>
      <c r="C8" s="4" t="s">
        <v>2256</v>
      </c>
      <c r="D8" s="4">
        <v>3134538141</v>
      </c>
      <c r="E8" s="4" t="s">
        <v>2257</v>
      </c>
      <c r="F8" s="4" t="s">
        <v>733</v>
      </c>
      <c r="G8" s="4">
        <v>211</v>
      </c>
      <c r="H8" s="4">
        <f>324000+222000</f>
        <v>546000</v>
      </c>
      <c r="I8" s="4">
        <f>2592+1776</f>
        <v>4368</v>
      </c>
      <c r="J8" s="4">
        <v>0</v>
      </c>
    </row>
    <row r="9" spans="1:10" x14ac:dyDescent="0.25">
      <c r="A9" s="4" t="s">
        <v>2258</v>
      </c>
      <c r="B9" s="4" t="s">
        <v>2259</v>
      </c>
      <c r="C9" s="4" t="s">
        <v>2260</v>
      </c>
      <c r="D9" s="4">
        <v>7851248</v>
      </c>
      <c r="E9" s="4" t="s">
        <v>2261</v>
      </c>
      <c r="F9" s="4" t="s">
        <v>733</v>
      </c>
      <c r="G9" s="4">
        <v>211</v>
      </c>
      <c r="H9" s="4">
        <f>1647059+1065647+561345+94538</f>
        <v>3368589</v>
      </c>
      <c r="I9" s="4">
        <f>8235+4941+8525+4491+756</f>
        <v>26948</v>
      </c>
      <c r="J9" s="4">
        <v>0</v>
      </c>
    </row>
    <row r="10" spans="1:10" x14ac:dyDescent="0.25">
      <c r="A10" s="4" t="s">
        <v>2262</v>
      </c>
      <c r="B10" s="4" t="s">
        <v>2263</v>
      </c>
      <c r="C10" s="4" t="s">
        <v>2265</v>
      </c>
      <c r="D10" s="4">
        <v>7850266</v>
      </c>
      <c r="E10" s="4" t="s">
        <v>2264</v>
      </c>
      <c r="F10" s="4" t="s">
        <v>733</v>
      </c>
      <c r="G10" s="4">
        <v>212</v>
      </c>
      <c r="H10" s="4">
        <v>200000</v>
      </c>
      <c r="I10" s="4">
        <v>1800</v>
      </c>
      <c r="J10" s="4">
        <v>0</v>
      </c>
    </row>
    <row r="11" spans="1:10" x14ac:dyDescent="0.25">
      <c r="A11" s="4" t="s">
        <v>2266</v>
      </c>
      <c r="B11" s="4" t="s">
        <v>2267</v>
      </c>
      <c r="C11" s="4" t="s">
        <v>2268</v>
      </c>
      <c r="D11" s="4">
        <v>7853796</v>
      </c>
      <c r="E11" s="4" t="s">
        <v>2269</v>
      </c>
      <c r="F11" s="4" t="s">
        <v>733</v>
      </c>
      <c r="G11" s="4">
        <v>211</v>
      </c>
      <c r="H11" s="4">
        <f>510504+400000+336975+110924+63866+132773+154622+353782+200000+205882+75630+105042+105882+84000+507563+1245378+353782+121008+181513+141176+185714+302521+1277311+196639+309244</f>
        <v>7661731</v>
      </c>
      <c r="I11" s="4">
        <f>4084+3200+2696+887+511+1062+1237+2830+1600+1647+605+840+847+672+4061+9963+2830+968+1452+1129+1486+2420+10218+1573+2474</f>
        <v>61292</v>
      </c>
      <c r="J11" s="4">
        <v>0</v>
      </c>
    </row>
    <row r="12" spans="1:10" x14ac:dyDescent="0.25">
      <c r="A12" s="4" t="s">
        <v>2270</v>
      </c>
      <c r="B12" s="4" t="s">
        <v>2271</v>
      </c>
      <c r="C12" s="4" t="s">
        <v>2272</v>
      </c>
      <c r="D12" s="4">
        <v>7853578</v>
      </c>
      <c r="E12" s="4" t="s">
        <v>2273</v>
      </c>
      <c r="F12" s="4" t="s">
        <v>733</v>
      </c>
      <c r="G12" s="4">
        <v>212</v>
      </c>
      <c r="H12" s="4">
        <f>100000+50000</f>
        <v>150000</v>
      </c>
      <c r="I12" s="4">
        <f>900+450</f>
        <v>1350</v>
      </c>
      <c r="J12" s="4">
        <v>0</v>
      </c>
    </row>
    <row r="13" spans="1:10" x14ac:dyDescent="0.25">
      <c r="A13" s="4" t="s">
        <v>2274</v>
      </c>
      <c r="B13" s="4" t="s">
        <v>2275</v>
      </c>
      <c r="C13" s="4" t="s">
        <v>2276</v>
      </c>
      <c r="D13" s="4">
        <v>3112912501</v>
      </c>
      <c r="E13" s="4" t="s">
        <v>2277</v>
      </c>
      <c r="F13" s="4" t="s">
        <v>733</v>
      </c>
      <c r="G13" s="4">
        <v>211</v>
      </c>
      <c r="H13" s="4">
        <f>81933+32941+433272+243697+243697+243697</f>
        <v>1279237</v>
      </c>
      <c r="I13" s="4">
        <f>655+264+3466+1950+1950+1950</f>
        <v>10235</v>
      </c>
      <c r="J13" s="4">
        <v>0</v>
      </c>
    </row>
    <row r="14" spans="1:10" x14ac:dyDescent="0.25">
      <c r="A14" s="4" t="s">
        <v>2278</v>
      </c>
      <c r="B14" s="4" t="s">
        <v>2279</v>
      </c>
      <c r="C14" s="4" t="s">
        <v>2280</v>
      </c>
      <c r="D14" s="4">
        <v>7850541</v>
      </c>
      <c r="E14" s="4" t="s">
        <v>2281</v>
      </c>
      <c r="F14" s="4" t="s">
        <v>733</v>
      </c>
      <c r="G14" s="4">
        <v>211</v>
      </c>
      <c r="H14" s="4">
        <f>68487+176471+70000+455966+105798+50420+45630+24370+181091+38235+29327+233825+606471+234369+15966+167899+15294+102185+424118</f>
        <v>3045922</v>
      </c>
      <c r="I14" s="4">
        <f>548+1412+560+3648+846+403+365+195+1449+306+235+1871+4852+1875+128+1343+122+817+3393</f>
        <v>24368</v>
      </c>
      <c r="J14" s="4">
        <v>0</v>
      </c>
    </row>
    <row r="15" spans="1:10" x14ac:dyDescent="0.25">
      <c r="A15" s="4" t="s">
        <v>2282</v>
      </c>
      <c r="B15" s="4" t="s">
        <v>2283</v>
      </c>
      <c r="C15" s="4" t="s">
        <v>2284</v>
      </c>
      <c r="D15" s="4">
        <v>3103375253</v>
      </c>
      <c r="E15" s="4" t="s">
        <v>2285</v>
      </c>
      <c r="F15" s="4" t="s">
        <v>733</v>
      </c>
      <c r="G15" s="4">
        <v>211</v>
      </c>
      <c r="H15" s="4">
        <f>387115+42017+46218+56303</f>
        <v>531653</v>
      </c>
      <c r="I15" s="4">
        <f>3097+336+370+450</f>
        <v>4253</v>
      </c>
      <c r="J15" s="4">
        <v>0</v>
      </c>
    </row>
    <row r="16" spans="1:10" x14ac:dyDescent="0.25">
      <c r="A16" s="4" t="s">
        <v>2286</v>
      </c>
      <c r="B16" s="4" t="s">
        <v>2287</v>
      </c>
      <c r="C16" s="4" t="s">
        <v>2289</v>
      </c>
      <c r="D16" s="4">
        <v>3203202726</v>
      </c>
      <c r="E16" s="4" t="s">
        <v>2288</v>
      </c>
      <c r="F16" s="4" t="s">
        <v>733</v>
      </c>
      <c r="G16" s="4">
        <v>211</v>
      </c>
      <c r="H16" s="4">
        <f>208403+382770+47061+231929+336130+88235+310924+40366+57143+138656+294958+231093+42016+336134+336134+441180+121008</f>
        <v>3644140</v>
      </c>
      <c r="I16" s="4">
        <f>1667+3062+376+1855+2689+706+2487+323+457+1109+2360+1849+336+2689+2689+3529+968</f>
        <v>29151</v>
      </c>
      <c r="J16" s="4">
        <v>0</v>
      </c>
    </row>
    <row r="17" spans="1:10" x14ac:dyDescent="0.25">
      <c r="A17" s="4" t="s">
        <v>2290</v>
      </c>
      <c r="B17" s="4" t="s">
        <v>2291</v>
      </c>
      <c r="C17" s="4" t="s">
        <v>2292</v>
      </c>
      <c r="D17" s="4">
        <v>3115071069</v>
      </c>
      <c r="E17" s="4" t="s">
        <v>2293</v>
      </c>
      <c r="F17" s="4" t="s">
        <v>733</v>
      </c>
      <c r="G17" s="4">
        <v>211</v>
      </c>
      <c r="H17" s="4">
        <v>239496</v>
      </c>
      <c r="I17" s="4">
        <v>1916</v>
      </c>
      <c r="J17" s="4">
        <v>0</v>
      </c>
    </row>
    <row r="18" spans="1:10" x14ac:dyDescent="0.25">
      <c r="A18" s="4" t="s">
        <v>2294</v>
      </c>
      <c r="B18" s="4" t="s">
        <v>2295</v>
      </c>
      <c r="C18" s="4" t="s">
        <v>2296</v>
      </c>
      <c r="D18" s="4">
        <v>3152024993</v>
      </c>
      <c r="E18" s="4" t="s">
        <v>2297</v>
      </c>
      <c r="F18" s="4" t="s">
        <v>733</v>
      </c>
      <c r="G18" s="4">
        <v>211</v>
      </c>
      <c r="H18" s="4">
        <v>1811765</v>
      </c>
      <c r="I18" s="4">
        <v>14494</v>
      </c>
      <c r="J18" s="4">
        <v>0</v>
      </c>
    </row>
    <row r="19" spans="1:10" x14ac:dyDescent="0.25">
      <c r="A19" s="4" t="s">
        <v>2298</v>
      </c>
      <c r="B19" s="4" t="s">
        <v>2299</v>
      </c>
      <c r="C19" s="4" t="s">
        <v>2300</v>
      </c>
      <c r="D19" s="4">
        <v>0</v>
      </c>
      <c r="E19" s="4" t="s">
        <v>2301</v>
      </c>
      <c r="F19" s="4" t="s">
        <v>733</v>
      </c>
      <c r="G19" s="4">
        <v>211</v>
      </c>
      <c r="H19" s="4">
        <v>853403</v>
      </c>
      <c r="I19" s="4">
        <v>6827</v>
      </c>
      <c r="J19" s="4">
        <v>0</v>
      </c>
    </row>
    <row r="20" spans="1:10" x14ac:dyDescent="0.25">
      <c r="A20" s="4"/>
      <c r="B20" s="4"/>
      <c r="C20" s="4"/>
      <c r="D20" s="4"/>
      <c r="E20" s="4"/>
      <c r="F20" s="4"/>
      <c r="G20" s="4"/>
      <c r="H20" s="4"/>
      <c r="I20" s="4"/>
      <c r="J20" s="4"/>
    </row>
    <row r="21" spans="1:10" ht="15.75" customHeight="1" x14ac:dyDescent="0.25">
      <c r="A21" s="4"/>
      <c r="B21" s="4"/>
      <c r="C21" s="4"/>
      <c r="D21" s="4"/>
      <c r="E21" s="4"/>
      <c r="F21" s="4"/>
      <c r="G21" s="4"/>
      <c r="H21" s="4"/>
      <c r="I21" s="4"/>
      <c r="J21" s="4"/>
    </row>
    <row r="22" spans="1:10" ht="15.75" customHeight="1" x14ac:dyDescent="0.25">
      <c r="A22" s="4"/>
      <c r="B22" s="4"/>
      <c r="C22" s="4"/>
      <c r="D22" s="4"/>
      <c r="E22" s="4"/>
      <c r="F22" s="4"/>
      <c r="G22" s="4"/>
      <c r="H22" s="4"/>
      <c r="I22" s="4"/>
      <c r="J22" s="4"/>
    </row>
    <row r="23" spans="1:10" ht="15.75" customHeight="1" x14ac:dyDescent="0.25">
      <c r="A23" s="4"/>
      <c r="B23" s="4"/>
      <c r="C23" s="4"/>
      <c r="D23" s="4"/>
      <c r="E23" s="4"/>
      <c r="F23" s="4"/>
      <c r="G23" s="4"/>
      <c r="H23" s="4"/>
      <c r="I23" s="4"/>
      <c r="J23" s="4"/>
    </row>
    <row r="24" spans="1:10" ht="15.75" customHeight="1" x14ac:dyDescent="0.25">
      <c r="A24" s="4"/>
      <c r="B24" s="4"/>
      <c r="C24" s="4"/>
      <c r="D24" s="4"/>
      <c r="E24" s="4"/>
      <c r="F24" s="4"/>
      <c r="G24" s="4"/>
      <c r="H24" s="4"/>
      <c r="I24" s="4"/>
      <c r="J24" s="4"/>
    </row>
    <row r="25" spans="1:10" ht="15.75" customHeight="1" x14ac:dyDescent="0.25">
      <c r="A25" s="4"/>
      <c r="B25" s="4"/>
      <c r="C25" s="4"/>
      <c r="D25" s="4"/>
      <c r="E25" s="4"/>
      <c r="F25" s="4"/>
      <c r="G25" s="4"/>
      <c r="H25" s="4"/>
      <c r="I25" s="4"/>
      <c r="J25" s="4"/>
    </row>
    <row r="26" spans="1:10" ht="15.75" customHeight="1" x14ac:dyDescent="0.25">
      <c r="A26" s="4"/>
      <c r="B26" s="4"/>
      <c r="C26" s="4"/>
      <c r="D26" s="4"/>
      <c r="E26" s="4"/>
      <c r="F26" s="4"/>
      <c r="G26" s="4"/>
      <c r="H26" s="4"/>
      <c r="I26" s="4"/>
      <c r="J26" s="4"/>
    </row>
    <row r="27" spans="1:10" ht="15.75" customHeight="1" x14ac:dyDescent="0.25">
      <c r="A27" s="4"/>
      <c r="B27" s="4"/>
      <c r="C27" s="4"/>
      <c r="D27" s="4"/>
      <c r="E27" s="4"/>
      <c r="F27" s="4"/>
      <c r="G27" s="4"/>
      <c r="H27" s="4"/>
      <c r="I27" s="4"/>
      <c r="J27" s="4"/>
    </row>
    <row r="28" spans="1:10" ht="15.75" customHeight="1" x14ac:dyDescent="0.25">
      <c r="A28" s="4"/>
      <c r="B28" s="4"/>
      <c r="C28" s="4"/>
      <c r="D28" s="4"/>
      <c r="E28" s="4"/>
      <c r="F28" s="4"/>
      <c r="G28" s="4"/>
      <c r="H28" s="4"/>
      <c r="I28" s="4"/>
      <c r="J28" s="4"/>
    </row>
    <row r="29" spans="1:10" ht="15.75" customHeight="1" x14ac:dyDescent="0.25">
      <c r="A29" s="4"/>
      <c r="B29" s="4"/>
      <c r="C29" s="4"/>
      <c r="D29" s="4"/>
      <c r="E29" s="4"/>
      <c r="F29" s="4"/>
      <c r="G29" s="4"/>
      <c r="H29" s="4"/>
      <c r="I29" s="4"/>
      <c r="J29" s="4"/>
    </row>
    <row r="30" spans="1:10" ht="15.75" customHeight="1" x14ac:dyDescent="0.25">
      <c r="A30" s="4"/>
      <c r="B30" s="4"/>
      <c r="C30" s="4"/>
      <c r="D30" s="4"/>
      <c r="E30" s="4"/>
      <c r="F30" s="4"/>
      <c r="G30" s="4"/>
      <c r="H30" s="4"/>
      <c r="I30" s="4"/>
      <c r="J30" s="4"/>
    </row>
    <row r="31" spans="1:10" ht="15.75" customHeight="1" x14ac:dyDescent="0.25">
      <c r="A31" s="4"/>
      <c r="B31" s="4"/>
      <c r="C31" s="4"/>
      <c r="D31" s="4"/>
      <c r="E31" s="4"/>
      <c r="F31" s="4"/>
      <c r="G31" s="4"/>
      <c r="H31" s="4"/>
      <c r="I31" s="4"/>
      <c r="J31" s="4"/>
    </row>
    <row r="32" spans="1:10" ht="15.75" customHeight="1" x14ac:dyDescent="0.25">
      <c r="A32" s="4"/>
      <c r="B32" s="4"/>
      <c r="C32" s="4"/>
      <c r="D32" s="4"/>
      <c r="E32" s="4"/>
      <c r="F32" s="4"/>
      <c r="G32" s="4"/>
      <c r="H32" s="4"/>
      <c r="I32" s="4"/>
      <c r="J32" s="4"/>
    </row>
    <row r="33" spans="1:10" ht="15.75" customHeight="1" x14ac:dyDescent="0.25">
      <c r="A33" s="4"/>
      <c r="B33" s="4"/>
      <c r="C33" s="4"/>
      <c r="D33" s="4"/>
      <c r="E33" s="4"/>
      <c r="F33" s="4"/>
      <c r="G33" s="4"/>
      <c r="H33" s="4"/>
      <c r="I33" s="4"/>
      <c r="J33" s="4"/>
    </row>
    <row r="34" spans="1:10" ht="15.75" customHeight="1" x14ac:dyDescent="0.25">
      <c r="A34" s="4"/>
      <c r="B34" s="4"/>
      <c r="C34" s="4"/>
      <c r="D34" s="4"/>
      <c r="E34" s="4"/>
      <c r="F34" s="4"/>
      <c r="G34" s="4"/>
      <c r="H34" s="4"/>
      <c r="I34" s="4"/>
      <c r="J34" s="4"/>
    </row>
    <row r="35" spans="1:10" ht="15.75" customHeight="1" x14ac:dyDescent="0.25">
      <c r="A35" s="4"/>
      <c r="B35" s="4"/>
      <c r="C35" s="4"/>
      <c r="D35" s="4"/>
      <c r="E35" s="4"/>
      <c r="F35" s="4"/>
      <c r="G35" s="4"/>
      <c r="H35" s="4"/>
      <c r="I35" s="4"/>
      <c r="J35" s="4"/>
    </row>
    <row r="36" spans="1:10" ht="15.75" customHeight="1" x14ac:dyDescent="0.25">
      <c r="A36" s="4"/>
      <c r="B36" s="4"/>
      <c r="C36" s="4"/>
      <c r="D36" s="4"/>
      <c r="E36" s="4"/>
      <c r="F36" s="4"/>
      <c r="G36" s="4"/>
      <c r="H36" s="4"/>
      <c r="I36" s="4"/>
      <c r="J36" s="4"/>
    </row>
    <row r="37" spans="1:10" ht="15.75" customHeight="1" x14ac:dyDescent="0.25">
      <c r="A37" s="4"/>
      <c r="B37" s="4"/>
      <c r="C37" s="4"/>
      <c r="D37" s="4"/>
      <c r="E37" s="4"/>
      <c r="F37" s="4"/>
      <c r="G37" s="4"/>
      <c r="H37" s="4"/>
      <c r="I37" s="4"/>
      <c r="J37" s="4"/>
    </row>
    <row r="38" spans="1:10" ht="15.75" customHeight="1" x14ac:dyDescent="0.25">
      <c r="A38" s="4"/>
      <c r="B38" s="4"/>
      <c r="C38" s="4"/>
      <c r="D38" s="4"/>
      <c r="E38" s="4"/>
      <c r="F38" s="4"/>
      <c r="G38" s="4"/>
      <c r="H38" s="4"/>
      <c r="I38" s="4"/>
      <c r="J38" s="4"/>
    </row>
    <row r="39" spans="1:10" ht="15.75" customHeight="1" x14ac:dyDescent="0.25">
      <c r="A39" s="4"/>
      <c r="B39" s="4"/>
      <c r="C39" s="4"/>
      <c r="D39" s="4"/>
      <c r="E39" s="4"/>
      <c r="F39" s="4"/>
      <c r="G39" s="4"/>
      <c r="H39" s="4"/>
      <c r="I39" s="4"/>
      <c r="J39" s="4"/>
    </row>
    <row r="40" spans="1:10" ht="15.75" customHeight="1" x14ac:dyDescent="0.25">
      <c r="A40" s="4"/>
      <c r="B40" s="4"/>
      <c r="C40" s="4"/>
      <c r="D40" s="4"/>
      <c r="E40" s="4"/>
      <c r="F40" s="4"/>
      <c r="G40" s="4"/>
      <c r="H40" s="4"/>
      <c r="I40" s="4"/>
      <c r="J40" s="4"/>
    </row>
    <row r="41" spans="1:10" ht="15.75" customHeight="1" x14ac:dyDescent="0.25">
      <c r="A41" s="4"/>
      <c r="B41" s="4"/>
      <c r="C41" s="4"/>
      <c r="D41" s="4"/>
      <c r="E41" s="4"/>
      <c r="F41" s="4"/>
      <c r="G41" s="4"/>
      <c r="H41" s="4"/>
      <c r="I41" s="4"/>
      <c r="J41" s="4"/>
    </row>
    <row r="42" spans="1:10" ht="15.75" customHeight="1" x14ac:dyDescent="0.25">
      <c r="A42" s="4"/>
      <c r="B42" s="4"/>
      <c r="C42" s="4"/>
      <c r="D42" s="4"/>
      <c r="E42" s="4"/>
      <c r="F42" s="4"/>
      <c r="G42" s="4"/>
      <c r="H42" s="4"/>
      <c r="I42" s="4"/>
      <c r="J42" s="4"/>
    </row>
    <row r="43" spans="1:10" ht="15.75" customHeight="1" x14ac:dyDescent="0.2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13" workbookViewId="0">
      <selection activeCell="A27" sqref="A27"/>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Auxiliar</cp:lastModifiedBy>
  <cp:lastPrinted>2026-03-30T17:32:14Z</cp:lastPrinted>
  <dcterms:created xsi:type="dcterms:W3CDTF">2015-06-05T18:19:34Z</dcterms:created>
  <dcterms:modified xsi:type="dcterms:W3CDTF">2026-06-22T15:20:26Z</dcterms:modified>
</cp:coreProperties>
</file>