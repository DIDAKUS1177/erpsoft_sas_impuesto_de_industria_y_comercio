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8_{8B1F70E8-E7B4-4525-8702-349301FE3E7C}"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I21" i="1" l="1"/>
  <c r="I20" i="1"/>
  <c r="I1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<sst xmlns="http://schemas.openxmlformats.org/spreadsheetml/2006/main" count="3196" uniqueCount="3045">
  <si>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</si>
  <si>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</si>
  <si>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</si>
  <si>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</si>
  <si>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</si>
  <si>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</si>
  <si>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</si>
  <si>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</si>
  <si>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</si>
  <si>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</si>
  <si>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</si>
  <si>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</si>
  <si>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</si>
  <si>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</si>
  <si>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</si>
  <si>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</si>
  <si>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</si>
  <si>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</si>
  <si>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</si>
  <si>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</si>
  <si>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</si>
  <si>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</si>
  <si>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</si>
  <si>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</si>
  <si>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</si>
  <si>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</si>
  <si>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</si>
  <si>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</si>
  <si>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</si>
  <si>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</si>
  <si>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</si>
  <si>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</si>
  <si>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</si>
  <si>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</si>
  <si>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</si>
  <si>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</si>
  <si>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</si>
  <si>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</si>
  <si>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</si>
  <si>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</si>
  <si>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</si>
  <si>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</si>
  <si>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</si>
  <si>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</si>
  <si>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</si>
  <si>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</si>
  <si>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</si>
  <si>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</si>
  <si>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</si>
  <si>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</si>
  <si>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</si>
  <si>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</si>
  <si>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</si>
  <si>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</si>
  <si>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</si>
  <si>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</si>
  <si>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</si>
  <si>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</si>
  <si>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</si>
  <si>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</si>
  <si>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</si>
  <si>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</si>
  <si>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</si>
  <si>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</si>
  <si>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</si>
  <si>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</si>
  <si>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</si>
  <si>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</si>
  <si>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</si>
  <si>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</si>
  <si>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</si>
  <si>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</si>
  <si>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</si>
  <si>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</si>
  <si>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</si>
  <si>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</si>
  <si>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</si>
  <si>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</si>
  <si>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</si>
  <si>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</si>
  <si>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</si>
  <si>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</si>
  <si>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</si>
  <si>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</si>
  <si>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</si>
  <si>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</si>
  <si>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</si>
  <si>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</si>
  <si>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</si>
  <si>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</si>
  <si>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</si>
  <si>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</si>
  <si>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</si>
  <si>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</si>
  <si>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</si>
  <si>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</si>
  <si>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</si>
  <si>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</si>
  <si>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</si>
  <si>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</si>
  <si>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</si>
  <si>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</si>
  <si>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</si>
  <si>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</si>
  <si>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</si>
  <si>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</si>
  <si>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</si>
  <si>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</si>
  <si>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</si>
  <si>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</si>
  <si>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</si>
  <si>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</si>
  <si>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</si>
  <si>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</si>
  <si>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</si>
  <si>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</si>
  <si>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</si>
  <si>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</si>
  <si>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</si>
  <si>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</si>
  <si>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</si>
  <si>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</si>
  <si>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</si>
  <si>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</si>
  <si>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</si>
  <si>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</si>
  <si>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</si>
  <si>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</si>
  <si>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</si>
  <si>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</si>
  <si>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</si>
  <si>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</si>
  <si>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</si>
  <si>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</si>
  <si>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</si>
  <si>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</si>
  <si>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</si>
  <si>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</si>
  <si>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</si>
  <si>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</si>
  <si>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</si>
  <si>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</si>
  <si>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</si>
  <si>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</si>
  <si>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</si>
  <si>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</si>
  <si>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</si>
  <si>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</si>
  <si>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</si>
  <si>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</si>
  <si>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</si>
  <si>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</si>
  <si>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</si>
  <si>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</si>
  <si>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</si>
  <si>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</si>
  <si>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</si>
  <si>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</si>
  <si>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</si>
  <si>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</si>
  <si>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</si>
  <si>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</si>
  <si>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</si>
  <si>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</si>
  <si>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</si>
  <si>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</si>
  <si>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</si>
  <si>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</si>
  <si>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</si>
  <si>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</si>
  <si>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</si>
  <si>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</si>
  <si>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</si>
  <si>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</si>
  <si>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</si>
  <si>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</si>
  <si>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</si>
  <si>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</si>
  <si>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</si>
  <si>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</si>
  <si>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</si>
  <si>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</si>
  <si>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</si>
  <si>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</si>
  <si>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</si>
  <si>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</si>
  <si>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</si>
  <si>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</si>
  <si>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</si>
  <si>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</si>
  <si>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</si>
  <si>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</si>
  <si>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</si>
  <si>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</si>
  <si>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</si>
  <si>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</si>
  <si>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</si>
  <si>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</si>
  <si>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</si>
  <si>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</si>
  <si>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</si>
  <si>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</si>
  <si>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</si>
  <si>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</si>
  <si>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</si>
  <si>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</si>
  <si>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</si>
  <si>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</si>
  <si>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</si>
  <si>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</si>
  <si>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</si>
  <si>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</si>
  <si>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</si>
  <si>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</si>
  <si>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</si>
  <si>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</si>
  <si>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</si>
  <si>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</si>
  <si>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</si>
  <si>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</si>
  <si>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</si>
  <si>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</si>
  <si>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</si>
  <si>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</si>
  <si>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</si>
  <si>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</si>
  <si>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</si>
  <si>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</si>
  <si>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</si>
  <si>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</si>
  <si>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</si>
  <si>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</si>
  <si>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</si>
  <si>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</si>
  <si>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</si>
  <si>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</si>
  <si>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</si>
  <si>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</si>
  <si>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</si>
  <si>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</si>
  <si>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</si>
  <si>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</si>
  <si>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</si>
  <si>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</si>
  <si>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</si>
  <si>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</si>
  <si>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</si>
  <si>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</si>
  <si>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</si>
  <si>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</si>
  <si>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</si>
  <si>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</si>
  <si>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</si>
  <si>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</si>
  <si>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</si>
  <si>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</si>
  <si>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</si>
  <si>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</si>
  <si>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</si>
  <si>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</si>
  <si>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</si>
  <si>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</si>
  <si>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</si>
  <si>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</si>
  <si>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</si>
  <si>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</si>
  <si>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</si>
  <si>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</si>
  <si>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</si>
  <si>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</si>
  <si>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</si>
  <si>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</si>
  <si>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</si>
  <si>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</si>
  <si>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</si>
  <si>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</si>
  <si>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</si>
  <si>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</si>
  <si>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</si>
  <si>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</si>
  <si>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</si>
  <si>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</si>
  <si>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</si>
  <si>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</si>
  <si>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</si>
  <si>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</si>
  <si>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</si>
  <si>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</si>
  <si>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</si>
  <si>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</si>
  <si>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</si>
  <si>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</si>
  <si>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</si>
  <si>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</si>
  <si>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</si>
  <si>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</si>
  <si>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</si>
  <si>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</si>
  <si>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</si>
  <si>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</si>
  <si>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</si>
  <si>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</si>
  <si>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</si>
  <si>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</si>
  <si>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</si>
  <si>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</si>
  <si>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</si>
  <si>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</si>
  <si>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</si>
  <si>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</si>
  <si>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</si>
  <si>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</si>
  <si>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</si>
  <si>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</si>
  <si>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</si>
  <si>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</si>
  <si>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</si>
  <si>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</si>
  <si>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</si>
  <si>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</si>
  <si>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</si>
  <si>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</si>
  <si>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</si>
  <si>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</si>
  <si>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</si>
  <si>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</si>
  <si>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</si>
  <si>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</si>
  <si>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</si>
  <si>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</si>
  <si>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</si>
  <si>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</si>
  <si>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</si>
  <si>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</si>
  <si>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</si>
  <si>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</si>
  <si>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</si>
  <si>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</si>
  <si>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</si>
  <si>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</si>
  <si>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</si>
  <si>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</si>
  <si>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</si>
  <si>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</si>
  <si>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</si>
  <si>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</si>
  <si>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</si>
  <si>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</si>
  <si>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</si>
  <si>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</si>
  <si>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</si>
  <si>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</si>
  <si>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</si>
  <si>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</si>
  <si>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</si>
  <si>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</si>
  <si>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</si>
  <si>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</si>
  <si>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</si>
  <si>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</si>
  <si>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</si>
  <si>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</si>
  <si>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</si>
  <si>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</si>
  <si>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</si>
  <si>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</si>
  <si>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</si>
  <si>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</si>
  <si>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</si>
  <si>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</si>
  <si>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</si>
  <si>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</si>
  <si>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</si>
  <si>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</si>
  <si>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</si>
  <si>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</si>
  <si>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</si>
  <si>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</si>
  <si>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</si>
  <si>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</si>
  <si>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</si>
  <si>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</si>
  <si>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</si>
  <si>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</si>
  <si>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</si>
  <si>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</si>
  <si>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</si>
  <si>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</si>
  <si>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</si>
  <si>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</si>
  <si>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</si>
  <si>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</si>
  <si>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</si>
  <si>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</si>
  <si>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</si>
  <si>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</si>
  <si>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</si>
  <si>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</si>
  <si>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</si>
  <si>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</si>
  <si>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</si>
  <si>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</si>
  <si>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</si>
  <si>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</si>
  <si>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</si>
  <si>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</si>
  <si>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</si>
  <si>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</si>
  <si>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</si>
  <si>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</si>
  <si>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</si>
  <si>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</si>
  <si>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</si>
  <si>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</si>
  <si>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</si>
  <si>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</si>
  <si>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</si>
  <si>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</si>
  <si>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</si>
  <si>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</si>
  <si>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</si>
  <si>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</si>
  <si>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</si>
  <si>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</si>
  <si>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</si>
  <si>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</si>
  <si>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</si>
  <si>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</si>
  <si>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</si>
  <si>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</si>
  <si>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</si>
  <si>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</si>
  <si>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</si>
  <si>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</si>
  <si>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</si>
  <si>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</si>
  <si>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</si>
  <si>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</si>
  <si>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</si>
  <si>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</si>
  <si>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</si>
  <si>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</si>
  <si>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</si>
  <si>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</si>
  <si>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</si>
  <si>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</si>
  <si>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</si>
  <si>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</si>
  <si>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</si>
  <si>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</si>
  <si>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</si>
  <si>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</si>
  <si>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</si>
  <si>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</si>
  <si>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</si>
  <si>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</si>
  <si>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</si>
  <si>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</si>
  <si>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</si>
  <si>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</si>
  <si>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</si>
  <si>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</si>
  <si>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</si>
  <si>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</si>
  <si>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</si>
  <si>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</si>
  <si>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</si>
  <si>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</si>
  <si>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</si>
  <si>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</si>
  <si>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</si>
  <si>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</si>
  <si>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</si>
  <si>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</si>
  <si>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</si>
  <si>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</si>
  <si>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</si>
  <si>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</si>
  <si>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</si>
  <si>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</si>
  <si>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</si>
  <si>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</si>
  <si>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</si>
  <si>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</si>
  <si>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</si>
  <si>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</si>
  <si>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</si>
  <si>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</si>
  <si>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</si>
  <si>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</si>
  <si>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</si>
  <si>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</si>
  <si>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</si>
  <si>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</si>
  <si>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</si>
  <si>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</si>
  <si>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</si>
  <si>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</si>
  <si>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</si>
  <si>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</si>
  <si>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</si>
  <si>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</si>
  <si>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</si>
  <si>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</si>
  <si>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</si>
  <si>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</si>
  <si>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</si>
  <si>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</si>
  <si>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</si>
  <si>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</si>
  <si>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</si>
  <si>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</si>
  <si>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</si>
  <si>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</si>
  <si>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</si>
  <si>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</si>
  <si>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</si>
  <si>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</si>
  <si>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</si>
  <si>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</si>
  <si>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</si>
  <si>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</si>
  <si>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</si>
  <si>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</si>
  <si>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</si>
  <si>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</si>
  <si>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</si>
  <si>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</si>
  <si>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</si>
  <si>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</si>
  <si>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</si>
  <si>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</si>
  <si>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</si>
  <si>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</si>
  <si>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</si>
  <si>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</si>
  <si>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</si>
  <si>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</si>
  <si>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</si>
  <si>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</si>
  <si>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</si>
  <si>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</si>
  <si>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</si>
  <si>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</si>
  <si>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</si>
  <si>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</si>
  <si>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</si>
  <si>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</si>
  <si>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</si>
  <si>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</si>
  <si>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</si>
  <si>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</si>
  <si>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</si>
  <si>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</si>
  <si>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</si>
  <si>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</si>
  <si>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</si>
  <si>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</si>
  <si>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</si>
  <si>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</si>
  <si>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</si>
  <si>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</si>
  <si>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</si>
  <si>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</si>
  <si>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</si>
  <si>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</si>
  <si>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</si>
  <si>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</si>
  <si>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</si>
  <si>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</si>
  <si>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</si>
  <si>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</si>
  <si>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</si>
  <si>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</si>
  <si>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</si>
  <si>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</si>
  <si>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</si>
  <si>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</si>
  <si>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</si>
  <si>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</si>
  <si>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</si>
  <si>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</si>
  <si>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</si>
  <si>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</si>
  <si>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</si>
  <si>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</si>
  <si>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</si>
  <si>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</si>
  <si>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</si>
  <si>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</si>
  <si>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</si>
  <si>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</si>
  <si>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</si>
  <si>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</si>
  <si>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</si>
  <si>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</si>
  <si>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</si>
  <si>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</si>
  <si>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</si>
  <si>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</si>
  <si>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</si>
  <si>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</si>
  <si>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</si>
  <si>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</si>
  <si>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</si>
  <si>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</si>
  <si>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</si>
  <si>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</si>
  <si>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</si>
  <si>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</si>
  <si>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</si>
  <si>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</si>
  <si>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</si>
  <si>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</si>
  <si>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</si>
  <si>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</si>
  <si>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</si>
  <si>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</si>
  <si>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</si>
  <si>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</si>
  <si>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</si>
  <si>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</si>
  <si>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</si>
  <si>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</si>
  <si>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</si>
  <si>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</si>
  <si>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</si>
  <si>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</si>
  <si>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</si>
  <si>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</si>
  <si>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</si>
  <si>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</si>
  <si>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</si>
  <si>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</si>
  <si>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</si>
  <si>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</si>
  <si>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</si>
  <si>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</si>
  <si>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</si>
  <si>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</si>
  <si>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</si>
  <si>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</si>
  <si>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</si>
  <si>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</si>
  <si>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</si>
  <si>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</si>
  <si>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</si>
  <si>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</si>
  <si>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</si>
  <si>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</si>
  <si>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</si>
  <si>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</si>
  <si>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</si>
  <si>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</si>
  <si>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</si>
  <si>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</si>
  <si>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</si>
  <si>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</si>
  <si>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</si>
  <si>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</si>
  <si>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</si>
  <si>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</si>
  <si>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</si>
  <si>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</si>
  <si>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</si>
  <si>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</si>
  <si>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</si>
  <si>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</si>
  <si>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</si>
  <si>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</si>
  <si>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</si>
  <si>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</si>
  <si>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</si>
  <si>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</si>
  <si>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</si>
  <si>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</si>
  <si>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</si>
  <si>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</si>
  <si>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</si>
  <si>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</si>
  <si>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</si>
  <si>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</si>
  <si>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</si>
  <si>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</si>
  <si>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</si>
  <si>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</si>
  <si>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</si>
  <si>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</si>
  <si>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</si>
  <si>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</si>
  <si>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</si>
  <si>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</si>
  <si>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</si>
  <si>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</si>
  <si>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</si>
  <si>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</si>
  <si>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</si>
  <si>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</si>
  <si>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</si>
  <si>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</si>
  <si>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</si>
  <si>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</si>
  <si>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</si>
  <si>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</si>
  <si>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</si>
  <si>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</si>
  <si>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</si>
  <si>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</si>
  <si>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</si>
  <si>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</si>
  <si>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</si>
  <si>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</si>
  <si>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</si>
  <si>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</si>
  <si>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</si>
  <si>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</si>
  <si>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</si>
  <si>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</si>
  <si>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</si>
  <si>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</si>
  <si>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</si>
  <si>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</si>
  <si>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</si>
  <si>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</si>
  <si>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</si>
  <si>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</si>
  <si>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</si>
  <si>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</si>
  <si>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</si>
  <si>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</si>
  <si>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</si>
  <si>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</si>
  <si>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</si>
  <si>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</si>
  <si>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</si>
  <si>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</si>
  <si>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</si>
  <si>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</si>
  <si>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</si>
  <si>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</si>
  <si>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</si>
  <si>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</si>
  <si>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</si>
  <si>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</si>
  <si>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</si>
  <si>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</si>
  <si>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</si>
  <si>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</si>
  <si>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</si>
  <si>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</si>
  <si>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</si>
  <si>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</si>
  <si>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</si>
  <si>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</si>
  <si>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</si>
  <si>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</si>
  <si>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</si>
  <si>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</si>
  <si>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</si>
  <si>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</si>
  <si>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</si>
  <si>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</si>
  <si>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</si>
  <si>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</si>
  <si>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</si>
  <si>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</si>
  <si>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</si>
  <si>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</si>
  <si>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</si>
  <si>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</si>
  <si>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</si>
  <si>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</si>
  <si>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</si>
  <si>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</si>
  <si>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</si>
  <si>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</si>
  <si>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</si>
  <si>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</si>
  <si>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</si>
  <si>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</si>
  <si>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</si>
  <si>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</si>
  <si>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</si>
  <si>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</si>
  <si>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</si>
  <si>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</si>
  <si>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</si>
  <si>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</si>
  <si>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</si>
  <si>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</si>
  <si>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</si>
  <si>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</si>
  <si>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</si>
  <si>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</si>
  <si>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</si>
  <si>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</si>
  <si>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</si>
  <si>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</si>
  <si>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</si>
  <si>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</si>
  <si>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</si>
  <si>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</si>
  <si>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</si>
  <si>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</si>
  <si>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</si>
  <si>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</si>
  <si>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</si>
  <si>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</si>
  <si>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</si>
  <si>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</si>
  <si>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</si>
  <si>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</si>
  <si>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</si>
  <si>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</si>
  <si>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</si>
  <si>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</si>
  <si>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</si>
  <si>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</si>
  <si>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</si>
  <si>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</si>
  <si>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</si>
  <si>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</si>
  <si>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</si>
  <si>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</si>
  <si>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</si>
  <si>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</si>
  <si>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</si>
  <si>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</si>
  <si>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</si>
  <si>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</si>
  <si>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</si>
  <si>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</si>
  <si>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</si>
  <si>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</si>
  <si>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</si>
  <si>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</si>
  <si>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</si>
  <si>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</si>
  <si>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</si>
  <si>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</si>
  <si>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</si>
  <si>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</si>
  <si>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</si>
  <si>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</si>
  <si>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</si>
  <si>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</si>
  <si>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</si>
  <si>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</si>
  <si>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</si>
  <si>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</si>
  <si>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</si>
  <si>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</si>
  <si>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</si>
  <si>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</si>
  <si>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</si>
  <si>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</si>
  <si>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</si>
  <si>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</si>
  <si>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</si>
  <si>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</si>
  <si>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</si>
  <si>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</si>
  <si>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</si>
  <si>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</si>
  <si>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</si>
  <si>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</si>
  <si>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</si>
  <si>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</si>
  <si>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</si>
  <si>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</si>
  <si>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</si>
  <si>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</si>
  <si>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</si>
  <si>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</si>
  <si>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</si>
  <si>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</si>
  <si>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</si>
  <si>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</si>
  <si>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</si>
  <si>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</si>
  <si>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</si>
  <si>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</si>
  <si>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</si>
  <si>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</si>
  <si>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</si>
  <si>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</si>
  <si>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</si>
  <si>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</si>
  <si>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</si>
  <si>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</si>
  <si>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</si>
  <si>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</si>
  <si>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</si>
  <si>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</si>
  <si>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</si>
  <si>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</si>
  <si>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</si>
  <si>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</si>
  <si>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</si>
  <si>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</si>
  <si>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</si>
  <si>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</si>
  <si>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</si>
  <si>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</si>
  <si>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</si>
  <si>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</si>
  <si>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</si>
  <si>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</si>
  <si>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</si>
  <si>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</si>
  <si>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</si>
  <si>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</si>
  <si>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</si>
  <si>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</si>
  <si>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</si>
  <si>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</si>
  <si>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</si>
  <si>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</si>
  <si>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</si>
  <si>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</si>
  <si>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</si>
  <si>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</si>
  <si>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</si>
  <si>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</si>
  <si>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</si>
  <si>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</si>
  <si>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</si>
  <si>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</si>
  <si>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</si>
  <si>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</si>
  <si>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</si>
  <si>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</si>
  <si>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</si>
  <si>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</si>
  <si>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</si>
  <si>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</si>
  <si>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</si>
  <si>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</si>
  <si>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</si>
  <si>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</si>
  <si>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</si>
  <si>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</si>
  <si>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</si>
  <si>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</si>
  <si>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</si>
  <si>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</si>
  <si>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</si>
  <si>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</si>
  <si>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</si>
  <si>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</si>
  <si>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</si>
  <si>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</si>
  <si>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</si>
  <si>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</si>
  <si>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</si>
  <si>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</si>
  <si>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</si>
  <si>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</si>
  <si>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</si>
  <si>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</si>
  <si>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</si>
  <si>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</si>
  <si>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</si>
  <si>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</si>
  <si>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</si>
  <si>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</si>
  <si>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</si>
  <si>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</si>
  <si>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</si>
  <si>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</si>
  <si>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</si>
  <si>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</si>
  <si>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</si>
  <si>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</si>
  <si>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</si>
  <si>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</si>
  <si>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</si>
  <si>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</si>
  <si>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</si>
  <si>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</si>
  <si>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</si>
  <si>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</si>
  <si>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</si>
  <si>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</si>
  <si>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</si>
  <si>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</si>
  <si>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</si>
  <si>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</si>
  <si>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</si>
  <si>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</si>
  <si>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</si>
  <si>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</si>
  <si>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</si>
  <si>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</si>
  <si>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</si>
  <si>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</si>
  <si>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</si>
  <si>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</si>
  <si>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</si>
  <si>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</si>
  <si>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</si>
  <si>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</si>
  <si>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</si>
  <si>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</si>
  <si>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</si>
  <si>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</si>
  <si>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</si>
  <si>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</si>
  <si>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</si>
  <si>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</si>
  <si>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</si>
  <si>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</si>
  <si>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</si>
  <si>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</si>
  <si>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</si>
  <si>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</si>
  <si>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</si>
  <si>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</si>
  <si>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</si>
  <si>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</si>
  <si>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</si>
  <si>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</si>
  <si>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</si>
  <si>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</si>
  <si>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</si>
  <si>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</si>
  <si>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</si>
  <si>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</si>
  <si>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</si>
  <si>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</si>
  <si>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</si>
  <si>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</si>
  <si>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</si>
  <si>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</si>
  <si>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</si>
  <si>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</si>
  <si>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</si>
  <si>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</si>
  <si>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</si>
  <si>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</si>
  <si>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</si>
  <si>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</si>
  <si>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</si>
  <si>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</si>
  <si>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</si>
  <si>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</si>
  <si>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</si>
  <si>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</si>
  <si>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</si>
  <si>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</si>
  <si>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</si>
  <si>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</si>
  <si>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</si>
  <si>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</si>
  <si>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</si>
  <si>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</si>
  <si>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</si>
  <si>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</si>
  <si>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</si>
  <si>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</si>
  <si>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</si>
  <si>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</si>
  <si>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</si>
  <si>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</si>
  <si>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</si>
  <si>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</si>
  <si>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</si>
  <si>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</si>
  <si>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</si>
  <si>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</si>
  <si>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</si>
  <si>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</si>
  <si>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</si>
  <si>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</si>
  <si>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</si>
  <si>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</si>
  <si>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</si>
  <si>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</si>
  <si>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</si>
  <si>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</si>
  <si>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</si>
  <si>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</si>
  <si>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</si>
  <si>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</si>
  <si>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</si>
  <si>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</si>
  <si>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</si>
  <si>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</si>
  <si>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</si>
  <si>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</si>
  <si>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</si>
  <si>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</si>
  <si>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</si>
  <si>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</si>
  <si>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</si>
  <si>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</si>
  <si>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</si>
  <si>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</si>
  <si>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</si>
  <si>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</si>
  <si>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</si>
  <si>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</si>
  <si>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</si>
  <si>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</si>
  <si>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</si>
  <si>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</si>
  <si>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</si>
  <si>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</si>
  <si>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</si>
  <si>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</si>
  <si>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</si>
  <si>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</si>
  <si>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</si>
  <si>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</si>
  <si>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</si>
  <si>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</si>
  <si>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</si>
  <si>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</si>
  <si>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</si>
  <si>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</si>
  <si>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</si>
  <si>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</si>
  <si>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</si>
  <si>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</si>
  <si>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</si>
  <si>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</si>
  <si>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</si>
  <si>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</si>
  <si>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</si>
  <si>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</si>
  <si>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</si>
  <si>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</si>
  <si>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</si>
  <si>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</si>
  <si>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</si>
  <si>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</si>
  <si>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</si>
  <si>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</si>
  <si>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</si>
  <si>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</si>
  <si>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</si>
  <si>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</si>
  <si>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</si>
  <si>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</si>
  <si>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</si>
  <si>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</si>
  <si>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</si>
  <si>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</si>
  <si>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</si>
  <si>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</si>
  <si>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</si>
  <si>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</si>
  <si>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</si>
  <si>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</si>
  <si>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</si>
  <si>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</si>
  <si>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</si>
  <si>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</si>
  <si>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</si>
  <si>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</si>
  <si>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</si>
  <si>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</si>
  <si>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</si>
  <si>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</si>
  <si>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</si>
  <si>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</si>
  <si>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</si>
  <si>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</si>
  <si>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</si>
  <si>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</si>
  <si>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</si>
  <si>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</si>
  <si>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</si>
  <si>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</si>
  <si>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</si>
  <si>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</si>
  <si>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</si>
  <si>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</si>
  <si>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</si>
  <si>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</si>
  <si>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</si>
  <si>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</si>
  <si>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</si>
  <si>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</si>
  <si>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</si>
  <si>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</si>
  <si>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</si>
  <si>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</si>
  <si>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</si>
  <si>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</si>
  <si>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</si>
  <si>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</si>
  <si>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</si>
  <si>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</si>
  <si>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</si>
  <si>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</si>
  <si>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</si>
  <si>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</si>
  <si>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</si>
  <si>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</si>
  <si>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</si>
  <si>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</si>
  <si>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</si>
  <si>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</si>
  <si>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</si>
  <si>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</si>
  <si>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</si>
  <si>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</si>
  <si>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</si>
  <si>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</si>
  <si>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</si>
  <si>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</si>
  <si>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</si>
  <si>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</si>
  <si>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</si>
  <si>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</si>
  <si>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</si>
  <si>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</si>
  <si>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</si>
  <si>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</si>
  <si>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</si>
  <si>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</si>
  <si>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</si>
  <si>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</si>
  <si>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</si>
  <si>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</si>
  <si>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</si>
  <si>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</si>
  <si>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</si>
  <si>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</si>
  <si>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</si>
  <si>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</si>
  <si>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</si>
  <si>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</si>
  <si>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</si>
  <si>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</si>
  <si>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</si>
  <si>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</si>
  <si>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</si>
  <si>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</si>
  <si>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</si>
  <si>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</si>
  <si>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</si>
  <si>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</si>
  <si>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</si>
  <si>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</si>
  <si>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</si>
  <si>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</si>
  <si>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</si>
  <si>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</si>
  <si>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</si>
  <si>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</si>
  <si>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</si>
  <si>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</si>
  <si>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</si>
  <si>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</si>
  <si>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</si>
  <si>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</si>
  <si>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</si>
  <si>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</si>
  <si>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</si>
  <si>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</si>
  <si>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</si>
  <si>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</si>
  <si>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</si>
  <si>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</si>
  <si>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</si>
  <si>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</si>
  <si>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</si>
  <si>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</si>
  <si>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</si>
  <si>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</si>
  <si>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</si>
  <si>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</si>
  <si>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</si>
  <si>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</si>
  <si>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</si>
  <si>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</si>
  <si>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</si>
  <si>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</si>
  <si>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</si>
  <si>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</si>
  <si>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</si>
  <si>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</si>
  <si>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</si>
  <si>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</si>
  <si>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</si>
  <si>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</si>
  <si>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</si>
  <si>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</si>
  <si>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</si>
  <si>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</si>
  <si>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</si>
  <si>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</si>
  <si>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</si>
  <si>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</si>
  <si>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</si>
  <si>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</si>
  <si>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</si>
  <si>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</si>
  <si>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</si>
  <si>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</si>
  <si>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</si>
  <si>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</si>
  <si>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</si>
  <si>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</si>
  <si>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</si>
  <si>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</si>
  <si>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</si>
  <si>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</si>
  <si>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</si>
  <si>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</si>
  <si>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</si>
  <si>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</si>
  <si>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</si>
  <si>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</si>
  <si>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</si>
  <si>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</si>
  <si>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</si>
  <si>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</si>
  <si>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</si>
  <si>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</si>
  <si>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</si>
  <si>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</si>
  <si>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</si>
  <si>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</si>
  <si>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</si>
  <si>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</si>
  <si>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</si>
  <si>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</si>
  <si>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</si>
  <si>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</si>
  <si>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</si>
  <si>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</si>
  <si>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</si>
  <si>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</si>
  <si>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</si>
  <si>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</si>
  <si>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</si>
  <si>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</si>
  <si>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</si>
  <si>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</si>
  <si>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</si>
  <si>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</si>
  <si>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</si>
  <si>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</si>
  <si>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</si>
  <si>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</si>
  <si>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</si>
  <si>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</si>
  <si>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</si>
  <si>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</si>
  <si>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</si>
  <si>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</si>
  <si>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</si>
  <si>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</si>
  <si>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</si>
  <si>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</si>
  <si>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</si>
  <si>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</si>
  <si>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</si>
  <si>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</si>
  <si>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</si>
  <si>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</si>
  <si>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</si>
  <si>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</si>
  <si>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</si>
  <si>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</si>
  <si>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</si>
  <si>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</si>
  <si>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</si>
  <si>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</si>
  <si>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</si>
  <si>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</si>
  <si>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</si>
  <si>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</si>
  <si>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</si>
  <si>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</si>
  <si>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</si>
  <si>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</si>
  <si>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</si>
  <si>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</si>
  <si>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</si>
  <si>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</si>
  <si>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</si>
  <si>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</si>
  <si>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</si>
  <si>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</si>
  <si>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</si>
  <si>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</si>
  <si>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</si>
  <si>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</si>
  <si>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</si>
  <si>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</si>
  <si>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</si>
  <si>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</si>
  <si>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</si>
  <si>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</si>
  <si>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</si>
  <si>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</si>
  <si>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</si>
  <si>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</si>
  <si>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</si>
  <si>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</si>
  <si>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</si>
  <si>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</si>
  <si>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</si>
  <si>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</si>
  <si>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</si>
  <si>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</si>
  <si>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</si>
  <si>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</si>
  <si>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</si>
  <si>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</si>
  <si>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</si>
  <si>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</si>
  <si>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</si>
  <si>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</si>
  <si>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</si>
  <si>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</si>
  <si>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</si>
  <si>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</si>
  <si>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</si>
  <si>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</si>
  <si>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</si>
  <si>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</si>
  <si>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</si>
  <si>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</si>
  <si>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</si>
  <si>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</si>
  <si>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</si>
  <si>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</si>
  <si>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</si>
  <si>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</si>
  <si>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</si>
  <si>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</si>
  <si>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</si>
  <si>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</si>
  <si>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</si>
  <si>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</si>
  <si>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</si>
  <si>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</si>
  <si>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</si>
  <si>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</si>
  <si>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</si>
  <si>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</si>
  <si>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</si>
  <si>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</si>
  <si>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</si>
  <si>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</si>
  <si>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</si>
  <si>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</si>
  <si>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</si>
  <si>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</si>
  <si>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</si>
  <si>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</si>
  <si>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</si>
  <si>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</si>
  <si>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</si>
  <si>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</si>
  <si>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</si>
  <si>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</si>
  <si>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</si>
  <si>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</si>
  <si>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</si>
  <si>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</si>
  <si>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</si>
  <si>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</si>
  <si>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</si>
  <si>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</si>
  <si>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</si>
  <si>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</si>
  <si>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</si>
  <si>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</si>
  <si>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</si>
  <si>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</si>
  <si>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</si>
  <si>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</si>
  <si>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</si>
  <si>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</si>
  <si>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</si>
  <si>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</si>
  <si>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</si>
  <si>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</si>
  <si>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</si>
  <si>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</si>
  <si>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</si>
  <si>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</si>
  <si>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</si>
  <si>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</si>
  <si>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</si>
  <si>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</si>
  <si>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</si>
  <si>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</si>
  <si>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</si>
  <si>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</si>
  <si>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</si>
  <si>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</si>
  <si>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</si>
  <si>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</si>
  <si>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</si>
  <si>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</si>
  <si>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</si>
  <si>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</si>
  <si>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</si>
  <si>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</si>
  <si>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</si>
  <si>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</si>
  <si>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</si>
  <si>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</si>
  <si>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</si>
  <si>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</si>
  <si>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</si>
  <si>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</si>
  <si>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</si>
  <si>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</si>
  <si>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</si>
  <si>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</si>
  <si>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</si>
  <si>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</si>
  <si>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</si>
  <si>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</si>
  <si>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</si>
  <si>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</si>
  <si>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</si>
  <si>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</si>
  <si>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</si>
  <si>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</si>
  <si>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</si>
  <si>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</si>
  <si>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</si>
  <si>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</si>
  <si>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</si>
  <si>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</si>
  <si>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</si>
  <si>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</si>
  <si>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</si>
  <si>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</si>
  <si>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</si>
  <si>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</si>
  <si>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</si>
  <si>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</si>
  <si>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</si>
  <si>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</si>
  <si>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</si>
  <si>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</si>
  <si>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</si>
  <si>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</si>
  <si>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</si>
  <si>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</si>
  <si>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</si>
  <si>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</si>
  <si>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</si>
  <si>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</si>
  <si>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</si>
  <si>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</si>
  <si>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</si>
  <si>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</si>
  <si>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</si>
  <si>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</si>
  <si>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</si>
  <si>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</si>
  <si>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</si>
  <si>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</si>
  <si>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</si>
  <si>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</si>
  <si>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</si>
  <si>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</si>
  <si>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</si>
  <si>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</si>
  <si>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</si>
  <si>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</si>
  <si>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</si>
  <si>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</si>
  <si>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</si>
  <si>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</si>
  <si>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</si>
  <si>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</si>
  <si>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</si>
  <si>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</si>
  <si>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</si>
  <si>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</si>
  <si>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</si>
  <si>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</si>
  <si>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</si>
  <si>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</si>
  <si>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</si>
  <si>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</si>
  <si>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</si>
  <si>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</si>
  <si>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</si>
  <si>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</si>
  <si>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</si>
  <si>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</si>
  <si>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</si>
  <si>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</si>
  <si>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</si>
  <si>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</si>
  <si>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</si>
  <si>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</si>
  <si>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</si>
  <si>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</si>
  <si>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</si>
  <si>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</si>
  <si>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</si>
  <si>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</si>
  <si>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</si>
  <si>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</si>
  <si>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</si>
  <si>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</si>
  <si>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</si>
  <si>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</si>
  <si>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</si>
  <si>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</si>
  <si>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</si>
  <si>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</si>
  <si>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</si>
  <si>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</si>
  <si>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</si>
  <si>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</si>
  <si>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</si>
  <si>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</si>
  <si>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</si>
  <si>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</si>
  <si>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</si>
  <si>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</si>
  <si>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</si>
  <si>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</si>
  <si>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</si>
  <si>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</si>
  <si>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</si>
  <si>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</si>
  <si>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</si>
  <si>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</si>
  <si>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</si>
  <si>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</si>
  <si>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</si>
  <si>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</si>
  <si>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</si>
  <si>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</si>
  <si>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</si>
  <si>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</si>
  <si>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</si>
  <si>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</si>
  <si>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</si>
  <si>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</si>
  <si>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</si>
  <si>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</si>
  <si>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</si>
  <si>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</si>
  <si>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</si>
  <si>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</si>
  <si>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</si>
  <si>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</si>
  <si>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</si>
  <si>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</si>
  <si>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</si>
  <si>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</si>
  <si>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</si>
  <si>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</si>
  <si>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</si>
  <si>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</si>
  <si>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</si>
  <si>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</si>
  <si>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</si>
  <si>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</si>
  <si>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</si>
  <si>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</si>
  <si>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</si>
  <si>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</si>
  <si>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</si>
  <si>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</si>
  <si>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</si>
  <si>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</si>
  <si>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</si>
  <si>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</si>
  <si>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</si>
  <si>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</si>
  <si>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</si>
  <si>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</si>
  <si>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</si>
  <si>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</si>
  <si>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</si>
  <si>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</si>
  <si>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</si>
  <si>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</si>
  <si>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</si>
  <si>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</si>
  <si>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</si>
  <si>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</si>
  <si>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</si>
  <si>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</si>
  <si>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</si>
  <si>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</si>
  <si>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</si>
  <si>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</si>
  <si>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</si>
  <si>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</si>
  <si>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</si>
  <si>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</si>
  <si>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</si>
  <si>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</si>
  <si>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</si>
  <si>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</si>
  <si>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</si>
  <si>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</si>
  <si>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</si>
  <si>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</si>
  <si>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</si>
  <si>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</si>
  <si>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</si>
  <si>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</si>
  <si>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</si>
  <si>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</si>
  <si>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</si>
  <si>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</si>
  <si>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</si>
  <si>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</si>
  <si>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</si>
  <si>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</si>
  <si>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</si>
  <si>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</si>
  <si>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</si>
  <si>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</si>
  <si>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</si>
  <si>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</si>
  <si>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</si>
  <si>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</si>
  <si>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</si>
  <si>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</si>
  <si>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</si>
  <si>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</si>
  <si>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</si>
  <si>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</si>
  <si>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</si>
  <si>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</si>
  <si>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</si>
  <si>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</si>
  <si>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</si>
  <si>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</si>
  <si>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</si>
  <si>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</si>
  <si>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</si>
  <si>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</si>
  <si>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</si>
  <si>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</si>
  <si>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</si>
  <si>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</si>
  <si>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</si>
  <si>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</si>
  <si>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</si>
  <si>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</si>
  <si>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</si>
  <si>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</si>
  <si>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</si>
  <si>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</si>
  <si>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</si>
  <si>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</si>
  <si>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</si>
  <si>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</si>
  <si>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</si>
  <si>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</si>
  <si>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</si>
  <si>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</si>
  <si>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</si>
  <si>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</si>
  <si>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</si>
  <si>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</si>
  <si>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</si>
  <si>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</si>
  <si>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</si>
  <si>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</si>
  <si>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</si>
  <si>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</si>
  <si>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</si>
  <si>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</si>
  <si>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</si>
  <si>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</si>
  <si>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</si>
  <si>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</si>
  <si>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</si>
  <si>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</si>
  <si>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</si>
  <si>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</si>
  <si>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</si>
  <si>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</si>
  <si>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</si>
  <si>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</si>
  <si>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</si>
  <si>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</si>
  <si>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</si>
  <si>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</si>
  <si>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</si>
  <si>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</si>
  <si>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</si>
  <si>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</si>
  <si>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</si>
  <si>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</si>
  <si>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</si>
  <si>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</si>
  <si>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</si>
  <si>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</si>
  <si>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</si>
  <si>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</si>
  <si>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</si>
  <si>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</si>
  <si>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</si>
  <si>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</si>
  <si>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</si>
  <si>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</si>
  <si>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</si>
  <si>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</si>
  <si>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</si>
  <si>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</si>
  <si>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</si>
  <si>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</si>
  <si>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</si>
  <si>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</si>
  <si>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</si>
  <si>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</si>
  <si>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</si>
  <si>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</si>
  <si>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</si>
  <si>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</si>
  <si>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</si>
  <si>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</si>
  <si>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</si>
  <si>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</si>
  <si>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</si>
  <si>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</si>
  <si>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</si>
  <si>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</si>
  <si>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</si>
  <si>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</si>
  <si>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</si>
  <si>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</si>
  <si>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</si>
  <si>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</si>
  <si>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</si>
  <si>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</si>
  <si>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</si>
  <si>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</si>
  <si>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</si>
  <si>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</si>
  <si>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</si>
  <si>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</si>
  <si>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</si>
  <si>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</si>
  <si>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</si>
  <si>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</si>
  <si>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</si>
  <si>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</si>
  <si>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</si>
  <si>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</si>
  <si>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</si>
  <si>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</si>
  <si>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</si>
  <si>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</si>
  <si>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</si>
  <si>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</si>
  <si>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</si>
  <si>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</si>
  <si>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</si>
  <si>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</si>
  <si>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</si>
  <si>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</si>
  <si>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</si>
  <si>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</si>
  <si>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</si>
  <si>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</si>
  <si>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</si>
  <si>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</si>
  <si>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</si>
  <si>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</si>
  <si>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</si>
  <si>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</si>
  <si>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</si>
  <si>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</si>
  <si>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</si>
  <si>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</si>
  <si>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</si>
  <si>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</si>
  <si>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</si>
  <si>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</si>
  <si>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</si>
  <si>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</si>
  <si>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</si>
  <si>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</si>
  <si>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</si>
  <si>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</si>
  <si>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</si>
  <si>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</si>
  <si>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</si>
  <si>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</si>
  <si>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</si>
  <si>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</si>
  <si>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</si>
  <si>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</si>
  <si>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</si>
  <si>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</si>
  <si>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</si>
  <si>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</si>
  <si>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</si>
  <si>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</si>
  <si>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</si>
  <si>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</si>
  <si>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</si>
  <si>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</si>
  <si>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</si>
  <si>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</si>
  <si>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</si>
  <si>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</si>
  <si>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</si>
  <si>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</si>
  <si>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</si>
  <si>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</si>
  <si>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</si>
  <si>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</si>
  <si>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</si>
  <si>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</si>
  <si>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</si>
  <si>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</si>
  <si>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</si>
  <si>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</si>
  <si>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</si>
  <si>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</si>
  <si>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</si>
  <si>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</si>
  <si>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</si>
  <si>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</si>
  <si>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</si>
  <si>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</si>
  <si>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</si>
  <si>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</si>
  <si>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</si>
  <si>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</si>
  <si>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</si>
  <si>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</si>
  <si>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</si>
  <si>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</si>
  <si>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</si>
  <si>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</si>
  <si>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</si>
  <si>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</si>
  <si>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</si>
  <si>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</si>
  <si>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</si>
  <si>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</si>
  <si>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</si>
  <si>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</si>
  <si>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</si>
  <si>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</si>
  <si>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</si>
  <si>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</si>
  <si>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</si>
  <si>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</si>
  <si>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</si>
  <si>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</si>
  <si>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</si>
  <si>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</si>
  <si>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</si>
  <si>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</si>
  <si>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</si>
  <si>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</si>
  <si>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</si>
  <si>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</si>
  <si>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</si>
  <si>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</si>
  <si>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</si>
  <si>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</si>
  <si>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</si>
  <si>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</si>
  <si>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</si>
  <si>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</si>
  <si>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</si>
  <si>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</si>
  <si>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</si>
  <si>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</si>
  <si>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</si>
  <si>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</si>
  <si>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</si>
  <si>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</si>
  <si>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</si>
  <si>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</si>
  <si>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</si>
  <si>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</si>
  <si>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</si>
  <si>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</si>
  <si>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</si>
  <si>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</si>
  <si>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</si>
  <si>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</si>
  <si>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</si>
  <si>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</si>
  <si>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</si>
  <si>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</si>
  <si>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</si>
  <si>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</si>
  <si>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</si>
  <si>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</si>
  <si>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</si>
  <si>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</si>
  <si>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</si>
  <si>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</si>
  <si>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</si>
  <si>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</si>
  <si>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</si>
  <si>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</si>
  <si>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</si>
  <si>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</si>
  <si>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</si>
  <si>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</si>
  <si>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</si>
  <si>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</si>
  <si>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</si>
  <si>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</si>
  <si>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</si>
  <si>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</si>
  <si>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</si>
  <si>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</si>
  <si>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</si>
  <si>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</si>
  <si>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</si>
  <si>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</si>
  <si>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</si>
  <si>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</si>
  <si>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</si>
  <si>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</si>
  <si>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</si>
  <si>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</si>
  <si>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</si>
  <si>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</si>
  <si>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</si>
  <si>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</si>
  <si>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</si>
  <si>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</si>
  <si>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</si>
  <si>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</si>
  <si>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</si>
  <si>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</si>
  <si>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</si>
  <si>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</si>
  <si>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</si>
  <si>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</si>
  <si>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</si>
  <si>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</si>
  <si>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</si>
  <si>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</si>
  <si>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</si>
  <si>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</si>
  <si>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</si>
  <si>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</si>
  <si>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</si>
  <si>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</si>
  <si>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</si>
  <si>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</si>
  <si>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</si>
  <si>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</si>
  <si>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</si>
  <si>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</si>
  <si>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</si>
  <si>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</si>
  <si>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</si>
  <si>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</si>
  <si>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</si>
  <si>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</si>
  <si>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</si>
  <si>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</si>
  <si>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</si>
  <si>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</si>
  <si>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</si>
  <si>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</si>
  <si>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</si>
  <si>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</si>
  <si>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</si>
  <si>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</si>
  <si>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</si>
  <si>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</si>
  <si>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</si>
  <si>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</si>
  <si>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</si>
  <si>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</si>
  <si>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</si>
  <si>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</si>
  <si>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</si>
  <si>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</si>
  <si>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</si>
  <si>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</si>
  <si>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</si>
  <si>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</si>
  <si>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</si>
  <si>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</si>
  <si>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</si>
  <si>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</si>
  <si>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</si>
  <si>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</si>
  <si>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</si>
  <si>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</si>
  <si>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</si>
  <si>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</si>
  <si>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</si>
  <si>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</si>
  <si>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</si>
  <si>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</si>
  <si>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</si>
  <si>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</si>
  <si>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</si>
  <si>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</si>
  <si>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</si>
  <si>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</si>
  <si>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</si>
  <si>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</si>
  <si>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</si>
  <si>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</si>
  <si>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</si>
  <si>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</si>
  <si>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</si>
  <si>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</si>
  <si>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</si>
  <si>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</si>
  <si>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</si>
  <si>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</si>
  <si>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</si>
  <si>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</si>
  <si>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</si>
  <si>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</si>
  <si>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</si>
  <si>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</si>
  <si>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</si>
  <si>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</si>
  <si>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</si>
  <si>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</si>
  <si>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</si>
  <si>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</si>
  <si>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</si>
  <si>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</si>
  <si>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</si>
  <si>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</si>
  <si>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</si>
  <si>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</si>
  <si>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</si>
  <si>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</si>
  <si>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</si>
  <si>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</si>
  <si>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</si>
  <si>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</si>
  <si>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</si>
  <si>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</si>
  <si>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</si>
  <si>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</si>
  <si>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</si>
  <si>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</si>
  <si>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</si>
  <si>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</si>
  <si>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</si>
  <si>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</si>
  <si>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</si>
  <si>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</si>
  <si>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</si>
  <si>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</si>
  <si>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</si>
  <si>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</si>
  <si>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</si>
  <si>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</si>
  <si>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</si>
  <si>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</si>
  <si>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</si>
  <si>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</si>
  <si>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</si>
  <si>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</si>
  <si>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</si>
  <si>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</si>
  <si>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</si>
  <si>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</si>
  <si>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</si>
  <si>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</si>
  <si>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</si>
  <si>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</si>
  <si>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</si>
  <si>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</si>
  <si>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</si>
  <si>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</si>
  <si>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</si>
  <si>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</si>
  <si>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</si>
  <si>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</si>
  <si>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</si>
  <si>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</si>
  <si>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</si>
  <si>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</si>
  <si>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</si>
  <si>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</si>
  <si>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</si>
  <si>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</si>
  <si>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</si>
  <si>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</si>
  <si>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</si>
  <si>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</si>
  <si>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</si>
  <si>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</si>
  <si>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</si>
  <si>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</si>
  <si>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</si>
  <si>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</si>
  <si>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</si>
  <si>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</si>
  <si>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</si>
  <si>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</si>
  <si>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</si>
  <si>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</si>
  <si>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</si>
  <si>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</si>
  <si>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</si>
  <si>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</si>
  <si>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</si>
  <si>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</si>
  <si>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</si>
  <si>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</si>
  <si>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</si>
  <si>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</si>
  <si>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</si>
  <si>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</si>
  <si>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</si>
  <si>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</si>
  <si>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</si>
  <si>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</si>
  <si>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</si>
  <si>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</si>
  <si>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</si>
  <si>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</si>
  <si>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</si>
  <si>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</si>
  <si>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</si>
  <si>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</si>
  <si>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</si>
  <si>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</si>
  <si>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</si>
  <si>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</si>
  <si>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</si>
  <si>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</si>
  <si>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</si>
  <si>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</si>
  <si>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</si>
  <si>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</si>
  <si>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</si>
  <si>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</si>
  <si>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</si>
  <si>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</si>
  <si>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</si>
  <si>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1053606084</t>
  </si>
  <si>
    <t>JUAN MORANTES BOLIVAR</t>
  </si>
  <si>
    <t>contadflor@hotmail.com</t>
  </si>
  <si>
    <t>AV LIBERTADORES 25 36</t>
  </si>
  <si>
    <t>900031780</t>
  </si>
  <si>
    <t>SM ASOCIADOS S A</t>
  </si>
  <si>
    <t>ferreteriasymfacturacionelectronica@hotmail.com</t>
  </si>
  <si>
    <t>AV LIBERTADORES  22 71</t>
  </si>
  <si>
    <t>1052380480</t>
  </si>
  <si>
    <t>OSCAR IGNACIO MARROQUIN SALCEDO</t>
  </si>
  <si>
    <t>facturacionduitama03@gmail.com</t>
  </si>
  <si>
    <t>CR 19 N O 26 38</t>
  </si>
  <si>
    <t>52773362</t>
  </si>
  <si>
    <t>EDY MILENA PICO VILLAMIZAR</t>
  </si>
  <si>
    <t>dymsinsumos@gmail.com</t>
  </si>
  <si>
    <t>CR 24 20A 41</t>
  </si>
  <si>
    <t>23857703</t>
  </si>
  <si>
    <t>MARIA CRISTINA ROJAS BARRERA</t>
  </si>
  <si>
    <t>KRISMODA2014@GMAIL.COM</t>
  </si>
  <si>
    <t>CR 19 25 49</t>
  </si>
  <si>
    <t>900813668</t>
  </si>
  <si>
    <t>AMERICANA DE TECNOLOGIA Y COMUNICACIONES SAS "AMTEC"</t>
  </si>
  <si>
    <t>facturacion.amtec@gmail.com</t>
  </si>
  <si>
    <t>CRA 21 22  86</t>
  </si>
  <si>
    <t>40040871</t>
  </si>
  <si>
    <t>NAYIVE IRLANDA NIÑO AGUILLON</t>
  </si>
  <si>
    <t>consultoriolaboral2020@gmail.com</t>
  </si>
  <si>
    <t>CL  25   22   40</t>
  </si>
  <si>
    <t>74130526</t>
  </si>
  <si>
    <t>JHON JAIRO VARGAS ESPINOSA</t>
  </si>
  <si>
    <t>jojavaes2005@hotmail.com</t>
  </si>
  <si>
    <t>CR 22 30 88 BR LOS LIBERTADORES</t>
  </si>
  <si>
    <t>4192435</t>
  </si>
  <si>
    <t>WILLIAM FERNEY FONSECA NIÑO</t>
  </si>
  <si>
    <t>avicola.sanfrancisco2002@gmail.com</t>
  </si>
  <si>
    <t>CL 21 A 28 27 AP 302</t>
  </si>
  <si>
    <t>900987911</t>
  </si>
  <si>
    <t>SABAJON CIPRES SOCIEDAD POR ACCIONES SIMPLIFICADA</t>
  </si>
  <si>
    <t>facturacioncipres@yahoo.com</t>
  </si>
  <si>
    <t>CR 19 19 07</t>
  </si>
  <si>
    <t>23857273</t>
  </si>
  <si>
    <t>FLOR DE MARIA OJEDA FONSECA</t>
  </si>
  <si>
    <t>facturacionelectronica@interrapidisimo.com</t>
  </si>
  <si>
    <t>CR 23B 29  10</t>
  </si>
  <si>
    <t>1024532536</t>
  </si>
  <si>
    <t>ALEJANDRO  PEREZ SALAMANCA</t>
  </si>
  <si>
    <t>alpezalaperez1992@gmail.com</t>
  </si>
  <si>
    <t>CL 28 14 09 BRR EL BOSQUE</t>
  </si>
  <si>
    <t>74360587</t>
  </si>
  <si>
    <t>OCTAVIO  RAMIREZ SALAMANCA</t>
  </si>
  <si>
    <t>ramirezoctavio036@gmaill.com</t>
  </si>
  <si>
    <t>CRA 23 22 02</t>
  </si>
  <si>
    <t>23856562</t>
  </si>
  <si>
    <t>MYRIAM LUZ SOLANO LOPEZ</t>
  </si>
  <si>
    <t>miluzdensuenos@gmail.com</t>
  </si>
  <si>
    <t>CR 22  25 36</t>
  </si>
  <si>
    <t>9517142</t>
  </si>
  <si>
    <t>ABRAHAM  MERCHAN CORREDOR</t>
  </si>
  <si>
    <t>hotellibertadores@gmail.com</t>
  </si>
  <si>
    <t>km 1 via piscinas</t>
  </si>
  <si>
    <t>74327031</t>
  </si>
  <si>
    <t>OSCAR JAVIER BALAGUERA CELY</t>
  </si>
  <si>
    <t>osbarte@hotmail.com</t>
  </si>
  <si>
    <t>CL 19 A 17 A 15</t>
  </si>
  <si>
    <t>74130458</t>
  </si>
  <si>
    <t>ADRIANO YESID SALOMON RUIZ</t>
  </si>
  <si>
    <t>casasalomondecoracion@gmail.com</t>
  </si>
  <si>
    <t>CLL 26 C 16 45</t>
  </si>
  <si>
    <t>80414998</t>
  </si>
  <si>
    <t xml:space="preserve">DANILO ALONSO MONROY </t>
  </si>
  <si>
    <t>daniloalonso748@gmail.com</t>
  </si>
  <si>
    <t>CLL 27 17a 70 LOCAL 1</t>
  </si>
  <si>
    <t>4207899</t>
  </si>
  <si>
    <t>ESTEBAN  PACHON ROJAS</t>
  </si>
  <si>
    <t>grasisand@gmail.com</t>
  </si>
  <si>
    <t>CR 22 27 15</t>
  </si>
  <si>
    <t>4046991</t>
  </si>
  <si>
    <t>AYALA SUESCA HECTOR ARMANDO</t>
  </si>
  <si>
    <t>ayalahector8022@yahoo.es</t>
  </si>
  <si>
    <t>CL 26  22  11</t>
  </si>
  <si>
    <t>1053604467</t>
  </si>
  <si>
    <t>PATRICIA  BECERRA FONSECA</t>
  </si>
  <si>
    <t>patobe3@gmail.com</t>
  </si>
  <si>
    <t>CONDOMINIO VERSALLES</t>
  </si>
  <si>
    <t>1053606876</t>
  </si>
  <si>
    <t>MARIA AMPARO PUERTO RODRIGUEZ</t>
  </si>
  <si>
    <t>ventasmenorescuanatia2021@gmail.com</t>
  </si>
  <si>
    <t>CR 19 23 10 CEN</t>
  </si>
  <si>
    <t>40008485</t>
  </si>
  <si>
    <t>PRECIADO CHAPARRO ROSALBA DEL CARMEN</t>
  </si>
  <si>
    <t>40008485@recepciondefacturas.co</t>
  </si>
  <si>
    <t>CL 26 23 13</t>
  </si>
  <si>
    <t>901541201</t>
  </si>
  <si>
    <t>AGROEXITO LA NOVENA SAS</t>
  </si>
  <si>
    <t>nysas.contadores@yahoo.com</t>
  </si>
  <si>
    <t>1053609886</t>
  </si>
  <si>
    <t>WILMER FABIAN BONILLA HURTADO</t>
  </si>
  <si>
    <t>w.fabianb31@gmail.com</t>
  </si>
  <si>
    <t>CL 23  17 00</t>
  </si>
  <si>
    <t>23913485</t>
  </si>
  <si>
    <t>MERLEI  GALLO PEREZ</t>
  </si>
  <si>
    <t>SOLUCIONESCONTABLES812@GMAIL.COM</t>
  </si>
  <si>
    <t>CR  19   25   55</t>
  </si>
  <si>
    <t>1053606869</t>
  </si>
  <si>
    <t>EBER AGUSTIN BAUTISTA RAMIREZ</t>
  </si>
  <si>
    <t>CL 25  22 40</t>
  </si>
  <si>
    <t>46450731</t>
  </si>
  <si>
    <t>LIDA PATRICIA TORRES SAAVEDRA</t>
  </si>
  <si>
    <t>notiene@gmail.com</t>
  </si>
  <si>
    <t>CL 25 17 02</t>
  </si>
  <si>
    <t>901128826</t>
  </si>
  <si>
    <t>SOCIAL SOLAR  S.A.S</t>
  </si>
  <si>
    <t>CR 19  28 60 LOCAL 103</t>
  </si>
  <si>
    <t>1002461584</t>
  </si>
  <si>
    <t>ANDRES FELIPE ECHEVARRIA DIAZ</t>
  </si>
  <si>
    <t>andreszmies@hotmail.com</t>
  </si>
  <si>
    <t>Km 1 via Piscinas Termales</t>
  </si>
  <si>
    <t>23552349</t>
  </si>
  <si>
    <t>PEÑA SANCHEZ GLORIA</t>
  </si>
  <si>
    <t>pedido_pomar@hotmail.com</t>
  </si>
  <si>
    <t>CRA 23 N 24 17</t>
  </si>
  <si>
    <t>74359922</t>
  </si>
  <si>
    <t>ALEXANDER  MALAGON TENZA</t>
  </si>
  <si>
    <t>almusc@hotmail.com</t>
  </si>
  <si>
    <t>CR 18A  20   16</t>
  </si>
  <si>
    <t>4208171</t>
  </si>
  <si>
    <t>JUAN PABLO  SILVA LEGUIZAMO</t>
  </si>
  <si>
    <t>Juanpablokalo@gmail.com</t>
  </si>
  <si>
    <t>CR 5  6  63</t>
  </si>
  <si>
    <t>74322325</t>
  </si>
  <si>
    <t>JAVIER DE JESUS CORONADO ALVARADO</t>
  </si>
  <si>
    <t>javier.coronado1@gmail.com</t>
  </si>
  <si>
    <t>CR 19 25 41</t>
  </si>
  <si>
    <t>901138291</t>
  </si>
  <si>
    <t>EDS ESTACION LA TURISTICA DE PAIPA S.A.S</t>
  </si>
  <si>
    <t>turistica@outlook.com</t>
  </si>
  <si>
    <t>CR 19 26 45</t>
  </si>
  <si>
    <t>1002332098</t>
  </si>
  <si>
    <t>AVELLA DIAZ DAVID SANTIAGO</t>
  </si>
  <si>
    <t>jogusavella@gmail.com</t>
  </si>
  <si>
    <t>CL 23A 17 38</t>
  </si>
  <si>
    <t>74392288</t>
  </si>
  <si>
    <t>PLAZAS GOMEZ EULISES</t>
  </si>
  <si>
    <t>cdafacturasclientes@gmail.com</t>
  </si>
  <si>
    <t>VDA LA ESPERANZA</t>
  </si>
  <si>
    <t>901145013</t>
  </si>
  <si>
    <t>ANGLO INV S.A.S</t>
  </si>
  <si>
    <t>angloinvsas@gmail.com</t>
  </si>
  <si>
    <t>CL 25 22  71</t>
  </si>
  <si>
    <t>4191672</t>
  </si>
  <si>
    <t>VARGAS AVENDAÑO OSCAR</t>
  </si>
  <si>
    <t>oskarva.14@gmail.com</t>
  </si>
  <si>
    <t>CL 26 20 48 INT 103</t>
  </si>
  <si>
    <t>901395372</t>
  </si>
  <si>
    <t>DISTRIBUIDORA EL CARMEN BADIZ SOCIEDAD POR ACCIONES SIMPLIFICADA</t>
  </si>
  <si>
    <t>CL 25 19 75</t>
  </si>
  <si>
    <t>74130977</t>
  </si>
  <si>
    <t>ERNESTO FONSECA VASQUEZ</t>
  </si>
  <si>
    <t>lubriservicios.we@gmail.com</t>
  </si>
  <si>
    <t>BARRIO CORINTO</t>
  </si>
  <si>
    <t>9513337</t>
  </si>
  <si>
    <t>ROBERTO  GONZALEZ CUTA</t>
  </si>
  <si>
    <t>casablancapaipa@hotmail.com</t>
  </si>
  <si>
    <t>KM 1 VIA PISCINAS</t>
  </si>
  <si>
    <t>23854335</t>
  </si>
  <si>
    <t>ELSA YANETH RODRIGUEZ BARRERA</t>
  </si>
  <si>
    <t>elsayaneth56@hotmail.com</t>
  </si>
  <si>
    <t>AVENIDA LIBERTADORES 25 30</t>
  </si>
  <si>
    <t>23856303</t>
  </si>
  <si>
    <t>MARIA NELLY AVENDAÑO AVELLA</t>
  </si>
  <si>
    <t>Nellyfundacion@hotmail.com</t>
  </si>
  <si>
    <t>CR 22  25  44</t>
  </si>
  <si>
    <t>4191297</t>
  </si>
  <si>
    <t>RIVERA TUTA JOSE OSVALDO</t>
  </si>
  <si>
    <t>com.elrey@yahoo.es</t>
  </si>
  <si>
    <t>AV LIBERTADORES 31A 70  72</t>
  </si>
  <si>
    <t>79983255</t>
  </si>
  <si>
    <t>GERMAN ANTONIO SOLER CRUZ</t>
  </si>
  <si>
    <t>LIMAKURO@GMAIL.COM</t>
  </si>
  <si>
    <t>AV LIBERTADORES 31A 03</t>
  </si>
  <si>
    <t>901714513</t>
  </si>
  <si>
    <t>UNION TURISTICA COMPOSTELA S.A.S</t>
  </si>
  <si>
    <t>UNIONTURISTICACOMPOSTELASAS@GMAIL.COM</t>
  </si>
  <si>
    <t>CL 24  24  07  OF  403 ED CENTRAL  PARK</t>
  </si>
  <si>
    <t>1053616911</t>
  </si>
  <si>
    <t>SNEIDER  MONTAÑA MORA</t>
  </si>
  <si>
    <t>smontanamora@gmail.com</t>
  </si>
  <si>
    <t>CR 23A 22 35</t>
  </si>
  <si>
    <t>74358612</t>
  </si>
  <si>
    <t>HUGO HUMBERTO SANDOVAL FUQUEN</t>
  </si>
  <si>
    <t>andocreando@icloud.com</t>
  </si>
  <si>
    <t>7852411</t>
  </si>
  <si>
    <t>CR 22 26 53</t>
  </si>
  <si>
    <t>46682789</t>
  </si>
  <si>
    <t>CLAUDIA PATRICIA BENITEZ MONROY</t>
  </si>
  <si>
    <t>paty-benitez1983@hotmail.com</t>
  </si>
  <si>
    <t>3133513221</t>
  </si>
  <si>
    <t>CR 22 26 41</t>
  </si>
  <si>
    <t>74359261</t>
  </si>
  <si>
    <t>JAIME ALBERTO ZAMBRANO PATARROYO</t>
  </si>
  <si>
    <t>gasltiplano201@yahoo.es</t>
  </si>
  <si>
    <t>3202201726</t>
  </si>
  <si>
    <t>CL 23 17A 71</t>
  </si>
  <si>
    <t>901683253</t>
  </si>
  <si>
    <t>AGROPECUARIA DEL BOSQUE SAS</t>
  </si>
  <si>
    <t>agropecuariaelbosquesas@gmail.com</t>
  </si>
  <si>
    <t>3102894626</t>
  </si>
  <si>
    <t>CLL 24 24 07</t>
  </si>
  <si>
    <t>901553229</t>
  </si>
  <si>
    <t>SURTIELECTRICOS RV S.A.S</t>
  </si>
  <si>
    <t>surtielectricosrvss.a.s@gmail.com</t>
  </si>
  <si>
    <t>3115071069</t>
  </si>
  <si>
    <t>CL  22   26  22</t>
  </si>
  <si>
    <t>826000777</t>
  </si>
  <si>
    <t>AGROAMIGOS S.A.S</t>
  </si>
  <si>
    <t>agroamigos@hotmail.com</t>
  </si>
  <si>
    <t>7851494</t>
  </si>
  <si>
    <t>CLL 23 N 23 11</t>
  </si>
  <si>
    <t>7213708</t>
  </si>
  <si>
    <t>MARIO ESPEJO CAMARGO</t>
  </si>
  <si>
    <t>pasadenafacturacion@gmail.com</t>
  </si>
  <si>
    <t>7600194</t>
  </si>
  <si>
    <t>CR 20  26  36</t>
  </si>
  <si>
    <t>52321781</t>
  </si>
  <si>
    <t>LUZ HELENA GONZALEZ</t>
  </si>
  <si>
    <t>lupitaycrayola@gmail.com</t>
  </si>
  <si>
    <t/>
  </si>
  <si>
    <t>CRA 21 N 24 40</t>
  </si>
  <si>
    <t>JORGE MAURICIO GIL CELY</t>
  </si>
  <si>
    <t>macedios.12@hotmail.com</t>
  </si>
  <si>
    <t>7851446</t>
  </si>
  <si>
    <t>CRA 19    23   27</t>
  </si>
  <si>
    <t>19269547</t>
  </si>
  <si>
    <t>GUSTAVO GUEVARA C</t>
  </si>
  <si>
    <t>cerrajeriaelseguro@gmail.com</t>
  </si>
  <si>
    <t>3115035762</t>
  </si>
  <si>
    <t>CR 21 26 12</t>
  </si>
  <si>
    <t>900297127</t>
  </si>
  <si>
    <t>COMERCIALIZADORA BOYACENSE VERDE S.A.S</t>
  </si>
  <si>
    <t>comercializadoraboyacense@gmail.com</t>
  </si>
  <si>
    <t>7850739</t>
  </si>
  <si>
    <t>CRA 19 N 26 53</t>
  </si>
  <si>
    <t>1007382589</t>
  </si>
  <si>
    <t>KAREN NATALIA GOMEZ GOMEZ</t>
  </si>
  <si>
    <t>karennataliagomezgomez311@gmail.com</t>
  </si>
  <si>
    <t>3232174867</t>
  </si>
  <si>
    <t>1053604581</t>
  </si>
  <si>
    <t>DIANA CAROLINA FONSECA SUESCA</t>
  </si>
  <si>
    <t>ferropaipala27@gmail.com</t>
  </si>
  <si>
    <t>7850454</t>
  </si>
  <si>
    <t>CL 27 17 27</t>
  </si>
  <si>
    <t>1053612993</t>
  </si>
  <si>
    <t>MARTHA YANETH CAMACHO HIGUERA</t>
  </si>
  <si>
    <t>yanethcahi@gmail.com</t>
  </si>
  <si>
    <t>CL 26 23 38</t>
  </si>
  <si>
    <t>900559782</t>
  </si>
  <si>
    <t>TRIGOS PAIPA</t>
  </si>
  <si>
    <t>terminaltrigos@gmail.com</t>
  </si>
  <si>
    <t>3128498532</t>
  </si>
  <si>
    <t>CR 19 25 50</t>
  </si>
  <si>
    <t>901101928</t>
  </si>
  <si>
    <t>EMPRESA DE TRANSPORTE LANCEROS SAS</t>
  </si>
  <si>
    <t>loslancerossas@gmail.com</t>
  </si>
  <si>
    <t>3214410421</t>
  </si>
  <si>
    <t>CL 24 19 121 OF 202 CC SENDERO PLAZA</t>
  </si>
  <si>
    <t>7182918</t>
  </si>
  <si>
    <t>MAURICIO HERRERA NEIRA</t>
  </si>
  <si>
    <t>mauricio.herrera.neira@gmail.com</t>
  </si>
  <si>
    <t>3112655077</t>
  </si>
  <si>
    <t>CL 27  18  27</t>
  </si>
  <si>
    <t>OMAR SANDOVAL FONSECA</t>
  </si>
  <si>
    <t>sandoval7001@hotmail.com</t>
  </si>
  <si>
    <t>3132476222</t>
  </si>
  <si>
    <t>CL 26 19A 24</t>
  </si>
  <si>
    <t>19265272</t>
  </si>
  <si>
    <t>EDGAR ALFONSO BARRERA</t>
  </si>
  <si>
    <t>bepabb@hotmail.com</t>
  </si>
  <si>
    <t>3223009206</t>
  </si>
  <si>
    <t>CL 23 19 36</t>
  </si>
  <si>
    <t>JORGE LEONARDO GALINDO PÚERTO</t>
  </si>
  <si>
    <t>cortocircuito130@gmail.com</t>
  </si>
  <si>
    <t>CR 19 24 43</t>
  </si>
  <si>
    <t>WILLIAM EDILBERTO HERNANDEZ CORDERO</t>
  </si>
  <si>
    <t>gvglasspaipa@hotmail.com</t>
  </si>
  <si>
    <t>CRA 21 N 20A 45</t>
  </si>
  <si>
    <t>1121816157</t>
  </si>
  <si>
    <t>DIANA FABIOLA PACHECO CAMACHO</t>
  </si>
  <si>
    <t>CALLE 25  24 A 53</t>
  </si>
  <si>
    <t>46682882</t>
  </si>
  <si>
    <t>FLOR ADORFENI PATARROYO ROSAS</t>
  </si>
  <si>
    <t>CR 26 27 11</t>
  </si>
  <si>
    <t>1053604973</t>
  </si>
  <si>
    <t>YENNY XIMENA ZAMBRANO PEREZ</t>
  </si>
  <si>
    <t>MANZANA 14 No 8</t>
  </si>
  <si>
    <t>1053608187</t>
  </si>
  <si>
    <t>ELDA KATHERINE AVENDAÑO GRANADOS</t>
  </si>
  <si>
    <t>VDA CRUZ DE BONZA</t>
  </si>
  <si>
    <t>900070443</t>
  </si>
  <si>
    <t>ALMOJABANAS LA Y S.A.S</t>
  </si>
  <si>
    <t>almojabanaslaysas@gmail.com</t>
  </si>
  <si>
    <t>AV.LIBERTADORES 33  49</t>
  </si>
  <si>
    <t>901465361</t>
  </si>
  <si>
    <t>ARAMAR  SUPERMERCADO  S.A.S</t>
  </si>
  <si>
    <t>aramar.paipa@gmail.com</t>
  </si>
  <si>
    <t>CR 23  22   51</t>
  </si>
  <si>
    <t>901573440</t>
  </si>
  <si>
    <t>COMPUREDES BOYACA SAS</t>
  </si>
  <si>
    <t>financiera@compuredesboyaca.com</t>
  </si>
  <si>
    <t>CL  24  17 A   12</t>
  </si>
  <si>
    <t>826001605</t>
  </si>
  <si>
    <t>CUERPO DE  BOMBEROS VOLUNTARIOS DE PAIPA</t>
  </si>
  <si>
    <t>paipabomberosvoluntarios@gmail.com</t>
  </si>
  <si>
    <t>OFC PLAZA DE MERCADO LC 2</t>
  </si>
  <si>
    <t>826003171</t>
  </si>
  <si>
    <t>INVERSIONES SOCHAGOTA S.A.S</t>
  </si>
  <si>
    <t>contabilidad@hotelsochagota.com</t>
  </si>
  <si>
    <t>KM 2 VIA PISCINAS</t>
  </si>
  <si>
    <t>40041486</t>
  </si>
  <si>
    <t>LILIANA ENIDTH WALTEROS CARVAJAL</t>
  </si>
  <si>
    <t>CL 75 A 1A 19</t>
  </si>
  <si>
    <t>74362958</t>
  </si>
  <si>
    <t>HENRY GEOVANNY HERNANDEZ HERNANDEZ</t>
  </si>
  <si>
    <t>CL 7  12  28</t>
  </si>
  <si>
    <t>74375241</t>
  </si>
  <si>
    <t>WILLIAM HUMBERTO VEGA FUENTES</t>
  </si>
  <si>
    <t>willvega007@gmail.com</t>
  </si>
  <si>
    <t>CRA 19 18 38</t>
  </si>
  <si>
    <t>700083261</t>
  </si>
  <si>
    <t xml:space="preserve">CARLOS CASTILLO SAENZ </t>
  </si>
  <si>
    <t>901540964</t>
  </si>
  <si>
    <t>LACTEOS NAZARETH SAS</t>
  </si>
  <si>
    <t>LACTEOSNAZARETH@GMAIL.COM</t>
  </si>
  <si>
    <t>CL 9 5 33</t>
  </si>
  <si>
    <t>800186960</t>
  </si>
  <si>
    <t>ALTIPAL S.A.S</t>
  </si>
  <si>
    <t>impuestos@altipal.com.co</t>
  </si>
  <si>
    <t>CR 69B 19A 47</t>
  </si>
  <si>
    <t>860517718</t>
  </si>
  <si>
    <t>ANDINA   POP   S.A.S</t>
  </si>
  <si>
    <t>contacto@andinapop.com</t>
  </si>
  <si>
    <t>AUT MEDELLIN KM 1 5.9 EN FESTO PQ.INDUSTRIAL</t>
  </si>
  <si>
    <t>900025362</t>
  </si>
  <si>
    <t>AYTEX DOTACION LTDA</t>
  </si>
  <si>
    <t>contabilidadaytex@gmail.com</t>
  </si>
  <si>
    <t>CRA 13 17 44</t>
  </si>
  <si>
    <t>901286064</t>
  </si>
  <si>
    <t>BOGOTANA DE MUEBLES SAS</t>
  </si>
  <si>
    <t>factura.bogotanademuebles@gmail.com</t>
  </si>
  <si>
    <t>CL 40 SUR 86 16</t>
  </si>
  <si>
    <t>830114029</t>
  </si>
  <si>
    <t>C.I.  FIRE &amp; MARKETING SAS</t>
  </si>
  <si>
    <t>contabilidad@fire-marketing.com</t>
  </si>
  <si>
    <t>CRA 34 9 22</t>
  </si>
  <si>
    <t>891800238</t>
  </si>
  <si>
    <t>CAMARA DE COMERCIO DE TUNJA</t>
  </si>
  <si>
    <t>financiero@cctunja.org.co</t>
  </si>
  <si>
    <t>CL 35 10 09</t>
  </si>
  <si>
    <t>900824281</t>
  </si>
  <si>
    <t>CHAM DISTRIBUCIONES S.A.S</t>
  </si>
  <si>
    <t>chamdistribuciones@hotmail.com</t>
  </si>
  <si>
    <t>CRA 2 40 45</t>
  </si>
  <si>
    <t>860016951</t>
  </si>
  <si>
    <t>CLUB MILITAR</t>
  </si>
  <si>
    <t>FINANCIERA@CLUBMILITAR.GOV.CO</t>
  </si>
  <si>
    <t>AK 50 15 80</t>
  </si>
  <si>
    <t>860041265</t>
  </si>
  <si>
    <t>COLCHONES EL DORADO S.A</t>
  </si>
  <si>
    <t>recepcionfacturas@colchoneseldorado.com</t>
  </si>
  <si>
    <t>AV CL 17 80A 70</t>
  </si>
  <si>
    <t>800153993</t>
  </si>
  <si>
    <t>COMCEL S.A</t>
  </si>
  <si>
    <t>NotificacionesClaroImpuestos@claro.com.co</t>
  </si>
  <si>
    <t>CLL 90 N 14 37</t>
  </si>
  <si>
    <t>901080909</t>
  </si>
  <si>
    <t>COMERCIALIZADORA LA VIOLETA SAS</t>
  </si>
  <si>
    <t>contabilidad@bruder.com.co</t>
  </si>
  <si>
    <t>CR  13   3   66</t>
  </si>
  <si>
    <t>891800213</t>
  </si>
  <si>
    <t>COMFABOY - CAJA DE COMPENSACION FAMILIAR  DE BOYACA</t>
  </si>
  <si>
    <t>direccion@comfaboy.com.co</t>
  </si>
  <si>
    <t>CRA 10 NO 16-81</t>
  </si>
  <si>
    <t>891855895</t>
  </si>
  <si>
    <t>COTELCO CAPITULO BOYACA ASOCIACION HOTELERA</t>
  </si>
  <si>
    <t>cotelcoboyaca@gmail.com</t>
  </si>
  <si>
    <t>CRA 12 N 20 72</t>
  </si>
  <si>
    <t>860028580</t>
  </si>
  <si>
    <t>DISPAPELES S.A.S</t>
  </si>
  <si>
    <t>recepcion.factura.electronica@dispapeles.com</t>
  </si>
  <si>
    <t>CLL 103 69 15</t>
  </si>
  <si>
    <t>890916575</t>
  </si>
  <si>
    <t>DISTRIBUIDORA DE VINOS Y LICORES S.A.S</t>
  </si>
  <si>
    <t>impuestos@dislicores.com</t>
  </si>
  <si>
    <t>CR 43A  25 A 45</t>
  </si>
  <si>
    <t>830039854</t>
  </si>
  <si>
    <t>ECOLAB COLOMBIA S.A</t>
  </si>
  <si>
    <t>william.horta@ecolab.com</t>
  </si>
  <si>
    <t>AC 100 19 54 P 4</t>
  </si>
  <si>
    <t>4208262</t>
  </si>
  <si>
    <t xml:space="preserve">EDMAN  FIDEL  HEREDIA CASTAÑEDA  </t>
  </si>
  <si>
    <t>distri_rapi_fidel@yahoo.es</t>
  </si>
  <si>
    <t>KM 3 VIA TUNJA  PAIPA</t>
  </si>
  <si>
    <t>891800219</t>
  </si>
  <si>
    <t>EMPRESA DE ENERGIA DE BOYACA S.A. E.S.P</t>
  </si>
  <si>
    <t>gerencia@ebsa.com.co</t>
  </si>
  <si>
    <t>CR 10 N 15 - 87</t>
  </si>
  <si>
    <t>830052998</t>
  </si>
  <si>
    <t>ESTACION DE PEAJE TUTA /BTS CONCESIONARIO SAS</t>
  </si>
  <si>
    <t>areafiscalamfidu.co@bbva.com</t>
  </si>
  <si>
    <t>Calle 19N No. 2N - 29 Oficina 2302A</t>
  </si>
  <si>
    <t>901616104</t>
  </si>
  <si>
    <t>ESTETIK SOLUTION SAS</t>
  </si>
  <si>
    <t>estetiksolution26@gmail.com</t>
  </si>
  <si>
    <t>CL 8  BIS   78 C  79</t>
  </si>
  <si>
    <t>900813640</t>
  </si>
  <si>
    <t>FUNDACION COLOMBIA CARDIOSEGURA</t>
  </si>
  <si>
    <t>info@colombiacardiosegura.org</t>
  </si>
  <si>
    <t>CR  1  F  40  195  OF   321  ED  ENTERPRISE BRR SANTA INES</t>
  </si>
  <si>
    <t>900199968</t>
  </si>
  <si>
    <t>GARES COMPAÑÍA LTDA</t>
  </si>
  <si>
    <t>garescialtda@yahoo.com</t>
  </si>
  <si>
    <t>CR 5 37 12</t>
  </si>
  <si>
    <t>830045472</t>
  </si>
  <si>
    <t>GAS NATURAL CUNDIBOYACENSE S.A E.S.P</t>
  </si>
  <si>
    <t>notificacionesimpuestos@grupovanti.com</t>
  </si>
  <si>
    <t>CLL 71A N 5 38</t>
  </si>
  <si>
    <t>860001697</t>
  </si>
  <si>
    <t>GASEOSAS LUX SAS</t>
  </si>
  <si>
    <t>postobonofcentral@postobon.com.co</t>
  </si>
  <si>
    <t>CL 52 47 42 P 32</t>
  </si>
  <si>
    <t>901349186</t>
  </si>
  <si>
    <t>GIRBAU COLOMBIA SAS</t>
  </si>
  <si>
    <t>iarjona@girbau.com</t>
  </si>
  <si>
    <t>CL 24A 44A 92</t>
  </si>
  <si>
    <t>830093773</t>
  </si>
  <si>
    <t>GRUPO COMERCIAL SAGAL S.A.S</t>
  </si>
  <si>
    <t>auxiliarcontable2@sagal.com.co</t>
  </si>
  <si>
    <t>CLL 138 55 87 LC 147</t>
  </si>
  <si>
    <t>900170549</t>
  </si>
  <si>
    <t>GRUPO G&amp;T LTDA</t>
  </si>
  <si>
    <t>gerencia@bodegondelcheff.com</t>
  </si>
  <si>
    <t>CRA 19A 79 50</t>
  </si>
  <si>
    <t>860039988</t>
  </si>
  <si>
    <t>HDI SEGUROS COLOMBIA S.A</t>
  </si>
  <si>
    <t>notificacionesdian@hdiseguros.com.co</t>
  </si>
  <si>
    <t>AC 72  107</t>
  </si>
  <si>
    <t>800242106</t>
  </si>
  <si>
    <t>HOMECENTER- SODIMAC COLOMBIA SA</t>
  </si>
  <si>
    <t>NOTIFICACIONESJUDICIALES@HOMECENTER.CO</t>
  </si>
  <si>
    <t>AUTOPISTA NORTE 175 -50</t>
  </si>
  <si>
    <t>890903858</t>
  </si>
  <si>
    <t>INDUSTRIA NACIONAL DE GASEOSAS S A</t>
  </si>
  <si>
    <t>notificaciones@kof.com</t>
  </si>
  <si>
    <t>CRA 96 NO 24C 94</t>
  </si>
  <si>
    <t>800128359</t>
  </si>
  <si>
    <t>INDUSTRIAS QUIMICAS SAINT GERMAIN S.A.S.</t>
  </si>
  <si>
    <t>info@saintgermainltd.com</t>
  </si>
  <si>
    <t>CR 19 55 22 SUR</t>
  </si>
  <si>
    <t>891800462</t>
  </si>
  <si>
    <t>INSTITUTO  DE FOMENTO Y DESARROLLO DE BOYACA "IDEBOY</t>
  </si>
  <si>
    <t>contabilidad@ideboy.gov.co</t>
  </si>
  <si>
    <t>CL 19 N 9 35 ED LOTERIA DE BOYACA P 7</t>
  </si>
  <si>
    <t>901447615</t>
  </si>
  <si>
    <t>INVERARISTO SAS</t>
  </si>
  <si>
    <t>hotelaristogold@gmail.com</t>
  </si>
  <si>
    <t>AV UNIVERSITARIA 38 78</t>
  </si>
  <si>
    <t>860509926</t>
  </si>
  <si>
    <t>INVERSIONES BOGA LTDA</t>
  </si>
  <si>
    <t>bogatunja@yahoo.es</t>
  </si>
  <si>
    <t>CRA 3 58 54</t>
  </si>
  <si>
    <t>820005297</t>
  </si>
  <si>
    <t>INVERSIONES SANTA ELISA LTDA</t>
  </si>
  <si>
    <t>contabilidad@staelisa.com</t>
  </si>
  <si>
    <t>CL 69 6 48</t>
  </si>
  <si>
    <t>860513883</t>
  </si>
  <si>
    <t>JOSERRAGO SAS</t>
  </si>
  <si>
    <t>gerencia@joserrago.com.co</t>
  </si>
  <si>
    <t>CRA 14 N 17 40</t>
  </si>
  <si>
    <t>860511835</t>
  </si>
  <si>
    <t>LAVASECO MODERNO S.A.S</t>
  </si>
  <si>
    <t>info@lavasecomoderno.com</t>
  </si>
  <si>
    <t>AV LAS AMERICAS N 62 58</t>
  </si>
  <si>
    <t>860090439</t>
  </si>
  <si>
    <t>LEO PLATZ  H  Y  CIA  S  EN  C</t>
  </si>
  <si>
    <t>condorleoplatz@gmail.com</t>
  </si>
  <si>
    <t>CL 60 14  41</t>
  </si>
  <si>
    <t>900519829</t>
  </si>
  <si>
    <t>LICITACIONES INFO S.A.S</t>
  </si>
  <si>
    <t>contabilidad@licitaciones.info</t>
  </si>
  <si>
    <t>CR 18 71 72</t>
  </si>
  <si>
    <t>900059238</t>
  </si>
  <si>
    <t>MAKRO SUPERMAYORISTAS  S.A</t>
  </si>
  <si>
    <t>notificaciones@makro.com.co</t>
  </si>
  <si>
    <t>CLL 192 N 19 12</t>
  </si>
  <si>
    <t>830068416</t>
  </si>
  <si>
    <t>MANUFACTURAS ALMOFIC SAS</t>
  </si>
  <si>
    <t>GERENCIAG@ALMOFIC.COM</t>
  </si>
  <si>
    <t>CR  69  P  72 A  18</t>
  </si>
  <si>
    <t>891700037</t>
  </si>
  <si>
    <t>MAPFRE SEGUROS GENERALES DE COLOMBIA S A</t>
  </si>
  <si>
    <t>impuestos@mapfre.com.co</t>
  </si>
  <si>
    <t>CRA 14 NO 96 -34</t>
  </si>
  <si>
    <t>901853815</t>
  </si>
  <si>
    <t>MAXIFRUTAS DEL ORIENTE SAS</t>
  </si>
  <si>
    <t>contabilidadmaxifrutasdelorien@gmail.com</t>
  </si>
  <si>
    <t>CR 25 2 A 87</t>
  </si>
  <si>
    <t>830122566</t>
  </si>
  <si>
    <t>MOVISTAR COLOMBIA TELECOMUNICACIONES  S.A. E.S.P</t>
  </si>
  <si>
    <t>notificacionesjudiciales@telefonica.com</t>
  </si>
  <si>
    <t>Transv 60 (avenida Suba) # 114 A  55</t>
  </si>
  <si>
    <t>811023713</t>
  </si>
  <si>
    <t>NOBLES VINOS  &amp; LICORES   NOVILI S.A</t>
  </si>
  <si>
    <t>contabilidad@novili.com.co</t>
  </si>
  <si>
    <t>CLL 83A 23 59</t>
  </si>
  <si>
    <t>800021811</t>
  </si>
  <si>
    <t>ORGANIZACIÓN SAYCO ACINPRO</t>
  </si>
  <si>
    <t>director.contabilidad@saycoacinpro.org.co</t>
  </si>
  <si>
    <t>CRA 17 N 35 70</t>
  </si>
  <si>
    <t>901725501</t>
  </si>
  <si>
    <t>OVANTE DISTRIBUCIONES ORIENTE SAS</t>
  </si>
  <si>
    <t>ovanteo.facturacion@gmail.com</t>
  </si>
  <si>
    <t>CL 128 78 70 C 12</t>
  </si>
  <si>
    <t>860002400</t>
  </si>
  <si>
    <t>PREVISORA SEGUROS SA</t>
  </si>
  <si>
    <t>tributaria@previsora.gov.co</t>
  </si>
  <si>
    <t>Cll 57  9  07</t>
  </si>
  <si>
    <t>900307136</t>
  </si>
  <si>
    <t>PROMOTORA DE TURISMO EMPRESARIAL SAS</t>
  </si>
  <si>
    <t>finanzas@zalmedinahotel.com</t>
  </si>
  <si>
    <t>BRR BOCAGRANDRE CR 2 5 52</t>
  </si>
  <si>
    <t>900204083</t>
  </si>
  <si>
    <t>RAMO TECNOLOGIA Y SISTEMAS E.U</t>
  </si>
  <si>
    <t>hugoramirezm@gmail.com</t>
  </si>
  <si>
    <t>CL 152B 73B 51 TO 3 AP 1804</t>
  </si>
  <si>
    <t>800081507</t>
  </si>
  <si>
    <t>RITCHI SAS</t>
  </si>
  <si>
    <t>subgerencia@ritchi.com.co</t>
  </si>
  <si>
    <t>CL 19 68 95</t>
  </si>
  <si>
    <t>860009578</t>
  </si>
  <si>
    <t>SEGUROS DEL ESTADO S.A</t>
  </si>
  <si>
    <t>gabriela.zarante@segurosdelestado.com</t>
  </si>
  <si>
    <t>CR 10 21  33  OF 108-202</t>
  </si>
  <si>
    <t>899999034</t>
  </si>
  <si>
    <t>SERVICIO NACIONAL DE APRENDIZAJE SENA</t>
  </si>
  <si>
    <t>notificacionesDIAN@sena.edu.co</t>
  </si>
  <si>
    <t>CALLE 57 NO 8- 69</t>
  </si>
  <si>
    <t>900636940</t>
  </si>
  <si>
    <t>TEXTILES  GAVIOTA S.A.S</t>
  </si>
  <si>
    <t>contabilidad@texgaviota.com</t>
  </si>
  <si>
    <t>CL 20C  44  91</t>
  </si>
  <si>
    <t>891801450</t>
  </si>
  <si>
    <t>TRANSPORTES MUISCAS  S.A</t>
  </si>
  <si>
    <t>contadortransmuiscas@gmail.com</t>
  </si>
  <si>
    <t>CR 11 11  93</t>
  </si>
  <si>
    <t>817001892</t>
  </si>
  <si>
    <t>VATIA S.A.  E.S.P</t>
  </si>
  <si>
    <t>impuestos@vatia.com.co</t>
  </si>
  <si>
    <t>AV 6 47N 32</t>
  </si>
  <si>
    <t>800198348</t>
  </si>
  <si>
    <t>VENTAS INSTITUCIONALES SAS</t>
  </si>
  <si>
    <t>geradmon@ventasinstitucionales.com</t>
  </si>
  <si>
    <t>TV 93 65A 73</t>
  </si>
  <si>
    <t>900630951</t>
  </si>
  <si>
    <t>VIAJES TOUR COLOMBIA SAS</t>
  </si>
  <si>
    <t>contador@viajestourcolombia.com</t>
  </si>
  <si>
    <t>CL 70 11 33</t>
  </si>
  <si>
    <t>900534356</t>
  </si>
  <si>
    <t>WORLD OFFICE COLOMBIA SAS</t>
  </si>
  <si>
    <t>contactenos@worldoffice.com.co</t>
  </si>
  <si>
    <t>AV CLL 26 N 69D 91 OFC 303 TORRE AV DORADO CENTRO COMERCIAL ARRECIFE</t>
  </si>
  <si>
    <t>40034178</t>
  </si>
  <si>
    <t>CLAUDIA LILIANA SUAREZ VACCA</t>
  </si>
  <si>
    <t>sincorreo@sincorreo.com</t>
  </si>
  <si>
    <t>CR 9 18 36 INT7 OFC 101</t>
  </si>
  <si>
    <t>40035907</t>
  </si>
  <si>
    <t xml:space="preserve">DIANA  OCHOA </t>
  </si>
  <si>
    <t>mspremiumtunja22@hotmail.com</t>
  </si>
  <si>
    <t>CL 18 10 89</t>
  </si>
  <si>
    <t>46359348</t>
  </si>
  <si>
    <t>ELVA INES ALBA PALACIOS</t>
  </si>
  <si>
    <t>thermaspa@hotmail.com</t>
  </si>
  <si>
    <t>CR 13 A 93 24 OF.405</t>
  </si>
  <si>
    <t>7160515</t>
  </si>
  <si>
    <t>LUIS ADOLFO MARTINEZ BECERRA</t>
  </si>
  <si>
    <t>mmpadolfo@gmail.com</t>
  </si>
  <si>
    <t>CR 13  24  93</t>
  </si>
  <si>
    <t>46670698</t>
  </si>
  <si>
    <t>NOHORA ALEXANDRA PINEDA MENDIETa</t>
  </si>
  <si>
    <t>npineda2710@gmail.com</t>
  </si>
  <si>
    <t>cr 28 10 24</t>
  </si>
  <si>
    <t>19135724</t>
  </si>
  <si>
    <t>VICENTE  PARDO GARCIA</t>
  </si>
  <si>
    <t>vicentepardogarcia@hotmail.com</t>
  </si>
  <si>
    <t>CLL 22F N 83 47</t>
  </si>
  <si>
    <t>7187009</t>
  </si>
  <si>
    <t>WILSON TEJEDOR TELLEZ</t>
  </si>
  <si>
    <t>w.att@hotmail.es</t>
  </si>
  <si>
    <t>CL 12  13 46 BRR LAS AMERICAS</t>
  </si>
  <si>
    <t>35378880</t>
  </si>
  <si>
    <t>YOLANDA MARCELA GAITAN PINZON</t>
  </si>
  <si>
    <t>VALENTINACOSTAGAITAN@GMAIL.COM</t>
  </si>
  <si>
    <t>CR 24 10 23 LC 4</t>
  </si>
  <si>
    <t>40043882</t>
  </si>
  <si>
    <t>MAGDA MILENA PINTO TORRES</t>
  </si>
  <si>
    <t>pmagdamilena@gmail.com</t>
  </si>
  <si>
    <t>CL 75 2A 34</t>
  </si>
  <si>
    <t>46664760</t>
  </si>
  <si>
    <t>MARTHA YAMILE CAICEDO GALINDO</t>
  </si>
  <si>
    <t>mycaicedog@hotmail.com</t>
  </si>
  <si>
    <t>CL 19 8 88</t>
  </si>
  <si>
    <t>900319753</t>
  </si>
  <si>
    <t>PRICESMART COLOMBIA S.A.S</t>
  </si>
  <si>
    <t>legalcolombia@pricesmart.com</t>
  </si>
  <si>
    <t>Vereda Yerbabuena Baja-Sector el Cairo</t>
  </si>
  <si>
    <t>901380489</t>
  </si>
  <si>
    <t>WINKLEAR  S.A.S</t>
  </si>
  <si>
    <t>gerenciafinanciera@winklear.com</t>
  </si>
  <si>
    <t>CR 10 1 89 LC 1 URB SAN MIGUEL PORTAL DEL BOSQUE</t>
  </si>
  <si>
    <t>900213759</t>
  </si>
  <si>
    <t>LA RECETTA SAS</t>
  </si>
  <si>
    <t>correspondenciasnch.domesa@serviciosnutresa.com</t>
  </si>
  <si>
    <t>KM 1.5  VIA MEDELLIN</t>
  </si>
  <si>
    <t>826000346</t>
  </si>
  <si>
    <t>ANALIZAR LABORATORIO FISICOQUIMICO LTDA.</t>
  </si>
  <si>
    <t>secretarianalizar@gmail.com</t>
  </si>
  <si>
    <t>cra 33 16 27</t>
  </si>
  <si>
    <t>891855025</t>
  </si>
  <si>
    <t>CAMARA DE COMERCIO DE DUITAMA</t>
  </si>
  <si>
    <t>FACTURAELECTRONICA@CCDUITAMA.ORG.CO</t>
  </si>
  <si>
    <t>TV 19 N 23 141</t>
  </si>
  <si>
    <t>900155107</t>
  </si>
  <si>
    <t>CENCOSUD COLOMBIA SA</t>
  </si>
  <si>
    <t>notificaciones@cencosud.com.co</t>
  </si>
  <si>
    <t>CLL 20A N 12 70</t>
  </si>
  <si>
    <t>901144210</t>
  </si>
  <si>
    <t>COMERCIALIZADORA RIANDE S.A.S</t>
  </si>
  <si>
    <t>crismojica2@outlook.com</t>
  </si>
  <si>
    <t>CR 18  12 47</t>
  </si>
  <si>
    <t>901324134</t>
  </si>
  <si>
    <t>DIMOTIK SOLUTION S.A.S</t>
  </si>
  <si>
    <t>ricarqui49@gmail.com</t>
  </si>
  <si>
    <t>CR  17  R  26 A  56</t>
  </si>
  <si>
    <t>901907753</t>
  </si>
  <si>
    <t>DISTRIBUIDORA DE TRUCHA ARCO IRIS SANTA ISABEL SAS</t>
  </si>
  <si>
    <t>GERMANANDRES78@YAHOO.ES</t>
  </si>
  <si>
    <t>CL 20 21 00</t>
  </si>
  <si>
    <t>891800082</t>
  </si>
  <si>
    <t>GRANADOS GOMEZ  &amp;  CIA  S.A   E.S.P</t>
  </si>
  <si>
    <t>gerencia.gragos@massygroup.com</t>
  </si>
  <si>
    <t>CL 16  14  68 MEZANINE 3</t>
  </si>
  <si>
    <t>900604334</t>
  </si>
  <si>
    <t>INGEL PARRA S.A.S</t>
  </si>
  <si>
    <t>ingelparrasas@gmail.com</t>
  </si>
  <si>
    <t>CALLE 5 No.18-53</t>
  </si>
  <si>
    <t>891856457</t>
  </si>
  <si>
    <t>INVERSIONES EL DORADO S.A.S</t>
  </si>
  <si>
    <t>dir_contable@inverdorados.com</t>
  </si>
  <si>
    <t>CIUDADELA PARQUE INDUSTRIAL DUITAMA</t>
  </si>
  <si>
    <t>891855991</t>
  </si>
  <si>
    <t>SUPER SERVICIOS BOYACA SAS</t>
  </si>
  <si>
    <t>suserviboy@yahoo.es</t>
  </si>
  <si>
    <t>CRA 18 7 41</t>
  </si>
  <si>
    <t>1052414863</t>
  </si>
  <si>
    <t>CESAR ALBERTO DAZA RODRIGUEZ</t>
  </si>
  <si>
    <t>cesar.hardmix@gmail.com</t>
  </si>
  <si>
    <t>CR 40 24 66</t>
  </si>
  <si>
    <t>23554705</t>
  </si>
  <si>
    <t>DORIS HELENA JAIMES HERREÑO</t>
  </si>
  <si>
    <t>surtitelas@hotmail.com</t>
  </si>
  <si>
    <t>CRA16 N 16 63</t>
  </si>
  <si>
    <t>46375058</t>
  </si>
  <si>
    <t>DORY MILENA AGUIRRE ALVARADO</t>
  </si>
  <si>
    <t>ventas.facturaciongasboy@gmail.com</t>
  </si>
  <si>
    <t>CL  13  16  28</t>
  </si>
  <si>
    <t>74359958</t>
  </si>
  <si>
    <t>GERMAN ANDRES GONZALEZ MONTOYA</t>
  </si>
  <si>
    <t>crcmedicduitamafacturacion@gmail.com</t>
  </si>
  <si>
    <t>CLL 20 21 00 B.SAN JOSE</t>
  </si>
  <si>
    <t>6754173</t>
  </si>
  <si>
    <t>JAIME  MORENO RODRIGUEZ</t>
  </si>
  <si>
    <t>ENFRIABOY@HOTMAIL.COM</t>
  </si>
  <si>
    <t>CL 20 24 41</t>
  </si>
  <si>
    <t>1052395221</t>
  </si>
  <si>
    <t>OSNEIDER  GARCIA TORRES</t>
  </si>
  <si>
    <t>OSNEIDERGT1052@GMAIL.COM</t>
  </si>
  <si>
    <t>CL 11 20 42</t>
  </si>
  <si>
    <t>7227927</t>
  </si>
  <si>
    <t>PABLO HERNANDO MARIÑO GARCIA</t>
  </si>
  <si>
    <t>serviciotecnico.sme@gmail.com</t>
  </si>
  <si>
    <t>CL 13 16  28</t>
  </si>
  <si>
    <t>13703172</t>
  </si>
  <si>
    <t>SANTOS GARCIA EDGAR ORLANDO</t>
  </si>
  <si>
    <t>misclientes.hrc@gmail.com</t>
  </si>
  <si>
    <t>CL 10 20 37 BBR MARIA</t>
  </si>
  <si>
    <t>33630547</t>
  </si>
  <si>
    <t>EMILCEN LUCIA GONZALEZ PARRA</t>
  </si>
  <si>
    <t>emilcen.gonzalez.39@gmail.com</t>
  </si>
  <si>
    <t>CR 25 11  47</t>
  </si>
  <si>
    <t>67577858</t>
  </si>
  <si>
    <t>LUIS ENRIQUE PACHECO AVENDAÑO</t>
  </si>
  <si>
    <t>CR 14 14 77 APTP 501</t>
  </si>
  <si>
    <t>900659798</t>
  </si>
  <si>
    <t>COMPAÑÍA PESQUERA DEL MAR S.A.S</t>
  </si>
  <si>
    <t>gerencia@pesqueradelmar.com</t>
  </si>
  <si>
    <t>PQ INDUSTRIAL BODEGA3 GIRON KM5 +360 VIA PALENQUE</t>
  </si>
  <si>
    <t>JAVIER ALEJANDRO BERNAL NIETO</t>
  </si>
  <si>
    <t>JBN1014663553@GMAIL.COM</t>
  </si>
  <si>
    <t>CL 11  3 58</t>
  </si>
  <si>
    <t>1052389868</t>
  </si>
  <si>
    <t>PAULA ALEXANDRA BECERRA GONZALEZ</t>
  </si>
  <si>
    <t>ALEXANDRABE2008@GMAIL.COM</t>
  </si>
  <si>
    <t>CL 10 B 18 A 19</t>
  </si>
  <si>
    <t>800229260</t>
  </si>
  <si>
    <t>CREATIVIDAD ARTISTICA COOPERATIVA DE GUACAMAYAS LTDA</t>
  </si>
  <si>
    <t>crearcoopltda@yahoo.com</t>
  </si>
  <si>
    <t>CRA 5 4 59</t>
  </si>
  <si>
    <t>811006789</t>
  </si>
  <si>
    <t>JUAN DE HOYOS DISTRIBUCIONES S.A.S</t>
  </si>
  <si>
    <t>contabilidad@jdh.com.co</t>
  </si>
  <si>
    <t>CR 42  54A 155 INT C 501</t>
  </si>
  <si>
    <t>800158523</t>
  </si>
  <si>
    <t>COOPERATIVA DE TRANSPORTADORES DE VILLA DE LEYVA</t>
  </si>
  <si>
    <t>cootransvilla@gmail.com</t>
  </si>
  <si>
    <t>CR 9 8 40 LC TER DE TRANSPORTE DE VILLA DE LEYVA BRR CENTRO</t>
  </si>
  <si>
    <t>900432294</t>
  </si>
  <si>
    <t>INVERSIONES CACUMEN SAS</t>
  </si>
  <si>
    <t>toro.juanmaria@gmail.com</t>
  </si>
  <si>
    <t>CR 10 12 31</t>
  </si>
  <si>
    <t>860024394</t>
  </si>
  <si>
    <t>ORDEN DE CARMELITAS DESCALZOS HOSPEDERIA  DURUELO</t>
  </si>
  <si>
    <t>contador.general@duruelo.com.co</t>
  </si>
  <si>
    <t>CR 3 12 88</t>
  </si>
  <si>
    <t>52165012</t>
  </si>
  <si>
    <t>NELLY CASTILLO PE?A</t>
  </si>
  <si>
    <t>nellycastillo2872@gmail.com</t>
  </si>
  <si>
    <t>CRA 8 13 48</t>
  </si>
  <si>
    <t>1015438284</t>
  </si>
  <si>
    <t>DAVID ESTEBAN APONTE MONROY</t>
  </si>
  <si>
    <t>d.esteban.am@gmail.com</t>
  </si>
  <si>
    <t>CR 12 0 01</t>
  </si>
  <si>
    <t>1053559385</t>
  </si>
  <si>
    <t>ELKIN RODRIGUEZ</t>
  </si>
  <si>
    <t>SUPERAHORRORS@GMAIL.COM</t>
  </si>
  <si>
    <t>CR 8 5 54</t>
  </si>
  <si>
    <t>63496564</t>
  </si>
  <si>
    <t>JACKELINE  CHACON CIODARO</t>
  </si>
  <si>
    <t>jchaconciodaro@gmail.com</t>
  </si>
  <si>
    <t>VDA SALITRE  AUT  SEC PUNTALARGA  KM 5</t>
  </si>
  <si>
    <t>891801240</t>
  </si>
  <si>
    <t>ALCALDIA MUNICIPAL DE PAIPA</t>
  </si>
  <si>
    <t>alcaldia@paipa-boyaca.gov.co</t>
  </si>
  <si>
    <t>CR 22 25 14</t>
  </si>
  <si>
    <t>1056804708</t>
  </si>
  <si>
    <t>KELLY YESSENIA GIL ESCOBAR</t>
  </si>
  <si>
    <t>CRISTIAN31_01@HOTMAIL.COM</t>
  </si>
  <si>
    <t>URB DINASTIA MZ 1 CA 10</t>
  </si>
  <si>
    <t>891800045</t>
  </si>
  <si>
    <t>COFLONORTE LTDA</t>
  </si>
  <si>
    <t>contabilidad@coflonorte.com</t>
  </si>
  <si>
    <t>Cl. 9 #20-8</t>
  </si>
  <si>
    <t>COLGAS S.A E.S.P</t>
  </si>
  <si>
    <t>gestion.tributaria@colgas.com</t>
  </si>
  <si>
    <t>CRA 11 49 01</t>
  </si>
  <si>
    <t>901314598</t>
  </si>
  <si>
    <t>COMPAÑÍA DE ALIMENTOS BIFF S.A.S.</t>
  </si>
  <si>
    <t>contabilidad@biff.com.co</t>
  </si>
  <si>
    <t>CR  20  5  91</t>
  </si>
  <si>
    <t>46683045</t>
  </si>
  <si>
    <t>ANGELICA MARIA HERNANDEZ PEÑA</t>
  </si>
  <si>
    <t>lancieripaipagourmet@gmail.com</t>
  </si>
  <si>
    <t>VDA CARREÑO</t>
  </si>
  <si>
    <t>900276962</t>
  </si>
  <si>
    <t>D1 S.A.S</t>
  </si>
  <si>
    <t>notificaciones.d1@d1.com.co</t>
  </si>
  <si>
    <t>CR  19 23 64</t>
  </si>
  <si>
    <t>AREPAS Y ENVUELTOS EL BUEN GUSTO</t>
  </si>
  <si>
    <t>facturacion@elbuengusto.com.co</t>
  </si>
  <si>
    <t>KM 105  VIA BOGOTA TUNJA SEC LOS KIOSCOS VDA TIERRA NEGRA</t>
  </si>
  <si>
    <t>900062992</t>
  </si>
  <si>
    <t>EVACOL SAS</t>
  </si>
  <si>
    <t>gerentecontabilidad@evacol.com</t>
  </si>
  <si>
    <t>CR 23 13 100 13 40</t>
  </si>
  <si>
    <t>900415878</t>
  </si>
  <si>
    <t>PULLER INDUASEO SAS</t>
  </si>
  <si>
    <t>pullerinduaseo@yahoo.es</t>
  </si>
  <si>
    <t>CL 3 6 222</t>
  </si>
  <si>
    <t>RICARDO JOSE ORTEGA YNOJOSA</t>
  </si>
  <si>
    <t>ricortga30@gmail.com</t>
  </si>
  <si>
    <t>AV UNIVERSITARIA 29 92</t>
  </si>
  <si>
    <t>74379109</t>
  </si>
  <si>
    <t>JUAN FELIPE GUEVARA BRICEÑO</t>
  </si>
  <si>
    <t>pipeguevara23@gmail.com</t>
  </si>
  <si>
    <t>CR 27 CL 13 35</t>
  </si>
  <si>
    <t>HOTEL EL LAGO LTDA</t>
  </si>
  <si>
    <t>magicproduccionescolombia@hotmail..com</t>
  </si>
  <si>
    <t>contabilidadlago110@gmail.com</t>
  </si>
  <si>
    <t>facturacion@socialsolar.com.co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</si>
</sst>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2"/>
      <color rgb="FF0F5132"/>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1" fillId="0" borderId="0" xfId="0" applyFont="1"/>
    <xf numFmtId="0" fontId="13" fillId="0" borderId="0" xfId="0" applyFont="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16"/>
  <sheetViews>
    <sheetView tabSelected="1" zoomScaleNormal="100" zoomScalePageLayoutView="80" workbookViewId="0">
      <selection activeCell="I88" sqref="I7:I8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v>800006073</v>
      </c>
      <c r="D2" s="19"/>
      <c r="E2" s="20"/>
      <c r="F2" s="1"/>
      <c r="G2" s="1"/>
      <c r="H2" s="1"/>
      <c r="I2" s="11" t="s">
        <v>2243</v>
      </c>
      <c r="J2" s="13" t="s">
        <v>2244</v>
      </c>
    </row>
    <row r="3" spans="1:10" x14ac:dyDescent="0.25">
      <c r="A3" s="26" t="s">
        <v>1</v>
      </c>
      <c r="B3" s="26"/>
      <c r="C3" s="21" t="s">
        <v>3041</v>
      </c>
      <c r="D3" s="19"/>
      <c r="E3" s="20"/>
      <c r="F3" s="1"/>
      <c r="G3" s="1"/>
      <c r="H3" s="1"/>
      <c r="I3" s="1"/>
      <c r="J3" s="1"/>
    </row>
    <row r="4" spans="1:10" x14ac:dyDescent="0.25">
      <c r="A4" s="25" t="s">
        <v>2</v>
      </c>
      <c r="B4" s="25"/>
      <c r="C4" s="18">
        <v>2025</v>
      </c>
      <c r="D4" s="19"/>
      <c r="E4" s="20"/>
      <c r="F4" s="1"/>
      <c r="G4" s="1"/>
      <c r="H4" s="1"/>
      <c r="I4" s="1"/>
      <c r="J4" s="1"/>
    </row>
    <row r="5" spans="1:10" x14ac:dyDescent="0.25">
      <c r="A5" s="27" t="s">
        <v>3</v>
      </c>
      <c r="B5" s="27"/>
      <c r="C5" s="22">
        <v>46203</v>
      </c>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2249</v>
      </c>
      <c r="B7" s="4" t="s">
        <v>2250</v>
      </c>
      <c r="C7" s="12" t="s">
        <v>2251</v>
      </c>
      <c r="D7" s="4"/>
      <c r="E7" s="4" t="s">
        <v>2252</v>
      </c>
      <c r="F7" s="4">
        <v>15516</v>
      </c>
      <c r="G7" s="4">
        <v>205</v>
      </c>
      <c r="H7" s="4">
        <v>81685240</v>
      </c>
      <c r="I7" s="4">
        <v>571796</v>
      </c>
      <c r="J7" s="4">
        <v>0</v>
      </c>
    </row>
    <row r="8" spans="1:10" x14ac:dyDescent="0.25">
      <c r="A8" s="4" t="s">
        <v>2253</v>
      </c>
      <c r="B8" s="4" t="s">
        <v>2254</v>
      </c>
      <c r="C8" s="4" t="s">
        <v>2255</v>
      </c>
      <c r="D8" s="4"/>
      <c r="E8" s="4" t="s">
        <v>2256</v>
      </c>
      <c r="F8" s="4">
        <v>15516</v>
      </c>
      <c r="G8" s="4">
        <v>211</v>
      </c>
      <c r="H8" s="4">
        <v>70346463</v>
      </c>
      <c r="I8" s="4">
        <v>562769</v>
      </c>
      <c r="J8" s="4">
        <v>0</v>
      </c>
    </row>
    <row r="9" spans="1:10" x14ac:dyDescent="0.25">
      <c r="A9" s="4" t="s">
        <v>2257</v>
      </c>
      <c r="B9" s="4" t="s">
        <v>2258</v>
      </c>
      <c r="C9" s="4" t="s">
        <v>2259</v>
      </c>
      <c r="D9" s="4"/>
      <c r="E9" s="4" t="s">
        <v>2260</v>
      </c>
      <c r="F9" s="4">
        <v>15516</v>
      </c>
      <c r="G9" s="4">
        <v>201</v>
      </c>
      <c r="H9" s="4">
        <v>100106445</v>
      </c>
      <c r="I9" s="4">
        <v>400349</v>
      </c>
      <c r="J9" s="4">
        <v>0</v>
      </c>
    </row>
    <row r="10" spans="1:10" x14ac:dyDescent="0.25">
      <c r="A10" s="4" t="s">
        <v>2257</v>
      </c>
      <c r="B10" s="4" t="s">
        <v>2258</v>
      </c>
      <c r="C10" s="4" t="s">
        <v>2259</v>
      </c>
      <c r="D10" s="4"/>
      <c r="E10" s="4" t="s">
        <v>2260</v>
      </c>
      <c r="F10" s="4">
        <v>15516</v>
      </c>
      <c r="G10" s="4">
        <v>202</v>
      </c>
      <c r="H10" s="4">
        <v>1975000</v>
      </c>
      <c r="I10" s="4">
        <v>9875</v>
      </c>
      <c r="J10" s="4">
        <v>0</v>
      </c>
    </row>
    <row r="11" spans="1:10" x14ac:dyDescent="0.25">
      <c r="A11" s="4" t="s">
        <v>2257</v>
      </c>
      <c r="B11" s="4" t="s">
        <v>2258</v>
      </c>
      <c r="C11" s="4" t="s">
        <v>2259</v>
      </c>
      <c r="D11" s="4"/>
      <c r="E11" s="4" t="s">
        <v>2260</v>
      </c>
      <c r="F11" s="4">
        <v>15516</v>
      </c>
      <c r="G11" s="4">
        <v>205</v>
      </c>
      <c r="H11" s="4">
        <v>13136700</v>
      </c>
      <c r="I11" s="4">
        <v>91956</v>
      </c>
      <c r="J11" s="4">
        <v>0</v>
      </c>
    </row>
    <row r="12" spans="1:10" x14ac:dyDescent="0.25">
      <c r="A12" s="4" t="s">
        <v>2261</v>
      </c>
      <c r="B12" s="4" t="s">
        <v>2262</v>
      </c>
      <c r="C12" s="4" t="s">
        <v>2263</v>
      </c>
      <c r="D12" s="4"/>
      <c r="E12" s="4" t="s">
        <v>2264</v>
      </c>
      <c r="F12" s="4">
        <v>15516</v>
      </c>
      <c r="G12" s="4">
        <v>219</v>
      </c>
      <c r="H12" s="4">
        <v>23386109</v>
      </c>
      <c r="I12" s="4">
        <v>233861</v>
      </c>
      <c r="J12" s="4">
        <v>0</v>
      </c>
    </row>
    <row r="13" spans="1:10" x14ac:dyDescent="0.25">
      <c r="A13" s="4" t="s">
        <v>2265</v>
      </c>
      <c r="B13" s="4" t="s">
        <v>2266</v>
      </c>
      <c r="C13" s="4" t="s">
        <v>2267</v>
      </c>
      <c r="D13" s="4"/>
      <c r="E13" s="4" t="s">
        <v>2268</v>
      </c>
      <c r="F13" s="4">
        <v>15516</v>
      </c>
      <c r="G13" s="4">
        <v>206</v>
      </c>
      <c r="H13" s="4">
        <v>22084336</v>
      </c>
      <c r="I13" s="4">
        <v>154591</v>
      </c>
      <c r="J13" s="4">
        <v>0</v>
      </c>
    </row>
    <row r="14" spans="1:10" x14ac:dyDescent="0.25">
      <c r="A14" s="4" t="s">
        <v>2269</v>
      </c>
      <c r="B14" s="4" t="s">
        <v>2270</v>
      </c>
      <c r="C14" s="4" t="s">
        <v>2271</v>
      </c>
      <c r="D14" s="4"/>
      <c r="E14" s="4" t="s">
        <v>2272</v>
      </c>
      <c r="F14" s="4">
        <v>15516</v>
      </c>
      <c r="G14" s="4">
        <v>325</v>
      </c>
      <c r="H14" s="4">
        <v>13743528</v>
      </c>
      <c r="I14" s="4">
        <v>137436</v>
      </c>
      <c r="J14" s="4">
        <v>0</v>
      </c>
    </row>
    <row r="15" spans="1:10" x14ac:dyDescent="0.25">
      <c r="A15" s="4" t="s">
        <v>2273</v>
      </c>
      <c r="B15" s="4" t="s">
        <v>2274</v>
      </c>
      <c r="C15" s="4" t="s">
        <v>2275</v>
      </c>
      <c r="D15" s="4"/>
      <c r="E15" s="4" t="s">
        <v>2276</v>
      </c>
      <c r="F15" s="4">
        <v>15516</v>
      </c>
      <c r="G15" s="4">
        <v>327</v>
      </c>
      <c r="H15" s="4">
        <v>9365000</v>
      </c>
      <c r="I15" s="4">
        <f>49340+44310</f>
        <v>93650</v>
      </c>
      <c r="J15" s="4">
        <v>0</v>
      </c>
    </row>
    <row r="16" spans="1:10" x14ac:dyDescent="0.25">
      <c r="A16" s="4" t="s">
        <v>2277</v>
      </c>
      <c r="B16" s="4" t="s">
        <v>2278</v>
      </c>
      <c r="C16" s="4" t="s">
        <v>2279</v>
      </c>
      <c r="D16" s="4"/>
      <c r="E16" s="4" t="s">
        <v>2280</v>
      </c>
      <c r="F16" s="4">
        <v>15516</v>
      </c>
      <c r="G16" s="4">
        <v>102</v>
      </c>
      <c r="H16" s="4">
        <v>22068246</v>
      </c>
      <c r="I16" s="4">
        <v>88273</v>
      </c>
      <c r="J16" s="4">
        <v>0</v>
      </c>
    </row>
    <row r="17" spans="1:10" x14ac:dyDescent="0.25">
      <c r="A17" s="4" t="s">
        <v>2281</v>
      </c>
      <c r="B17" s="4" t="s">
        <v>2282</v>
      </c>
      <c r="C17" s="4" t="s">
        <v>2283</v>
      </c>
      <c r="D17" s="4"/>
      <c r="E17" s="4" t="s">
        <v>2284</v>
      </c>
      <c r="F17" s="4">
        <v>15516</v>
      </c>
      <c r="G17" s="4">
        <v>201</v>
      </c>
      <c r="H17" s="4">
        <v>21112000</v>
      </c>
      <c r="I17" s="4">
        <v>84448</v>
      </c>
      <c r="J17" s="4">
        <v>0</v>
      </c>
    </row>
    <row r="18" spans="1:10" x14ac:dyDescent="0.25">
      <c r="A18" s="4" t="s">
        <v>2285</v>
      </c>
      <c r="B18" s="4" t="s">
        <v>2286</v>
      </c>
      <c r="C18" s="4" t="s">
        <v>2287</v>
      </c>
      <c r="D18" s="4"/>
      <c r="E18" s="4" t="s">
        <v>2288</v>
      </c>
      <c r="F18" s="4">
        <v>15516</v>
      </c>
      <c r="G18" s="4">
        <v>213</v>
      </c>
      <c r="H18" s="4">
        <v>5605303</v>
      </c>
      <c r="I18" s="4">
        <v>56051</v>
      </c>
      <c r="J18" s="4">
        <v>0</v>
      </c>
    </row>
    <row r="19" spans="1:10" x14ac:dyDescent="0.25">
      <c r="A19" s="4" t="s">
        <v>2289</v>
      </c>
      <c r="B19" s="4" t="s">
        <v>2290</v>
      </c>
      <c r="C19" s="4" t="s">
        <v>2291</v>
      </c>
      <c r="D19" s="4"/>
      <c r="E19" s="4" t="s">
        <v>2292</v>
      </c>
      <c r="F19" s="4">
        <v>15516</v>
      </c>
      <c r="G19" s="4">
        <v>206</v>
      </c>
      <c r="H19" s="4">
        <v>7990966</v>
      </c>
      <c r="I19" s="4">
        <v>55936</v>
      </c>
      <c r="J19" s="4">
        <v>0</v>
      </c>
    </row>
    <row r="20" spans="1:10" x14ac:dyDescent="0.25">
      <c r="A20" s="4" t="s">
        <v>2293</v>
      </c>
      <c r="B20" s="4" t="s">
        <v>2294</v>
      </c>
      <c r="C20" s="4" t="s">
        <v>2295</v>
      </c>
      <c r="D20" s="4"/>
      <c r="E20" s="4" t="s">
        <v>2296</v>
      </c>
      <c r="F20" s="4">
        <v>15516</v>
      </c>
      <c r="G20" s="4">
        <v>102</v>
      </c>
      <c r="H20" s="4">
        <v>12825200</v>
      </c>
      <c r="I20" s="4">
        <f>44365+6935</f>
        <v>51300</v>
      </c>
      <c r="J20" s="4">
        <v>0</v>
      </c>
    </row>
    <row r="21" spans="1:10" ht="15.75" customHeight="1" x14ac:dyDescent="0.25">
      <c r="A21" s="4" t="s">
        <v>2297</v>
      </c>
      <c r="B21" s="4" t="s">
        <v>2298</v>
      </c>
      <c r="C21" s="4" t="s">
        <v>2299</v>
      </c>
      <c r="D21" s="4"/>
      <c r="E21" s="4" t="s">
        <v>2300</v>
      </c>
      <c r="F21" s="4">
        <v>15516</v>
      </c>
      <c r="G21" s="4">
        <v>205</v>
      </c>
      <c r="H21" s="4">
        <v>6845430</v>
      </c>
      <c r="I21" s="4">
        <f>5844+42074</f>
        <v>47918</v>
      </c>
      <c r="J21" s="4">
        <v>0</v>
      </c>
    </row>
    <row r="22" spans="1:10" ht="15.75" customHeight="1" x14ac:dyDescent="0.25">
      <c r="A22" s="4" t="s">
        <v>2301</v>
      </c>
      <c r="B22" s="4" t="s">
        <v>2302</v>
      </c>
      <c r="C22" s="4" t="s">
        <v>2303</v>
      </c>
      <c r="D22" s="4"/>
      <c r="E22" s="4" t="s">
        <v>2304</v>
      </c>
      <c r="F22" s="4">
        <v>15516</v>
      </c>
      <c r="G22" s="4">
        <v>219</v>
      </c>
      <c r="H22" s="4">
        <v>4570000</v>
      </c>
      <c r="I22" s="4">
        <v>45700</v>
      </c>
      <c r="J22" s="4">
        <v>0</v>
      </c>
    </row>
    <row r="23" spans="1:10" ht="15.75" customHeight="1" x14ac:dyDescent="0.25">
      <c r="A23" s="4" t="s">
        <v>2305</v>
      </c>
      <c r="B23" s="4" t="s">
        <v>2306</v>
      </c>
      <c r="C23" s="4" t="s">
        <v>2307</v>
      </c>
      <c r="D23" s="4"/>
      <c r="E23" s="4" t="s">
        <v>2308</v>
      </c>
      <c r="F23" s="4">
        <v>15516</v>
      </c>
      <c r="G23" s="4">
        <v>305</v>
      </c>
      <c r="H23" s="4">
        <v>6302462</v>
      </c>
      <c r="I23" s="4">
        <v>44117</v>
      </c>
      <c r="J23" s="4">
        <v>0</v>
      </c>
    </row>
    <row r="24" spans="1:10" ht="15.75" customHeight="1" x14ac:dyDescent="0.25">
      <c r="A24" s="4" t="s">
        <v>2309</v>
      </c>
      <c r="B24" s="4" t="s">
        <v>2310</v>
      </c>
      <c r="C24" s="4" t="s">
        <v>2311</v>
      </c>
      <c r="D24" s="4"/>
      <c r="E24" s="4" t="s">
        <v>2312</v>
      </c>
      <c r="F24" s="4">
        <v>15516</v>
      </c>
      <c r="G24" s="4">
        <v>219</v>
      </c>
      <c r="H24" s="4">
        <v>3500000</v>
      </c>
      <c r="I24" s="4">
        <v>35000</v>
      </c>
      <c r="J24" s="4">
        <v>0</v>
      </c>
    </row>
    <row r="25" spans="1:10" ht="15.75" customHeight="1" x14ac:dyDescent="0.25">
      <c r="A25" s="4" t="s">
        <v>2313</v>
      </c>
      <c r="B25" s="4" t="s">
        <v>2314</v>
      </c>
      <c r="C25" s="4" t="s">
        <v>2315</v>
      </c>
      <c r="D25" s="4"/>
      <c r="E25" s="4" t="s">
        <v>2316</v>
      </c>
      <c r="F25" s="4">
        <v>15516</v>
      </c>
      <c r="G25" s="4">
        <v>207</v>
      </c>
      <c r="H25" s="4">
        <v>4200000</v>
      </c>
      <c r="I25" s="4">
        <v>33600</v>
      </c>
      <c r="J25" s="4">
        <v>0</v>
      </c>
    </row>
    <row r="26" spans="1:10" ht="15.75" customHeight="1" x14ac:dyDescent="0.25">
      <c r="A26" s="4" t="s">
        <v>2317</v>
      </c>
      <c r="B26" s="4" t="s">
        <v>2318</v>
      </c>
      <c r="C26" s="4" t="s">
        <v>2319</v>
      </c>
      <c r="D26" s="4"/>
      <c r="E26" s="4" t="s">
        <v>2320</v>
      </c>
      <c r="F26" s="4">
        <v>15516</v>
      </c>
      <c r="G26" s="4">
        <v>326</v>
      </c>
      <c r="H26" s="4">
        <v>3310000</v>
      </c>
      <c r="I26" s="4">
        <v>33100</v>
      </c>
      <c r="J26" s="4">
        <v>0</v>
      </c>
    </row>
    <row r="27" spans="1:10" ht="15.75" customHeight="1" x14ac:dyDescent="0.25">
      <c r="A27" s="4" t="s">
        <v>2321</v>
      </c>
      <c r="B27" s="4" t="s">
        <v>2322</v>
      </c>
      <c r="C27" s="4" t="s">
        <v>2323</v>
      </c>
      <c r="D27" s="4"/>
      <c r="E27" s="4" t="s">
        <v>2324</v>
      </c>
      <c r="F27" s="4">
        <v>15516</v>
      </c>
      <c r="G27" s="4">
        <v>204</v>
      </c>
      <c r="H27" s="4">
        <v>6373100</v>
      </c>
      <c r="I27" s="4">
        <v>31866</v>
      </c>
      <c r="J27" s="4">
        <v>0</v>
      </c>
    </row>
    <row r="28" spans="1:10" ht="15.75" customHeight="1" x14ac:dyDescent="0.25">
      <c r="A28" s="4" t="s">
        <v>2325</v>
      </c>
      <c r="B28" s="4" t="s">
        <v>2326</v>
      </c>
      <c r="C28" s="4" t="s">
        <v>2327</v>
      </c>
      <c r="D28" s="4"/>
      <c r="E28" s="4" t="s">
        <v>2328</v>
      </c>
      <c r="F28" s="4">
        <v>15516</v>
      </c>
      <c r="G28" s="4">
        <v>219</v>
      </c>
      <c r="H28" s="4">
        <v>2755000</v>
      </c>
      <c r="I28" s="4">
        <v>27550</v>
      </c>
      <c r="J28" s="4">
        <v>0</v>
      </c>
    </row>
    <row r="29" spans="1:10" ht="15.75" customHeight="1" x14ac:dyDescent="0.25">
      <c r="A29" s="4" t="s">
        <v>2325</v>
      </c>
      <c r="B29" s="4" t="s">
        <v>2326</v>
      </c>
      <c r="C29" s="4" t="s">
        <v>2327</v>
      </c>
      <c r="D29" s="4"/>
      <c r="E29" s="4" t="s">
        <v>2328</v>
      </c>
      <c r="F29" s="4">
        <v>15516</v>
      </c>
      <c r="G29" s="4">
        <v>219</v>
      </c>
      <c r="H29" s="4">
        <v>475000</v>
      </c>
      <c r="I29" s="4">
        <v>3800</v>
      </c>
      <c r="J29" s="4">
        <v>0</v>
      </c>
    </row>
    <row r="30" spans="1:10" ht="15.75" customHeight="1" x14ac:dyDescent="0.25">
      <c r="A30" s="4" t="s">
        <v>2329</v>
      </c>
      <c r="B30" s="4" t="s">
        <v>2330</v>
      </c>
      <c r="C30" s="4" t="s">
        <v>2331</v>
      </c>
      <c r="D30" s="4"/>
      <c r="E30" s="4" t="s">
        <v>2332</v>
      </c>
      <c r="F30" s="4">
        <v>15516</v>
      </c>
      <c r="G30" s="4">
        <v>201</v>
      </c>
      <c r="H30" s="4">
        <v>6000000</v>
      </c>
      <c r="I30" s="4">
        <v>24000</v>
      </c>
      <c r="J30" s="4">
        <v>0</v>
      </c>
    </row>
    <row r="31" spans="1:10" ht="15.75" customHeight="1" x14ac:dyDescent="0.25">
      <c r="A31" s="4" t="s">
        <v>2333</v>
      </c>
      <c r="B31" s="4" t="s">
        <v>2334</v>
      </c>
      <c r="C31" s="4" t="s">
        <v>2335</v>
      </c>
      <c r="D31" s="4"/>
      <c r="E31" s="4" t="s">
        <v>2336</v>
      </c>
      <c r="F31" s="4">
        <v>15516</v>
      </c>
      <c r="G31" s="4">
        <v>201</v>
      </c>
      <c r="H31" s="4">
        <v>3785250</v>
      </c>
      <c r="I31" s="4">
        <v>15141</v>
      </c>
      <c r="J31" s="4">
        <v>0</v>
      </c>
    </row>
    <row r="32" spans="1:10" ht="15.75" customHeight="1" x14ac:dyDescent="0.25">
      <c r="A32" s="4" t="s">
        <v>2333</v>
      </c>
      <c r="B32" s="4" t="s">
        <v>2334</v>
      </c>
      <c r="C32" s="4" t="s">
        <v>2335</v>
      </c>
      <c r="D32" s="4"/>
      <c r="E32" s="4" t="s">
        <v>2336</v>
      </c>
      <c r="F32" s="4">
        <v>15516</v>
      </c>
      <c r="G32" s="4">
        <v>202</v>
      </c>
      <c r="H32" s="4">
        <v>730250</v>
      </c>
      <c r="I32" s="4">
        <v>3651</v>
      </c>
      <c r="J32" s="4">
        <v>0</v>
      </c>
    </row>
    <row r="33" spans="1:10" ht="15.75" customHeight="1" x14ac:dyDescent="0.25">
      <c r="A33" s="4" t="s">
        <v>2337</v>
      </c>
      <c r="B33" s="4" t="s">
        <v>2338</v>
      </c>
      <c r="C33" s="4" t="s">
        <v>2339</v>
      </c>
      <c r="D33" s="4"/>
      <c r="E33" s="4" t="s">
        <v>2340</v>
      </c>
      <c r="F33" s="4">
        <v>15516</v>
      </c>
      <c r="G33" s="4">
        <v>205</v>
      </c>
      <c r="H33" s="4">
        <v>2672400</v>
      </c>
      <c r="I33" s="4">
        <v>18689</v>
      </c>
      <c r="J33" s="4">
        <v>0</v>
      </c>
    </row>
    <row r="34" spans="1:10" ht="15.75" customHeight="1" x14ac:dyDescent="0.25">
      <c r="A34" s="4" t="s">
        <v>2341</v>
      </c>
      <c r="B34" s="4" t="s">
        <v>2342</v>
      </c>
      <c r="C34" s="4" t="s">
        <v>2343</v>
      </c>
      <c r="D34" s="4"/>
      <c r="E34" s="4" t="s">
        <v>2341</v>
      </c>
      <c r="F34" s="4">
        <v>15516</v>
      </c>
      <c r="G34" s="4">
        <v>219</v>
      </c>
      <c r="H34" s="4">
        <v>1730812</v>
      </c>
      <c r="I34" s="4">
        <v>17308</v>
      </c>
      <c r="J34" s="4">
        <v>0</v>
      </c>
    </row>
    <row r="35" spans="1:10" ht="15.75" customHeight="1" x14ac:dyDescent="0.25">
      <c r="A35" s="4" t="s">
        <v>2344</v>
      </c>
      <c r="B35" s="4" t="s">
        <v>2345</v>
      </c>
      <c r="C35" s="4" t="s">
        <v>2346</v>
      </c>
      <c r="D35" s="4"/>
      <c r="E35" s="4" t="s">
        <v>2347</v>
      </c>
      <c r="F35" s="4">
        <v>11516</v>
      </c>
      <c r="G35" s="4">
        <v>205</v>
      </c>
      <c r="H35" s="4">
        <v>2260700</v>
      </c>
      <c r="I35" s="4">
        <v>15825</v>
      </c>
      <c r="J35" s="4">
        <v>0</v>
      </c>
    </row>
    <row r="36" spans="1:10" ht="15.75" customHeight="1" x14ac:dyDescent="0.25">
      <c r="A36" s="4" t="s">
        <v>2348</v>
      </c>
      <c r="B36" s="4" t="s">
        <v>2349</v>
      </c>
      <c r="C36" s="4" t="s">
        <v>2350</v>
      </c>
      <c r="D36" s="4"/>
      <c r="E36" s="4" t="s">
        <v>2351</v>
      </c>
      <c r="F36" s="4">
        <v>15516</v>
      </c>
      <c r="G36" s="4">
        <v>201</v>
      </c>
      <c r="H36" s="4">
        <v>1987285</v>
      </c>
      <c r="I36" s="4">
        <v>7949</v>
      </c>
      <c r="J36" s="4">
        <v>0</v>
      </c>
    </row>
    <row r="37" spans="1:10" ht="15.75" customHeight="1" x14ac:dyDescent="0.25">
      <c r="A37" s="4" t="s">
        <v>2348</v>
      </c>
      <c r="B37" s="4" t="s">
        <v>2349</v>
      </c>
      <c r="C37" s="4" t="s">
        <v>2350</v>
      </c>
      <c r="D37" s="4"/>
      <c r="E37" s="4" t="s">
        <v>2351</v>
      </c>
      <c r="F37" s="4">
        <v>15516</v>
      </c>
      <c r="G37" s="4">
        <v>208</v>
      </c>
      <c r="H37" s="4">
        <v>912260</v>
      </c>
      <c r="I37" s="4">
        <v>7298</v>
      </c>
      <c r="J37" s="4">
        <v>0</v>
      </c>
    </row>
    <row r="38" spans="1:10" ht="15.75" customHeight="1" x14ac:dyDescent="0.25">
      <c r="A38" s="4" t="s">
        <v>2352</v>
      </c>
      <c r="B38" s="4" t="s">
        <v>2353</v>
      </c>
      <c r="C38" s="4" t="s">
        <v>2291</v>
      </c>
      <c r="D38" s="4"/>
      <c r="E38" s="4" t="s">
        <v>2354</v>
      </c>
      <c r="F38" s="4">
        <v>15516</v>
      </c>
      <c r="G38" s="4">
        <v>207</v>
      </c>
      <c r="H38" s="4">
        <v>1795000</v>
      </c>
      <c r="I38" s="4">
        <v>14360</v>
      </c>
      <c r="J38" s="4">
        <v>0</v>
      </c>
    </row>
    <row r="39" spans="1:10" ht="15.75" customHeight="1" x14ac:dyDescent="0.25">
      <c r="A39" s="4" t="s">
        <v>2352</v>
      </c>
      <c r="B39" s="4" t="s">
        <v>2353</v>
      </c>
      <c r="C39" s="4" t="s">
        <v>2291</v>
      </c>
      <c r="D39" s="4"/>
      <c r="E39" s="4" t="s">
        <v>2354</v>
      </c>
      <c r="F39" s="4">
        <v>15516</v>
      </c>
      <c r="G39" s="4">
        <v>303</v>
      </c>
      <c r="H39" s="4">
        <v>1727000</v>
      </c>
      <c r="I39" s="4">
        <v>12089</v>
      </c>
      <c r="J39" s="4">
        <v>0</v>
      </c>
    </row>
    <row r="40" spans="1:10" ht="15.75" customHeight="1" x14ac:dyDescent="0.25">
      <c r="A40" s="4" t="s">
        <v>2355</v>
      </c>
      <c r="B40" s="4" t="s">
        <v>2356</v>
      </c>
      <c r="C40" s="4" t="s">
        <v>2357</v>
      </c>
      <c r="D40" s="4"/>
      <c r="E40" s="4" t="s">
        <v>2358</v>
      </c>
      <c r="F40" s="4">
        <v>15516</v>
      </c>
      <c r="G40" s="4">
        <v>102</v>
      </c>
      <c r="H40" s="4">
        <v>3270887</v>
      </c>
      <c r="I40" s="4">
        <v>13081</v>
      </c>
      <c r="J40" s="4">
        <v>0</v>
      </c>
    </row>
    <row r="41" spans="1:10" ht="15.75" customHeight="1" x14ac:dyDescent="0.25">
      <c r="A41" s="4" t="s">
        <v>2359</v>
      </c>
      <c r="B41" s="4" t="s">
        <v>2360</v>
      </c>
      <c r="C41" s="15" t="s">
        <v>3044</v>
      </c>
      <c r="D41" s="4"/>
      <c r="E41" s="4" t="s">
        <v>2361</v>
      </c>
      <c r="F41" s="4">
        <v>15516</v>
      </c>
      <c r="G41" s="4">
        <v>219</v>
      </c>
      <c r="H41" s="4">
        <v>1268000</v>
      </c>
      <c r="I41" s="4">
        <v>12680</v>
      </c>
      <c r="J41" s="4">
        <v>0</v>
      </c>
    </row>
    <row r="42" spans="1:10" ht="15.75" customHeight="1" x14ac:dyDescent="0.25">
      <c r="A42" s="4" t="s">
        <v>2359</v>
      </c>
      <c r="B42" s="4" t="s">
        <v>2360</v>
      </c>
      <c r="C42" s="15" t="s">
        <v>3044</v>
      </c>
      <c r="D42" s="4"/>
      <c r="E42" s="4" t="s">
        <v>2361</v>
      </c>
      <c r="F42" s="4">
        <v>15516</v>
      </c>
      <c r="G42" s="4">
        <v>318</v>
      </c>
      <c r="H42" s="4">
        <v>528300</v>
      </c>
      <c r="I42" s="4">
        <v>5283</v>
      </c>
      <c r="J42" s="4">
        <v>0</v>
      </c>
    </row>
    <row r="43" spans="1:10" ht="15.75" customHeight="1" x14ac:dyDescent="0.25">
      <c r="A43" s="4" t="s">
        <v>2362</v>
      </c>
      <c r="B43" s="4" t="s">
        <v>2363</v>
      </c>
      <c r="C43" s="4" t="s">
        <v>2364</v>
      </c>
      <c r="D43" s="4"/>
      <c r="E43" s="4" t="s">
        <v>2365</v>
      </c>
      <c r="F43" s="4">
        <v>15516</v>
      </c>
      <c r="G43" s="4">
        <v>326</v>
      </c>
      <c r="H43" s="4">
        <v>1250000</v>
      </c>
      <c r="I43" s="4">
        <v>12500</v>
      </c>
      <c r="J43" s="4">
        <v>0</v>
      </c>
    </row>
    <row r="44" spans="1:10" ht="15" customHeight="1" x14ac:dyDescent="0.25">
      <c r="A44" t="s">
        <v>2366</v>
      </c>
      <c r="B44" t="s">
        <v>2367</v>
      </c>
      <c r="C44" t="s">
        <v>2368</v>
      </c>
      <c r="E44" t="s">
        <v>2369</v>
      </c>
      <c r="F44">
        <v>15516</v>
      </c>
      <c r="G44">
        <v>208</v>
      </c>
      <c r="H44">
        <v>1098572</v>
      </c>
      <c r="I44">
        <v>8789</v>
      </c>
      <c r="J44">
        <v>0</v>
      </c>
    </row>
    <row r="45" spans="1:10" ht="15" customHeight="1" x14ac:dyDescent="0.25">
      <c r="A45" t="s">
        <v>2366</v>
      </c>
      <c r="B45" t="s">
        <v>2367</v>
      </c>
      <c r="C45" t="s">
        <v>2368</v>
      </c>
      <c r="E45" t="s">
        <v>2369</v>
      </c>
      <c r="F45">
        <v>15516</v>
      </c>
      <c r="G45">
        <v>219</v>
      </c>
      <c r="H45">
        <v>350400</v>
      </c>
      <c r="I45">
        <v>3504</v>
      </c>
      <c r="J45">
        <v>0</v>
      </c>
    </row>
    <row r="46" spans="1:10" ht="15" customHeight="1" x14ac:dyDescent="0.25">
      <c r="A46" t="s">
        <v>2370</v>
      </c>
      <c r="B46" t="s">
        <v>2371</v>
      </c>
      <c r="C46" t="s">
        <v>2372</v>
      </c>
      <c r="E46" t="s">
        <v>2373</v>
      </c>
      <c r="F46">
        <v>15516</v>
      </c>
      <c r="G46">
        <v>327</v>
      </c>
      <c r="H46">
        <v>1200000</v>
      </c>
      <c r="I46">
        <v>12000</v>
      </c>
      <c r="J46">
        <v>0</v>
      </c>
    </row>
    <row r="47" spans="1:10" ht="15" customHeight="1" x14ac:dyDescent="0.25">
      <c r="A47" t="s">
        <v>2374</v>
      </c>
      <c r="B47" t="s">
        <v>2375</v>
      </c>
      <c r="C47" t="s">
        <v>2376</v>
      </c>
      <c r="E47" t="s">
        <v>2377</v>
      </c>
      <c r="F47">
        <v>15516</v>
      </c>
      <c r="G47">
        <v>102</v>
      </c>
      <c r="H47">
        <v>2900250</v>
      </c>
      <c r="I47">
        <v>11601</v>
      </c>
      <c r="J47">
        <v>0</v>
      </c>
    </row>
    <row r="48" spans="1:10" ht="15" customHeight="1" x14ac:dyDescent="0.25">
      <c r="A48" t="s">
        <v>2378</v>
      </c>
      <c r="B48" t="s">
        <v>2379</v>
      </c>
      <c r="C48" t="s">
        <v>2380</v>
      </c>
      <c r="E48" t="s">
        <v>2381</v>
      </c>
      <c r="F48">
        <v>15516</v>
      </c>
      <c r="G48">
        <v>102</v>
      </c>
      <c r="H48">
        <v>2788000</v>
      </c>
      <c r="I48">
        <v>11152</v>
      </c>
      <c r="J48">
        <v>0</v>
      </c>
    </row>
    <row r="49" spans="1:10" ht="15" customHeight="1" x14ac:dyDescent="0.25">
      <c r="A49" t="s">
        <v>2382</v>
      </c>
      <c r="B49" t="s">
        <v>2383</v>
      </c>
      <c r="C49" t="s">
        <v>2384</v>
      </c>
      <c r="E49" t="s">
        <v>2385</v>
      </c>
      <c r="F49">
        <v>15516</v>
      </c>
      <c r="G49">
        <v>212</v>
      </c>
      <c r="H49">
        <v>1038556</v>
      </c>
      <c r="I49">
        <v>9347</v>
      </c>
      <c r="J49">
        <v>0</v>
      </c>
    </row>
    <row r="50" spans="1:10" ht="15" customHeight="1" x14ac:dyDescent="0.25">
      <c r="A50" t="s">
        <v>2386</v>
      </c>
      <c r="B50" t="s">
        <v>2387</v>
      </c>
      <c r="C50" t="s">
        <v>2388</v>
      </c>
      <c r="E50" t="s">
        <v>2389</v>
      </c>
      <c r="F50">
        <v>15516</v>
      </c>
      <c r="G50">
        <v>205</v>
      </c>
      <c r="H50">
        <v>1239000</v>
      </c>
      <c r="I50">
        <v>8673</v>
      </c>
      <c r="J50">
        <v>0</v>
      </c>
    </row>
    <row r="51" spans="1:10" ht="15" customHeight="1" x14ac:dyDescent="0.25">
      <c r="A51" t="s">
        <v>2390</v>
      </c>
      <c r="B51" t="s">
        <v>2391</v>
      </c>
      <c r="C51" t="s">
        <v>2392</v>
      </c>
      <c r="E51" t="s">
        <v>2393</v>
      </c>
      <c r="F51">
        <v>15516</v>
      </c>
      <c r="G51">
        <v>202</v>
      </c>
      <c r="H51">
        <v>1675000</v>
      </c>
      <c r="I51">
        <v>8375</v>
      </c>
      <c r="J51">
        <v>0</v>
      </c>
    </row>
    <row r="52" spans="1:10" ht="15" customHeight="1" x14ac:dyDescent="0.25">
      <c r="A52" t="s">
        <v>2394</v>
      </c>
      <c r="B52" t="s">
        <v>2395</v>
      </c>
      <c r="C52" t="s">
        <v>2396</v>
      </c>
      <c r="E52" t="s">
        <v>2397</v>
      </c>
      <c r="F52">
        <v>15516</v>
      </c>
      <c r="G52">
        <v>208</v>
      </c>
      <c r="H52">
        <v>952065</v>
      </c>
      <c r="I52">
        <v>7616</v>
      </c>
      <c r="J52">
        <v>0</v>
      </c>
    </row>
    <row r="53" spans="1:10" ht="15" customHeight="1" x14ac:dyDescent="0.25">
      <c r="A53" t="s">
        <v>2398</v>
      </c>
      <c r="B53" t="s">
        <v>2399</v>
      </c>
      <c r="C53" t="s">
        <v>2400</v>
      </c>
      <c r="E53" t="s">
        <v>2401</v>
      </c>
      <c r="F53">
        <v>15516</v>
      </c>
      <c r="G53">
        <v>219</v>
      </c>
      <c r="H53">
        <v>655000</v>
      </c>
      <c r="I53">
        <v>6550</v>
      </c>
      <c r="J53">
        <v>0</v>
      </c>
    </row>
    <row r="54" spans="1:10" ht="15" customHeight="1" x14ac:dyDescent="0.25">
      <c r="A54" t="s">
        <v>2402</v>
      </c>
      <c r="B54" t="s">
        <v>2403</v>
      </c>
      <c r="E54" t="s">
        <v>2404</v>
      </c>
      <c r="F54">
        <v>15516</v>
      </c>
      <c r="G54">
        <v>208</v>
      </c>
      <c r="H54">
        <v>775746</v>
      </c>
      <c r="I54">
        <v>6206</v>
      </c>
      <c r="J54">
        <v>0</v>
      </c>
    </row>
    <row r="55" spans="1:10" ht="15" customHeight="1" x14ac:dyDescent="0.25">
      <c r="A55" t="s">
        <v>2405</v>
      </c>
      <c r="B55" t="s">
        <v>2406</v>
      </c>
      <c r="C55" t="s">
        <v>2407</v>
      </c>
      <c r="E55" t="s">
        <v>2408</v>
      </c>
      <c r="F55">
        <v>15516</v>
      </c>
      <c r="G55">
        <v>212</v>
      </c>
      <c r="H55">
        <v>667500</v>
      </c>
      <c r="I55">
        <v>6008</v>
      </c>
      <c r="J55">
        <v>0</v>
      </c>
    </row>
    <row r="56" spans="1:10" ht="15" customHeight="1" x14ac:dyDescent="0.25">
      <c r="A56" t="s">
        <v>2409</v>
      </c>
      <c r="B56" t="s">
        <v>2410</v>
      </c>
      <c r="C56" t="s">
        <v>2411</v>
      </c>
      <c r="E56" t="s">
        <v>2412</v>
      </c>
      <c r="F56">
        <v>15516</v>
      </c>
      <c r="G56">
        <v>305</v>
      </c>
      <c r="H56">
        <v>806723</v>
      </c>
      <c r="I56">
        <v>5647</v>
      </c>
      <c r="J56">
        <v>0</v>
      </c>
    </row>
    <row r="57" spans="1:10" ht="15" customHeight="1" x14ac:dyDescent="0.25">
      <c r="A57" t="s">
        <v>2413</v>
      </c>
      <c r="B57" t="s">
        <v>2414</v>
      </c>
      <c r="C57" t="s">
        <v>2415</v>
      </c>
      <c r="E57" t="s">
        <v>2416</v>
      </c>
      <c r="F57">
        <v>15516</v>
      </c>
      <c r="G57">
        <v>301</v>
      </c>
      <c r="H57">
        <v>800000</v>
      </c>
      <c r="I57">
        <v>5600</v>
      </c>
      <c r="J57">
        <v>0</v>
      </c>
    </row>
    <row r="58" spans="1:10" ht="15" customHeight="1" x14ac:dyDescent="0.25">
      <c r="A58" t="s">
        <v>2417</v>
      </c>
      <c r="B58" t="s">
        <v>2418</v>
      </c>
      <c r="C58" t="s">
        <v>2419</v>
      </c>
      <c r="E58" t="s">
        <v>2420</v>
      </c>
      <c r="F58">
        <v>15516</v>
      </c>
      <c r="G58">
        <v>204</v>
      </c>
      <c r="H58">
        <v>1013400</v>
      </c>
      <c r="I58">
        <v>5068</v>
      </c>
      <c r="J58">
        <v>0</v>
      </c>
    </row>
    <row r="59" spans="1:10" ht="15" customHeight="1" x14ac:dyDescent="0.25">
      <c r="A59" t="s">
        <v>2421</v>
      </c>
      <c r="B59" t="s">
        <v>2422</v>
      </c>
      <c r="C59" t="s">
        <v>2423</v>
      </c>
      <c r="E59" t="s">
        <v>2424</v>
      </c>
      <c r="F59">
        <v>15516</v>
      </c>
      <c r="G59">
        <v>211</v>
      </c>
      <c r="H59">
        <v>621429</v>
      </c>
      <c r="I59">
        <v>4971</v>
      </c>
      <c r="J59">
        <v>0</v>
      </c>
    </row>
    <row r="60" spans="1:10" ht="15" customHeight="1" x14ac:dyDescent="0.25">
      <c r="A60" t="s">
        <v>2425</v>
      </c>
      <c r="B60" t="s">
        <v>2426</v>
      </c>
      <c r="C60" t="s">
        <v>2427</v>
      </c>
      <c r="E60" t="s">
        <v>2428</v>
      </c>
      <c r="F60">
        <v>15516</v>
      </c>
      <c r="G60">
        <v>209</v>
      </c>
      <c r="H60">
        <v>453782</v>
      </c>
      <c r="I60">
        <v>3631</v>
      </c>
      <c r="J60">
        <v>0</v>
      </c>
    </row>
    <row r="61" spans="1:10" ht="15" customHeight="1" x14ac:dyDescent="0.25">
      <c r="A61" t="s">
        <v>2429</v>
      </c>
      <c r="B61" t="s">
        <v>2430</v>
      </c>
      <c r="C61" t="s">
        <v>2431</v>
      </c>
      <c r="E61" t="s">
        <v>2432</v>
      </c>
      <c r="F61">
        <v>15516</v>
      </c>
      <c r="G61">
        <v>305</v>
      </c>
      <c r="H61">
        <v>302520</v>
      </c>
      <c r="I61">
        <v>2118</v>
      </c>
      <c r="J61">
        <v>0</v>
      </c>
    </row>
    <row r="62" spans="1:10" ht="15" customHeight="1" x14ac:dyDescent="0.25">
      <c r="A62" t="s">
        <v>2433</v>
      </c>
      <c r="B62" t="s">
        <v>2434</v>
      </c>
      <c r="C62" t="s">
        <v>2435</v>
      </c>
      <c r="E62" t="s">
        <v>2436</v>
      </c>
      <c r="F62">
        <v>15516</v>
      </c>
      <c r="G62">
        <v>318</v>
      </c>
      <c r="H62">
        <v>113445</v>
      </c>
      <c r="I62">
        <v>1134</v>
      </c>
      <c r="J62">
        <v>0</v>
      </c>
    </row>
    <row r="63" spans="1:10" ht="15" customHeight="1" x14ac:dyDescent="0.25">
      <c r="A63" t="s">
        <v>2437</v>
      </c>
      <c r="B63" t="s">
        <v>2438</v>
      </c>
      <c r="C63" t="s">
        <v>2439</v>
      </c>
      <c r="D63" t="s">
        <v>2440</v>
      </c>
      <c r="E63" t="s">
        <v>2441</v>
      </c>
      <c r="F63" t="s">
        <v>733</v>
      </c>
      <c r="G63">
        <v>219</v>
      </c>
      <c r="H63">
        <v>430800</v>
      </c>
      <c r="I63">
        <v>4380</v>
      </c>
      <c r="J63">
        <v>0</v>
      </c>
    </row>
    <row r="64" spans="1:10" ht="15" customHeight="1" x14ac:dyDescent="0.25">
      <c r="A64" t="s">
        <v>2442</v>
      </c>
      <c r="B64" t="s">
        <v>2443</v>
      </c>
      <c r="C64" t="s">
        <v>2444</v>
      </c>
      <c r="D64" t="s">
        <v>2445</v>
      </c>
      <c r="E64" t="s">
        <v>2446</v>
      </c>
      <c r="F64" t="s">
        <v>733</v>
      </c>
      <c r="G64">
        <v>219</v>
      </c>
      <c r="H64">
        <v>328000</v>
      </c>
      <c r="I64">
        <v>3280</v>
      </c>
      <c r="J64">
        <v>0</v>
      </c>
    </row>
    <row r="65" spans="1:10" ht="15" customHeight="1" x14ac:dyDescent="0.25">
      <c r="A65" t="s">
        <v>2447</v>
      </c>
      <c r="B65" t="s">
        <v>2448</v>
      </c>
      <c r="C65" t="s">
        <v>2449</v>
      </c>
      <c r="D65" t="s">
        <v>2450</v>
      </c>
      <c r="E65" t="s">
        <v>2451</v>
      </c>
      <c r="F65" t="s">
        <v>733</v>
      </c>
      <c r="G65">
        <v>219</v>
      </c>
      <c r="H65">
        <v>280000</v>
      </c>
      <c r="I65">
        <v>2800</v>
      </c>
      <c r="J65">
        <v>0</v>
      </c>
    </row>
    <row r="66" spans="1:10" ht="15" customHeight="1" x14ac:dyDescent="0.25">
      <c r="A66" t="s">
        <v>2452</v>
      </c>
      <c r="B66" t="s">
        <v>2453</v>
      </c>
      <c r="C66" t="s">
        <v>2454</v>
      </c>
      <c r="D66" t="s">
        <v>2455</v>
      </c>
      <c r="E66" t="s">
        <v>2456</v>
      </c>
      <c r="F66" t="s">
        <v>733</v>
      </c>
      <c r="G66">
        <v>201</v>
      </c>
      <c r="H66">
        <v>627500</v>
      </c>
      <c r="I66">
        <v>2510</v>
      </c>
      <c r="J66">
        <v>0</v>
      </c>
    </row>
    <row r="67" spans="1:10" ht="15" customHeight="1" x14ac:dyDescent="0.25">
      <c r="A67" t="s">
        <v>2457</v>
      </c>
      <c r="B67" t="s">
        <v>2458</v>
      </c>
      <c r="C67" t="s">
        <v>2459</v>
      </c>
      <c r="D67" t="s">
        <v>2460</v>
      </c>
      <c r="E67" t="s">
        <v>2461</v>
      </c>
      <c r="F67" t="s">
        <v>733</v>
      </c>
      <c r="G67">
        <v>211</v>
      </c>
      <c r="H67">
        <v>254000</v>
      </c>
      <c r="I67">
        <v>2032</v>
      </c>
      <c r="J67">
        <v>0</v>
      </c>
    </row>
    <row r="68" spans="1:10" ht="15" customHeight="1" x14ac:dyDescent="0.25">
      <c r="A68" t="s">
        <v>2462</v>
      </c>
      <c r="B68" t="s">
        <v>2463</v>
      </c>
      <c r="C68" t="s">
        <v>2464</v>
      </c>
      <c r="D68" t="s">
        <v>2465</v>
      </c>
      <c r="E68" t="s">
        <v>2466</v>
      </c>
      <c r="F68" t="s">
        <v>733</v>
      </c>
      <c r="G68">
        <v>202</v>
      </c>
      <c r="H68">
        <v>195800</v>
      </c>
      <c r="I68">
        <v>979</v>
      </c>
      <c r="J68">
        <v>0</v>
      </c>
    </row>
    <row r="69" spans="1:10" ht="15" customHeight="1" x14ac:dyDescent="0.25">
      <c r="A69" t="s">
        <v>2462</v>
      </c>
      <c r="B69" t="s">
        <v>2463</v>
      </c>
      <c r="C69" t="s">
        <v>2464</v>
      </c>
      <c r="D69" t="s">
        <v>2465</v>
      </c>
      <c r="E69" t="s">
        <v>2466</v>
      </c>
      <c r="F69" t="s">
        <v>733</v>
      </c>
      <c r="G69">
        <v>219</v>
      </c>
      <c r="H69">
        <v>167000</v>
      </c>
      <c r="I69">
        <v>1670</v>
      </c>
      <c r="J69">
        <v>0</v>
      </c>
    </row>
    <row r="70" spans="1:10" ht="15" customHeight="1" x14ac:dyDescent="0.25">
      <c r="A70" t="s">
        <v>2467</v>
      </c>
      <c r="B70" t="s">
        <v>2468</v>
      </c>
      <c r="C70" t="s">
        <v>2469</v>
      </c>
      <c r="D70" t="s">
        <v>2470</v>
      </c>
      <c r="E70" t="s">
        <v>2471</v>
      </c>
      <c r="F70" t="s">
        <v>729</v>
      </c>
      <c r="G70">
        <v>208</v>
      </c>
      <c r="H70">
        <v>135625</v>
      </c>
      <c r="I70">
        <v>1085</v>
      </c>
      <c r="J70">
        <v>0</v>
      </c>
    </row>
    <row r="71" spans="1:10" ht="15" customHeight="1" x14ac:dyDescent="0.25">
      <c r="A71" t="s">
        <v>2472</v>
      </c>
      <c r="B71" t="s">
        <v>2473</v>
      </c>
      <c r="C71" t="s">
        <v>2474</v>
      </c>
      <c r="D71" t="s">
        <v>2475</v>
      </c>
      <c r="E71" t="s">
        <v>2476</v>
      </c>
      <c r="F71" t="s">
        <v>733</v>
      </c>
      <c r="G71">
        <v>204</v>
      </c>
      <c r="H71">
        <v>144275</v>
      </c>
      <c r="I71">
        <v>841</v>
      </c>
      <c r="J71">
        <v>0</v>
      </c>
    </row>
    <row r="72" spans="1:10" ht="15" customHeight="1" x14ac:dyDescent="0.25">
      <c r="A72">
        <v>74372634</v>
      </c>
      <c r="B72" t="s">
        <v>2477</v>
      </c>
      <c r="C72" t="s">
        <v>2478</v>
      </c>
      <c r="D72" t="s">
        <v>2479</v>
      </c>
      <c r="E72" t="s">
        <v>2480</v>
      </c>
      <c r="F72" t="s">
        <v>733</v>
      </c>
      <c r="G72">
        <v>211</v>
      </c>
      <c r="H72">
        <v>64750</v>
      </c>
      <c r="I72">
        <v>518</v>
      </c>
      <c r="J72">
        <v>0</v>
      </c>
    </row>
    <row r="73" spans="1:10" ht="15" customHeight="1" x14ac:dyDescent="0.25">
      <c r="A73" t="s">
        <v>2481</v>
      </c>
      <c r="B73" t="s">
        <v>2482</v>
      </c>
      <c r="C73" t="s">
        <v>2483</v>
      </c>
      <c r="D73" t="s">
        <v>2484</v>
      </c>
      <c r="E73" t="s">
        <v>2485</v>
      </c>
      <c r="F73" t="s">
        <v>733</v>
      </c>
      <c r="G73">
        <v>209</v>
      </c>
      <c r="H73">
        <v>55000</v>
      </c>
      <c r="I73">
        <v>440</v>
      </c>
      <c r="J73">
        <v>0</v>
      </c>
    </row>
    <row r="74" spans="1:10" ht="15" customHeight="1" x14ac:dyDescent="0.25">
      <c r="A74" t="s">
        <v>2486</v>
      </c>
      <c r="B74" t="s">
        <v>2487</v>
      </c>
      <c r="C74" t="s">
        <v>2488</v>
      </c>
      <c r="D74" t="s">
        <v>2489</v>
      </c>
      <c r="E74" t="s">
        <v>2490</v>
      </c>
      <c r="F74" t="s">
        <v>733</v>
      </c>
      <c r="G74">
        <v>201</v>
      </c>
      <c r="H74">
        <v>86250</v>
      </c>
      <c r="I74">
        <v>345</v>
      </c>
      <c r="J74">
        <v>0</v>
      </c>
    </row>
    <row r="75" spans="1:10" ht="15" customHeight="1" x14ac:dyDescent="0.25">
      <c r="A75" t="s">
        <v>2491</v>
      </c>
      <c r="B75" t="s">
        <v>2492</v>
      </c>
      <c r="C75" t="s">
        <v>2493</v>
      </c>
      <c r="D75" t="s">
        <v>2494</v>
      </c>
      <c r="E75" t="s">
        <v>734</v>
      </c>
      <c r="F75" t="s">
        <v>733</v>
      </c>
      <c r="G75">
        <v>212</v>
      </c>
      <c r="H75">
        <v>32000</v>
      </c>
      <c r="I75">
        <v>288</v>
      </c>
      <c r="J75">
        <v>0</v>
      </c>
    </row>
    <row r="76" spans="1:10" ht="15" customHeight="1" x14ac:dyDescent="0.25">
      <c r="A76" t="s">
        <v>2495</v>
      </c>
      <c r="B76" t="s">
        <v>2496</v>
      </c>
      <c r="C76" t="s">
        <v>2497</v>
      </c>
      <c r="D76" t="s">
        <v>2498</v>
      </c>
      <c r="E76" t="s">
        <v>2499</v>
      </c>
      <c r="F76" t="s">
        <v>733</v>
      </c>
      <c r="G76">
        <v>211</v>
      </c>
      <c r="H76">
        <v>26000</v>
      </c>
      <c r="I76">
        <v>309</v>
      </c>
      <c r="J76">
        <v>0</v>
      </c>
    </row>
    <row r="77" spans="1:10" ht="15" customHeight="1" x14ac:dyDescent="0.25">
      <c r="A77" t="s">
        <v>2500</v>
      </c>
      <c r="B77" t="s">
        <v>2501</v>
      </c>
      <c r="C77" t="s">
        <v>2502</v>
      </c>
      <c r="D77" t="s">
        <v>2475</v>
      </c>
      <c r="E77" t="s">
        <v>2503</v>
      </c>
      <c r="F77" t="s">
        <v>733</v>
      </c>
      <c r="G77">
        <v>204</v>
      </c>
      <c r="H77">
        <v>34600</v>
      </c>
      <c r="I77">
        <v>173</v>
      </c>
      <c r="J77">
        <v>0</v>
      </c>
    </row>
    <row r="78" spans="1:10" ht="15" customHeight="1" x14ac:dyDescent="0.25">
      <c r="A78" t="s">
        <v>2504</v>
      </c>
      <c r="B78" t="s">
        <v>2505</v>
      </c>
      <c r="C78" t="s">
        <v>2506</v>
      </c>
      <c r="D78" t="s">
        <v>2507</v>
      </c>
      <c r="E78" t="s">
        <v>2508</v>
      </c>
      <c r="F78" t="s">
        <v>733</v>
      </c>
      <c r="G78">
        <v>102</v>
      </c>
      <c r="H78">
        <v>24250</v>
      </c>
      <c r="I78">
        <v>97</v>
      </c>
      <c r="J78">
        <v>0</v>
      </c>
    </row>
    <row r="79" spans="1:10" ht="15" customHeight="1" x14ac:dyDescent="0.25">
      <c r="A79" t="s">
        <v>2509</v>
      </c>
      <c r="B79" t="s">
        <v>2510</v>
      </c>
      <c r="C79" t="s">
        <v>2511</v>
      </c>
      <c r="D79" t="s">
        <v>2512</v>
      </c>
      <c r="E79" t="s">
        <v>2513</v>
      </c>
      <c r="F79" t="s">
        <v>733</v>
      </c>
      <c r="G79">
        <v>301</v>
      </c>
      <c r="H79">
        <v>600000</v>
      </c>
      <c r="I79">
        <v>4200</v>
      </c>
      <c r="J79">
        <v>0</v>
      </c>
    </row>
    <row r="80" spans="1:10" ht="15" customHeight="1" x14ac:dyDescent="0.25">
      <c r="A80" t="s">
        <v>2514</v>
      </c>
      <c r="B80" t="s">
        <v>2515</v>
      </c>
      <c r="C80" t="s">
        <v>2516</v>
      </c>
      <c r="D80" t="s">
        <v>2517</v>
      </c>
      <c r="E80" t="s">
        <v>2518</v>
      </c>
      <c r="F80" t="s">
        <v>733</v>
      </c>
      <c r="G80">
        <v>318</v>
      </c>
      <c r="H80">
        <v>250000</v>
      </c>
      <c r="I80">
        <v>2650</v>
      </c>
      <c r="J80">
        <v>0</v>
      </c>
    </row>
    <row r="81" spans="1:10" ht="15" customHeight="1" x14ac:dyDescent="0.25">
      <c r="A81">
        <v>74324260</v>
      </c>
      <c r="B81" t="s">
        <v>2519</v>
      </c>
      <c r="C81" t="s">
        <v>2520</v>
      </c>
      <c r="D81" t="s">
        <v>2521</v>
      </c>
      <c r="E81" t="s">
        <v>2522</v>
      </c>
      <c r="F81" t="s">
        <v>733</v>
      </c>
      <c r="G81">
        <v>304</v>
      </c>
      <c r="H81">
        <v>257400</v>
      </c>
      <c r="I81">
        <v>1596</v>
      </c>
      <c r="J81">
        <v>0</v>
      </c>
    </row>
    <row r="82" spans="1:10" ht="15" customHeight="1" x14ac:dyDescent="0.25">
      <c r="A82" t="s">
        <v>2523</v>
      </c>
      <c r="B82" t="s">
        <v>2524</v>
      </c>
      <c r="C82" t="s">
        <v>2525</v>
      </c>
      <c r="D82" t="s">
        <v>2526</v>
      </c>
      <c r="E82" t="s">
        <v>2527</v>
      </c>
      <c r="F82" t="s">
        <v>733</v>
      </c>
      <c r="G82">
        <v>318</v>
      </c>
      <c r="H82">
        <v>30000</v>
      </c>
      <c r="I82">
        <v>300</v>
      </c>
      <c r="J82">
        <v>0</v>
      </c>
    </row>
    <row r="83" spans="1:10" ht="15" customHeight="1" x14ac:dyDescent="0.25">
      <c r="A83">
        <v>1052388252</v>
      </c>
      <c r="B83" t="s">
        <v>2528</v>
      </c>
      <c r="C83" t="s">
        <v>2529</v>
      </c>
      <c r="D83">
        <v>3142435764</v>
      </c>
      <c r="E83" t="s">
        <v>2530</v>
      </c>
      <c r="F83" t="s">
        <v>733</v>
      </c>
      <c r="G83">
        <v>211</v>
      </c>
      <c r="H83">
        <v>27076</v>
      </c>
      <c r="I83">
        <v>217</v>
      </c>
      <c r="J83">
        <v>0</v>
      </c>
    </row>
    <row r="84" spans="1:10" ht="15" customHeight="1" x14ac:dyDescent="0.25">
      <c r="A84">
        <v>79533136</v>
      </c>
      <c r="B84" t="s">
        <v>2531</v>
      </c>
      <c r="C84" t="s">
        <v>2532</v>
      </c>
      <c r="D84">
        <v>3132560775</v>
      </c>
      <c r="E84" t="s">
        <v>2533</v>
      </c>
      <c r="F84" t="s">
        <v>733</v>
      </c>
      <c r="G84">
        <v>211</v>
      </c>
      <c r="H84">
        <v>27000</v>
      </c>
      <c r="I84">
        <v>216</v>
      </c>
      <c r="J84">
        <v>0</v>
      </c>
    </row>
    <row r="85" spans="1:10" ht="15" customHeight="1" x14ac:dyDescent="0.25">
      <c r="A85" t="s">
        <v>2534</v>
      </c>
      <c r="B85" t="s">
        <v>2535</v>
      </c>
      <c r="E85" t="s">
        <v>2536</v>
      </c>
      <c r="F85">
        <v>15516</v>
      </c>
      <c r="G85">
        <v>327</v>
      </c>
      <c r="H85">
        <v>33278078</v>
      </c>
      <c r="I85">
        <v>332781</v>
      </c>
      <c r="J85">
        <v>0</v>
      </c>
    </row>
    <row r="86" spans="1:10" ht="15" customHeight="1" x14ac:dyDescent="0.25">
      <c r="A86" t="s">
        <v>2537</v>
      </c>
      <c r="B86" t="s">
        <v>2538</v>
      </c>
      <c r="E86" t="s">
        <v>2539</v>
      </c>
      <c r="F86">
        <v>15516</v>
      </c>
      <c r="G86">
        <v>327</v>
      </c>
      <c r="H86">
        <v>38353252</v>
      </c>
      <c r="I86">
        <v>383533</v>
      </c>
      <c r="J86">
        <v>0</v>
      </c>
    </row>
    <row r="87" spans="1:10" ht="15" customHeight="1" x14ac:dyDescent="0.25">
      <c r="A87" t="s">
        <v>2540</v>
      </c>
      <c r="B87" t="s">
        <v>2541</v>
      </c>
      <c r="E87" t="s">
        <v>2542</v>
      </c>
      <c r="F87">
        <v>15516</v>
      </c>
      <c r="G87">
        <v>327</v>
      </c>
      <c r="H87">
        <v>10100000</v>
      </c>
      <c r="I87">
        <v>101000</v>
      </c>
      <c r="J87">
        <v>0</v>
      </c>
    </row>
    <row r="88" spans="1:10" ht="15" customHeight="1" x14ac:dyDescent="0.25">
      <c r="A88" t="s">
        <v>2543</v>
      </c>
      <c r="B88" t="s">
        <v>2544</v>
      </c>
      <c r="E88" t="s">
        <v>2545</v>
      </c>
      <c r="F88">
        <v>15516</v>
      </c>
      <c r="G88">
        <v>327</v>
      </c>
      <c r="H88">
        <v>33500222</v>
      </c>
      <c r="I88">
        <v>335002</v>
      </c>
      <c r="J88">
        <v>0</v>
      </c>
    </row>
    <row r="89" spans="1:10" ht="15" customHeight="1" x14ac:dyDescent="0.25">
      <c r="A89" t="s">
        <v>2546</v>
      </c>
      <c r="B89" t="s">
        <v>2547</v>
      </c>
      <c r="C89" t="s">
        <v>2548</v>
      </c>
      <c r="E89" t="s">
        <v>2549</v>
      </c>
      <c r="F89">
        <v>15516</v>
      </c>
      <c r="H89">
        <v>39284200</v>
      </c>
      <c r="I89">
        <v>0</v>
      </c>
      <c r="J89">
        <v>0</v>
      </c>
    </row>
    <row r="90" spans="1:10" ht="15" customHeight="1" x14ac:dyDescent="0.25">
      <c r="A90" t="s">
        <v>2550</v>
      </c>
      <c r="B90" t="s">
        <v>2551</v>
      </c>
      <c r="C90" t="s">
        <v>2552</v>
      </c>
      <c r="E90" t="s">
        <v>2553</v>
      </c>
      <c r="F90">
        <v>15516</v>
      </c>
      <c r="H90">
        <v>49622187</v>
      </c>
      <c r="I90">
        <v>0</v>
      </c>
      <c r="J90">
        <v>0</v>
      </c>
    </row>
    <row r="91" spans="1:10" ht="15" customHeight="1" x14ac:dyDescent="0.25">
      <c r="A91" t="s">
        <v>2554</v>
      </c>
      <c r="B91" t="s">
        <v>2555</v>
      </c>
      <c r="C91" t="s">
        <v>2556</v>
      </c>
      <c r="E91" t="s">
        <v>2557</v>
      </c>
      <c r="F91">
        <v>15516</v>
      </c>
      <c r="H91">
        <v>2731092</v>
      </c>
      <c r="I91">
        <v>0</v>
      </c>
      <c r="J91">
        <v>0</v>
      </c>
    </row>
    <row r="92" spans="1:10" ht="15" customHeight="1" x14ac:dyDescent="0.25">
      <c r="A92" t="s">
        <v>2558</v>
      </c>
      <c r="B92" t="s">
        <v>2559</v>
      </c>
      <c r="C92" t="s">
        <v>2560</v>
      </c>
      <c r="E92" t="s">
        <v>2561</v>
      </c>
      <c r="F92">
        <v>15516</v>
      </c>
      <c r="H92">
        <v>1796402</v>
      </c>
      <c r="I92">
        <v>0</v>
      </c>
      <c r="J92">
        <v>0</v>
      </c>
    </row>
    <row r="93" spans="1:10" ht="15" customHeight="1" x14ac:dyDescent="0.25">
      <c r="A93" t="s">
        <v>2562</v>
      </c>
      <c r="B93" t="s">
        <v>2563</v>
      </c>
      <c r="C93" t="s">
        <v>2564</v>
      </c>
      <c r="E93" t="s">
        <v>2565</v>
      </c>
      <c r="F93">
        <v>15516</v>
      </c>
      <c r="H93">
        <v>55020897</v>
      </c>
      <c r="I93">
        <v>0</v>
      </c>
      <c r="J93">
        <v>0</v>
      </c>
    </row>
    <row r="94" spans="1:10" ht="15" customHeight="1" x14ac:dyDescent="0.25">
      <c r="A94" t="s">
        <v>2566</v>
      </c>
      <c r="B94" t="s">
        <v>2567</v>
      </c>
      <c r="E94" t="s">
        <v>2568</v>
      </c>
      <c r="F94">
        <v>15001</v>
      </c>
      <c r="H94">
        <v>5000000</v>
      </c>
      <c r="I94">
        <v>0</v>
      </c>
      <c r="J94">
        <v>0</v>
      </c>
    </row>
    <row r="95" spans="1:10" ht="15" customHeight="1" x14ac:dyDescent="0.25">
      <c r="A95" t="s">
        <v>2569</v>
      </c>
      <c r="B95" t="s">
        <v>2570</v>
      </c>
      <c r="E95" t="s">
        <v>2571</v>
      </c>
      <c r="F95">
        <v>15001</v>
      </c>
      <c r="H95">
        <v>200000</v>
      </c>
      <c r="I95">
        <v>0</v>
      </c>
      <c r="J95">
        <v>0</v>
      </c>
    </row>
    <row r="96" spans="1:10" ht="15" customHeight="1" x14ac:dyDescent="0.25">
      <c r="A96" t="s">
        <v>2572</v>
      </c>
      <c r="B96" t="s">
        <v>2573</v>
      </c>
      <c r="C96" t="s">
        <v>2574</v>
      </c>
      <c r="E96" t="s">
        <v>2575</v>
      </c>
      <c r="F96">
        <v>15238</v>
      </c>
      <c r="H96">
        <v>11917100</v>
      </c>
      <c r="I96">
        <v>0</v>
      </c>
      <c r="J96">
        <v>0</v>
      </c>
    </row>
    <row r="97" spans="1:10" ht="15" customHeight="1" x14ac:dyDescent="0.25">
      <c r="A97" t="s">
        <v>2576</v>
      </c>
      <c r="B97" s="14" t="s">
        <v>2577</v>
      </c>
      <c r="C97" s="14" t="s">
        <v>3042</v>
      </c>
      <c r="E97" t="s">
        <v>2365</v>
      </c>
      <c r="F97" t="s">
        <v>552</v>
      </c>
      <c r="H97">
        <v>5319200</v>
      </c>
      <c r="I97">
        <v>0</v>
      </c>
      <c r="J97">
        <v>0</v>
      </c>
    </row>
    <row r="98" spans="1:10" ht="15" customHeight="1" x14ac:dyDescent="0.25">
      <c r="A98" t="s">
        <v>2578</v>
      </c>
      <c r="B98" t="s">
        <v>2579</v>
      </c>
      <c r="C98" t="s">
        <v>2580</v>
      </c>
      <c r="E98" t="s">
        <v>2581</v>
      </c>
      <c r="F98">
        <v>15087</v>
      </c>
      <c r="H98">
        <v>21864000</v>
      </c>
      <c r="I98">
        <v>0</v>
      </c>
      <c r="J98">
        <v>0</v>
      </c>
    </row>
    <row r="99" spans="1:10" ht="15" customHeight="1" x14ac:dyDescent="0.25">
      <c r="A99" t="s">
        <v>2582</v>
      </c>
      <c r="B99" t="s">
        <v>2583</v>
      </c>
      <c r="C99" t="s">
        <v>2584</v>
      </c>
      <c r="E99" t="s">
        <v>2585</v>
      </c>
      <c r="F99">
        <v>11001</v>
      </c>
      <c r="H99">
        <v>34949897</v>
      </c>
      <c r="I99">
        <v>0</v>
      </c>
      <c r="J99">
        <v>0</v>
      </c>
    </row>
    <row r="100" spans="1:10" ht="15" customHeight="1" x14ac:dyDescent="0.25">
      <c r="A100" t="s">
        <v>2586</v>
      </c>
      <c r="B100" t="s">
        <v>2587</v>
      </c>
      <c r="C100" t="s">
        <v>2588</v>
      </c>
      <c r="E100" t="s">
        <v>2589</v>
      </c>
      <c r="F100">
        <v>11001</v>
      </c>
      <c r="H100">
        <v>23818372</v>
      </c>
      <c r="I100">
        <v>0</v>
      </c>
      <c r="J100">
        <v>0</v>
      </c>
    </row>
    <row r="101" spans="1:10" ht="15" customHeight="1" x14ac:dyDescent="0.25">
      <c r="A101" t="s">
        <v>2590</v>
      </c>
      <c r="B101" t="s">
        <v>2591</v>
      </c>
      <c r="C101" t="s">
        <v>2592</v>
      </c>
      <c r="E101" t="s">
        <v>2593</v>
      </c>
      <c r="F101">
        <v>11001</v>
      </c>
      <c r="H101">
        <v>31799000</v>
      </c>
      <c r="I101">
        <v>0</v>
      </c>
      <c r="J101">
        <v>0</v>
      </c>
    </row>
    <row r="102" spans="1:10" ht="15" customHeight="1" x14ac:dyDescent="0.25">
      <c r="A102" t="s">
        <v>2594</v>
      </c>
      <c r="B102" t="s">
        <v>2595</v>
      </c>
      <c r="C102" t="s">
        <v>2596</v>
      </c>
      <c r="E102" t="s">
        <v>2597</v>
      </c>
      <c r="F102">
        <v>11001</v>
      </c>
      <c r="H102">
        <v>2199999</v>
      </c>
      <c r="I102">
        <v>0</v>
      </c>
      <c r="J102">
        <v>0</v>
      </c>
    </row>
    <row r="103" spans="1:10" ht="15" customHeight="1" x14ac:dyDescent="0.25">
      <c r="A103" t="s">
        <v>2598</v>
      </c>
      <c r="B103" t="s">
        <v>2599</v>
      </c>
      <c r="C103" t="s">
        <v>2600</v>
      </c>
      <c r="E103" t="s">
        <v>2601</v>
      </c>
      <c r="F103">
        <v>11001</v>
      </c>
      <c r="H103">
        <v>2031944</v>
      </c>
      <c r="I103">
        <v>0</v>
      </c>
      <c r="J103">
        <v>0</v>
      </c>
    </row>
    <row r="104" spans="1:10" ht="15" customHeight="1" x14ac:dyDescent="0.25">
      <c r="A104" t="s">
        <v>2602</v>
      </c>
      <c r="B104" t="s">
        <v>2603</v>
      </c>
      <c r="C104" t="s">
        <v>2604</v>
      </c>
      <c r="E104" t="s">
        <v>2605</v>
      </c>
      <c r="F104">
        <v>15001</v>
      </c>
      <c r="H104">
        <v>37380936</v>
      </c>
      <c r="I104">
        <v>0</v>
      </c>
      <c r="J104">
        <v>0</v>
      </c>
    </row>
    <row r="105" spans="1:10" ht="15" customHeight="1" x14ac:dyDescent="0.25">
      <c r="A105" t="s">
        <v>2606</v>
      </c>
      <c r="B105" t="s">
        <v>2607</v>
      </c>
      <c r="C105" t="s">
        <v>2608</v>
      </c>
      <c r="E105" t="s">
        <v>2609</v>
      </c>
      <c r="F105">
        <v>15001</v>
      </c>
      <c r="H105">
        <v>67091145</v>
      </c>
      <c r="I105">
        <v>0</v>
      </c>
      <c r="J105">
        <v>0</v>
      </c>
    </row>
    <row r="106" spans="1:10" ht="15" customHeight="1" x14ac:dyDescent="0.25">
      <c r="A106" t="s">
        <v>2610</v>
      </c>
      <c r="B106" t="s">
        <v>2611</v>
      </c>
      <c r="C106" t="s">
        <v>2612</v>
      </c>
      <c r="E106" t="s">
        <v>2613</v>
      </c>
      <c r="F106">
        <v>11001</v>
      </c>
      <c r="H106">
        <v>6260590</v>
      </c>
      <c r="I106">
        <v>0</v>
      </c>
      <c r="J106">
        <v>0</v>
      </c>
    </row>
    <row r="107" spans="1:10" ht="15" customHeight="1" x14ac:dyDescent="0.25">
      <c r="A107" t="s">
        <v>2614</v>
      </c>
      <c r="B107" t="s">
        <v>2615</v>
      </c>
      <c r="C107" t="s">
        <v>2616</v>
      </c>
      <c r="E107" t="s">
        <v>2617</v>
      </c>
      <c r="F107">
        <v>11001</v>
      </c>
      <c r="H107">
        <v>7279247</v>
      </c>
      <c r="I107">
        <v>0</v>
      </c>
      <c r="J107">
        <v>0</v>
      </c>
    </row>
    <row r="108" spans="1:10" ht="15" customHeight="1" x14ac:dyDescent="0.25">
      <c r="A108" t="s">
        <v>2618</v>
      </c>
      <c r="B108" t="s">
        <v>2619</v>
      </c>
      <c r="C108" t="s">
        <v>2620</v>
      </c>
      <c r="E108" t="s">
        <v>2621</v>
      </c>
      <c r="F108">
        <v>11001</v>
      </c>
      <c r="H108">
        <v>4193833</v>
      </c>
      <c r="I108">
        <v>0</v>
      </c>
      <c r="J108">
        <v>0</v>
      </c>
    </row>
    <row r="109" spans="1:10" ht="15" customHeight="1" x14ac:dyDescent="0.25">
      <c r="A109" t="s">
        <v>2622</v>
      </c>
      <c r="B109" t="s">
        <v>2623</v>
      </c>
      <c r="C109" t="s">
        <v>2624</v>
      </c>
      <c r="E109" t="s">
        <v>2625</v>
      </c>
      <c r="F109">
        <v>15001</v>
      </c>
      <c r="H109">
        <v>1406786</v>
      </c>
      <c r="I109">
        <v>0</v>
      </c>
      <c r="J109">
        <v>0</v>
      </c>
    </row>
    <row r="110" spans="1:10" ht="15" customHeight="1" x14ac:dyDescent="0.25">
      <c r="A110" t="s">
        <v>2626</v>
      </c>
      <c r="B110" t="s">
        <v>2627</v>
      </c>
      <c r="C110" t="s">
        <v>2628</v>
      </c>
      <c r="E110" t="s">
        <v>2629</v>
      </c>
      <c r="F110">
        <v>15001</v>
      </c>
      <c r="H110">
        <v>31180200</v>
      </c>
      <c r="I110">
        <v>0</v>
      </c>
      <c r="J110">
        <v>0</v>
      </c>
    </row>
    <row r="111" spans="1:10" ht="15" customHeight="1" x14ac:dyDescent="0.25">
      <c r="A111" t="s">
        <v>2630</v>
      </c>
      <c r="B111" t="s">
        <v>2631</v>
      </c>
      <c r="C111" t="s">
        <v>2632</v>
      </c>
      <c r="E111" t="s">
        <v>2633</v>
      </c>
      <c r="F111">
        <v>15001</v>
      </c>
      <c r="H111">
        <v>4905800</v>
      </c>
      <c r="I111">
        <v>0</v>
      </c>
      <c r="J111">
        <v>0</v>
      </c>
    </row>
    <row r="112" spans="1:10" ht="15" customHeight="1" x14ac:dyDescent="0.25">
      <c r="A112" t="s">
        <v>2634</v>
      </c>
      <c r="B112" t="s">
        <v>2635</v>
      </c>
      <c r="C112" t="s">
        <v>2636</v>
      </c>
      <c r="E112" t="s">
        <v>2637</v>
      </c>
      <c r="F112">
        <v>11001</v>
      </c>
      <c r="H112">
        <v>1331734</v>
      </c>
      <c r="I112">
        <v>0</v>
      </c>
      <c r="J112">
        <v>0</v>
      </c>
    </row>
    <row r="113" spans="1:10" ht="15" customHeight="1" x14ac:dyDescent="0.25">
      <c r="A113" t="s">
        <v>2638</v>
      </c>
      <c r="B113" t="s">
        <v>2639</v>
      </c>
      <c r="C113" t="s">
        <v>2640</v>
      </c>
      <c r="E113" t="s">
        <v>2641</v>
      </c>
      <c r="F113">
        <v>5001</v>
      </c>
      <c r="H113">
        <v>1183680</v>
      </c>
      <c r="I113">
        <v>0</v>
      </c>
      <c r="J113">
        <v>0</v>
      </c>
    </row>
    <row r="114" spans="1:10" ht="15" customHeight="1" x14ac:dyDescent="0.25">
      <c r="A114" t="s">
        <v>2642</v>
      </c>
      <c r="B114" t="s">
        <v>2643</v>
      </c>
      <c r="C114" t="s">
        <v>2644</v>
      </c>
      <c r="E114" t="s">
        <v>2645</v>
      </c>
      <c r="F114">
        <v>11001</v>
      </c>
      <c r="H114">
        <v>2165860</v>
      </c>
      <c r="I114">
        <v>0</v>
      </c>
      <c r="J114">
        <v>0</v>
      </c>
    </row>
    <row r="115" spans="1:10" ht="15" customHeight="1" x14ac:dyDescent="0.25">
      <c r="A115" t="s">
        <v>2646</v>
      </c>
      <c r="B115" t="s">
        <v>2647</v>
      </c>
      <c r="C115" t="s">
        <v>2648</v>
      </c>
      <c r="E115" t="s">
        <v>2649</v>
      </c>
      <c r="F115">
        <v>15001</v>
      </c>
      <c r="H115">
        <v>50837590</v>
      </c>
      <c r="I115">
        <v>0</v>
      </c>
      <c r="J115">
        <v>0</v>
      </c>
    </row>
    <row r="116" spans="1:10" ht="15" customHeight="1" x14ac:dyDescent="0.25">
      <c r="A116" t="s">
        <v>2650</v>
      </c>
      <c r="B116" t="s">
        <v>2651</v>
      </c>
      <c r="C116" t="s">
        <v>2652</v>
      </c>
      <c r="E116" t="s">
        <v>2653</v>
      </c>
      <c r="F116">
        <v>15001</v>
      </c>
      <c r="H116">
        <v>90413570</v>
      </c>
      <c r="I116">
        <v>0</v>
      </c>
      <c r="J116">
        <v>0</v>
      </c>
    </row>
    <row r="117" spans="1:10" ht="15" customHeight="1" x14ac:dyDescent="0.25">
      <c r="A117" t="s">
        <v>2654</v>
      </c>
      <c r="B117" t="s">
        <v>2655</v>
      </c>
      <c r="C117" t="s">
        <v>2656</v>
      </c>
      <c r="E117" t="s">
        <v>2657</v>
      </c>
      <c r="F117">
        <v>76001</v>
      </c>
      <c r="H117">
        <v>5831570</v>
      </c>
      <c r="I117">
        <v>0</v>
      </c>
      <c r="J117">
        <v>0</v>
      </c>
    </row>
    <row r="118" spans="1:10" ht="15" customHeight="1" x14ac:dyDescent="0.25">
      <c r="A118" t="s">
        <v>2658</v>
      </c>
      <c r="B118" t="s">
        <v>2659</v>
      </c>
      <c r="C118" t="s">
        <v>2660</v>
      </c>
      <c r="E118" t="s">
        <v>2661</v>
      </c>
      <c r="F118">
        <v>11001</v>
      </c>
      <c r="H118">
        <v>1350294</v>
      </c>
      <c r="I118">
        <v>0</v>
      </c>
      <c r="J118">
        <v>0</v>
      </c>
    </row>
    <row r="119" spans="1:10" ht="15" customHeight="1" x14ac:dyDescent="0.25">
      <c r="A119" t="s">
        <v>2662</v>
      </c>
      <c r="B119" t="s">
        <v>2663</v>
      </c>
      <c r="C119" t="s">
        <v>2664</v>
      </c>
      <c r="E119" t="s">
        <v>2665</v>
      </c>
      <c r="F119">
        <v>15001</v>
      </c>
      <c r="H119">
        <v>1500000</v>
      </c>
      <c r="I119">
        <v>0</v>
      </c>
      <c r="J119">
        <v>0</v>
      </c>
    </row>
    <row r="120" spans="1:10" ht="15" customHeight="1" x14ac:dyDescent="0.25">
      <c r="A120" t="s">
        <v>2666</v>
      </c>
      <c r="B120" t="s">
        <v>2667</v>
      </c>
      <c r="C120" t="s">
        <v>2668</v>
      </c>
      <c r="E120" t="s">
        <v>2669</v>
      </c>
      <c r="F120">
        <v>15001</v>
      </c>
      <c r="H120">
        <v>16513249</v>
      </c>
      <c r="I120">
        <v>0</v>
      </c>
      <c r="J120">
        <v>0</v>
      </c>
    </row>
    <row r="121" spans="1:10" ht="15" customHeight="1" x14ac:dyDescent="0.25">
      <c r="A121" t="s">
        <v>2670</v>
      </c>
      <c r="B121" t="s">
        <v>2671</v>
      </c>
      <c r="C121" t="s">
        <v>2672</v>
      </c>
      <c r="E121" t="s">
        <v>2673</v>
      </c>
      <c r="F121">
        <v>11001</v>
      </c>
      <c r="H121">
        <v>69628960</v>
      </c>
      <c r="I121">
        <v>0</v>
      </c>
      <c r="J121">
        <v>0</v>
      </c>
    </row>
    <row r="122" spans="1:10" ht="15" customHeight="1" x14ac:dyDescent="0.25">
      <c r="A122" t="s">
        <v>2674</v>
      </c>
      <c r="B122" t="s">
        <v>2675</v>
      </c>
      <c r="C122" t="s">
        <v>2676</v>
      </c>
      <c r="E122" t="s">
        <v>2677</v>
      </c>
      <c r="F122">
        <v>5001</v>
      </c>
      <c r="H122">
        <v>33624909</v>
      </c>
      <c r="I122">
        <v>0</v>
      </c>
      <c r="J122">
        <v>0</v>
      </c>
    </row>
    <row r="123" spans="1:10" ht="15" customHeight="1" x14ac:dyDescent="0.25">
      <c r="A123" t="s">
        <v>2678</v>
      </c>
      <c r="B123" t="s">
        <v>2679</v>
      </c>
      <c r="C123" t="s">
        <v>2680</v>
      </c>
      <c r="E123" t="s">
        <v>2681</v>
      </c>
      <c r="F123">
        <v>11001</v>
      </c>
      <c r="H123">
        <v>5494800</v>
      </c>
      <c r="I123">
        <v>0</v>
      </c>
      <c r="J123">
        <v>0</v>
      </c>
    </row>
    <row r="124" spans="1:10" ht="15" customHeight="1" x14ac:dyDescent="0.25">
      <c r="A124" t="s">
        <v>2682</v>
      </c>
      <c r="B124" t="s">
        <v>2683</v>
      </c>
      <c r="C124" t="s">
        <v>2684</v>
      </c>
      <c r="E124" t="s">
        <v>2685</v>
      </c>
      <c r="F124">
        <v>11001</v>
      </c>
      <c r="H124">
        <v>7214729</v>
      </c>
      <c r="I124">
        <v>0</v>
      </c>
      <c r="J124">
        <v>0</v>
      </c>
    </row>
    <row r="125" spans="1:10" ht="15" customHeight="1" x14ac:dyDescent="0.25">
      <c r="A125" t="s">
        <v>2686</v>
      </c>
      <c r="B125" t="s">
        <v>2687</v>
      </c>
      <c r="C125" t="s">
        <v>2688</v>
      </c>
      <c r="E125" t="s">
        <v>2689</v>
      </c>
      <c r="F125">
        <v>11001</v>
      </c>
      <c r="H125">
        <v>1014384</v>
      </c>
      <c r="I125">
        <v>0</v>
      </c>
      <c r="J125">
        <v>0</v>
      </c>
    </row>
    <row r="126" spans="1:10" ht="15" customHeight="1" x14ac:dyDescent="0.25">
      <c r="A126" t="s">
        <v>2690</v>
      </c>
      <c r="B126" t="s">
        <v>2691</v>
      </c>
      <c r="C126" t="s">
        <v>2692</v>
      </c>
      <c r="E126" t="s">
        <v>2693</v>
      </c>
      <c r="F126">
        <v>11001</v>
      </c>
      <c r="H126">
        <v>9476806</v>
      </c>
      <c r="I126">
        <v>0</v>
      </c>
      <c r="J126">
        <v>0</v>
      </c>
    </row>
    <row r="127" spans="1:10" ht="15" customHeight="1" x14ac:dyDescent="0.25">
      <c r="A127" t="s">
        <v>2694</v>
      </c>
      <c r="B127" t="s">
        <v>2695</v>
      </c>
      <c r="C127" t="s">
        <v>2696</v>
      </c>
      <c r="E127" t="s">
        <v>2697</v>
      </c>
      <c r="F127">
        <v>11001</v>
      </c>
      <c r="H127">
        <v>18093875</v>
      </c>
      <c r="I127">
        <v>0</v>
      </c>
      <c r="J127">
        <v>0</v>
      </c>
    </row>
    <row r="128" spans="1:10" ht="15" customHeight="1" x14ac:dyDescent="0.25">
      <c r="A128" t="s">
        <v>2698</v>
      </c>
      <c r="B128" t="s">
        <v>2699</v>
      </c>
      <c r="C128" t="s">
        <v>2700</v>
      </c>
      <c r="E128" t="s">
        <v>2701</v>
      </c>
      <c r="F128">
        <v>11001</v>
      </c>
      <c r="H128">
        <v>6748290</v>
      </c>
      <c r="I128">
        <v>0</v>
      </c>
      <c r="J128">
        <v>0</v>
      </c>
    </row>
    <row r="129" spans="1:10" ht="15" customHeight="1" x14ac:dyDescent="0.25">
      <c r="A129" t="s">
        <v>2702</v>
      </c>
      <c r="B129" t="s">
        <v>2703</v>
      </c>
      <c r="C129" t="s">
        <v>2704</v>
      </c>
      <c r="E129" t="s">
        <v>2705</v>
      </c>
      <c r="F129">
        <v>11001</v>
      </c>
      <c r="H129">
        <v>24098300</v>
      </c>
      <c r="I129">
        <v>0</v>
      </c>
      <c r="J129">
        <v>0</v>
      </c>
    </row>
    <row r="130" spans="1:10" ht="15" customHeight="1" x14ac:dyDescent="0.25">
      <c r="A130" t="s">
        <v>2706</v>
      </c>
      <c r="B130" t="s">
        <v>2707</v>
      </c>
      <c r="C130" t="s">
        <v>2708</v>
      </c>
      <c r="E130" t="s">
        <v>2709</v>
      </c>
      <c r="F130">
        <v>15001</v>
      </c>
      <c r="H130">
        <v>311966756</v>
      </c>
      <c r="I130">
        <v>0</v>
      </c>
      <c r="J130">
        <v>0</v>
      </c>
    </row>
    <row r="131" spans="1:10" ht="15" customHeight="1" x14ac:dyDescent="0.25">
      <c r="A131" t="s">
        <v>2710</v>
      </c>
      <c r="B131" t="s">
        <v>2711</v>
      </c>
      <c r="C131" t="s">
        <v>2712</v>
      </c>
      <c r="E131" t="s">
        <v>2713</v>
      </c>
      <c r="F131">
        <v>15001</v>
      </c>
      <c r="H131">
        <v>993528</v>
      </c>
      <c r="I131">
        <v>0</v>
      </c>
      <c r="J131">
        <v>0</v>
      </c>
    </row>
    <row r="132" spans="1:10" ht="15" customHeight="1" x14ac:dyDescent="0.25">
      <c r="A132" t="s">
        <v>2714</v>
      </c>
      <c r="B132" t="s">
        <v>2715</v>
      </c>
      <c r="C132" t="s">
        <v>2716</v>
      </c>
      <c r="E132" t="s">
        <v>2717</v>
      </c>
      <c r="F132">
        <v>15001</v>
      </c>
      <c r="H132">
        <v>7077312</v>
      </c>
      <c r="I132">
        <v>0</v>
      </c>
      <c r="J132">
        <v>0</v>
      </c>
    </row>
    <row r="133" spans="1:10" ht="15" customHeight="1" x14ac:dyDescent="0.25">
      <c r="A133" t="s">
        <v>2718</v>
      </c>
      <c r="B133" t="s">
        <v>2719</v>
      </c>
      <c r="C133" t="s">
        <v>2720</v>
      </c>
      <c r="E133" t="s">
        <v>2721</v>
      </c>
      <c r="F133">
        <v>15001</v>
      </c>
      <c r="H133">
        <v>17639552</v>
      </c>
      <c r="I133">
        <v>0</v>
      </c>
      <c r="J133">
        <v>0</v>
      </c>
    </row>
    <row r="134" spans="1:10" ht="15" customHeight="1" x14ac:dyDescent="0.25">
      <c r="A134" t="s">
        <v>2722</v>
      </c>
      <c r="B134" t="s">
        <v>2723</v>
      </c>
      <c r="C134" t="s">
        <v>2724</v>
      </c>
      <c r="E134" t="s">
        <v>2725</v>
      </c>
      <c r="F134">
        <v>11001</v>
      </c>
      <c r="H134">
        <v>13261820</v>
      </c>
      <c r="I134">
        <v>0</v>
      </c>
      <c r="J134">
        <v>0</v>
      </c>
    </row>
    <row r="135" spans="1:10" ht="15" customHeight="1" x14ac:dyDescent="0.25">
      <c r="A135" t="s">
        <v>2726</v>
      </c>
      <c r="B135" t="s">
        <v>2727</v>
      </c>
      <c r="C135" t="s">
        <v>2728</v>
      </c>
      <c r="E135" t="s">
        <v>2729</v>
      </c>
      <c r="F135">
        <v>11001</v>
      </c>
      <c r="H135">
        <v>1550000</v>
      </c>
      <c r="I135">
        <v>0</v>
      </c>
      <c r="J135">
        <v>0</v>
      </c>
    </row>
    <row r="136" spans="1:10" ht="15" customHeight="1" x14ac:dyDescent="0.25">
      <c r="A136" t="s">
        <v>2730</v>
      </c>
      <c r="B136" t="s">
        <v>2731</v>
      </c>
      <c r="C136" t="s">
        <v>2732</v>
      </c>
      <c r="E136" t="s">
        <v>2733</v>
      </c>
      <c r="F136">
        <v>11001</v>
      </c>
      <c r="H136">
        <v>28004828</v>
      </c>
      <c r="I136">
        <v>0</v>
      </c>
      <c r="J136">
        <v>0</v>
      </c>
    </row>
    <row r="137" spans="1:10" ht="15" customHeight="1" x14ac:dyDescent="0.25">
      <c r="A137" t="s">
        <v>2734</v>
      </c>
      <c r="B137" t="s">
        <v>2735</v>
      </c>
      <c r="C137" t="s">
        <v>2736</v>
      </c>
      <c r="E137" t="s">
        <v>2737</v>
      </c>
      <c r="F137">
        <v>17001</v>
      </c>
      <c r="H137">
        <v>1166000</v>
      </c>
      <c r="I137">
        <v>0</v>
      </c>
      <c r="J137">
        <v>0</v>
      </c>
    </row>
    <row r="138" spans="1:10" ht="15" customHeight="1" x14ac:dyDescent="0.25">
      <c r="A138" t="s">
        <v>2738</v>
      </c>
      <c r="B138" t="s">
        <v>2739</v>
      </c>
      <c r="C138" t="s">
        <v>2740</v>
      </c>
      <c r="E138" t="s">
        <v>2741</v>
      </c>
      <c r="F138">
        <v>11001</v>
      </c>
      <c r="H138">
        <v>5792952</v>
      </c>
      <c r="I138">
        <v>0</v>
      </c>
      <c r="J138">
        <v>0</v>
      </c>
    </row>
    <row r="139" spans="1:10" ht="15" customHeight="1" x14ac:dyDescent="0.25">
      <c r="A139" t="s">
        <v>2738</v>
      </c>
      <c r="B139" t="s">
        <v>2739</v>
      </c>
      <c r="C139" t="s">
        <v>2740</v>
      </c>
      <c r="E139" t="s">
        <v>2741</v>
      </c>
      <c r="F139">
        <v>11001</v>
      </c>
      <c r="H139">
        <v>49575186</v>
      </c>
      <c r="I139">
        <v>0</v>
      </c>
      <c r="J139">
        <v>0</v>
      </c>
    </row>
    <row r="140" spans="1:10" ht="15" customHeight="1" x14ac:dyDescent="0.25">
      <c r="A140" t="s">
        <v>2742</v>
      </c>
      <c r="B140" t="s">
        <v>2743</v>
      </c>
      <c r="C140" t="s">
        <v>2744</v>
      </c>
      <c r="E140" t="s">
        <v>2745</v>
      </c>
      <c r="F140">
        <v>11001</v>
      </c>
      <c r="H140">
        <v>3050000</v>
      </c>
      <c r="I140">
        <v>0</v>
      </c>
      <c r="J140">
        <v>0</v>
      </c>
    </row>
    <row r="141" spans="1:10" ht="15" customHeight="1" x14ac:dyDescent="0.25">
      <c r="A141" t="s">
        <v>2746</v>
      </c>
      <c r="B141" t="s">
        <v>2747</v>
      </c>
      <c r="C141" t="s">
        <v>2748</v>
      </c>
      <c r="E141" t="s">
        <v>2749</v>
      </c>
      <c r="F141">
        <v>11001</v>
      </c>
      <c r="H141">
        <v>7876341</v>
      </c>
      <c r="I141">
        <v>0</v>
      </c>
      <c r="J141">
        <v>0</v>
      </c>
    </row>
    <row r="142" spans="1:10" ht="15" customHeight="1" x14ac:dyDescent="0.25">
      <c r="A142" t="s">
        <v>2750</v>
      </c>
      <c r="B142" t="s">
        <v>2751</v>
      </c>
      <c r="C142" t="s">
        <v>2752</v>
      </c>
      <c r="E142" t="s">
        <v>2753</v>
      </c>
      <c r="F142">
        <v>11001</v>
      </c>
      <c r="H142">
        <v>3129900</v>
      </c>
      <c r="I142">
        <v>0</v>
      </c>
      <c r="J142">
        <v>0</v>
      </c>
    </row>
    <row r="143" spans="1:10" ht="15" customHeight="1" x14ac:dyDescent="0.25">
      <c r="A143" t="s">
        <v>2754</v>
      </c>
      <c r="B143" t="s">
        <v>2755</v>
      </c>
      <c r="C143" t="s">
        <v>2756</v>
      </c>
      <c r="E143" t="s">
        <v>2757</v>
      </c>
      <c r="F143">
        <v>11001</v>
      </c>
      <c r="H143">
        <v>1347425</v>
      </c>
      <c r="I143">
        <v>0</v>
      </c>
      <c r="J143">
        <v>0</v>
      </c>
    </row>
    <row r="144" spans="1:10" ht="15" customHeight="1" x14ac:dyDescent="0.25">
      <c r="A144" t="s">
        <v>2758</v>
      </c>
      <c r="B144" t="s">
        <v>2759</v>
      </c>
      <c r="C144" t="s">
        <v>2760</v>
      </c>
      <c r="E144" t="s">
        <v>2761</v>
      </c>
      <c r="F144">
        <v>11001</v>
      </c>
      <c r="H144">
        <v>1849000</v>
      </c>
      <c r="I144">
        <v>0</v>
      </c>
      <c r="J144">
        <v>0</v>
      </c>
    </row>
    <row r="145" spans="1:10" ht="15" customHeight="1" x14ac:dyDescent="0.25">
      <c r="A145" t="s">
        <v>2762</v>
      </c>
      <c r="B145" t="s">
        <v>2763</v>
      </c>
      <c r="C145" t="s">
        <v>2764</v>
      </c>
      <c r="E145" t="s">
        <v>2765</v>
      </c>
      <c r="F145">
        <v>11001</v>
      </c>
      <c r="H145">
        <v>7419000</v>
      </c>
      <c r="I145">
        <v>0</v>
      </c>
      <c r="J145">
        <v>0</v>
      </c>
    </row>
    <row r="146" spans="1:10" ht="15" customHeight="1" x14ac:dyDescent="0.25">
      <c r="A146" t="s">
        <v>2766</v>
      </c>
      <c r="B146" t="s">
        <v>2767</v>
      </c>
      <c r="C146" t="s">
        <v>2768</v>
      </c>
      <c r="E146" t="s">
        <v>2769</v>
      </c>
      <c r="F146">
        <v>11001</v>
      </c>
      <c r="H146">
        <v>10476979</v>
      </c>
      <c r="I146">
        <v>0</v>
      </c>
      <c r="J146">
        <v>0</v>
      </c>
    </row>
    <row r="147" spans="1:10" ht="15" customHeight="1" x14ac:dyDescent="0.25">
      <c r="A147" t="s">
        <v>2770</v>
      </c>
      <c r="B147" t="s">
        <v>2771</v>
      </c>
      <c r="C147" t="s">
        <v>2772</v>
      </c>
      <c r="E147" t="s">
        <v>2773</v>
      </c>
      <c r="F147">
        <v>11001</v>
      </c>
      <c r="H147">
        <v>6463949</v>
      </c>
      <c r="I147">
        <v>0</v>
      </c>
      <c r="J147">
        <v>0</v>
      </c>
    </row>
    <row r="148" spans="1:10" ht="15" customHeight="1" x14ac:dyDescent="0.25">
      <c r="A148" t="s">
        <v>2774</v>
      </c>
      <c r="B148" t="s">
        <v>2775</v>
      </c>
      <c r="C148" t="s">
        <v>2776</v>
      </c>
      <c r="E148" t="s">
        <v>2777</v>
      </c>
      <c r="F148">
        <v>13001</v>
      </c>
      <c r="H148">
        <v>1002000</v>
      </c>
      <c r="I148">
        <v>0</v>
      </c>
      <c r="J148">
        <v>0</v>
      </c>
    </row>
    <row r="149" spans="1:10" ht="15" customHeight="1" x14ac:dyDescent="0.25">
      <c r="A149" t="s">
        <v>2778</v>
      </c>
      <c r="B149" t="s">
        <v>2779</v>
      </c>
      <c r="C149" t="s">
        <v>2780</v>
      </c>
      <c r="E149" t="s">
        <v>2781</v>
      </c>
      <c r="F149">
        <v>11001</v>
      </c>
      <c r="H149">
        <v>11813600</v>
      </c>
      <c r="I149">
        <v>0</v>
      </c>
      <c r="J149">
        <v>0</v>
      </c>
    </row>
    <row r="150" spans="1:10" ht="15" customHeight="1" x14ac:dyDescent="0.25">
      <c r="A150" t="s">
        <v>2782</v>
      </c>
      <c r="B150" t="s">
        <v>2783</v>
      </c>
      <c r="C150" t="s">
        <v>2784</v>
      </c>
      <c r="E150" t="s">
        <v>2785</v>
      </c>
      <c r="F150">
        <v>11001</v>
      </c>
      <c r="H150">
        <v>672050</v>
      </c>
      <c r="I150">
        <v>0</v>
      </c>
      <c r="J150">
        <v>0</v>
      </c>
    </row>
    <row r="151" spans="1:10" ht="15" customHeight="1" x14ac:dyDescent="0.25">
      <c r="A151" t="s">
        <v>2786</v>
      </c>
      <c r="B151" t="s">
        <v>2787</v>
      </c>
      <c r="C151" t="s">
        <v>2788</v>
      </c>
      <c r="E151" t="s">
        <v>2789</v>
      </c>
      <c r="F151">
        <v>15001</v>
      </c>
      <c r="H151">
        <v>4172655</v>
      </c>
      <c r="I151">
        <v>0</v>
      </c>
      <c r="J151">
        <v>0</v>
      </c>
    </row>
    <row r="152" spans="1:10" ht="15" customHeight="1" x14ac:dyDescent="0.25">
      <c r="A152" t="s">
        <v>2790</v>
      </c>
      <c r="B152" t="s">
        <v>2791</v>
      </c>
      <c r="C152" t="s">
        <v>2792</v>
      </c>
      <c r="E152" t="s">
        <v>2793</v>
      </c>
      <c r="F152">
        <v>11001</v>
      </c>
      <c r="H152">
        <v>6683492</v>
      </c>
      <c r="I152">
        <v>0</v>
      </c>
      <c r="J152">
        <v>0</v>
      </c>
    </row>
    <row r="153" spans="1:10" ht="15" customHeight="1" x14ac:dyDescent="0.25">
      <c r="A153" t="s">
        <v>2794</v>
      </c>
      <c r="B153" t="s">
        <v>2795</v>
      </c>
      <c r="C153" t="s">
        <v>2796</v>
      </c>
      <c r="E153" t="s">
        <v>2797</v>
      </c>
      <c r="F153">
        <v>11001</v>
      </c>
      <c r="H153">
        <v>5193150</v>
      </c>
      <c r="I153">
        <v>0</v>
      </c>
      <c r="J153">
        <v>0</v>
      </c>
    </row>
    <row r="154" spans="1:10" ht="15" customHeight="1" x14ac:dyDescent="0.25">
      <c r="A154" t="s">
        <v>2798</v>
      </c>
      <c r="B154" t="s">
        <v>2799</v>
      </c>
      <c r="C154" t="s">
        <v>2800</v>
      </c>
      <c r="E154" t="s">
        <v>2801</v>
      </c>
      <c r="F154">
        <v>15001</v>
      </c>
      <c r="H154">
        <v>1200000</v>
      </c>
      <c r="I154">
        <v>0</v>
      </c>
      <c r="J154">
        <v>0</v>
      </c>
    </row>
    <row r="155" spans="1:10" ht="15" customHeight="1" x14ac:dyDescent="0.25">
      <c r="A155" t="s">
        <v>2802</v>
      </c>
      <c r="B155" t="s">
        <v>2803</v>
      </c>
      <c r="C155" t="s">
        <v>2804</v>
      </c>
      <c r="E155" t="s">
        <v>2805</v>
      </c>
      <c r="F155">
        <v>76001</v>
      </c>
      <c r="H155">
        <v>62069490</v>
      </c>
      <c r="I155">
        <v>0</v>
      </c>
      <c r="J155">
        <v>0</v>
      </c>
    </row>
    <row r="156" spans="1:10" ht="15" customHeight="1" x14ac:dyDescent="0.25">
      <c r="A156" t="s">
        <v>2806</v>
      </c>
      <c r="B156" t="s">
        <v>2807</v>
      </c>
      <c r="C156" t="s">
        <v>2808</v>
      </c>
      <c r="E156" t="s">
        <v>2809</v>
      </c>
      <c r="F156">
        <v>11001</v>
      </c>
      <c r="H156">
        <v>28048162</v>
      </c>
      <c r="I156">
        <v>0</v>
      </c>
      <c r="J156">
        <v>0</v>
      </c>
    </row>
    <row r="157" spans="1:10" ht="15" customHeight="1" x14ac:dyDescent="0.25">
      <c r="A157" t="s">
        <v>2810</v>
      </c>
      <c r="B157" t="s">
        <v>2811</v>
      </c>
      <c r="C157" t="s">
        <v>2812</v>
      </c>
      <c r="E157" t="s">
        <v>2813</v>
      </c>
      <c r="F157">
        <v>11001</v>
      </c>
      <c r="H157">
        <v>147137540</v>
      </c>
      <c r="I157">
        <v>0</v>
      </c>
      <c r="J157">
        <v>0</v>
      </c>
    </row>
    <row r="158" spans="1:10" ht="15" customHeight="1" x14ac:dyDescent="0.25">
      <c r="A158" t="s">
        <v>2814</v>
      </c>
      <c r="B158" t="s">
        <v>2815</v>
      </c>
      <c r="C158" t="s">
        <v>2816</v>
      </c>
      <c r="E158" t="s">
        <v>2817</v>
      </c>
      <c r="F158">
        <v>11001</v>
      </c>
      <c r="H158">
        <v>2055701</v>
      </c>
      <c r="I158">
        <v>0</v>
      </c>
      <c r="J158">
        <v>0</v>
      </c>
    </row>
    <row r="159" spans="1:10" ht="15" customHeight="1" x14ac:dyDescent="0.25">
      <c r="A159" t="s">
        <v>2818</v>
      </c>
      <c r="B159" t="s">
        <v>2819</v>
      </c>
      <c r="C159" t="s">
        <v>2820</v>
      </c>
      <c r="E159" t="s">
        <v>2821</v>
      </c>
      <c r="F159">
        <v>15001</v>
      </c>
      <c r="H159">
        <v>690000</v>
      </c>
      <c r="I159">
        <v>0</v>
      </c>
      <c r="J159">
        <v>0</v>
      </c>
    </row>
    <row r="160" spans="1:10" ht="15" customHeight="1" x14ac:dyDescent="0.25">
      <c r="A160" t="s">
        <v>2822</v>
      </c>
      <c r="B160" t="s">
        <v>2823</v>
      </c>
      <c r="C160" t="s">
        <v>2824</v>
      </c>
      <c r="E160" t="s">
        <v>2825</v>
      </c>
      <c r="F160">
        <v>15001</v>
      </c>
      <c r="H160">
        <v>1800000</v>
      </c>
      <c r="I160">
        <v>0</v>
      </c>
      <c r="J160">
        <v>0</v>
      </c>
    </row>
    <row r="161" spans="1:10" ht="15" customHeight="1" x14ac:dyDescent="0.25">
      <c r="A161" t="s">
        <v>2826</v>
      </c>
      <c r="B161" t="s">
        <v>2827</v>
      </c>
      <c r="C161" t="s">
        <v>2828</v>
      </c>
      <c r="E161" t="s">
        <v>2829</v>
      </c>
      <c r="F161">
        <v>11001</v>
      </c>
      <c r="H161">
        <v>3770000</v>
      </c>
      <c r="I161">
        <v>0</v>
      </c>
      <c r="J161">
        <v>0</v>
      </c>
    </row>
    <row r="162" spans="1:10" ht="15" customHeight="1" x14ac:dyDescent="0.25">
      <c r="A162" t="s">
        <v>2830</v>
      </c>
      <c r="B162" t="s">
        <v>2831</v>
      </c>
      <c r="C162" t="s">
        <v>2832</v>
      </c>
      <c r="E162" t="s">
        <v>2833</v>
      </c>
      <c r="F162">
        <v>15001</v>
      </c>
      <c r="H162">
        <v>2327500</v>
      </c>
      <c r="I162">
        <v>0</v>
      </c>
      <c r="J162">
        <v>0</v>
      </c>
    </row>
    <row r="163" spans="1:10" ht="15" customHeight="1" x14ac:dyDescent="0.25">
      <c r="A163" t="s">
        <v>2834</v>
      </c>
      <c r="B163" t="s">
        <v>2835</v>
      </c>
      <c r="C163" t="s">
        <v>2836</v>
      </c>
      <c r="E163" t="s">
        <v>2837</v>
      </c>
      <c r="F163">
        <v>11001</v>
      </c>
      <c r="H163">
        <v>4000000</v>
      </c>
      <c r="I163">
        <v>0</v>
      </c>
      <c r="J163">
        <v>0</v>
      </c>
    </row>
    <row r="164" spans="1:10" ht="15" customHeight="1" x14ac:dyDescent="0.25">
      <c r="A164" t="s">
        <v>2838</v>
      </c>
      <c r="B164" t="s">
        <v>2839</v>
      </c>
      <c r="C164" t="s">
        <v>2840</v>
      </c>
      <c r="E164" t="s">
        <v>2841</v>
      </c>
      <c r="F164">
        <v>11001</v>
      </c>
      <c r="H164">
        <v>1710000</v>
      </c>
      <c r="I164">
        <v>0</v>
      </c>
      <c r="J164">
        <v>0</v>
      </c>
    </row>
    <row r="165" spans="1:10" ht="15" customHeight="1" x14ac:dyDescent="0.25">
      <c r="A165" t="s">
        <v>2842</v>
      </c>
      <c r="B165" t="s">
        <v>2843</v>
      </c>
      <c r="C165" t="s">
        <v>2844</v>
      </c>
      <c r="E165" t="s">
        <v>2845</v>
      </c>
      <c r="F165">
        <v>15001</v>
      </c>
      <c r="H165">
        <v>154850420</v>
      </c>
      <c r="I165">
        <v>0</v>
      </c>
      <c r="J165">
        <v>0</v>
      </c>
    </row>
    <row r="166" spans="1:10" ht="15" customHeight="1" x14ac:dyDescent="0.25">
      <c r="A166" t="s">
        <v>2846</v>
      </c>
      <c r="B166" t="s">
        <v>2847</v>
      </c>
      <c r="C166" t="s">
        <v>2848</v>
      </c>
      <c r="E166" t="s">
        <v>2849</v>
      </c>
      <c r="F166">
        <v>11001</v>
      </c>
      <c r="H166">
        <v>2550000</v>
      </c>
      <c r="I166">
        <v>0</v>
      </c>
      <c r="J166">
        <v>0</v>
      </c>
    </row>
    <row r="167" spans="1:10" ht="15" customHeight="1" x14ac:dyDescent="0.25">
      <c r="A167" t="s">
        <v>2850</v>
      </c>
      <c r="B167" t="s">
        <v>2851</v>
      </c>
      <c r="C167" t="s">
        <v>2852</v>
      </c>
      <c r="E167" t="s">
        <v>2853</v>
      </c>
      <c r="F167">
        <v>15001</v>
      </c>
      <c r="H167">
        <v>1010000</v>
      </c>
      <c r="I167">
        <v>0</v>
      </c>
      <c r="J167">
        <v>0</v>
      </c>
    </row>
    <row r="168" spans="1:10" ht="15" customHeight="1" x14ac:dyDescent="0.25">
      <c r="A168" t="s">
        <v>2854</v>
      </c>
      <c r="B168" t="s">
        <v>2855</v>
      </c>
      <c r="C168" t="s">
        <v>2856</v>
      </c>
      <c r="E168" t="s">
        <v>2857</v>
      </c>
      <c r="F168">
        <v>15001</v>
      </c>
      <c r="H168">
        <v>1042500</v>
      </c>
      <c r="I168">
        <v>0</v>
      </c>
      <c r="J168">
        <v>0</v>
      </c>
    </row>
    <row r="169" spans="1:10" ht="15" customHeight="1" x14ac:dyDescent="0.25">
      <c r="A169" t="s">
        <v>2858</v>
      </c>
      <c r="B169" t="s">
        <v>2859</v>
      </c>
      <c r="C169" t="s">
        <v>2860</v>
      </c>
      <c r="E169" t="s">
        <v>2861</v>
      </c>
      <c r="F169">
        <v>25175</v>
      </c>
      <c r="H169">
        <v>19073976</v>
      </c>
      <c r="I169">
        <v>0</v>
      </c>
      <c r="J169">
        <v>0</v>
      </c>
    </row>
    <row r="170" spans="1:10" ht="15" customHeight="1" x14ac:dyDescent="0.25">
      <c r="A170" t="s">
        <v>2862</v>
      </c>
      <c r="B170" t="s">
        <v>2863</v>
      </c>
      <c r="C170" t="s">
        <v>2864</v>
      </c>
      <c r="E170" t="s">
        <v>2865</v>
      </c>
      <c r="F170">
        <v>25175</v>
      </c>
      <c r="H170">
        <v>22661587</v>
      </c>
      <c r="I170">
        <v>0</v>
      </c>
      <c r="J170">
        <v>0</v>
      </c>
    </row>
    <row r="171" spans="1:10" ht="15" customHeight="1" x14ac:dyDescent="0.25">
      <c r="A171" t="s">
        <v>2866</v>
      </c>
      <c r="B171" t="s">
        <v>2867</v>
      </c>
      <c r="C171" t="s">
        <v>2868</v>
      </c>
      <c r="E171" t="s">
        <v>2869</v>
      </c>
      <c r="F171">
        <v>25214</v>
      </c>
      <c r="H171">
        <v>103286555</v>
      </c>
      <c r="I171">
        <v>0</v>
      </c>
      <c r="J171">
        <v>0</v>
      </c>
    </row>
    <row r="172" spans="1:10" ht="15" customHeight="1" x14ac:dyDescent="0.25">
      <c r="A172" t="s">
        <v>2870</v>
      </c>
      <c r="B172" t="s">
        <v>2871</v>
      </c>
      <c r="C172" t="s">
        <v>2872</v>
      </c>
      <c r="E172" t="s">
        <v>2873</v>
      </c>
      <c r="F172">
        <v>15238</v>
      </c>
      <c r="H172">
        <v>1991100</v>
      </c>
      <c r="I172">
        <v>0</v>
      </c>
      <c r="J172">
        <v>0</v>
      </c>
    </row>
    <row r="173" spans="1:10" ht="15" customHeight="1" x14ac:dyDescent="0.25">
      <c r="A173" t="s">
        <v>2874</v>
      </c>
      <c r="B173" t="s">
        <v>2875</v>
      </c>
      <c r="C173" t="s">
        <v>2876</v>
      </c>
      <c r="E173" t="s">
        <v>2877</v>
      </c>
      <c r="F173">
        <v>15238</v>
      </c>
      <c r="H173">
        <v>5229500</v>
      </c>
      <c r="I173">
        <v>0</v>
      </c>
      <c r="J173">
        <v>0</v>
      </c>
    </row>
    <row r="174" spans="1:10" ht="15" customHeight="1" x14ac:dyDescent="0.25">
      <c r="A174" t="s">
        <v>2878</v>
      </c>
      <c r="B174" t="s">
        <v>2879</v>
      </c>
      <c r="C174" t="s">
        <v>2880</v>
      </c>
      <c r="E174" t="s">
        <v>2881</v>
      </c>
      <c r="F174">
        <v>15238</v>
      </c>
      <c r="H174">
        <v>3837673</v>
      </c>
      <c r="I174">
        <v>0</v>
      </c>
      <c r="J174">
        <v>0</v>
      </c>
    </row>
    <row r="175" spans="1:10" ht="15" customHeight="1" x14ac:dyDescent="0.25">
      <c r="A175" t="s">
        <v>2882</v>
      </c>
      <c r="B175" t="s">
        <v>2883</v>
      </c>
      <c r="C175" t="s">
        <v>2884</v>
      </c>
      <c r="E175" t="s">
        <v>2885</v>
      </c>
      <c r="F175">
        <v>15238</v>
      </c>
      <c r="H175">
        <v>4694370</v>
      </c>
      <c r="I175">
        <v>0</v>
      </c>
      <c r="J175">
        <v>0</v>
      </c>
    </row>
    <row r="176" spans="1:10" ht="15" customHeight="1" x14ac:dyDescent="0.25">
      <c r="A176" t="s">
        <v>2886</v>
      </c>
      <c r="B176" t="s">
        <v>2887</v>
      </c>
      <c r="C176" t="s">
        <v>2888</v>
      </c>
      <c r="E176" t="s">
        <v>2889</v>
      </c>
      <c r="F176">
        <v>15238</v>
      </c>
      <c r="H176">
        <v>13176180</v>
      </c>
      <c r="I176">
        <v>0</v>
      </c>
      <c r="J176">
        <v>0</v>
      </c>
    </row>
    <row r="177" spans="1:10" ht="15" customHeight="1" x14ac:dyDescent="0.25">
      <c r="A177" t="s">
        <v>2890</v>
      </c>
      <c r="B177" t="s">
        <v>2891</v>
      </c>
      <c r="C177" t="s">
        <v>2892</v>
      </c>
      <c r="E177" t="s">
        <v>2893</v>
      </c>
      <c r="F177">
        <v>15238</v>
      </c>
      <c r="H177">
        <v>97587244</v>
      </c>
      <c r="I177">
        <v>0</v>
      </c>
      <c r="J177">
        <v>0</v>
      </c>
    </row>
    <row r="178" spans="1:10" ht="15" customHeight="1" x14ac:dyDescent="0.25">
      <c r="A178" t="s">
        <v>2894</v>
      </c>
      <c r="B178" t="s">
        <v>2895</v>
      </c>
      <c r="C178" t="s">
        <v>2896</v>
      </c>
      <c r="E178" t="s">
        <v>2897</v>
      </c>
      <c r="F178">
        <v>15238</v>
      </c>
      <c r="H178">
        <v>13804400</v>
      </c>
      <c r="I178">
        <v>0</v>
      </c>
      <c r="J178">
        <v>0</v>
      </c>
    </row>
    <row r="179" spans="1:10" ht="15" customHeight="1" x14ac:dyDescent="0.25">
      <c r="A179" t="s">
        <v>2898</v>
      </c>
      <c r="B179" t="s">
        <v>2899</v>
      </c>
      <c r="C179" t="s">
        <v>2900</v>
      </c>
      <c r="E179" t="s">
        <v>2901</v>
      </c>
      <c r="F179">
        <v>15238</v>
      </c>
      <c r="H179">
        <v>4028176</v>
      </c>
      <c r="I179">
        <v>0</v>
      </c>
      <c r="J179">
        <v>0</v>
      </c>
    </row>
    <row r="180" spans="1:10" ht="15" customHeight="1" x14ac:dyDescent="0.25">
      <c r="A180" t="s">
        <v>2902</v>
      </c>
      <c r="B180" t="s">
        <v>2903</v>
      </c>
      <c r="C180" t="s">
        <v>2904</v>
      </c>
      <c r="E180" t="s">
        <v>2905</v>
      </c>
      <c r="F180">
        <v>15238</v>
      </c>
      <c r="H180">
        <v>61199280</v>
      </c>
      <c r="I180">
        <v>0</v>
      </c>
      <c r="J180">
        <v>0</v>
      </c>
    </row>
    <row r="181" spans="1:10" ht="15" customHeight="1" x14ac:dyDescent="0.25">
      <c r="A181" t="s">
        <v>2906</v>
      </c>
      <c r="B181" t="s">
        <v>2907</v>
      </c>
      <c r="C181" t="s">
        <v>2908</v>
      </c>
      <c r="E181" t="s">
        <v>2909</v>
      </c>
      <c r="F181">
        <v>15238</v>
      </c>
      <c r="H181">
        <v>1124000</v>
      </c>
      <c r="I181">
        <v>0</v>
      </c>
      <c r="J181">
        <v>0</v>
      </c>
    </row>
    <row r="182" spans="1:10" ht="15" customHeight="1" x14ac:dyDescent="0.25">
      <c r="A182" t="s">
        <v>2910</v>
      </c>
      <c r="B182" t="s">
        <v>2911</v>
      </c>
      <c r="C182" t="s">
        <v>2912</v>
      </c>
      <c r="E182" t="s">
        <v>2913</v>
      </c>
      <c r="F182">
        <v>15238</v>
      </c>
      <c r="H182">
        <v>32130912</v>
      </c>
      <c r="I182">
        <v>0</v>
      </c>
      <c r="J182">
        <v>0</v>
      </c>
    </row>
    <row r="183" spans="1:10" ht="15" customHeight="1" x14ac:dyDescent="0.25">
      <c r="A183" t="s">
        <v>2914</v>
      </c>
      <c r="B183" t="s">
        <v>2915</v>
      </c>
      <c r="C183" t="s">
        <v>2916</v>
      </c>
      <c r="E183" t="s">
        <v>2917</v>
      </c>
      <c r="F183">
        <v>15238</v>
      </c>
      <c r="H183">
        <v>3221680</v>
      </c>
      <c r="I183">
        <v>0</v>
      </c>
      <c r="J183">
        <v>0</v>
      </c>
    </row>
    <row r="184" spans="1:10" ht="15" customHeight="1" x14ac:dyDescent="0.25">
      <c r="A184" t="s">
        <v>2918</v>
      </c>
      <c r="B184" t="s">
        <v>2919</v>
      </c>
      <c r="C184" t="s">
        <v>2920</v>
      </c>
      <c r="E184" t="s">
        <v>2921</v>
      </c>
      <c r="F184">
        <v>15238</v>
      </c>
      <c r="H184">
        <v>6400000</v>
      </c>
      <c r="I184">
        <v>0</v>
      </c>
      <c r="J184">
        <v>0</v>
      </c>
    </row>
    <row r="185" spans="1:10" ht="15" customHeight="1" x14ac:dyDescent="0.25">
      <c r="A185" t="s">
        <v>2922</v>
      </c>
      <c r="B185" t="s">
        <v>2923</v>
      </c>
      <c r="C185" t="s">
        <v>2924</v>
      </c>
      <c r="E185" t="s">
        <v>2925</v>
      </c>
      <c r="F185">
        <v>15238</v>
      </c>
      <c r="H185">
        <v>13544990</v>
      </c>
      <c r="I185">
        <v>0</v>
      </c>
      <c r="J185">
        <v>0</v>
      </c>
    </row>
    <row r="186" spans="1:10" ht="15" customHeight="1" x14ac:dyDescent="0.25">
      <c r="A186" t="s">
        <v>2926</v>
      </c>
      <c r="B186" t="s">
        <v>2927</v>
      </c>
      <c r="C186" t="s">
        <v>2928</v>
      </c>
      <c r="E186" t="s">
        <v>2929</v>
      </c>
      <c r="F186">
        <v>15238</v>
      </c>
      <c r="H186">
        <v>31394071</v>
      </c>
      <c r="I186">
        <v>0</v>
      </c>
      <c r="J186">
        <v>0</v>
      </c>
    </row>
    <row r="187" spans="1:10" ht="15" customHeight="1" x14ac:dyDescent="0.25">
      <c r="A187" t="s">
        <v>2930</v>
      </c>
      <c r="B187" t="s">
        <v>2931</v>
      </c>
      <c r="C187" t="s">
        <v>2932</v>
      </c>
      <c r="E187" t="s">
        <v>2933</v>
      </c>
      <c r="F187">
        <v>15238</v>
      </c>
      <c r="H187">
        <v>7485750</v>
      </c>
      <c r="I187">
        <v>0</v>
      </c>
      <c r="J187">
        <v>0</v>
      </c>
    </row>
    <row r="188" spans="1:10" ht="15" customHeight="1" x14ac:dyDescent="0.25">
      <c r="A188" t="s">
        <v>2934</v>
      </c>
      <c r="B188" t="s">
        <v>2935</v>
      </c>
      <c r="C188" t="s">
        <v>2936</v>
      </c>
      <c r="E188" t="s">
        <v>2937</v>
      </c>
      <c r="F188">
        <v>15238</v>
      </c>
      <c r="H188">
        <v>214200</v>
      </c>
      <c r="I188">
        <v>0</v>
      </c>
      <c r="J188">
        <v>0</v>
      </c>
    </row>
    <row r="189" spans="1:10" ht="15" customHeight="1" x14ac:dyDescent="0.25">
      <c r="A189" t="s">
        <v>2938</v>
      </c>
      <c r="B189" t="s">
        <v>2939</v>
      </c>
      <c r="C189" t="s">
        <v>2940</v>
      </c>
      <c r="E189" t="s">
        <v>2941</v>
      </c>
      <c r="F189">
        <v>15238</v>
      </c>
      <c r="H189">
        <v>16922033</v>
      </c>
      <c r="I189">
        <v>0</v>
      </c>
      <c r="J189">
        <v>0</v>
      </c>
    </row>
    <row r="190" spans="1:10" ht="15" customHeight="1" x14ac:dyDescent="0.25">
      <c r="A190" t="s">
        <v>2942</v>
      </c>
      <c r="B190" t="s">
        <v>2943</v>
      </c>
      <c r="C190" t="s">
        <v>2944</v>
      </c>
      <c r="E190" t="s">
        <v>2945</v>
      </c>
      <c r="F190">
        <v>15238</v>
      </c>
      <c r="H190">
        <v>4238000</v>
      </c>
      <c r="I190">
        <v>0</v>
      </c>
      <c r="J190">
        <v>0</v>
      </c>
    </row>
    <row r="191" spans="1:10" ht="15" customHeight="1" x14ac:dyDescent="0.25">
      <c r="A191" t="s">
        <v>2938</v>
      </c>
      <c r="B191" t="s">
        <v>2939</v>
      </c>
      <c r="C191" t="s">
        <v>2940</v>
      </c>
      <c r="E191" t="s">
        <v>2941</v>
      </c>
      <c r="F191">
        <v>15238</v>
      </c>
      <c r="H191">
        <v>913200</v>
      </c>
      <c r="I191">
        <v>0</v>
      </c>
      <c r="J191">
        <v>0</v>
      </c>
    </row>
    <row r="192" spans="1:10" ht="15" customHeight="1" x14ac:dyDescent="0.25">
      <c r="A192" t="s">
        <v>2946</v>
      </c>
      <c r="B192" s="14" t="s">
        <v>2947</v>
      </c>
      <c r="C192" s="14" t="s">
        <v>3043</v>
      </c>
      <c r="E192" t="s">
        <v>2948</v>
      </c>
      <c r="F192">
        <v>15238</v>
      </c>
      <c r="H192">
        <v>1800000</v>
      </c>
      <c r="I192">
        <v>0</v>
      </c>
      <c r="J192">
        <v>0</v>
      </c>
    </row>
    <row r="193" spans="1:10" ht="15" customHeight="1" x14ac:dyDescent="0.25">
      <c r="A193" t="s">
        <v>2949</v>
      </c>
      <c r="B193" t="s">
        <v>2950</v>
      </c>
      <c r="C193" t="s">
        <v>2951</v>
      </c>
      <c r="E193" t="s">
        <v>2952</v>
      </c>
      <c r="F193">
        <v>68276</v>
      </c>
      <c r="H193">
        <v>12581853</v>
      </c>
      <c r="I193">
        <v>0</v>
      </c>
      <c r="J193">
        <v>0</v>
      </c>
    </row>
    <row r="194" spans="1:10" ht="15" customHeight="1" x14ac:dyDescent="0.25">
      <c r="A194">
        <v>1014663553</v>
      </c>
      <c r="B194" t="s">
        <v>2953</v>
      </c>
      <c r="C194" t="s">
        <v>2954</v>
      </c>
      <c r="E194" t="s">
        <v>2955</v>
      </c>
      <c r="F194">
        <v>15299</v>
      </c>
      <c r="H194">
        <v>1921725</v>
      </c>
      <c r="I194">
        <v>0</v>
      </c>
      <c r="J194">
        <v>0</v>
      </c>
    </row>
    <row r="195" spans="1:10" ht="15" customHeight="1" x14ac:dyDescent="0.25">
      <c r="A195" t="s">
        <v>2956</v>
      </c>
      <c r="B195" t="s">
        <v>2957</v>
      </c>
      <c r="C195" t="s">
        <v>2958</v>
      </c>
      <c r="E195" t="s">
        <v>2959</v>
      </c>
      <c r="F195">
        <v>25307</v>
      </c>
      <c r="H195">
        <v>3582350</v>
      </c>
      <c r="I195">
        <v>0</v>
      </c>
      <c r="J195">
        <v>0</v>
      </c>
    </row>
    <row r="196" spans="1:10" ht="15" customHeight="1" x14ac:dyDescent="0.25">
      <c r="A196" t="s">
        <v>2960</v>
      </c>
      <c r="B196" t="s">
        <v>2961</v>
      </c>
      <c r="C196" t="s">
        <v>2962</v>
      </c>
      <c r="E196" t="s">
        <v>2963</v>
      </c>
      <c r="F196">
        <v>15317</v>
      </c>
      <c r="H196">
        <v>2700000</v>
      </c>
      <c r="I196">
        <v>0</v>
      </c>
      <c r="J196">
        <v>0</v>
      </c>
    </row>
    <row r="197" spans="1:10" ht="15" customHeight="1" x14ac:dyDescent="0.25">
      <c r="A197" t="s">
        <v>2964</v>
      </c>
      <c r="B197" t="s">
        <v>2965</v>
      </c>
      <c r="C197" t="s">
        <v>2966</v>
      </c>
      <c r="E197" t="s">
        <v>2967</v>
      </c>
      <c r="F197">
        <v>5360</v>
      </c>
      <c r="H197">
        <v>10078995</v>
      </c>
      <c r="I197">
        <v>0</v>
      </c>
      <c r="J197">
        <v>0</v>
      </c>
    </row>
    <row r="198" spans="1:10" ht="15" customHeight="1" x14ac:dyDescent="0.25">
      <c r="A198" t="s">
        <v>2968</v>
      </c>
      <c r="B198" t="s">
        <v>2969</v>
      </c>
      <c r="C198" t="s">
        <v>2970</v>
      </c>
      <c r="E198" t="s">
        <v>2971</v>
      </c>
      <c r="F198">
        <v>15407</v>
      </c>
      <c r="H198">
        <v>5000000</v>
      </c>
      <c r="I198">
        <v>0</v>
      </c>
      <c r="J198">
        <v>0</v>
      </c>
    </row>
    <row r="199" spans="1:10" ht="15" customHeight="1" x14ac:dyDescent="0.25">
      <c r="A199" t="s">
        <v>2972</v>
      </c>
      <c r="B199" t="s">
        <v>2973</v>
      </c>
      <c r="C199" t="s">
        <v>2974</v>
      </c>
      <c r="E199" t="s">
        <v>2975</v>
      </c>
      <c r="F199">
        <v>15407</v>
      </c>
      <c r="H199">
        <v>1680672</v>
      </c>
      <c r="I199">
        <v>0</v>
      </c>
      <c r="J199">
        <v>0</v>
      </c>
    </row>
    <row r="200" spans="1:10" ht="15" customHeight="1" x14ac:dyDescent="0.25">
      <c r="A200" t="s">
        <v>2976</v>
      </c>
      <c r="B200" t="s">
        <v>2977</v>
      </c>
      <c r="C200" t="s">
        <v>2978</v>
      </c>
      <c r="E200" t="s">
        <v>2979</v>
      </c>
      <c r="F200">
        <v>15407</v>
      </c>
      <c r="H200">
        <v>70571441</v>
      </c>
      <c r="I200">
        <v>0</v>
      </c>
      <c r="J200">
        <v>0</v>
      </c>
    </row>
    <row r="201" spans="1:10" ht="15" customHeight="1" x14ac:dyDescent="0.25">
      <c r="A201" t="s">
        <v>2980</v>
      </c>
      <c r="B201" t="s">
        <v>2981</v>
      </c>
      <c r="C201" t="s">
        <v>2982</v>
      </c>
      <c r="E201" t="s">
        <v>2983</v>
      </c>
      <c r="F201">
        <v>15407</v>
      </c>
      <c r="H201">
        <v>1440000</v>
      </c>
      <c r="I201">
        <v>0</v>
      </c>
      <c r="J201">
        <v>0</v>
      </c>
    </row>
    <row r="202" spans="1:10" ht="15" customHeight="1" x14ac:dyDescent="0.25">
      <c r="A202" t="s">
        <v>2984</v>
      </c>
      <c r="B202" t="s">
        <v>2985</v>
      </c>
      <c r="C202" t="s">
        <v>2986</v>
      </c>
      <c r="E202" t="s">
        <v>2987</v>
      </c>
      <c r="F202">
        <v>15455</v>
      </c>
      <c r="H202">
        <v>2480000</v>
      </c>
      <c r="I202">
        <v>0</v>
      </c>
      <c r="J202">
        <v>0</v>
      </c>
    </row>
    <row r="203" spans="1:10" ht="15" customHeight="1" x14ac:dyDescent="0.25">
      <c r="A203" t="s">
        <v>2988</v>
      </c>
      <c r="B203" t="s">
        <v>2989</v>
      </c>
      <c r="C203" t="s">
        <v>2990</v>
      </c>
      <c r="E203" t="s">
        <v>2991</v>
      </c>
      <c r="F203">
        <v>15455</v>
      </c>
      <c r="H203">
        <v>586218</v>
      </c>
      <c r="I203">
        <v>0</v>
      </c>
      <c r="J203">
        <v>0</v>
      </c>
    </row>
    <row r="204" spans="1:10" ht="15" customHeight="1" x14ac:dyDescent="0.25">
      <c r="A204" t="s">
        <v>2992</v>
      </c>
      <c r="B204" t="s">
        <v>2993</v>
      </c>
      <c r="C204" t="s">
        <v>2994</v>
      </c>
      <c r="E204" t="s">
        <v>2995</v>
      </c>
      <c r="F204">
        <v>15491</v>
      </c>
      <c r="H204">
        <v>69512450</v>
      </c>
      <c r="I204">
        <v>0</v>
      </c>
      <c r="J204">
        <v>0</v>
      </c>
    </row>
    <row r="205" spans="1:10" ht="15" customHeight="1" x14ac:dyDescent="0.25">
      <c r="A205" t="s">
        <v>2996</v>
      </c>
      <c r="B205" t="s">
        <v>2997</v>
      </c>
      <c r="C205" t="s">
        <v>2998</v>
      </c>
      <c r="E205" t="s">
        <v>2999</v>
      </c>
      <c r="F205">
        <v>15516</v>
      </c>
      <c r="H205">
        <v>635726</v>
      </c>
      <c r="I205">
        <v>0</v>
      </c>
      <c r="J205">
        <v>0</v>
      </c>
    </row>
    <row r="206" spans="1:10" ht="15" customHeight="1" x14ac:dyDescent="0.25">
      <c r="A206" t="s">
        <v>3000</v>
      </c>
      <c r="B206" t="s">
        <v>3001</v>
      </c>
      <c r="C206" t="s">
        <v>3002</v>
      </c>
      <c r="E206" t="s">
        <v>3003</v>
      </c>
      <c r="F206">
        <v>15646</v>
      </c>
      <c r="H206">
        <v>1430000</v>
      </c>
      <c r="I206">
        <v>0</v>
      </c>
      <c r="J206">
        <v>0</v>
      </c>
    </row>
    <row r="207" spans="1:10" ht="15" customHeight="1" x14ac:dyDescent="0.25">
      <c r="A207" t="s">
        <v>3004</v>
      </c>
      <c r="B207" t="s">
        <v>3005</v>
      </c>
      <c r="C207" t="s">
        <v>3006</v>
      </c>
      <c r="E207" t="s">
        <v>3007</v>
      </c>
      <c r="F207">
        <v>15759</v>
      </c>
      <c r="H207">
        <v>7950000</v>
      </c>
      <c r="I207">
        <v>0</v>
      </c>
      <c r="J207">
        <v>0</v>
      </c>
    </row>
    <row r="208" spans="1:10" ht="15" customHeight="1" x14ac:dyDescent="0.25">
      <c r="A208">
        <v>890500726</v>
      </c>
      <c r="B208" t="s">
        <v>3008</v>
      </c>
      <c r="C208" t="s">
        <v>3009</v>
      </c>
      <c r="E208" t="s">
        <v>3010</v>
      </c>
      <c r="F208">
        <v>15759</v>
      </c>
      <c r="H208">
        <v>4217900</v>
      </c>
      <c r="I208">
        <v>0</v>
      </c>
      <c r="J208">
        <v>0</v>
      </c>
    </row>
    <row r="209" spans="1:10" ht="15" customHeight="1" x14ac:dyDescent="0.25">
      <c r="A209" t="s">
        <v>3011</v>
      </c>
      <c r="B209" t="s">
        <v>3012</v>
      </c>
      <c r="C209" t="s">
        <v>3013</v>
      </c>
      <c r="E209" t="s">
        <v>3014</v>
      </c>
      <c r="F209">
        <v>15759</v>
      </c>
      <c r="H209">
        <v>2606987</v>
      </c>
      <c r="I209">
        <v>0</v>
      </c>
      <c r="J209">
        <v>0</v>
      </c>
    </row>
    <row r="210" spans="1:10" ht="15" customHeight="1" x14ac:dyDescent="0.25">
      <c r="A210" t="s">
        <v>3015</v>
      </c>
      <c r="B210" t="s">
        <v>3016</v>
      </c>
      <c r="C210" t="s">
        <v>3017</v>
      </c>
      <c r="E210" t="s">
        <v>3018</v>
      </c>
      <c r="F210">
        <v>15763</v>
      </c>
      <c r="H210">
        <v>1240000</v>
      </c>
      <c r="I210">
        <v>0</v>
      </c>
      <c r="J210">
        <v>0</v>
      </c>
    </row>
    <row r="211" spans="1:10" ht="15" customHeight="1" x14ac:dyDescent="0.25">
      <c r="A211" t="s">
        <v>3019</v>
      </c>
      <c r="B211" t="s">
        <v>3020</v>
      </c>
      <c r="C211" t="s">
        <v>3021</v>
      </c>
      <c r="E211" t="s">
        <v>3022</v>
      </c>
      <c r="F211">
        <v>25817</v>
      </c>
      <c r="H211">
        <v>6220434</v>
      </c>
      <c r="I211">
        <v>0</v>
      </c>
      <c r="J211">
        <v>0</v>
      </c>
    </row>
    <row r="212" spans="1:10" ht="15" customHeight="1" x14ac:dyDescent="0.25">
      <c r="A212">
        <v>901026189</v>
      </c>
      <c r="B212" t="s">
        <v>3023</v>
      </c>
      <c r="C212" t="s">
        <v>3024</v>
      </c>
      <c r="E212" t="s">
        <v>3025</v>
      </c>
      <c r="F212">
        <v>15861</v>
      </c>
      <c r="H212">
        <v>1505333</v>
      </c>
      <c r="I212">
        <v>0</v>
      </c>
      <c r="J212">
        <v>0</v>
      </c>
    </row>
    <row r="213" spans="1:10" ht="15" customHeight="1" x14ac:dyDescent="0.25">
      <c r="A213" t="s">
        <v>3026</v>
      </c>
      <c r="B213" t="s">
        <v>3027</v>
      </c>
      <c r="C213" t="s">
        <v>3028</v>
      </c>
      <c r="E213" t="s">
        <v>3029</v>
      </c>
      <c r="F213">
        <v>76892</v>
      </c>
      <c r="H213">
        <v>2206875</v>
      </c>
      <c r="I213">
        <v>0</v>
      </c>
      <c r="J213">
        <v>0</v>
      </c>
    </row>
    <row r="214" spans="1:10" ht="15" customHeight="1" x14ac:dyDescent="0.25">
      <c r="A214" t="s">
        <v>3030</v>
      </c>
      <c r="B214" t="s">
        <v>3031</v>
      </c>
      <c r="C214" t="s">
        <v>3032</v>
      </c>
      <c r="E214" t="s">
        <v>3033</v>
      </c>
      <c r="F214">
        <v>25899</v>
      </c>
      <c r="H214">
        <v>1512000</v>
      </c>
      <c r="I214">
        <v>0</v>
      </c>
      <c r="J214">
        <v>0</v>
      </c>
    </row>
    <row r="215" spans="1:10" ht="15" customHeight="1" x14ac:dyDescent="0.25">
      <c r="A215">
        <v>700499945</v>
      </c>
      <c r="B215" t="s">
        <v>3034</v>
      </c>
      <c r="C215" t="s">
        <v>3035</v>
      </c>
      <c r="D215">
        <v>3208012561</v>
      </c>
      <c r="E215" t="s">
        <v>3036</v>
      </c>
      <c r="F215">
        <v>15001</v>
      </c>
      <c r="H215">
        <v>28479200</v>
      </c>
      <c r="I215">
        <v>0</v>
      </c>
      <c r="J215">
        <v>0</v>
      </c>
    </row>
    <row r="216" spans="1:10" ht="15" customHeight="1" x14ac:dyDescent="0.25">
      <c r="A216" t="s">
        <v>3037</v>
      </c>
      <c r="B216" t="s">
        <v>3038</v>
      </c>
      <c r="C216" t="s">
        <v>3039</v>
      </c>
      <c r="D216">
        <v>3163967975</v>
      </c>
      <c r="E216" t="s">
        <v>3040</v>
      </c>
      <c r="F216">
        <v>15238</v>
      </c>
      <c r="H216">
        <v>3000000</v>
      </c>
      <c r="I216">
        <v>0</v>
      </c>
      <c r="J21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40 C43: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237" workbookViewId="0">
      <selection activeCell="A237" sqref="A237"/>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2026-07-01T00:50:56Z</dcterms:modified>
</cp:coreProperties>
</file>