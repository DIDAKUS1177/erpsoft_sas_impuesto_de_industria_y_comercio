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TA SEIS\Download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5" yWindow="-105" windowWidth="23250" windowHeight="1245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5251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H650" i="1" l="1"/>
  <c r="H649" i="1"/>
  <c r="H599" i="1"/>
  <c r="H585" i="1"/>
  <c r="H582" i="1"/>
  <c r="H520" i="1"/>
  <c r="H477" i="1"/>
  <c r="H453" i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<sst xmlns="http://schemas.openxmlformats.org/spreadsheetml/2006/main" count="5128" uniqueCount="4060">
  <si>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</si>
  <si>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</si>
  <si>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</si>
  <si>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</si>
  <si>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</si>
  <si>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</si>
  <si>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</si>
  <si>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</si>
  <si>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</si>
  <si>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</si>
  <si>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</si>
  <si>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</si>
  <si>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</si>
  <si>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</si>
  <si>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</si>
  <si>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</si>
  <si>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</si>
  <si>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</si>
  <si>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</si>
  <si>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</si>
  <si>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</si>
  <si>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</si>
  <si>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</si>
  <si>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</si>
  <si>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</si>
  <si>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</si>
  <si>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</si>
  <si>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</si>
  <si>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</si>
  <si>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</si>
  <si>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</si>
  <si>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</si>
  <si>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</si>
  <si>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</si>
  <si>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</si>
  <si>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</si>
  <si>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</si>
  <si>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</si>
  <si>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</si>
  <si>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</si>
  <si>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</si>
  <si>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</si>
  <si>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</si>
  <si>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</si>
  <si>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</si>
  <si>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</si>
  <si>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</si>
  <si>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</si>
  <si>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</si>
  <si>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</si>
  <si>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</si>
  <si>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</si>
  <si>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</si>
  <si>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</si>
  <si>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</si>
  <si>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</si>
  <si>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</si>
  <si>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</si>
  <si>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</si>
  <si>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</si>
  <si>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</si>
  <si>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</si>
  <si>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</si>
  <si>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</si>
  <si>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</si>
  <si>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</si>
  <si>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</si>
  <si>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</si>
  <si>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</si>
  <si>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</si>
  <si>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</si>
  <si>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</si>
  <si>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</si>
  <si>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</si>
  <si>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</si>
  <si>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</si>
  <si>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</si>
  <si>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</si>
  <si>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</si>
  <si>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</si>
  <si>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</si>
  <si>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</si>
  <si>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</si>
  <si>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</si>
  <si>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</si>
  <si>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</si>
  <si>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</si>
  <si>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</si>
  <si>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</si>
  <si>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</si>
  <si>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</si>
  <si>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</si>
  <si>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</si>
  <si>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</si>
  <si>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</si>
  <si>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</si>
  <si>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</si>
  <si>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</si>
  <si>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</si>
  <si>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</si>
  <si>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</si>
  <si>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</si>
  <si>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</si>
  <si>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</si>
  <si>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</si>
  <si>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</si>
  <si>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</si>
  <si>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</si>
  <si>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</si>
  <si>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</si>
  <si>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</si>
  <si>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</si>
  <si>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</si>
  <si>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</si>
  <si>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</si>
  <si>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</si>
  <si>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</si>
  <si>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</si>
  <si>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</si>
  <si>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</si>
  <si>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</si>
  <si>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</si>
  <si>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</si>
  <si>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</si>
  <si>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</si>
  <si>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</si>
  <si>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</si>
  <si>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</si>
  <si>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</si>
  <si>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</si>
  <si>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</si>
  <si>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</si>
  <si>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</si>
  <si>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</si>
  <si>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</si>
  <si>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</si>
  <si>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</si>
  <si>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</si>
  <si>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</si>
  <si>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</si>
  <si>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</si>
  <si>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</si>
  <si>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</si>
  <si>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</si>
  <si>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</si>
  <si>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</si>
  <si>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</si>
  <si>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</si>
  <si>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</si>
  <si>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</si>
  <si>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</si>
  <si>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</si>
  <si>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</si>
  <si>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</si>
  <si>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</si>
  <si>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</si>
  <si>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</si>
  <si>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</si>
  <si>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</si>
  <si>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</si>
  <si>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</si>
  <si>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</si>
  <si>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</si>
  <si>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</si>
  <si>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</si>
  <si>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</si>
  <si>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</si>
  <si>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</si>
  <si>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</si>
  <si>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</si>
  <si>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</si>
  <si>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</si>
  <si>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</si>
  <si>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</si>
  <si>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</si>
  <si>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</si>
  <si>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</si>
  <si>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</si>
  <si>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</si>
  <si>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</si>
  <si>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</si>
  <si>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</si>
  <si>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</si>
  <si>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</si>
  <si>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</si>
  <si>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</si>
  <si>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</si>
  <si>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</si>
  <si>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</si>
  <si>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</si>
  <si>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</si>
  <si>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</si>
  <si>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</si>
  <si>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</si>
  <si>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</si>
  <si>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</si>
  <si>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</si>
  <si>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</si>
  <si>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</si>
  <si>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</si>
  <si>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</si>
  <si>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</si>
  <si>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</si>
  <si>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</si>
  <si>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</si>
  <si>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</si>
  <si>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</si>
  <si>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</si>
  <si>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</si>
  <si>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</si>
  <si>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</si>
  <si>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</si>
  <si>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</si>
  <si>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</si>
  <si>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</si>
  <si>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</si>
  <si>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</si>
  <si>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</si>
  <si>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</si>
  <si>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</si>
  <si>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</si>
  <si>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</si>
  <si>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</si>
  <si>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</si>
  <si>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</si>
  <si>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</si>
  <si>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</si>
  <si>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</si>
  <si>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</si>
  <si>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</si>
  <si>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</si>
  <si>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</si>
  <si>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</si>
  <si>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</si>
  <si>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</si>
  <si>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</si>
  <si>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</si>
  <si>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</si>
  <si>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</si>
  <si>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</si>
  <si>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</si>
  <si>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</si>
  <si>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</si>
  <si>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</si>
  <si>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</si>
  <si>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</si>
  <si>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</si>
  <si>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</si>
  <si>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</si>
  <si>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</si>
  <si>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</si>
  <si>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</si>
  <si>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</si>
  <si>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</si>
  <si>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</si>
  <si>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</si>
  <si>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</si>
  <si>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</si>
  <si>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</si>
  <si>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</si>
  <si>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</si>
  <si>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</si>
  <si>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</si>
  <si>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</si>
  <si>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</si>
  <si>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</si>
  <si>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</si>
  <si>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</si>
  <si>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</si>
  <si>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</si>
  <si>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</si>
  <si>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</si>
  <si>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</si>
  <si>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</si>
  <si>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</si>
  <si>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</si>
  <si>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</si>
  <si>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</si>
  <si>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</si>
  <si>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</si>
  <si>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</si>
  <si>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</si>
  <si>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</si>
  <si>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</si>
  <si>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</si>
  <si>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</si>
  <si>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</si>
  <si>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</si>
  <si>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</si>
  <si>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</si>
  <si>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</si>
  <si>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</si>
  <si>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</si>
  <si>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</si>
  <si>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</si>
  <si>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</si>
  <si>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</si>
  <si>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</si>
  <si>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</si>
  <si>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</si>
  <si>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</si>
  <si>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</si>
  <si>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</si>
  <si>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</si>
  <si>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</si>
  <si>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</si>
  <si>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</si>
  <si>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</si>
  <si>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</si>
  <si>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</si>
  <si>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</si>
  <si>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</si>
  <si>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</si>
  <si>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</si>
  <si>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</si>
  <si>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</si>
  <si>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</si>
  <si>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</si>
  <si>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</si>
  <si>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</si>
  <si>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</si>
  <si>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</si>
  <si>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</si>
  <si>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</si>
  <si>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</si>
  <si>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</si>
  <si>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</si>
  <si>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</si>
  <si>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</si>
  <si>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</si>
  <si>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</si>
  <si>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</si>
  <si>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</si>
  <si>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</si>
  <si>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</si>
  <si>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</si>
  <si>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</si>
  <si>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</si>
  <si>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</si>
  <si>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</si>
  <si>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</si>
  <si>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</si>
  <si>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</si>
  <si>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</si>
  <si>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</si>
  <si>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</si>
  <si>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</si>
  <si>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</si>
  <si>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</si>
  <si>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</si>
  <si>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</si>
  <si>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</si>
  <si>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</si>
  <si>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</si>
  <si>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</si>
  <si>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</si>
  <si>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</si>
  <si>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</si>
  <si>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</si>
  <si>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</si>
  <si>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</si>
  <si>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</si>
  <si>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</si>
  <si>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</si>
  <si>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</si>
  <si>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</si>
  <si>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</si>
  <si>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</si>
  <si>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</si>
  <si>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</si>
  <si>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</si>
  <si>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</si>
  <si>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</si>
  <si>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</si>
  <si>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</si>
  <si>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</si>
  <si>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</si>
  <si>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</si>
  <si>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</si>
  <si>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</si>
  <si>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</si>
  <si>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</si>
  <si>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</si>
  <si>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</si>
  <si>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</si>
  <si>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</si>
  <si>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</si>
  <si>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</si>
  <si>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</si>
  <si>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</si>
  <si>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</si>
  <si>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</si>
  <si>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</si>
  <si>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</si>
  <si>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</si>
  <si>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</si>
  <si>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</si>
  <si>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</si>
  <si>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</si>
  <si>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</si>
  <si>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</si>
  <si>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</si>
  <si>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</si>
  <si>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</si>
  <si>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</si>
  <si>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</si>
  <si>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</si>
  <si>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</si>
  <si>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</si>
  <si>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</si>
  <si>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</si>
  <si>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</si>
  <si>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</si>
  <si>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</si>
  <si>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</si>
  <si>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</si>
  <si>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</si>
  <si>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</si>
  <si>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</si>
  <si>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</si>
  <si>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</si>
  <si>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</si>
  <si>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</si>
  <si>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</si>
  <si>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</si>
  <si>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</si>
  <si>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</si>
  <si>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</si>
  <si>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</si>
  <si>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</si>
  <si>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</si>
  <si>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</si>
  <si>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</si>
  <si>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</si>
  <si>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</si>
  <si>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</si>
  <si>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</si>
  <si>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</si>
  <si>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</si>
  <si>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</si>
  <si>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</si>
  <si>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</si>
  <si>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</si>
  <si>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</si>
  <si>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</si>
  <si>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</si>
  <si>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</si>
  <si>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</si>
  <si>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</si>
  <si>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</si>
  <si>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</si>
  <si>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</si>
  <si>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</si>
  <si>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</si>
  <si>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</si>
  <si>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</si>
  <si>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</si>
  <si>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</si>
  <si>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</si>
  <si>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</si>
  <si>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</si>
  <si>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</si>
  <si>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</si>
  <si>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</si>
  <si>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</si>
  <si>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</si>
  <si>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</si>
  <si>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</si>
  <si>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</si>
  <si>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</si>
  <si>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</si>
  <si>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</si>
  <si>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</si>
  <si>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</si>
  <si>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</si>
  <si>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</si>
  <si>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</si>
  <si>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</si>
  <si>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</si>
  <si>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</si>
  <si>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</si>
  <si>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</si>
  <si>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</si>
  <si>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</si>
  <si>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</si>
  <si>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</si>
  <si>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</si>
  <si>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</si>
  <si>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</si>
  <si>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</si>
  <si>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</si>
  <si>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</si>
  <si>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</si>
  <si>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</si>
  <si>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</si>
  <si>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</si>
  <si>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</si>
  <si>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</si>
  <si>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</si>
  <si>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</si>
  <si>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</si>
  <si>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</si>
  <si>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</si>
  <si>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</si>
  <si>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</si>
  <si>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</si>
  <si>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</si>
  <si>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</si>
  <si>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</si>
  <si>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</si>
  <si>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</si>
  <si>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</si>
  <si>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</si>
  <si>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</si>
  <si>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</si>
  <si>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</si>
  <si>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</si>
  <si>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</si>
  <si>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</si>
  <si>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</si>
  <si>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</si>
  <si>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</si>
  <si>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</si>
  <si>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</si>
  <si>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</si>
  <si>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</si>
  <si>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</si>
  <si>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</si>
  <si>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</si>
  <si>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</si>
  <si>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</si>
  <si>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</si>
  <si>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</si>
  <si>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</si>
  <si>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</si>
  <si>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</si>
  <si>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</si>
  <si>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</si>
  <si>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</si>
  <si>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</si>
  <si>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</si>
  <si>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</si>
  <si>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</si>
  <si>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</si>
  <si>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</si>
  <si>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</si>
  <si>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</si>
  <si>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</si>
  <si>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</si>
  <si>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</si>
  <si>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</si>
  <si>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</si>
  <si>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</si>
  <si>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</si>
  <si>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</si>
  <si>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</si>
  <si>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</si>
  <si>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</si>
  <si>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</si>
  <si>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</si>
  <si>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</si>
  <si>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</si>
  <si>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</si>
  <si>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</si>
  <si>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</si>
  <si>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</si>
  <si>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</si>
  <si>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</si>
  <si>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</si>
  <si>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</si>
  <si>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</si>
  <si>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</si>
  <si>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</si>
  <si>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</si>
  <si>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</si>
  <si>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</si>
  <si>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</si>
  <si>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</si>
  <si>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</si>
  <si>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</si>
  <si>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</si>
  <si>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</si>
  <si>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</si>
  <si>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</si>
  <si>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</si>
  <si>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</si>
  <si>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</si>
  <si>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</si>
  <si>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</si>
  <si>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</si>
  <si>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</si>
  <si>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</si>
  <si>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</si>
  <si>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</si>
  <si>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</si>
  <si>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</si>
  <si>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</si>
  <si>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</si>
  <si>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</si>
  <si>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</si>
  <si>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</si>
  <si>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</si>
  <si>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</si>
  <si>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</si>
  <si>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</si>
  <si>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</si>
  <si>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</si>
  <si>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</si>
  <si>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</si>
  <si>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</si>
  <si>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</si>
  <si>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</si>
  <si>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</si>
  <si>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</si>
  <si>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</si>
  <si>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</si>
  <si>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</si>
  <si>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</si>
  <si>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</si>
  <si>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</si>
  <si>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</si>
  <si>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</si>
  <si>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</si>
  <si>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</si>
  <si>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</si>
  <si>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</si>
  <si>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</si>
  <si>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</si>
  <si>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</si>
  <si>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</si>
  <si>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</si>
  <si>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</si>
  <si>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</si>
  <si>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</si>
  <si>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</si>
  <si>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</si>
  <si>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</si>
  <si>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</si>
  <si>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</si>
  <si>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</si>
  <si>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</si>
  <si>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</si>
  <si>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</si>
  <si>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</si>
  <si>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</si>
  <si>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</si>
  <si>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</si>
  <si>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</si>
  <si>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</si>
  <si>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</si>
  <si>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</si>
  <si>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</si>
  <si>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</si>
  <si>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</si>
  <si>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</si>
  <si>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</si>
  <si>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</si>
  <si>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</si>
  <si>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</si>
  <si>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</si>
  <si>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</si>
  <si>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</si>
  <si>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</si>
  <si>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</si>
  <si>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</si>
  <si>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</si>
  <si>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</si>
  <si>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</si>
  <si>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</si>
  <si>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</si>
  <si>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</si>
  <si>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</si>
  <si>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</si>
  <si>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</si>
  <si>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</si>
  <si>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</si>
  <si>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</si>
  <si>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</si>
  <si>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</si>
  <si>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</si>
  <si>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</si>
  <si>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</si>
  <si>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</si>
  <si>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</si>
  <si>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</si>
  <si>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</si>
  <si>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</si>
  <si>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</si>
  <si>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</si>
  <si>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</si>
  <si>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</si>
  <si>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</si>
  <si>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</si>
  <si>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</si>
  <si>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</si>
  <si>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</si>
  <si>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</si>
  <si>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</si>
  <si>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</si>
  <si>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</si>
  <si>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</si>
  <si>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</si>
  <si>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</si>
  <si>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</si>
  <si>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</si>
  <si>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</si>
  <si>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</si>
  <si>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</si>
  <si>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</si>
  <si>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</si>
  <si>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</si>
  <si>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</si>
  <si>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</si>
  <si>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</si>
  <si>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</si>
  <si>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</si>
  <si>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</si>
  <si>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</si>
  <si>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</si>
  <si>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</si>
  <si>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</si>
  <si>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</si>
  <si>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</si>
  <si>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</si>
  <si>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</si>
  <si>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</si>
  <si>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</si>
  <si>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</si>
  <si>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</si>
  <si>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</si>
  <si>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</si>
  <si>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</si>
  <si>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</si>
  <si>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</si>
  <si>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</si>
  <si>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</si>
  <si>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</si>
  <si>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</si>
  <si>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</si>
  <si>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</si>
  <si>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</si>
  <si>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</si>
  <si>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</si>
  <si>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</si>
  <si>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</si>
  <si>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</si>
  <si>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</si>
  <si>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</si>
  <si>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</si>
  <si>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</si>
  <si>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</si>
  <si>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</si>
  <si>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</si>
  <si>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</si>
  <si>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</si>
  <si>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</si>
  <si>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</si>
  <si>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</si>
  <si>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</si>
  <si>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</si>
  <si>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</si>
  <si>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</si>
  <si>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</si>
  <si>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</si>
  <si>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</si>
  <si>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</si>
  <si>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</si>
  <si>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</si>
  <si>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</si>
  <si>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</si>
  <si>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</si>
  <si>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</si>
  <si>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</si>
  <si>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</si>
  <si>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</si>
  <si>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</si>
  <si>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</si>
  <si>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</si>
  <si>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</si>
  <si>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</si>
  <si>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</si>
  <si>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</si>
  <si>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</si>
  <si>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</si>
  <si>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</si>
  <si>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</si>
  <si>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</si>
  <si>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</si>
  <si>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</si>
  <si>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</si>
  <si>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</si>
  <si>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</si>
  <si>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</si>
  <si>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</si>
  <si>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</si>
  <si>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</si>
  <si>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</si>
  <si>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</si>
  <si>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</si>
  <si>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</si>
  <si>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</si>
  <si>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</si>
  <si>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</si>
  <si>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</si>
  <si>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</si>
  <si>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</si>
  <si>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</si>
  <si>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</si>
  <si>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</si>
  <si>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</si>
  <si>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</si>
  <si>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</si>
  <si>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</si>
  <si>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</si>
  <si>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</si>
  <si>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</si>
  <si>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</si>
  <si>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</si>
  <si>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</si>
  <si>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</si>
  <si>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</si>
  <si>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</si>
  <si>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</si>
  <si>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</si>
  <si>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</si>
  <si>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</si>
  <si>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</si>
  <si>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</si>
  <si>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</si>
  <si>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</si>
  <si>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</si>
  <si>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</si>
  <si>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</si>
  <si>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</si>
  <si>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</si>
  <si>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</si>
  <si>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</si>
  <si>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</si>
  <si>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</si>
  <si>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</si>
  <si>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</si>
  <si>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</si>
  <si>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</si>
  <si>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</si>
  <si>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</si>
  <si>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</si>
  <si>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</si>
  <si>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</si>
  <si>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</si>
  <si>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</si>
  <si>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</si>
  <si>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</si>
  <si>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</si>
  <si>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</si>
  <si>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</si>
  <si>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</si>
  <si>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</si>
  <si>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</si>
  <si>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</si>
  <si>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</si>
  <si>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</si>
  <si>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</si>
  <si>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</si>
  <si>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</si>
  <si>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</si>
  <si>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</si>
  <si>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</si>
  <si>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</si>
  <si>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</si>
  <si>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</si>
  <si>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</si>
  <si>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</si>
  <si>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</si>
  <si>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</si>
  <si>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</si>
  <si>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</si>
  <si>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</si>
  <si>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</si>
  <si>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</si>
  <si>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</si>
  <si>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</si>
  <si>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</si>
  <si>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</si>
  <si>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</si>
  <si>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</si>
  <si>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</si>
  <si>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</si>
  <si>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</si>
  <si>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</si>
  <si>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</si>
  <si>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</si>
  <si>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</si>
  <si>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</si>
  <si>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</si>
  <si>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</si>
  <si>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</si>
  <si>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</si>
  <si>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</si>
  <si>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</si>
  <si>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</si>
  <si>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</si>
  <si>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</si>
  <si>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</si>
  <si>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</si>
  <si>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</si>
  <si>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</si>
  <si>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</si>
  <si>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</si>
  <si>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</si>
  <si>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</si>
  <si>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</si>
  <si>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</si>
  <si>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</si>
  <si>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</si>
  <si>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</si>
  <si>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</si>
  <si>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</si>
  <si>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</si>
  <si>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</si>
  <si>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</si>
  <si>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</si>
  <si>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</si>
  <si>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</si>
  <si>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</si>
  <si>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</si>
  <si>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</si>
  <si>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</si>
  <si>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</si>
  <si>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</si>
  <si>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</si>
  <si>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</si>
  <si>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</si>
  <si>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</si>
  <si>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</si>
  <si>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</si>
  <si>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</si>
  <si>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</si>
  <si>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</si>
  <si>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</si>
  <si>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</si>
  <si>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</si>
  <si>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</si>
  <si>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</si>
  <si>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</si>
  <si>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</si>
  <si>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</si>
  <si>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</si>
  <si>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</si>
  <si>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</si>
  <si>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</si>
  <si>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</si>
  <si>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</si>
  <si>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</si>
  <si>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</si>
  <si>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</si>
  <si>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</si>
  <si>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</si>
  <si>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</si>
  <si>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</si>
  <si>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</si>
  <si>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</si>
  <si>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</si>
  <si>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</si>
  <si>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</si>
  <si>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</si>
  <si>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</si>
  <si>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</si>
  <si>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</si>
  <si>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</si>
  <si>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</si>
  <si>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</si>
  <si>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</si>
  <si>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</si>
  <si>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</si>
  <si>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</si>
  <si>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</si>
  <si>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</si>
  <si>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</si>
  <si>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</si>
  <si>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</si>
  <si>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</si>
  <si>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</si>
  <si>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</si>
  <si>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</si>
  <si>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</si>
  <si>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</si>
  <si>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</si>
  <si>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</si>
  <si>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</si>
  <si>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</si>
  <si>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</si>
  <si>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</si>
  <si>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</si>
  <si>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</si>
  <si>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</si>
  <si>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</si>
  <si>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</si>
  <si>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</si>
  <si>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</si>
  <si>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</si>
  <si>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</si>
  <si>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</si>
  <si>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</si>
  <si>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</si>
  <si>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</si>
  <si>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</si>
  <si>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</si>
  <si>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</si>
  <si>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</si>
  <si>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</si>
  <si>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</si>
  <si>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</si>
  <si>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</si>
  <si>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</si>
  <si>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</si>
  <si>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</si>
  <si>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</si>
  <si>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</si>
  <si>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</si>
  <si>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</si>
  <si>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</si>
  <si>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</si>
  <si>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</si>
  <si>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</si>
  <si>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</si>
  <si>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</si>
  <si>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</si>
  <si>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</si>
  <si>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</si>
  <si>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</si>
  <si>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</si>
  <si>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</si>
  <si>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</si>
  <si>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</si>
  <si>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</si>
  <si>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</si>
  <si>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</si>
  <si>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</si>
  <si>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</si>
  <si>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</si>
  <si>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</si>
  <si>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</si>
  <si>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</si>
  <si>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</si>
  <si>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</si>
  <si>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</si>
  <si>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</si>
  <si>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</si>
  <si>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</si>
  <si>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</si>
  <si>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</si>
  <si>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</si>
  <si>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</si>
  <si>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</si>
  <si>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</si>
  <si>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</si>
  <si>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</si>
  <si>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</si>
  <si>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</si>
  <si>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</si>
  <si>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</si>
  <si>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</si>
  <si>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</si>
  <si>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</si>
  <si>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</si>
  <si>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</si>
  <si>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</si>
  <si>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</si>
  <si>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</si>
  <si>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</si>
  <si>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</si>
  <si>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</si>
  <si>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</si>
  <si>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</si>
  <si>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</si>
  <si>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</si>
  <si>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</si>
  <si>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</si>
  <si>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</si>
  <si>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</si>
  <si>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</si>
  <si>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</si>
  <si>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</si>
  <si>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</si>
  <si>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</si>
  <si>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</si>
  <si>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</si>
  <si>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</si>
  <si>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</si>
  <si>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</si>
  <si>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</si>
  <si>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</si>
  <si>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</si>
  <si>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</si>
  <si>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</si>
  <si>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</si>
  <si>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</si>
  <si>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</si>
  <si>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</si>
  <si>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</si>
  <si>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</si>
  <si>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</si>
  <si>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</si>
  <si>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</si>
  <si>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</si>
  <si>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</si>
  <si>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</si>
  <si>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</si>
  <si>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</si>
  <si>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</si>
  <si>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</si>
  <si>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</si>
  <si>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</si>
  <si>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</si>
  <si>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</si>
  <si>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</si>
  <si>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</si>
  <si>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</si>
  <si>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</si>
  <si>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</si>
  <si>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</si>
  <si>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</si>
  <si>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</si>
  <si>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</si>
  <si>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</si>
  <si>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</si>
  <si>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</si>
  <si>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</si>
  <si>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</si>
  <si>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</si>
  <si>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</si>
  <si>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</si>
  <si>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</si>
  <si>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</si>
  <si>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</si>
  <si>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</si>
  <si>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</si>
  <si>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</si>
  <si>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</si>
  <si>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</si>
  <si>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</si>
  <si>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</si>
  <si>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</si>
  <si>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</si>
  <si>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</si>
  <si>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</si>
  <si>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</si>
  <si>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</si>
  <si>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</si>
  <si>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</si>
  <si>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</si>
  <si>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</si>
  <si>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</si>
  <si>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</si>
  <si>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</si>
  <si>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</si>
  <si>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</si>
  <si>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</si>
  <si>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</si>
  <si>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</si>
  <si>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</si>
  <si>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</si>
  <si>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</si>
  <si>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</si>
  <si>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</si>
  <si>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</si>
  <si>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</si>
  <si>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</si>
  <si>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</si>
  <si>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</si>
  <si>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</si>
  <si>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</si>
  <si>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</si>
  <si>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</si>
  <si>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</si>
  <si>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</si>
  <si>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</si>
  <si>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</si>
  <si>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</si>
  <si>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</si>
  <si>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</si>
  <si>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</si>
  <si>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</si>
  <si>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</si>
  <si>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</si>
  <si>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</si>
  <si>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</si>
  <si>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</si>
  <si>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</si>
  <si>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</si>
  <si>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</si>
  <si>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</si>
  <si>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</si>
  <si>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</si>
  <si>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</si>
  <si>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</si>
  <si>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</si>
  <si>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</si>
  <si>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</si>
  <si>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</si>
  <si>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</si>
  <si>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</si>
  <si>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</si>
  <si>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</si>
  <si>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</si>
  <si>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</si>
  <si>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</si>
  <si>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</si>
  <si>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</si>
  <si>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</si>
  <si>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</si>
  <si>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</si>
  <si>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</si>
  <si>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</si>
  <si>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</si>
  <si>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</si>
  <si>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</si>
  <si>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</si>
  <si>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</si>
  <si>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</si>
  <si>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</si>
  <si>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</si>
  <si>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</si>
  <si>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</si>
  <si>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</si>
  <si>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</si>
  <si>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</si>
  <si>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</si>
  <si>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</si>
  <si>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</si>
  <si>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</si>
  <si>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</si>
  <si>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</si>
  <si>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</si>
  <si>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</si>
  <si>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</si>
  <si>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</si>
  <si>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</si>
  <si>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</si>
  <si>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</si>
  <si>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</si>
  <si>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</si>
  <si>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</si>
  <si>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</si>
  <si>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</si>
  <si>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</si>
  <si>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</si>
  <si>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</si>
  <si>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</si>
  <si>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</si>
  <si>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</si>
  <si>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</si>
  <si>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</si>
  <si>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</si>
  <si>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</si>
  <si>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</si>
  <si>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</si>
  <si>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</si>
  <si>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</si>
  <si>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</si>
  <si>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</si>
  <si>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</si>
  <si>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</si>
  <si>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</si>
  <si>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</si>
  <si>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</si>
  <si>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</si>
  <si>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</si>
  <si>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</si>
  <si>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</si>
  <si>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</si>
  <si>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</si>
  <si>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</si>
  <si>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</si>
  <si>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</si>
  <si>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</si>
  <si>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</si>
  <si>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</si>
  <si>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</si>
  <si>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</si>
  <si>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</si>
  <si>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</si>
  <si>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</si>
  <si>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</si>
  <si>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</si>
  <si>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</si>
  <si>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</si>
  <si>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</si>
  <si>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</si>
  <si>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</si>
  <si>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</si>
  <si>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</si>
  <si>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</si>
  <si>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</si>
  <si>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</si>
  <si>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</si>
  <si>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</si>
  <si>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</si>
  <si>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</si>
  <si>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</si>
  <si>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</si>
  <si>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</si>
  <si>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</si>
  <si>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</si>
  <si>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</si>
  <si>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</si>
  <si>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</si>
  <si>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</si>
  <si>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</si>
  <si>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</si>
  <si>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</si>
  <si>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</si>
  <si>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</si>
  <si>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</si>
  <si>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</si>
  <si>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</si>
  <si>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</si>
  <si>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</si>
  <si>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</si>
  <si>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</si>
  <si>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</si>
  <si>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</si>
  <si>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</si>
  <si>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</si>
  <si>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</si>
  <si>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</si>
  <si>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</si>
  <si>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</si>
  <si>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</si>
  <si>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</si>
  <si>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</si>
  <si>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</si>
  <si>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</si>
  <si>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</si>
  <si>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</si>
  <si>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</si>
  <si>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</si>
  <si>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</si>
  <si>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</si>
  <si>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</si>
  <si>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</si>
  <si>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</si>
  <si>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</si>
  <si>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</si>
  <si>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</si>
  <si>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</si>
  <si>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</si>
  <si>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</si>
  <si>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</si>
  <si>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</si>
  <si>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</si>
  <si>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</si>
  <si>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</si>
  <si>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</si>
  <si>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</si>
  <si>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</si>
  <si>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</si>
  <si>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</si>
  <si>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</si>
  <si>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</si>
  <si>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</si>
  <si>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</si>
  <si>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</si>
  <si>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</si>
  <si>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</si>
  <si>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</si>
  <si>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</si>
  <si>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</si>
  <si>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</si>
  <si>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</si>
  <si>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</si>
  <si>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</si>
  <si>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</si>
  <si>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</si>
  <si>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</si>
  <si>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</si>
  <si>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</si>
  <si>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</si>
  <si>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</si>
  <si>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</si>
  <si>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</si>
  <si>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</si>
  <si>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</si>
  <si>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</si>
  <si>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</si>
  <si>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</si>
  <si>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</si>
  <si>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</si>
  <si>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</si>
  <si>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</si>
  <si>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</si>
  <si>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</si>
  <si>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</si>
  <si>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</si>
  <si>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</si>
  <si>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</si>
  <si>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</si>
  <si>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</si>
  <si>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</si>
  <si>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</si>
  <si>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</si>
  <si>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</si>
  <si>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</si>
  <si>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</si>
  <si>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</si>
  <si>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</si>
  <si>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</si>
  <si>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</si>
  <si>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</si>
  <si>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</si>
  <si>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</si>
  <si>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</si>
  <si>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</si>
  <si>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</si>
  <si>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</si>
  <si>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</si>
  <si>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</si>
  <si>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</si>
  <si>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</si>
  <si>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</si>
  <si>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</si>
  <si>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</si>
  <si>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</si>
  <si>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</si>
  <si>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</si>
  <si>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</si>
  <si>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</si>
  <si>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</si>
  <si>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</si>
  <si>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</si>
  <si>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</si>
  <si>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</si>
  <si>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</si>
  <si>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</si>
  <si>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</si>
  <si>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</si>
  <si>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</si>
  <si>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</si>
  <si>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</si>
  <si>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</si>
  <si>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</si>
  <si>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</si>
  <si>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</si>
  <si>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</si>
  <si>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</si>
  <si>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</si>
  <si>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</si>
  <si>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</si>
  <si>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</si>
  <si>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</si>
  <si>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</si>
  <si>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</si>
  <si>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</si>
  <si>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</si>
  <si>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</si>
  <si>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</si>
  <si>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</si>
  <si>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</si>
  <si>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</si>
  <si>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</si>
  <si>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</si>
  <si>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</si>
  <si>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</si>
  <si>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</si>
  <si>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</si>
  <si>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</si>
  <si>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</si>
  <si>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</si>
  <si>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</si>
  <si>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</si>
  <si>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</si>
  <si>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</si>
  <si>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</si>
  <si>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</si>
  <si>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</si>
  <si>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</si>
  <si>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</si>
  <si>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</si>
  <si>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</si>
  <si>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</si>
  <si>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</si>
  <si>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</si>
  <si>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</si>
  <si>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</si>
  <si>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</si>
  <si>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</si>
  <si>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</si>
  <si>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</si>
  <si>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</si>
  <si>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</si>
  <si>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</si>
  <si>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</si>
  <si>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</si>
  <si>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</si>
  <si>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</si>
  <si>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</si>
  <si>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</si>
  <si>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</si>
  <si>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</si>
  <si>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</si>
  <si>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</si>
  <si>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</si>
  <si>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</si>
  <si>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</si>
  <si>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</si>
  <si>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</si>
  <si>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</si>
  <si>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</si>
  <si>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</si>
  <si>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</si>
  <si>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</si>
  <si>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</si>
  <si>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</si>
  <si>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</si>
  <si>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</si>
  <si>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</si>
  <si>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</si>
  <si>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</si>
  <si>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</si>
  <si>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</si>
  <si>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</si>
  <si>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</si>
  <si>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</si>
  <si>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</si>
  <si>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</si>
  <si>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</si>
  <si>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</si>
  <si>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</si>
  <si>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</si>
  <si>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</si>
  <si>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</si>
  <si>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</si>
  <si>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</si>
  <si>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</si>
  <si>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</si>
  <si>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</si>
  <si>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</si>
  <si>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</si>
  <si>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</si>
  <si>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</si>
  <si>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</si>
  <si>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</si>
  <si>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</si>
  <si>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</si>
  <si>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</si>
  <si>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</si>
  <si>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</si>
  <si>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</si>
  <si>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</si>
  <si>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</si>
  <si>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</si>
  <si>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</si>
  <si>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</si>
  <si>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</si>
  <si>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</si>
  <si>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</si>
  <si>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</si>
  <si>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</si>
  <si>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</si>
  <si>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</si>
  <si>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</si>
  <si>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</si>
  <si>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</si>
  <si>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</si>
  <si>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</si>
  <si>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</si>
  <si>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</si>
  <si>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</si>
  <si>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</si>
  <si>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</si>
  <si>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</si>
  <si>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</si>
  <si>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</si>
  <si>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</si>
  <si>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</si>
  <si>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</si>
  <si>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</si>
  <si>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</si>
  <si>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</si>
  <si>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</si>
  <si>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</si>
  <si>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</si>
  <si>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</si>
  <si>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</si>
  <si>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</si>
  <si>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</si>
  <si>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</si>
  <si>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</si>
  <si>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</si>
  <si>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</si>
  <si>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</si>
  <si>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</si>
  <si>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</si>
  <si>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</si>
  <si>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</si>
  <si>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</si>
  <si>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</si>
  <si>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</si>
  <si>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</si>
  <si>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</si>
  <si>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</si>
  <si>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</si>
  <si>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</si>
  <si>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</si>
  <si>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</si>
  <si>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</si>
  <si>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</si>
  <si>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</si>
  <si>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</si>
  <si>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</si>
  <si>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</si>
  <si>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</si>
  <si>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</si>
  <si>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</si>
  <si>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</si>
  <si>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</si>
  <si>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</si>
  <si>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</si>
  <si>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</si>
  <si>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</si>
  <si>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</si>
  <si>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</si>
  <si>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</si>
  <si>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</si>
  <si>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</si>
  <si>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</si>
  <si>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</si>
  <si>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</si>
  <si>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</si>
  <si>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</si>
  <si>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</si>
  <si>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</si>
  <si>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</si>
  <si>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</si>
  <si>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</si>
  <si>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</si>
  <si>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</si>
  <si>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</si>
  <si>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</si>
  <si>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</si>
  <si>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</si>
  <si>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</si>
  <si>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</si>
  <si>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</si>
  <si>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</si>
  <si>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</si>
  <si>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</si>
  <si>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</si>
  <si>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</si>
  <si>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</si>
  <si>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</si>
  <si>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</si>
  <si>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</si>
  <si>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</si>
  <si>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</si>
  <si>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</si>
  <si>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</si>
  <si>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</si>
  <si>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</si>
  <si>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</si>
  <si>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</si>
  <si>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</si>
  <si>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</si>
  <si>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</si>
  <si>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</si>
  <si>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</si>
  <si>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</si>
  <si>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</si>
  <si>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</si>
  <si>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</si>
  <si>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</si>
  <si>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</si>
  <si>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</si>
  <si>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</si>
  <si>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</si>
  <si>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</si>
  <si>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</si>
  <si>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</si>
  <si>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</si>
  <si>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</si>
  <si>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</si>
  <si>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</si>
  <si>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</si>
  <si>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</si>
  <si>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</si>
  <si>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</si>
  <si>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</si>
  <si>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</si>
  <si>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</si>
  <si>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</si>
  <si>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</si>
  <si>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</si>
  <si>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</si>
  <si>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</si>
  <si>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</si>
  <si>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</si>
  <si>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</si>
  <si>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</si>
  <si>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</si>
  <si>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</si>
  <si>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</si>
  <si>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</si>
  <si>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</si>
  <si>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</si>
  <si>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</si>
  <si>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</si>
  <si>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</si>
  <si>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</si>
  <si>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</si>
  <si>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</si>
  <si>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</si>
  <si>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</si>
  <si>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</si>
  <si>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</si>
  <si>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</si>
  <si>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</si>
  <si>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</si>
  <si>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</si>
  <si>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</si>
  <si>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</si>
  <si>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</si>
  <si>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</si>
  <si>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</si>
  <si>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</si>
  <si>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</si>
  <si>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</si>
  <si>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</si>
  <si>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</si>
  <si>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</si>
  <si>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</si>
  <si>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</si>
  <si>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</si>
  <si>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</si>
  <si>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</si>
  <si>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</si>
  <si>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</si>
  <si>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</si>
  <si>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</si>
  <si>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</si>
  <si>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</si>
  <si>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</si>
  <si>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</si>
  <si>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</si>
  <si>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</si>
  <si>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</si>
  <si>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</si>
  <si>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</si>
  <si>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</si>
  <si>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</si>
  <si>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</si>
  <si>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</si>
  <si>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</si>
  <si>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</si>
  <si>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</si>
  <si>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</si>
  <si>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</si>
  <si>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</si>
  <si>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</si>
  <si>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</si>
  <si>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</si>
  <si>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</si>
  <si>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</si>
  <si>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</si>
  <si>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</si>
  <si>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</si>
  <si>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</si>
  <si>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</si>
  <si>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</si>
  <si>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</si>
  <si>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</si>
  <si>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</si>
  <si>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</si>
  <si>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</si>
  <si>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</si>
  <si>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</si>
  <si>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</si>
  <si>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</si>
  <si>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</si>
  <si>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</si>
  <si>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</si>
  <si>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</si>
  <si>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</si>
  <si>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</si>
  <si>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</si>
  <si>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</si>
  <si>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</si>
  <si>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</si>
  <si>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</si>
  <si>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</si>
  <si>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</si>
  <si>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</si>
  <si>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</si>
  <si>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</si>
  <si>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</si>
  <si>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</si>
  <si>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</si>
  <si>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</si>
  <si>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</si>
  <si>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</si>
  <si>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</si>
  <si>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</si>
  <si>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</si>
  <si>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</si>
  <si>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</si>
  <si>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</si>
  <si>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</si>
  <si>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</si>
  <si>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</si>
  <si>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</si>
  <si>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</si>
  <si>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</si>
  <si>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</si>
  <si>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</si>
  <si>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</si>
  <si>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</si>
  <si>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</si>
  <si>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</si>
  <si>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</si>
  <si>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</si>
  <si>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</si>
  <si>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</si>
  <si>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</si>
  <si>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</si>
  <si>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</si>
  <si>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</si>
  <si>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</si>
  <si>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</si>
  <si>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</si>
  <si>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</si>
  <si>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</si>
  <si>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</si>
  <si>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</si>
  <si>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</si>
  <si>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</si>
  <si>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</si>
  <si>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</si>
  <si>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</si>
  <si>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</si>
  <si>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</si>
  <si>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</si>
  <si>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</si>
  <si>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</si>
  <si>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</si>
  <si>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</si>
  <si>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</si>
  <si>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</si>
  <si>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</si>
  <si>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</si>
  <si>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</si>
  <si>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</si>
  <si>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</si>
  <si>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</si>
  <si>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</si>
  <si>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</si>
  <si>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</si>
  <si>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</si>
  <si>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</si>
  <si>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</si>
  <si>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</si>
  <si>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</si>
  <si>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</si>
  <si>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</si>
  <si>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</si>
  <si>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</si>
  <si>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</si>
  <si>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</si>
  <si>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</si>
  <si>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</si>
  <si>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</si>
  <si>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</si>
  <si>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</si>
  <si>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</si>
  <si>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</si>
  <si>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</si>
  <si>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</si>
  <si>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</si>
  <si>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</si>
  <si>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</si>
  <si>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</si>
  <si>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</si>
  <si>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</si>
  <si>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</si>
  <si>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</si>
  <si>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</si>
  <si>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</si>
  <si>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</si>
  <si>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</si>
  <si>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</si>
  <si>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</si>
  <si>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</si>
  <si>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</si>
  <si>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</si>
  <si>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</si>
  <si>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</si>
  <si>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</si>
  <si>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</si>
  <si>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</si>
  <si>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</si>
  <si>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</si>
  <si>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</si>
  <si>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</si>
  <si>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</si>
  <si>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</si>
  <si>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</si>
  <si>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</si>
  <si>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</si>
  <si>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</si>
  <si>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</si>
  <si>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</si>
  <si>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</si>
  <si>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</si>
  <si>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</si>
  <si>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</si>
  <si>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</si>
  <si>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</si>
  <si>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</si>
  <si>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</si>
  <si>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</si>
  <si>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</si>
  <si>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</si>
  <si>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</si>
  <si>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</si>
  <si>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</si>
  <si>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</si>
  <si>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</si>
  <si>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</si>
  <si>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</si>
  <si>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</si>
  <si>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</si>
  <si>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</si>
  <si>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</si>
  <si>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</si>
  <si>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</si>
  <si>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</si>
  <si>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</si>
  <si>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</si>
  <si>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</si>
  <si>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</si>
  <si>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</si>
  <si>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</si>
  <si>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</si>
  <si>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</si>
  <si>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</si>
  <si>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</si>
  <si>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</si>
  <si>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</si>
  <si>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</si>
  <si>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</si>
  <si>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</si>
  <si>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</si>
  <si>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</si>
  <si>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</si>
  <si>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</si>
  <si>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</si>
  <si>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</si>
  <si>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</si>
  <si>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</si>
  <si>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</si>
  <si>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</si>
  <si>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</si>
  <si>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</si>
  <si>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</si>
  <si>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</si>
  <si>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</si>
  <si>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</si>
  <si>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</si>
  <si>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</si>
  <si>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</si>
  <si>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</si>
  <si>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</si>
  <si>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</si>
  <si>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</si>
  <si>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</si>
  <si>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</si>
  <si>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</si>
  <si>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</si>
  <si>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</si>
  <si>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</si>
  <si>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</si>
  <si>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</si>
  <si>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</si>
  <si>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</si>
  <si>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</si>
  <si>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</si>
  <si>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</si>
  <si>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</si>
  <si>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</si>
  <si>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</si>
  <si>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</si>
  <si>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</si>
  <si>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</si>
  <si>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</si>
  <si>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</si>
  <si>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</si>
  <si>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</si>
  <si>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</si>
  <si>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</si>
  <si>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</si>
  <si>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</si>
  <si>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</si>
  <si>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</si>
  <si>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</si>
  <si>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</si>
  <si>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</si>
  <si>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</si>
  <si>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</si>
  <si>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</si>
  <si>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</si>
  <si>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</si>
  <si>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</si>
  <si>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</si>
  <si>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</si>
  <si>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</si>
  <si>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</si>
  <si>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</si>
  <si>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</si>
  <si>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</si>
  <si>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</si>
  <si>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</si>
  <si>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</si>
  <si>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</si>
  <si>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</si>
  <si>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</si>
  <si>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</si>
  <si>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</si>
  <si>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</si>
  <si>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</si>
  <si>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</si>
  <si>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</si>
  <si>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</si>
  <si>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</si>
  <si>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</si>
  <si>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</si>
  <si>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</si>
  <si>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</si>
  <si>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</si>
  <si>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</si>
  <si>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</si>
  <si>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</si>
  <si>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</si>
  <si>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</si>
  <si>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</si>
  <si>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</si>
  <si>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</si>
  <si>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</si>
  <si>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</si>
  <si>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</si>
  <si>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</si>
  <si>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</si>
  <si>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</si>
  <si>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</si>
  <si>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</si>
  <si>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</si>
  <si>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</si>
  <si>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</si>
  <si>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</si>
  <si>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</si>
  <si>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</si>
  <si>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</si>
  <si>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</si>
  <si>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</si>
  <si>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</si>
  <si>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</si>
  <si>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</si>
  <si>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</si>
  <si>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</si>
  <si>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</si>
  <si>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</si>
  <si>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</si>
  <si>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</si>
  <si>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</si>
  <si>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</si>
  <si>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</si>
  <si>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</si>
  <si>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</si>
  <si>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</si>
  <si>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</si>
  <si>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</si>
  <si>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</si>
  <si>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</si>
  <si>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</si>
  <si>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</si>
  <si>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</si>
  <si>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</si>
  <si>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</si>
  <si>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</si>
  <si>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</si>
  <si>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</si>
  <si>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</si>
  <si>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</si>
  <si>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</si>
  <si>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</si>
  <si>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</si>
  <si>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</si>
  <si>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</si>
  <si>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</si>
  <si>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</si>
  <si>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</si>
  <si>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</si>
  <si>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</si>
  <si>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</si>
  <si>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</si>
  <si>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</si>
  <si>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</si>
  <si>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</si>
  <si>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</si>
  <si>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</si>
  <si>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</si>
  <si>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</si>
  <si>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</si>
  <si>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</si>
  <si>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</si>
  <si>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</si>
  <si>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</si>
  <si>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</si>
  <si>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</si>
  <si>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</si>
  <si>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</si>
  <si>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</si>
  <si>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</si>
  <si>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</si>
  <si>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</si>
  <si>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</si>
  <si>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</si>
  <si>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</si>
  <si>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</si>
  <si>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</si>
  <si>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</si>
  <si>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</si>
  <si>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</si>
  <si>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</si>
  <si>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</si>
  <si>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</si>
  <si>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</si>
  <si>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</si>
  <si>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</si>
  <si>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</si>
  <si>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</si>
  <si>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</si>
  <si>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</si>
  <si>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</si>
  <si>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</si>
  <si>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</si>
  <si>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</si>
  <si>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</si>
  <si>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</si>
  <si>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</si>
  <si>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</si>
  <si>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</si>
  <si>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</si>
  <si>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</si>
  <si>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</si>
  <si>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</si>
  <si>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</si>
  <si>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</si>
  <si>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</si>
  <si>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</si>
  <si>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</si>
  <si>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</si>
  <si>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</si>
  <si>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</si>
  <si>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</si>
  <si>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</si>
  <si>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</si>
  <si>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</si>
  <si>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</si>
  <si>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</si>
  <si>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</si>
  <si>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</si>
  <si>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</si>
  <si>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</si>
  <si>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</si>
  <si>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</si>
  <si>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</si>
  <si>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</si>
  <si>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</si>
  <si>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</si>
  <si>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</si>
  <si>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</si>
  <si>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</si>
  <si>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</si>
  <si>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</si>
  <si>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</si>
  <si>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</si>
  <si>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</si>
  <si>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</si>
  <si>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</si>
  <si>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</si>
  <si>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</si>
  <si>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</si>
  <si>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</si>
  <si>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</si>
  <si>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</si>
  <si>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</si>
  <si>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</si>
  <si>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</si>
  <si>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</si>
  <si>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</si>
  <si>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</si>
  <si>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</si>
  <si>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</si>
  <si>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</si>
  <si>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</si>
  <si>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</si>
  <si>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</si>
  <si>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</si>
  <si>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</si>
  <si>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</si>
  <si>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</si>
  <si>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</si>
  <si>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</si>
  <si>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</si>
  <si>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</si>
  <si>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</si>
  <si>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</si>
  <si>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</si>
  <si>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</si>
  <si>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</si>
  <si>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</si>
  <si>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</si>
  <si>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</si>
  <si>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</si>
  <si>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</si>
  <si>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</si>
  <si>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</si>
  <si>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</si>
  <si>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</si>
  <si>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</si>
  <si>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</si>
  <si>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</si>
  <si>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</si>
  <si>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</si>
  <si>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</si>
  <si>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</si>
  <si>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</si>
  <si>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</si>
  <si>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</si>
  <si>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</si>
  <si>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</si>
  <si>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</si>
  <si>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</si>
  <si>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</si>
  <si>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</si>
  <si>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</si>
  <si>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</si>
  <si>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</si>
  <si>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</si>
  <si>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</si>
  <si>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</si>
  <si>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ESPEJO CAMARGO JOSE MARIO</t>
  </si>
  <si>
    <t>1100468</t>
  </si>
  <si>
    <t>7217671</t>
  </si>
  <si>
    <t>7219245</t>
  </si>
  <si>
    <t>52150761</t>
  </si>
  <si>
    <t>74370508</t>
  </si>
  <si>
    <t>4179217</t>
  </si>
  <si>
    <t>4242853</t>
  </si>
  <si>
    <t>7177929</t>
  </si>
  <si>
    <t>7214511</t>
  </si>
  <si>
    <t>7227366</t>
  </si>
  <si>
    <t>9526436</t>
  </si>
  <si>
    <t>19305477</t>
  </si>
  <si>
    <t>23855126</t>
  </si>
  <si>
    <t>46451579</t>
  </si>
  <si>
    <t>74084951</t>
  </si>
  <si>
    <t>74359600</t>
  </si>
  <si>
    <t>74371667</t>
  </si>
  <si>
    <t>79605177</t>
  </si>
  <si>
    <t>79964029</t>
  </si>
  <si>
    <t>88138002</t>
  </si>
  <si>
    <t>1049659455</t>
  </si>
  <si>
    <t>1118071455</t>
  </si>
  <si>
    <t>800042928</t>
  </si>
  <si>
    <t>800153993</t>
  </si>
  <si>
    <t>800185306</t>
  </si>
  <si>
    <t>800199889</t>
  </si>
  <si>
    <t>817001892</t>
  </si>
  <si>
    <t>820004012</t>
  </si>
  <si>
    <t>826000346</t>
  </si>
  <si>
    <t>826000361</t>
  </si>
  <si>
    <t>826001605</t>
  </si>
  <si>
    <t>830045472</t>
  </si>
  <si>
    <t>830122566</t>
  </si>
  <si>
    <t>830141109</t>
  </si>
  <si>
    <t>891800031</t>
  </si>
  <si>
    <t>891800219</t>
  </si>
  <si>
    <t>891855130</t>
  </si>
  <si>
    <t>891855138</t>
  </si>
  <si>
    <t>891855193</t>
  </si>
  <si>
    <t>891855578</t>
  </si>
  <si>
    <t>900019714</t>
  </si>
  <si>
    <t>900092385</t>
  </si>
  <si>
    <t>900205646</t>
  </si>
  <si>
    <t>900210774</t>
  </si>
  <si>
    <t>900215775</t>
  </si>
  <si>
    <t>900237958</t>
  </si>
  <si>
    <t>900259348</t>
  </si>
  <si>
    <t>900267080</t>
  </si>
  <si>
    <t>900332396</t>
  </si>
  <si>
    <t>900519299</t>
  </si>
  <si>
    <t>900544861</t>
  </si>
  <si>
    <t>900620784</t>
  </si>
  <si>
    <t>901122823</t>
  </si>
  <si>
    <t>901242489</t>
  </si>
  <si>
    <t>901278680</t>
  </si>
  <si>
    <t>901368459</t>
  </si>
  <si>
    <t>901646638</t>
  </si>
  <si>
    <t>901930015</t>
  </si>
  <si>
    <t>7220738</t>
  </si>
  <si>
    <t>23554842</t>
  </si>
  <si>
    <t>74378308</t>
  </si>
  <si>
    <t>74379646</t>
  </si>
  <si>
    <t>1052398804</t>
  </si>
  <si>
    <t>4053560</t>
  </si>
  <si>
    <t>4116546</t>
  </si>
  <si>
    <t>4122480</t>
  </si>
  <si>
    <t>4136820</t>
  </si>
  <si>
    <t>4137821</t>
  </si>
  <si>
    <t>4137869</t>
  </si>
  <si>
    <t>4151651</t>
  </si>
  <si>
    <t>4151783</t>
  </si>
  <si>
    <t>4167550</t>
  </si>
  <si>
    <t>4208187</t>
  </si>
  <si>
    <t>4211747</t>
  </si>
  <si>
    <t>4239261</t>
  </si>
  <si>
    <t>4277496</t>
  </si>
  <si>
    <t>4277863</t>
  </si>
  <si>
    <t>4283395</t>
  </si>
  <si>
    <t>4283462</t>
  </si>
  <si>
    <t>5609781</t>
  </si>
  <si>
    <t>5626435</t>
  </si>
  <si>
    <t>6759111</t>
  </si>
  <si>
    <t>6771413</t>
  </si>
  <si>
    <t>6774352</t>
  </si>
  <si>
    <t>7165624</t>
  </si>
  <si>
    <t>7212306</t>
  </si>
  <si>
    <t>7217597</t>
  </si>
  <si>
    <t>7217815</t>
  </si>
  <si>
    <t>7223596</t>
  </si>
  <si>
    <t>7224696</t>
  </si>
  <si>
    <t>7228434</t>
  </si>
  <si>
    <t>7229112</t>
  </si>
  <si>
    <t>9399550</t>
  </si>
  <si>
    <t>9399691</t>
  </si>
  <si>
    <t>9524760</t>
  </si>
  <si>
    <t>9590137</t>
  </si>
  <si>
    <t>9654497</t>
  </si>
  <si>
    <t>13703168</t>
  </si>
  <si>
    <t>13703182</t>
  </si>
  <si>
    <t>13703342</t>
  </si>
  <si>
    <t>13704242</t>
  </si>
  <si>
    <t>17623684</t>
  </si>
  <si>
    <t>18185761</t>
  </si>
  <si>
    <t>19344077</t>
  </si>
  <si>
    <t>20781850</t>
  </si>
  <si>
    <t>23496123</t>
  </si>
  <si>
    <t>23549488</t>
  </si>
  <si>
    <t>23554963</t>
  </si>
  <si>
    <t>23556418</t>
  </si>
  <si>
    <t>23856378</t>
  </si>
  <si>
    <t>23857311</t>
  </si>
  <si>
    <t>23926983</t>
  </si>
  <si>
    <t>23945341</t>
  </si>
  <si>
    <t>24049429</t>
  </si>
  <si>
    <t>24050172</t>
  </si>
  <si>
    <t>24080525</t>
  </si>
  <si>
    <t>24124906</t>
  </si>
  <si>
    <t>24125565</t>
  </si>
  <si>
    <t>24167311</t>
  </si>
  <si>
    <t>24201779</t>
  </si>
  <si>
    <t>28268969</t>
  </si>
  <si>
    <t>28917663</t>
  </si>
  <si>
    <t>33377261</t>
  </si>
  <si>
    <t>37706319</t>
  </si>
  <si>
    <t>37948303</t>
  </si>
  <si>
    <t>39900570</t>
  </si>
  <si>
    <t>40021132</t>
  </si>
  <si>
    <t>40039284</t>
  </si>
  <si>
    <t>42967279</t>
  </si>
  <si>
    <t>46353231</t>
  </si>
  <si>
    <t>46359314</t>
  </si>
  <si>
    <t>46367843</t>
  </si>
  <si>
    <t>46372866</t>
  </si>
  <si>
    <t>46373502</t>
  </si>
  <si>
    <t>46380294</t>
  </si>
  <si>
    <t>46453295</t>
  </si>
  <si>
    <t>46458159</t>
  </si>
  <si>
    <t>46458276</t>
  </si>
  <si>
    <t>46660525</t>
  </si>
  <si>
    <t>46661890</t>
  </si>
  <si>
    <t>46662248</t>
  </si>
  <si>
    <t>46662945</t>
  </si>
  <si>
    <t>46663125</t>
  </si>
  <si>
    <t>46663934</t>
  </si>
  <si>
    <t>46665187</t>
  </si>
  <si>
    <t>46666006</t>
  </si>
  <si>
    <t>46666791</t>
  </si>
  <si>
    <t>46667513</t>
  </si>
  <si>
    <t>46667919</t>
  </si>
  <si>
    <t>46668528</t>
  </si>
  <si>
    <t>46669470</t>
  </si>
  <si>
    <t>46669831</t>
  </si>
  <si>
    <t>46670908</t>
  </si>
  <si>
    <t>46671173</t>
  </si>
  <si>
    <t>46672408</t>
  </si>
  <si>
    <t>46673090</t>
  </si>
  <si>
    <t>47432905</t>
  </si>
  <si>
    <t>52292529</t>
  </si>
  <si>
    <t>52709490</t>
  </si>
  <si>
    <t>53043273</t>
  </si>
  <si>
    <t>63297306</t>
  </si>
  <si>
    <t>72325030</t>
  </si>
  <si>
    <t>74185053</t>
  </si>
  <si>
    <t>74185805</t>
  </si>
  <si>
    <t>74243345</t>
  </si>
  <si>
    <t>74270222</t>
  </si>
  <si>
    <t>74301286</t>
  </si>
  <si>
    <t>74301692</t>
  </si>
  <si>
    <t>74322138</t>
  </si>
  <si>
    <t>74333124</t>
  </si>
  <si>
    <t>74359614</t>
  </si>
  <si>
    <t>74369507</t>
  </si>
  <si>
    <t>74372219</t>
  </si>
  <si>
    <t>74375394</t>
  </si>
  <si>
    <t>74376496</t>
  </si>
  <si>
    <t>74379618</t>
  </si>
  <si>
    <t>74380959</t>
  </si>
  <si>
    <t>74433274</t>
  </si>
  <si>
    <t>79244436</t>
  </si>
  <si>
    <t>79406140</t>
  </si>
  <si>
    <t>79917587</t>
  </si>
  <si>
    <t>88245033</t>
  </si>
  <si>
    <t>91513846</t>
  </si>
  <si>
    <t>1002606957</t>
  </si>
  <si>
    <t>1007382704</t>
  </si>
  <si>
    <t>1018469753</t>
  </si>
  <si>
    <t>1018495013</t>
  </si>
  <si>
    <t>1030522705</t>
  </si>
  <si>
    <t>1052382369</t>
  </si>
  <si>
    <t>1052383789</t>
  </si>
  <si>
    <t>1052383806</t>
  </si>
  <si>
    <t>1052384116</t>
  </si>
  <si>
    <t>1052384185</t>
  </si>
  <si>
    <t>1052386368</t>
  </si>
  <si>
    <t>1052397149</t>
  </si>
  <si>
    <t>1052399217</t>
  </si>
  <si>
    <t>1052403133</t>
  </si>
  <si>
    <t>1052404525</t>
  </si>
  <si>
    <t>1052411291</t>
  </si>
  <si>
    <t>1052414188</t>
  </si>
  <si>
    <t>1052414319</t>
  </si>
  <si>
    <t>1053616032</t>
  </si>
  <si>
    <t>1054372182</t>
  </si>
  <si>
    <t>1055274544</t>
  </si>
  <si>
    <t>1055313775</t>
  </si>
  <si>
    <t>1056958034</t>
  </si>
  <si>
    <t>1057571600</t>
  </si>
  <si>
    <t>1057582935</t>
  </si>
  <si>
    <t>1057595008</t>
  </si>
  <si>
    <t>1057595142</t>
  </si>
  <si>
    <t>1057597006</t>
  </si>
  <si>
    <t>1094272103</t>
  </si>
  <si>
    <t>1098667993</t>
  </si>
  <si>
    <t>1098695502</t>
  </si>
  <si>
    <t>1100812386</t>
  </si>
  <si>
    <t>1106782913</t>
  </si>
  <si>
    <t>800000946</t>
  </si>
  <si>
    <t>800020220</t>
  </si>
  <si>
    <t>800020706</t>
  </si>
  <si>
    <t>800021057</t>
  </si>
  <si>
    <t>800024095</t>
  </si>
  <si>
    <t>800048373</t>
  </si>
  <si>
    <t>800052769</t>
  </si>
  <si>
    <t>800064126</t>
  </si>
  <si>
    <t>800077198</t>
  </si>
  <si>
    <t>800081507</t>
  </si>
  <si>
    <t>800118334</t>
  </si>
  <si>
    <t>800128867</t>
  </si>
  <si>
    <t>800137370</t>
  </si>
  <si>
    <t>800146643</t>
  </si>
  <si>
    <t>800167847</t>
  </si>
  <si>
    <t>800182498</t>
  </si>
  <si>
    <t>800186960</t>
  </si>
  <si>
    <t>800203984</t>
  </si>
  <si>
    <t>800208694</t>
  </si>
  <si>
    <t>800217623</t>
  </si>
  <si>
    <t>800220665</t>
  </si>
  <si>
    <t>800221789</t>
  </si>
  <si>
    <t>800223811</t>
  </si>
  <si>
    <t>800231596</t>
  </si>
  <si>
    <t>800240674</t>
  </si>
  <si>
    <t>800245795</t>
  </si>
  <si>
    <t>802024512</t>
  </si>
  <si>
    <t>811003604</t>
  </si>
  <si>
    <t>817002753</t>
  </si>
  <si>
    <t>820005297</t>
  </si>
  <si>
    <t>822007117</t>
  </si>
  <si>
    <t>826000099</t>
  </si>
  <si>
    <t>826002610</t>
  </si>
  <si>
    <t>830002366</t>
  </si>
  <si>
    <t>830006735</t>
  </si>
  <si>
    <t>830040709</t>
  </si>
  <si>
    <t>830049459</t>
  </si>
  <si>
    <t>830050346</t>
  </si>
  <si>
    <t>830051740</t>
  </si>
  <si>
    <t>830052452</t>
  </si>
  <si>
    <t>830061178</t>
  </si>
  <si>
    <t>830066015</t>
  </si>
  <si>
    <t>830081407</t>
  </si>
  <si>
    <t>830090230</t>
  </si>
  <si>
    <t>830106126</t>
  </si>
  <si>
    <t>830111367</t>
  </si>
  <si>
    <t>830115607</t>
  </si>
  <si>
    <t>830135173</t>
  </si>
  <si>
    <t>830507278</t>
  </si>
  <si>
    <t>860000258</t>
  </si>
  <si>
    <t>860000261</t>
  </si>
  <si>
    <t>860000452</t>
  </si>
  <si>
    <t>860000751</t>
  </si>
  <si>
    <t>860001697</t>
  </si>
  <si>
    <t>860002130</t>
  </si>
  <si>
    <t>860002274</t>
  </si>
  <si>
    <t>860002518</t>
  </si>
  <si>
    <t>860004922</t>
  </si>
  <si>
    <t>860007873</t>
  </si>
  <si>
    <t>860007955</t>
  </si>
  <si>
    <t>860013771</t>
  </si>
  <si>
    <t>860016385</t>
  </si>
  <si>
    <t>860020308</t>
  </si>
  <si>
    <t>860021475</t>
  </si>
  <si>
    <t>860025900</t>
  </si>
  <si>
    <t>860028238</t>
  </si>
  <si>
    <t>860028580</t>
  </si>
  <si>
    <t>860043836</t>
  </si>
  <si>
    <t>860049042</t>
  </si>
  <si>
    <t>860050625</t>
  </si>
  <si>
    <t>860074450</t>
  </si>
  <si>
    <t>860075498</t>
  </si>
  <si>
    <t>860501848</t>
  </si>
  <si>
    <t>860509926</t>
  </si>
  <si>
    <t>860511886</t>
  </si>
  <si>
    <t>860512475</t>
  </si>
  <si>
    <t>860527917</t>
  </si>
  <si>
    <t>860530547</t>
  </si>
  <si>
    <t>860600038</t>
  </si>
  <si>
    <t>890100363</t>
  </si>
  <si>
    <t>890101676</t>
  </si>
  <si>
    <t>890101815</t>
  </si>
  <si>
    <t>890201881</t>
  </si>
  <si>
    <t>890204134</t>
  </si>
  <si>
    <t>890209498</t>
  </si>
  <si>
    <t>890211194</t>
  </si>
  <si>
    <t>890212673</t>
  </si>
  <si>
    <t>890300466</t>
  </si>
  <si>
    <t>890300794</t>
  </si>
  <si>
    <t>890301054</t>
  </si>
  <si>
    <t>890301163</t>
  </si>
  <si>
    <t>890302546</t>
  </si>
  <si>
    <t>890302955</t>
  </si>
  <si>
    <t>890304130</t>
  </si>
  <si>
    <t>890319790</t>
  </si>
  <si>
    <t>890322007</t>
  </si>
  <si>
    <t>890326050</t>
  </si>
  <si>
    <t>890800718</t>
  </si>
  <si>
    <t>890900045</t>
  </si>
  <si>
    <t>890900098</t>
  </si>
  <si>
    <t>890900161</t>
  </si>
  <si>
    <t>890900943</t>
  </si>
  <si>
    <t>890901672</t>
  </si>
  <si>
    <t>890903436</t>
  </si>
  <si>
    <t>890903858</t>
  </si>
  <si>
    <t>890904478</t>
  </si>
  <si>
    <t>890905032</t>
  </si>
  <si>
    <t>890916575</t>
  </si>
  <si>
    <t>890920879</t>
  </si>
  <si>
    <t>890932124</t>
  </si>
  <si>
    <t>890935900</t>
  </si>
  <si>
    <t>891100445</t>
  </si>
  <si>
    <t>891300043</t>
  </si>
  <si>
    <t>891300237</t>
  </si>
  <si>
    <t>891300241</t>
  </si>
  <si>
    <t>891300382</t>
  </si>
  <si>
    <t>891304762</t>
  </si>
  <si>
    <t>891400378</t>
  </si>
  <si>
    <t>891801951</t>
  </si>
  <si>
    <t>891856457</t>
  </si>
  <si>
    <t>900012911</t>
  </si>
  <si>
    <t>900031833</t>
  </si>
  <si>
    <t>900053261</t>
  </si>
  <si>
    <t>900087414</t>
  </si>
  <si>
    <t>900095680</t>
  </si>
  <si>
    <t>900199968</t>
  </si>
  <si>
    <t>900221416</t>
  </si>
  <si>
    <t>900341086</t>
  </si>
  <si>
    <t>900341104</t>
  </si>
  <si>
    <t>900357770</t>
  </si>
  <si>
    <t>900409034</t>
  </si>
  <si>
    <t>900411683</t>
  </si>
  <si>
    <t>900417838</t>
  </si>
  <si>
    <t>900438907</t>
  </si>
  <si>
    <t>900474049</t>
  </si>
  <si>
    <t>900510953</t>
  </si>
  <si>
    <t>900524785</t>
  </si>
  <si>
    <t>900527370</t>
  </si>
  <si>
    <t>900590327</t>
  </si>
  <si>
    <t>900591038</t>
  </si>
  <si>
    <t>900643768</t>
  </si>
  <si>
    <t>900659798</t>
  </si>
  <si>
    <t>900685234</t>
  </si>
  <si>
    <t>900687877</t>
  </si>
  <si>
    <t>900825699</t>
  </si>
  <si>
    <t>900826678</t>
  </si>
  <si>
    <t>900828998</t>
  </si>
  <si>
    <t>900836512</t>
  </si>
  <si>
    <t>900858821</t>
  </si>
  <si>
    <t>900915285</t>
  </si>
  <si>
    <t>900963656</t>
  </si>
  <si>
    <t>900966577</t>
  </si>
  <si>
    <t>901053313</t>
  </si>
  <si>
    <t>901093901</t>
  </si>
  <si>
    <t>901095915</t>
  </si>
  <si>
    <t>901104523</t>
  </si>
  <si>
    <t>901131655</t>
  </si>
  <si>
    <t>901179900</t>
  </si>
  <si>
    <t>901187480</t>
  </si>
  <si>
    <t>901215882</t>
  </si>
  <si>
    <t>901241091</t>
  </si>
  <si>
    <t>901256379</t>
  </si>
  <si>
    <t>901260415</t>
  </si>
  <si>
    <t>901329196</t>
  </si>
  <si>
    <t>901331710</t>
  </si>
  <si>
    <t>901340682</t>
  </si>
  <si>
    <t>901352764</t>
  </si>
  <si>
    <t>901358726</t>
  </si>
  <si>
    <t>901379967</t>
  </si>
  <si>
    <t>901390015</t>
  </si>
  <si>
    <t>901414786</t>
  </si>
  <si>
    <t>901417150</t>
  </si>
  <si>
    <t>901424337</t>
  </si>
  <si>
    <t>901441755</t>
  </si>
  <si>
    <t>901454863</t>
  </si>
  <si>
    <t>901466575</t>
  </si>
  <si>
    <t>901474846</t>
  </si>
  <si>
    <t>901529322</t>
  </si>
  <si>
    <t>901685934</t>
  </si>
  <si>
    <t>901702338</t>
  </si>
  <si>
    <t>901751718</t>
  </si>
  <si>
    <t>901809269</t>
  </si>
  <si>
    <t>901817475</t>
  </si>
  <si>
    <t>901833793</t>
  </si>
  <si>
    <t>901849296</t>
  </si>
  <si>
    <t>901850573</t>
  </si>
  <si>
    <t>901892850</t>
  </si>
  <si>
    <t>901907494</t>
  </si>
  <si>
    <t>901909044</t>
  </si>
  <si>
    <t>901916796</t>
  </si>
  <si>
    <t>901976799</t>
  </si>
  <si>
    <t>6754173</t>
  </si>
  <si>
    <t>10540627</t>
  </si>
  <si>
    <t>52040488</t>
  </si>
  <si>
    <t>800218155</t>
  </si>
  <si>
    <t>830034195</t>
  </si>
  <si>
    <t>890942310</t>
  </si>
  <si>
    <t>900030538</t>
  </si>
  <si>
    <t>900269840</t>
  </si>
  <si>
    <t>900513940</t>
  </si>
  <si>
    <t>900726262</t>
  </si>
  <si>
    <t>901557282</t>
  </si>
  <si>
    <t>901563602</t>
  </si>
  <si>
    <t>901847918</t>
  </si>
  <si>
    <t>860011153</t>
  </si>
  <si>
    <t>3212285</t>
  </si>
  <si>
    <t>4053407</t>
  </si>
  <si>
    <t>7210835</t>
  </si>
  <si>
    <t>7212963</t>
  </si>
  <si>
    <t>7213266</t>
  </si>
  <si>
    <t>7213475</t>
  </si>
  <si>
    <t>7214055</t>
  </si>
  <si>
    <t>7214221</t>
  </si>
  <si>
    <t>7215270</t>
  </si>
  <si>
    <t>7219814</t>
  </si>
  <si>
    <t>7220014</t>
  </si>
  <si>
    <t>7222844</t>
  </si>
  <si>
    <t>7226847</t>
  </si>
  <si>
    <t>19144498</t>
  </si>
  <si>
    <t>23324929</t>
  </si>
  <si>
    <t>23350982</t>
  </si>
  <si>
    <t>39900922</t>
  </si>
  <si>
    <t>40028401</t>
  </si>
  <si>
    <t>40034427</t>
  </si>
  <si>
    <t>46352732</t>
  </si>
  <si>
    <t>46361530</t>
  </si>
  <si>
    <t>46364662</t>
  </si>
  <si>
    <t>46370750</t>
  </si>
  <si>
    <t>46372175</t>
  </si>
  <si>
    <t>46385093</t>
  </si>
  <si>
    <t>46453170</t>
  </si>
  <si>
    <t>46665799</t>
  </si>
  <si>
    <t>46670795</t>
  </si>
  <si>
    <t>46671091</t>
  </si>
  <si>
    <t>46671420</t>
  </si>
  <si>
    <t>46672145</t>
  </si>
  <si>
    <t>52370621</t>
  </si>
  <si>
    <t>74080765</t>
  </si>
  <si>
    <t>74130335</t>
  </si>
  <si>
    <t>74301115</t>
  </si>
  <si>
    <t>74345054</t>
  </si>
  <si>
    <t>74370538</t>
  </si>
  <si>
    <t>74371698</t>
  </si>
  <si>
    <t>74372236</t>
  </si>
  <si>
    <t>79319563</t>
  </si>
  <si>
    <t>96192347</t>
  </si>
  <si>
    <t>97446446</t>
  </si>
  <si>
    <t>222222222</t>
  </si>
  <si>
    <t>1001340727</t>
  </si>
  <si>
    <t>1020712616</t>
  </si>
  <si>
    <t>1050200381</t>
  </si>
  <si>
    <t>1052380230</t>
  </si>
  <si>
    <t>1052385751</t>
  </si>
  <si>
    <t>1052385991</t>
  </si>
  <si>
    <t>1052398679</t>
  </si>
  <si>
    <t>1052413678</t>
  </si>
  <si>
    <t>1057576689</t>
  </si>
  <si>
    <t>1076620914</t>
  </si>
  <si>
    <t>800028532</t>
  </si>
  <si>
    <t>800039813</t>
  </si>
  <si>
    <t>800046913</t>
  </si>
  <si>
    <t>800149695</t>
  </si>
  <si>
    <t>800173817</t>
  </si>
  <si>
    <t>800176089</t>
  </si>
  <si>
    <t>800199501</t>
  </si>
  <si>
    <t>800224808</t>
  </si>
  <si>
    <t>800234618</t>
  </si>
  <si>
    <t>800240258</t>
  </si>
  <si>
    <t>800256769</t>
  </si>
  <si>
    <t>826000226</t>
  </si>
  <si>
    <t>826001707</t>
  </si>
  <si>
    <t>826002299</t>
  </si>
  <si>
    <t>826003031</t>
  </si>
  <si>
    <t>830052998</t>
  </si>
  <si>
    <t>830054539</t>
  </si>
  <si>
    <t>830062902</t>
  </si>
  <si>
    <t>830063800</t>
  </si>
  <si>
    <t>830123265</t>
  </si>
  <si>
    <t>830125152</t>
  </si>
  <si>
    <t>830125736</t>
  </si>
  <si>
    <t>830132323</t>
  </si>
  <si>
    <t>860001307</t>
  </si>
  <si>
    <t>860002180</t>
  </si>
  <si>
    <t>860002400</t>
  </si>
  <si>
    <t>860008445</t>
  </si>
  <si>
    <t>860009578</t>
  </si>
  <si>
    <t>860032909</t>
  </si>
  <si>
    <t>860034313</t>
  </si>
  <si>
    <t>860037013</t>
  </si>
  <si>
    <t>860039988</t>
  </si>
  <si>
    <t>860058760</t>
  </si>
  <si>
    <t>860066942</t>
  </si>
  <si>
    <t>860069497</t>
  </si>
  <si>
    <t>860509485</t>
  </si>
  <si>
    <t>860530236</t>
  </si>
  <si>
    <t>860534244</t>
  </si>
  <si>
    <t>860536345</t>
  </si>
  <si>
    <t>890208788</t>
  </si>
  <si>
    <t>890321924</t>
  </si>
  <si>
    <t>890900099</t>
  </si>
  <si>
    <t>890903910</t>
  </si>
  <si>
    <t>891700037</t>
  </si>
  <si>
    <t>891800215</t>
  </si>
  <si>
    <t>891801069</t>
  </si>
  <si>
    <t>891855025</t>
  </si>
  <si>
    <t>891855066</t>
  </si>
  <si>
    <t>891855753</t>
  </si>
  <si>
    <t>891855859</t>
  </si>
  <si>
    <t>891856065</t>
  </si>
  <si>
    <t>891856147</t>
  </si>
  <si>
    <t>891856425</t>
  </si>
  <si>
    <t>900018756</t>
  </si>
  <si>
    <t>900028166</t>
  </si>
  <si>
    <t>900225690</t>
  </si>
  <si>
    <t>900227853</t>
  </si>
  <si>
    <t>900352772</t>
  </si>
  <si>
    <t>900355024</t>
  </si>
  <si>
    <t>900362477</t>
  </si>
  <si>
    <t>900373012</t>
  </si>
  <si>
    <t>900410314</t>
  </si>
  <si>
    <t>900411327</t>
  </si>
  <si>
    <t>900412256</t>
  </si>
  <si>
    <t>900479669</t>
  </si>
  <si>
    <t>900497080</t>
  </si>
  <si>
    <t>900509433</t>
  </si>
  <si>
    <t>900555902</t>
  </si>
  <si>
    <t>900581542</t>
  </si>
  <si>
    <t>900683549</t>
  </si>
  <si>
    <t>900700866</t>
  </si>
  <si>
    <t>900758785</t>
  </si>
  <si>
    <t>900779365</t>
  </si>
  <si>
    <t>900787967</t>
  </si>
  <si>
    <t>900807910</t>
  </si>
  <si>
    <t>900938215</t>
  </si>
  <si>
    <t>901039225</t>
  </si>
  <si>
    <t>901058835</t>
  </si>
  <si>
    <t>901093606</t>
  </si>
  <si>
    <t>901112920</t>
  </si>
  <si>
    <t>901190402</t>
  </si>
  <si>
    <t>901226537</t>
  </si>
  <si>
    <t>901270325</t>
  </si>
  <si>
    <t>901274228</t>
  </si>
  <si>
    <t>901307747</t>
  </si>
  <si>
    <t>901335916</t>
  </si>
  <si>
    <t>901354558</t>
  </si>
  <si>
    <t>901354647</t>
  </si>
  <si>
    <t>901371452</t>
  </si>
  <si>
    <t>901392026</t>
  </si>
  <si>
    <t>901466415</t>
  </si>
  <si>
    <t>901475927</t>
  </si>
  <si>
    <t>901519299</t>
  </si>
  <si>
    <t>901541201</t>
  </si>
  <si>
    <t>901585374</t>
  </si>
  <si>
    <t>901613025</t>
  </si>
  <si>
    <t>901614223</t>
  </si>
  <si>
    <t>901618194</t>
  </si>
  <si>
    <t>901624416</t>
  </si>
  <si>
    <t>901668793</t>
  </si>
  <si>
    <t>901772589</t>
  </si>
  <si>
    <t>901772707</t>
  </si>
  <si>
    <t>901827768</t>
  </si>
  <si>
    <t>901838878</t>
  </si>
  <si>
    <t>901849037</t>
  </si>
  <si>
    <t>800203221</t>
  </si>
  <si>
    <t>5630662</t>
  </si>
  <si>
    <t>7221158</t>
  </si>
  <si>
    <t>7221674</t>
  </si>
  <si>
    <t>7227666</t>
  </si>
  <si>
    <t>23449488</t>
  </si>
  <si>
    <t>23914478</t>
  </si>
  <si>
    <t>46669221</t>
  </si>
  <si>
    <t>74371967</t>
  </si>
  <si>
    <t>79722981</t>
  </si>
  <si>
    <t>80894843</t>
  </si>
  <si>
    <t>1000859353</t>
  </si>
  <si>
    <t>1048690204</t>
  </si>
  <si>
    <t>1052398636</t>
  </si>
  <si>
    <t>1052399091</t>
  </si>
  <si>
    <t>1052416974</t>
  </si>
  <si>
    <t>1057593320</t>
  </si>
  <si>
    <t>1090535866</t>
  </si>
  <si>
    <t>1102367113</t>
  </si>
  <si>
    <t>1115865836</t>
  </si>
  <si>
    <t>1123114179</t>
  </si>
  <si>
    <t>860007738</t>
  </si>
  <si>
    <t>SOLANO MALPICA PEDRO MANUEL</t>
  </si>
  <si>
    <t xml:space="preserve">PINEDA GACHARNA ARISTIDES </t>
  </si>
  <si>
    <t>RINCON GALVIS FRANCKLYN ALFREDO</t>
  </si>
  <si>
    <t>SUAREZ PARDO MARTHA CECILIA</t>
  </si>
  <si>
    <t>AGUILAR LOZANO LUIS ALBERTO</t>
  </si>
  <si>
    <t xml:space="preserve">GONZALEZ TIRIA RODOLFO </t>
  </si>
  <si>
    <t>BECERRA RIVERA JOSE REMIGIO</t>
  </si>
  <si>
    <t>PARRA IBAÑEZ LUIS ENRIQUE</t>
  </si>
  <si>
    <t>ZABALA CRISTANCHO JOSE PLUTARCO</t>
  </si>
  <si>
    <t xml:space="preserve">PATIÑO HERNANDEZ JAVIER </t>
  </si>
  <si>
    <t xml:space="preserve">TRUJILLO HERNANDEZ NARCISO </t>
  </si>
  <si>
    <t>SAENZ MARTINEZ MIGUEL ANTONIO</t>
  </si>
  <si>
    <t>GARCIA CASTILLO CLARA INES</t>
  </si>
  <si>
    <t xml:space="preserve">RIOS PEREZ FLORALBA </t>
  </si>
  <si>
    <t>LOPEZ ARIAS DIEGO ARMANDO</t>
  </si>
  <si>
    <t>CIPAGAUTA RODRIGUEZ PEDRO NEL</t>
  </si>
  <si>
    <t>NOVA PEÑA FREDY ALEXANDER</t>
  </si>
  <si>
    <t>CASTRO RIOS LUIS CARLOS</t>
  </si>
  <si>
    <t>CRISTANCHO ALBARRACIN WILLIAM ARTURO</t>
  </si>
  <si>
    <t>ARANGUREN CRUZ FRANCISCO  DE PAULA</t>
  </si>
  <si>
    <t>RODRIGUEZ CALVACHE KAREM VALENTINA</t>
  </si>
  <si>
    <t>GUTIERREZ ESPITIA EDWIN ANTONIO</t>
  </si>
  <si>
    <t>PROASISTEMAS S.A.</t>
  </si>
  <si>
    <t>CLARO SOLUCIONES MOVILES  S.A.</t>
  </si>
  <si>
    <t>ENVIA S.A.</t>
  </si>
  <si>
    <t>BLINDEX SA</t>
  </si>
  <si>
    <t>VATIA S.A. E.S.P.</t>
  </si>
  <si>
    <t>CELIS NIÑO SOLOMAQUINAS SAS</t>
  </si>
  <si>
    <t>ANALIZAR LABORATORIO FISICOQUIMICO LTDA</t>
  </si>
  <si>
    <t>ALMACENES PARAISO SA</t>
  </si>
  <si>
    <t>CUERPO DE BOMBEROS VOLUNTARIOS DE PAIPA</t>
  </si>
  <si>
    <t>GAS NATURAL CUNDIBOYACENSE S.A.</t>
  </si>
  <si>
    <t>COLOMBIA TELECOMUNICACIONES S.A.</t>
  </si>
  <si>
    <t>TRACKER DE COLOMBIA SAS</t>
  </si>
  <si>
    <t>COMPAÑIA DE SERVICIOS PUBLICOS</t>
  </si>
  <si>
    <t>EMPRESA DE ENERGIA DE BOYACA S.A.</t>
  </si>
  <si>
    <t>MUNICIPIO DE SOGAMOSO</t>
  </si>
  <si>
    <t>MUNICIPIO DE DUITAMA</t>
  </si>
  <si>
    <t>BENEMERITO CUERPO DE BOMBEROS VOLUNTARIOS DE DUITAMA</t>
  </si>
  <si>
    <t>EMPRESA DE SERVICIOS PUBLICOS DOMICILIARIOS DE DUITAMA</t>
  </si>
  <si>
    <t>SMR EL RESPLANDOR SAS</t>
  </si>
  <si>
    <t>UNE PM TELECOMUNICACIONES</t>
  </si>
  <si>
    <t>BRAND SOLUTIONS SAS</t>
  </si>
  <si>
    <t>EMPRESA REGIONAL PARA EL MANEJO INTEGRAL DE RESIDUOS SA</t>
  </si>
  <si>
    <t>CENTRO DE DIAGNOSTICO LA PERLA</t>
  </si>
  <si>
    <t>SERVIDIESEL M Y P LTDA</t>
  </si>
  <si>
    <t>RED VITAL PAIPA E.S.P</t>
  </si>
  <si>
    <t>SERVIASEO DUITAMA S.A. E.S.P.</t>
  </si>
  <si>
    <t>SAMM COLOMBINA SAS</t>
  </si>
  <si>
    <t>SOLUCIONES INTEGRALES EN SISTEMAS COLOMBIA SAS</t>
  </si>
  <si>
    <t>COLOMBIA MAS TV SAS</t>
  </si>
  <si>
    <t>VALUE CONECTION</t>
  </si>
  <si>
    <t>RUTA I &amp; M S.A.S</t>
  </si>
  <si>
    <t>TEIXPAC LATAM SAS</t>
  </si>
  <si>
    <t>MAS SALUD COLOMBIA SAS</t>
  </si>
  <si>
    <t>NICE COMUNICACIONES SAS</t>
  </si>
  <si>
    <t>SENSORMATIC COLOMBIA SAS</t>
  </si>
  <si>
    <t>MEDICIONES TECNOLOGICAS SAS</t>
  </si>
  <si>
    <t xml:space="preserve">CAMARGO  ALBERTO </t>
  </si>
  <si>
    <t>TIQUE DE ESPEJO MARIA NINFA</t>
  </si>
  <si>
    <t>ESPEJO TIQUE EDINSON MARIO</t>
  </si>
  <si>
    <t xml:space="preserve">ESPEJO TIQUE OSVALDO </t>
  </si>
  <si>
    <t>ESPEJO TIQUE RAFAEL ANDRES</t>
  </si>
  <si>
    <t>RODRIGUEZ  ROLFE URIEL</t>
  </si>
  <si>
    <t>ANTOLINES TORRES LUIS  FELIPE</t>
  </si>
  <si>
    <t>VARGAS TIBADUIZA SAUL ANTONIO</t>
  </si>
  <si>
    <t xml:space="preserve">SUAREZ AVENDAÑO JAVIER </t>
  </si>
  <si>
    <t>HUERTAS MESA JOSE DIOMEDEZ</t>
  </si>
  <si>
    <t>GUERRERO ARIAS JOSE FABIO</t>
  </si>
  <si>
    <t>FUQUEN  FERNEY AUGUSTO</t>
  </si>
  <si>
    <t>SANA MARENTES JHON  ALEXANDER</t>
  </si>
  <si>
    <t>CADENA GONZALEZ EDGAR EDUARDO</t>
  </si>
  <si>
    <t xml:space="preserve">GARCIA SIZA RAUL </t>
  </si>
  <si>
    <t>SANCHEZ  JOSE VICENTE</t>
  </si>
  <si>
    <t>CORREA HERNANDEZ CARLOS JULIO</t>
  </si>
  <si>
    <t>MELO FONSECA LUIS MESIAS</t>
  </si>
  <si>
    <t xml:space="preserve">ROJAS MESA TOMAS </t>
  </si>
  <si>
    <t>RIAÑO MARTINEZ CARLOS OMAIRO</t>
  </si>
  <si>
    <t>CHAPARRO ARANGUREN LUCIANO JAVIER</t>
  </si>
  <si>
    <t>JOYA JOYA FREDY ALBERTO</t>
  </si>
  <si>
    <t xml:space="preserve">BECERRA LANCHEROS TIBERIO </t>
  </si>
  <si>
    <t>SOTELO GRIMALDO GUSTAVO SANTOS</t>
  </si>
  <si>
    <t xml:space="preserve">BURGOS RODRIGUEZ ODUAL </t>
  </si>
  <si>
    <t>BOHORQUEZ ALBA PEDRO ANTONIO</t>
  </si>
  <si>
    <t>MORALES PACHEC0 JUAN RICARDO</t>
  </si>
  <si>
    <t>BECERRA MARTINEZ SIERVO DE  JESUS</t>
  </si>
  <si>
    <t>MARQUEZ GARCIA HUGO ALIRIO</t>
  </si>
  <si>
    <t>BECERRA GONZALEZ ANGEL MEDARDO</t>
  </si>
  <si>
    <t>SANDOVAL MORENO JAIRO ENRIQUE</t>
  </si>
  <si>
    <t>CARDENAS PUERTO JAIRO ALIRIO</t>
  </si>
  <si>
    <t>AYALA AYALA JAIRO  ENRIQUE</t>
  </si>
  <si>
    <t>REYES  MARTINEZ JULIO RICARDO</t>
  </si>
  <si>
    <t>PLAZAS BARRERA EDGAR MAURICIO</t>
  </si>
  <si>
    <t>ROJAS CASTRO CARLOS JULIO</t>
  </si>
  <si>
    <t>BARRERA SOLANO JUAN</t>
  </si>
  <si>
    <t>CARVAJAL ARAQUE PEDRO CAMILO  ERNESTO</t>
  </si>
  <si>
    <t>TRIANA CORREDOR ALVARO</t>
  </si>
  <si>
    <t xml:space="preserve">PICO CELIS EDGAR </t>
  </si>
  <si>
    <t>GOMEZ MANRIQUE RAUL FERNANDO</t>
  </si>
  <si>
    <t>GOMEZ MANRIQUE SERGIO IVAN</t>
  </si>
  <si>
    <t>PICO CELIS CARLOS   ARIEL</t>
  </si>
  <si>
    <t>RAMIREZ  JOSE DANIEL</t>
  </si>
  <si>
    <t>VELASQUEZ MONTES JUAN DAVID</t>
  </si>
  <si>
    <t xml:space="preserve">GONZALEZ PINZON OSCAR </t>
  </si>
  <si>
    <t>ACEVEDO RODRIGUEZ MARIA LYDIA</t>
  </si>
  <si>
    <t>DOMINGUEZ SANCHEZ RITA EMMA</t>
  </si>
  <si>
    <t>CAMARGO MELENDEZ GLADYS AIDA</t>
  </si>
  <si>
    <t>GARZON MORENO MARTHA CLEMENCIA</t>
  </si>
  <si>
    <t>SUAREZ MENDOZA CLARA MARCELA</t>
  </si>
  <si>
    <t>AVENDAÑO AVENDAÑO ANA ROCIO</t>
  </si>
  <si>
    <t xml:space="preserve">PEDRAZA AYALA MIREYA </t>
  </si>
  <si>
    <t>PACANCHIQUE UYAZAN RUTH CRISTINA</t>
  </si>
  <si>
    <t xml:space="preserve">CHAPARRO PATIÑO DORIS </t>
  </si>
  <si>
    <t>RINCON ALVAREZ MARIA ELVIA</t>
  </si>
  <si>
    <t>MARTINEZ TORRES ROSA VIVIANA</t>
  </si>
  <si>
    <t>MURILLO ROJAS MYRIAM YOLANDA</t>
  </si>
  <si>
    <t>DIAZ ALFONSO ROSA TULIA</t>
  </si>
  <si>
    <t>GARCIA RICO GLORIA ESPERANZA</t>
  </si>
  <si>
    <t>PATARROYO RAMIREZ MARTHA LUCIA</t>
  </si>
  <si>
    <t>GARAVITO LEON LUZ   MARINA</t>
  </si>
  <si>
    <t>CANO RODRIGUEZ LUZ ALBA</t>
  </si>
  <si>
    <t xml:space="preserve">GUERRERO BURGOS MIRELLA </t>
  </si>
  <si>
    <t>ORTIZ HERNANDEZ CLAUDIA MARITZA</t>
  </si>
  <si>
    <t xml:space="preserve">RUIZ MERCHAN MERY </t>
  </si>
  <si>
    <t xml:space="preserve">ORTIZ CARREÑO MARGARITA </t>
  </si>
  <si>
    <t>PINEDA CAMARGO SANDRA YESNITH</t>
  </si>
  <si>
    <t>SANCHEZ VARGAS CLARA INES</t>
  </si>
  <si>
    <t>GALAN BONILLA LIDIA YANETH</t>
  </si>
  <si>
    <t>CASTRILLON TORO REGINA DEL SOCORRO</t>
  </si>
  <si>
    <t xml:space="preserve">MOSO GUTIERREZ LETICIA </t>
  </si>
  <si>
    <t>MARTINEZ MARTINEZ BLANCA NUBIA</t>
  </si>
  <si>
    <t>HERRERA  ARIZA LUZ MARINA</t>
  </si>
  <si>
    <t xml:space="preserve">AVELLA MARTINEZ ESPERANZA </t>
  </si>
  <si>
    <t>GUARIN TORRES OLGA LUCIA</t>
  </si>
  <si>
    <t>SIERRA COLMENARES YUSLENDY EDELMIRA</t>
  </si>
  <si>
    <t>RINCON LAVACUDE MARIA CRISTINA</t>
  </si>
  <si>
    <t>NEIRA ALVAREZ MAYERLY BEATRIZ</t>
  </si>
  <si>
    <t xml:space="preserve">RUIZ VERGARA MERCEDES </t>
  </si>
  <si>
    <t>GONZALEZ CHAPARRO CLAUDIA LEONOR</t>
  </si>
  <si>
    <t>FONSECA RODRIGUEZ DORIS PATRICIA</t>
  </si>
  <si>
    <t>ZABALA BOADA OLGA EDELMIRA</t>
  </si>
  <si>
    <t xml:space="preserve">BECERRA PITA ROSANA </t>
  </si>
  <si>
    <t xml:space="preserve">GOMEZ PARRA NORALBA </t>
  </si>
  <si>
    <t>GARCIA RODRIGUEZ MARIA ELENA</t>
  </si>
  <si>
    <t xml:space="preserve">MENJURE GOMEZ ROSALBA </t>
  </si>
  <si>
    <t>PINEDA NIÑO CLAUDIA INES</t>
  </si>
  <si>
    <t xml:space="preserve">DIAZ RINCON EDILIA </t>
  </si>
  <si>
    <t>AMADO FAJARDO SANDRA PATRICIA</t>
  </si>
  <si>
    <t>CORREDOR DUCON CARMEN ROSA</t>
  </si>
  <si>
    <t>QUINTANA TORRES MAGDA LUCERO</t>
  </si>
  <si>
    <t>LARROTTA RODRIGUEZ SANDRA ZULIETH</t>
  </si>
  <si>
    <t>FONSECA MONROY MARTHA LILIANA</t>
  </si>
  <si>
    <t>SUAREZ BECERRA MERY NUBIA</t>
  </si>
  <si>
    <t>CORREDOR DUCON MARIA ANTONIA</t>
  </si>
  <si>
    <t xml:space="preserve">RUIZ CORREA NEYLA </t>
  </si>
  <si>
    <t>CANO NOVA DORA INES</t>
  </si>
  <si>
    <t>GONZALEZ PUENTES CLAUDIA PATRICIA</t>
  </si>
  <si>
    <t xml:space="preserve">ROJAS MESA ELVIRA </t>
  </si>
  <si>
    <t>CAMACHO GAMBOA MARIA SUSANA</t>
  </si>
  <si>
    <t>CABALLERO CEPEDA MARTIZA JOHANA</t>
  </si>
  <si>
    <t xml:space="preserve">ZABALA SOLANO CARMEN </t>
  </si>
  <si>
    <t>CEPEDA LOPEZ CAMPO ELIAS</t>
  </si>
  <si>
    <t>VALERO CARDENAS WILFRED FERNANDO</t>
  </si>
  <si>
    <t>GARZON SUAREZ OSCAR JULIAN</t>
  </si>
  <si>
    <t xml:space="preserve">SOSA ROZO FREDY </t>
  </si>
  <si>
    <t>CRUZ CHIQUILLO LUIS  EDUARDO</t>
  </si>
  <si>
    <t>ALVAREZ  PABLO EMILIO</t>
  </si>
  <si>
    <t>GALLO ROJAS CARLOS HERNANDO</t>
  </si>
  <si>
    <t xml:space="preserve">PEDRAZA AYALA RODULFO </t>
  </si>
  <si>
    <t>GARRIDO MORENO IVAN GUILLERMO</t>
  </si>
  <si>
    <t>SANDOVAL SANDOVAL EDGAR MAURICIO</t>
  </si>
  <si>
    <t>GOMEZ MARTINEZ LUIS ALEJANDRO</t>
  </si>
  <si>
    <t>PEREZ RAMIREZ CARLOS ANDRES</t>
  </si>
  <si>
    <t xml:space="preserve">DELGADO GARCIA HERNAN </t>
  </si>
  <si>
    <t xml:space="preserve">GOMEZ MARTINEZ WILFREDO </t>
  </si>
  <si>
    <t>ZEA  JOHN FREDY</t>
  </si>
  <si>
    <t>LOPEZ GONZALEZ EDILBERTO FRANCISCO</t>
  </si>
  <si>
    <t xml:space="preserve">CHAPARRO CADENA OCTAVIO </t>
  </si>
  <si>
    <t>PINILLA ZAMORA JORGE  ALIRIO</t>
  </si>
  <si>
    <t xml:space="preserve">ACEVEDO GUTIERREZ ALCIDES </t>
  </si>
  <si>
    <t xml:space="preserve">RIAÑO HERRERA FERNEY </t>
  </si>
  <si>
    <t>FABRA PALACIOS JOSE  FRANCISCO</t>
  </si>
  <si>
    <t>MADRID PULIDO IVAN FERNANDO</t>
  </si>
  <si>
    <t>DANIELA CATALINA GARAVITO CERON</t>
  </si>
  <si>
    <t>BURGOS LEON ESTEFANY JULIANA</t>
  </si>
  <si>
    <t>PEÑA CONTRERAS NELAH DIANNE</t>
  </si>
  <si>
    <t>RAMIREZ LOPEZ JOSE  DAVID</t>
  </si>
  <si>
    <t>PEÑA REYES ANGELICA MARIA</t>
  </si>
  <si>
    <t>BECERRA  WILLIAM DAVID</t>
  </si>
  <si>
    <t>CARMARGO VALDERRAMA YENI ROCIO</t>
  </si>
  <si>
    <t>CORREDOR CORREA SAMUEL EDILBERTO</t>
  </si>
  <si>
    <t xml:space="preserve">GOMEZ HIGUERA YEIMY </t>
  </si>
  <si>
    <t xml:space="preserve">ROJAS CADENA JEISON </t>
  </si>
  <si>
    <t>HIGUERA MOLINA CLAUDIA ISABEL</t>
  </si>
  <si>
    <t>GUEVARA VELANDIA EDISON ANDRES</t>
  </si>
  <si>
    <t>PACHECO REMIREZ JULIAN CAMILO</t>
  </si>
  <si>
    <t>ACEVEDO MESA MARIO ANDRES</t>
  </si>
  <si>
    <t>MARQUE VARGAS INGRID KARINA</t>
  </si>
  <si>
    <t>CELIS CONTRERAS MAURA NATALIA</t>
  </si>
  <si>
    <t>LARGO GOMEZ CRISTIAN FARID</t>
  </si>
  <si>
    <t xml:space="preserve">LOZANO PINEDA ALEJANDRO </t>
  </si>
  <si>
    <t xml:space="preserve">PAMPLONA PAMPLONA ESDUAR </t>
  </si>
  <si>
    <t>BAUTISTA CEPEDA FRANKLIN DANIEL</t>
  </si>
  <si>
    <t>TUTA LEON LINA XIOMARA</t>
  </si>
  <si>
    <t>GONZALEZ GUERRA YESICA PAOLA</t>
  </si>
  <si>
    <t>NAVARRETE GIL DARIO ANTONIO</t>
  </si>
  <si>
    <t xml:space="preserve">MALDONADO MARTINEZ EDWIN </t>
  </si>
  <si>
    <t>VARGAS LEON ADRIANA ROCIO</t>
  </si>
  <si>
    <t>PEDRAZA GOMEZ KAROL DAYAN</t>
  </si>
  <si>
    <t>MUÑOZ AVILA CRISTIAN ANDREY</t>
  </si>
  <si>
    <t>CARDENAS SOLANO LISETH VIVIANA</t>
  </si>
  <si>
    <t>PEÑA CARVAJAL JULIO ANDRES</t>
  </si>
  <si>
    <t xml:space="preserve">PINTO VEGA LEOCADIO </t>
  </si>
  <si>
    <t>NIÑO GRANADOS FABIAN LEONARDO</t>
  </si>
  <si>
    <t>LEON LEON OSCAR  YAMITH</t>
  </si>
  <si>
    <t xml:space="preserve">RIOS CHAVEZ MARCELA </t>
  </si>
  <si>
    <t>PROCTER &amp; GAMBLE COLOMBIA LTDA</t>
  </si>
  <si>
    <t>AGROINDUSTRIAL MOLINO SONORA AP SAS</t>
  </si>
  <si>
    <t>NALSANI S.A</t>
  </si>
  <si>
    <t>TECNOALIMENTARIA LTDA</t>
  </si>
  <si>
    <t>MANITOBA S.A.S.</t>
  </si>
  <si>
    <t>COMPAÑIA NACIONAL DE TEXTILES SAS</t>
  </si>
  <si>
    <t>DOMANCO SAS</t>
  </si>
  <si>
    <t>INDUSTRIA PANIFICADORA EL COUNTRY LTDA</t>
  </si>
  <si>
    <t>DISTRIBUCIONES SURTILIMA SAS</t>
  </si>
  <si>
    <t>RITCHI S.A.S.</t>
  </si>
  <si>
    <t>BELLEZA EXPRESS S.A.</t>
  </si>
  <si>
    <t>OPTION S.A.</t>
  </si>
  <si>
    <t>FONANDES S.A.S.</t>
  </si>
  <si>
    <t>CONGRUPO S.A.S.</t>
  </si>
  <si>
    <t>PRODUCTOS FLORESTA SAS</t>
  </si>
  <si>
    <t>INDUSTRIAS KATORI SAS</t>
  </si>
  <si>
    <t>ALTIPAL SAS</t>
  </si>
  <si>
    <t>SIMONIZ S.A</t>
  </si>
  <si>
    <t>TECNICAS SERVICIOS LABORATORIOS SA</t>
  </si>
  <si>
    <t>FANTIPLAS LTDA</t>
  </si>
  <si>
    <t>EUROCOL LTDA</t>
  </si>
  <si>
    <t>BRINSA SA</t>
  </si>
  <si>
    <t>MOLINOS EL YOPAL SAS</t>
  </si>
  <si>
    <t>CORPORACION PANELERA DOÑA PANELA LTDA</t>
  </si>
  <si>
    <t>SKY S.A.S</t>
  </si>
  <si>
    <t>LACTALIS COLOMBIA LTDA</t>
  </si>
  <si>
    <t>NIDALCA S.A.</t>
  </si>
  <si>
    <t>TRILLADORA LA MONTAÑA</t>
  </si>
  <si>
    <t>SOFTYS COLOMBIA S.A.</t>
  </si>
  <si>
    <t>INVERSIONES SANTA ELISA LTDA</t>
  </si>
  <si>
    <t xml:space="preserve">DISTRIBUCIONES LA NIEVE </t>
  </si>
  <si>
    <t>FABRIASEO S.A.S.</t>
  </si>
  <si>
    <t>INDUSTRIA GRAN PANZOTE LTDA</t>
  </si>
  <si>
    <t>BIMBO DE COLOMBIA SA</t>
  </si>
  <si>
    <t>ALIMENTOS POLAR COLOMBIA SAS</t>
  </si>
  <si>
    <t>COMERCIALIZADORA NACIONAL SAS LTDA</t>
  </si>
  <si>
    <t>COMERCIALIZADORA MARIA JOSE LTDA</t>
  </si>
  <si>
    <t>NESTLE PURINA PET CARE DE COLOMBIA S A</t>
  </si>
  <si>
    <t>PROTEX S.A.S.</t>
  </si>
  <si>
    <t>COMPAÑIA NACIONAL DE PASABOCAS PIQUITOS SAS</t>
  </si>
  <si>
    <t>FIBERTEX CORPORACION</t>
  </si>
  <si>
    <t>COLOMBOESPAÑOLA DE CONSERVAS LTDA</t>
  </si>
  <si>
    <t>AJE COLOMBIA SAS</t>
  </si>
  <si>
    <t>MOLINO CASANARE SAS C.I.</t>
  </si>
  <si>
    <t>LA ESPERANZA INDUSTRIAL DE ALIMENTOS LTDA</t>
  </si>
  <si>
    <t>SU DESPENSA DE GRANOS BARRAGAN S.A.</t>
  </si>
  <si>
    <t>MANUFACTURAS PARA CEREALES SA</t>
  </si>
  <si>
    <t>MANUFACTURAS REYMON SA</t>
  </si>
  <si>
    <t>GLORIA COLOMBIA SAS</t>
  </si>
  <si>
    <t>COMAPAN S.A.</t>
  </si>
  <si>
    <t>LEVAPAN S.A.</t>
  </si>
  <si>
    <t>MANUFACTURAS ELIOT S.A.S.</t>
  </si>
  <si>
    <t>HENKEL COLOMBIANA S.A.S.</t>
  </si>
  <si>
    <t>GASEOSAS LUX SAS</t>
  </si>
  <si>
    <t>NESTLE DE COLOMBIA S.A.</t>
  </si>
  <si>
    <t>ETERNA S.A.</t>
  </si>
  <si>
    <t>UNILEVER ANDINA COLOMBIA LTDA</t>
  </si>
  <si>
    <t>PRODUCTOS NATURALES DE LA SABANA S.A.</t>
  </si>
  <si>
    <t>HARTUNG &amp; CIA S.A.</t>
  </si>
  <si>
    <t>GRADEZCO LTDA</t>
  </si>
  <si>
    <t>AJOVER DARNEL  S.A.S.</t>
  </si>
  <si>
    <t>INDUSTRIAS KORES S.A.</t>
  </si>
  <si>
    <t>COMESTIBLES RICOS S.A.</t>
  </si>
  <si>
    <t>INDUSTRIA COLOMBIANA DE CARNE S.A.</t>
  </si>
  <si>
    <t>ALPINA PRODUCTOS ALIMENTICIOS SA</t>
  </si>
  <si>
    <t>FABRICA DE ESPECIAS Y PRODUCTOS EL REY S.A.</t>
  </si>
  <si>
    <t>DISPAPELES S.A.S.</t>
  </si>
  <si>
    <t>PRODUCTOS ITALA LTDA</t>
  </si>
  <si>
    <t>COMESTIBLES ITALO S.A.</t>
  </si>
  <si>
    <t>INDUSTRIA SANTA CLARA S.A.S</t>
  </si>
  <si>
    <t>QUALA S.A.</t>
  </si>
  <si>
    <t>MORENOS SAS</t>
  </si>
  <si>
    <t>COMPAÑIA INDUSTRIAL DE CEREALES S.A.</t>
  </si>
  <si>
    <t>INVERSIONES BOGA LTDA</t>
  </si>
  <si>
    <t>INDUSTRIAS LA CORUÑA LTDA</t>
  </si>
  <si>
    <t>CERESCOS SAS</t>
  </si>
  <si>
    <t>INDUSTRIAS BISONTE S.A.</t>
  </si>
  <si>
    <t>MULTIDIMENSIONALES SAS</t>
  </si>
  <si>
    <t>DISTRIBUCIONES BELLA LUZ SAS</t>
  </si>
  <si>
    <t>LABORATORIOS COFARMA S.A.</t>
  </si>
  <si>
    <t>FABRICA DE BOLSAS DE PAPEL UNIBOL S.A.</t>
  </si>
  <si>
    <t>KENVUE COLOMBIA SA</t>
  </si>
  <si>
    <t>AVIDESA MAC POLLO S.A</t>
  </si>
  <si>
    <t>PASTOR JULIO DELGADO S.A</t>
  </si>
  <si>
    <t>GRUPO ALIMENTICIO ALBA DEL FONCE S A S</t>
  </si>
  <si>
    <t>GIRONES S.A</t>
  </si>
  <si>
    <t>ICOHARINAS S.A.S</t>
  </si>
  <si>
    <t>TECNOQUIMICAS S.A.</t>
  </si>
  <si>
    <t>PLASTICOS RIMAX SAS</t>
  </si>
  <si>
    <t>TORRECAFE AGUILA ROJA &amp; CIA. S.A.</t>
  </si>
  <si>
    <t>DISTRIBUIDORA COLOMBINA LTDA</t>
  </si>
  <si>
    <t>ENERGIZER DE COLOMBIA S.A.</t>
  </si>
  <si>
    <t>RECAMIER SA</t>
  </si>
  <si>
    <t>ALIMENTOS CARNICOS S.A.S.</t>
  </si>
  <si>
    <t>PROIMPO SAS</t>
  </si>
  <si>
    <t>QUIMPAC DE COLOMBIA S.A.</t>
  </si>
  <si>
    <t>AGRICOLA HIMALAYA S.A.</t>
  </si>
  <si>
    <t>CASA LUKER</t>
  </si>
  <si>
    <t>INDUSTRIA JABONERA LA JIRAFA SAS</t>
  </si>
  <si>
    <t>LANDERS Y CIA S.A.S.</t>
  </si>
  <si>
    <t>PRODUCTOS FAMILIA S.A.</t>
  </si>
  <si>
    <t>COLOMBIANA DE COMERCIO S.A.</t>
  </si>
  <si>
    <t>CRYSTAL S.A.S.</t>
  </si>
  <si>
    <t>MCM COMPANY SAS</t>
  </si>
  <si>
    <t>INDUSTRIA NACIONAL DE GASEOSAS S.A.</t>
  </si>
  <si>
    <t>COOPERATIVA COLANTA</t>
  </si>
  <si>
    <t>PREBEL S.A</t>
  </si>
  <si>
    <t>DISTRIBUIDORA DE VINOS Y LICORES SAS</t>
  </si>
  <si>
    <t>VITAMAR S.A.</t>
  </si>
  <si>
    <t>REJIPLAS SAS</t>
  </si>
  <si>
    <t>TOSTADITOS SUSANITA SAS</t>
  </si>
  <si>
    <t>ORGANIZACION ROA FLORHUILA SA</t>
  </si>
  <si>
    <t>BEISBOL DE COLOMBIA S.A.S.</t>
  </si>
  <si>
    <t>INCAUCA S.A.</t>
  </si>
  <si>
    <t>MANUELITA S.A.</t>
  </si>
  <si>
    <t>HARINERA DEL VALLE S.A.</t>
  </si>
  <si>
    <t>ITALCOL DE OCCIDENTE SA</t>
  </si>
  <si>
    <t>PAPELES NACIONALES SA</t>
  </si>
  <si>
    <t>FAMA S.A.S.</t>
  </si>
  <si>
    <t>INVERSIONES EL DORADO S.A.S</t>
  </si>
  <si>
    <t>FRUTALIA DE COLOMBIA LTDA</t>
  </si>
  <si>
    <t>ALIMENTOS PIPPO SAS</t>
  </si>
  <si>
    <t>ILUMAX SA</t>
  </si>
  <si>
    <t>RIOPAILA CASTILLA S.A.</t>
  </si>
  <si>
    <t>PRODUCTOS ALIMENTICIOS BELLINI S.A.S</t>
  </si>
  <si>
    <t>GARES Y CIA LTDA</t>
  </si>
  <si>
    <t>PROCESADORA Y COMERCIALIZADORA DE ALIMENTOS ROJAS ALBARRACIN</t>
  </si>
  <si>
    <t>COMERCIAL NUTRESA S.A.S.</t>
  </si>
  <si>
    <t>KARMEN FOODS S.A.S.</t>
  </si>
  <si>
    <t>NUKLEAR E.U.</t>
  </si>
  <si>
    <t>TERRAFERTIL COLOMBIA SAS</t>
  </si>
  <si>
    <t>PH PLASTICOS HOGAR S.A.S.</t>
  </si>
  <si>
    <t>GRANOS Y CEREALES SEMILLAS DEL CAMPO S.A.S</t>
  </si>
  <si>
    <t>PROFESIONALES DEL HELADO SAS</t>
  </si>
  <si>
    <t>ARROZ BARICHARA SAS</t>
  </si>
  <si>
    <t>PRODUCTOS COMESTIBLES TOLIBOY S.A.S</t>
  </si>
  <si>
    <t>BANANERA DUITAMA S.A.S.</t>
  </si>
  <si>
    <t>DEJA-MU SUBACHOQUE SAS</t>
  </si>
  <si>
    <t>INDUSTRIAS ALIMENTICIAS PRONAVID</t>
  </si>
  <si>
    <t>LACTEOS LA ARBOLEDA SAS</t>
  </si>
  <si>
    <t>INVERSIONES ASEO INTEGRAL S.A.S.</t>
  </si>
  <si>
    <t>COMPAÑIA PESQUERA DEL MAR SAS</t>
  </si>
  <si>
    <t>IMPERSA SAS</t>
  </si>
  <si>
    <t>TORR.CAS IMPORTACIONES SOCIEDAD POR ACCIONES SIMPLIFICADA</t>
  </si>
  <si>
    <t>MENDEZ GUERRERO SAS</t>
  </si>
  <si>
    <t>INDUSTRIA ALIMENTICIA TRICONDOR SAS</t>
  </si>
  <si>
    <t>EDGEWELL PERSONAL CARE COLOMBIA SAS</t>
  </si>
  <si>
    <t>FAGAR COMERCIAL SAS</t>
  </si>
  <si>
    <t>INDUSTRIA COLOMBIANA DE MEZCLAS EL TRIUNFO AL SAS</t>
  </si>
  <si>
    <t>TERRA FOODS SAS</t>
  </si>
  <si>
    <t>COLOMBIAN SEEDS AND FRUIT SAS</t>
  </si>
  <si>
    <t>WHOLEFOOD SAS</t>
  </si>
  <si>
    <t>COMERCIALIZADORA COMARKO SAS</t>
  </si>
  <si>
    <t>1SETASFRESH SAS</t>
  </si>
  <si>
    <t>LA HUERTA PRUDUCTOS HIDROPONICOS SAS</t>
  </si>
  <si>
    <t>COMERCIALIZADORA R Y E SAS</t>
  </si>
  <si>
    <t>COMERCIALIZADORA DE FRUTAS Y VERDURAS DE CALIDAD SAS</t>
  </si>
  <si>
    <t>PRODUSA ZONA FRANCA SAS</t>
  </si>
  <si>
    <t>PRODUCTOS LOS LANCEROS SAS</t>
  </si>
  <si>
    <t>TOSTACAFE SAS</t>
  </si>
  <si>
    <t>PUERTOMAR ZOMAC SAS</t>
  </si>
  <si>
    <t>ARROZ SAN PEDRO SAS</t>
  </si>
  <si>
    <t>GRUPO EMPRESARIAL LA RICAURTE SAS</t>
  </si>
  <si>
    <t>CODORNICES BOYACA SAS</t>
  </si>
  <si>
    <t>INVERSIONES BARON ROJAS LTDA</t>
  </si>
  <si>
    <t>INVERSIONES CORTES ARIAS S.A.S.</t>
  </si>
  <si>
    <t>MOLINO SAN JOSE INDUSTRIA MOLINERA SAS</t>
  </si>
  <si>
    <t>COMERCIALIZADORA LA VIÑA BOYACA SAS</t>
  </si>
  <si>
    <t>COMERFRUIT C&amp;C SAS</t>
  </si>
  <si>
    <t>FAST MODA SAS</t>
  </si>
  <si>
    <t>INDUSTRIA ALIMENTICIA LA RICURA SAS</t>
  </si>
  <si>
    <t>GUSTYTORTAS SAS</t>
  </si>
  <si>
    <t>COLCLEAN JAGAR SAS</t>
  </si>
  <si>
    <t>DISTRIVAG SAS</t>
  </si>
  <si>
    <t>QUESOS ISABELLA BELEN SAS</t>
  </si>
  <si>
    <t>S &amp; A INVERSIONES SAS</t>
  </si>
  <si>
    <t>TROLLI WORLD SAS</t>
  </si>
  <si>
    <t>MUNDIAL DE ZUMOS Y CITRICOS SAS</t>
  </si>
  <si>
    <t>DISTRIBUCIONES LIBELULA SAS</t>
  </si>
  <si>
    <t>ALDEBARAN FERMENTADOS Y DESTILADOS DE COLOMBIA SAS BIC</t>
  </si>
  <si>
    <t>JALISA SAS</t>
  </si>
  <si>
    <t>FRUTOS DEL EDEN NJ S.A.S</t>
  </si>
  <si>
    <t>SABILA DE MI TIERRA SAS</t>
  </si>
  <si>
    <t>SETAS DEL CIELO SAS</t>
  </si>
  <si>
    <t>CAMPOS DE ORO SAS</t>
  </si>
  <si>
    <t>COMERCIALIZADORA AMERICANDY SAS</t>
  </si>
  <si>
    <t>BOCARED SAS</t>
  </si>
  <si>
    <t>GLEENO SAS</t>
  </si>
  <si>
    <t>GRUPO LUMMYS SAS</t>
  </si>
  <si>
    <t>MIELE DI BOSCO SAS</t>
  </si>
  <si>
    <t>LACTEOS LA NEVADA BELEN SAS</t>
  </si>
  <si>
    <t>MORENO RODRIGUEZ JAIME</t>
  </si>
  <si>
    <t>HERRERA  SAULO EFRAIN</t>
  </si>
  <si>
    <t>RINCON GOMEZ RUTH LILIANA</t>
  </si>
  <si>
    <t>COUNTRY MOTORS SA</t>
  </si>
  <si>
    <t>CASTOR DATA SAS</t>
  </si>
  <si>
    <t>AYURA MOTOR SA</t>
  </si>
  <si>
    <t>LENOVO ASIA PACIFIC LIMITED</t>
  </si>
  <si>
    <t>BBG COLOMBIA S.A.S.</t>
  </si>
  <si>
    <t>IMPORPARTES Y SILLAS SAS</t>
  </si>
  <si>
    <t>HL TECNOLOGIA SAS</t>
  </si>
  <si>
    <t>RAPID PROCESS TECHNOLOGIES SAS</t>
  </si>
  <si>
    <t>MACHINES HG SAS</t>
  </si>
  <si>
    <t>ICENTER AH SAS</t>
  </si>
  <si>
    <t>CAJA DE COMPENSACION FAMILIAR COMFABOY</t>
  </si>
  <si>
    <t>SALUD TOTAL EPS</t>
  </si>
  <si>
    <t>COOSALUD EPS</t>
  </si>
  <si>
    <t>EPS SANITAS SA</t>
  </si>
  <si>
    <t>EPS FAMISANAR LTDA</t>
  </si>
  <si>
    <t>POSITIVA COMPAÑIA DE SEGUROS</t>
  </si>
  <si>
    <t>NUEVA EMPRESA PROMOTORA DE SALUD EPS S.A.</t>
  </si>
  <si>
    <t>FONDO DE PENSIONES OBLIGATORIAS PORVENIR MODERADO</t>
  </si>
  <si>
    <t>COLFONDOS</t>
  </si>
  <si>
    <t>FONDO DE PENSIONES OBLIGATORIAS PROTECCION</t>
  </si>
  <si>
    <t>ADMINISTRADORA COLOMBIANA DE PENSIONES COLPENSIONES</t>
  </si>
  <si>
    <t>MUNICIPIO DE PAIPA</t>
  </si>
  <si>
    <t>MUNICIPIO DE TIBASOSA</t>
  </si>
  <si>
    <t xml:space="preserve">MARTINEZ MONTANO HECTOR </t>
  </si>
  <si>
    <t xml:space="preserve">RINCON GALLO ELIO </t>
  </si>
  <si>
    <t>GOMEZ SALCEDO MARCOS HERNAN</t>
  </si>
  <si>
    <t xml:space="preserve">GOMEZ LIZARAZO JESUS </t>
  </si>
  <si>
    <t>SANDOVAL BRICEÑO LUIS JAIME</t>
  </si>
  <si>
    <t xml:space="preserve">ANGARITA PINZON GONZALO </t>
  </si>
  <si>
    <t xml:space="preserve">JIMENEZ TAMAYO ELBERTO </t>
  </si>
  <si>
    <t xml:space="preserve">SALAZAR QUECANO ALFREDO </t>
  </si>
  <si>
    <t>GARCIA CASTRO LUIS HERNANDO</t>
  </si>
  <si>
    <t xml:space="preserve">FONSECA  JAIME </t>
  </si>
  <si>
    <t>LEON LEON LUIS ORLANDO</t>
  </si>
  <si>
    <t xml:space="preserve">GIL CELY JAIRO </t>
  </si>
  <si>
    <t xml:space="preserve">VELANDIA CELY LUIS </t>
  </si>
  <si>
    <t>MARTINEZ PEREZ MANUEL ANTONIO</t>
  </si>
  <si>
    <t>SILVA PEREZ ANA  DEL CARMEN</t>
  </si>
  <si>
    <t xml:space="preserve">GUIO  YENNY </t>
  </si>
  <si>
    <t xml:space="preserve">PULIDO  FONSECA SANDRA  MILENA </t>
  </si>
  <si>
    <t xml:space="preserve">YARURO CARRASCAL NURY </t>
  </si>
  <si>
    <t>DIAZ OSPINA FANNY  JACQUELINE</t>
  </si>
  <si>
    <t>RODRIGUEZ RODRIGUEZ MARLEN DEL CARMEN</t>
  </si>
  <si>
    <t xml:space="preserve">MENDIVELSO PARADA EVIA </t>
  </si>
  <si>
    <t>CRUZ CRISTANCHO CLARA INES</t>
  </si>
  <si>
    <t xml:space="preserve">CASTIBLANCO AYALA LILIANA </t>
  </si>
  <si>
    <t>CADENA CAMARGO GLORIA ESPERANZA</t>
  </si>
  <si>
    <t>CHAPARRO MERCHAN LEIDY DIANA</t>
  </si>
  <si>
    <t>MANOSALVA SUAREZ GLADYS ESMID</t>
  </si>
  <si>
    <t>LOPEZ DIAZ ADRIANA SOFIA</t>
  </si>
  <si>
    <t>ARCHILA NEIRA SANDRA MILENA</t>
  </si>
  <si>
    <t>JIMENEZ SUANCHA MARTHA CECILIA</t>
  </si>
  <si>
    <t xml:space="preserve">RUBIANO CASTAÑEDA ANGELA </t>
  </si>
  <si>
    <t>TORRES CHAPARRO GLORIA PATRICIA</t>
  </si>
  <si>
    <t xml:space="preserve">ESTUPIÑAN ESTUPIÑAN NYDIA </t>
  </si>
  <si>
    <t xml:space="preserve">MARENTES RINCON WILFREDO </t>
  </si>
  <si>
    <t xml:space="preserve">FONSECA PATARROYO RICHAR </t>
  </si>
  <si>
    <t>HERNANDEZ CORDERO GONZALO RODOLFO</t>
  </si>
  <si>
    <t>CELY  VARGAS CARLOS ALBERTO</t>
  </si>
  <si>
    <t>RINCON   JUAN  CARLOS</t>
  </si>
  <si>
    <t>CARVAJAL BARRERA JAVIER ULISES</t>
  </si>
  <si>
    <t xml:space="preserve">AVILA TORRES YESID </t>
  </si>
  <si>
    <t>AMAYA SALOMON MIGUEL FERMIN</t>
  </si>
  <si>
    <t xml:space="preserve">SANCHEZ  BARRERA JAIR </t>
  </si>
  <si>
    <t>PINTO GONZALEZ FREDY ARMANDO</t>
  </si>
  <si>
    <t xml:space="preserve">MENORES  CUANTIAS </t>
  </si>
  <si>
    <t>CAÑON SIERRA JOSUE MATEO</t>
  </si>
  <si>
    <t>TORRES BAEZ LAURA AMPARO</t>
  </si>
  <si>
    <t>TOBASIA PUENTES IVAN DARIO</t>
  </si>
  <si>
    <t>FAJARDO GARCIA DEISSY LILIANA</t>
  </si>
  <si>
    <t>PRIETO CAMARGO JOHN OSWALDO</t>
  </si>
  <si>
    <t xml:space="preserve">LOPEZ  VELANDIUA   MONICA   MARIA  </t>
  </si>
  <si>
    <t>RIVERA SILVA SORANLLY CAROLINA</t>
  </si>
  <si>
    <t xml:space="preserve">PEREZ TORRES ELISEO </t>
  </si>
  <si>
    <t>MOSQUERA  HIGUERA  SALLY DAGIANA</t>
  </si>
  <si>
    <t>ROMERO GRIMALDOS GUSTAVO ADOLFO</t>
  </si>
  <si>
    <t>BARVAL COLOMBIA SA</t>
  </si>
  <si>
    <t>ACME LEON PLASTICOS SAS</t>
  </si>
  <si>
    <t>ELECTROPARRA LTDA</t>
  </si>
  <si>
    <t>FARMACIAS CRUZ VERDE SAS</t>
  </si>
  <si>
    <t>REFRIMAYOR SAS</t>
  </si>
  <si>
    <t>SUPERINTENDENCIA  DE INDUSTRIA Y COMERCIO</t>
  </si>
  <si>
    <t>CENTRO COMERCIAL Y DE NEGOCIOS ANDINO P.H.</t>
  </si>
  <si>
    <t>DISTRITO ALTO CHICAMOCHA</t>
  </si>
  <si>
    <t>ALBORAUTOS SAS</t>
  </si>
  <si>
    <t>PATRIMONIO AUTONOMO FIDUCIARIA DEL VALLE SA</t>
  </si>
  <si>
    <t>INSTITUTO DE TRANSITO Y TRANSPORTE DE SOGAMOSO INTRASOG</t>
  </si>
  <si>
    <t>COOMPRORIENTE</t>
  </si>
  <si>
    <t>EDS LA ISLA LTDA</t>
  </si>
  <si>
    <t>ACUEDUCTO REGIONAL RESGUARDO DE BONZA Y OTROS</t>
  </si>
  <si>
    <t>PEAJE TUTA</t>
  </si>
  <si>
    <t>ACCESOS NORTE BOGOTA</t>
  </si>
  <si>
    <t>POLIETILENOS IMPRESOS POLIM Y CIA LTDA</t>
  </si>
  <si>
    <t>COVAL COMERCIAL S.A.</t>
  </si>
  <si>
    <t>TECHNISERVICE NETWORK TOOLS</t>
  </si>
  <si>
    <t>TECNOEMBALAJE S.A.S.</t>
  </si>
  <si>
    <t>SILVA Y CIA ABOGADOS RECUPERADORES DE CA</t>
  </si>
  <si>
    <t>PEAJE ARCABUCO</t>
  </si>
  <si>
    <t>DISTRIBUIDORA NISSAN S.A</t>
  </si>
  <si>
    <t>SEGUROS COMERCIALES BOLIVAR SA</t>
  </si>
  <si>
    <t>LA PREVISORA S.A. COMPAÑIA DE SEGUROS</t>
  </si>
  <si>
    <t>TECNIALAMBRE S.A.</t>
  </si>
  <si>
    <t>SEGUROS DEL ESTADO S.A.</t>
  </si>
  <si>
    <t>CREDIBANCO S.A.</t>
  </si>
  <si>
    <t>BANCO DAVIVIENDA</t>
  </si>
  <si>
    <t>COMPAÑIA MUNDIAL DE SEGUROS S.A</t>
  </si>
  <si>
    <t>HDI SEGUROS COLOMBIA SA</t>
  </si>
  <si>
    <t xml:space="preserve">PARKING INTERNACIONAL S A S </t>
  </si>
  <si>
    <t>COMPENSAR ENTIDAD PROMOTORA DE SALUD</t>
  </si>
  <si>
    <t>AUTONIZA S.A</t>
  </si>
  <si>
    <t>PROCESOS AL PLASTICO Y CIA LTDA</t>
  </si>
  <si>
    <t>V O CINES Y CIA S EN C</t>
  </si>
  <si>
    <t>ATLAS COPCO COLOMBIA LTDA</t>
  </si>
  <si>
    <t>ACCESORIOS Y ACABADOS S.A.S.</t>
  </si>
  <si>
    <t>UNIDROGAS SA</t>
  </si>
  <si>
    <t>CINTANDINA SA</t>
  </si>
  <si>
    <t>INDUSTRIAS EXTRA SA</t>
  </si>
  <si>
    <t>RCN RADIO</t>
  </si>
  <si>
    <t>MAPFRE SEGUROS GENERALES DE COLOMBIA SA</t>
  </si>
  <si>
    <t>NOGO BOYACA LTDA</t>
  </si>
  <si>
    <t>INSTITUTO DE TRANSITO DE BOYACA ITBOY</t>
  </si>
  <si>
    <t>CAMARA DE COMERCIO DE DUITAMA</t>
  </si>
  <si>
    <t>CAMARA DE COMERCIO SOGAMOSO</t>
  </si>
  <si>
    <t>FERRETERIA EL COMPETIDOR LTDA</t>
  </si>
  <si>
    <t>INPRO LTDA</t>
  </si>
  <si>
    <t>CIDEB LTDA</t>
  </si>
  <si>
    <t>FERRETERIA INDUSTRIAL LTDA</t>
  </si>
  <si>
    <t>ALMACONS LTDA</t>
  </si>
  <si>
    <t>GRUPO AUTOPARTES SAS</t>
  </si>
  <si>
    <t>CENTRO DE DIAGNOSTICO AUTOMOTOR DEL TUNDAMA LTDA</t>
  </si>
  <si>
    <t>ELECTRO INDUSTRIAL POLIEMPACK SAS</t>
  </si>
  <si>
    <t>PEDRIPLASTICOS SAS</t>
  </si>
  <si>
    <t>HANNA INSTRUMENTS SAS</t>
  </si>
  <si>
    <t>EQUIPOS Y LABORATORIO DE COLOMBIA SAS</t>
  </si>
  <si>
    <t>COLPILAS SAS</t>
  </si>
  <si>
    <t>JD MARKET SAS</t>
  </si>
  <si>
    <t>PROMOTORA LOGISTICA Y DE TURISMO AVANZAR SAS</t>
  </si>
  <si>
    <t>TU RESERVA.COM SAS</t>
  </si>
  <si>
    <t>DISTRIBUIDORA FERREACEROS S.A.S</t>
  </si>
  <si>
    <t>AUTORIDAD NACIONAL DE ACUICULTURA Y PESCA AUNAP</t>
  </si>
  <si>
    <t>PIEDRAS Y GRAVAS SAS</t>
  </si>
  <si>
    <t>EL PINTOR PS DISTRIBUCIONES S.A.S</t>
  </si>
  <si>
    <t>ALUMBOY DISTRIBUCIONES SAS</t>
  </si>
  <si>
    <t>EL FARO ELECTRICO S.A.S</t>
  </si>
  <si>
    <t>CEMCO DE COLOMBIA SAS</t>
  </si>
  <si>
    <t>FERRETERIA SUAMOX DISTRIBUCIONES SAS</t>
  </si>
  <si>
    <t>AMERICAN SCAN SERVICES AND SOLUTIONS SAS</t>
  </si>
  <si>
    <t>INGENIERIA SEGURIDAD SALUD AMBIENTE SAS</t>
  </si>
  <si>
    <t>DICSON BOGOTA</t>
  </si>
  <si>
    <t>CONFECCIONES ELTEX SAS</t>
  </si>
  <si>
    <t>GM COMUNICACIONES Y ELECTRONICA SAS</t>
  </si>
  <si>
    <t>PEAJE ANDES</t>
  </si>
  <si>
    <t>PIN PLAST SAS</t>
  </si>
  <si>
    <t>BOMBEA S.A.S</t>
  </si>
  <si>
    <t>AUTOS Y CAMIONES DE BOYACA SAS</t>
  </si>
  <si>
    <t>UNIVERSAL DE TORNILLOS Y FERRETERIA SAS</t>
  </si>
  <si>
    <t>GRUPO CREDIOPTICAS S.A.S</t>
  </si>
  <si>
    <t>DOTACIONES BLANCK BULL SAS</t>
  </si>
  <si>
    <t>INVERSIONES CHACON CAMARGO SAS</t>
  </si>
  <si>
    <t>FOXCOL COMPANY S.A.S</t>
  </si>
  <si>
    <t>IMPORTLATAM SAS</t>
  </si>
  <si>
    <t>RUEDAS ARIAS SAS</t>
  </si>
  <si>
    <t>JAS SOLUCIONES LOGISTICAS Y PUBLICITARIAS SAS</t>
  </si>
  <si>
    <t>BTS DERECHOS ECONÓMICOS S.A.S.</t>
  </si>
  <si>
    <t>GRUPO PATCAR S.A.S</t>
  </si>
  <si>
    <t>EMPAQUES Y MADERAS PLASTICAS SAS</t>
  </si>
  <si>
    <t>SELLER GROUP SAS</t>
  </si>
  <si>
    <t>JPL TECNOLOGIA SAS</t>
  </si>
  <si>
    <t>AGROEXITO LA NOVENA SAS</t>
  </si>
  <si>
    <t>INVERSIONES HIDRAULICAS BOYACA SAS</t>
  </si>
  <si>
    <t>PNS 1996 S.A.S</t>
  </si>
  <si>
    <t>TECNOHOGAR JS S.A.S</t>
  </si>
  <si>
    <t>MARTPLASS RM SAS</t>
  </si>
  <si>
    <t>DOTACOL EPP SAS</t>
  </si>
  <si>
    <t>MUNDIAL DE CAMARAS SAS</t>
  </si>
  <si>
    <t>SUTIRIELES SAS</t>
  </si>
  <si>
    <t>JULUC SAS</t>
  </si>
  <si>
    <t>HIDRAULICOS Y MECANIZADOS DE COLOMBIA SAS</t>
  </si>
  <si>
    <t>COMPAÑIA GASTRONOMICA RC PLATINO</t>
  </si>
  <si>
    <t>QUALITAS COMPAÑIA DE SEGUROS COLOMBIA SA</t>
  </si>
  <si>
    <t>LOS LANCEROS S.A.</t>
  </si>
  <si>
    <t>CUANTIAS MENORES</t>
  </si>
  <si>
    <t xml:space="preserve">MANRIQUE CADENA ALVARO </t>
  </si>
  <si>
    <t xml:space="preserve">CELY CELY FAUSTINO </t>
  </si>
  <si>
    <t>VELANDIA PINTO LUIS MIGUEL</t>
  </si>
  <si>
    <t>RAMIREZ GACHARNA SANDRO AURELIO</t>
  </si>
  <si>
    <t>ROJAS CARDENAS ANA SOFIA</t>
  </si>
  <si>
    <t>SUAREZ GONZALEZ YENNY LISED</t>
  </si>
  <si>
    <t xml:space="preserve">HIGUERA BECERRA LUCY </t>
  </si>
  <si>
    <t>ROJAS VELANDIA JOSE IGNACIO</t>
  </si>
  <si>
    <t>BUITRAGO ALVARADO JOSE DEL CARMEN</t>
  </si>
  <si>
    <t>GUERRERO CICERY JHON  FREDY</t>
  </si>
  <si>
    <t>ESTUPIÑAN ROSAS ANDRES FELIPE</t>
  </si>
  <si>
    <t>SALAMANCA MURILLO YIME FAVIANY</t>
  </si>
  <si>
    <t>MERCHAN FUENTES EDUARD ALONSO</t>
  </si>
  <si>
    <t xml:space="preserve">TIRIA RAMIREZ NATALY </t>
  </si>
  <si>
    <t xml:space="preserve">MATEUS SANCHEZ JONATHAN </t>
  </si>
  <si>
    <t>CALDAS GARAVITO JESSICA HASBLEY</t>
  </si>
  <si>
    <t xml:space="preserve">TORRES  MONCADA JUAN  SEBASTIAN </t>
  </si>
  <si>
    <t>PITA SANABRIA JOSE DIOMEDES</t>
  </si>
  <si>
    <t>OCHOA MORALES WILLIAN ELIECER</t>
  </si>
  <si>
    <t>MONCADA ESPEJO JEFERSON STIVEN</t>
  </si>
  <si>
    <t>BANCO POPULAR</t>
  </si>
  <si>
    <t>josemarioesca@hotmail.com</t>
  </si>
  <si>
    <t>KM 4 VIA TIBASOSA</t>
  </si>
  <si>
    <t>CR 16 15 60 P3</t>
  </si>
  <si>
    <t>CL 48 A 6 44 AP 401 ED TOLEDO</t>
  </si>
  <si>
    <t>CR 9A N 16A 33 AP 501</t>
  </si>
  <si>
    <t>CL 16 14 41</t>
  </si>
  <si>
    <t>CL  20  31 32</t>
  </si>
  <si>
    <t>CR 28A 8 05</t>
  </si>
  <si>
    <t>BL 2 AP 401 CAMINITOS DE OICATA</t>
  </si>
  <si>
    <t>CL 16 31B-46</t>
  </si>
  <si>
    <t>CL 20 16 54</t>
  </si>
  <si>
    <t>CL  11B  31 20</t>
  </si>
  <si>
    <t>CL 24 26 04</t>
  </si>
  <si>
    <t>CR 19 12A 09</t>
  </si>
  <si>
    <t>CL 21 39 27</t>
  </si>
  <si>
    <t>CL  56A  11 134</t>
  </si>
  <si>
    <t>AV LIBERTADORES 20A 38</t>
  </si>
  <si>
    <t>CL 11 29 85</t>
  </si>
  <si>
    <t>CL 22 36 43</t>
  </si>
  <si>
    <t>CR  20  14 31</t>
  </si>
  <si>
    <t>CR 10 14 91</t>
  </si>
  <si>
    <t>CL 5 12 41 IN 5</t>
  </si>
  <si>
    <t>CL 22 41 194</t>
  </si>
  <si>
    <t>CR  11  40 149 TR1</t>
  </si>
  <si>
    <t>CL  90  14 37</t>
  </si>
  <si>
    <t>CR 6 51 174</t>
  </si>
  <si>
    <t>CR 2 22 40</t>
  </si>
  <si>
    <t>AV  6N  47N 32</t>
  </si>
  <si>
    <t>CR 8 18 10</t>
  </si>
  <si>
    <t>CR 33 16 27</t>
  </si>
  <si>
    <t>CR 18  20 A 32</t>
  </si>
  <si>
    <t>PLAZA DE MERCADO LOCAL</t>
  </si>
  <si>
    <t>AV AMERICAS  33A 29</t>
  </si>
  <si>
    <t>CR  13  27 00</t>
  </si>
  <si>
    <t>AV AMERICAS 39-79</t>
  </si>
  <si>
    <t>PLAZA 6 DE SEPTIEMBRE EDF ADMON</t>
  </si>
  <si>
    <t>CR  10  15 87</t>
  </si>
  <si>
    <t>SOGAMOSO CENTRO</t>
  </si>
  <si>
    <t>EDIFICIO ADMINISTRATIVO</t>
  </si>
  <si>
    <t>CR 15 10 51</t>
  </si>
  <si>
    <t>CR 15 CL 14</t>
  </si>
  <si>
    <t>CL 18 A  26-47</t>
  </si>
  <si>
    <t>CR 48 20 45</t>
  </si>
  <si>
    <t>CR 70 G 78 A 74</t>
  </si>
  <si>
    <t>CL 52A 11 85</t>
  </si>
  <si>
    <t>KM 1 VIA PAIPA SEC HIGUERAS</t>
  </si>
  <si>
    <t>CALLE 22 36 A 29</t>
  </si>
  <si>
    <t>CLL 24 N 20 44 CENTRO</t>
  </si>
  <si>
    <t>CL  19  18 01</t>
  </si>
  <si>
    <t>CL 21 69 B 35</t>
  </si>
  <si>
    <t>CR 18 27 52 CA BETANIA</t>
  </si>
  <si>
    <t>CL 9#16-13</t>
  </si>
  <si>
    <t>CR 11 A 94 A 23</t>
  </si>
  <si>
    <t>CL 26 A 16 A 13</t>
  </si>
  <si>
    <t>CL 85 48 1 BL 31 LC 148</t>
  </si>
  <si>
    <t>CL 13 14 61 P2</t>
  </si>
  <si>
    <t>CR 17 14 29 OF 201</t>
  </si>
  <si>
    <t>AV 19 95 20  TO SIGMA OF 1401-1501</t>
  </si>
  <si>
    <t>CL 17 34 59</t>
  </si>
  <si>
    <t>DG 18 19 36</t>
  </si>
  <si>
    <t>VDA TOCOGUA</t>
  </si>
  <si>
    <t>NO INFORMADA</t>
  </si>
  <si>
    <t>VEREDA LA QUINTA</t>
  </si>
  <si>
    <t>CL 15A 27 42</t>
  </si>
  <si>
    <t>CR 22 8 49</t>
  </si>
  <si>
    <t>VDA DICHO</t>
  </si>
  <si>
    <t>CR 10 2 16</t>
  </si>
  <si>
    <t>CL  1  1 06</t>
  </si>
  <si>
    <t>VDA SOCHA VIEJO</t>
  </si>
  <si>
    <t>CR  30 23 06</t>
  </si>
  <si>
    <t>CR 22A  20 54</t>
  </si>
  <si>
    <t>CR  11  13 46</t>
  </si>
  <si>
    <t>VDA RESGUARDO</t>
  </si>
  <si>
    <t>CL  4  12 52</t>
  </si>
  <si>
    <t>CL  6 6A 18</t>
  </si>
  <si>
    <t>CL  3  3 16</t>
  </si>
  <si>
    <t>CR  11  25 02</t>
  </si>
  <si>
    <t>CR 24  2B 22</t>
  </si>
  <si>
    <t>CL  6  6 89</t>
  </si>
  <si>
    <t>CL 15 17 71</t>
  </si>
  <si>
    <t>VDA LA TOMA</t>
  </si>
  <si>
    <t>CL  19A  4 55INT 2</t>
  </si>
  <si>
    <t>VDA PUENTE LA BALSA</t>
  </si>
  <si>
    <t>CR 12 N 14 43</t>
  </si>
  <si>
    <t>CL 19 19 65</t>
  </si>
  <si>
    <t>VDA SAN  LORENZO</t>
  </si>
  <si>
    <t>CENTRAL ABASTOS TIBASOSA</t>
  </si>
  <si>
    <t>CL 4 57 A 20</t>
  </si>
  <si>
    <t>CL 12 11 76</t>
  </si>
  <si>
    <t>CL  14  22 66</t>
  </si>
  <si>
    <t>CL 1A  4 26</t>
  </si>
  <si>
    <t>CL  2 CR 3</t>
  </si>
  <si>
    <t>CL 15A  42 30</t>
  </si>
  <si>
    <t>CR  14  19 03</t>
  </si>
  <si>
    <t>CR 12B  31 64</t>
  </si>
  <si>
    <t>CR 14 # 19 - 03</t>
  </si>
  <si>
    <t>CL 5 FINCA PENCO</t>
  </si>
  <si>
    <t>CL 70 6 86</t>
  </si>
  <si>
    <t>VDA PAYACALBAJO KM 2 LA GRAN VIA</t>
  </si>
  <si>
    <t>CL 14 10 33</t>
  </si>
  <si>
    <t>CL 25 10 25</t>
  </si>
  <si>
    <t>CL 15  15 72</t>
  </si>
  <si>
    <t>TRNS  29  13A 55</t>
  </si>
  <si>
    <t>RESTAURANTE TATA</t>
  </si>
  <si>
    <t>CR  11  9A  28</t>
  </si>
  <si>
    <t>CL  22B  22 35</t>
  </si>
  <si>
    <t>CR 19 2A 06</t>
  </si>
  <si>
    <t>CL 1 A 5 13 BRR LOS PINOS</t>
  </si>
  <si>
    <t>CR  5  12 97</t>
  </si>
  <si>
    <t>CR 5 A  13 90</t>
  </si>
  <si>
    <t>CLL      7    4   37</t>
  </si>
  <si>
    <t>CL  7 3 10</t>
  </si>
  <si>
    <t>CR  9  CL  7 01</t>
  </si>
  <si>
    <t>CR  11  3SUR 46</t>
  </si>
  <si>
    <t>CL  58 2 94</t>
  </si>
  <si>
    <t>CL  9 BIS 19 68 L 18A</t>
  </si>
  <si>
    <t>BRR SAN ANTONIO NORTE</t>
  </si>
  <si>
    <t>CL  21B  43 13</t>
  </si>
  <si>
    <t>VDA LA CEIBA FCA SAN FRANCISCO</t>
  </si>
  <si>
    <t>CR 12  24 58</t>
  </si>
  <si>
    <t>CL 12  9 92</t>
  </si>
  <si>
    <t>CL  12A 9 42</t>
  </si>
  <si>
    <t>CR 23 1 25</t>
  </si>
  <si>
    <t>CR 1A NO 29A 33</t>
  </si>
  <si>
    <t>CR  21 11B 75</t>
  </si>
  <si>
    <t>CR  1E  74 03</t>
  </si>
  <si>
    <t>DG 14 A 17 52 AP 301</t>
  </si>
  <si>
    <t>CR 25 15 85</t>
  </si>
  <si>
    <t>CL  27  21 45</t>
  </si>
  <si>
    <t>CL  22  18 82</t>
  </si>
  <si>
    <t>CR 45 4 42</t>
  </si>
  <si>
    <t>CL 5 19 23</t>
  </si>
  <si>
    <t>CL  24  42 67</t>
  </si>
  <si>
    <t>CL 22 38 42</t>
  </si>
  <si>
    <t>CL  1  1 162</t>
  </si>
  <si>
    <t>CL  19  29 30</t>
  </si>
  <si>
    <t>CR  35  14 21</t>
  </si>
  <si>
    <t>CR  12  33 38</t>
  </si>
  <si>
    <t>CL  11 7B 50</t>
  </si>
  <si>
    <t>CL  23  27 47</t>
  </si>
  <si>
    <t>CL 11 14 18</t>
  </si>
  <si>
    <t>TRANS  29  1075</t>
  </si>
  <si>
    <t>CR 28 A 10 53</t>
  </si>
  <si>
    <t>CL  17  31 27</t>
  </si>
  <si>
    <t>CR   35  14 35</t>
  </si>
  <si>
    <t>V. SAN LORENZO</t>
  </si>
  <si>
    <t>CR  43  21A 16</t>
  </si>
  <si>
    <t>CR  33  12 45</t>
  </si>
  <si>
    <t>CL  18  33 36</t>
  </si>
  <si>
    <t>CR 9A 17 06</t>
  </si>
  <si>
    <t>CL  11  17 37</t>
  </si>
  <si>
    <t>CR  4  4 07</t>
  </si>
  <si>
    <t>CLL 11 A N 2376</t>
  </si>
  <si>
    <t>CR  25  9 40</t>
  </si>
  <si>
    <t>CL 16 5 12</t>
  </si>
  <si>
    <t>VEREDA EL ROSAL</t>
  </si>
  <si>
    <t>MZ 7 CS 8 BARRIO PRIMAVERA</t>
  </si>
  <si>
    <t>TV 27 30 B 30</t>
  </si>
  <si>
    <t>CARRERA  22  4  24</t>
  </si>
  <si>
    <t>895012177 AH 01</t>
  </si>
  <si>
    <t>CL 49 12 A BIS 06</t>
  </si>
  <si>
    <t>CR 3 13A 94</t>
  </si>
  <si>
    <t>VDA EL CUCUBO FINCA EL ALTILLO</t>
  </si>
  <si>
    <t>CL 21 7 46 AP 101A</t>
  </si>
  <si>
    <t>KM 2 VIA PAIPA-DUITAMA</t>
  </si>
  <si>
    <t>PLAZA MERCADO SOGAMOSO</t>
  </si>
  <si>
    <t>CR 28 N 12-25</t>
  </si>
  <si>
    <t>CS  26 LAURELES</t>
  </si>
  <si>
    <t>CLL 21 # 29- 51</t>
  </si>
  <si>
    <t>CR  2   2 54</t>
  </si>
  <si>
    <t>CL 01 606 TO 05 AP 403</t>
  </si>
  <si>
    <t>VEREDA DIRAVITA</t>
  </si>
  <si>
    <t>CR 11 B 9 44</t>
  </si>
  <si>
    <t>CL 4 12 52</t>
  </si>
  <si>
    <t>CL 4 13 64</t>
  </si>
  <si>
    <t>CL  9  21 36</t>
  </si>
  <si>
    <t>VDA SUESCUN SECTOR LA ESTACION</t>
  </si>
  <si>
    <t>CL 11B N 27 3</t>
  </si>
  <si>
    <t>KM 8 AV RECTA SAN RAFAEL VDA LAS VUELTAS MCP TIBASOSA</t>
  </si>
  <si>
    <t>TV 4 B 30 26 BRR LAS VILLAS</t>
  </si>
  <si>
    <t>CL 6 A 88 20 TO 7 AP 104</t>
  </si>
  <si>
    <t>CL  18  1 114</t>
  </si>
  <si>
    <t>CR 16 1 74</t>
  </si>
  <si>
    <t>CR 6A 19A 30</t>
  </si>
  <si>
    <t>AV AMERICAS  29 50</t>
  </si>
  <si>
    <t>CR  40  16A 09</t>
  </si>
  <si>
    <t>CR 36 5 79 BRR VILLA ROUSSE</t>
  </si>
  <si>
    <t>CR 11 A 6 51</t>
  </si>
  <si>
    <t>CENTRAL ABASTOS</t>
  </si>
  <si>
    <t>CR 46 135 07 AP 205 ED LINA MARI</t>
  </si>
  <si>
    <t>CR 32 13 28</t>
  </si>
  <si>
    <t>CL 2 2A 52</t>
  </si>
  <si>
    <t>CL 14A 34 50</t>
  </si>
  <si>
    <t>CR 19 14 19</t>
  </si>
  <si>
    <t>AC 9 C 7 A 33 CA Segundo Piso</t>
  </si>
  <si>
    <t>CR 4 A 6 43 CA</t>
  </si>
  <si>
    <t>VDA NOVARE FCA EL PINO</t>
  </si>
  <si>
    <t>CL 1 6 15</t>
  </si>
  <si>
    <t>VDA MONTOYA</t>
  </si>
  <si>
    <t>CL  4  19 36</t>
  </si>
  <si>
    <t>CL 46 12 67</t>
  </si>
  <si>
    <t>KM 1 SEC SOGAMOSO TIBASOSA LC 223</t>
  </si>
  <si>
    <t>CR 25 16 86 BRR EL CARMEN</t>
  </si>
  <si>
    <t>CL 6 10 09</t>
  </si>
  <si>
    <t>CR 23VDA CHAMEZA MAYOR</t>
  </si>
  <si>
    <t>CL 17 18 79</t>
  </si>
  <si>
    <t>CL 24 04 25 IN 11</t>
  </si>
  <si>
    <t>CL 1 17 13</t>
  </si>
  <si>
    <t>CR 6 8 32</t>
  </si>
  <si>
    <t>CR 52 7 72</t>
  </si>
  <si>
    <t>CR 63 14 75</t>
  </si>
  <si>
    <t>CL 7 N0 13 A 198 MZ 4 BGA 2</t>
  </si>
  <si>
    <t>CR 60 94 B 32</t>
  </si>
  <si>
    <t xml:space="preserve">CR 29B 10 28 BG 4  </t>
  </si>
  <si>
    <t>CL 76 70 34</t>
  </si>
  <si>
    <t>CR  27  71 B 70</t>
  </si>
  <si>
    <t>CR  23  164 36</t>
  </si>
  <si>
    <t>CR 48 SUR 90 151 KM 3 AV MIROLINDO</t>
  </si>
  <si>
    <t>CL  19  68 95</t>
  </si>
  <si>
    <t>CL  36  134 201 KM 6VIA CALI-JAMUNDI</t>
  </si>
  <si>
    <t>AV. A MEDELLIN KM 1 VIA A SIBERIA</t>
  </si>
  <si>
    <t>CARR CEN DEL NORTE KM 34 LOTE BELLAVISTA</t>
  </si>
  <si>
    <t>VRDA VUELTA GRANDE GLORIETA SIBERIA</t>
  </si>
  <si>
    <t>KM  2  VEREDA SANTA CRUZ</t>
  </si>
  <si>
    <t>CL 17 10 11 P 7</t>
  </si>
  <si>
    <t>CR 69B 19A 47</t>
  </si>
  <si>
    <t>CR 127 15 B 60 BG</t>
  </si>
  <si>
    <t>CLL 23 B 104 B 43</t>
  </si>
  <si>
    <t>CR 6 8 45 SUR</t>
  </si>
  <si>
    <t>CL 39 BIS 29 34</t>
  </si>
  <si>
    <t>CR 33 7 41 P2</t>
  </si>
  <si>
    <t>CR  5  27 60</t>
  </si>
  <si>
    <t>CR  7  180 75 MD 3 LC 1Y2</t>
  </si>
  <si>
    <t>CR 54 29 45</t>
  </si>
  <si>
    <t>DG 182  20 84</t>
  </si>
  <si>
    <t>CL  39  51 47</t>
  </si>
  <si>
    <t>CENTRAL MAYORISTA BL 12 LC23</t>
  </si>
  <si>
    <t>KM 2 VIA SAN JULIAN PARQUE INDUSTRIAL EL PARAISO</t>
  </si>
  <si>
    <t>CR  13  24 106</t>
  </si>
  <si>
    <t>CR 22 5BG A 15</t>
  </si>
  <si>
    <t>CR 11  34A 32</t>
  </si>
  <si>
    <t>VEREDA LA TRINIDAD</t>
  </si>
  <si>
    <t>PREDIO EL TEJAR VDA LA PUNTA</t>
  </si>
  <si>
    <t>CR 9A 99 02</t>
  </si>
  <si>
    <t>CL 110 9 25 P 4</t>
  </si>
  <si>
    <t>CL  36 SUR  70 B 14</t>
  </si>
  <si>
    <t>CL 93 15 73</t>
  </si>
  <si>
    <t>PAR INDUSTRIAL SAN JOSE BG 10 Y 11 MZ C KM 4 VIA FUNZA SIBER</t>
  </si>
  <si>
    <t>CR 2 ESTE 16 123</t>
  </si>
  <si>
    <t>CR 106  15 25</t>
  </si>
  <si>
    <t>AK 19  120 71 OF 215</t>
  </si>
  <si>
    <t>KM 2 VIA FUNZA SIBERIA PARQ IND SAN ANTONIO BOD 1 2 3 BL A</t>
  </si>
  <si>
    <t>CR 14 14-68</t>
  </si>
  <si>
    <t>AUT MEDELLIN KM 6 6 580 M EN MORGAN TENJO</t>
  </si>
  <si>
    <t>CORABASTOS BOD 8 L 2</t>
  </si>
  <si>
    <t>CL 23 24 20</t>
  </si>
  <si>
    <t>CL  11  27 47</t>
  </si>
  <si>
    <t>DAG  63 F  86  35</t>
  </si>
  <si>
    <t>CR 42B 13 39</t>
  </si>
  <si>
    <t>CL  58  8 51C</t>
  </si>
  <si>
    <t>CL 18A 69B 06</t>
  </si>
  <si>
    <t>CL  17  68B 97</t>
  </si>
  <si>
    <t>CL 52 47 42</t>
  </si>
  <si>
    <t>TRAS 18 N 96 41</t>
  </si>
  <si>
    <t>CR  66 13 43</t>
  </si>
  <si>
    <t>AV DORADO 69 B 45</t>
  </si>
  <si>
    <t>CAJICA CUNDINAMARCA</t>
  </si>
  <si>
    <t>CR  34  17B 61</t>
  </si>
  <si>
    <t>CR 36  5C 09</t>
  </si>
  <si>
    <t>CL 65 BIS 91 82</t>
  </si>
  <si>
    <t>CL 20 C 42 60</t>
  </si>
  <si>
    <t>CL 17 D 115 15 Brr Fontibon Bohios</t>
  </si>
  <si>
    <t>AVENIDA BOYACA 47A 45 SUR</t>
  </si>
  <si>
    <t>CIUDADELA INDUSTRIAL</t>
  </si>
  <si>
    <t>CR  68G  43C 30 SUR</t>
  </si>
  <si>
    <t>CL  103  69 53</t>
  </si>
  <si>
    <t>CL 17 N 102 -22</t>
  </si>
  <si>
    <t>CR  68D 15 26</t>
  </si>
  <si>
    <t>CR  43  9 46</t>
  </si>
  <si>
    <t>CR  68 D  39F 51 SUR</t>
  </si>
  <si>
    <t>CALLE 74 N 63-74</t>
  </si>
  <si>
    <t>CR 18A 1G 49</t>
  </si>
  <si>
    <t>CR  3  58 54</t>
  </si>
  <si>
    <t>AK  80G 2 42</t>
  </si>
  <si>
    <t>CL 19 68A 98</t>
  </si>
  <si>
    <t>CR  22  15 46</t>
  </si>
  <si>
    <t>CALLE 17 F 126-90</t>
  </si>
  <si>
    <t>CR 70 24 28 SUR</t>
  </si>
  <si>
    <t>CR 43  5414</t>
  </si>
  <si>
    <t>AUT FRENTE ALANTIGUO AEROP KM 7</t>
  </si>
  <si>
    <t>CL  15  31 146</t>
  </si>
  <si>
    <t>CR 34 19A 69</t>
  </si>
  <si>
    <t>BOD 1 MZ 1 CIUDADELA IND</t>
  </si>
  <si>
    <t>CLL   23   10  60</t>
  </si>
  <si>
    <t>CR 9 N 28E-93</t>
  </si>
  <si>
    <t>KM 1 PALENQUE CAFE MADRID</t>
  </si>
  <si>
    <t>CR  34  18 31</t>
  </si>
  <si>
    <t>CR 25 13 440 AUT CALI YUMBO BRR ACOPI</t>
  </si>
  <si>
    <t>CR 26 N 20 82</t>
  </si>
  <si>
    <t>LA ELIANA PARAJE DE TAPIAS</t>
  </si>
  <si>
    <t>CL 93 13 45 P 7  OF 701</t>
  </si>
  <si>
    <t>CL  34  8A 115</t>
  </si>
  <si>
    <t>CR 40 12A 13</t>
  </si>
  <si>
    <t>CL 15 27 A 176 BL 7 B BG 2</t>
  </si>
  <si>
    <t>AUTOPISTA YUMBO KM 13</t>
  </si>
  <si>
    <t>CL 15 25 A 583 PARCELACION CIC 1</t>
  </si>
  <si>
    <t>CR  23  64B 33</t>
  </si>
  <si>
    <t>CR 50 27 SUR 30</t>
  </si>
  <si>
    <t>CR  53  30 27</t>
  </si>
  <si>
    <t>CR 50 8 SUR 117</t>
  </si>
  <si>
    <t>KM 3.5 VIA BOGOTA-MOSQUERA</t>
  </si>
  <si>
    <t>CR  48  52SUR 81</t>
  </si>
  <si>
    <t>CL  19A 43B 41</t>
  </si>
  <si>
    <t>CL 20 35 72</t>
  </si>
  <si>
    <t>CL 74 64 A 51</t>
  </si>
  <si>
    <t>CLL 10 #58-59A</t>
  </si>
  <si>
    <t>CR 43 A 25 A 45</t>
  </si>
  <si>
    <t>CR 46 A 53 200</t>
  </si>
  <si>
    <t>CR 50 97B SUR 141</t>
  </si>
  <si>
    <t>CL 9 C SUR 50 F F 81</t>
  </si>
  <si>
    <t>KM 3 VIA SUR</t>
  </si>
  <si>
    <t>DG 17B 90 44 BOD 1</t>
  </si>
  <si>
    <t>CR  9  28 103</t>
  </si>
  <si>
    <t>KM 7 CARRET PALMIRA AA 207</t>
  </si>
  <si>
    <t>CR 34 13 45 EN DUITAMA CIUDADELA IND</t>
  </si>
  <si>
    <t>KM 11  RECTA PALMIRA - CALI</t>
  </si>
  <si>
    <t>CL  18  69 F 26</t>
  </si>
  <si>
    <t>CR 12 25 28 BRR SANTA LUCIA</t>
  </si>
  <si>
    <t>CR 6 71 128</t>
  </si>
  <si>
    <t>CL 14 B 116 20 BG 01</t>
  </si>
  <si>
    <t>CL  36  134 201</t>
  </si>
  <si>
    <t>CR 1  24 56 PS 8</t>
  </si>
  <si>
    <t>CARRERA 1 N8-31 B. CORTIJO</t>
  </si>
  <si>
    <t>CR 5 37 12</t>
  </si>
  <si>
    <t>VERDA VANEGAS SECTOR APOSENTOS</t>
  </si>
  <si>
    <t>CR 52 20 124</t>
  </si>
  <si>
    <t>PD GORCEGA KM 5 VIA MADRID FACATATIVA VDA EL CORZO POR 2</t>
  </si>
  <si>
    <t>VEREDA GUANGATA</t>
  </si>
  <si>
    <t>LT TERRAFERTIL VDA LA GRANJA</t>
  </si>
  <si>
    <t>CL  10A  68B 43</t>
  </si>
  <si>
    <t>CR 65 B 10 A 07</t>
  </si>
  <si>
    <t>AUT MEDELLIN KM UNO PUNTO OCHO COSTADO SUR PAR SOKO INDU BG</t>
  </si>
  <si>
    <t>KM 8 VIA AGUAZUL CALL 7 NO15A 01 LC106</t>
  </si>
  <si>
    <t>TRANS 15 N 31-79 BARRIO SAN CARLOS</t>
  </si>
  <si>
    <t>KM 6 Y MEDIO VIA DUITAMA - NOBSA</t>
  </si>
  <si>
    <t>VDA CANICA BAJA PREDIO PALOMAR</t>
  </si>
  <si>
    <t>CL  36  20A 40 SUR</t>
  </si>
  <si>
    <t>VDA CANELON SEC RIO FRIO</t>
  </si>
  <si>
    <t>CR 48B 99 SUR 59 BG 7B</t>
  </si>
  <si>
    <t>PAR IND FORTUNA BG3 ANILLO VIAL GIRON KM5</t>
  </si>
  <si>
    <t>CR 110 70G 18</t>
  </si>
  <si>
    <t>CL 29B 16 27 BRR ALTOS DE MARANTA</t>
  </si>
  <si>
    <t>CL  48 C SUR 8A 60 ESTE</t>
  </si>
  <si>
    <t>CR 96 I 15 B 10</t>
  </si>
  <si>
    <t>DG 92  17A 42 PS 8</t>
  </si>
  <si>
    <t>C R 8 20 N 148 BG 7</t>
  </si>
  <si>
    <t>CR  33B 16 31 BRR STA HELENA</t>
  </si>
  <si>
    <t>CL 80 VIA PARQUE AGROINDUSTRIAL DE OCCIDENTE BOD 3 LC 1502</t>
  </si>
  <si>
    <t>CL 19A 4 55</t>
  </si>
  <si>
    <t>CR  53  8A  18</t>
  </si>
  <si>
    <t>CL  21 SUR 70 08 OF 200</t>
  </si>
  <si>
    <t>MCP TUTA VDA AGUABLANCA FCA SAN RAFAEL</t>
  </si>
  <si>
    <t>VDA PATROCIONIO FINCA NATALIE</t>
  </si>
  <si>
    <t>CR 109 22 I 19</t>
  </si>
  <si>
    <t>CL 16 11 37</t>
  </si>
  <si>
    <t>ZF RIONEGRO</t>
  </si>
  <si>
    <t>CL 28 17 114</t>
  </si>
  <si>
    <t>CR 42 A BIS 13 83</t>
  </si>
  <si>
    <t>CR 1 2 E 175 AV PANAMERICANA</t>
  </si>
  <si>
    <t>CORR BUENA ESPERANZA VDA LA FLORESTA</t>
  </si>
  <si>
    <t>KM 1 VIA MONIQUIRA BARBOSA</t>
  </si>
  <si>
    <t>VDA PILA GRANDE FCA EL SALITRE</t>
  </si>
  <si>
    <t>CR 9 66 20 URB CABAÑAS DEL NORTE</t>
  </si>
  <si>
    <t>CL 5 2 29</t>
  </si>
  <si>
    <t>CL 17 19 27</t>
  </si>
  <si>
    <t>CL 9 37 41</t>
  </si>
  <si>
    <t>CR 80 C 2 D 21</t>
  </si>
  <si>
    <t>PAR INDUSTRIAL BOG 2 AUT MEDELLIN KM 8 5 COSTADO SUR</t>
  </si>
  <si>
    <t>CL 49 D BIS SUR 5 X 09</t>
  </si>
  <si>
    <t>CR 18 20 137</t>
  </si>
  <si>
    <t>CL 5 10 25</t>
  </si>
  <si>
    <t>CL 4 6 44</t>
  </si>
  <si>
    <t>CR 5 8 125</t>
  </si>
  <si>
    <t>CR 20 15 72</t>
  </si>
  <si>
    <t>CL 15 28 75</t>
  </si>
  <si>
    <t>AV CALLE 9 62 84 CC OUTLET</t>
  </si>
  <si>
    <t>VIA JUAN MINA KM9 VIA TUBARA FINCA LA MARGARITA</t>
  </si>
  <si>
    <t>VDA QUEBRADA DE BECERRAS SEC LA IGLESIA FCA ALDEBARAN</t>
  </si>
  <si>
    <t>CL 12 31 19</t>
  </si>
  <si>
    <t>KM 0 VIA TIBASOSA A SOGAMOSO</t>
  </si>
  <si>
    <t>KM 8 RECTA SAN RAFAEL VRD LAS VUELTAS</t>
  </si>
  <si>
    <t>VRD QUEBRADA DE BECERRA</t>
  </si>
  <si>
    <t>KM 0 VIA TIBASOSA-SOGAMOSO LOCAL 236</t>
  </si>
  <si>
    <t>CL 12 37 07</t>
  </si>
  <si>
    <t>CR 48 SUR N. 120-00 BRR SAN FRANCISCO DE APARCO</t>
  </si>
  <si>
    <t>TV 32 SUR 32 D 26</t>
  </si>
  <si>
    <t>CL 5 3 71 CD INDUSTRIAK DUITAMA</t>
  </si>
  <si>
    <t>VDA EL CHORRITO</t>
  </si>
  <si>
    <t>CL 12 6 61</t>
  </si>
  <si>
    <t>CL 20 24 41</t>
  </si>
  <si>
    <t>CL 12 19 09</t>
  </si>
  <si>
    <t>AV 18 120</t>
  </si>
  <si>
    <t>CL 77 66 07</t>
  </si>
  <si>
    <t>CL 80 VIA SIBERIA KM1 5 PAR INDUSTRIAL SAN BERNANDO ZONA COM</t>
  </si>
  <si>
    <t>CR 48 25 SUR 27</t>
  </si>
  <si>
    <t>TR 38 100 25</t>
  </si>
  <si>
    <t>CL  13  24 19</t>
  </si>
  <si>
    <t>CL 3 SUR 70 84 TO 3 603</t>
  </si>
  <si>
    <t>CR  15  78  33LC 1-186</t>
  </si>
  <si>
    <t>CR 68A 25 73</t>
  </si>
  <si>
    <t>DG 49A SUR #86D-42</t>
  </si>
  <si>
    <t>CL 32 3 76 LC 144</t>
  </si>
  <si>
    <t>CL 17 9 03</t>
  </si>
  <si>
    <t>CRA 30 45A-52</t>
  </si>
  <si>
    <t>CR 2 1 TORRE EMPRES PISO 8</t>
  </si>
  <si>
    <t>CL 100 11 B 95</t>
  </si>
  <si>
    <t>CR 16 N 18 - 31</t>
  </si>
  <si>
    <t>CL 11 12 78</t>
  </si>
  <si>
    <t>CR 15 N 16 - 13</t>
  </si>
  <si>
    <t>CR 13 26 A 65</t>
  </si>
  <si>
    <t>CL 67 7 94</t>
  </si>
  <si>
    <t>CL 49 63 80</t>
  </si>
  <si>
    <t>CR 10 N 72 33</t>
  </si>
  <si>
    <t>CR 22 25 - 14</t>
  </si>
  <si>
    <t>CR 10 3 25</t>
  </si>
  <si>
    <t>V. EL ROBLE- SUR GACHANCIPA</t>
  </si>
  <si>
    <t>CL  18  19 29</t>
  </si>
  <si>
    <t>CL  20  26 13</t>
  </si>
  <si>
    <t>CALLE 9 N 19-53</t>
  </si>
  <si>
    <t>CR  19  13 49 51</t>
  </si>
  <si>
    <t>CL  20  21 27</t>
  </si>
  <si>
    <t>CL 11  14 70</t>
  </si>
  <si>
    <t>CR  21  8 20 ALFRE-PART?S</t>
  </si>
  <si>
    <t>CL  19  19 73</t>
  </si>
  <si>
    <t>CR  19  10A 12</t>
  </si>
  <si>
    <t>CL  20  24 44</t>
  </si>
  <si>
    <t>CR  19  16 03</t>
  </si>
  <si>
    <t>CL  9   19 85</t>
  </si>
  <si>
    <t>CR  19  9 66</t>
  </si>
  <si>
    <t>CR 37 20 A 31</t>
  </si>
  <si>
    <t>CR 9 21 43 LC 115</t>
  </si>
  <si>
    <t>CL 25 21 26</t>
  </si>
  <si>
    <t>CL  12  17 33</t>
  </si>
  <si>
    <t>CR14 17 06</t>
  </si>
  <si>
    <t xml:space="preserve"> CR 12 No 14 16</t>
  </si>
  <si>
    <t>CR 10 N 8 015</t>
  </si>
  <si>
    <t>CL 16 11 A 48</t>
  </si>
  <si>
    <t>CL 20 25 41</t>
  </si>
  <si>
    <t>CL 14 12 55 LC 102</t>
  </si>
  <si>
    <t>CL 17 34 59 4 APTO 303</t>
  </si>
  <si>
    <t>CR  18  13 64</t>
  </si>
  <si>
    <t>CR  11  15 78 80</t>
  </si>
  <si>
    <t>FLORESTERIA CALIFORNIA</t>
  </si>
  <si>
    <t>CR  16  13 14</t>
  </si>
  <si>
    <t>CR  19  13 73</t>
  </si>
  <si>
    <t>CL 13 18 72</t>
  </si>
  <si>
    <t>CR  27  22 70</t>
  </si>
  <si>
    <t>CL 9 20 21</t>
  </si>
  <si>
    <t>CR 18 19 44</t>
  </si>
  <si>
    <t>CR 16 19 17</t>
  </si>
  <si>
    <t>KM 6 VIA DUITAMA NOBSA</t>
  </si>
  <si>
    <t>CR  26  68 79</t>
  </si>
  <si>
    <t>CR 17 18 56</t>
  </si>
  <si>
    <t>DG 16 5 16 CA 1 URB SAN MARINO</t>
  </si>
  <si>
    <t>CL  20  25 41</t>
  </si>
  <si>
    <t>CL 17 105 26</t>
  </si>
  <si>
    <t>CL 17 14 61</t>
  </si>
  <si>
    <t>CR   23   24  26</t>
  </si>
  <si>
    <t>CR 16 12 48</t>
  </si>
  <si>
    <t>CR 16 28 36</t>
  </si>
  <si>
    <t>CLL  25  N  17 B 17</t>
  </si>
  <si>
    <t>AV CIRCUNVALAR 10 48</t>
  </si>
  <si>
    <t>CR 9 17 A 13</t>
  </si>
  <si>
    <t>CL 16 19 CON 21</t>
  </si>
  <si>
    <t>CR 5 10 79 SUR AUT CAJICA CHIA</t>
  </si>
  <si>
    <t>CL  27  7A 01</t>
  </si>
  <si>
    <t>CR 17 10 27/33</t>
  </si>
  <si>
    <t>CR 13A No. 96-83 PS 6</t>
  </si>
  <si>
    <t>CL 70 68B 07</t>
  </si>
  <si>
    <t>CR 13 27 00</t>
  </si>
  <si>
    <t>CORFERIAS</t>
  </si>
  <si>
    <t>KL  1 VIA PANTANO DE VARGAS</t>
  </si>
  <si>
    <t>AV NORTE  51 174</t>
  </si>
  <si>
    <t>VIA ARCABUCO</t>
  </si>
  <si>
    <t>CR 5 1 45</t>
  </si>
  <si>
    <t>KM 0 VIA SOGAMOSO-TIBASOSA</t>
  </si>
  <si>
    <t>CR  42  18 41 AUTO CENTRAL DEL NORTE</t>
  </si>
  <si>
    <t>VRD CRUZ DE BONZA</t>
  </si>
  <si>
    <t>NORTE BOGOTA</t>
  </si>
  <si>
    <t>CR  124  17 26</t>
  </si>
  <si>
    <t>AUT MEDELKM 2. 5 PARQUE IND BOD 3 GUADALAJARA</t>
  </si>
  <si>
    <t>CR  15  78 33 L 1-155</t>
  </si>
  <si>
    <t>CR  68B  10A 49</t>
  </si>
  <si>
    <t>CR 15 97 40</t>
  </si>
  <si>
    <t>AVE NORTE N 51-0</t>
  </si>
  <si>
    <t>AV EL DORADO 68 B 31</t>
  </si>
  <si>
    <t>CL 57 9 07</t>
  </si>
  <si>
    <t>CR 63 17 B 65</t>
  </si>
  <si>
    <t>CR  11 90 20</t>
  </si>
  <si>
    <t>CL  33 6B 24 P2</t>
  </si>
  <si>
    <t>CL  72  10 07 P 7</t>
  </si>
  <si>
    <t>CL 70 A 8 00</t>
  </si>
  <si>
    <t>CL 26 66A 48</t>
  </si>
  <si>
    <t>DG 170 69 80</t>
  </si>
  <si>
    <t>CR 63 4B 41</t>
  </si>
  <si>
    <t>CENTRO COMERCIAL INNOVO PLAZA</t>
  </si>
  <si>
    <t>CR 85 D 46 A 65 BG 6</t>
  </si>
  <si>
    <t>CL  95  13 76</t>
  </si>
  <si>
    <t>CR 16 16A 05</t>
  </si>
  <si>
    <t>CR  36A  56 22</t>
  </si>
  <si>
    <t>Calle 30 N° 55-72</t>
  </si>
  <si>
    <t>CL 16 15 24 P8</t>
  </si>
  <si>
    <t>CR  14 96 34</t>
  </si>
  <si>
    <t>CR  12  14 99</t>
  </si>
  <si>
    <t>COMBITA</t>
  </si>
  <si>
    <t>TRANS. 19 N 23-141</t>
  </si>
  <si>
    <t>CL 11 21 112</t>
  </si>
  <si>
    <t>CL  13 18 56</t>
  </si>
  <si>
    <t>CR 18 CLL 10 ESQUINA</t>
  </si>
  <si>
    <t>CR 13 15 36</t>
  </si>
  <si>
    <t>CL 20  22 44</t>
  </si>
  <si>
    <t>CR 60 A N49 01</t>
  </si>
  <si>
    <t>AV. AMERICA  CL  9  27 51</t>
  </si>
  <si>
    <t>CR 12 17 15</t>
  </si>
  <si>
    <t>CLL 12 N 18 19</t>
  </si>
  <si>
    <t>CR 98 25 G 10 BG 9</t>
  </si>
  <si>
    <t>CR 51 6 SUR 36</t>
  </si>
  <si>
    <t>CR 56 4 B 84</t>
  </si>
  <si>
    <t>CL 25B 31 12</t>
  </si>
  <si>
    <t>CLL 21 N 41 10</t>
  </si>
  <si>
    <t>CR 574A BIS 128 67</t>
  </si>
  <si>
    <t>CLL 22 N 39 114</t>
  </si>
  <si>
    <t>CL 40A 13 09</t>
  </si>
  <si>
    <t>VDA GUAQUIDA SEC LAS CALERAS</t>
  </si>
  <si>
    <t>CALLE   15  N</t>
  </si>
  <si>
    <t>CR  21 7 21</t>
  </si>
  <si>
    <t>CR  16  11 77</t>
  </si>
  <si>
    <t>CR 14 13 80</t>
  </si>
  <si>
    <t>CALLE 16 NO 11 50</t>
  </si>
  <si>
    <t>CR 43 A 15 SUR 15 OFCI 802</t>
  </si>
  <si>
    <t>CR 10 15 36</t>
  </si>
  <si>
    <t>CR 27 N 15-70</t>
  </si>
  <si>
    <t>CL 71B 78 61</t>
  </si>
  <si>
    <t>CR 91 B 52 B 11 SUR</t>
  </si>
  <si>
    <t>AUTOPISTA NORTE RUTA 45A 04</t>
  </si>
  <si>
    <t>CR 60 97A 55</t>
  </si>
  <si>
    <t>CALLE 13 NO. 18 - 51</t>
  </si>
  <si>
    <t>AV NORTE 34 35</t>
  </si>
  <si>
    <t>CR 19 14 35</t>
  </si>
  <si>
    <t>CL 19 9 65</t>
  </si>
  <si>
    <t>CL 11 15 53</t>
  </si>
  <si>
    <t>CL 15 18A 28</t>
  </si>
  <si>
    <t>PARQUE INDUSTRIAL DEL NORTE KM 25  BODG 108</t>
  </si>
  <si>
    <t>CR 30 74 81</t>
  </si>
  <si>
    <t>Cr 69B N 34 25 SUR</t>
  </si>
  <si>
    <t>CL 68 D BIS SUR 20 A 14</t>
  </si>
  <si>
    <t>VDA FUSCA SECT ESTAC LA CARO AUT. NTE EDF SIBELIUS PS2 CHIA</t>
  </si>
  <si>
    <t>CL 17 13 82</t>
  </si>
  <si>
    <t>CL 29 10 29</t>
  </si>
  <si>
    <t>CR 72B BIS 7 B 29</t>
  </si>
  <si>
    <t>CR 16 # 79-05 OFC 202</t>
  </si>
  <si>
    <t>CL 13 18 32</t>
  </si>
  <si>
    <t>KM 1 VIA DUITAMA-PAIPA TRANSPUERTO</t>
  </si>
  <si>
    <t>CR 17 54 AP 502</t>
  </si>
  <si>
    <t>CR 21 No 13 A 04 Of 428</t>
  </si>
  <si>
    <t>CL 19 103 A 17</t>
  </si>
  <si>
    <t>CL 11 17 10</t>
  </si>
  <si>
    <t>CR 10 21 35</t>
  </si>
  <si>
    <t>CL 14 18 36</t>
  </si>
  <si>
    <t>CR 27A 64A 22</t>
  </si>
  <si>
    <t>CR 25 21 61</t>
  </si>
  <si>
    <t>CR 12 N 12 65</t>
  </si>
  <si>
    <t>CL 116 18 82</t>
  </si>
  <si>
    <t>CR  11 CENTRO</t>
  </si>
  <si>
    <t>CR 5A 23 67</t>
  </si>
  <si>
    <t>BARRIO EL COGOLLO</t>
  </si>
  <si>
    <t>PRIMERA DE MAYO</t>
  </si>
  <si>
    <t>CR 32 16 64</t>
  </si>
  <si>
    <t>CALLE 4 N 5-36</t>
  </si>
  <si>
    <t>CR 24  19 17</t>
  </si>
  <si>
    <t>CALLE 3 MANZ ACASA 12</t>
  </si>
  <si>
    <t>CL 23 B 22 61</t>
  </si>
  <si>
    <t>CR 20 18 11</t>
  </si>
  <si>
    <t>CR 40 22 68</t>
  </si>
  <si>
    <t>CL 7 18 102</t>
  </si>
  <si>
    <t>CR 27 21 59</t>
  </si>
  <si>
    <t>TV 22 13 52</t>
  </si>
  <si>
    <t>CR 19 A  20 70</t>
  </si>
  <si>
    <t>BR SAN ANTONIO NORTE SECTOR CAMPO HERMOSO</t>
  </si>
  <si>
    <t>TRANS 26 26 57</t>
  </si>
  <si>
    <t>CR3 4 35</t>
  </si>
  <si>
    <t>DIG 24 20 29</t>
  </si>
  <si>
    <t>TV 20 21 04</t>
  </si>
  <si>
    <t>CR 10 09 A 17 P 02</t>
  </si>
  <si>
    <t>CLL 12 N 10 64</t>
  </si>
  <si>
    <t>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</si>
</sst>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0"/>
      <name val="Roboto Light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28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3" fillId="0" borderId="10" xfId="0" applyNumberFormat="1" applyFont="1" applyFill="1" applyBorder="1" applyAlignment="1" applyProtection="1">
      <alignment horizontal="center" vertical="center"/>
    </xf>
    <xf numFmtId="0" fontId="12" fillId="0" borderId="10" xfId="2" applyNumberFormat="1" applyFill="1" applyBorder="1" applyAlignment="1" applyProtection="1">
      <alignment horizontal="center" vertical="center"/>
    </xf>
    <xf numFmtId="49" fontId="13" fillId="0" borderId="10" xfId="0" applyNumberFormat="1" applyFont="1" applyFill="1" applyBorder="1" applyAlignment="1" applyProtection="1">
      <alignment horizontal="center" vertical="center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josemarioesca@hotmail.com" TargetMode="External"/><Relationship Id="rId299" Type="http://schemas.openxmlformats.org/officeDocument/2006/relationships/hyperlink" Target="mailto:josemarioesca@hotmail.com" TargetMode="External"/><Relationship Id="rId21" Type="http://schemas.openxmlformats.org/officeDocument/2006/relationships/hyperlink" Target="mailto:josemarioesca@hotmail.com" TargetMode="External"/><Relationship Id="rId63" Type="http://schemas.openxmlformats.org/officeDocument/2006/relationships/hyperlink" Target="mailto:josemarioesca@hotmail.com" TargetMode="External"/><Relationship Id="rId159" Type="http://schemas.openxmlformats.org/officeDocument/2006/relationships/hyperlink" Target="mailto:josemarioesca@hotmail.com" TargetMode="External"/><Relationship Id="rId324" Type="http://schemas.openxmlformats.org/officeDocument/2006/relationships/hyperlink" Target="mailto:josemarioesca@hotmail.com" TargetMode="External"/><Relationship Id="rId366" Type="http://schemas.openxmlformats.org/officeDocument/2006/relationships/hyperlink" Target="mailto:josemarioesca@hotmail.com" TargetMode="External"/><Relationship Id="rId531" Type="http://schemas.openxmlformats.org/officeDocument/2006/relationships/hyperlink" Target="mailto:josemarioesca@hotmail.com" TargetMode="External"/><Relationship Id="rId573" Type="http://schemas.openxmlformats.org/officeDocument/2006/relationships/hyperlink" Target="mailto:josemarioesca@hotmail.com" TargetMode="External"/><Relationship Id="rId629" Type="http://schemas.openxmlformats.org/officeDocument/2006/relationships/hyperlink" Target="mailto:josemarioesca@hotmail.com" TargetMode="External"/><Relationship Id="rId170" Type="http://schemas.openxmlformats.org/officeDocument/2006/relationships/hyperlink" Target="mailto:josemarioesca@hotmail.com" TargetMode="External"/><Relationship Id="rId226" Type="http://schemas.openxmlformats.org/officeDocument/2006/relationships/hyperlink" Target="mailto:josemarioesca@hotmail.com" TargetMode="External"/><Relationship Id="rId433" Type="http://schemas.openxmlformats.org/officeDocument/2006/relationships/hyperlink" Target="mailto:josemarioesca@hotmail.com" TargetMode="External"/><Relationship Id="rId268" Type="http://schemas.openxmlformats.org/officeDocument/2006/relationships/hyperlink" Target="mailto:josemarioesca@hotmail.com" TargetMode="External"/><Relationship Id="rId475" Type="http://schemas.openxmlformats.org/officeDocument/2006/relationships/hyperlink" Target="mailto:josemarioesca@hotmail.com" TargetMode="External"/><Relationship Id="rId640" Type="http://schemas.openxmlformats.org/officeDocument/2006/relationships/hyperlink" Target="mailto:josemarioesca@hotmail.com" TargetMode="External"/><Relationship Id="rId32" Type="http://schemas.openxmlformats.org/officeDocument/2006/relationships/hyperlink" Target="mailto:josemarioesca@hotmail.com" TargetMode="External"/><Relationship Id="rId74" Type="http://schemas.openxmlformats.org/officeDocument/2006/relationships/hyperlink" Target="mailto:josemarioesca@hotmail.com" TargetMode="External"/><Relationship Id="rId128" Type="http://schemas.openxmlformats.org/officeDocument/2006/relationships/hyperlink" Target="mailto:josemarioesca@hotmail.com" TargetMode="External"/><Relationship Id="rId335" Type="http://schemas.openxmlformats.org/officeDocument/2006/relationships/hyperlink" Target="mailto:josemarioesca@hotmail.com" TargetMode="External"/><Relationship Id="rId377" Type="http://schemas.openxmlformats.org/officeDocument/2006/relationships/hyperlink" Target="mailto:josemarioesca@hotmail.com" TargetMode="External"/><Relationship Id="rId500" Type="http://schemas.openxmlformats.org/officeDocument/2006/relationships/hyperlink" Target="mailto:josemarioesca@hotmail.com" TargetMode="External"/><Relationship Id="rId542" Type="http://schemas.openxmlformats.org/officeDocument/2006/relationships/hyperlink" Target="mailto:josemarioesca@hotmail.com" TargetMode="External"/><Relationship Id="rId584" Type="http://schemas.openxmlformats.org/officeDocument/2006/relationships/hyperlink" Target="mailto:josemarioesca@hotmail.com" TargetMode="External"/><Relationship Id="rId5" Type="http://schemas.openxmlformats.org/officeDocument/2006/relationships/hyperlink" Target="mailto:josemarioesca@hotmail.com" TargetMode="External"/><Relationship Id="rId181" Type="http://schemas.openxmlformats.org/officeDocument/2006/relationships/hyperlink" Target="mailto:josemarioesca@hotmail.com" TargetMode="External"/><Relationship Id="rId237" Type="http://schemas.openxmlformats.org/officeDocument/2006/relationships/hyperlink" Target="mailto:josemarioesca@hotmail.com" TargetMode="External"/><Relationship Id="rId402" Type="http://schemas.openxmlformats.org/officeDocument/2006/relationships/hyperlink" Target="mailto:josemarioesca@hotmail.com" TargetMode="External"/><Relationship Id="rId279" Type="http://schemas.openxmlformats.org/officeDocument/2006/relationships/hyperlink" Target="mailto:josemarioesca@hotmail.com" TargetMode="External"/><Relationship Id="rId444" Type="http://schemas.openxmlformats.org/officeDocument/2006/relationships/hyperlink" Target="mailto:josemarioesca@hotmail.com" TargetMode="External"/><Relationship Id="rId486" Type="http://schemas.openxmlformats.org/officeDocument/2006/relationships/hyperlink" Target="mailto:josemarioesca@hotmail.com" TargetMode="External"/><Relationship Id="rId43" Type="http://schemas.openxmlformats.org/officeDocument/2006/relationships/hyperlink" Target="mailto:josemarioesca@hotmail.com" TargetMode="External"/><Relationship Id="rId139" Type="http://schemas.openxmlformats.org/officeDocument/2006/relationships/hyperlink" Target="mailto:josemarioesca@hotmail.com" TargetMode="External"/><Relationship Id="rId290" Type="http://schemas.openxmlformats.org/officeDocument/2006/relationships/hyperlink" Target="mailto:josemarioesca@hotmail.com" TargetMode="External"/><Relationship Id="rId304" Type="http://schemas.openxmlformats.org/officeDocument/2006/relationships/hyperlink" Target="mailto:josemarioesca@hotmail.com" TargetMode="External"/><Relationship Id="rId346" Type="http://schemas.openxmlformats.org/officeDocument/2006/relationships/hyperlink" Target="mailto:josemarioesca@hotmail.com" TargetMode="External"/><Relationship Id="rId388" Type="http://schemas.openxmlformats.org/officeDocument/2006/relationships/hyperlink" Target="mailto:josemarioesca@hotmail.com" TargetMode="External"/><Relationship Id="rId511" Type="http://schemas.openxmlformats.org/officeDocument/2006/relationships/hyperlink" Target="mailto:josemarioesca@hotmail.com" TargetMode="External"/><Relationship Id="rId553" Type="http://schemas.openxmlformats.org/officeDocument/2006/relationships/hyperlink" Target="mailto:josemarioesca@hotmail.com" TargetMode="External"/><Relationship Id="rId609" Type="http://schemas.openxmlformats.org/officeDocument/2006/relationships/hyperlink" Target="mailto:josemarioesca@hotmail.com" TargetMode="External"/><Relationship Id="rId85" Type="http://schemas.openxmlformats.org/officeDocument/2006/relationships/hyperlink" Target="mailto:josemarioesca@hotmail.com" TargetMode="External"/><Relationship Id="rId150" Type="http://schemas.openxmlformats.org/officeDocument/2006/relationships/hyperlink" Target="mailto:josemarioesca@hotmail.com" TargetMode="External"/><Relationship Id="rId192" Type="http://schemas.openxmlformats.org/officeDocument/2006/relationships/hyperlink" Target="mailto:josemarioesca@hotmail.com" TargetMode="External"/><Relationship Id="rId206" Type="http://schemas.openxmlformats.org/officeDocument/2006/relationships/hyperlink" Target="mailto:josemarioesca@hotmail.com" TargetMode="External"/><Relationship Id="rId413" Type="http://schemas.openxmlformats.org/officeDocument/2006/relationships/hyperlink" Target="mailto:josemarioesca@hotmail.com" TargetMode="External"/><Relationship Id="rId595" Type="http://schemas.openxmlformats.org/officeDocument/2006/relationships/hyperlink" Target="mailto:josemarioesca@hotmail.com" TargetMode="External"/><Relationship Id="rId248" Type="http://schemas.openxmlformats.org/officeDocument/2006/relationships/hyperlink" Target="mailto:josemarioesca@hotmail.com" TargetMode="External"/><Relationship Id="rId455" Type="http://schemas.openxmlformats.org/officeDocument/2006/relationships/hyperlink" Target="mailto:josemarioesca@hotmail.com" TargetMode="External"/><Relationship Id="rId497" Type="http://schemas.openxmlformats.org/officeDocument/2006/relationships/hyperlink" Target="mailto:josemarioesca@hotmail.com" TargetMode="External"/><Relationship Id="rId620" Type="http://schemas.openxmlformats.org/officeDocument/2006/relationships/hyperlink" Target="mailto:josemarioesca@hotmail.com" TargetMode="External"/><Relationship Id="rId12" Type="http://schemas.openxmlformats.org/officeDocument/2006/relationships/hyperlink" Target="mailto:josemarioesca@hotmail.com" TargetMode="External"/><Relationship Id="rId108" Type="http://schemas.openxmlformats.org/officeDocument/2006/relationships/hyperlink" Target="mailto:josemarioesca@hotmail.com" TargetMode="External"/><Relationship Id="rId315" Type="http://schemas.openxmlformats.org/officeDocument/2006/relationships/hyperlink" Target="mailto:josemarioesca@hotmail.com" TargetMode="External"/><Relationship Id="rId357" Type="http://schemas.openxmlformats.org/officeDocument/2006/relationships/hyperlink" Target="mailto:josemarioesca@hotmail.com" TargetMode="External"/><Relationship Id="rId522" Type="http://schemas.openxmlformats.org/officeDocument/2006/relationships/hyperlink" Target="mailto:josemarioesca@hotmail.com" TargetMode="External"/><Relationship Id="rId54" Type="http://schemas.openxmlformats.org/officeDocument/2006/relationships/hyperlink" Target="mailto:josemarioesca@hotmail.com" TargetMode="External"/><Relationship Id="rId96" Type="http://schemas.openxmlformats.org/officeDocument/2006/relationships/hyperlink" Target="mailto:josemarioesca@hotmail.com" TargetMode="External"/><Relationship Id="rId161" Type="http://schemas.openxmlformats.org/officeDocument/2006/relationships/hyperlink" Target="mailto:josemarioesca@hotmail.com" TargetMode="External"/><Relationship Id="rId217" Type="http://schemas.openxmlformats.org/officeDocument/2006/relationships/hyperlink" Target="mailto:josemarioesca@hotmail.com" TargetMode="External"/><Relationship Id="rId399" Type="http://schemas.openxmlformats.org/officeDocument/2006/relationships/hyperlink" Target="mailto:josemarioesca@hotmail.com" TargetMode="External"/><Relationship Id="rId564" Type="http://schemas.openxmlformats.org/officeDocument/2006/relationships/hyperlink" Target="mailto:josemarioesca@hotmail.com" TargetMode="External"/><Relationship Id="rId259" Type="http://schemas.openxmlformats.org/officeDocument/2006/relationships/hyperlink" Target="mailto:josemarioesca@hotmail.com" TargetMode="External"/><Relationship Id="rId424" Type="http://schemas.openxmlformats.org/officeDocument/2006/relationships/hyperlink" Target="mailto:josemarioesca@hotmail.com" TargetMode="External"/><Relationship Id="rId466" Type="http://schemas.openxmlformats.org/officeDocument/2006/relationships/hyperlink" Target="mailto:josemarioesca@hotmail.com" TargetMode="External"/><Relationship Id="rId631" Type="http://schemas.openxmlformats.org/officeDocument/2006/relationships/hyperlink" Target="mailto:josemarioesca@hotmail.com" TargetMode="External"/><Relationship Id="rId23" Type="http://schemas.openxmlformats.org/officeDocument/2006/relationships/hyperlink" Target="mailto:josemarioesca@hotmail.com" TargetMode="External"/><Relationship Id="rId119" Type="http://schemas.openxmlformats.org/officeDocument/2006/relationships/hyperlink" Target="mailto:josemarioesca@hotmail.com" TargetMode="External"/><Relationship Id="rId270" Type="http://schemas.openxmlformats.org/officeDocument/2006/relationships/hyperlink" Target="mailto:josemarioesca@hotmail.com" TargetMode="External"/><Relationship Id="rId326" Type="http://schemas.openxmlformats.org/officeDocument/2006/relationships/hyperlink" Target="mailto:josemarioesca@hotmail.com" TargetMode="External"/><Relationship Id="rId533" Type="http://schemas.openxmlformats.org/officeDocument/2006/relationships/hyperlink" Target="mailto:josemarioesca@hotmail.com" TargetMode="External"/><Relationship Id="rId65" Type="http://schemas.openxmlformats.org/officeDocument/2006/relationships/hyperlink" Target="mailto:josemarioesca@hotmail.com" TargetMode="External"/><Relationship Id="rId130" Type="http://schemas.openxmlformats.org/officeDocument/2006/relationships/hyperlink" Target="mailto:josemarioesca@hotmail.com" TargetMode="External"/><Relationship Id="rId368" Type="http://schemas.openxmlformats.org/officeDocument/2006/relationships/hyperlink" Target="mailto:josemarioesca@hotmail.com" TargetMode="External"/><Relationship Id="rId575" Type="http://schemas.openxmlformats.org/officeDocument/2006/relationships/hyperlink" Target="mailto:josemarioesca@hotmail.com" TargetMode="External"/><Relationship Id="rId172" Type="http://schemas.openxmlformats.org/officeDocument/2006/relationships/hyperlink" Target="mailto:josemarioesca@hotmail.com" TargetMode="External"/><Relationship Id="rId228" Type="http://schemas.openxmlformats.org/officeDocument/2006/relationships/hyperlink" Target="mailto:josemarioesca@hotmail.com" TargetMode="External"/><Relationship Id="rId435" Type="http://schemas.openxmlformats.org/officeDocument/2006/relationships/hyperlink" Target="mailto:josemarioesca@hotmail.com" TargetMode="External"/><Relationship Id="rId477" Type="http://schemas.openxmlformats.org/officeDocument/2006/relationships/hyperlink" Target="mailto:josemarioesca@hotmail.com" TargetMode="External"/><Relationship Id="rId600" Type="http://schemas.openxmlformats.org/officeDocument/2006/relationships/hyperlink" Target="mailto:josemarioesca@hotmail.com" TargetMode="External"/><Relationship Id="rId642" Type="http://schemas.openxmlformats.org/officeDocument/2006/relationships/hyperlink" Target="mailto:josemarioesca@hotmail.com" TargetMode="External"/><Relationship Id="rId281" Type="http://schemas.openxmlformats.org/officeDocument/2006/relationships/hyperlink" Target="mailto:josemarioesca@hotmail.com" TargetMode="External"/><Relationship Id="rId337" Type="http://schemas.openxmlformats.org/officeDocument/2006/relationships/hyperlink" Target="mailto:josemarioesca@hotmail.com" TargetMode="External"/><Relationship Id="rId502" Type="http://schemas.openxmlformats.org/officeDocument/2006/relationships/hyperlink" Target="mailto:josemarioesca@hotmail.com" TargetMode="External"/><Relationship Id="rId34" Type="http://schemas.openxmlformats.org/officeDocument/2006/relationships/hyperlink" Target="mailto:josemarioesca@hotmail.com" TargetMode="External"/><Relationship Id="rId76" Type="http://schemas.openxmlformats.org/officeDocument/2006/relationships/hyperlink" Target="mailto:josemarioesca@hotmail.com" TargetMode="External"/><Relationship Id="rId141" Type="http://schemas.openxmlformats.org/officeDocument/2006/relationships/hyperlink" Target="mailto:josemarioesca@hotmail.com" TargetMode="External"/><Relationship Id="rId379" Type="http://schemas.openxmlformats.org/officeDocument/2006/relationships/hyperlink" Target="mailto:josemarioesca@hotmail.com" TargetMode="External"/><Relationship Id="rId544" Type="http://schemas.openxmlformats.org/officeDocument/2006/relationships/hyperlink" Target="mailto:josemarioesca@hotmail.com" TargetMode="External"/><Relationship Id="rId586" Type="http://schemas.openxmlformats.org/officeDocument/2006/relationships/hyperlink" Target="mailto:josemarioesca@hotmail.com" TargetMode="External"/><Relationship Id="rId7" Type="http://schemas.openxmlformats.org/officeDocument/2006/relationships/hyperlink" Target="mailto:josemarioesca@hotmail.com" TargetMode="External"/><Relationship Id="rId183" Type="http://schemas.openxmlformats.org/officeDocument/2006/relationships/hyperlink" Target="mailto:josemarioesca@hotmail.com" TargetMode="External"/><Relationship Id="rId239" Type="http://schemas.openxmlformats.org/officeDocument/2006/relationships/hyperlink" Target="mailto:josemarioesca@hotmail.com" TargetMode="External"/><Relationship Id="rId390" Type="http://schemas.openxmlformats.org/officeDocument/2006/relationships/hyperlink" Target="mailto:josemarioesca@hotmail.com" TargetMode="External"/><Relationship Id="rId404" Type="http://schemas.openxmlformats.org/officeDocument/2006/relationships/hyperlink" Target="mailto:josemarioesca@hotmail.com" TargetMode="External"/><Relationship Id="rId446" Type="http://schemas.openxmlformats.org/officeDocument/2006/relationships/hyperlink" Target="mailto:josemarioesca@hotmail.com" TargetMode="External"/><Relationship Id="rId611" Type="http://schemas.openxmlformats.org/officeDocument/2006/relationships/hyperlink" Target="mailto:josemarioesca@hotmail.com" TargetMode="External"/><Relationship Id="rId250" Type="http://schemas.openxmlformats.org/officeDocument/2006/relationships/hyperlink" Target="mailto:josemarioesca@hotmail.com" TargetMode="External"/><Relationship Id="rId292" Type="http://schemas.openxmlformats.org/officeDocument/2006/relationships/hyperlink" Target="mailto:josemarioesca@hotmail.com" TargetMode="External"/><Relationship Id="rId306" Type="http://schemas.openxmlformats.org/officeDocument/2006/relationships/hyperlink" Target="mailto:josemarioesca@hotmail.com" TargetMode="External"/><Relationship Id="rId488" Type="http://schemas.openxmlformats.org/officeDocument/2006/relationships/hyperlink" Target="mailto:josemarioesca@hotmail.com" TargetMode="External"/><Relationship Id="rId45" Type="http://schemas.openxmlformats.org/officeDocument/2006/relationships/hyperlink" Target="mailto:josemarioesca@hotmail.com" TargetMode="External"/><Relationship Id="rId87" Type="http://schemas.openxmlformats.org/officeDocument/2006/relationships/hyperlink" Target="mailto:josemarioesca@hotmail.com" TargetMode="External"/><Relationship Id="rId110" Type="http://schemas.openxmlformats.org/officeDocument/2006/relationships/hyperlink" Target="mailto:josemarioesca@hotmail.com" TargetMode="External"/><Relationship Id="rId348" Type="http://schemas.openxmlformats.org/officeDocument/2006/relationships/hyperlink" Target="mailto:josemarioesca@hotmail.com" TargetMode="External"/><Relationship Id="rId513" Type="http://schemas.openxmlformats.org/officeDocument/2006/relationships/hyperlink" Target="mailto:josemarioesca@hotmail.com" TargetMode="External"/><Relationship Id="rId555" Type="http://schemas.openxmlformats.org/officeDocument/2006/relationships/hyperlink" Target="mailto:josemarioesca@hotmail.com" TargetMode="External"/><Relationship Id="rId597" Type="http://schemas.openxmlformats.org/officeDocument/2006/relationships/hyperlink" Target="mailto:josemarioesca@hotmail.com" TargetMode="External"/><Relationship Id="rId152" Type="http://schemas.openxmlformats.org/officeDocument/2006/relationships/hyperlink" Target="mailto:josemarioesca@hotmail.com" TargetMode="External"/><Relationship Id="rId194" Type="http://schemas.openxmlformats.org/officeDocument/2006/relationships/hyperlink" Target="mailto:josemarioesca@hotmail.com" TargetMode="External"/><Relationship Id="rId208" Type="http://schemas.openxmlformats.org/officeDocument/2006/relationships/hyperlink" Target="mailto:josemarioesca@hotmail.com" TargetMode="External"/><Relationship Id="rId415" Type="http://schemas.openxmlformats.org/officeDocument/2006/relationships/hyperlink" Target="mailto:josemarioesca@hotmail.com" TargetMode="External"/><Relationship Id="rId457" Type="http://schemas.openxmlformats.org/officeDocument/2006/relationships/hyperlink" Target="mailto:josemarioesca@hotmail.com" TargetMode="External"/><Relationship Id="rId622" Type="http://schemas.openxmlformats.org/officeDocument/2006/relationships/hyperlink" Target="mailto:josemarioesca@hotmail.com" TargetMode="External"/><Relationship Id="rId261" Type="http://schemas.openxmlformats.org/officeDocument/2006/relationships/hyperlink" Target="mailto:josemarioesca@hotmail.com" TargetMode="External"/><Relationship Id="rId499" Type="http://schemas.openxmlformats.org/officeDocument/2006/relationships/hyperlink" Target="mailto:josemarioesca@hotmail.com" TargetMode="External"/><Relationship Id="rId14" Type="http://schemas.openxmlformats.org/officeDocument/2006/relationships/hyperlink" Target="mailto:josemarioesca@hotmail.com" TargetMode="External"/><Relationship Id="rId56" Type="http://schemas.openxmlformats.org/officeDocument/2006/relationships/hyperlink" Target="mailto:josemarioesca@hotmail.com" TargetMode="External"/><Relationship Id="rId317" Type="http://schemas.openxmlformats.org/officeDocument/2006/relationships/hyperlink" Target="mailto:josemarioesca@hotmail.com" TargetMode="External"/><Relationship Id="rId359" Type="http://schemas.openxmlformats.org/officeDocument/2006/relationships/hyperlink" Target="mailto:josemarioesca@hotmail.com" TargetMode="External"/><Relationship Id="rId524" Type="http://schemas.openxmlformats.org/officeDocument/2006/relationships/hyperlink" Target="mailto:josemarioesca@hotmail.com" TargetMode="External"/><Relationship Id="rId566" Type="http://schemas.openxmlformats.org/officeDocument/2006/relationships/hyperlink" Target="mailto:josemarioesca@hotmail.com" TargetMode="External"/><Relationship Id="rId98" Type="http://schemas.openxmlformats.org/officeDocument/2006/relationships/hyperlink" Target="mailto:josemarioesca@hotmail.com" TargetMode="External"/><Relationship Id="rId121" Type="http://schemas.openxmlformats.org/officeDocument/2006/relationships/hyperlink" Target="mailto:josemarioesca@hotmail.com" TargetMode="External"/><Relationship Id="rId163" Type="http://schemas.openxmlformats.org/officeDocument/2006/relationships/hyperlink" Target="mailto:josemarioesca@hotmail.com" TargetMode="External"/><Relationship Id="rId219" Type="http://schemas.openxmlformats.org/officeDocument/2006/relationships/hyperlink" Target="mailto:josemarioesca@hotmail.com" TargetMode="External"/><Relationship Id="rId370" Type="http://schemas.openxmlformats.org/officeDocument/2006/relationships/hyperlink" Target="mailto:josemarioesca@hotmail.com" TargetMode="External"/><Relationship Id="rId426" Type="http://schemas.openxmlformats.org/officeDocument/2006/relationships/hyperlink" Target="mailto:josemarioesca@hotmail.com" TargetMode="External"/><Relationship Id="rId633" Type="http://schemas.openxmlformats.org/officeDocument/2006/relationships/hyperlink" Target="mailto:josemarioesca@hotmail.com" TargetMode="External"/><Relationship Id="rId230" Type="http://schemas.openxmlformats.org/officeDocument/2006/relationships/hyperlink" Target="mailto:josemarioesca@hotmail.com" TargetMode="External"/><Relationship Id="rId468" Type="http://schemas.openxmlformats.org/officeDocument/2006/relationships/hyperlink" Target="mailto:josemarioesca@hotmail.com" TargetMode="External"/><Relationship Id="rId25" Type="http://schemas.openxmlformats.org/officeDocument/2006/relationships/hyperlink" Target="mailto:josemarioesca@hotmail.com" TargetMode="External"/><Relationship Id="rId67" Type="http://schemas.openxmlformats.org/officeDocument/2006/relationships/hyperlink" Target="mailto:josemarioesca@hotmail.com" TargetMode="External"/><Relationship Id="rId272" Type="http://schemas.openxmlformats.org/officeDocument/2006/relationships/hyperlink" Target="mailto:josemarioesca@hotmail.com" TargetMode="External"/><Relationship Id="rId328" Type="http://schemas.openxmlformats.org/officeDocument/2006/relationships/hyperlink" Target="mailto:josemarioesca@hotmail.com" TargetMode="External"/><Relationship Id="rId535" Type="http://schemas.openxmlformats.org/officeDocument/2006/relationships/hyperlink" Target="mailto:josemarioesca@hotmail.com" TargetMode="External"/><Relationship Id="rId577" Type="http://schemas.openxmlformats.org/officeDocument/2006/relationships/hyperlink" Target="mailto:josemarioesca@hotmail.com" TargetMode="External"/><Relationship Id="rId132" Type="http://schemas.openxmlformats.org/officeDocument/2006/relationships/hyperlink" Target="mailto:josemarioesca@hotmail.com" TargetMode="External"/><Relationship Id="rId174" Type="http://schemas.openxmlformats.org/officeDocument/2006/relationships/hyperlink" Target="mailto:josemarioesca@hotmail.com" TargetMode="External"/><Relationship Id="rId381" Type="http://schemas.openxmlformats.org/officeDocument/2006/relationships/hyperlink" Target="mailto:josemarioesca@hotmail.com" TargetMode="External"/><Relationship Id="rId602" Type="http://schemas.openxmlformats.org/officeDocument/2006/relationships/hyperlink" Target="mailto:josemarioesca@hotmail.com" TargetMode="External"/><Relationship Id="rId241" Type="http://schemas.openxmlformats.org/officeDocument/2006/relationships/hyperlink" Target="mailto:josemarioesca@hotmail.com" TargetMode="External"/><Relationship Id="rId437" Type="http://schemas.openxmlformats.org/officeDocument/2006/relationships/hyperlink" Target="mailto:josemarioesca@hotmail.com" TargetMode="External"/><Relationship Id="rId479" Type="http://schemas.openxmlformats.org/officeDocument/2006/relationships/hyperlink" Target="mailto:josemarioesca@hotmail.com" TargetMode="External"/><Relationship Id="rId644" Type="http://schemas.openxmlformats.org/officeDocument/2006/relationships/hyperlink" Target="mailto:josemarioesca@hotmail.com" TargetMode="External"/><Relationship Id="rId36" Type="http://schemas.openxmlformats.org/officeDocument/2006/relationships/hyperlink" Target="mailto:josemarioesca@hotmail.com" TargetMode="External"/><Relationship Id="rId283" Type="http://schemas.openxmlformats.org/officeDocument/2006/relationships/hyperlink" Target="mailto:josemarioesca@hotmail.com" TargetMode="External"/><Relationship Id="rId339" Type="http://schemas.openxmlformats.org/officeDocument/2006/relationships/hyperlink" Target="mailto:josemarioesca@hotmail.com" TargetMode="External"/><Relationship Id="rId490" Type="http://schemas.openxmlformats.org/officeDocument/2006/relationships/hyperlink" Target="mailto:josemarioesca@hotmail.com" TargetMode="External"/><Relationship Id="rId504" Type="http://schemas.openxmlformats.org/officeDocument/2006/relationships/hyperlink" Target="mailto:josemarioesca@hotmail.com" TargetMode="External"/><Relationship Id="rId546" Type="http://schemas.openxmlformats.org/officeDocument/2006/relationships/hyperlink" Target="mailto:josemarioesca@hotmail.com" TargetMode="External"/><Relationship Id="rId78" Type="http://schemas.openxmlformats.org/officeDocument/2006/relationships/hyperlink" Target="mailto:josemarioesca@hotmail.com" TargetMode="External"/><Relationship Id="rId101" Type="http://schemas.openxmlformats.org/officeDocument/2006/relationships/hyperlink" Target="mailto:josemarioesca@hotmail.com" TargetMode="External"/><Relationship Id="rId143" Type="http://schemas.openxmlformats.org/officeDocument/2006/relationships/hyperlink" Target="mailto:josemarioesca@hotmail.com" TargetMode="External"/><Relationship Id="rId185" Type="http://schemas.openxmlformats.org/officeDocument/2006/relationships/hyperlink" Target="mailto:josemarioesca@hotmail.com" TargetMode="External"/><Relationship Id="rId350" Type="http://schemas.openxmlformats.org/officeDocument/2006/relationships/hyperlink" Target="mailto:josemarioesca@hotmail.com" TargetMode="External"/><Relationship Id="rId406" Type="http://schemas.openxmlformats.org/officeDocument/2006/relationships/hyperlink" Target="mailto:josemarioesca@hotmail.com" TargetMode="External"/><Relationship Id="rId588" Type="http://schemas.openxmlformats.org/officeDocument/2006/relationships/hyperlink" Target="mailto:josemarioesca@hotmail.com" TargetMode="External"/><Relationship Id="rId9" Type="http://schemas.openxmlformats.org/officeDocument/2006/relationships/hyperlink" Target="mailto:josemarioesca@hotmail.com" TargetMode="External"/><Relationship Id="rId210" Type="http://schemas.openxmlformats.org/officeDocument/2006/relationships/hyperlink" Target="mailto:josemarioesca@hotmail.com" TargetMode="External"/><Relationship Id="rId392" Type="http://schemas.openxmlformats.org/officeDocument/2006/relationships/hyperlink" Target="mailto:josemarioesca@hotmail.com" TargetMode="External"/><Relationship Id="rId448" Type="http://schemas.openxmlformats.org/officeDocument/2006/relationships/hyperlink" Target="mailto:josemarioesca@hotmail.com" TargetMode="External"/><Relationship Id="rId613" Type="http://schemas.openxmlformats.org/officeDocument/2006/relationships/hyperlink" Target="mailto:josemarioesca@hotmail.com" TargetMode="External"/><Relationship Id="rId252" Type="http://schemas.openxmlformats.org/officeDocument/2006/relationships/hyperlink" Target="mailto:josemarioesca@hotmail.com" TargetMode="External"/><Relationship Id="rId294" Type="http://schemas.openxmlformats.org/officeDocument/2006/relationships/hyperlink" Target="mailto:josemarioesca@hotmail.com" TargetMode="External"/><Relationship Id="rId308" Type="http://schemas.openxmlformats.org/officeDocument/2006/relationships/hyperlink" Target="mailto:josemarioesca@hotmail.com" TargetMode="External"/><Relationship Id="rId515" Type="http://schemas.openxmlformats.org/officeDocument/2006/relationships/hyperlink" Target="mailto:josemarioesca@hotmail.com" TargetMode="External"/><Relationship Id="rId47" Type="http://schemas.openxmlformats.org/officeDocument/2006/relationships/hyperlink" Target="mailto:josemarioesca@hotmail.com" TargetMode="External"/><Relationship Id="rId89" Type="http://schemas.openxmlformats.org/officeDocument/2006/relationships/hyperlink" Target="mailto:josemarioesca@hotmail.com" TargetMode="External"/><Relationship Id="rId112" Type="http://schemas.openxmlformats.org/officeDocument/2006/relationships/hyperlink" Target="mailto:josemarioesca@hotmail.com" TargetMode="External"/><Relationship Id="rId154" Type="http://schemas.openxmlformats.org/officeDocument/2006/relationships/hyperlink" Target="mailto:josemarioesca@hotmail.com" TargetMode="External"/><Relationship Id="rId361" Type="http://schemas.openxmlformats.org/officeDocument/2006/relationships/hyperlink" Target="mailto:josemarioesca@hotmail.com" TargetMode="External"/><Relationship Id="rId557" Type="http://schemas.openxmlformats.org/officeDocument/2006/relationships/hyperlink" Target="mailto:josemarioesca@hotmail.com" TargetMode="External"/><Relationship Id="rId599" Type="http://schemas.openxmlformats.org/officeDocument/2006/relationships/hyperlink" Target="mailto:josemarioesca@hotmail.com" TargetMode="External"/><Relationship Id="rId196" Type="http://schemas.openxmlformats.org/officeDocument/2006/relationships/hyperlink" Target="mailto:josemarioesca@hotmail.com" TargetMode="External"/><Relationship Id="rId417" Type="http://schemas.openxmlformats.org/officeDocument/2006/relationships/hyperlink" Target="mailto:josemarioesca@hotmail.com" TargetMode="External"/><Relationship Id="rId459" Type="http://schemas.openxmlformats.org/officeDocument/2006/relationships/hyperlink" Target="mailto:josemarioesca@hotmail.com" TargetMode="External"/><Relationship Id="rId624" Type="http://schemas.openxmlformats.org/officeDocument/2006/relationships/hyperlink" Target="mailto:josemarioesca@hotmail.com" TargetMode="External"/><Relationship Id="rId16" Type="http://schemas.openxmlformats.org/officeDocument/2006/relationships/hyperlink" Target="mailto:josemarioesca@hotmail.com" TargetMode="External"/><Relationship Id="rId221" Type="http://schemas.openxmlformats.org/officeDocument/2006/relationships/hyperlink" Target="mailto:josemarioesca@hotmail.com" TargetMode="External"/><Relationship Id="rId263" Type="http://schemas.openxmlformats.org/officeDocument/2006/relationships/hyperlink" Target="mailto:josemarioesca@hotmail.com" TargetMode="External"/><Relationship Id="rId319" Type="http://schemas.openxmlformats.org/officeDocument/2006/relationships/hyperlink" Target="mailto:josemarioesca@hotmail.com" TargetMode="External"/><Relationship Id="rId470" Type="http://schemas.openxmlformats.org/officeDocument/2006/relationships/hyperlink" Target="mailto:josemarioesca@hotmail.com" TargetMode="External"/><Relationship Id="rId526" Type="http://schemas.openxmlformats.org/officeDocument/2006/relationships/hyperlink" Target="mailto:josemarioesca@hotmail.com" TargetMode="External"/><Relationship Id="rId58" Type="http://schemas.openxmlformats.org/officeDocument/2006/relationships/hyperlink" Target="mailto:josemarioesca@hotmail.com" TargetMode="External"/><Relationship Id="rId123" Type="http://schemas.openxmlformats.org/officeDocument/2006/relationships/hyperlink" Target="mailto:josemarioesca@hotmail.com" TargetMode="External"/><Relationship Id="rId330" Type="http://schemas.openxmlformats.org/officeDocument/2006/relationships/hyperlink" Target="mailto:josemarioesca@hotmail.com" TargetMode="External"/><Relationship Id="rId568" Type="http://schemas.openxmlformats.org/officeDocument/2006/relationships/hyperlink" Target="mailto:josemarioesca@hotmail.com" TargetMode="External"/><Relationship Id="rId165" Type="http://schemas.openxmlformats.org/officeDocument/2006/relationships/hyperlink" Target="mailto:josemarioesca@hotmail.com" TargetMode="External"/><Relationship Id="rId372" Type="http://schemas.openxmlformats.org/officeDocument/2006/relationships/hyperlink" Target="mailto:josemarioesca@hotmail.com" TargetMode="External"/><Relationship Id="rId428" Type="http://schemas.openxmlformats.org/officeDocument/2006/relationships/hyperlink" Target="mailto:josemarioesca@hotmail.com" TargetMode="External"/><Relationship Id="rId635" Type="http://schemas.openxmlformats.org/officeDocument/2006/relationships/hyperlink" Target="mailto:josemarioesca@hotmail.com" TargetMode="External"/><Relationship Id="rId232" Type="http://schemas.openxmlformats.org/officeDocument/2006/relationships/hyperlink" Target="mailto:josemarioesca@hotmail.com" TargetMode="External"/><Relationship Id="rId274" Type="http://schemas.openxmlformats.org/officeDocument/2006/relationships/hyperlink" Target="mailto:josemarioesca@hotmail.com" TargetMode="External"/><Relationship Id="rId481" Type="http://schemas.openxmlformats.org/officeDocument/2006/relationships/hyperlink" Target="mailto:josemarioesca@hotmail.com" TargetMode="External"/><Relationship Id="rId27" Type="http://schemas.openxmlformats.org/officeDocument/2006/relationships/hyperlink" Target="mailto:josemarioesca@hotmail.com" TargetMode="External"/><Relationship Id="rId69" Type="http://schemas.openxmlformats.org/officeDocument/2006/relationships/hyperlink" Target="mailto:josemarioesca@hotmail.com" TargetMode="External"/><Relationship Id="rId134" Type="http://schemas.openxmlformats.org/officeDocument/2006/relationships/hyperlink" Target="mailto:josemarioesca@hotmail.com" TargetMode="External"/><Relationship Id="rId537" Type="http://schemas.openxmlformats.org/officeDocument/2006/relationships/hyperlink" Target="mailto:josemarioesca@hotmail.com" TargetMode="External"/><Relationship Id="rId579" Type="http://schemas.openxmlformats.org/officeDocument/2006/relationships/hyperlink" Target="mailto:josemarioesca@hotmail.com" TargetMode="External"/><Relationship Id="rId80" Type="http://schemas.openxmlformats.org/officeDocument/2006/relationships/hyperlink" Target="mailto:josemarioesca@hotmail.com" TargetMode="External"/><Relationship Id="rId176" Type="http://schemas.openxmlformats.org/officeDocument/2006/relationships/hyperlink" Target="mailto:josemarioesca@hotmail.com" TargetMode="External"/><Relationship Id="rId341" Type="http://schemas.openxmlformats.org/officeDocument/2006/relationships/hyperlink" Target="mailto:josemarioesca@hotmail.com" TargetMode="External"/><Relationship Id="rId383" Type="http://schemas.openxmlformats.org/officeDocument/2006/relationships/hyperlink" Target="mailto:josemarioesca@hotmail.com" TargetMode="External"/><Relationship Id="rId439" Type="http://schemas.openxmlformats.org/officeDocument/2006/relationships/hyperlink" Target="mailto:josemarioesca@hotmail.com" TargetMode="External"/><Relationship Id="rId590" Type="http://schemas.openxmlformats.org/officeDocument/2006/relationships/hyperlink" Target="mailto:josemarioesca@hotmail.com" TargetMode="External"/><Relationship Id="rId604" Type="http://schemas.openxmlformats.org/officeDocument/2006/relationships/hyperlink" Target="mailto:josemarioesca@hotmail.com" TargetMode="External"/><Relationship Id="rId646" Type="http://schemas.openxmlformats.org/officeDocument/2006/relationships/drawing" Target="../drawings/drawing1.xml"/><Relationship Id="rId201" Type="http://schemas.openxmlformats.org/officeDocument/2006/relationships/hyperlink" Target="mailto:josemarioesca@hotmail.com" TargetMode="External"/><Relationship Id="rId243" Type="http://schemas.openxmlformats.org/officeDocument/2006/relationships/hyperlink" Target="mailto:josemarioesca@hotmail.com" TargetMode="External"/><Relationship Id="rId285" Type="http://schemas.openxmlformats.org/officeDocument/2006/relationships/hyperlink" Target="mailto:josemarioesca@hotmail.com" TargetMode="External"/><Relationship Id="rId450" Type="http://schemas.openxmlformats.org/officeDocument/2006/relationships/hyperlink" Target="mailto:josemarioesca@hotmail.com" TargetMode="External"/><Relationship Id="rId506" Type="http://schemas.openxmlformats.org/officeDocument/2006/relationships/hyperlink" Target="mailto:josemarioesca@hotmail.com" TargetMode="External"/><Relationship Id="rId38" Type="http://schemas.openxmlformats.org/officeDocument/2006/relationships/hyperlink" Target="mailto:josemarioesca@hotmail.com" TargetMode="External"/><Relationship Id="rId103" Type="http://schemas.openxmlformats.org/officeDocument/2006/relationships/hyperlink" Target="mailto:josemarioesca@hotmail.com" TargetMode="External"/><Relationship Id="rId310" Type="http://schemas.openxmlformats.org/officeDocument/2006/relationships/hyperlink" Target="mailto:josemarioesca@hotmail.com" TargetMode="External"/><Relationship Id="rId492" Type="http://schemas.openxmlformats.org/officeDocument/2006/relationships/hyperlink" Target="mailto:josemarioesca@hotmail.com" TargetMode="External"/><Relationship Id="rId548" Type="http://schemas.openxmlformats.org/officeDocument/2006/relationships/hyperlink" Target="mailto:josemarioesca@hotmail.com" TargetMode="External"/><Relationship Id="rId91" Type="http://schemas.openxmlformats.org/officeDocument/2006/relationships/hyperlink" Target="mailto:josemarioesca@hotmail.com" TargetMode="External"/><Relationship Id="rId145" Type="http://schemas.openxmlformats.org/officeDocument/2006/relationships/hyperlink" Target="mailto:josemarioesca@hotmail.com" TargetMode="External"/><Relationship Id="rId187" Type="http://schemas.openxmlformats.org/officeDocument/2006/relationships/hyperlink" Target="mailto:josemarioesca@hotmail.com" TargetMode="External"/><Relationship Id="rId352" Type="http://schemas.openxmlformats.org/officeDocument/2006/relationships/hyperlink" Target="mailto:josemarioesca@hotmail.com" TargetMode="External"/><Relationship Id="rId394" Type="http://schemas.openxmlformats.org/officeDocument/2006/relationships/hyperlink" Target="mailto:josemarioesca@hotmail.com" TargetMode="External"/><Relationship Id="rId408" Type="http://schemas.openxmlformats.org/officeDocument/2006/relationships/hyperlink" Target="mailto:josemarioesca@hotmail.com" TargetMode="External"/><Relationship Id="rId615" Type="http://schemas.openxmlformats.org/officeDocument/2006/relationships/hyperlink" Target="mailto:josemarioesca@hotmail.com" TargetMode="External"/><Relationship Id="rId1" Type="http://schemas.openxmlformats.org/officeDocument/2006/relationships/hyperlink" Target="mailto:josemarioesca@hotmail.com" TargetMode="External"/><Relationship Id="rId212" Type="http://schemas.openxmlformats.org/officeDocument/2006/relationships/hyperlink" Target="mailto:josemarioesca@hotmail.com" TargetMode="External"/><Relationship Id="rId233" Type="http://schemas.openxmlformats.org/officeDocument/2006/relationships/hyperlink" Target="mailto:josemarioesca@hotmail.com" TargetMode="External"/><Relationship Id="rId254" Type="http://schemas.openxmlformats.org/officeDocument/2006/relationships/hyperlink" Target="mailto:josemarioesca@hotmail.com" TargetMode="External"/><Relationship Id="rId440" Type="http://schemas.openxmlformats.org/officeDocument/2006/relationships/hyperlink" Target="mailto:josemarioesca@hotmail.com" TargetMode="External"/><Relationship Id="rId28" Type="http://schemas.openxmlformats.org/officeDocument/2006/relationships/hyperlink" Target="mailto:josemarioesca@hotmail.com" TargetMode="External"/><Relationship Id="rId49" Type="http://schemas.openxmlformats.org/officeDocument/2006/relationships/hyperlink" Target="mailto:josemarioesca@hotmail.com" TargetMode="External"/><Relationship Id="rId114" Type="http://schemas.openxmlformats.org/officeDocument/2006/relationships/hyperlink" Target="mailto:josemarioesca@hotmail.com" TargetMode="External"/><Relationship Id="rId275" Type="http://schemas.openxmlformats.org/officeDocument/2006/relationships/hyperlink" Target="mailto:josemarioesca@hotmail.com" TargetMode="External"/><Relationship Id="rId296" Type="http://schemas.openxmlformats.org/officeDocument/2006/relationships/hyperlink" Target="mailto:josemarioesca@hotmail.com" TargetMode="External"/><Relationship Id="rId300" Type="http://schemas.openxmlformats.org/officeDocument/2006/relationships/hyperlink" Target="mailto:josemarioesca@hotmail.com" TargetMode="External"/><Relationship Id="rId461" Type="http://schemas.openxmlformats.org/officeDocument/2006/relationships/hyperlink" Target="mailto:josemarioesca@hotmail.com" TargetMode="External"/><Relationship Id="rId482" Type="http://schemas.openxmlformats.org/officeDocument/2006/relationships/hyperlink" Target="mailto:josemarioesca@hotmail.com" TargetMode="External"/><Relationship Id="rId517" Type="http://schemas.openxmlformats.org/officeDocument/2006/relationships/hyperlink" Target="mailto:josemarioesca@hotmail.com" TargetMode="External"/><Relationship Id="rId538" Type="http://schemas.openxmlformats.org/officeDocument/2006/relationships/hyperlink" Target="mailto:josemarioesca@hotmail.com" TargetMode="External"/><Relationship Id="rId559" Type="http://schemas.openxmlformats.org/officeDocument/2006/relationships/hyperlink" Target="mailto:josemarioesca@hotmail.com" TargetMode="External"/><Relationship Id="rId60" Type="http://schemas.openxmlformats.org/officeDocument/2006/relationships/hyperlink" Target="mailto:josemarioesca@hotmail.com" TargetMode="External"/><Relationship Id="rId81" Type="http://schemas.openxmlformats.org/officeDocument/2006/relationships/hyperlink" Target="mailto:josemarioesca@hotmail.com" TargetMode="External"/><Relationship Id="rId135" Type="http://schemas.openxmlformats.org/officeDocument/2006/relationships/hyperlink" Target="mailto:josemarioesca@hotmail.com" TargetMode="External"/><Relationship Id="rId156" Type="http://schemas.openxmlformats.org/officeDocument/2006/relationships/hyperlink" Target="mailto:josemarioesca@hotmail.com" TargetMode="External"/><Relationship Id="rId177" Type="http://schemas.openxmlformats.org/officeDocument/2006/relationships/hyperlink" Target="mailto:josemarioesca@hotmail.com" TargetMode="External"/><Relationship Id="rId198" Type="http://schemas.openxmlformats.org/officeDocument/2006/relationships/hyperlink" Target="mailto:josemarioesca@hotmail.com" TargetMode="External"/><Relationship Id="rId321" Type="http://schemas.openxmlformats.org/officeDocument/2006/relationships/hyperlink" Target="mailto:josemarioesca@hotmail.com" TargetMode="External"/><Relationship Id="rId342" Type="http://schemas.openxmlformats.org/officeDocument/2006/relationships/hyperlink" Target="mailto:josemarioesca@hotmail.com" TargetMode="External"/><Relationship Id="rId363" Type="http://schemas.openxmlformats.org/officeDocument/2006/relationships/hyperlink" Target="mailto:josemarioesca@hotmail.com" TargetMode="External"/><Relationship Id="rId384" Type="http://schemas.openxmlformats.org/officeDocument/2006/relationships/hyperlink" Target="mailto:josemarioesca@hotmail.com" TargetMode="External"/><Relationship Id="rId419" Type="http://schemas.openxmlformats.org/officeDocument/2006/relationships/hyperlink" Target="mailto:josemarioesca@hotmail.com" TargetMode="External"/><Relationship Id="rId570" Type="http://schemas.openxmlformats.org/officeDocument/2006/relationships/hyperlink" Target="mailto:josemarioesca@hotmail.com" TargetMode="External"/><Relationship Id="rId591" Type="http://schemas.openxmlformats.org/officeDocument/2006/relationships/hyperlink" Target="mailto:josemarioesca@hotmail.com" TargetMode="External"/><Relationship Id="rId605" Type="http://schemas.openxmlformats.org/officeDocument/2006/relationships/hyperlink" Target="mailto:josemarioesca@hotmail.com" TargetMode="External"/><Relationship Id="rId626" Type="http://schemas.openxmlformats.org/officeDocument/2006/relationships/hyperlink" Target="mailto:josemarioesca@hotmail.com" TargetMode="External"/><Relationship Id="rId202" Type="http://schemas.openxmlformats.org/officeDocument/2006/relationships/hyperlink" Target="mailto:josemarioesca@hotmail.com" TargetMode="External"/><Relationship Id="rId223" Type="http://schemas.openxmlformats.org/officeDocument/2006/relationships/hyperlink" Target="mailto:josemarioesca@hotmail.com" TargetMode="External"/><Relationship Id="rId244" Type="http://schemas.openxmlformats.org/officeDocument/2006/relationships/hyperlink" Target="mailto:josemarioesca@hotmail.com" TargetMode="External"/><Relationship Id="rId430" Type="http://schemas.openxmlformats.org/officeDocument/2006/relationships/hyperlink" Target="mailto:josemarioesca@hotmail.com" TargetMode="External"/><Relationship Id="rId647" Type="http://schemas.openxmlformats.org/officeDocument/2006/relationships/vmlDrawing" Target="../drawings/vmlDrawing1.vml"/><Relationship Id="rId18" Type="http://schemas.openxmlformats.org/officeDocument/2006/relationships/hyperlink" Target="mailto:josemarioesca@hotmail.com" TargetMode="External"/><Relationship Id="rId39" Type="http://schemas.openxmlformats.org/officeDocument/2006/relationships/hyperlink" Target="mailto:josemarioesca@hotmail.com" TargetMode="External"/><Relationship Id="rId265" Type="http://schemas.openxmlformats.org/officeDocument/2006/relationships/hyperlink" Target="mailto:josemarioesca@hotmail.com" TargetMode="External"/><Relationship Id="rId286" Type="http://schemas.openxmlformats.org/officeDocument/2006/relationships/hyperlink" Target="mailto:josemarioesca@hotmail.com" TargetMode="External"/><Relationship Id="rId451" Type="http://schemas.openxmlformats.org/officeDocument/2006/relationships/hyperlink" Target="mailto:josemarioesca@hotmail.com" TargetMode="External"/><Relationship Id="rId472" Type="http://schemas.openxmlformats.org/officeDocument/2006/relationships/hyperlink" Target="mailto:josemarioesca@hotmail.com" TargetMode="External"/><Relationship Id="rId493" Type="http://schemas.openxmlformats.org/officeDocument/2006/relationships/hyperlink" Target="mailto:josemarioesca@hotmail.com" TargetMode="External"/><Relationship Id="rId507" Type="http://schemas.openxmlformats.org/officeDocument/2006/relationships/hyperlink" Target="mailto:josemarioesca@hotmail.com" TargetMode="External"/><Relationship Id="rId528" Type="http://schemas.openxmlformats.org/officeDocument/2006/relationships/hyperlink" Target="mailto:josemarioesca@hotmail.com" TargetMode="External"/><Relationship Id="rId549" Type="http://schemas.openxmlformats.org/officeDocument/2006/relationships/hyperlink" Target="mailto:josemarioesca@hotmail.com" TargetMode="External"/><Relationship Id="rId50" Type="http://schemas.openxmlformats.org/officeDocument/2006/relationships/hyperlink" Target="mailto:josemarioesca@hotmail.com" TargetMode="External"/><Relationship Id="rId104" Type="http://schemas.openxmlformats.org/officeDocument/2006/relationships/hyperlink" Target="mailto:josemarioesca@hotmail.com" TargetMode="External"/><Relationship Id="rId125" Type="http://schemas.openxmlformats.org/officeDocument/2006/relationships/hyperlink" Target="mailto:josemarioesca@hotmail.com" TargetMode="External"/><Relationship Id="rId146" Type="http://schemas.openxmlformats.org/officeDocument/2006/relationships/hyperlink" Target="mailto:josemarioesca@hotmail.com" TargetMode="External"/><Relationship Id="rId167" Type="http://schemas.openxmlformats.org/officeDocument/2006/relationships/hyperlink" Target="mailto:josemarioesca@hotmail.com" TargetMode="External"/><Relationship Id="rId188" Type="http://schemas.openxmlformats.org/officeDocument/2006/relationships/hyperlink" Target="mailto:josemarioesca@hotmail.com" TargetMode="External"/><Relationship Id="rId311" Type="http://schemas.openxmlformats.org/officeDocument/2006/relationships/hyperlink" Target="mailto:josemarioesca@hotmail.com" TargetMode="External"/><Relationship Id="rId332" Type="http://schemas.openxmlformats.org/officeDocument/2006/relationships/hyperlink" Target="mailto:josemarioesca@hotmail.com" TargetMode="External"/><Relationship Id="rId353" Type="http://schemas.openxmlformats.org/officeDocument/2006/relationships/hyperlink" Target="mailto:josemarioesca@hotmail.com" TargetMode="External"/><Relationship Id="rId374" Type="http://schemas.openxmlformats.org/officeDocument/2006/relationships/hyperlink" Target="mailto:josemarioesca@hotmail.com" TargetMode="External"/><Relationship Id="rId395" Type="http://schemas.openxmlformats.org/officeDocument/2006/relationships/hyperlink" Target="mailto:josemarioesca@hotmail.com" TargetMode="External"/><Relationship Id="rId409" Type="http://schemas.openxmlformats.org/officeDocument/2006/relationships/hyperlink" Target="mailto:josemarioesca@hotmail.com" TargetMode="External"/><Relationship Id="rId560" Type="http://schemas.openxmlformats.org/officeDocument/2006/relationships/hyperlink" Target="mailto:josemarioesca@hotmail.com" TargetMode="External"/><Relationship Id="rId581" Type="http://schemas.openxmlformats.org/officeDocument/2006/relationships/hyperlink" Target="mailto:josemarioesca@hotmail.com" TargetMode="External"/><Relationship Id="rId71" Type="http://schemas.openxmlformats.org/officeDocument/2006/relationships/hyperlink" Target="mailto:josemarioesca@hotmail.com" TargetMode="External"/><Relationship Id="rId92" Type="http://schemas.openxmlformats.org/officeDocument/2006/relationships/hyperlink" Target="mailto:josemarioesca@hotmail.com" TargetMode="External"/><Relationship Id="rId213" Type="http://schemas.openxmlformats.org/officeDocument/2006/relationships/hyperlink" Target="mailto:josemarioesca@hotmail.com" TargetMode="External"/><Relationship Id="rId234" Type="http://schemas.openxmlformats.org/officeDocument/2006/relationships/hyperlink" Target="mailto:josemarioesca@hotmail.com" TargetMode="External"/><Relationship Id="rId420" Type="http://schemas.openxmlformats.org/officeDocument/2006/relationships/hyperlink" Target="mailto:josemarioesca@hotmail.com" TargetMode="External"/><Relationship Id="rId616" Type="http://schemas.openxmlformats.org/officeDocument/2006/relationships/hyperlink" Target="mailto:josemarioesca@hotmail.com" TargetMode="External"/><Relationship Id="rId637" Type="http://schemas.openxmlformats.org/officeDocument/2006/relationships/hyperlink" Target="mailto:josemarioesca@hotmail.com" TargetMode="External"/><Relationship Id="rId2" Type="http://schemas.openxmlformats.org/officeDocument/2006/relationships/hyperlink" Target="mailto:josemarioesca@hotmail.com" TargetMode="External"/><Relationship Id="rId29" Type="http://schemas.openxmlformats.org/officeDocument/2006/relationships/hyperlink" Target="mailto:josemarioesca@hotmail.com" TargetMode="External"/><Relationship Id="rId255" Type="http://schemas.openxmlformats.org/officeDocument/2006/relationships/hyperlink" Target="mailto:josemarioesca@hotmail.com" TargetMode="External"/><Relationship Id="rId276" Type="http://schemas.openxmlformats.org/officeDocument/2006/relationships/hyperlink" Target="mailto:josemarioesca@hotmail.com" TargetMode="External"/><Relationship Id="rId297" Type="http://schemas.openxmlformats.org/officeDocument/2006/relationships/hyperlink" Target="mailto:josemarioesca@hotmail.com" TargetMode="External"/><Relationship Id="rId441" Type="http://schemas.openxmlformats.org/officeDocument/2006/relationships/hyperlink" Target="mailto:josemarioesca@hotmail.com" TargetMode="External"/><Relationship Id="rId462" Type="http://schemas.openxmlformats.org/officeDocument/2006/relationships/hyperlink" Target="mailto:josemarioesca@hotmail.com" TargetMode="External"/><Relationship Id="rId483" Type="http://schemas.openxmlformats.org/officeDocument/2006/relationships/hyperlink" Target="mailto:josemarioesca@hotmail.com" TargetMode="External"/><Relationship Id="rId518" Type="http://schemas.openxmlformats.org/officeDocument/2006/relationships/hyperlink" Target="mailto:josemarioesca@hotmail.com" TargetMode="External"/><Relationship Id="rId539" Type="http://schemas.openxmlformats.org/officeDocument/2006/relationships/hyperlink" Target="mailto:josemarioesca@hotmail.com" TargetMode="External"/><Relationship Id="rId40" Type="http://schemas.openxmlformats.org/officeDocument/2006/relationships/hyperlink" Target="mailto:josemarioesca@hotmail.com" TargetMode="External"/><Relationship Id="rId115" Type="http://schemas.openxmlformats.org/officeDocument/2006/relationships/hyperlink" Target="mailto:josemarioesca@hotmail.com" TargetMode="External"/><Relationship Id="rId136" Type="http://schemas.openxmlformats.org/officeDocument/2006/relationships/hyperlink" Target="mailto:josemarioesca@hotmail.com" TargetMode="External"/><Relationship Id="rId157" Type="http://schemas.openxmlformats.org/officeDocument/2006/relationships/hyperlink" Target="mailto:josemarioesca@hotmail.com" TargetMode="External"/><Relationship Id="rId178" Type="http://schemas.openxmlformats.org/officeDocument/2006/relationships/hyperlink" Target="mailto:josemarioesca@hotmail.com" TargetMode="External"/><Relationship Id="rId301" Type="http://schemas.openxmlformats.org/officeDocument/2006/relationships/hyperlink" Target="mailto:josemarioesca@hotmail.com" TargetMode="External"/><Relationship Id="rId322" Type="http://schemas.openxmlformats.org/officeDocument/2006/relationships/hyperlink" Target="mailto:josemarioesca@hotmail.com" TargetMode="External"/><Relationship Id="rId343" Type="http://schemas.openxmlformats.org/officeDocument/2006/relationships/hyperlink" Target="mailto:josemarioesca@hotmail.com" TargetMode="External"/><Relationship Id="rId364" Type="http://schemas.openxmlformats.org/officeDocument/2006/relationships/hyperlink" Target="mailto:josemarioesca@hotmail.com" TargetMode="External"/><Relationship Id="rId550" Type="http://schemas.openxmlformats.org/officeDocument/2006/relationships/hyperlink" Target="mailto:josemarioesca@hotmail.com" TargetMode="External"/><Relationship Id="rId61" Type="http://schemas.openxmlformats.org/officeDocument/2006/relationships/hyperlink" Target="mailto:josemarioesca@hotmail.com" TargetMode="External"/><Relationship Id="rId82" Type="http://schemas.openxmlformats.org/officeDocument/2006/relationships/hyperlink" Target="mailto:josemarioesca@hotmail.com" TargetMode="External"/><Relationship Id="rId199" Type="http://schemas.openxmlformats.org/officeDocument/2006/relationships/hyperlink" Target="mailto:josemarioesca@hotmail.com" TargetMode="External"/><Relationship Id="rId203" Type="http://schemas.openxmlformats.org/officeDocument/2006/relationships/hyperlink" Target="mailto:josemarioesca@hotmail.com" TargetMode="External"/><Relationship Id="rId385" Type="http://schemas.openxmlformats.org/officeDocument/2006/relationships/hyperlink" Target="mailto:josemarioesca@hotmail.com" TargetMode="External"/><Relationship Id="rId571" Type="http://schemas.openxmlformats.org/officeDocument/2006/relationships/hyperlink" Target="mailto:josemarioesca@hotmail.com" TargetMode="External"/><Relationship Id="rId592" Type="http://schemas.openxmlformats.org/officeDocument/2006/relationships/hyperlink" Target="mailto:josemarioesca@hotmail.com" TargetMode="External"/><Relationship Id="rId606" Type="http://schemas.openxmlformats.org/officeDocument/2006/relationships/hyperlink" Target="mailto:josemarioesca@hotmail.com" TargetMode="External"/><Relationship Id="rId627" Type="http://schemas.openxmlformats.org/officeDocument/2006/relationships/hyperlink" Target="mailto:josemarioesca@hotmail.com" TargetMode="External"/><Relationship Id="rId648" Type="http://schemas.openxmlformats.org/officeDocument/2006/relationships/comments" Target="../comments1.xml"/><Relationship Id="rId19" Type="http://schemas.openxmlformats.org/officeDocument/2006/relationships/hyperlink" Target="mailto:josemarioesca@hotmail.com" TargetMode="External"/><Relationship Id="rId224" Type="http://schemas.openxmlformats.org/officeDocument/2006/relationships/hyperlink" Target="mailto:josemarioesca@hotmail.com" TargetMode="External"/><Relationship Id="rId245" Type="http://schemas.openxmlformats.org/officeDocument/2006/relationships/hyperlink" Target="mailto:josemarioesca@hotmail.com" TargetMode="External"/><Relationship Id="rId266" Type="http://schemas.openxmlformats.org/officeDocument/2006/relationships/hyperlink" Target="mailto:josemarioesca@hotmail.com" TargetMode="External"/><Relationship Id="rId287" Type="http://schemas.openxmlformats.org/officeDocument/2006/relationships/hyperlink" Target="mailto:josemarioesca@hotmail.com" TargetMode="External"/><Relationship Id="rId410" Type="http://schemas.openxmlformats.org/officeDocument/2006/relationships/hyperlink" Target="mailto:josemarioesca@hotmail.com" TargetMode="External"/><Relationship Id="rId431" Type="http://schemas.openxmlformats.org/officeDocument/2006/relationships/hyperlink" Target="mailto:josemarioesca@hotmail.com" TargetMode="External"/><Relationship Id="rId452" Type="http://schemas.openxmlformats.org/officeDocument/2006/relationships/hyperlink" Target="mailto:josemarioesca@hotmail.com" TargetMode="External"/><Relationship Id="rId473" Type="http://schemas.openxmlformats.org/officeDocument/2006/relationships/hyperlink" Target="mailto:josemarioesca@hotmail.com" TargetMode="External"/><Relationship Id="rId494" Type="http://schemas.openxmlformats.org/officeDocument/2006/relationships/hyperlink" Target="mailto:josemarioesca@hotmail.com" TargetMode="External"/><Relationship Id="rId508" Type="http://schemas.openxmlformats.org/officeDocument/2006/relationships/hyperlink" Target="mailto:josemarioesca@hotmail.com" TargetMode="External"/><Relationship Id="rId529" Type="http://schemas.openxmlformats.org/officeDocument/2006/relationships/hyperlink" Target="mailto:josemarioesca@hotmail.com" TargetMode="External"/><Relationship Id="rId30" Type="http://schemas.openxmlformats.org/officeDocument/2006/relationships/hyperlink" Target="mailto:josemarioesca@hotmail.com" TargetMode="External"/><Relationship Id="rId105" Type="http://schemas.openxmlformats.org/officeDocument/2006/relationships/hyperlink" Target="mailto:josemarioesca@hotmail.com" TargetMode="External"/><Relationship Id="rId126" Type="http://schemas.openxmlformats.org/officeDocument/2006/relationships/hyperlink" Target="mailto:josemarioesca@hotmail.com" TargetMode="External"/><Relationship Id="rId147" Type="http://schemas.openxmlformats.org/officeDocument/2006/relationships/hyperlink" Target="mailto:josemarioesca@hotmail.com" TargetMode="External"/><Relationship Id="rId168" Type="http://schemas.openxmlformats.org/officeDocument/2006/relationships/hyperlink" Target="mailto:josemarioesca@hotmail.com" TargetMode="External"/><Relationship Id="rId312" Type="http://schemas.openxmlformats.org/officeDocument/2006/relationships/hyperlink" Target="mailto:josemarioesca@hotmail.com" TargetMode="External"/><Relationship Id="rId333" Type="http://schemas.openxmlformats.org/officeDocument/2006/relationships/hyperlink" Target="mailto:josemarioesca@hotmail.com" TargetMode="External"/><Relationship Id="rId354" Type="http://schemas.openxmlformats.org/officeDocument/2006/relationships/hyperlink" Target="mailto:josemarioesca@hotmail.com" TargetMode="External"/><Relationship Id="rId540" Type="http://schemas.openxmlformats.org/officeDocument/2006/relationships/hyperlink" Target="mailto:josemarioesca@hotmail.com" TargetMode="External"/><Relationship Id="rId51" Type="http://schemas.openxmlformats.org/officeDocument/2006/relationships/hyperlink" Target="mailto:josemarioesca@hotmail.com" TargetMode="External"/><Relationship Id="rId72" Type="http://schemas.openxmlformats.org/officeDocument/2006/relationships/hyperlink" Target="mailto:josemarioesca@hotmail.com" TargetMode="External"/><Relationship Id="rId93" Type="http://schemas.openxmlformats.org/officeDocument/2006/relationships/hyperlink" Target="mailto:josemarioesca@hotmail.com" TargetMode="External"/><Relationship Id="rId189" Type="http://schemas.openxmlformats.org/officeDocument/2006/relationships/hyperlink" Target="mailto:josemarioesca@hotmail.com" TargetMode="External"/><Relationship Id="rId375" Type="http://schemas.openxmlformats.org/officeDocument/2006/relationships/hyperlink" Target="mailto:josemarioesca@hotmail.com" TargetMode="External"/><Relationship Id="rId396" Type="http://schemas.openxmlformats.org/officeDocument/2006/relationships/hyperlink" Target="mailto:josemarioesca@hotmail.com" TargetMode="External"/><Relationship Id="rId561" Type="http://schemas.openxmlformats.org/officeDocument/2006/relationships/hyperlink" Target="mailto:josemarioesca@hotmail.com" TargetMode="External"/><Relationship Id="rId582" Type="http://schemas.openxmlformats.org/officeDocument/2006/relationships/hyperlink" Target="mailto:josemarioesca@hotmail.com" TargetMode="External"/><Relationship Id="rId617" Type="http://schemas.openxmlformats.org/officeDocument/2006/relationships/hyperlink" Target="mailto:josemarioesca@hotmail.com" TargetMode="External"/><Relationship Id="rId638" Type="http://schemas.openxmlformats.org/officeDocument/2006/relationships/hyperlink" Target="mailto:josemarioesca@hotmail.com" TargetMode="External"/><Relationship Id="rId3" Type="http://schemas.openxmlformats.org/officeDocument/2006/relationships/hyperlink" Target="mailto:josemarioesca@hotmail.com" TargetMode="External"/><Relationship Id="rId214" Type="http://schemas.openxmlformats.org/officeDocument/2006/relationships/hyperlink" Target="mailto:josemarioesca@hotmail.com" TargetMode="External"/><Relationship Id="rId235" Type="http://schemas.openxmlformats.org/officeDocument/2006/relationships/hyperlink" Target="mailto:josemarioesca@hotmail.com" TargetMode="External"/><Relationship Id="rId256" Type="http://schemas.openxmlformats.org/officeDocument/2006/relationships/hyperlink" Target="mailto:josemarioesca@hotmail.com" TargetMode="External"/><Relationship Id="rId277" Type="http://schemas.openxmlformats.org/officeDocument/2006/relationships/hyperlink" Target="mailto:josemarioesca@hotmail.com" TargetMode="External"/><Relationship Id="rId298" Type="http://schemas.openxmlformats.org/officeDocument/2006/relationships/hyperlink" Target="mailto:josemarioesca@hotmail.com" TargetMode="External"/><Relationship Id="rId400" Type="http://schemas.openxmlformats.org/officeDocument/2006/relationships/hyperlink" Target="mailto:josemarioesca@hotmail.com" TargetMode="External"/><Relationship Id="rId421" Type="http://schemas.openxmlformats.org/officeDocument/2006/relationships/hyperlink" Target="mailto:josemarioesca@hotmail.com" TargetMode="External"/><Relationship Id="rId442" Type="http://schemas.openxmlformats.org/officeDocument/2006/relationships/hyperlink" Target="mailto:josemarioesca@hotmail.com" TargetMode="External"/><Relationship Id="rId463" Type="http://schemas.openxmlformats.org/officeDocument/2006/relationships/hyperlink" Target="mailto:josemarioesca@hotmail.com" TargetMode="External"/><Relationship Id="rId484" Type="http://schemas.openxmlformats.org/officeDocument/2006/relationships/hyperlink" Target="mailto:josemarioesca@hotmail.com" TargetMode="External"/><Relationship Id="rId519" Type="http://schemas.openxmlformats.org/officeDocument/2006/relationships/hyperlink" Target="mailto:josemarioesca@hotmail.com" TargetMode="External"/><Relationship Id="rId116" Type="http://schemas.openxmlformats.org/officeDocument/2006/relationships/hyperlink" Target="mailto:josemarioesca@hotmail.com" TargetMode="External"/><Relationship Id="rId137" Type="http://schemas.openxmlformats.org/officeDocument/2006/relationships/hyperlink" Target="mailto:josemarioesca@hotmail.com" TargetMode="External"/><Relationship Id="rId158" Type="http://schemas.openxmlformats.org/officeDocument/2006/relationships/hyperlink" Target="mailto:josemarioesca@hotmail.com" TargetMode="External"/><Relationship Id="rId302" Type="http://schemas.openxmlformats.org/officeDocument/2006/relationships/hyperlink" Target="mailto:josemarioesca@hotmail.com" TargetMode="External"/><Relationship Id="rId323" Type="http://schemas.openxmlformats.org/officeDocument/2006/relationships/hyperlink" Target="mailto:josemarioesca@hotmail.com" TargetMode="External"/><Relationship Id="rId344" Type="http://schemas.openxmlformats.org/officeDocument/2006/relationships/hyperlink" Target="mailto:josemarioesca@hotmail.com" TargetMode="External"/><Relationship Id="rId530" Type="http://schemas.openxmlformats.org/officeDocument/2006/relationships/hyperlink" Target="mailto:josemarioesca@hotmail.com" TargetMode="External"/><Relationship Id="rId20" Type="http://schemas.openxmlformats.org/officeDocument/2006/relationships/hyperlink" Target="mailto:josemarioesca@hotmail.com" TargetMode="External"/><Relationship Id="rId41" Type="http://schemas.openxmlformats.org/officeDocument/2006/relationships/hyperlink" Target="mailto:josemarioesca@hotmail.com" TargetMode="External"/><Relationship Id="rId62" Type="http://schemas.openxmlformats.org/officeDocument/2006/relationships/hyperlink" Target="mailto:josemarioesca@hotmail.com" TargetMode="External"/><Relationship Id="rId83" Type="http://schemas.openxmlformats.org/officeDocument/2006/relationships/hyperlink" Target="mailto:josemarioesca@hotmail.com" TargetMode="External"/><Relationship Id="rId179" Type="http://schemas.openxmlformats.org/officeDocument/2006/relationships/hyperlink" Target="mailto:josemarioesca@hotmail.com" TargetMode="External"/><Relationship Id="rId365" Type="http://schemas.openxmlformats.org/officeDocument/2006/relationships/hyperlink" Target="mailto:josemarioesca@hotmail.com" TargetMode="External"/><Relationship Id="rId386" Type="http://schemas.openxmlformats.org/officeDocument/2006/relationships/hyperlink" Target="mailto:josemarioesca@hotmail.com" TargetMode="External"/><Relationship Id="rId551" Type="http://schemas.openxmlformats.org/officeDocument/2006/relationships/hyperlink" Target="mailto:josemarioesca@hotmail.com" TargetMode="External"/><Relationship Id="rId572" Type="http://schemas.openxmlformats.org/officeDocument/2006/relationships/hyperlink" Target="mailto:josemarioesca@hotmail.com" TargetMode="External"/><Relationship Id="rId593" Type="http://schemas.openxmlformats.org/officeDocument/2006/relationships/hyperlink" Target="mailto:josemarioesca@hotmail.com" TargetMode="External"/><Relationship Id="rId607" Type="http://schemas.openxmlformats.org/officeDocument/2006/relationships/hyperlink" Target="mailto:josemarioesca@hotmail.com" TargetMode="External"/><Relationship Id="rId628" Type="http://schemas.openxmlformats.org/officeDocument/2006/relationships/hyperlink" Target="mailto:josemarioesca@hotmail.com" TargetMode="External"/><Relationship Id="rId190" Type="http://schemas.openxmlformats.org/officeDocument/2006/relationships/hyperlink" Target="mailto:josemarioesca@hotmail.com" TargetMode="External"/><Relationship Id="rId204" Type="http://schemas.openxmlformats.org/officeDocument/2006/relationships/hyperlink" Target="mailto:josemarioesca@hotmail.com" TargetMode="External"/><Relationship Id="rId225" Type="http://schemas.openxmlformats.org/officeDocument/2006/relationships/hyperlink" Target="mailto:josemarioesca@hotmail.com" TargetMode="External"/><Relationship Id="rId246" Type="http://schemas.openxmlformats.org/officeDocument/2006/relationships/hyperlink" Target="mailto:josemarioesca@hotmail.com" TargetMode="External"/><Relationship Id="rId267" Type="http://schemas.openxmlformats.org/officeDocument/2006/relationships/hyperlink" Target="mailto:josemarioesca@hotmail.com" TargetMode="External"/><Relationship Id="rId288" Type="http://schemas.openxmlformats.org/officeDocument/2006/relationships/hyperlink" Target="mailto:josemarioesca@hotmail.com" TargetMode="External"/><Relationship Id="rId411" Type="http://schemas.openxmlformats.org/officeDocument/2006/relationships/hyperlink" Target="mailto:josemarioesca@hotmail.com" TargetMode="External"/><Relationship Id="rId432" Type="http://schemas.openxmlformats.org/officeDocument/2006/relationships/hyperlink" Target="mailto:josemarioesca@hotmail.com" TargetMode="External"/><Relationship Id="rId453" Type="http://schemas.openxmlformats.org/officeDocument/2006/relationships/hyperlink" Target="mailto:josemarioesca@hotmail.com" TargetMode="External"/><Relationship Id="rId474" Type="http://schemas.openxmlformats.org/officeDocument/2006/relationships/hyperlink" Target="mailto:josemarioesca@hotmail.com" TargetMode="External"/><Relationship Id="rId509" Type="http://schemas.openxmlformats.org/officeDocument/2006/relationships/hyperlink" Target="mailto:josemarioesca@hotmail.com" TargetMode="External"/><Relationship Id="rId106" Type="http://schemas.openxmlformats.org/officeDocument/2006/relationships/hyperlink" Target="mailto:josemarioesca@hotmail.com" TargetMode="External"/><Relationship Id="rId127" Type="http://schemas.openxmlformats.org/officeDocument/2006/relationships/hyperlink" Target="mailto:josemarioesca@hotmail.com" TargetMode="External"/><Relationship Id="rId313" Type="http://schemas.openxmlformats.org/officeDocument/2006/relationships/hyperlink" Target="mailto:josemarioesca@hotmail.com" TargetMode="External"/><Relationship Id="rId495" Type="http://schemas.openxmlformats.org/officeDocument/2006/relationships/hyperlink" Target="mailto:josemarioesca@hotmail.com" TargetMode="External"/><Relationship Id="rId10" Type="http://schemas.openxmlformats.org/officeDocument/2006/relationships/hyperlink" Target="mailto:josemarioesca@hotmail.com" TargetMode="External"/><Relationship Id="rId31" Type="http://schemas.openxmlformats.org/officeDocument/2006/relationships/hyperlink" Target="mailto:josemarioesca@hotmail.com" TargetMode="External"/><Relationship Id="rId52" Type="http://schemas.openxmlformats.org/officeDocument/2006/relationships/hyperlink" Target="mailto:josemarioesca@hotmail.com" TargetMode="External"/><Relationship Id="rId73" Type="http://schemas.openxmlformats.org/officeDocument/2006/relationships/hyperlink" Target="mailto:josemarioesca@hotmail.com" TargetMode="External"/><Relationship Id="rId94" Type="http://schemas.openxmlformats.org/officeDocument/2006/relationships/hyperlink" Target="mailto:josemarioesca@hotmail.com" TargetMode="External"/><Relationship Id="rId148" Type="http://schemas.openxmlformats.org/officeDocument/2006/relationships/hyperlink" Target="mailto:josemarioesca@hotmail.com" TargetMode="External"/><Relationship Id="rId169" Type="http://schemas.openxmlformats.org/officeDocument/2006/relationships/hyperlink" Target="mailto:josemarioesca@hotmail.com" TargetMode="External"/><Relationship Id="rId334" Type="http://schemas.openxmlformats.org/officeDocument/2006/relationships/hyperlink" Target="mailto:josemarioesca@hotmail.com" TargetMode="External"/><Relationship Id="rId355" Type="http://schemas.openxmlformats.org/officeDocument/2006/relationships/hyperlink" Target="mailto:josemarioesca@hotmail.com" TargetMode="External"/><Relationship Id="rId376" Type="http://schemas.openxmlformats.org/officeDocument/2006/relationships/hyperlink" Target="mailto:josemarioesca@hotmail.com" TargetMode="External"/><Relationship Id="rId397" Type="http://schemas.openxmlformats.org/officeDocument/2006/relationships/hyperlink" Target="mailto:josemarioesca@hotmail.com" TargetMode="External"/><Relationship Id="rId520" Type="http://schemas.openxmlformats.org/officeDocument/2006/relationships/hyperlink" Target="mailto:josemarioesca@hotmail.com" TargetMode="External"/><Relationship Id="rId541" Type="http://schemas.openxmlformats.org/officeDocument/2006/relationships/hyperlink" Target="mailto:josemarioesca@hotmail.com" TargetMode="External"/><Relationship Id="rId562" Type="http://schemas.openxmlformats.org/officeDocument/2006/relationships/hyperlink" Target="mailto:josemarioesca@hotmail.com" TargetMode="External"/><Relationship Id="rId583" Type="http://schemas.openxmlformats.org/officeDocument/2006/relationships/hyperlink" Target="mailto:josemarioesca@hotmail.com" TargetMode="External"/><Relationship Id="rId618" Type="http://schemas.openxmlformats.org/officeDocument/2006/relationships/hyperlink" Target="mailto:josemarioesca@hotmail.com" TargetMode="External"/><Relationship Id="rId639" Type="http://schemas.openxmlformats.org/officeDocument/2006/relationships/hyperlink" Target="mailto:josemarioesca@hotmail.com" TargetMode="External"/><Relationship Id="rId4" Type="http://schemas.openxmlformats.org/officeDocument/2006/relationships/hyperlink" Target="mailto:josemarioesca@hotmail.com" TargetMode="External"/><Relationship Id="rId180" Type="http://schemas.openxmlformats.org/officeDocument/2006/relationships/hyperlink" Target="mailto:josemarioesca@hotmail.com" TargetMode="External"/><Relationship Id="rId215" Type="http://schemas.openxmlformats.org/officeDocument/2006/relationships/hyperlink" Target="mailto:josemarioesca@hotmail.com" TargetMode="External"/><Relationship Id="rId236" Type="http://schemas.openxmlformats.org/officeDocument/2006/relationships/hyperlink" Target="mailto:josemarioesca@hotmail.com" TargetMode="External"/><Relationship Id="rId257" Type="http://schemas.openxmlformats.org/officeDocument/2006/relationships/hyperlink" Target="mailto:josemarioesca@hotmail.com" TargetMode="External"/><Relationship Id="rId278" Type="http://schemas.openxmlformats.org/officeDocument/2006/relationships/hyperlink" Target="mailto:josemarioesca@hotmail.com" TargetMode="External"/><Relationship Id="rId401" Type="http://schemas.openxmlformats.org/officeDocument/2006/relationships/hyperlink" Target="mailto:josemarioesca@hotmail.com" TargetMode="External"/><Relationship Id="rId422" Type="http://schemas.openxmlformats.org/officeDocument/2006/relationships/hyperlink" Target="mailto:josemarioesca@hotmail.com" TargetMode="External"/><Relationship Id="rId443" Type="http://schemas.openxmlformats.org/officeDocument/2006/relationships/hyperlink" Target="mailto:josemarioesca@hotmail.com" TargetMode="External"/><Relationship Id="rId464" Type="http://schemas.openxmlformats.org/officeDocument/2006/relationships/hyperlink" Target="mailto:josemarioesca@hotmail.com" TargetMode="External"/><Relationship Id="rId303" Type="http://schemas.openxmlformats.org/officeDocument/2006/relationships/hyperlink" Target="mailto:josemarioesca@hotmail.com" TargetMode="External"/><Relationship Id="rId485" Type="http://schemas.openxmlformats.org/officeDocument/2006/relationships/hyperlink" Target="mailto:josemarioesca@hotmail.com" TargetMode="External"/><Relationship Id="rId42" Type="http://schemas.openxmlformats.org/officeDocument/2006/relationships/hyperlink" Target="mailto:josemarioesca@hotmail.com" TargetMode="External"/><Relationship Id="rId84" Type="http://schemas.openxmlformats.org/officeDocument/2006/relationships/hyperlink" Target="mailto:josemarioesca@hotmail.com" TargetMode="External"/><Relationship Id="rId138" Type="http://schemas.openxmlformats.org/officeDocument/2006/relationships/hyperlink" Target="mailto:josemarioesca@hotmail.com" TargetMode="External"/><Relationship Id="rId345" Type="http://schemas.openxmlformats.org/officeDocument/2006/relationships/hyperlink" Target="mailto:josemarioesca@hotmail.com" TargetMode="External"/><Relationship Id="rId387" Type="http://schemas.openxmlformats.org/officeDocument/2006/relationships/hyperlink" Target="mailto:josemarioesca@hotmail.com" TargetMode="External"/><Relationship Id="rId510" Type="http://schemas.openxmlformats.org/officeDocument/2006/relationships/hyperlink" Target="mailto:josemarioesca@hotmail.com" TargetMode="External"/><Relationship Id="rId552" Type="http://schemas.openxmlformats.org/officeDocument/2006/relationships/hyperlink" Target="mailto:josemarioesca@hotmail.com" TargetMode="External"/><Relationship Id="rId594" Type="http://schemas.openxmlformats.org/officeDocument/2006/relationships/hyperlink" Target="mailto:josemarioesca@hotmail.com" TargetMode="External"/><Relationship Id="rId608" Type="http://schemas.openxmlformats.org/officeDocument/2006/relationships/hyperlink" Target="mailto:josemarioesca@hotmail.com" TargetMode="External"/><Relationship Id="rId191" Type="http://schemas.openxmlformats.org/officeDocument/2006/relationships/hyperlink" Target="mailto:josemarioesca@hotmail.com" TargetMode="External"/><Relationship Id="rId205" Type="http://schemas.openxmlformats.org/officeDocument/2006/relationships/hyperlink" Target="mailto:josemarioesca@hotmail.com" TargetMode="External"/><Relationship Id="rId247" Type="http://schemas.openxmlformats.org/officeDocument/2006/relationships/hyperlink" Target="mailto:josemarioesca@hotmail.com" TargetMode="External"/><Relationship Id="rId412" Type="http://schemas.openxmlformats.org/officeDocument/2006/relationships/hyperlink" Target="mailto:josemarioesca@hotmail.com" TargetMode="External"/><Relationship Id="rId107" Type="http://schemas.openxmlformats.org/officeDocument/2006/relationships/hyperlink" Target="mailto:josemarioesca@hotmail.com" TargetMode="External"/><Relationship Id="rId289" Type="http://schemas.openxmlformats.org/officeDocument/2006/relationships/hyperlink" Target="mailto:josemarioesca@hotmail.com" TargetMode="External"/><Relationship Id="rId454" Type="http://schemas.openxmlformats.org/officeDocument/2006/relationships/hyperlink" Target="mailto:josemarioesca@hotmail.com" TargetMode="External"/><Relationship Id="rId496" Type="http://schemas.openxmlformats.org/officeDocument/2006/relationships/hyperlink" Target="mailto:josemarioesca@hotmail.com" TargetMode="External"/><Relationship Id="rId11" Type="http://schemas.openxmlformats.org/officeDocument/2006/relationships/hyperlink" Target="mailto:josemarioesca@hotmail.com" TargetMode="External"/><Relationship Id="rId53" Type="http://schemas.openxmlformats.org/officeDocument/2006/relationships/hyperlink" Target="mailto:josemarioesca@hotmail.com" TargetMode="External"/><Relationship Id="rId149" Type="http://schemas.openxmlformats.org/officeDocument/2006/relationships/hyperlink" Target="mailto:josemarioesca@hotmail.com" TargetMode="External"/><Relationship Id="rId314" Type="http://schemas.openxmlformats.org/officeDocument/2006/relationships/hyperlink" Target="mailto:josemarioesca@hotmail.com" TargetMode="External"/><Relationship Id="rId356" Type="http://schemas.openxmlformats.org/officeDocument/2006/relationships/hyperlink" Target="mailto:josemarioesca@hotmail.com" TargetMode="External"/><Relationship Id="rId398" Type="http://schemas.openxmlformats.org/officeDocument/2006/relationships/hyperlink" Target="mailto:josemarioesca@hotmail.com" TargetMode="External"/><Relationship Id="rId521" Type="http://schemas.openxmlformats.org/officeDocument/2006/relationships/hyperlink" Target="mailto:josemarioesca@hotmail.com" TargetMode="External"/><Relationship Id="rId563" Type="http://schemas.openxmlformats.org/officeDocument/2006/relationships/hyperlink" Target="mailto:josemarioesca@hotmail.com" TargetMode="External"/><Relationship Id="rId619" Type="http://schemas.openxmlformats.org/officeDocument/2006/relationships/hyperlink" Target="mailto:josemarioesca@hotmail.com" TargetMode="External"/><Relationship Id="rId95" Type="http://schemas.openxmlformats.org/officeDocument/2006/relationships/hyperlink" Target="mailto:josemarioesca@hotmail.com" TargetMode="External"/><Relationship Id="rId160" Type="http://schemas.openxmlformats.org/officeDocument/2006/relationships/hyperlink" Target="mailto:josemarioesca@hotmail.com" TargetMode="External"/><Relationship Id="rId216" Type="http://schemas.openxmlformats.org/officeDocument/2006/relationships/hyperlink" Target="mailto:josemarioesca@hotmail.com" TargetMode="External"/><Relationship Id="rId423" Type="http://schemas.openxmlformats.org/officeDocument/2006/relationships/hyperlink" Target="mailto:josemarioesca@hotmail.com" TargetMode="External"/><Relationship Id="rId258" Type="http://schemas.openxmlformats.org/officeDocument/2006/relationships/hyperlink" Target="mailto:josemarioesca@hotmail.com" TargetMode="External"/><Relationship Id="rId465" Type="http://schemas.openxmlformats.org/officeDocument/2006/relationships/hyperlink" Target="mailto:josemarioesca@hotmail.com" TargetMode="External"/><Relationship Id="rId630" Type="http://schemas.openxmlformats.org/officeDocument/2006/relationships/hyperlink" Target="mailto:josemarioesca@hotmail.com" TargetMode="External"/><Relationship Id="rId22" Type="http://schemas.openxmlformats.org/officeDocument/2006/relationships/hyperlink" Target="mailto:josemarioesca@hotmail.com" TargetMode="External"/><Relationship Id="rId64" Type="http://schemas.openxmlformats.org/officeDocument/2006/relationships/hyperlink" Target="mailto:josemarioesca@hotmail.com" TargetMode="External"/><Relationship Id="rId118" Type="http://schemas.openxmlformats.org/officeDocument/2006/relationships/hyperlink" Target="mailto:josemarioesca@hotmail.com" TargetMode="External"/><Relationship Id="rId325" Type="http://schemas.openxmlformats.org/officeDocument/2006/relationships/hyperlink" Target="mailto:josemarioesca@hotmail.com" TargetMode="External"/><Relationship Id="rId367" Type="http://schemas.openxmlformats.org/officeDocument/2006/relationships/hyperlink" Target="mailto:josemarioesca@hotmail.com" TargetMode="External"/><Relationship Id="rId532" Type="http://schemas.openxmlformats.org/officeDocument/2006/relationships/hyperlink" Target="mailto:josemarioesca@hotmail.com" TargetMode="External"/><Relationship Id="rId574" Type="http://schemas.openxmlformats.org/officeDocument/2006/relationships/hyperlink" Target="mailto:josemarioesca@hotmail.com" TargetMode="External"/><Relationship Id="rId171" Type="http://schemas.openxmlformats.org/officeDocument/2006/relationships/hyperlink" Target="mailto:josemarioesca@hotmail.com" TargetMode="External"/><Relationship Id="rId227" Type="http://schemas.openxmlformats.org/officeDocument/2006/relationships/hyperlink" Target="mailto:josemarioesca@hotmail.com" TargetMode="External"/><Relationship Id="rId269" Type="http://schemas.openxmlformats.org/officeDocument/2006/relationships/hyperlink" Target="mailto:josemarioesca@hotmail.com" TargetMode="External"/><Relationship Id="rId434" Type="http://schemas.openxmlformats.org/officeDocument/2006/relationships/hyperlink" Target="mailto:josemarioesca@hotmail.com" TargetMode="External"/><Relationship Id="rId476" Type="http://schemas.openxmlformats.org/officeDocument/2006/relationships/hyperlink" Target="mailto:josemarioesca@hotmail.com" TargetMode="External"/><Relationship Id="rId641" Type="http://schemas.openxmlformats.org/officeDocument/2006/relationships/hyperlink" Target="mailto:josemarioesca@hotmail.com" TargetMode="External"/><Relationship Id="rId33" Type="http://schemas.openxmlformats.org/officeDocument/2006/relationships/hyperlink" Target="mailto:josemarioesca@hotmail.com" TargetMode="External"/><Relationship Id="rId129" Type="http://schemas.openxmlformats.org/officeDocument/2006/relationships/hyperlink" Target="mailto:josemarioesca@hotmail.com" TargetMode="External"/><Relationship Id="rId280" Type="http://schemas.openxmlformats.org/officeDocument/2006/relationships/hyperlink" Target="mailto:josemarioesca@hotmail.com" TargetMode="External"/><Relationship Id="rId336" Type="http://schemas.openxmlformats.org/officeDocument/2006/relationships/hyperlink" Target="mailto:josemarioesca@hotmail.com" TargetMode="External"/><Relationship Id="rId501" Type="http://schemas.openxmlformats.org/officeDocument/2006/relationships/hyperlink" Target="mailto:josemarioesca@hotmail.com" TargetMode="External"/><Relationship Id="rId543" Type="http://schemas.openxmlformats.org/officeDocument/2006/relationships/hyperlink" Target="mailto:josemarioesca@hotmail.com" TargetMode="External"/><Relationship Id="rId75" Type="http://schemas.openxmlformats.org/officeDocument/2006/relationships/hyperlink" Target="mailto:josemarioesca@hotmail.com" TargetMode="External"/><Relationship Id="rId140" Type="http://schemas.openxmlformats.org/officeDocument/2006/relationships/hyperlink" Target="mailto:josemarioesca@hotmail.com" TargetMode="External"/><Relationship Id="rId182" Type="http://schemas.openxmlformats.org/officeDocument/2006/relationships/hyperlink" Target="mailto:josemarioesca@hotmail.com" TargetMode="External"/><Relationship Id="rId378" Type="http://schemas.openxmlformats.org/officeDocument/2006/relationships/hyperlink" Target="mailto:josemarioesca@hotmail.com" TargetMode="External"/><Relationship Id="rId403" Type="http://schemas.openxmlformats.org/officeDocument/2006/relationships/hyperlink" Target="mailto:josemarioesca@hotmail.com" TargetMode="External"/><Relationship Id="rId585" Type="http://schemas.openxmlformats.org/officeDocument/2006/relationships/hyperlink" Target="mailto:josemarioesca@hotmail.com" TargetMode="External"/><Relationship Id="rId6" Type="http://schemas.openxmlformats.org/officeDocument/2006/relationships/hyperlink" Target="mailto:josemarioesca@hotmail.com" TargetMode="External"/><Relationship Id="rId238" Type="http://schemas.openxmlformats.org/officeDocument/2006/relationships/hyperlink" Target="mailto:josemarioesca@hotmail.com" TargetMode="External"/><Relationship Id="rId445" Type="http://schemas.openxmlformats.org/officeDocument/2006/relationships/hyperlink" Target="mailto:josemarioesca@hotmail.com" TargetMode="External"/><Relationship Id="rId487" Type="http://schemas.openxmlformats.org/officeDocument/2006/relationships/hyperlink" Target="mailto:josemarioesca@hotmail.com" TargetMode="External"/><Relationship Id="rId610" Type="http://schemas.openxmlformats.org/officeDocument/2006/relationships/hyperlink" Target="mailto:josemarioesca@hotmail.com" TargetMode="External"/><Relationship Id="rId291" Type="http://schemas.openxmlformats.org/officeDocument/2006/relationships/hyperlink" Target="mailto:josemarioesca@hotmail.com" TargetMode="External"/><Relationship Id="rId305" Type="http://schemas.openxmlformats.org/officeDocument/2006/relationships/hyperlink" Target="mailto:josemarioesca@hotmail.com" TargetMode="External"/><Relationship Id="rId347" Type="http://schemas.openxmlformats.org/officeDocument/2006/relationships/hyperlink" Target="mailto:josemarioesca@hotmail.com" TargetMode="External"/><Relationship Id="rId512" Type="http://schemas.openxmlformats.org/officeDocument/2006/relationships/hyperlink" Target="mailto:josemarioesca@hotmail.com" TargetMode="External"/><Relationship Id="rId44" Type="http://schemas.openxmlformats.org/officeDocument/2006/relationships/hyperlink" Target="mailto:josemarioesca@hotmail.com" TargetMode="External"/><Relationship Id="rId86" Type="http://schemas.openxmlformats.org/officeDocument/2006/relationships/hyperlink" Target="mailto:josemarioesca@hotmail.com" TargetMode="External"/><Relationship Id="rId151" Type="http://schemas.openxmlformats.org/officeDocument/2006/relationships/hyperlink" Target="mailto:josemarioesca@hotmail.com" TargetMode="External"/><Relationship Id="rId389" Type="http://schemas.openxmlformats.org/officeDocument/2006/relationships/hyperlink" Target="mailto:josemarioesca@hotmail.com" TargetMode="External"/><Relationship Id="rId554" Type="http://schemas.openxmlformats.org/officeDocument/2006/relationships/hyperlink" Target="mailto:josemarioesca@hotmail.com" TargetMode="External"/><Relationship Id="rId596" Type="http://schemas.openxmlformats.org/officeDocument/2006/relationships/hyperlink" Target="mailto:josemarioesca@hotmail.com" TargetMode="External"/><Relationship Id="rId193" Type="http://schemas.openxmlformats.org/officeDocument/2006/relationships/hyperlink" Target="mailto:josemarioesca@hotmail.com" TargetMode="External"/><Relationship Id="rId207" Type="http://schemas.openxmlformats.org/officeDocument/2006/relationships/hyperlink" Target="mailto:josemarioesca@hotmail.com" TargetMode="External"/><Relationship Id="rId249" Type="http://schemas.openxmlformats.org/officeDocument/2006/relationships/hyperlink" Target="mailto:josemarioesca@hotmail.com" TargetMode="External"/><Relationship Id="rId414" Type="http://schemas.openxmlformats.org/officeDocument/2006/relationships/hyperlink" Target="mailto:josemarioesca@hotmail.com" TargetMode="External"/><Relationship Id="rId456" Type="http://schemas.openxmlformats.org/officeDocument/2006/relationships/hyperlink" Target="mailto:josemarioesca@hotmail.com" TargetMode="External"/><Relationship Id="rId498" Type="http://schemas.openxmlformats.org/officeDocument/2006/relationships/hyperlink" Target="mailto:josemarioesca@hotmail.com" TargetMode="External"/><Relationship Id="rId621" Type="http://schemas.openxmlformats.org/officeDocument/2006/relationships/hyperlink" Target="mailto:josemarioesca@hotmail.com" TargetMode="External"/><Relationship Id="rId13" Type="http://schemas.openxmlformats.org/officeDocument/2006/relationships/hyperlink" Target="mailto:josemarioesca@hotmail.com" TargetMode="External"/><Relationship Id="rId109" Type="http://schemas.openxmlformats.org/officeDocument/2006/relationships/hyperlink" Target="mailto:josemarioesca@hotmail.com" TargetMode="External"/><Relationship Id="rId260" Type="http://schemas.openxmlformats.org/officeDocument/2006/relationships/hyperlink" Target="mailto:josemarioesca@hotmail.com" TargetMode="External"/><Relationship Id="rId316" Type="http://schemas.openxmlformats.org/officeDocument/2006/relationships/hyperlink" Target="mailto:josemarioesca@hotmail.com" TargetMode="External"/><Relationship Id="rId523" Type="http://schemas.openxmlformats.org/officeDocument/2006/relationships/hyperlink" Target="mailto:josemarioesca@hotmail.com" TargetMode="External"/><Relationship Id="rId55" Type="http://schemas.openxmlformats.org/officeDocument/2006/relationships/hyperlink" Target="mailto:josemarioesca@hotmail.com" TargetMode="External"/><Relationship Id="rId97" Type="http://schemas.openxmlformats.org/officeDocument/2006/relationships/hyperlink" Target="mailto:josemarioesca@hotmail.com" TargetMode="External"/><Relationship Id="rId120" Type="http://schemas.openxmlformats.org/officeDocument/2006/relationships/hyperlink" Target="mailto:josemarioesca@hotmail.com" TargetMode="External"/><Relationship Id="rId358" Type="http://schemas.openxmlformats.org/officeDocument/2006/relationships/hyperlink" Target="mailto:josemarioesca@hotmail.com" TargetMode="External"/><Relationship Id="rId565" Type="http://schemas.openxmlformats.org/officeDocument/2006/relationships/hyperlink" Target="mailto:josemarioesca@hotmail.com" TargetMode="External"/><Relationship Id="rId162" Type="http://schemas.openxmlformats.org/officeDocument/2006/relationships/hyperlink" Target="mailto:josemarioesca@hotmail.com" TargetMode="External"/><Relationship Id="rId218" Type="http://schemas.openxmlformats.org/officeDocument/2006/relationships/hyperlink" Target="mailto:josemarioesca@hotmail.com" TargetMode="External"/><Relationship Id="rId425" Type="http://schemas.openxmlformats.org/officeDocument/2006/relationships/hyperlink" Target="mailto:josemarioesca@hotmail.com" TargetMode="External"/><Relationship Id="rId467" Type="http://schemas.openxmlformats.org/officeDocument/2006/relationships/hyperlink" Target="mailto:josemarioesca@hotmail.com" TargetMode="External"/><Relationship Id="rId632" Type="http://schemas.openxmlformats.org/officeDocument/2006/relationships/hyperlink" Target="mailto:josemarioesca@hotmail.com" TargetMode="External"/><Relationship Id="rId271" Type="http://schemas.openxmlformats.org/officeDocument/2006/relationships/hyperlink" Target="mailto:josemarioesca@hotmail.com" TargetMode="External"/><Relationship Id="rId24" Type="http://schemas.openxmlformats.org/officeDocument/2006/relationships/hyperlink" Target="mailto:josemarioesca@hotmail.com" TargetMode="External"/><Relationship Id="rId66" Type="http://schemas.openxmlformats.org/officeDocument/2006/relationships/hyperlink" Target="mailto:josemarioesca@hotmail.com" TargetMode="External"/><Relationship Id="rId131" Type="http://schemas.openxmlformats.org/officeDocument/2006/relationships/hyperlink" Target="mailto:josemarioesca@hotmail.com" TargetMode="External"/><Relationship Id="rId327" Type="http://schemas.openxmlformats.org/officeDocument/2006/relationships/hyperlink" Target="mailto:josemarioesca@hotmail.com" TargetMode="External"/><Relationship Id="rId369" Type="http://schemas.openxmlformats.org/officeDocument/2006/relationships/hyperlink" Target="mailto:josemarioesca@hotmail.com" TargetMode="External"/><Relationship Id="rId534" Type="http://schemas.openxmlformats.org/officeDocument/2006/relationships/hyperlink" Target="mailto:josemarioesca@hotmail.com" TargetMode="External"/><Relationship Id="rId576" Type="http://schemas.openxmlformats.org/officeDocument/2006/relationships/hyperlink" Target="mailto:josemarioesca@hotmail.com" TargetMode="External"/><Relationship Id="rId173" Type="http://schemas.openxmlformats.org/officeDocument/2006/relationships/hyperlink" Target="mailto:josemarioesca@hotmail.com" TargetMode="External"/><Relationship Id="rId229" Type="http://schemas.openxmlformats.org/officeDocument/2006/relationships/hyperlink" Target="mailto:josemarioesca@hotmail.com" TargetMode="External"/><Relationship Id="rId380" Type="http://schemas.openxmlformats.org/officeDocument/2006/relationships/hyperlink" Target="mailto:josemarioesca@hotmail.com" TargetMode="External"/><Relationship Id="rId436" Type="http://schemas.openxmlformats.org/officeDocument/2006/relationships/hyperlink" Target="mailto:josemarioesca@hotmail.com" TargetMode="External"/><Relationship Id="rId601" Type="http://schemas.openxmlformats.org/officeDocument/2006/relationships/hyperlink" Target="mailto:josemarioesca@hotmail.com" TargetMode="External"/><Relationship Id="rId643" Type="http://schemas.openxmlformats.org/officeDocument/2006/relationships/hyperlink" Target="mailto:josemarioesca@hotmail.com" TargetMode="External"/><Relationship Id="rId240" Type="http://schemas.openxmlformats.org/officeDocument/2006/relationships/hyperlink" Target="mailto:josemarioesca@hotmail.com" TargetMode="External"/><Relationship Id="rId478" Type="http://schemas.openxmlformats.org/officeDocument/2006/relationships/hyperlink" Target="mailto:josemarioesca@hotmail.com" TargetMode="External"/><Relationship Id="rId35" Type="http://schemas.openxmlformats.org/officeDocument/2006/relationships/hyperlink" Target="mailto:josemarioesca@hotmail.com" TargetMode="External"/><Relationship Id="rId77" Type="http://schemas.openxmlformats.org/officeDocument/2006/relationships/hyperlink" Target="mailto:josemarioesca@hotmail.com" TargetMode="External"/><Relationship Id="rId100" Type="http://schemas.openxmlformats.org/officeDocument/2006/relationships/hyperlink" Target="mailto:josemarioesca@hotmail.com" TargetMode="External"/><Relationship Id="rId282" Type="http://schemas.openxmlformats.org/officeDocument/2006/relationships/hyperlink" Target="mailto:josemarioesca@hotmail.com" TargetMode="External"/><Relationship Id="rId338" Type="http://schemas.openxmlformats.org/officeDocument/2006/relationships/hyperlink" Target="mailto:josemarioesca@hotmail.com" TargetMode="External"/><Relationship Id="rId503" Type="http://schemas.openxmlformats.org/officeDocument/2006/relationships/hyperlink" Target="mailto:josemarioesca@hotmail.com" TargetMode="External"/><Relationship Id="rId545" Type="http://schemas.openxmlformats.org/officeDocument/2006/relationships/hyperlink" Target="mailto:josemarioesca@hotmail.com" TargetMode="External"/><Relationship Id="rId587" Type="http://schemas.openxmlformats.org/officeDocument/2006/relationships/hyperlink" Target="mailto:josemarioesca@hotmail.com" TargetMode="External"/><Relationship Id="rId8" Type="http://schemas.openxmlformats.org/officeDocument/2006/relationships/hyperlink" Target="mailto:josemarioesca@hotmail.com" TargetMode="External"/><Relationship Id="rId142" Type="http://schemas.openxmlformats.org/officeDocument/2006/relationships/hyperlink" Target="mailto:josemarioesca@hotmail.com" TargetMode="External"/><Relationship Id="rId184" Type="http://schemas.openxmlformats.org/officeDocument/2006/relationships/hyperlink" Target="mailto:josemarioesca@hotmail.com" TargetMode="External"/><Relationship Id="rId391" Type="http://schemas.openxmlformats.org/officeDocument/2006/relationships/hyperlink" Target="mailto:josemarioesca@hotmail.com" TargetMode="External"/><Relationship Id="rId405" Type="http://schemas.openxmlformats.org/officeDocument/2006/relationships/hyperlink" Target="mailto:josemarioesca@hotmail.com" TargetMode="External"/><Relationship Id="rId447" Type="http://schemas.openxmlformats.org/officeDocument/2006/relationships/hyperlink" Target="mailto:josemarioesca@hotmail.com" TargetMode="External"/><Relationship Id="rId612" Type="http://schemas.openxmlformats.org/officeDocument/2006/relationships/hyperlink" Target="mailto:josemarioesca@hotmail.com" TargetMode="External"/><Relationship Id="rId251" Type="http://schemas.openxmlformats.org/officeDocument/2006/relationships/hyperlink" Target="mailto:josemarioesca@hotmail.com" TargetMode="External"/><Relationship Id="rId489" Type="http://schemas.openxmlformats.org/officeDocument/2006/relationships/hyperlink" Target="mailto:josemarioesca@hotmail.com" TargetMode="External"/><Relationship Id="rId46" Type="http://schemas.openxmlformats.org/officeDocument/2006/relationships/hyperlink" Target="mailto:josemarioesca@hotmail.com" TargetMode="External"/><Relationship Id="rId293" Type="http://schemas.openxmlformats.org/officeDocument/2006/relationships/hyperlink" Target="mailto:josemarioesca@hotmail.com" TargetMode="External"/><Relationship Id="rId307" Type="http://schemas.openxmlformats.org/officeDocument/2006/relationships/hyperlink" Target="mailto:josemarioesca@hotmail.com" TargetMode="External"/><Relationship Id="rId349" Type="http://schemas.openxmlformats.org/officeDocument/2006/relationships/hyperlink" Target="mailto:josemarioesca@hotmail.com" TargetMode="External"/><Relationship Id="rId514" Type="http://schemas.openxmlformats.org/officeDocument/2006/relationships/hyperlink" Target="mailto:josemarioesca@hotmail.com" TargetMode="External"/><Relationship Id="rId556" Type="http://schemas.openxmlformats.org/officeDocument/2006/relationships/hyperlink" Target="mailto:josemarioesca@hotmail.com" TargetMode="External"/><Relationship Id="rId88" Type="http://schemas.openxmlformats.org/officeDocument/2006/relationships/hyperlink" Target="mailto:josemarioesca@hotmail.com" TargetMode="External"/><Relationship Id="rId111" Type="http://schemas.openxmlformats.org/officeDocument/2006/relationships/hyperlink" Target="mailto:josemarioesca@hotmail.com" TargetMode="External"/><Relationship Id="rId153" Type="http://schemas.openxmlformats.org/officeDocument/2006/relationships/hyperlink" Target="mailto:josemarioesca@hotmail.com" TargetMode="External"/><Relationship Id="rId195" Type="http://schemas.openxmlformats.org/officeDocument/2006/relationships/hyperlink" Target="mailto:josemarioesca@hotmail.com" TargetMode="External"/><Relationship Id="rId209" Type="http://schemas.openxmlformats.org/officeDocument/2006/relationships/hyperlink" Target="mailto:josemarioesca@hotmail.com" TargetMode="External"/><Relationship Id="rId360" Type="http://schemas.openxmlformats.org/officeDocument/2006/relationships/hyperlink" Target="mailto:josemarioesca@hotmail.com" TargetMode="External"/><Relationship Id="rId416" Type="http://schemas.openxmlformats.org/officeDocument/2006/relationships/hyperlink" Target="mailto:josemarioesca@hotmail.com" TargetMode="External"/><Relationship Id="rId598" Type="http://schemas.openxmlformats.org/officeDocument/2006/relationships/hyperlink" Target="mailto:josemarioesca@hotmail.com" TargetMode="External"/><Relationship Id="rId220" Type="http://schemas.openxmlformats.org/officeDocument/2006/relationships/hyperlink" Target="mailto:josemarioesca@hotmail.com" TargetMode="External"/><Relationship Id="rId458" Type="http://schemas.openxmlformats.org/officeDocument/2006/relationships/hyperlink" Target="mailto:josemarioesca@hotmail.com" TargetMode="External"/><Relationship Id="rId623" Type="http://schemas.openxmlformats.org/officeDocument/2006/relationships/hyperlink" Target="mailto:josemarioesca@hotmail.com" TargetMode="External"/><Relationship Id="rId15" Type="http://schemas.openxmlformats.org/officeDocument/2006/relationships/hyperlink" Target="mailto:josemarioesca@hotmail.com" TargetMode="External"/><Relationship Id="rId57" Type="http://schemas.openxmlformats.org/officeDocument/2006/relationships/hyperlink" Target="mailto:josemarioesca@hotmail.com" TargetMode="External"/><Relationship Id="rId262" Type="http://schemas.openxmlformats.org/officeDocument/2006/relationships/hyperlink" Target="mailto:josemarioesca@hotmail.com" TargetMode="External"/><Relationship Id="rId318" Type="http://schemas.openxmlformats.org/officeDocument/2006/relationships/hyperlink" Target="mailto:josemarioesca@hotmail.com" TargetMode="External"/><Relationship Id="rId525" Type="http://schemas.openxmlformats.org/officeDocument/2006/relationships/hyperlink" Target="mailto:josemarioesca@hotmail.com" TargetMode="External"/><Relationship Id="rId567" Type="http://schemas.openxmlformats.org/officeDocument/2006/relationships/hyperlink" Target="mailto:josemarioesca@hotmail.com" TargetMode="External"/><Relationship Id="rId99" Type="http://schemas.openxmlformats.org/officeDocument/2006/relationships/hyperlink" Target="mailto:josemarioesca@hotmail.com" TargetMode="External"/><Relationship Id="rId122" Type="http://schemas.openxmlformats.org/officeDocument/2006/relationships/hyperlink" Target="mailto:josemarioesca@hotmail.com" TargetMode="External"/><Relationship Id="rId164" Type="http://schemas.openxmlformats.org/officeDocument/2006/relationships/hyperlink" Target="mailto:josemarioesca@hotmail.com" TargetMode="External"/><Relationship Id="rId371" Type="http://schemas.openxmlformats.org/officeDocument/2006/relationships/hyperlink" Target="mailto:josemarioesca@hotmail.com" TargetMode="External"/><Relationship Id="rId427" Type="http://schemas.openxmlformats.org/officeDocument/2006/relationships/hyperlink" Target="mailto:josemarioesca@hotmail.com" TargetMode="External"/><Relationship Id="rId469" Type="http://schemas.openxmlformats.org/officeDocument/2006/relationships/hyperlink" Target="mailto:josemarioesca@hotmail.com" TargetMode="External"/><Relationship Id="rId634" Type="http://schemas.openxmlformats.org/officeDocument/2006/relationships/hyperlink" Target="mailto:josemarioesca@hotmail.com" TargetMode="External"/><Relationship Id="rId26" Type="http://schemas.openxmlformats.org/officeDocument/2006/relationships/hyperlink" Target="mailto:josemarioesca@hotmail.com" TargetMode="External"/><Relationship Id="rId231" Type="http://schemas.openxmlformats.org/officeDocument/2006/relationships/hyperlink" Target="mailto:josemarioesca@hotmail.com" TargetMode="External"/><Relationship Id="rId273" Type="http://schemas.openxmlformats.org/officeDocument/2006/relationships/hyperlink" Target="mailto:josemarioesca@hotmail.com" TargetMode="External"/><Relationship Id="rId329" Type="http://schemas.openxmlformats.org/officeDocument/2006/relationships/hyperlink" Target="mailto:josemarioesca@hotmail.com" TargetMode="External"/><Relationship Id="rId480" Type="http://schemas.openxmlformats.org/officeDocument/2006/relationships/hyperlink" Target="mailto:josemarioesca@hotmail.com" TargetMode="External"/><Relationship Id="rId536" Type="http://schemas.openxmlformats.org/officeDocument/2006/relationships/hyperlink" Target="mailto:josemarioesca@hotmail.com" TargetMode="External"/><Relationship Id="rId68" Type="http://schemas.openxmlformats.org/officeDocument/2006/relationships/hyperlink" Target="mailto:josemarioesca@hotmail.com" TargetMode="External"/><Relationship Id="rId133" Type="http://schemas.openxmlformats.org/officeDocument/2006/relationships/hyperlink" Target="mailto:josemarioesca@hotmail.com" TargetMode="External"/><Relationship Id="rId175" Type="http://schemas.openxmlformats.org/officeDocument/2006/relationships/hyperlink" Target="mailto:josemarioesca@hotmail.com" TargetMode="External"/><Relationship Id="rId340" Type="http://schemas.openxmlformats.org/officeDocument/2006/relationships/hyperlink" Target="mailto:josemarioesca@hotmail.com" TargetMode="External"/><Relationship Id="rId578" Type="http://schemas.openxmlformats.org/officeDocument/2006/relationships/hyperlink" Target="mailto:josemarioesca@hotmail.com" TargetMode="External"/><Relationship Id="rId200" Type="http://schemas.openxmlformats.org/officeDocument/2006/relationships/hyperlink" Target="mailto:josemarioesca@hotmail.com" TargetMode="External"/><Relationship Id="rId382" Type="http://schemas.openxmlformats.org/officeDocument/2006/relationships/hyperlink" Target="mailto:josemarioesca@hotmail.com" TargetMode="External"/><Relationship Id="rId438" Type="http://schemas.openxmlformats.org/officeDocument/2006/relationships/hyperlink" Target="mailto:josemarioesca@hotmail.com" TargetMode="External"/><Relationship Id="rId603" Type="http://schemas.openxmlformats.org/officeDocument/2006/relationships/hyperlink" Target="mailto:josemarioesca@hotmail.com" TargetMode="External"/><Relationship Id="rId645" Type="http://schemas.openxmlformats.org/officeDocument/2006/relationships/printerSettings" Target="../printerSettings/printerSettings1.bin"/><Relationship Id="rId242" Type="http://schemas.openxmlformats.org/officeDocument/2006/relationships/hyperlink" Target="mailto:josemarioesca@hotmail.com" TargetMode="External"/><Relationship Id="rId284" Type="http://schemas.openxmlformats.org/officeDocument/2006/relationships/hyperlink" Target="mailto:josemarioesca@hotmail.com" TargetMode="External"/><Relationship Id="rId491" Type="http://schemas.openxmlformats.org/officeDocument/2006/relationships/hyperlink" Target="mailto:josemarioesca@hotmail.com" TargetMode="External"/><Relationship Id="rId505" Type="http://schemas.openxmlformats.org/officeDocument/2006/relationships/hyperlink" Target="mailto:josemarioesca@hotmail.com" TargetMode="External"/><Relationship Id="rId37" Type="http://schemas.openxmlformats.org/officeDocument/2006/relationships/hyperlink" Target="mailto:josemarioesca@hotmail.com" TargetMode="External"/><Relationship Id="rId79" Type="http://schemas.openxmlformats.org/officeDocument/2006/relationships/hyperlink" Target="mailto:josemarioesca@hotmail.com" TargetMode="External"/><Relationship Id="rId102" Type="http://schemas.openxmlformats.org/officeDocument/2006/relationships/hyperlink" Target="mailto:josemarioesca@hotmail.com" TargetMode="External"/><Relationship Id="rId144" Type="http://schemas.openxmlformats.org/officeDocument/2006/relationships/hyperlink" Target="mailto:josemarioesca@hotmail.com" TargetMode="External"/><Relationship Id="rId547" Type="http://schemas.openxmlformats.org/officeDocument/2006/relationships/hyperlink" Target="mailto:josemarioesca@hotmail.com" TargetMode="External"/><Relationship Id="rId589" Type="http://schemas.openxmlformats.org/officeDocument/2006/relationships/hyperlink" Target="mailto:josemarioesca@hotmail.com" TargetMode="External"/><Relationship Id="rId90" Type="http://schemas.openxmlformats.org/officeDocument/2006/relationships/hyperlink" Target="mailto:josemarioesca@hotmail.com" TargetMode="External"/><Relationship Id="rId186" Type="http://schemas.openxmlformats.org/officeDocument/2006/relationships/hyperlink" Target="mailto:josemarioesca@hotmail.com" TargetMode="External"/><Relationship Id="rId351" Type="http://schemas.openxmlformats.org/officeDocument/2006/relationships/hyperlink" Target="mailto:josemarioesca@hotmail.com" TargetMode="External"/><Relationship Id="rId393" Type="http://schemas.openxmlformats.org/officeDocument/2006/relationships/hyperlink" Target="mailto:josemarioesca@hotmail.com" TargetMode="External"/><Relationship Id="rId407" Type="http://schemas.openxmlformats.org/officeDocument/2006/relationships/hyperlink" Target="mailto:josemarioesca@hotmail.com" TargetMode="External"/><Relationship Id="rId449" Type="http://schemas.openxmlformats.org/officeDocument/2006/relationships/hyperlink" Target="mailto:josemarioesca@hotmail.com" TargetMode="External"/><Relationship Id="rId614" Type="http://schemas.openxmlformats.org/officeDocument/2006/relationships/hyperlink" Target="mailto:josemarioesca@hotmail.com" TargetMode="External"/><Relationship Id="rId211" Type="http://schemas.openxmlformats.org/officeDocument/2006/relationships/hyperlink" Target="mailto:josemarioesca@hotmail.com" TargetMode="External"/><Relationship Id="rId253" Type="http://schemas.openxmlformats.org/officeDocument/2006/relationships/hyperlink" Target="mailto:josemarioesca@hotmail.com" TargetMode="External"/><Relationship Id="rId295" Type="http://schemas.openxmlformats.org/officeDocument/2006/relationships/hyperlink" Target="mailto:josemarioesca@hotmail.com" TargetMode="External"/><Relationship Id="rId309" Type="http://schemas.openxmlformats.org/officeDocument/2006/relationships/hyperlink" Target="mailto:josemarioesca@hotmail.com" TargetMode="External"/><Relationship Id="rId460" Type="http://schemas.openxmlformats.org/officeDocument/2006/relationships/hyperlink" Target="mailto:josemarioesca@hotmail.com" TargetMode="External"/><Relationship Id="rId516" Type="http://schemas.openxmlformats.org/officeDocument/2006/relationships/hyperlink" Target="mailto:josemarioesca@hotmail.com" TargetMode="External"/><Relationship Id="rId48" Type="http://schemas.openxmlformats.org/officeDocument/2006/relationships/hyperlink" Target="mailto:josemarioesca@hotmail.com" TargetMode="External"/><Relationship Id="rId113" Type="http://schemas.openxmlformats.org/officeDocument/2006/relationships/hyperlink" Target="mailto:josemarioesca@hotmail.com" TargetMode="External"/><Relationship Id="rId320" Type="http://schemas.openxmlformats.org/officeDocument/2006/relationships/hyperlink" Target="mailto:josemarioesca@hotmail.com" TargetMode="External"/><Relationship Id="rId558" Type="http://schemas.openxmlformats.org/officeDocument/2006/relationships/hyperlink" Target="mailto:josemarioesca@hotmail.com" TargetMode="External"/><Relationship Id="rId155" Type="http://schemas.openxmlformats.org/officeDocument/2006/relationships/hyperlink" Target="mailto:josemarioesca@hotmail.com" TargetMode="External"/><Relationship Id="rId197" Type="http://schemas.openxmlformats.org/officeDocument/2006/relationships/hyperlink" Target="mailto:josemarioesca@hotmail.com" TargetMode="External"/><Relationship Id="rId362" Type="http://schemas.openxmlformats.org/officeDocument/2006/relationships/hyperlink" Target="mailto:josemarioesca@hotmail.com" TargetMode="External"/><Relationship Id="rId418" Type="http://schemas.openxmlformats.org/officeDocument/2006/relationships/hyperlink" Target="mailto:josemarioesca@hotmail.com" TargetMode="External"/><Relationship Id="rId625" Type="http://schemas.openxmlformats.org/officeDocument/2006/relationships/hyperlink" Target="mailto:josemarioesca@hotmail.com" TargetMode="External"/><Relationship Id="rId222" Type="http://schemas.openxmlformats.org/officeDocument/2006/relationships/hyperlink" Target="mailto:josemarioesca@hotmail.com" TargetMode="External"/><Relationship Id="rId264" Type="http://schemas.openxmlformats.org/officeDocument/2006/relationships/hyperlink" Target="mailto:josemarioesca@hotmail.com" TargetMode="External"/><Relationship Id="rId471" Type="http://schemas.openxmlformats.org/officeDocument/2006/relationships/hyperlink" Target="mailto:josemarioesca@hotmail.com" TargetMode="External"/><Relationship Id="rId17" Type="http://schemas.openxmlformats.org/officeDocument/2006/relationships/hyperlink" Target="mailto:josemarioesca@hotmail.com" TargetMode="External"/><Relationship Id="rId59" Type="http://schemas.openxmlformats.org/officeDocument/2006/relationships/hyperlink" Target="mailto:josemarioesca@hotmail.com" TargetMode="External"/><Relationship Id="rId124" Type="http://schemas.openxmlformats.org/officeDocument/2006/relationships/hyperlink" Target="mailto:josemarioesca@hotmail.com" TargetMode="External"/><Relationship Id="rId527" Type="http://schemas.openxmlformats.org/officeDocument/2006/relationships/hyperlink" Target="mailto:josemarioesca@hotmail.com" TargetMode="External"/><Relationship Id="rId569" Type="http://schemas.openxmlformats.org/officeDocument/2006/relationships/hyperlink" Target="mailto:josemarioesca@hotmail.com" TargetMode="External"/><Relationship Id="rId70" Type="http://schemas.openxmlformats.org/officeDocument/2006/relationships/hyperlink" Target="mailto:josemarioesca@hotmail.com" TargetMode="External"/><Relationship Id="rId166" Type="http://schemas.openxmlformats.org/officeDocument/2006/relationships/hyperlink" Target="mailto:josemarioesca@hotmail.com" TargetMode="External"/><Relationship Id="rId331" Type="http://schemas.openxmlformats.org/officeDocument/2006/relationships/hyperlink" Target="mailto:josemarioesca@hotmail.com" TargetMode="External"/><Relationship Id="rId373" Type="http://schemas.openxmlformats.org/officeDocument/2006/relationships/hyperlink" Target="mailto:josemarioesca@hotmail.com" TargetMode="External"/><Relationship Id="rId429" Type="http://schemas.openxmlformats.org/officeDocument/2006/relationships/hyperlink" Target="mailto:josemarioesca@hotmail.com" TargetMode="External"/><Relationship Id="rId580" Type="http://schemas.openxmlformats.org/officeDocument/2006/relationships/hyperlink" Target="mailto:josemarioesca@hotmail.com" TargetMode="External"/><Relationship Id="rId636" Type="http://schemas.openxmlformats.org/officeDocument/2006/relationships/hyperlink" Target="mailto:josemarioesc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650"/>
  <sheetViews>
    <sheetView tabSelected="1" zoomScaleNormal="100" zoomScalePageLayoutView="80" workbookViewId="0">
      <selection activeCell="H21" sqref="H2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7213708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2249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46198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 t="s">
        <v>2250</v>
      </c>
      <c r="B7" s="25" t="s">
        <v>2851</v>
      </c>
      <c r="C7" s="26" t="s">
        <v>3464</v>
      </c>
      <c r="D7" s="25">
        <v>3104399375</v>
      </c>
      <c r="E7" s="25" t="s">
        <v>3465</v>
      </c>
      <c r="F7" s="25">
        <v>238</v>
      </c>
      <c r="G7" s="25">
        <v>219</v>
      </c>
      <c r="H7" s="25">
        <v>253627115</v>
      </c>
      <c r="I7" s="25">
        <v>0</v>
      </c>
      <c r="J7" s="4"/>
    </row>
    <row r="8" spans="1:10">
      <c r="A8" s="25" t="s">
        <v>2251</v>
      </c>
      <c r="B8" s="25" t="s">
        <v>2852</v>
      </c>
      <c r="C8" s="26" t="s">
        <v>3464</v>
      </c>
      <c r="D8" s="25">
        <v>3104399375</v>
      </c>
      <c r="E8" s="25" t="s">
        <v>3466</v>
      </c>
      <c r="F8" s="25">
        <v>238</v>
      </c>
      <c r="G8" s="25">
        <v>334</v>
      </c>
      <c r="H8" s="25">
        <v>64280000</v>
      </c>
      <c r="I8" s="25">
        <v>0</v>
      </c>
      <c r="J8" s="4"/>
    </row>
    <row r="9" spans="1:10">
      <c r="A9" s="25" t="s">
        <v>2252</v>
      </c>
      <c r="B9" s="25" t="s">
        <v>2853</v>
      </c>
      <c r="C9" s="26" t="s">
        <v>3464</v>
      </c>
      <c r="D9" s="25">
        <v>3104399375</v>
      </c>
      <c r="E9" s="25" t="s">
        <v>3467</v>
      </c>
      <c r="F9" s="27" t="s">
        <v>4059</v>
      </c>
      <c r="G9" s="25">
        <v>334</v>
      </c>
      <c r="H9" s="25">
        <v>80000000</v>
      </c>
      <c r="I9" s="25">
        <v>0</v>
      </c>
      <c r="J9" s="4"/>
    </row>
    <row r="10" spans="1:10">
      <c r="A10" s="25" t="s">
        <v>2253</v>
      </c>
      <c r="B10" s="25" t="s">
        <v>2854</v>
      </c>
      <c r="C10" s="26" t="s">
        <v>3464</v>
      </c>
      <c r="D10" s="25">
        <v>3104399375</v>
      </c>
      <c r="E10" s="25" t="s">
        <v>3468</v>
      </c>
      <c r="F10" s="25">
        <v>759</v>
      </c>
      <c r="G10" s="25">
        <v>334</v>
      </c>
      <c r="H10" s="25">
        <v>1723500</v>
      </c>
      <c r="I10" s="25">
        <v>0</v>
      </c>
      <c r="J10" s="4"/>
    </row>
    <row r="11" spans="1:10">
      <c r="A11" s="25" t="s">
        <v>2254</v>
      </c>
      <c r="B11" s="25" t="s">
        <v>2855</v>
      </c>
      <c r="C11" s="26" t="s">
        <v>3464</v>
      </c>
      <c r="D11" s="25">
        <v>3104399375</v>
      </c>
      <c r="E11" s="25" t="s">
        <v>3469</v>
      </c>
      <c r="F11" s="25">
        <v>238</v>
      </c>
      <c r="G11" s="25">
        <v>334</v>
      </c>
      <c r="H11" s="25">
        <v>2222222</v>
      </c>
      <c r="I11" s="25">
        <v>0</v>
      </c>
      <c r="J11" s="4"/>
    </row>
    <row r="12" spans="1:10">
      <c r="A12" s="25" t="s">
        <v>2255</v>
      </c>
      <c r="B12" s="25" t="s">
        <v>2856</v>
      </c>
      <c r="C12" s="26" t="s">
        <v>3464</v>
      </c>
      <c r="D12" s="25">
        <v>3104399375</v>
      </c>
      <c r="E12" s="25" t="s">
        <v>3470</v>
      </c>
      <c r="F12" s="25">
        <v>238</v>
      </c>
      <c r="G12" s="25">
        <v>334</v>
      </c>
      <c r="H12" s="25">
        <v>14530506</v>
      </c>
      <c r="I12" s="25">
        <v>0</v>
      </c>
      <c r="J12" s="4"/>
    </row>
    <row r="13" spans="1:10">
      <c r="A13" s="25" t="s">
        <v>2256</v>
      </c>
      <c r="B13" s="25" t="s">
        <v>2857</v>
      </c>
      <c r="C13" s="26" t="s">
        <v>3464</v>
      </c>
      <c r="D13" s="25">
        <v>3104399375</v>
      </c>
      <c r="E13" s="25" t="s">
        <v>3471</v>
      </c>
      <c r="F13" s="25">
        <v>238</v>
      </c>
      <c r="G13" s="25">
        <v>334</v>
      </c>
      <c r="H13" s="25">
        <v>2050000</v>
      </c>
      <c r="I13" s="25">
        <v>0</v>
      </c>
      <c r="J13" s="4"/>
    </row>
    <row r="14" spans="1:10">
      <c r="A14" s="25" t="s">
        <v>2257</v>
      </c>
      <c r="B14" s="25" t="s">
        <v>2858</v>
      </c>
      <c r="C14" s="26" t="s">
        <v>3464</v>
      </c>
      <c r="D14" s="25">
        <v>3104399375</v>
      </c>
      <c r="E14" s="25" t="s">
        <v>3472</v>
      </c>
      <c r="F14" s="27" t="s">
        <v>4059</v>
      </c>
      <c r="G14" s="25">
        <v>334</v>
      </c>
      <c r="H14" s="25">
        <v>6423000</v>
      </c>
      <c r="I14" s="25">
        <v>0</v>
      </c>
      <c r="J14" s="4"/>
    </row>
    <row r="15" spans="1:10">
      <c r="A15" s="25" t="s">
        <v>2258</v>
      </c>
      <c r="B15" s="25" t="s">
        <v>2859</v>
      </c>
      <c r="C15" s="26" t="s">
        <v>3464</v>
      </c>
      <c r="D15" s="25">
        <v>3104399375</v>
      </c>
      <c r="E15" s="25" t="s">
        <v>3473</v>
      </c>
      <c r="F15" s="25">
        <v>238</v>
      </c>
      <c r="G15" s="25">
        <v>334</v>
      </c>
      <c r="H15" s="25">
        <v>12010000</v>
      </c>
      <c r="I15" s="25">
        <v>0</v>
      </c>
      <c r="J15" s="4"/>
    </row>
    <row r="16" spans="1:10">
      <c r="A16" s="25" t="s">
        <v>2259</v>
      </c>
      <c r="B16" s="25" t="s">
        <v>2860</v>
      </c>
      <c r="C16" s="26" t="s">
        <v>3464</v>
      </c>
      <c r="D16" s="25">
        <v>3104399375</v>
      </c>
      <c r="E16" s="25" t="s">
        <v>3474</v>
      </c>
      <c r="F16" s="25">
        <v>238</v>
      </c>
      <c r="G16" s="25">
        <v>334</v>
      </c>
      <c r="H16" s="25">
        <v>364500</v>
      </c>
      <c r="I16" s="25">
        <v>0</v>
      </c>
      <c r="J16" s="4"/>
    </row>
    <row r="17" spans="1:10">
      <c r="A17" s="25" t="s">
        <v>2260</v>
      </c>
      <c r="B17" s="25" t="s">
        <v>2861</v>
      </c>
      <c r="C17" s="26" t="s">
        <v>3464</v>
      </c>
      <c r="D17" s="25">
        <v>3104399375</v>
      </c>
      <c r="E17" s="25" t="s">
        <v>3475</v>
      </c>
      <c r="F17" s="25">
        <v>759</v>
      </c>
      <c r="G17" s="25">
        <v>334</v>
      </c>
      <c r="H17" s="25">
        <v>19470000</v>
      </c>
      <c r="I17" s="25">
        <v>0</v>
      </c>
      <c r="J17" s="4"/>
    </row>
    <row r="18" spans="1:10">
      <c r="A18" s="25" t="s">
        <v>2261</v>
      </c>
      <c r="B18" s="25" t="s">
        <v>2862</v>
      </c>
      <c r="C18" s="26" t="s">
        <v>3464</v>
      </c>
      <c r="D18" s="25">
        <v>3104399375</v>
      </c>
      <c r="E18" s="25" t="s">
        <v>3476</v>
      </c>
      <c r="F18" s="25">
        <v>516</v>
      </c>
      <c r="G18" s="25">
        <v>334</v>
      </c>
      <c r="H18" s="25">
        <v>2500000</v>
      </c>
      <c r="I18" s="25">
        <v>0</v>
      </c>
      <c r="J18" s="4"/>
    </row>
    <row r="19" spans="1:10">
      <c r="A19" s="25" t="s">
        <v>2262</v>
      </c>
      <c r="B19" s="25" t="s">
        <v>2863</v>
      </c>
      <c r="C19" s="26" t="s">
        <v>3464</v>
      </c>
      <c r="D19" s="25">
        <v>3104399375</v>
      </c>
      <c r="E19" s="25" t="s">
        <v>3477</v>
      </c>
      <c r="F19" s="25">
        <v>238</v>
      </c>
      <c r="G19" s="25">
        <v>334</v>
      </c>
      <c r="H19" s="25">
        <v>300000</v>
      </c>
      <c r="I19" s="25">
        <v>0</v>
      </c>
      <c r="J19" s="4"/>
    </row>
    <row r="20" spans="1:10">
      <c r="A20" s="25" t="s">
        <v>2263</v>
      </c>
      <c r="B20" s="25" t="s">
        <v>2864</v>
      </c>
      <c r="C20" s="26" t="s">
        <v>3464</v>
      </c>
      <c r="D20" s="25">
        <v>3104399375</v>
      </c>
      <c r="E20" s="25" t="s">
        <v>3478</v>
      </c>
      <c r="F20" s="25">
        <v>238</v>
      </c>
      <c r="G20" s="25">
        <v>334</v>
      </c>
      <c r="H20" s="25">
        <v>1740000</v>
      </c>
      <c r="I20" s="25">
        <v>0</v>
      </c>
      <c r="J20" s="4"/>
    </row>
    <row r="21" spans="1:10" ht="15.75" customHeight="1">
      <c r="A21" s="25" t="s">
        <v>2264</v>
      </c>
      <c r="B21" s="25" t="s">
        <v>2865</v>
      </c>
      <c r="C21" s="26" t="s">
        <v>3464</v>
      </c>
      <c r="D21" s="25">
        <v>3104399375</v>
      </c>
      <c r="E21" s="25" t="s">
        <v>3479</v>
      </c>
      <c r="F21" s="25">
        <v>759</v>
      </c>
      <c r="G21" s="25">
        <v>334</v>
      </c>
      <c r="H21" s="25">
        <v>13300000</v>
      </c>
      <c r="I21" s="25">
        <v>0</v>
      </c>
      <c r="J21" s="4"/>
    </row>
    <row r="22" spans="1:10" ht="15.75" customHeight="1">
      <c r="A22" s="25" t="s">
        <v>2265</v>
      </c>
      <c r="B22" s="25" t="s">
        <v>2866</v>
      </c>
      <c r="C22" s="26" t="s">
        <v>3464</v>
      </c>
      <c r="D22" s="25">
        <v>3104399375</v>
      </c>
      <c r="E22" s="25" t="s">
        <v>3480</v>
      </c>
      <c r="F22" s="25">
        <v>516</v>
      </c>
      <c r="G22" s="25">
        <v>334</v>
      </c>
      <c r="H22" s="25">
        <v>2274000</v>
      </c>
      <c r="I22" s="25">
        <v>0</v>
      </c>
      <c r="J22" s="4"/>
    </row>
    <row r="23" spans="1:10" ht="15.75" customHeight="1">
      <c r="A23" s="25" t="s">
        <v>2266</v>
      </c>
      <c r="B23" s="25" t="s">
        <v>2867</v>
      </c>
      <c r="C23" s="26" t="s">
        <v>3464</v>
      </c>
      <c r="D23" s="25">
        <v>3104399375</v>
      </c>
      <c r="E23" s="25" t="s">
        <v>3481</v>
      </c>
      <c r="F23" s="25">
        <v>238</v>
      </c>
      <c r="G23" s="25">
        <v>334</v>
      </c>
      <c r="H23" s="25">
        <v>19038653</v>
      </c>
      <c r="I23" s="25">
        <v>0</v>
      </c>
      <c r="J23" s="4"/>
    </row>
    <row r="24" spans="1:10" ht="15.75" customHeight="1">
      <c r="A24" s="25" t="s">
        <v>2267</v>
      </c>
      <c r="B24" s="25" t="s">
        <v>2868</v>
      </c>
      <c r="C24" s="26" t="s">
        <v>3464</v>
      </c>
      <c r="D24" s="25">
        <v>3104399375</v>
      </c>
      <c r="E24" s="25" t="s">
        <v>3482</v>
      </c>
      <c r="F24" s="25">
        <v>238</v>
      </c>
      <c r="G24" s="25">
        <v>334</v>
      </c>
      <c r="H24" s="25">
        <v>4033000</v>
      </c>
      <c r="I24" s="25">
        <v>0</v>
      </c>
      <c r="J24" s="4"/>
    </row>
    <row r="25" spans="1:10" ht="15.75" customHeight="1">
      <c r="A25" s="25" t="s">
        <v>2268</v>
      </c>
      <c r="B25" s="25" t="s">
        <v>2869</v>
      </c>
      <c r="C25" s="26" t="s">
        <v>3464</v>
      </c>
      <c r="D25" s="25">
        <v>3104399375</v>
      </c>
      <c r="E25" s="25" t="s">
        <v>3483</v>
      </c>
      <c r="F25" s="25">
        <v>238</v>
      </c>
      <c r="G25" s="25">
        <v>334</v>
      </c>
      <c r="H25" s="25">
        <v>2971513</v>
      </c>
      <c r="I25" s="25">
        <v>0</v>
      </c>
      <c r="J25" s="4"/>
    </row>
    <row r="26" spans="1:10" ht="15.75" customHeight="1">
      <c r="A26" s="25" t="s">
        <v>2269</v>
      </c>
      <c r="B26" s="25" t="s">
        <v>2870</v>
      </c>
      <c r="C26" s="26" t="s">
        <v>3464</v>
      </c>
      <c r="D26" s="25">
        <v>3104399375</v>
      </c>
      <c r="E26" s="25" t="s">
        <v>3484</v>
      </c>
      <c r="F26" s="25">
        <v>759</v>
      </c>
      <c r="G26" s="25">
        <v>334</v>
      </c>
      <c r="H26" s="25">
        <v>5865600</v>
      </c>
      <c r="I26" s="25">
        <v>0</v>
      </c>
      <c r="J26" s="4"/>
    </row>
    <row r="27" spans="1:10" ht="15.75" customHeight="1">
      <c r="A27" s="25" t="s">
        <v>2270</v>
      </c>
      <c r="B27" s="25" t="s">
        <v>2871</v>
      </c>
      <c r="C27" s="26" t="s">
        <v>3464</v>
      </c>
      <c r="D27" s="25">
        <v>3104399375</v>
      </c>
      <c r="E27" s="25" t="s">
        <v>3485</v>
      </c>
      <c r="F27" s="27" t="s">
        <v>4059</v>
      </c>
      <c r="G27" s="25">
        <v>334</v>
      </c>
      <c r="H27" s="25">
        <v>270000</v>
      </c>
      <c r="I27" s="25">
        <v>0</v>
      </c>
      <c r="J27" s="4"/>
    </row>
    <row r="28" spans="1:10" ht="15.75" customHeight="1">
      <c r="A28" s="25" t="s">
        <v>2271</v>
      </c>
      <c r="B28" s="25" t="s">
        <v>2872</v>
      </c>
      <c r="C28" s="26" t="s">
        <v>3464</v>
      </c>
      <c r="D28" s="25">
        <v>3104399375</v>
      </c>
      <c r="E28" s="25" t="s">
        <v>3486</v>
      </c>
      <c r="F28" s="25">
        <v>238</v>
      </c>
      <c r="G28" s="25">
        <v>334</v>
      </c>
      <c r="H28" s="25">
        <v>600000</v>
      </c>
      <c r="I28" s="25">
        <v>0</v>
      </c>
      <c r="J28" s="4"/>
    </row>
    <row r="29" spans="1:10" ht="15.75" customHeight="1">
      <c r="A29" s="25" t="s">
        <v>2272</v>
      </c>
      <c r="B29" s="25" t="s">
        <v>2873</v>
      </c>
      <c r="C29" s="26" t="s">
        <v>3464</v>
      </c>
      <c r="D29" s="25">
        <v>3104399375</v>
      </c>
      <c r="E29" s="25" t="s">
        <v>3487</v>
      </c>
      <c r="F29" s="27" t="s">
        <v>4059</v>
      </c>
      <c r="G29" s="25">
        <v>334</v>
      </c>
      <c r="H29" s="25">
        <v>2686218</v>
      </c>
      <c r="I29" s="25">
        <v>0</v>
      </c>
      <c r="J29" s="4"/>
    </row>
    <row r="30" spans="1:10" ht="15.75" customHeight="1">
      <c r="A30" s="25" t="s">
        <v>2273</v>
      </c>
      <c r="B30" s="25" t="s">
        <v>2874</v>
      </c>
      <c r="C30" s="26" t="s">
        <v>3464</v>
      </c>
      <c r="D30" s="25">
        <v>3104399375</v>
      </c>
      <c r="E30" s="25" t="s">
        <v>3488</v>
      </c>
      <c r="F30" s="27" t="s">
        <v>4059</v>
      </c>
      <c r="G30" s="25">
        <v>334</v>
      </c>
      <c r="H30" s="25">
        <v>45480010</v>
      </c>
      <c r="I30" s="25">
        <v>0</v>
      </c>
      <c r="J30" s="4"/>
    </row>
    <row r="31" spans="1:10" ht="15.75" customHeight="1">
      <c r="A31" s="25" t="s">
        <v>2274</v>
      </c>
      <c r="B31" s="25" t="s">
        <v>2875</v>
      </c>
      <c r="C31" s="26" t="s">
        <v>3464</v>
      </c>
      <c r="D31" s="25">
        <v>3104399375</v>
      </c>
      <c r="E31" s="25" t="s">
        <v>3489</v>
      </c>
      <c r="F31" s="27" t="s">
        <v>4059</v>
      </c>
      <c r="G31" s="25">
        <v>334</v>
      </c>
      <c r="H31" s="25">
        <v>2454677</v>
      </c>
      <c r="I31" s="25">
        <v>0</v>
      </c>
      <c r="J31" s="4"/>
    </row>
    <row r="32" spans="1:10" ht="15.75" customHeight="1">
      <c r="A32" s="25" t="s">
        <v>2275</v>
      </c>
      <c r="B32" s="25" t="s">
        <v>2876</v>
      </c>
      <c r="C32" s="26" t="s">
        <v>3464</v>
      </c>
      <c r="D32" s="25">
        <v>3104399375</v>
      </c>
      <c r="E32" s="25" t="s">
        <v>3490</v>
      </c>
      <c r="F32" s="27" t="s">
        <v>4059</v>
      </c>
      <c r="G32" s="25">
        <v>334</v>
      </c>
      <c r="H32" s="25">
        <v>14168000</v>
      </c>
      <c r="I32" s="25">
        <v>0</v>
      </c>
      <c r="J32" s="4"/>
    </row>
    <row r="33" spans="1:10" ht="15.75" customHeight="1">
      <c r="A33" s="25" t="s">
        <v>2276</v>
      </c>
      <c r="B33" s="25" t="s">
        <v>2877</v>
      </c>
      <c r="C33" s="26" t="s">
        <v>3464</v>
      </c>
      <c r="D33" s="25">
        <v>3104399375</v>
      </c>
      <c r="E33" s="25" t="s">
        <v>3491</v>
      </c>
      <c r="F33" s="27" t="s">
        <v>4059</v>
      </c>
      <c r="G33" s="25">
        <v>334</v>
      </c>
      <c r="H33" s="25">
        <v>287085000</v>
      </c>
      <c r="I33" s="25">
        <v>0</v>
      </c>
      <c r="J33" s="4"/>
    </row>
    <row r="34" spans="1:10" ht="15.75" customHeight="1">
      <c r="A34" s="25" t="s">
        <v>2277</v>
      </c>
      <c r="B34" s="25" t="s">
        <v>2878</v>
      </c>
      <c r="C34" s="26" t="s">
        <v>3464</v>
      </c>
      <c r="D34" s="25">
        <v>3104399375</v>
      </c>
      <c r="E34" s="25" t="s">
        <v>3492</v>
      </c>
      <c r="F34" s="27" t="s">
        <v>4059</v>
      </c>
      <c r="G34" s="25">
        <v>334</v>
      </c>
      <c r="H34" s="25">
        <v>159663</v>
      </c>
      <c r="I34" s="25">
        <v>0</v>
      </c>
      <c r="J34" s="4"/>
    </row>
    <row r="35" spans="1:10" ht="15.75" customHeight="1">
      <c r="A35" s="25" t="s">
        <v>2278</v>
      </c>
      <c r="B35" s="25" t="s">
        <v>2879</v>
      </c>
      <c r="C35" s="26" t="s">
        <v>3464</v>
      </c>
      <c r="D35" s="25">
        <v>3104399375</v>
      </c>
      <c r="E35" s="25" t="s">
        <v>3493</v>
      </c>
      <c r="F35" s="25">
        <v>238</v>
      </c>
      <c r="G35" s="25">
        <v>334</v>
      </c>
      <c r="H35" s="25">
        <v>2439000</v>
      </c>
      <c r="I35" s="25">
        <v>0</v>
      </c>
      <c r="J35" s="4"/>
    </row>
    <row r="36" spans="1:10" ht="15.75" customHeight="1">
      <c r="A36" s="25" t="s">
        <v>2279</v>
      </c>
      <c r="B36" s="25" t="s">
        <v>2880</v>
      </c>
      <c r="C36" s="26" t="s">
        <v>3464</v>
      </c>
      <c r="D36" s="25">
        <v>3104399375</v>
      </c>
      <c r="E36" s="25" t="s">
        <v>3494</v>
      </c>
      <c r="F36" s="25">
        <v>238</v>
      </c>
      <c r="G36" s="25">
        <v>334</v>
      </c>
      <c r="H36" s="25">
        <v>2017237</v>
      </c>
      <c r="I36" s="25">
        <v>0</v>
      </c>
      <c r="J36" s="4"/>
    </row>
    <row r="37" spans="1:10" ht="15.75" customHeight="1">
      <c r="A37" s="25" t="s">
        <v>2280</v>
      </c>
      <c r="B37" s="25" t="s">
        <v>2881</v>
      </c>
      <c r="C37" s="26" t="s">
        <v>3464</v>
      </c>
      <c r="D37" s="25">
        <v>3104399375</v>
      </c>
      <c r="E37" s="25" t="s">
        <v>3495</v>
      </c>
      <c r="F37" s="25">
        <v>516</v>
      </c>
      <c r="G37" s="25">
        <v>334</v>
      </c>
      <c r="H37" s="25">
        <v>483632</v>
      </c>
      <c r="I37" s="25">
        <v>0</v>
      </c>
      <c r="J37" s="4"/>
    </row>
    <row r="38" spans="1:10" ht="15.75" customHeight="1">
      <c r="A38" s="25" t="s">
        <v>2281</v>
      </c>
      <c r="B38" s="25" t="s">
        <v>2882</v>
      </c>
      <c r="C38" s="26" t="s">
        <v>3464</v>
      </c>
      <c r="D38" s="25">
        <v>3104399375</v>
      </c>
      <c r="E38" s="25" t="s">
        <v>3496</v>
      </c>
      <c r="F38" s="25">
        <v>238</v>
      </c>
      <c r="G38" s="25">
        <v>334</v>
      </c>
      <c r="H38" s="25">
        <v>349230</v>
      </c>
      <c r="I38" s="25">
        <v>0</v>
      </c>
      <c r="J38" s="4"/>
    </row>
    <row r="39" spans="1:10" ht="15.75" customHeight="1">
      <c r="A39" s="25" t="s">
        <v>2282</v>
      </c>
      <c r="B39" s="25" t="s">
        <v>2883</v>
      </c>
      <c r="C39" s="26" t="s">
        <v>3464</v>
      </c>
      <c r="D39" s="25">
        <v>3104399375</v>
      </c>
      <c r="E39" s="25" t="s">
        <v>3497</v>
      </c>
      <c r="F39" s="27" t="s">
        <v>4059</v>
      </c>
      <c r="G39" s="25">
        <v>334</v>
      </c>
      <c r="H39" s="25">
        <v>570309</v>
      </c>
      <c r="I39" s="25">
        <v>0</v>
      </c>
      <c r="J39" s="4"/>
    </row>
    <row r="40" spans="1:10" ht="15.75" customHeight="1">
      <c r="A40" s="25" t="s">
        <v>2283</v>
      </c>
      <c r="B40" s="25" t="s">
        <v>2884</v>
      </c>
      <c r="C40" s="26" t="s">
        <v>3464</v>
      </c>
      <c r="D40" s="25">
        <v>3104399375</v>
      </c>
      <c r="E40" s="25" t="s">
        <v>3498</v>
      </c>
      <c r="F40" s="27" t="s">
        <v>4059</v>
      </c>
      <c r="G40" s="25">
        <v>334</v>
      </c>
      <c r="H40" s="25">
        <v>6611385</v>
      </c>
      <c r="I40" s="25">
        <v>0</v>
      </c>
      <c r="J40" s="4"/>
    </row>
    <row r="41" spans="1:10" ht="15.75" customHeight="1">
      <c r="A41" s="25" t="s">
        <v>2284</v>
      </c>
      <c r="B41" s="25" t="s">
        <v>2885</v>
      </c>
      <c r="C41" s="26" t="s">
        <v>3464</v>
      </c>
      <c r="D41" s="25">
        <v>3104399375</v>
      </c>
      <c r="E41" s="25" t="s">
        <v>3499</v>
      </c>
      <c r="F41" s="25">
        <v>759</v>
      </c>
      <c r="G41" s="25">
        <v>334</v>
      </c>
      <c r="H41" s="25">
        <v>21470040</v>
      </c>
      <c r="I41" s="25">
        <v>0</v>
      </c>
      <c r="J41" s="4"/>
    </row>
    <row r="42" spans="1:10" ht="15.75" customHeight="1">
      <c r="A42" s="25" t="s">
        <v>2285</v>
      </c>
      <c r="B42" s="25" t="s">
        <v>2886</v>
      </c>
      <c r="C42" s="26" t="s">
        <v>3464</v>
      </c>
      <c r="D42" s="25">
        <v>3104399375</v>
      </c>
      <c r="E42" s="25" t="s">
        <v>3500</v>
      </c>
      <c r="F42" s="27" t="s">
        <v>4059</v>
      </c>
      <c r="G42" s="25">
        <v>334</v>
      </c>
      <c r="H42" s="25">
        <v>549115609</v>
      </c>
      <c r="I42" s="25">
        <v>0</v>
      </c>
      <c r="J42" s="4"/>
    </row>
    <row r="43" spans="1:10" ht="15.75" customHeight="1">
      <c r="A43" s="25" t="s">
        <v>2286</v>
      </c>
      <c r="B43" s="25" t="s">
        <v>2887</v>
      </c>
      <c r="C43" s="26" t="s">
        <v>3464</v>
      </c>
      <c r="D43" s="25">
        <v>3104399375</v>
      </c>
      <c r="E43" s="25" t="s">
        <v>3501</v>
      </c>
      <c r="F43" s="25">
        <v>759</v>
      </c>
      <c r="G43" s="25">
        <v>334</v>
      </c>
      <c r="H43" s="25">
        <v>4353710</v>
      </c>
      <c r="I43" s="25">
        <v>0</v>
      </c>
      <c r="J43" s="4"/>
    </row>
    <row r="44" spans="1:10" ht="15" customHeight="1">
      <c r="A44" s="25" t="s">
        <v>2287</v>
      </c>
      <c r="B44" s="25" t="s">
        <v>2888</v>
      </c>
      <c r="C44" s="26" t="s">
        <v>3464</v>
      </c>
      <c r="D44" s="25">
        <v>3104399375</v>
      </c>
      <c r="E44" s="25" t="s">
        <v>3502</v>
      </c>
      <c r="F44" s="25">
        <v>238</v>
      </c>
      <c r="G44" s="25">
        <v>334</v>
      </c>
      <c r="H44" s="25">
        <v>28076000</v>
      </c>
      <c r="I44" s="25">
        <v>0</v>
      </c>
    </row>
    <row r="45" spans="1:10" ht="15" customHeight="1">
      <c r="A45" s="25" t="s">
        <v>2288</v>
      </c>
      <c r="B45" s="25" t="s">
        <v>2889</v>
      </c>
      <c r="C45" s="26" t="s">
        <v>3464</v>
      </c>
      <c r="D45" s="25">
        <v>3104399375</v>
      </c>
      <c r="E45" s="25" t="s">
        <v>3503</v>
      </c>
      <c r="F45" s="25">
        <v>238</v>
      </c>
      <c r="G45" s="25">
        <v>334</v>
      </c>
      <c r="H45" s="25">
        <v>2941176</v>
      </c>
      <c r="I45" s="25">
        <v>0</v>
      </c>
    </row>
    <row r="46" spans="1:10" ht="15" customHeight="1">
      <c r="A46" s="25" t="s">
        <v>2289</v>
      </c>
      <c r="B46" s="25" t="s">
        <v>2890</v>
      </c>
      <c r="C46" s="26" t="s">
        <v>3464</v>
      </c>
      <c r="D46" s="25">
        <v>3104399375</v>
      </c>
      <c r="E46" s="25" t="s">
        <v>3504</v>
      </c>
      <c r="F46" s="25">
        <v>238</v>
      </c>
      <c r="G46" s="25">
        <v>334</v>
      </c>
      <c r="H46" s="25">
        <v>19622392</v>
      </c>
      <c r="I46" s="25">
        <v>0</v>
      </c>
    </row>
    <row r="47" spans="1:10" ht="15" customHeight="1">
      <c r="A47" s="25" t="s">
        <v>2290</v>
      </c>
      <c r="B47" s="25" t="s">
        <v>2891</v>
      </c>
      <c r="C47" s="26" t="s">
        <v>3464</v>
      </c>
      <c r="D47" s="25">
        <v>3104399375</v>
      </c>
      <c r="E47" s="25" t="s">
        <v>3505</v>
      </c>
      <c r="F47" s="25">
        <v>238</v>
      </c>
      <c r="G47" s="25">
        <v>334</v>
      </c>
      <c r="H47" s="25">
        <v>8032231</v>
      </c>
      <c r="I47" s="25">
        <v>0</v>
      </c>
    </row>
    <row r="48" spans="1:10" ht="15" customHeight="1">
      <c r="A48" s="25" t="s">
        <v>2291</v>
      </c>
      <c r="B48" s="25" t="s">
        <v>2892</v>
      </c>
      <c r="C48" s="26" t="s">
        <v>3464</v>
      </c>
      <c r="D48" s="25">
        <v>3104399375</v>
      </c>
      <c r="E48" s="25" t="s">
        <v>3506</v>
      </c>
      <c r="F48" s="27" t="s">
        <v>4059</v>
      </c>
      <c r="G48" s="25">
        <v>334</v>
      </c>
      <c r="H48" s="25">
        <v>17747272</v>
      </c>
      <c r="I48" s="25">
        <v>0</v>
      </c>
    </row>
    <row r="49" spans="1:9" ht="15" customHeight="1">
      <c r="A49" s="25" t="s">
        <v>2292</v>
      </c>
      <c r="B49" s="25" t="s">
        <v>2893</v>
      </c>
      <c r="C49" s="26" t="s">
        <v>3464</v>
      </c>
      <c r="D49" s="25">
        <v>3104399375</v>
      </c>
      <c r="E49" s="25" t="s">
        <v>3507</v>
      </c>
      <c r="F49" s="27" t="s">
        <v>4059</v>
      </c>
      <c r="G49" s="25">
        <v>334</v>
      </c>
      <c r="H49" s="25">
        <v>4753832</v>
      </c>
      <c r="I49" s="25">
        <v>0</v>
      </c>
    </row>
    <row r="50" spans="1:9" ht="15" customHeight="1">
      <c r="A50" s="25" t="s">
        <v>2293</v>
      </c>
      <c r="B50" s="25" t="s">
        <v>2894</v>
      </c>
      <c r="C50" s="26" t="s">
        <v>3464</v>
      </c>
      <c r="D50" s="25">
        <v>3104399375</v>
      </c>
      <c r="E50" s="25" t="s">
        <v>3508</v>
      </c>
      <c r="F50" s="25">
        <v>759</v>
      </c>
      <c r="G50" s="25">
        <v>334</v>
      </c>
      <c r="H50" s="25">
        <v>1800000</v>
      </c>
      <c r="I50" s="25">
        <v>0</v>
      </c>
    </row>
    <row r="51" spans="1:9" ht="15" customHeight="1">
      <c r="A51" s="25" t="s">
        <v>2294</v>
      </c>
      <c r="B51" s="25" t="s">
        <v>2895</v>
      </c>
      <c r="C51" s="26" t="s">
        <v>3464</v>
      </c>
      <c r="D51" s="25">
        <v>3104399375</v>
      </c>
      <c r="E51" s="25" t="s">
        <v>3509</v>
      </c>
      <c r="F51" s="25">
        <v>238</v>
      </c>
      <c r="G51" s="25">
        <v>334</v>
      </c>
      <c r="H51" s="25">
        <v>6629183</v>
      </c>
      <c r="I51" s="25">
        <v>0</v>
      </c>
    </row>
    <row r="52" spans="1:9" ht="15" customHeight="1">
      <c r="A52" s="25" t="s">
        <v>2295</v>
      </c>
      <c r="B52" s="25" t="s">
        <v>2896</v>
      </c>
      <c r="C52" s="26" t="s">
        <v>3464</v>
      </c>
      <c r="D52" s="25">
        <v>3104399375</v>
      </c>
      <c r="E52" s="25" t="s">
        <v>3510</v>
      </c>
      <c r="F52" s="25">
        <v>238</v>
      </c>
      <c r="G52" s="25">
        <v>334</v>
      </c>
      <c r="H52" s="25">
        <v>47194000</v>
      </c>
      <c r="I52" s="25">
        <v>0</v>
      </c>
    </row>
    <row r="53" spans="1:9" ht="15" customHeight="1">
      <c r="A53" s="25" t="s">
        <v>2296</v>
      </c>
      <c r="B53" s="25" t="s">
        <v>2897</v>
      </c>
      <c r="C53" s="26" t="s">
        <v>3464</v>
      </c>
      <c r="D53" s="25">
        <v>3104399375</v>
      </c>
      <c r="E53" s="25" t="s">
        <v>3511</v>
      </c>
      <c r="F53" s="25">
        <v>516</v>
      </c>
      <c r="G53" s="25">
        <v>334</v>
      </c>
      <c r="H53" s="25">
        <v>10087800</v>
      </c>
      <c r="I53" s="25">
        <v>0</v>
      </c>
    </row>
    <row r="54" spans="1:9" ht="15" customHeight="1">
      <c r="A54" s="25" t="s">
        <v>2297</v>
      </c>
      <c r="B54" s="25" t="s">
        <v>2898</v>
      </c>
      <c r="C54" s="26" t="s">
        <v>3464</v>
      </c>
      <c r="D54" s="25">
        <v>3104399375</v>
      </c>
      <c r="E54" s="25" t="s">
        <v>3512</v>
      </c>
      <c r="F54" s="25">
        <v>238</v>
      </c>
      <c r="G54" s="25">
        <v>334</v>
      </c>
      <c r="H54" s="25">
        <v>29495741</v>
      </c>
      <c r="I54" s="25">
        <v>0</v>
      </c>
    </row>
    <row r="55" spans="1:9" ht="15" customHeight="1">
      <c r="A55" s="25" t="s">
        <v>2298</v>
      </c>
      <c r="B55" s="25" t="s">
        <v>2899</v>
      </c>
      <c r="C55" s="26" t="s">
        <v>3464</v>
      </c>
      <c r="D55" s="25">
        <v>3104399375</v>
      </c>
      <c r="E55" s="25" t="s">
        <v>3513</v>
      </c>
      <c r="F55" s="27" t="s">
        <v>4059</v>
      </c>
      <c r="G55" s="25">
        <v>334</v>
      </c>
      <c r="H55" s="25">
        <v>1878200</v>
      </c>
      <c r="I55" s="25">
        <v>0</v>
      </c>
    </row>
    <row r="56" spans="1:9" ht="15" customHeight="1">
      <c r="A56" s="25" t="s">
        <v>2299</v>
      </c>
      <c r="B56" s="25" t="s">
        <v>2900</v>
      </c>
      <c r="C56" s="26" t="s">
        <v>3464</v>
      </c>
      <c r="D56" s="25">
        <v>3104399375</v>
      </c>
      <c r="E56" s="25" t="s">
        <v>3514</v>
      </c>
      <c r="F56" s="25">
        <v>238</v>
      </c>
      <c r="G56" s="25">
        <v>334</v>
      </c>
      <c r="H56" s="25">
        <v>150329936</v>
      </c>
      <c r="I56" s="25">
        <v>0</v>
      </c>
    </row>
    <row r="57" spans="1:9" ht="15" customHeight="1">
      <c r="A57" s="25" t="s">
        <v>2300</v>
      </c>
      <c r="B57" s="25" t="s">
        <v>2901</v>
      </c>
      <c r="C57" s="26" t="s">
        <v>3464</v>
      </c>
      <c r="D57" s="25">
        <v>3104399375</v>
      </c>
      <c r="E57" s="25" t="s">
        <v>3515</v>
      </c>
      <c r="F57" s="25">
        <v>238</v>
      </c>
      <c r="G57" s="25">
        <v>334</v>
      </c>
      <c r="H57" s="25">
        <v>1268100</v>
      </c>
      <c r="I57" s="25">
        <v>0</v>
      </c>
    </row>
    <row r="58" spans="1:9" ht="15" customHeight="1">
      <c r="A58" s="25" t="s">
        <v>2301</v>
      </c>
      <c r="B58" s="25" t="s">
        <v>2902</v>
      </c>
      <c r="C58" s="26" t="s">
        <v>3464</v>
      </c>
      <c r="D58" s="25">
        <v>3104399375</v>
      </c>
      <c r="E58" s="25" t="s">
        <v>3516</v>
      </c>
      <c r="F58" s="27" t="s">
        <v>4059</v>
      </c>
      <c r="G58" s="25">
        <v>334</v>
      </c>
      <c r="H58" s="25">
        <v>200000</v>
      </c>
      <c r="I58" s="25">
        <v>0</v>
      </c>
    </row>
    <row r="59" spans="1:9" ht="15" customHeight="1">
      <c r="A59" s="25" t="s">
        <v>2302</v>
      </c>
      <c r="B59" s="25" t="s">
        <v>2903</v>
      </c>
      <c r="C59" s="26" t="s">
        <v>3464</v>
      </c>
      <c r="D59" s="25">
        <v>3104399375</v>
      </c>
      <c r="E59" s="25" t="s">
        <v>3517</v>
      </c>
      <c r="F59" s="25">
        <v>238</v>
      </c>
      <c r="G59" s="25">
        <v>334</v>
      </c>
      <c r="H59" s="25">
        <v>844580</v>
      </c>
      <c r="I59" s="25">
        <v>0</v>
      </c>
    </row>
    <row r="60" spans="1:9" ht="15" customHeight="1">
      <c r="A60" s="25" t="s">
        <v>2303</v>
      </c>
      <c r="B60" s="25" t="s">
        <v>2904</v>
      </c>
      <c r="C60" s="26" t="s">
        <v>3464</v>
      </c>
      <c r="D60" s="25">
        <v>3104399375</v>
      </c>
      <c r="E60" s="25" t="s">
        <v>3518</v>
      </c>
      <c r="F60" s="25">
        <v>360</v>
      </c>
      <c r="G60" s="25">
        <v>334</v>
      </c>
      <c r="H60" s="25">
        <v>7577670</v>
      </c>
      <c r="I60" s="25">
        <v>0</v>
      </c>
    </row>
    <row r="61" spans="1:9" ht="15" customHeight="1">
      <c r="A61" s="25" t="s">
        <v>2304</v>
      </c>
      <c r="B61" s="25" t="s">
        <v>2905</v>
      </c>
      <c r="C61" s="26" t="s">
        <v>3464</v>
      </c>
      <c r="D61" s="25">
        <v>3104399375</v>
      </c>
      <c r="E61" s="25" t="s">
        <v>3519</v>
      </c>
      <c r="F61" s="25">
        <v>238</v>
      </c>
      <c r="G61" s="25">
        <v>334</v>
      </c>
      <c r="H61" s="25">
        <v>20298080</v>
      </c>
      <c r="I61" s="25">
        <v>0</v>
      </c>
    </row>
    <row r="62" spans="1:9" ht="15" customHeight="1">
      <c r="A62" s="25" t="s">
        <v>2305</v>
      </c>
      <c r="B62" s="25" t="s">
        <v>2906</v>
      </c>
      <c r="C62" s="26" t="s">
        <v>3464</v>
      </c>
      <c r="D62" s="25">
        <v>3104399375</v>
      </c>
      <c r="E62" s="25" t="s">
        <v>3520</v>
      </c>
      <c r="F62" s="25">
        <v>238</v>
      </c>
      <c r="G62" s="25">
        <v>334</v>
      </c>
      <c r="H62" s="25">
        <v>1814010</v>
      </c>
      <c r="I62" s="25">
        <v>0</v>
      </c>
    </row>
    <row r="63" spans="1:9" ht="15" customHeight="1">
      <c r="A63" s="25" t="s">
        <v>2306</v>
      </c>
      <c r="B63" s="25" t="s">
        <v>2907</v>
      </c>
      <c r="C63" s="26" t="s">
        <v>3464</v>
      </c>
      <c r="D63" s="25">
        <v>3104399375</v>
      </c>
      <c r="E63" s="25" t="s">
        <v>3521</v>
      </c>
      <c r="F63" s="27" t="s">
        <v>4059</v>
      </c>
      <c r="G63" s="25">
        <v>334</v>
      </c>
      <c r="H63" s="25">
        <v>1499848</v>
      </c>
      <c r="I63" s="25">
        <v>0</v>
      </c>
    </row>
    <row r="64" spans="1:9" ht="15" customHeight="1">
      <c r="A64" s="25" t="s">
        <v>2307</v>
      </c>
      <c r="B64" s="25" t="s">
        <v>2908</v>
      </c>
      <c r="C64" s="26" t="s">
        <v>3464</v>
      </c>
      <c r="D64" s="25">
        <v>3104399375</v>
      </c>
      <c r="E64" s="25" t="s">
        <v>3522</v>
      </c>
      <c r="F64" s="25">
        <v>238</v>
      </c>
      <c r="G64" s="25">
        <v>334</v>
      </c>
      <c r="H64" s="25">
        <v>1140000</v>
      </c>
      <c r="I64" s="25">
        <v>0</v>
      </c>
    </row>
    <row r="65" spans="1:9" ht="15" customHeight="1">
      <c r="A65" s="25" t="s">
        <v>2308</v>
      </c>
      <c r="B65" s="25" t="s">
        <v>2909</v>
      </c>
      <c r="C65" s="26" t="s">
        <v>3464</v>
      </c>
      <c r="D65" s="25">
        <v>3104399375</v>
      </c>
      <c r="E65" s="25" t="s">
        <v>3523</v>
      </c>
      <c r="F65" s="25">
        <v>238</v>
      </c>
      <c r="G65" s="25">
        <v>334</v>
      </c>
      <c r="H65" s="25">
        <v>115940160</v>
      </c>
      <c r="I65" s="25">
        <v>0</v>
      </c>
    </row>
    <row r="66" spans="1:9" ht="15" customHeight="1">
      <c r="A66" s="25" t="s">
        <v>2309</v>
      </c>
      <c r="B66" s="25" t="s">
        <v>2910</v>
      </c>
      <c r="C66" s="26" t="s">
        <v>3464</v>
      </c>
      <c r="D66" s="25">
        <v>3104399375</v>
      </c>
      <c r="E66" s="25" t="s">
        <v>3523</v>
      </c>
      <c r="F66" s="25">
        <v>238</v>
      </c>
      <c r="G66" s="25">
        <v>334</v>
      </c>
      <c r="H66" s="25">
        <v>41556000</v>
      </c>
      <c r="I66" s="25">
        <v>0</v>
      </c>
    </row>
    <row r="67" spans="1:9" ht="15" customHeight="1">
      <c r="A67" s="25" t="s">
        <v>2310</v>
      </c>
      <c r="B67" s="25" t="s">
        <v>2911</v>
      </c>
      <c r="C67" s="26" t="s">
        <v>3464</v>
      </c>
      <c r="D67" s="25">
        <v>3104399375</v>
      </c>
      <c r="E67" s="25" t="s">
        <v>3523</v>
      </c>
      <c r="F67" s="25">
        <v>238</v>
      </c>
      <c r="G67" s="25">
        <v>334</v>
      </c>
      <c r="H67" s="25">
        <v>405750264</v>
      </c>
      <c r="I67" s="25">
        <v>0</v>
      </c>
    </row>
    <row r="68" spans="1:9" ht="15" customHeight="1">
      <c r="A68" s="25" t="s">
        <v>2311</v>
      </c>
      <c r="B68" s="25" t="s">
        <v>2912</v>
      </c>
      <c r="C68" s="26" t="s">
        <v>3464</v>
      </c>
      <c r="D68" s="25">
        <v>3104399375</v>
      </c>
      <c r="E68" s="25" t="s">
        <v>3523</v>
      </c>
      <c r="F68" s="25">
        <v>238</v>
      </c>
      <c r="G68" s="25">
        <v>334</v>
      </c>
      <c r="H68" s="25">
        <v>405750264</v>
      </c>
      <c r="I68" s="25">
        <v>0</v>
      </c>
    </row>
    <row r="69" spans="1:9" ht="15" customHeight="1">
      <c r="A69" s="25" t="s">
        <v>2312</v>
      </c>
      <c r="B69" s="25" t="s">
        <v>2913</v>
      </c>
      <c r="C69" s="26" t="s">
        <v>3464</v>
      </c>
      <c r="D69" s="25">
        <v>3104399375</v>
      </c>
      <c r="E69" s="25" t="s">
        <v>3523</v>
      </c>
      <c r="F69" s="25">
        <v>238</v>
      </c>
      <c r="G69" s="25">
        <v>334</v>
      </c>
      <c r="H69" s="25">
        <v>405750264</v>
      </c>
      <c r="I69" s="25">
        <v>0</v>
      </c>
    </row>
    <row r="70" spans="1:9" ht="15" customHeight="1">
      <c r="A70" s="25" t="s">
        <v>2313</v>
      </c>
      <c r="B70" s="25" t="s">
        <v>2914</v>
      </c>
      <c r="C70" s="26" t="s">
        <v>3464</v>
      </c>
      <c r="D70" s="25">
        <v>3104399375</v>
      </c>
      <c r="E70" s="25" t="s">
        <v>3524</v>
      </c>
      <c r="F70" s="25">
        <v>238</v>
      </c>
      <c r="G70" s="25">
        <v>219</v>
      </c>
      <c r="H70" s="25">
        <v>165483050</v>
      </c>
      <c r="I70" s="25">
        <v>0</v>
      </c>
    </row>
    <row r="71" spans="1:9" ht="15" customHeight="1">
      <c r="A71" s="25" t="s">
        <v>2314</v>
      </c>
      <c r="B71" s="25" t="s">
        <v>2915</v>
      </c>
      <c r="C71" s="26" t="s">
        <v>3464</v>
      </c>
      <c r="D71" s="25">
        <v>3104399375</v>
      </c>
      <c r="E71" s="25" t="s">
        <v>3525</v>
      </c>
      <c r="F71" s="25">
        <v>542</v>
      </c>
      <c r="G71" s="25">
        <v>219</v>
      </c>
      <c r="H71" s="25">
        <v>131196320</v>
      </c>
      <c r="I71" s="25">
        <v>0</v>
      </c>
    </row>
    <row r="72" spans="1:9" ht="15" customHeight="1">
      <c r="A72" s="25" t="s">
        <v>2315</v>
      </c>
      <c r="B72" s="25" t="s">
        <v>2916</v>
      </c>
      <c r="C72" s="26" t="s">
        <v>3464</v>
      </c>
      <c r="D72" s="25">
        <v>3104399375</v>
      </c>
      <c r="E72" s="25" t="s">
        <v>3526</v>
      </c>
      <c r="F72" s="25">
        <v>215</v>
      </c>
      <c r="G72" s="25">
        <v>219</v>
      </c>
      <c r="H72" s="25">
        <v>2459999</v>
      </c>
      <c r="I72" s="25">
        <v>0</v>
      </c>
    </row>
    <row r="73" spans="1:9" ht="15" customHeight="1">
      <c r="A73" s="25" t="s">
        <v>2316</v>
      </c>
      <c r="B73" s="25" t="s">
        <v>2917</v>
      </c>
      <c r="C73" s="26" t="s">
        <v>3464</v>
      </c>
      <c r="D73" s="25">
        <v>3104399375</v>
      </c>
      <c r="E73" s="25" t="s">
        <v>3348</v>
      </c>
      <c r="F73" s="25">
        <v>806</v>
      </c>
      <c r="G73" s="25">
        <v>219</v>
      </c>
      <c r="H73" s="25">
        <v>2490000</v>
      </c>
      <c r="I73" s="25">
        <v>0</v>
      </c>
    </row>
    <row r="74" spans="1:9" ht="15" customHeight="1">
      <c r="A74" s="25" t="s">
        <v>2317</v>
      </c>
      <c r="B74" s="25" t="s">
        <v>2918</v>
      </c>
      <c r="C74" s="26" t="s">
        <v>3464</v>
      </c>
      <c r="D74" s="25">
        <v>3104399375</v>
      </c>
      <c r="E74" s="25" t="s">
        <v>3527</v>
      </c>
      <c r="F74" s="25">
        <v>759</v>
      </c>
      <c r="G74" s="25">
        <v>219</v>
      </c>
      <c r="H74" s="25">
        <v>127686000</v>
      </c>
      <c r="I74" s="25">
        <v>0</v>
      </c>
    </row>
    <row r="75" spans="1:9" ht="15" customHeight="1">
      <c r="A75" s="25" t="s">
        <v>2318</v>
      </c>
      <c r="B75" s="25" t="s">
        <v>2919</v>
      </c>
      <c r="C75" s="26" t="s">
        <v>3464</v>
      </c>
      <c r="D75" s="25">
        <v>3104399375</v>
      </c>
      <c r="E75" s="25" t="s">
        <v>3528</v>
      </c>
      <c r="F75" s="25">
        <v>238</v>
      </c>
      <c r="G75" s="25">
        <v>219</v>
      </c>
      <c r="H75" s="25">
        <v>326981600</v>
      </c>
      <c r="I75" s="25">
        <v>0</v>
      </c>
    </row>
    <row r="76" spans="1:9" ht="15" customHeight="1">
      <c r="A76" s="25" t="s">
        <v>2319</v>
      </c>
      <c r="B76" s="25" t="s">
        <v>2920</v>
      </c>
      <c r="C76" s="26" t="s">
        <v>3464</v>
      </c>
      <c r="D76" s="25">
        <v>3104399375</v>
      </c>
      <c r="E76" s="25" t="s">
        <v>3529</v>
      </c>
      <c r="F76" s="25">
        <v>806</v>
      </c>
      <c r="G76" s="25">
        <v>219</v>
      </c>
      <c r="H76" s="25">
        <v>26720000</v>
      </c>
      <c r="I76" s="25">
        <v>0</v>
      </c>
    </row>
    <row r="77" spans="1:9" ht="15" customHeight="1">
      <c r="A77" s="25" t="s">
        <v>2320</v>
      </c>
      <c r="B77" s="25" t="s">
        <v>2921</v>
      </c>
      <c r="C77" s="26" t="s">
        <v>3464</v>
      </c>
      <c r="D77" s="25">
        <v>3104399375</v>
      </c>
      <c r="E77" s="25" t="s">
        <v>3530</v>
      </c>
      <c r="F77" s="25">
        <v>806</v>
      </c>
      <c r="G77" s="25">
        <v>219</v>
      </c>
      <c r="H77" s="25">
        <v>61884978</v>
      </c>
      <c r="I77" s="25">
        <v>0</v>
      </c>
    </row>
    <row r="78" spans="1:9" ht="15" customHeight="1">
      <c r="A78" s="25" t="s">
        <v>2321</v>
      </c>
      <c r="B78" s="25" t="s">
        <v>2922</v>
      </c>
      <c r="C78" s="26" t="s">
        <v>3464</v>
      </c>
      <c r="D78" s="25">
        <v>3104399375</v>
      </c>
      <c r="E78" s="25" t="s">
        <v>3531</v>
      </c>
      <c r="F78" s="25">
        <v>238</v>
      </c>
      <c r="G78" s="25">
        <v>219</v>
      </c>
      <c r="H78" s="25">
        <v>148040000</v>
      </c>
      <c r="I78" s="25">
        <v>0</v>
      </c>
    </row>
    <row r="79" spans="1:9" ht="15" customHeight="1">
      <c r="A79" s="25" t="s">
        <v>2322</v>
      </c>
      <c r="B79" s="25" t="s">
        <v>2923</v>
      </c>
      <c r="C79" s="26" t="s">
        <v>3464</v>
      </c>
      <c r="D79" s="25">
        <v>3104399375</v>
      </c>
      <c r="E79" s="25" t="s">
        <v>3532</v>
      </c>
      <c r="F79" s="25">
        <v>757</v>
      </c>
      <c r="G79" s="25">
        <v>219</v>
      </c>
      <c r="H79" s="25">
        <v>769999</v>
      </c>
      <c r="I79" s="25">
        <v>0</v>
      </c>
    </row>
    <row r="80" spans="1:9" ht="15" customHeight="1">
      <c r="A80" s="25" t="s">
        <v>2323</v>
      </c>
      <c r="B80" s="25" t="s">
        <v>2924</v>
      </c>
      <c r="C80" s="26" t="s">
        <v>3464</v>
      </c>
      <c r="D80" s="25">
        <v>3104399375</v>
      </c>
      <c r="E80" s="25" t="s">
        <v>3533</v>
      </c>
      <c r="F80" s="25">
        <v>238</v>
      </c>
      <c r="G80" s="25">
        <v>219</v>
      </c>
      <c r="H80" s="25">
        <v>97658415</v>
      </c>
      <c r="I80" s="25">
        <v>0</v>
      </c>
    </row>
    <row r="81" spans="1:9" ht="15" customHeight="1">
      <c r="A81" s="25" t="s">
        <v>2324</v>
      </c>
      <c r="B81" s="25" t="s">
        <v>2925</v>
      </c>
      <c r="C81" s="26" t="s">
        <v>3464</v>
      </c>
      <c r="D81" s="25">
        <v>3104399375</v>
      </c>
      <c r="E81" s="25" t="s">
        <v>3534</v>
      </c>
      <c r="F81" s="25">
        <v>238</v>
      </c>
      <c r="G81" s="25">
        <v>219</v>
      </c>
      <c r="H81" s="25">
        <v>64714933</v>
      </c>
      <c r="I81" s="25">
        <v>0</v>
      </c>
    </row>
    <row r="82" spans="1:9" ht="15" customHeight="1">
      <c r="A82" s="25" t="s">
        <v>2325</v>
      </c>
      <c r="B82" s="25" t="s">
        <v>2926</v>
      </c>
      <c r="C82" s="26" t="s">
        <v>3464</v>
      </c>
      <c r="D82" s="25">
        <v>3104399375</v>
      </c>
      <c r="E82" s="25" t="s">
        <v>3535</v>
      </c>
      <c r="F82" s="25">
        <v>759</v>
      </c>
      <c r="G82" s="25">
        <v>219</v>
      </c>
      <c r="H82" s="25">
        <v>4099998</v>
      </c>
      <c r="I82" s="25">
        <v>0</v>
      </c>
    </row>
    <row r="83" spans="1:9" ht="15" customHeight="1">
      <c r="A83" s="25" t="s">
        <v>2326</v>
      </c>
      <c r="B83" s="25" t="s">
        <v>2927</v>
      </c>
      <c r="C83" s="26" t="s">
        <v>3464</v>
      </c>
      <c r="D83" s="25">
        <v>3104399375</v>
      </c>
      <c r="E83" s="25" t="s">
        <v>3536</v>
      </c>
      <c r="F83" s="25">
        <v>806</v>
      </c>
      <c r="G83" s="25">
        <v>219</v>
      </c>
      <c r="H83" s="25">
        <v>87810000</v>
      </c>
      <c r="I83" s="25">
        <v>0</v>
      </c>
    </row>
    <row r="84" spans="1:9" ht="15" customHeight="1">
      <c r="A84" s="25" t="s">
        <v>2327</v>
      </c>
      <c r="B84" s="25" t="s">
        <v>2928</v>
      </c>
      <c r="C84" s="26" t="s">
        <v>3464</v>
      </c>
      <c r="D84" s="25">
        <v>3104399375</v>
      </c>
      <c r="E84" s="25" t="s">
        <v>3537</v>
      </c>
      <c r="F84" s="25">
        <v>759</v>
      </c>
      <c r="G84" s="25">
        <v>219</v>
      </c>
      <c r="H84" s="25">
        <v>1719999</v>
      </c>
      <c r="I84" s="25">
        <v>0</v>
      </c>
    </row>
    <row r="85" spans="1:9" ht="15" customHeight="1">
      <c r="A85" s="25" t="s">
        <v>2328</v>
      </c>
      <c r="B85" s="25" t="s">
        <v>2929</v>
      </c>
      <c r="C85" s="26" t="s">
        <v>3464</v>
      </c>
      <c r="D85" s="25">
        <v>3104399375</v>
      </c>
      <c r="E85" s="25" t="s">
        <v>3538</v>
      </c>
      <c r="F85" s="25">
        <v>542</v>
      </c>
      <c r="G85" s="25">
        <v>219</v>
      </c>
      <c r="H85" s="25">
        <v>243319722</v>
      </c>
      <c r="I85" s="25">
        <v>0</v>
      </c>
    </row>
    <row r="86" spans="1:9" ht="15" customHeight="1">
      <c r="A86" s="25" t="s">
        <v>2329</v>
      </c>
      <c r="B86" s="25" t="s">
        <v>2930</v>
      </c>
      <c r="C86" s="26" t="s">
        <v>3464</v>
      </c>
      <c r="D86" s="25">
        <v>3104399375</v>
      </c>
      <c r="E86" s="25" t="s">
        <v>3539</v>
      </c>
      <c r="F86" s="25">
        <v>152</v>
      </c>
      <c r="G86" s="25">
        <v>219</v>
      </c>
      <c r="H86" s="25">
        <v>67085280</v>
      </c>
      <c r="I86" s="25">
        <v>0</v>
      </c>
    </row>
    <row r="87" spans="1:9" ht="15" customHeight="1">
      <c r="A87" s="25" t="s">
        <v>2330</v>
      </c>
      <c r="B87" s="25" t="s">
        <v>2931</v>
      </c>
      <c r="C87" s="26" t="s">
        <v>3464</v>
      </c>
      <c r="D87" s="25">
        <v>3104399375</v>
      </c>
      <c r="E87" s="25" t="s">
        <v>3540</v>
      </c>
      <c r="F87" s="25">
        <v>167</v>
      </c>
      <c r="G87" s="25">
        <v>219</v>
      </c>
      <c r="H87" s="25">
        <v>13850000</v>
      </c>
      <c r="I87" s="25">
        <v>0</v>
      </c>
    </row>
    <row r="88" spans="1:9" ht="15" customHeight="1">
      <c r="A88" s="25" t="s">
        <v>2331</v>
      </c>
      <c r="B88" s="25" t="s">
        <v>2932</v>
      </c>
      <c r="C88" s="26" t="s">
        <v>3464</v>
      </c>
      <c r="D88" s="25">
        <v>3104399375</v>
      </c>
      <c r="E88" s="25" t="s">
        <v>3541</v>
      </c>
      <c r="F88" s="25">
        <v>759</v>
      </c>
      <c r="G88" s="25">
        <v>219</v>
      </c>
      <c r="H88" s="25">
        <v>8019572</v>
      </c>
      <c r="I88" s="25">
        <v>0</v>
      </c>
    </row>
    <row r="89" spans="1:9" ht="15" customHeight="1">
      <c r="A89" s="25" t="s">
        <v>2332</v>
      </c>
      <c r="B89" s="25" t="s">
        <v>2933</v>
      </c>
      <c r="C89" s="26" t="s">
        <v>3464</v>
      </c>
      <c r="D89" s="25">
        <v>3104399375</v>
      </c>
      <c r="E89" s="25" t="s">
        <v>3542</v>
      </c>
      <c r="F89" s="25">
        <v>814</v>
      </c>
      <c r="G89" s="25">
        <v>219</v>
      </c>
      <c r="H89" s="25">
        <v>85529000</v>
      </c>
      <c r="I89" s="25">
        <v>0</v>
      </c>
    </row>
    <row r="90" spans="1:9" ht="15" customHeight="1">
      <c r="A90" s="25" t="s">
        <v>2333</v>
      </c>
      <c r="B90" s="25" t="s">
        <v>2934</v>
      </c>
      <c r="C90" s="26" t="s">
        <v>3464</v>
      </c>
      <c r="D90" s="25">
        <v>3104399375</v>
      </c>
      <c r="E90" s="25" t="s">
        <v>3543</v>
      </c>
      <c r="F90" s="27" t="s">
        <v>4059</v>
      </c>
      <c r="G90" s="25">
        <v>219</v>
      </c>
      <c r="H90" s="25">
        <v>7525000</v>
      </c>
      <c r="I90" s="25">
        <v>0</v>
      </c>
    </row>
    <row r="91" spans="1:9" ht="15" customHeight="1">
      <c r="A91" s="25" t="s">
        <v>2334</v>
      </c>
      <c r="B91" s="25" t="s">
        <v>2935</v>
      </c>
      <c r="C91" s="26" t="s">
        <v>3464</v>
      </c>
      <c r="D91" s="25">
        <v>3104399375</v>
      </c>
      <c r="E91" s="25" t="s">
        <v>3544</v>
      </c>
      <c r="F91" s="25">
        <v>763</v>
      </c>
      <c r="G91" s="25">
        <v>219</v>
      </c>
      <c r="H91" s="25">
        <v>17093158</v>
      </c>
      <c r="I91" s="25">
        <v>0</v>
      </c>
    </row>
    <row r="92" spans="1:9" ht="15" customHeight="1">
      <c r="A92" s="25" t="s">
        <v>2257</v>
      </c>
      <c r="B92" s="25" t="s">
        <v>2858</v>
      </c>
      <c r="C92" s="26" t="s">
        <v>3464</v>
      </c>
      <c r="D92" s="25">
        <v>3104399375</v>
      </c>
      <c r="E92" s="25" t="s">
        <v>3472</v>
      </c>
      <c r="F92" s="27" t="s">
        <v>4059</v>
      </c>
      <c r="G92" s="25">
        <v>219</v>
      </c>
      <c r="H92" s="25">
        <v>527874830</v>
      </c>
      <c r="I92" s="25">
        <v>0</v>
      </c>
    </row>
    <row r="93" spans="1:9" ht="15" customHeight="1">
      <c r="A93" s="25" t="s">
        <v>2335</v>
      </c>
      <c r="B93" s="25" t="s">
        <v>2936</v>
      </c>
      <c r="C93" s="26" t="s">
        <v>3464</v>
      </c>
      <c r="D93" s="25">
        <v>3104399375</v>
      </c>
      <c r="E93" s="25" t="s">
        <v>3545</v>
      </c>
      <c r="F93" s="25">
        <v>238</v>
      </c>
      <c r="G93" s="25">
        <v>219</v>
      </c>
      <c r="H93" s="25">
        <v>431660649</v>
      </c>
      <c r="I93" s="25">
        <v>0</v>
      </c>
    </row>
    <row r="94" spans="1:9" ht="15" customHeight="1">
      <c r="A94" s="25" t="s">
        <v>2336</v>
      </c>
      <c r="B94" s="25" t="s">
        <v>2937</v>
      </c>
      <c r="C94" s="26" t="s">
        <v>3464</v>
      </c>
      <c r="D94" s="25">
        <v>3104399375</v>
      </c>
      <c r="E94" s="25" t="s">
        <v>3546</v>
      </c>
      <c r="F94" s="25">
        <v>238</v>
      </c>
      <c r="G94" s="25">
        <v>219</v>
      </c>
      <c r="H94" s="25">
        <v>2820000</v>
      </c>
      <c r="I94" s="25">
        <v>0</v>
      </c>
    </row>
    <row r="95" spans="1:9" ht="15" customHeight="1">
      <c r="A95" s="25" t="s">
        <v>2337</v>
      </c>
      <c r="B95" s="25" t="s">
        <v>2938</v>
      </c>
      <c r="C95" s="26" t="s">
        <v>3464</v>
      </c>
      <c r="D95" s="25">
        <v>3104399375</v>
      </c>
      <c r="E95" s="25" t="s">
        <v>3547</v>
      </c>
      <c r="F95" s="25">
        <v>238</v>
      </c>
      <c r="G95" s="25">
        <v>219</v>
      </c>
      <c r="H95" s="25">
        <v>19607470</v>
      </c>
      <c r="I95" s="25">
        <v>0</v>
      </c>
    </row>
    <row r="96" spans="1:9" ht="15" customHeight="1">
      <c r="A96" s="25" t="s">
        <v>2252</v>
      </c>
      <c r="B96" s="25" t="s">
        <v>2853</v>
      </c>
      <c r="C96" s="26" t="s">
        <v>3464</v>
      </c>
      <c r="D96" s="25">
        <v>3104399375</v>
      </c>
      <c r="E96" s="25" t="s">
        <v>3467</v>
      </c>
      <c r="F96" s="27" t="s">
        <v>4059</v>
      </c>
      <c r="G96" s="25">
        <v>219</v>
      </c>
      <c r="H96" s="25">
        <v>11333600</v>
      </c>
      <c r="I96" s="25">
        <v>0</v>
      </c>
    </row>
    <row r="97" spans="1:9" ht="15" customHeight="1">
      <c r="A97" s="25" t="s">
        <v>2338</v>
      </c>
      <c r="B97" s="25" t="s">
        <v>2939</v>
      </c>
      <c r="C97" s="26" t="s">
        <v>3464</v>
      </c>
      <c r="D97" s="25">
        <v>3104399375</v>
      </c>
      <c r="E97" s="25" t="s">
        <v>3548</v>
      </c>
      <c r="F97" s="25">
        <v>238</v>
      </c>
      <c r="G97" s="25">
        <v>219</v>
      </c>
      <c r="H97" s="25">
        <v>399263801</v>
      </c>
      <c r="I97" s="25">
        <v>0</v>
      </c>
    </row>
    <row r="98" spans="1:9" ht="15" customHeight="1">
      <c r="A98" s="25" t="s">
        <v>2339</v>
      </c>
      <c r="B98" s="25" t="s">
        <v>2940</v>
      </c>
      <c r="C98" s="26" t="s">
        <v>3464</v>
      </c>
      <c r="D98" s="25">
        <v>3104399375</v>
      </c>
      <c r="E98" s="25" t="s">
        <v>3549</v>
      </c>
      <c r="F98" s="25">
        <v>238</v>
      </c>
      <c r="G98" s="25">
        <v>219</v>
      </c>
      <c r="H98" s="25">
        <v>1019187200</v>
      </c>
      <c r="I98" s="25">
        <v>0</v>
      </c>
    </row>
    <row r="99" spans="1:9" ht="15" customHeight="1">
      <c r="A99" s="25" t="s">
        <v>2340</v>
      </c>
      <c r="B99" s="25" t="s">
        <v>2941</v>
      </c>
      <c r="C99" s="26" t="s">
        <v>3464</v>
      </c>
      <c r="D99" s="25">
        <v>3104399375</v>
      </c>
      <c r="E99" s="25" t="s">
        <v>3550</v>
      </c>
      <c r="F99" s="25">
        <v>806</v>
      </c>
      <c r="G99" s="25">
        <v>219</v>
      </c>
      <c r="H99" s="25">
        <v>213127500</v>
      </c>
      <c r="I99" s="25">
        <v>0</v>
      </c>
    </row>
    <row r="100" spans="1:9" ht="15" customHeight="1">
      <c r="A100" s="25" t="s">
        <v>2341</v>
      </c>
      <c r="B100" s="25" t="s">
        <v>2942</v>
      </c>
      <c r="C100" s="26" t="s">
        <v>3464</v>
      </c>
      <c r="D100" s="25">
        <v>3104399375</v>
      </c>
      <c r="E100" s="25" t="s">
        <v>3551</v>
      </c>
      <c r="F100" s="27" t="s">
        <v>4059</v>
      </c>
      <c r="G100" s="25">
        <v>219</v>
      </c>
      <c r="H100" s="25">
        <v>27792948</v>
      </c>
      <c r="I100" s="25">
        <v>0</v>
      </c>
    </row>
    <row r="101" spans="1:9" ht="15" customHeight="1">
      <c r="A101" s="25" t="s">
        <v>2342</v>
      </c>
      <c r="B101" s="25" t="s">
        <v>2943</v>
      </c>
      <c r="C101" s="26" t="s">
        <v>3464</v>
      </c>
      <c r="D101" s="25">
        <v>3104399375</v>
      </c>
      <c r="E101" s="25" t="s">
        <v>3552</v>
      </c>
      <c r="F101" s="25">
        <v>759</v>
      </c>
      <c r="G101" s="25">
        <v>219</v>
      </c>
      <c r="H101" s="25">
        <v>6299500</v>
      </c>
      <c r="I101" s="25">
        <v>0</v>
      </c>
    </row>
    <row r="102" spans="1:9" ht="15" customHeight="1">
      <c r="A102" s="25" t="s">
        <v>2343</v>
      </c>
      <c r="B102" s="25" t="s">
        <v>2944</v>
      </c>
      <c r="C102" s="26" t="s">
        <v>3464</v>
      </c>
      <c r="D102" s="25">
        <v>3104399375</v>
      </c>
      <c r="E102" s="25" t="s">
        <v>3553</v>
      </c>
      <c r="F102" s="25">
        <v>759</v>
      </c>
      <c r="G102" s="25">
        <v>219</v>
      </c>
      <c r="H102" s="25">
        <v>2300000</v>
      </c>
      <c r="I102" s="25">
        <v>0</v>
      </c>
    </row>
    <row r="103" spans="1:9" ht="15" customHeight="1">
      <c r="A103" s="25" t="s">
        <v>2344</v>
      </c>
      <c r="B103" s="25" t="s">
        <v>2945</v>
      </c>
      <c r="C103" s="26" t="s">
        <v>3464</v>
      </c>
      <c r="D103" s="25">
        <v>3104399375</v>
      </c>
      <c r="E103" s="25" t="s">
        <v>3554</v>
      </c>
      <c r="F103" s="25">
        <v>759</v>
      </c>
      <c r="G103" s="25">
        <v>219</v>
      </c>
      <c r="H103" s="25">
        <v>102129489</v>
      </c>
      <c r="I103" s="25">
        <v>0</v>
      </c>
    </row>
    <row r="104" spans="1:9" ht="15" customHeight="1">
      <c r="A104" s="25" t="s">
        <v>2345</v>
      </c>
      <c r="B104" s="25" t="s">
        <v>2946</v>
      </c>
      <c r="C104" s="26" t="s">
        <v>3464</v>
      </c>
      <c r="D104" s="25">
        <v>3104399375</v>
      </c>
      <c r="E104" s="25" t="s">
        <v>3555</v>
      </c>
      <c r="F104" s="25">
        <v>87</v>
      </c>
      <c r="G104" s="25">
        <v>219</v>
      </c>
      <c r="H104" s="25">
        <v>1332266450</v>
      </c>
      <c r="I104" s="25">
        <v>0</v>
      </c>
    </row>
    <row r="105" spans="1:9" ht="15" customHeight="1">
      <c r="A105" s="25" t="s">
        <v>2346</v>
      </c>
      <c r="B105" s="25" t="s">
        <v>2947</v>
      </c>
      <c r="C105" s="26" t="s">
        <v>3464</v>
      </c>
      <c r="D105" s="25">
        <v>3104399375</v>
      </c>
      <c r="E105" s="25" t="s">
        <v>3556</v>
      </c>
      <c r="F105" s="25">
        <v>238</v>
      </c>
      <c r="G105" s="25">
        <v>219</v>
      </c>
      <c r="H105" s="25">
        <v>1199999</v>
      </c>
      <c r="I105" s="25">
        <v>0</v>
      </c>
    </row>
    <row r="106" spans="1:9" ht="15" customHeight="1">
      <c r="A106" s="25" t="s">
        <v>2347</v>
      </c>
      <c r="B106" s="25" t="s">
        <v>2948</v>
      </c>
      <c r="C106" s="26" t="s">
        <v>3464</v>
      </c>
      <c r="D106" s="25">
        <v>3104399375</v>
      </c>
      <c r="E106" s="25" t="s">
        <v>3557</v>
      </c>
      <c r="F106" s="25">
        <v>172</v>
      </c>
      <c r="G106" s="25">
        <v>219</v>
      </c>
      <c r="H106" s="25">
        <v>56174000</v>
      </c>
      <c r="I106" s="25">
        <v>0</v>
      </c>
    </row>
    <row r="107" spans="1:9" ht="15" customHeight="1">
      <c r="A107" s="25" t="s">
        <v>2348</v>
      </c>
      <c r="B107" s="25" t="s">
        <v>2949</v>
      </c>
      <c r="C107" s="26" t="s">
        <v>3464</v>
      </c>
      <c r="D107" s="25">
        <v>3104399375</v>
      </c>
      <c r="E107" s="25" t="s">
        <v>3348</v>
      </c>
      <c r="F107" s="25">
        <v>806</v>
      </c>
      <c r="G107" s="25">
        <v>219</v>
      </c>
      <c r="H107" s="25">
        <v>94315000</v>
      </c>
      <c r="I107" s="25">
        <v>0</v>
      </c>
    </row>
    <row r="108" spans="1:9" ht="15" customHeight="1">
      <c r="A108" s="25" t="s">
        <v>2349</v>
      </c>
      <c r="B108" s="25" t="s">
        <v>2950</v>
      </c>
      <c r="C108" s="26" t="s">
        <v>3464</v>
      </c>
      <c r="D108" s="25">
        <v>3104399375</v>
      </c>
      <c r="E108" s="25" t="s">
        <v>3558</v>
      </c>
      <c r="F108" s="25">
        <v>759</v>
      </c>
      <c r="G108" s="25">
        <v>219</v>
      </c>
      <c r="H108" s="25">
        <v>113490948</v>
      </c>
      <c r="I108" s="25">
        <v>0</v>
      </c>
    </row>
    <row r="109" spans="1:9" ht="15" customHeight="1">
      <c r="A109" s="25" t="s">
        <v>2350</v>
      </c>
      <c r="B109" s="25" t="s">
        <v>2951</v>
      </c>
      <c r="C109" s="26" t="s">
        <v>3464</v>
      </c>
      <c r="D109" s="25">
        <v>3104399375</v>
      </c>
      <c r="E109" s="25" t="s">
        <v>3559</v>
      </c>
      <c r="F109" s="25">
        <v>238</v>
      </c>
      <c r="G109" s="25">
        <v>219</v>
      </c>
      <c r="H109" s="25">
        <v>55884000</v>
      </c>
      <c r="I109" s="25">
        <v>0</v>
      </c>
    </row>
    <row r="110" spans="1:9" ht="15" customHeight="1">
      <c r="A110" s="25" t="s">
        <v>2351</v>
      </c>
      <c r="B110" s="25" t="s">
        <v>2952</v>
      </c>
      <c r="C110" s="26" t="s">
        <v>3464</v>
      </c>
      <c r="D110" s="25">
        <v>3104399375</v>
      </c>
      <c r="E110" s="25" t="s">
        <v>3560</v>
      </c>
      <c r="F110" s="25">
        <v>238</v>
      </c>
      <c r="G110" s="25">
        <v>219</v>
      </c>
      <c r="H110" s="25">
        <v>767600</v>
      </c>
      <c r="I110" s="25">
        <v>0</v>
      </c>
    </row>
    <row r="111" spans="1:9" ht="15" customHeight="1">
      <c r="A111" s="25" t="s">
        <v>2352</v>
      </c>
      <c r="B111" s="25" t="s">
        <v>2953</v>
      </c>
      <c r="C111" s="26" t="s">
        <v>3464</v>
      </c>
      <c r="D111" s="25">
        <v>3104399375</v>
      </c>
      <c r="E111" s="25" t="s">
        <v>3561</v>
      </c>
      <c r="F111" s="27" t="s">
        <v>4059</v>
      </c>
      <c r="G111" s="25">
        <v>219</v>
      </c>
      <c r="H111" s="25">
        <v>29976479</v>
      </c>
      <c r="I111" s="25">
        <v>0</v>
      </c>
    </row>
    <row r="112" spans="1:9" ht="15" customHeight="1">
      <c r="A112" s="25" t="s">
        <v>2353</v>
      </c>
      <c r="B112" s="25" t="s">
        <v>2954</v>
      </c>
      <c r="C112" s="26" t="s">
        <v>3464</v>
      </c>
      <c r="D112" s="25">
        <v>3104399375</v>
      </c>
      <c r="E112" s="25" t="s">
        <v>3562</v>
      </c>
      <c r="F112" s="25">
        <v>386</v>
      </c>
      <c r="G112" s="25">
        <v>219</v>
      </c>
      <c r="H112" s="25">
        <v>33282200</v>
      </c>
      <c r="I112" s="25">
        <v>0</v>
      </c>
    </row>
    <row r="113" spans="1:9" ht="15" customHeight="1">
      <c r="A113" s="25" t="s">
        <v>2354</v>
      </c>
      <c r="B113" s="25" t="s">
        <v>2955</v>
      </c>
      <c r="C113" s="26" t="s">
        <v>3464</v>
      </c>
      <c r="D113" s="25">
        <v>3104399375</v>
      </c>
      <c r="E113" s="25" t="s">
        <v>3563</v>
      </c>
      <c r="F113" s="25">
        <v>759</v>
      </c>
      <c r="G113" s="25">
        <v>219</v>
      </c>
      <c r="H113" s="25">
        <v>56768492</v>
      </c>
      <c r="I113" s="25">
        <v>0</v>
      </c>
    </row>
    <row r="114" spans="1:9" ht="15" customHeight="1">
      <c r="A114" s="25" t="s">
        <v>2355</v>
      </c>
      <c r="B114" s="25" t="s">
        <v>2956</v>
      </c>
      <c r="C114" s="26" t="s">
        <v>3464</v>
      </c>
      <c r="D114" s="25">
        <v>3104399375</v>
      </c>
      <c r="E114" s="25" t="s">
        <v>3564</v>
      </c>
      <c r="F114" s="25">
        <v>176</v>
      </c>
      <c r="G114" s="25">
        <v>219</v>
      </c>
      <c r="H114" s="25">
        <v>13168933</v>
      </c>
      <c r="I114" s="25">
        <v>0</v>
      </c>
    </row>
    <row r="115" spans="1:9" ht="15" customHeight="1">
      <c r="A115" s="25" t="s">
        <v>2356</v>
      </c>
      <c r="B115" s="25" t="s">
        <v>2957</v>
      </c>
      <c r="C115" s="26" t="s">
        <v>3464</v>
      </c>
      <c r="D115" s="25">
        <v>3104399375</v>
      </c>
      <c r="E115" s="25" t="s">
        <v>3565</v>
      </c>
      <c r="F115" s="25">
        <v>238</v>
      </c>
      <c r="G115" s="25">
        <v>219</v>
      </c>
      <c r="H115" s="25">
        <v>7123406</v>
      </c>
      <c r="I115" s="25">
        <v>0</v>
      </c>
    </row>
    <row r="116" spans="1:9" ht="15" customHeight="1">
      <c r="A116" s="25" t="s">
        <v>2357</v>
      </c>
      <c r="B116" s="25" t="s">
        <v>2958</v>
      </c>
      <c r="C116" s="26" t="s">
        <v>3464</v>
      </c>
      <c r="D116" s="25">
        <v>3104399375</v>
      </c>
      <c r="E116" s="25" t="s">
        <v>3566</v>
      </c>
      <c r="F116" s="25">
        <v>238</v>
      </c>
      <c r="G116" s="25">
        <v>219</v>
      </c>
      <c r="H116" s="25">
        <v>241028651</v>
      </c>
      <c r="I116" s="25">
        <v>0</v>
      </c>
    </row>
    <row r="117" spans="1:9" ht="15" customHeight="1">
      <c r="A117" s="25" t="s">
        <v>2358</v>
      </c>
      <c r="B117" s="25" t="s">
        <v>2959</v>
      </c>
      <c r="C117" s="26" t="s">
        <v>3464</v>
      </c>
      <c r="D117" s="25">
        <v>3104399375</v>
      </c>
      <c r="E117" s="25" t="s">
        <v>3567</v>
      </c>
      <c r="F117" s="25">
        <v>238</v>
      </c>
      <c r="G117" s="25">
        <v>219</v>
      </c>
      <c r="H117" s="25">
        <v>4483220</v>
      </c>
      <c r="I117" s="25">
        <v>0</v>
      </c>
    </row>
    <row r="118" spans="1:9" ht="15" customHeight="1">
      <c r="A118" s="25" t="s">
        <v>2359</v>
      </c>
      <c r="B118" s="25" t="s">
        <v>2960</v>
      </c>
      <c r="C118" s="26" t="s">
        <v>3464</v>
      </c>
      <c r="D118" s="25">
        <v>3104399375</v>
      </c>
      <c r="E118" s="25" t="s">
        <v>3568</v>
      </c>
      <c r="F118" s="25">
        <v>759</v>
      </c>
      <c r="G118" s="25">
        <v>219</v>
      </c>
      <c r="H118" s="25">
        <v>151435000</v>
      </c>
      <c r="I118" s="25">
        <v>0</v>
      </c>
    </row>
    <row r="119" spans="1:9" ht="15" customHeight="1">
      <c r="A119" s="25" t="s">
        <v>2360</v>
      </c>
      <c r="B119" s="25" t="s">
        <v>2961</v>
      </c>
      <c r="C119" s="26" t="s">
        <v>3464</v>
      </c>
      <c r="D119" s="25">
        <v>3104399375</v>
      </c>
      <c r="E119" s="25" t="s">
        <v>3569</v>
      </c>
      <c r="F119" s="25">
        <v>516</v>
      </c>
      <c r="G119" s="25">
        <v>219</v>
      </c>
      <c r="H119" s="25">
        <v>38370000</v>
      </c>
      <c r="I119" s="25">
        <v>0</v>
      </c>
    </row>
    <row r="120" spans="1:9" ht="15" customHeight="1">
      <c r="A120" s="25" t="s">
        <v>2361</v>
      </c>
      <c r="B120" s="25" t="s">
        <v>2962</v>
      </c>
      <c r="C120" s="26" t="s">
        <v>3464</v>
      </c>
      <c r="D120" s="25">
        <v>3104399375</v>
      </c>
      <c r="E120" s="25" t="s">
        <v>3570</v>
      </c>
      <c r="F120" s="25">
        <v>759</v>
      </c>
      <c r="G120" s="25">
        <v>219</v>
      </c>
      <c r="H120" s="25">
        <v>1920000</v>
      </c>
      <c r="I120" s="25">
        <v>0</v>
      </c>
    </row>
    <row r="121" spans="1:9" ht="15" customHeight="1">
      <c r="A121" s="25" t="s">
        <v>2362</v>
      </c>
      <c r="B121" s="25" t="s">
        <v>2963</v>
      </c>
      <c r="C121" s="26" t="s">
        <v>3464</v>
      </c>
      <c r="D121" s="25">
        <v>3104399375</v>
      </c>
      <c r="E121" s="25" t="s">
        <v>3571</v>
      </c>
      <c r="F121" s="25">
        <v>759</v>
      </c>
      <c r="G121" s="25">
        <v>219</v>
      </c>
      <c r="H121" s="25">
        <v>195000</v>
      </c>
      <c r="I121" s="25">
        <v>0</v>
      </c>
    </row>
    <row r="122" spans="1:9" ht="15" customHeight="1">
      <c r="A122" s="25" t="s">
        <v>2363</v>
      </c>
      <c r="B122" s="25" t="s">
        <v>2964</v>
      </c>
      <c r="C122" s="26" t="s">
        <v>3464</v>
      </c>
      <c r="D122" s="25">
        <v>3104399375</v>
      </c>
      <c r="E122" s="25" t="s">
        <v>3572</v>
      </c>
      <c r="F122" s="25">
        <v>693</v>
      </c>
      <c r="G122" s="25">
        <v>219</v>
      </c>
      <c r="H122" s="25">
        <v>688991000</v>
      </c>
      <c r="I122" s="25">
        <v>0</v>
      </c>
    </row>
    <row r="123" spans="1:9" ht="15" customHeight="1">
      <c r="A123" s="25" t="s">
        <v>2364</v>
      </c>
      <c r="B123" s="25" t="s">
        <v>2965</v>
      </c>
      <c r="C123" s="26" t="s">
        <v>3464</v>
      </c>
      <c r="D123" s="25">
        <v>3104399375</v>
      </c>
      <c r="E123" s="25" t="s">
        <v>3573</v>
      </c>
      <c r="F123" s="25">
        <v>693</v>
      </c>
      <c r="G123" s="25">
        <v>219</v>
      </c>
      <c r="H123" s="25">
        <v>48536000</v>
      </c>
      <c r="I123" s="25">
        <v>0</v>
      </c>
    </row>
    <row r="124" spans="1:9" ht="15" customHeight="1">
      <c r="A124" s="25" t="s">
        <v>2365</v>
      </c>
      <c r="B124" s="25" t="s">
        <v>2966</v>
      </c>
      <c r="C124" s="26" t="s">
        <v>3464</v>
      </c>
      <c r="D124" s="25">
        <v>3104399375</v>
      </c>
      <c r="E124" s="25" t="s">
        <v>3574</v>
      </c>
      <c r="F124" s="25">
        <v>753</v>
      </c>
      <c r="G124" s="25">
        <v>219</v>
      </c>
      <c r="H124" s="25">
        <v>245409850</v>
      </c>
      <c r="I124" s="25">
        <v>0</v>
      </c>
    </row>
    <row r="125" spans="1:9" ht="15" customHeight="1">
      <c r="A125" s="25" t="s">
        <v>2366</v>
      </c>
      <c r="B125" s="25" t="s">
        <v>2967</v>
      </c>
      <c r="C125" s="26" t="s">
        <v>3464</v>
      </c>
      <c r="D125" s="25">
        <v>3104399375</v>
      </c>
      <c r="E125" s="25" t="s">
        <v>3575</v>
      </c>
      <c r="F125" s="25">
        <v>238</v>
      </c>
      <c r="G125" s="25">
        <v>219</v>
      </c>
      <c r="H125" s="25">
        <v>37750644</v>
      </c>
      <c r="I125" s="25">
        <v>0</v>
      </c>
    </row>
    <row r="126" spans="1:9" ht="15" customHeight="1">
      <c r="A126" s="25" t="s">
        <v>2367</v>
      </c>
      <c r="B126" s="25" t="s">
        <v>2968</v>
      </c>
      <c r="C126" s="26" t="s">
        <v>3464</v>
      </c>
      <c r="D126" s="25">
        <v>3104399375</v>
      </c>
      <c r="E126" s="25" t="s">
        <v>3576</v>
      </c>
      <c r="F126" s="25">
        <v>763</v>
      </c>
      <c r="G126" s="25">
        <v>219</v>
      </c>
      <c r="H126" s="25">
        <v>54639100</v>
      </c>
      <c r="I126" s="25">
        <v>0</v>
      </c>
    </row>
    <row r="127" spans="1:9" ht="15" customHeight="1">
      <c r="A127" s="25" t="s">
        <v>2368</v>
      </c>
      <c r="B127" s="25" t="s">
        <v>2969</v>
      </c>
      <c r="C127" s="26" t="s">
        <v>3464</v>
      </c>
      <c r="D127" s="25">
        <v>3104399375</v>
      </c>
      <c r="E127" s="25" t="s">
        <v>3577</v>
      </c>
      <c r="F127" s="25">
        <v>759</v>
      </c>
      <c r="G127" s="25">
        <v>219</v>
      </c>
      <c r="H127" s="25">
        <v>113150000</v>
      </c>
      <c r="I127" s="25">
        <v>0</v>
      </c>
    </row>
    <row r="128" spans="1:9" ht="15" customHeight="1">
      <c r="A128" s="25" t="s">
        <v>2369</v>
      </c>
      <c r="B128" s="25" t="s">
        <v>2970</v>
      </c>
      <c r="C128" s="26" t="s">
        <v>3464</v>
      </c>
      <c r="D128" s="25">
        <v>3104399375</v>
      </c>
      <c r="E128" s="25" t="s">
        <v>3578</v>
      </c>
      <c r="F128" s="27" t="s">
        <v>4059</v>
      </c>
      <c r="G128" s="25">
        <v>219</v>
      </c>
      <c r="H128" s="25">
        <v>68850910</v>
      </c>
      <c r="I128" s="25">
        <v>0</v>
      </c>
    </row>
    <row r="129" spans="1:9" ht="15" customHeight="1">
      <c r="A129" s="25" t="s">
        <v>2370</v>
      </c>
      <c r="B129" s="25" t="s">
        <v>2971</v>
      </c>
      <c r="C129" s="26" t="s">
        <v>3464</v>
      </c>
      <c r="D129" s="25">
        <v>3104399375</v>
      </c>
      <c r="E129" s="25" t="s">
        <v>3579</v>
      </c>
      <c r="F129" s="27" t="s">
        <v>4059</v>
      </c>
      <c r="G129" s="25">
        <v>219</v>
      </c>
      <c r="H129" s="25">
        <v>212321345</v>
      </c>
      <c r="I129" s="25">
        <v>0</v>
      </c>
    </row>
    <row r="130" spans="1:9" ht="15" customHeight="1">
      <c r="A130" s="25" t="s">
        <v>2371</v>
      </c>
      <c r="B130" s="25" t="s">
        <v>2972</v>
      </c>
      <c r="C130" s="26" t="s">
        <v>3464</v>
      </c>
      <c r="D130" s="25">
        <v>3104399375</v>
      </c>
      <c r="E130" s="25" t="s">
        <v>3580</v>
      </c>
      <c r="F130" s="25">
        <v>238</v>
      </c>
      <c r="G130" s="25">
        <v>219</v>
      </c>
      <c r="H130" s="25">
        <v>1555840</v>
      </c>
      <c r="I130" s="25">
        <v>0</v>
      </c>
    </row>
    <row r="131" spans="1:9" ht="15" customHeight="1">
      <c r="A131" s="25" t="s">
        <v>2372</v>
      </c>
      <c r="B131" s="25" t="s">
        <v>2973</v>
      </c>
      <c r="C131" s="26" t="s">
        <v>3464</v>
      </c>
      <c r="D131" s="25">
        <v>3104399375</v>
      </c>
      <c r="E131" s="25" t="s">
        <v>3581</v>
      </c>
      <c r="F131" s="25">
        <v>238</v>
      </c>
      <c r="G131" s="25">
        <v>219</v>
      </c>
      <c r="H131" s="25">
        <v>124537940</v>
      </c>
      <c r="I131" s="25">
        <v>0</v>
      </c>
    </row>
    <row r="132" spans="1:9" ht="15" customHeight="1">
      <c r="A132" s="25" t="s">
        <v>2373</v>
      </c>
      <c r="B132" s="25" t="s">
        <v>2974</v>
      </c>
      <c r="C132" s="26" t="s">
        <v>3464</v>
      </c>
      <c r="D132" s="25">
        <v>3104399375</v>
      </c>
      <c r="E132" s="25" t="s">
        <v>3582</v>
      </c>
      <c r="F132" s="25">
        <v>615</v>
      </c>
      <c r="G132" s="25">
        <v>219</v>
      </c>
      <c r="H132" s="25">
        <v>2488577175</v>
      </c>
      <c r="I132" s="25">
        <v>0</v>
      </c>
    </row>
    <row r="133" spans="1:9" ht="15" customHeight="1">
      <c r="A133" s="25" t="s">
        <v>2374</v>
      </c>
      <c r="B133" s="25" t="s">
        <v>2975</v>
      </c>
      <c r="C133" s="26" t="s">
        <v>3464</v>
      </c>
      <c r="D133" s="25">
        <v>3104399375</v>
      </c>
      <c r="E133" s="25" t="s">
        <v>3583</v>
      </c>
      <c r="F133" s="25">
        <v>167</v>
      </c>
      <c r="G133" s="25">
        <v>219</v>
      </c>
      <c r="H133" s="25">
        <v>700210621</v>
      </c>
      <c r="I133" s="25">
        <v>0</v>
      </c>
    </row>
    <row r="134" spans="1:9" ht="15" customHeight="1">
      <c r="A134" s="25" t="s">
        <v>2375</v>
      </c>
      <c r="B134" s="25" t="s">
        <v>2976</v>
      </c>
      <c r="C134" s="26" t="s">
        <v>3464</v>
      </c>
      <c r="D134" s="25">
        <v>3104399375</v>
      </c>
      <c r="E134" s="25" t="s">
        <v>3584</v>
      </c>
      <c r="F134" s="27" t="s">
        <v>4059</v>
      </c>
      <c r="G134" s="25">
        <v>219</v>
      </c>
      <c r="H134" s="25">
        <v>1380187243</v>
      </c>
      <c r="I134" s="25">
        <v>0</v>
      </c>
    </row>
    <row r="135" spans="1:9" ht="15" customHeight="1">
      <c r="A135" s="25" t="s">
        <v>2376</v>
      </c>
      <c r="B135" s="25" t="s">
        <v>2977</v>
      </c>
      <c r="C135" s="26" t="s">
        <v>3464</v>
      </c>
      <c r="D135" s="25">
        <v>3104399375</v>
      </c>
      <c r="E135" s="25" t="s">
        <v>3585</v>
      </c>
      <c r="F135" s="27" t="s">
        <v>4059</v>
      </c>
      <c r="G135" s="25">
        <v>219</v>
      </c>
      <c r="H135" s="25">
        <v>102520000</v>
      </c>
      <c r="I135" s="25">
        <v>0</v>
      </c>
    </row>
    <row r="136" spans="1:9" ht="15" customHeight="1">
      <c r="A136" s="25" t="s">
        <v>2377</v>
      </c>
      <c r="B136" s="25" t="s">
        <v>2978</v>
      </c>
      <c r="C136" s="26" t="s">
        <v>3464</v>
      </c>
      <c r="D136" s="25">
        <v>3104399375</v>
      </c>
      <c r="E136" s="25" t="s">
        <v>3586</v>
      </c>
      <c r="F136" s="25">
        <v>238</v>
      </c>
      <c r="G136" s="25">
        <v>219</v>
      </c>
      <c r="H136" s="25">
        <v>91770000</v>
      </c>
      <c r="I136" s="25">
        <v>0</v>
      </c>
    </row>
    <row r="137" spans="1:9" ht="15" customHeight="1">
      <c r="A137" s="25" t="s">
        <v>2378</v>
      </c>
      <c r="B137" s="25" t="s">
        <v>2979</v>
      </c>
      <c r="C137" s="26" t="s">
        <v>3464</v>
      </c>
      <c r="D137" s="25">
        <v>3104399375</v>
      </c>
      <c r="E137" s="25" t="s">
        <v>3587</v>
      </c>
      <c r="F137" s="27" t="s">
        <v>4059</v>
      </c>
      <c r="G137" s="25">
        <v>219</v>
      </c>
      <c r="H137" s="25">
        <v>5070000</v>
      </c>
      <c r="I137" s="25">
        <v>0</v>
      </c>
    </row>
    <row r="138" spans="1:9" ht="15" customHeight="1">
      <c r="A138" s="25" t="s">
        <v>2379</v>
      </c>
      <c r="B138" s="25" t="s">
        <v>2980</v>
      </c>
      <c r="C138" s="26" t="s">
        <v>3464</v>
      </c>
      <c r="D138" s="25">
        <v>3104399375</v>
      </c>
      <c r="E138" s="25" t="s">
        <v>3588</v>
      </c>
      <c r="F138" s="25">
        <v>759</v>
      </c>
      <c r="G138" s="25">
        <v>219</v>
      </c>
      <c r="H138" s="25">
        <v>21034544</v>
      </c>
      <c r="I138" s="25">
        <v>0</v>
      </c>
    </row>
    <row r="139" spans="1:9" ht="15" customHeight="1">
      <c r="A139" s="25" t="s">
        <v>2380</v>
      </c>
      <c r="B139" s="25" t="s">
        <v>2981</v>
      </c>
      <c r="C139" s="26" t="s">
        <v>3464</v>
      </c>
      <c r="D139" s="25">
        <v>3104399375</v>
      </c>
      <c r="E139" s="25" t="s">
        <v>3589</v>
      </c>
      <c r="F139" s="27" t="s">
        <v>4059</v>
      </c>
      <c r="G139" s="25">
        <v>219</v>
      </c>
      <c r="H139" s="25">
        <v>39170674</v>
      </c>
      <c r="I139" s="25">
        <v>0</v>
      </c>
    </row>
    <row r="140" spans="1:9" ht="15" customHeight="1">
      <c r="A140" s="25" t="s">
        <v>2381</v>
      </c>
      <c r="B140" s="25" t="s">
        <v>2982</v>
      </c>
      <c r="C140" s="26" t="s">
        <v>3464</v>
      </c>
      <c r="D140" s="25">
        <v>3104399375</v>
      </c>
      <c r="E140" s="25" t="s">
        <v>3590</v>
      </c>
      <c r="F140" s="25">
        <v>759</v>
      </c>
      <c r="G140" s="25">
        <v>219</v>
      </c>
      <c r="H140" s="25">
        <v>39885600</v>
      </c>
      <c r="I140" s="25">
        <v>0</v>
      </c>
    </row>
    <row r="141" spans="1:9" ht="15" customHeight="1">
      <c r="A141" s="25" t="s">
        <v>2382</v>
      </c>
      <c r="B141" s="25" t="s">
        <v>2983</v>
      </c>
      <c r="C141" s="26" t="s">
        <v>3464</v>
      </c>
      <c r="D141" s="25">
        <v>3104399375</v>
      </c>
      <c r="E141" s="25" t="s">
        <v>3591</v>
      </c>
      <c r="F141" s="25">
        <v>759</v>
      </c>
      <c r="G141" s="25">
        <v>219</v>
      </c>
      <c r="H141" s="25">
        <v>163923938</v>
      </c>
      <c r="I141" s="25">
        <v>0</v>
      </c>
    </row>
    <row r="142" spans="1:9" ht="15" customHeight="1">
      <c r="A142" s="25" t="s">
        <v>2383</v>
      </c>
      <c r="B142" s="25" t="s">
        <v>2984</v>
      </c>
      <c r="C142" s="26" t="s">
        <v>3464</v>
      </c>
      <c r="D142" s="25">
        <v>3104399375</v>
      </c>
      <c r="E142" s="25" t="s">
        <v>3592</v>
      </c>
      <c r="F142" s="25">
        <v>759</v>
      </c>
      <c r="G142" s="25">
        <v>219</v>
      </c>
      <c r="H142" s="25">
        <v>38090000</v>
      </c>
      <c r="I142" s="25">
        <v>0</v>
      </c>
    </row>
    <row r="143" spans="1:9" ht="15" customHeight="1">
      <c r="A143" s="25" t="s">
        <v>2384</v>
      </c>
      <c r="B143" s="25" t="s">
        <v>2985</v>
      </c>
      <c r="C143" s="26" t="s">
        <v>3464</v>
      </c>
      <c r="D143" s="25">
        <v>3104399375</v>
      </c>
      <c r="E143" s="25" t="s">
        <v>3593</v>
      </c>
      <c r="F143" s="25">
        <v>759</v>
      </c>
      <c r="G143" s="25">
        <v>219</v>
      </c>
      <c r="H143" s="25">
        <v>3179999</v>
      </c>
      <c r="I143" s="25">
        <v>0</v>
      </c>
    </row>
    <row r="144" spans="1:9" ht="15" customHeight="1">
      <c r="A144" s="25" t="s">
        <v>2385</v>
      </c>
      <c r="B144" s="25" t="s">
        <v>2986</v>
      </c>
      <c r="C144" s="26" t="s">
        <v>3464</v>
      </c>
      <c r="D144" s="25">
        <v>3104399375</v>
      </c>
      <c r="E144" s="25" t="s">
        <v>3594</v>
      </c>
      <c r="F144" s="25">
        <v>238</v>
      </c>
      <c r="G144" s="25">
        <v>219</v>
      </c>
      <c r="H144" s="25">
        <v>213950000</v>
      </c>
      <c r="I144" s="25">
        <v>0</v>
      </c>
    </row>
    <row r="145" spans="1:9" ht="15" customHeight="1">
      <c r="A145" s="25" t="s">
        <v>2386</v>
      </c>
      <c r="B145" s="25" t="s">
        <v>2987</v>
      </c>
      <c r="C145" s="26" t="s">
        <v>3464</v>
      </c>
      <c r="D145" s="25">
        <v>3104399375</v>
      </c>
      <c r="E145" s="25" t="s">
        <v>3595</v>
      </c>
      <c r="F145" s="25">
        <v>238</v>
      </c>
      <c r="G145" s="25">
        <v>219</v>
      </c>
      <c r="H145" s="25">
        <v>147596500</v>
      </c>
      <c r="I145" s="25">
        <v>0</v>
      </c>
    </row>
    <row r="146" spans="1:9" ht="15" customHeight="1">
      <c r="A146" s="25" t="s">
        <v>2387</v>
      </c>
      <c r="B146" s="25" t="s">
        <v>2988</v>
      </c>
      <c r="C146" s="26" t="s">
        <v>3464</v>
      </c>
      <c r="D146" s="25">
        <v>3104399375</v>
      </c>
      <c r="E146" s="25" t="s">
        <v>3596</v>
      </c>
      <c r="F146" s="25">
        <v>238</v>
      </c>
      <c r="G146" s="25">
        <v>219</v>
      </c>
      <c r="H146" s="25">
        <v>5670000</v>
      </c>
      <c r="I146" s="25">
        <v>0</v>
      </c>
    </row>
    <row r="147" spans="1:9" ht="15" customHeight="1">
      <c r="A147" s="25" t="s">
        <v>2388</v>
      </c>
      <c r="B147" s="25" t="s">
        <v>2989</v>
      </c>
      <c r="C147" s="26" t="s">
        <v>3464</v>
      </c>
      <c r="D147" s="25">
        <v>3104399375</v>
      </c>
      <c r="E147" s="25" t="s">
        <v>3597</v>
      </c>
      <c r="F147" s="25">
        <v>238</v>
      </c>
      <c r="G147" s="25">
        <v>219</v>
      </c>
      <c r="H147" s="25">
        <v>153140505</v>
      </c>
      <c r="I147" s="25">
        <v>0</v>
      </c>
    </row>
    <row r="148" spans="1:9" ht="15" customHeight="1">
      <c r="A148" s="25" t="s">
        <v>2389</v>
      </c>
      <c r="B148" s="25" t="s">
        <v>2990</v>
      </c>
      <c r="C148" s="26" t="s">
        <v>3464</v>
      </c>
      <c r="D148" s="25">
        <v>3104399375</v>
      </c>
      <c r="E148" s="25" t="s">
        <v>3598</v>
      </c>
      <c r="F148" s="25">
        <v>238</v>
      </c>
      <c r="G148" s="25">
        <v>219</v>
      </c>
      <c r="H148" s="25">
        <v>265875516</v>
      </c>
      <c r="I148" s="25">
        <v>0</v>
      </c>
    </row>
    <row r="149" spans="1:9" ht="15" customHeight="1">
      <c r="A149" s="25" t="s">
        <v>2390</v>
      </c>
      <c r="B149" s="25" t="s">
        <v>2991</v>
      </c>
      <c r="C149" s="26" t="s">
        <v>3464</v>
      </c>
      <c r="D149" s="25">
        <v>3104399375</v>
      </c>
      <c r="E149" s="25" t="s">
        <v>3599</v>
      </c>
      <c r="F149" s="25">
        <v>238</v>
      </c>
      <c r="G149" s="25">
        <v>219</v>
      </c>
      <c r="H149" s="25">
        <v>4905000</v>
      </c>
      <c r="I149" s="25">
        <v>0</v>
      </c>
    </row>
    <row r="150" spans="1:9" ht="15" customHeight="1">
      <c r="A150" s="25" t="s">
        <v>2391</v>
      </c>
      <c r="B150" s="25" t="s">
        <v>2992</v>
      </c>
      <c r="C150" s="26" t="s">
        <v>3464</v>
      </c>
      <c r="D150" s="25">
        <v>3104399375</v>
      </c>
      <c r="E150" s="25" t="s">
        <v>3600</v>
      </c>
      <c r="F150" s="25">
        <v>238</v>
      </c>
      <c r="G150" s="25">
        <v>219</v>
      </c>
      <c r="H150" s="25">
        <v>458098</v>
      </c>
      <c r="I150" s="25">
        <v>0</v>
      </c>
    </row>
    <row r="151" spans="1:9" ht="15" customHeight="1">
      <c r="A151" s="25" t="s">
        <v>2392</v>
      </c>
      <c r="B151" s="25" t="s">
        <v>2993</v>
      </c>
      <c r="C151" s="26" t="s">
        <v>3464</v>
      </c>
      <c r="D151" s="25">
        <v>3104399375</v>
      </c>
      <c r="E151" s="25" t="s">
        <v>3601</v>
      </c>
      <c r="F151" s="25">
        <v>238</v>
      </c>
      <c r="G151" s="25">
        <v>219</v>
      </c>
      <c r="H151" s="25">
        <v>25815000</v>
      </c>
      <c r="I151" s="25">
        <v>0</v>
      </c>
    </row>
    <row r="152" spans="1:9" ht="15" customHeight="1">
      <c r="A152" s="25" t="s">
        <v>2393</v>
      </c>
      <c r="B152" s="25" t="s">
        <v>2994</v>
      </c>
      <c r="C152" s="26" t="s">
        <v>3464</v>
      </c>
      <c r="D152" s="25">
        <v>3104399375</v>
      </c>
      <c r="E152" s="25" t="s">
        <v>3602</v>
      </c>
      <c r="F152" s="25">
        <v>238</v>
      </c>
      <c r="G152" s="25">
        <v>219</v>
      </c>
      <c r="H152" s="25">
        <v>11019995</v>
      </c>
      <c r="I152" s="25">
        <v>0</v>
      </c>
    </row>
    <row r="153" spans="1:9" ht="15" customHeight="1">
      <c r="A153" s="25" t="s">
        <v>2394</v>
      </c>
      <c r="B153" s="25" t="s">
        <v>2995</v>
      </c>
      <c r="C153" s="26" t="s">
        <v>3464</v>
      </c>
      <c r="D153" s="25">
        <v>3104399375</v>
      </c>
      <c r="E153" s="25" t="s">
        <v>3603</v>
      </c>
      <c r="F153" s="25">
        <v>238</v>
      </c>
      <c r="G153" s="25">
        <v>219</v>
      </c>
      <c r="H153" s="25">
        <v>2037497</v>
      </c>
      <c r="I153" s="25">
        <v>0</v>
      </c>
    </row>
    <row r="154" spans="1:9" ht="15" customHeight="1">
      <c r="A154" s="25" t="s">
        <v>2395</v>
      </c>
      <c r="B154" s="25" t="s">
        <v>2996</v>
      </c>
      <c r="C154" s="26" t="s">
        <v>3464</v>
      </c>
      <c r="D154" s="25">
        <v>3104399375</v>
      </c>
      <c r="E154" s="25" t="s">
        <v>3604</v>
      </c>
      <c r="F154" s="25">
        <v>238</v>
      </c>
      <c r="G154" s="25">
        <v>219</v>
      </c>
      <c r="H154" s="25">
        <v>1700600</v>
      </c>
      <c r="I154" s="25">
        <v>0</v>
      </c>
    </row>
    <row r="155" spans="1:9" ht="15" customHeight="1">
      <c r="A155" s="25" t="s">
        <v>2396</v>
      </c>
      <c r="B155" s="25" t="s">
        <v>2997</v>
      </c>
      <c r="C155" s="26" t="s">
        <v>3464</v>
      </c>
      <c r="D155" s="25">
        <v>3104399375</v>
      </c>
      <c r="E155" s="25" t="s">
        <v>3605</v>
      </c>
      <c r="F155" s="25">
        <v>759</v>
      </c>
      <c r="G155" s="25">
        <v>219</v>
      </c>
      <c r="H155" s="25">
        <v>2470000</v>
      </c>
      <c r="I155" s="25">
        <v>0</v>
      </c>
    </row>
    <row r="156" spans="1:9" ht="15" customHeight="1">
      <c r="A156" s="25" t="s">
        <v>2397</v>
      </c>
      <c r="B156" s="25" t="s">
        <v>2998</v>
      </c>
      <c r="C156" s="26" t="s">
        <v>3464</v>
      </c>
      <c r="D156" s="25">
        <v>3104399375</v>
      </c>
      <c r="E156" s="25" t="s">
        <v>3606</v>
      </c>
      <c r="F156" s="25">
        <v>276</v>
      </c>
      <c r="G156" s="25">
        <v>219</v>
      </c>
      <c r="H156" s="25">
        <v>594999</v>
      </c>
      <c r="I156" s="25">
        <v>0</v>
      </c>
    </row>
    <row r="157" spans="1:9" ht="15" customHeight="1">
      <c r="A157" s="25" t="s">
        <v>2398</v>
      </c>
      <c r="B157" s="25" t="s">
        <v>2999</v>
      </c>
      <c r="C157" s="26" t="s">
        <v>3464</v>
      </c>
      <c r="D157" s="25">
        <v>3104399375</v>
      </c>
      <c r="E157" s="25" t="s">
        <v>3607</v>
      </c>
      <c r="F157" s="25">
        <v>238</v>
      </c>
      <c r="G157" s="25">
        <v>219</v>
      </c>
      <c r="H157" s="25">
        <v>127051100</v>
      </c>
      <c r="I157" s="25">
        <v>0</v>
      </c>
    </row>
    <row r="158" spans="1:9" ht="15" customHeight="1">
      <c r="A158" s="25" t="s">
        <v>2399</v>
      </c>
      <c r="B158" s="25" t="s">
        <v>3000</v>
      </c>
      <c r="C158" s="26" t="s">
        <v>3464</v>
      </c>
      <c r="D158" s="25">
        <v>3104399375</v>
      </c>
      <c r="E158" s="25" t="s">
        <v>3608</v>
      </c>
      <c r="F158" s="25">
        <v>238</v>
      </c>
      <c r="G158" s="25">
        <v>219</v>
      </c>
      <c r="H158" s="25">
        <v>409111450</v>
      </c>
      <c r="I158" s="25">
        <v>0</v>
      </c>
    </row>
    <row r="159" spans="1:9" ht="15" customHeight="1">
      <c r="A159" s="25" t="s">
        <v>2400</v>
      </c>
      <c r="B159" s="25" t="s">
        <v>3001</v>
      </c>
      <c r="C159" s="26" t="s">
        <v>3464</v>
      </c>
      <c r="D159" s="25">
        <v>3104399375</v>
      </c>
      <c r="E159" s="25" t="s">
        <v>3609</v>
      </c>
      <c r="F159" s="25">
        <v>516</v>
      </c>
      <c r="G159" s="25">
        <v>219</v>
      </c>
      <c r="H159" s="25">
        <v>58552520</v>
      </c>
      <c r="I159" s="25">
        <v>0</v>
      </c>
    </row>
    <row r="160" spans="1:9" ht="15" customHeight="1">
      <c r="A160" s="25" t="s">
        <v>2401</v>
      </c>
      <c r="B160" s="25" t="s">
        <v>3002</v>
      </c>
      <c r="C160" s="26" t="s">
        <v>3464</v>
      </c>
      <c r="D160" s="25">
        <v>3104399375</v>
      </c>
      <c r="E160" s="25" t="s">
        <v>3610</v>
      </c>
      <c r="F160" s="25">
        <v>238</v>
      </c>
      <c r="G160" s="25">
        <v>219</v>
      </c>
      <c r="H160" s="25">
        <v>68025000</v>
      </c>
      <c r="I160" s="25">
        <v>0</v>
      </c>
    </row>
    <row r="161" spans="1:9" ht="15" customHeight="1">
      <c r="A161" s="25" t="s">
        <v>2402</v>
      </c>
      <c r="B161" s="25" t="s">
        <v>3003</v>
      </c>
      <c r="C161" s="26" t="s">
        <v>3464</v>
      </c>
      <c r="D161" s="25">
        <v>3104399375</v>
      </c>
      <c r="E161" s="25" t="s">
        <v>3611</v>
      </c>
      <c r="F161" s="25">
        <v>238</v>
      </c>
      <c r="G161" s="25">
        <v>219</v>
      </c>
      <c r="H161" s="25">
        <v>31080000</v>
      </c>
      <c r="I161" s="25">
        <v>0</v>
      </c>
    </row>
    <row r="162" spans="1:9" ht="15" customHeight="1">
      <c r="A162" s="25" t="s">
        <v>2403</v>
      </c>
      <c r="B162" s="25" t="s">
        <v>3004</v>
      </c>
      <c r="C162" s="26" t="s">
        <v>3464</v>
      </c>
      <c r="D162" s="25">
        <v>3104399375</v>
      </c>
      <c r="E162" s="25" t="s">
        <v>3612</v>
      </c>
      <c r="F162" s="25">
        <v>238</v>
      </c>
      <c r="G162" s="25">
        <v>219</v>
      </c>
      <c r="H162" s="25">
        <v>56515000</v>
      </c>
      <c r="I162" s="25">
        <v>0</v>
      </c>
    </row>
    <row r="163" spans="1:9" ht="15" customHeight="1">
      <c r="A163" s="25" t="s">
        <v>2404</v>
      </c>
      <c r="B163" s="25" t="s">
        <v>3005</v>
      </c>
      <c r="C163" s="26" t="s">
        <v>3464</v>
      </c>
      <c r="D163" s="25">
        <v>3104399375</v>
      </c>
      <c r="E163" s="25" t="s">
        <v>3613</v>
      </c>
      <c r="F163" s="25">
        <v>759</v>
      </c>
      <c r="G163" s="25">
        <v>219</v>
      </c>
      <c r="H163" s="25">
        <v>7279997</v>
      </c>
      <c r="I163" s="25">
        <v>0</v>
      </c>
    </row>
    <row r="164" spans="1:9" ht="15" customHeight="1">
      <c r="A164" s="25" t="s">
        <v>2405</v>
      </c>
      <c r="B164" s="25" t="s">
        <v>3006</v>
      </c>
      <c r="C164" s="26" t="s">
        <v>3464</v>
      </c>
      <c r="D164" s="25">
        <v>3104399375</v>
      </c>
      <c r="E164" s="25" t="s">
        <v>3614</v>
      </c>
      <c r="F164" s="25">
        <v>238</v>
      </c>
      <c r="G164" s="25">
        <v>219</v>
      </c>
      <c r="H164" s="25">
        <v>49935967</v>
      </c>
      <c r="I164" s="25">
        <v>0</v>
      </c>
    </row>
    <row r="165" spans="1:9" ht="15" customHeight="1">
      <c r="A165" s="25" t="s">
        <v>2406</v>
      </c>
      <c r="B165" s="25" t="s">
        <v>3007</v>
      </c>
      <c r="C165" s="26" t="s">
        <v>3464</v>
      </c>
      <c r="D165" s="25">
        <v>3104399375</v>
      </c>
      <c r="E165" s="25" t="s">
        <v>3615</v>
      </c>
      <c r="F165" s="25">
        <v>238</v>
      </c>
      <c r="G165" s="25">
        <v>219</v>
      </c>
      <c r="H165" s="25">
        <v>1200000</v>
      </c>
      <c r="I165" s="25">
        <v>0</v>
      </c>
    </row>
    <row r="166" spans="1:9" ht="15" customHeight="1">
      <c r="A166" s="25" t="s">
        <v>2407</v>
      </c>
      <c r="B166" s="25" t="s">
        <v>3008</v>
      </c>
      <c r="C166" s="26" t="s">
        <v>3464</v>
      </c>
      <c r="D166" s="25">
        <v>3104399375</v>
      </c>
      <c r="E166" s="25" t="s">
        <v>3616</v>
      </c>
      <c r="F166" s="25">
        <v>238</v>
      </c>
      <c r="G166" s="25">
        <v>219</v>
      </c>
      <c r="H166" s="25">
        <v>4159600</v>
      </c>
      <c r="I166" s="25">
        <v>0</v>
      </c>
    </row>
    <row r="167" spans="1:9" ht="15" customHeight="1">
      <c r="A167" s="25" t="s">
        <v>2408</v>
      </c>
      <c r="B167" s="25" t="s">
        <v>3009</v>
      </c>
      <c r="C167" s="26" t="s">
        <v>3464</v>
      </c>
      <c r="D167" s="25">
        <v>3104399375</v>
      </c>
      <c r="E167" s="25" t="s">
        <v>3617</v>
      </c>
      <c r="F167" s="25">
        <v>238</v>
      </c>
      <c r="G167" s="25">
        <v>219</v>
      </c>
      <c r="H167" s="25">
        <v>53044000</v>
      </c>
      <c r="I167" s="25">
        <v>0</v>
      </c>
    </row>
    <row r="168" spans="1:9" ht="15" customHeight="1">
      <c r="A168" s="25" t="s">
        <v>2409</v>
      </c>
      <c r="B168" s="25" t="s">
        <v>3010</v>
      </c>
      <c r="C168" s="26" t="s">
        <v>3464</v>
      </c>
      <c r="D168" s="25">
        <v>3104399375</v>
      </c>
      <c r="E168" s="25" t="s">
        <v>3618</v>
      </c>
      <c r="F168" s="25">
        <v>238</v>
      </c>
      <c r="G168" s="25">
        <v>219</v>
      </c>
      <c r="H168" s="25">
        <v>19600200</v>
      </c>
      <c r="I168" s="25">
        <v>0</v>
      </c>
    </row>
    <row r="169" spans="1:9" ht="15" customHeight="1">
      <c r="A169" s="25" t="s">
        <v>2410</v>
      </c>
      <c r="B169" s="25" t="s">
        <v>3011</v>
      </c>
      <c r="C169" s="26" t="s">
        <v>3464</v>
      </c>
      <c r="D169" s="25">
        <v>3104399375</v>
      </c>
      <c r="E169" s="25" t="s">
        <v>3619</v>
      </c>
      <c r="F169" s="25">
        <v>238</v>
      </c>
      <c r="G169" s="25">
        <v>219</v>
      </c>
      <c r="H169" s="25">
        <v>176280</v>
      </c>
      <c r="I169" s="25">
        <v>0</v>
      </c>
    </row>
    <row r="170" spans="1:9" ht="15" customHeight="1">
      <c r="A170" s="25" t="s">
        <v>2411</v>
      </c>
      <c r="B170" s="25" t="s">
        <v>3012</v>
      </c>
      <c r="C170" s="26" t="s">
        <v>3464</v>
      </c>
      <c r="D170" s="25">
        <v>3104399375</v>
      </c>
      <c r="E170" s="25" t="s">
        <v>3620</v>
      </c>
      <c r="F170" s="25">
        <v>599</v>
      </c>
      <c r="G170" s="25">
        <v>219</v>
      </c>
      <c r="H170" s="25">
        <v>280705000</v>
      </c>
      <c r="I170" s="25">
        <v>0</v>
      </c>
    </row>
    <row r="171" spans="1:9" ht="15" customHeight="1">
      <c r="A171" s="25" t="s">
        <v>2412</v>
      </c>
      <c r="B171" s="25" t="s">
        <v>3013</v>
      </c>
      <c r="C171" s="26" t="s">
        <v>3464</v>
      </c>
      <c r="D171" s="25">
        <v>3104399375</v>
      </c>
      <c r="E171" s="25" t="s">
        <v>3621</v>
      </c>
      <c r="F171" s="25">
        <v>759</v>
      </c>
      <c r="G171" s="25">
        <v>219</v>
      </c>
      <c r="H171" s="25">
        <v>316000</v>
      </c>
      <c r="I171" s="25">
        <v>0</v>
      </c>
    </row>
    <row r="172" spans="1:9" ht="15" customHeight="1">
      <c r="A172" s="25" t="s">
        <v>2413</v>
      </c>
      <c r="B172" s="25" t="s">
        <v>3014</v>
      </c>
      <c r="C172" s="26" t="s">
        <v>3464</v>
      </c>
      <c r="D172" s="25">
        <v>3104399375</v>
      </c>
      <c r="E172" s="25" t="s">
        <v>3622</v>
      </c>
      <c r="F172" s="25">
        <v>238</v>
      </c>
      <c r="G172" s="25">
        <v>219</v>
      </c>
      <c r="H172" s="25">
        <v>357764700</v>
      </c>
      <c r="I172" s="25">
        <v>0</v>
      </c>
    </row>
    <row r="173" spans="1:9" ht="15" customHeight="1">
      <c r="A173" s="25" t="s">
        <v>2414</v>
      </c>
      <c r="B173" s="25" t="s">
        <v>3015</v>
      </c>
      <c r="C173" s="26" t="s">
        <v>3464</v>
      </c>
      <c r="D173" s="25">
        <v>3104399375</v>
      </c>
      <c r="E173" s="25" t="s">
        <v>3623</v>
      </c>
      <c r="F173" s="25">
        <v>469</v>
      </c>
      <c r="G173" s="25">
        <v>219</v>
      </c>
      <c r="H173" s="25">
        <v>3315800000</v>
      </c>
      <c r="I173" s="25">
        <v>0</v>
      </c>
    </row>
    <row r="174" spans="1:9" ht="15" customHeight="1">
      <c r="A174" s="25" t="s">
        <v>2415</v>
      </c>
      <c r="B174" s="25" t="s">
        <v>3016</v>
      </c>
      <c r="C174" s="26" t="s">
        <v>3464</v>
      </c>
      <c r="D174" s="25">
        <v>3104399375</v>
      </c>
      <c r="E174" s="25" t="s">
        <v>3624</v>
      </c>
      <c r="F174" s="25">
        <v>759</v>
      </c>
      <c r="G174" s="25">
        <v>219</v>
      </c>
      <c r="H174" s="25">
        <v>249111800</v>
      </c>
      <c r="I174" s="25">
        <v>0</v>
      </c>
    </row>
    <row r="175" spans="1:9" ht="15" customHeight="1">
      <c r="A175" s="25" t="s">
        <v>2416</v>
      </c>
      <c r="B175" s="25" t="s">
        <v>3017</v>
      </c>
      <c r="C175" s="26" t="s">
        <v>3464</v>
      </c>
      <c r="D175" s="25">
        <v>3104399375</v>
      </c>
      <c r="E175" s="25" t="s">
        <v>3625</v>
      </c>
      <c r="F175" s="25">
        <v>693</v>
      </c>
      <c r="G175" s="25">
        <v>219</v>
      </c>
      <c r="H175" s="25">
        <v>2435000</v>
      </c>
      <c r="I175" s="25">
        <v>0</v>
      </c>
    </row>
    <row r="176" spans="1:9" ht="15" customHeight="1">
      <c r="A176" s="25" t="s">
        <v>2417</v>
      </c>
      <c r="B176" s="25" t="s">
        <v>3018</v>
      </c>
      <c r="C176" s="26" t="s">
        <v>3464</v>
      </c>
      <c r="D176" s="25">
        <v>3104399375</v>
      </c>
      <c r="E176" s="25" t="s">
        <v>3626</v>
      </c>
      <c r="F176" s="25">
        <v>693</v>
      </c>
      <c r="G176" s="25">
        <v>219</v>
      </c>
      <c r="H176" s="25">
        <v>2701600</v>
      </c>
      <c r="I176" s="25">
        <v>0</v>
      </c>
    </row>
    <row r="177" spans="1:9" ht="15" customHeight="1">
      <c r="A177" s="25" t="s">
        <v>2418</v>
      </c>
      <c r="B177" s="25" t="s">
        <v>3019</v>
      </c>
      <c r="C177" s="26" t="s">
        <v>3464</v>
      </c>
      <c r="D177" s="25">
        <v>3104399375</v>
      </c>
      <c r="E177" s="25" t="s">
        <v>3569</v>
      </c>
      <c r="F177" s="25">
        <v>516</v>
      </c>
      <c r="G177" s="25">
        <v>219</v>
      </c>
      <c r="H177" s="25">
        <v>23015000</v>
      </c>
      <c r="I177" s="25">
        <v>0</v>
      </c>
    </row>
    <row r="178" spans="1:9" ht="15" customHeight="1">
      <c r="A178" s="25" t="s">
        <v>2419</v>
      </c>
      <c r="B178" s="25" t="s">
        <v>3020</v>
      </c>
      <c r="C178" s="26" t="s">
        <v>3464</v>
      </c>
      <c r="D178" s="25">
        <v>3104399375</v>
      </c>
      <c r="E178" s="25" t="s">
        <v>3627</v>
      </c>
      <c r="F178" s="27" t="s">
        <v>4059</v>
      </c>
      <c r="G178" s="25">
        <v>219</v>
      </c>
      <c r="H178" s="25">
        <v>211878622</v>
      </c>
      <c r="I178" s="25">
        <v>0</v>
      </c>
    </row>
    <row r="179" spans="1:9" ht="15" customHeight="1">
      <c r="A179" s="25" t="s">
        <v>2420</v>
      </c>
      <c r="B179" s="25" t="s">
        <v>3021</v>
      </c>
      <c r="C179" s="26" t="s">
        <v>3464</v>
      </c>
      <c r="D179" s="25">
        <v>3104399375</v>
      </c>
      <c r="E179" s="25" t="s">
        <v>3628</v>
      </c>
      <c r="F179" s="25">
        <v>516</v>
      </c>
      <c r="G179" s="25">
        <v>102</v>
      </c>
      <c r="H179" s="25">
        <v>294295536</v>
      </c>
      <c r="I179" s="25">
        <v>461563</v>
      </c>
    </row>
    <row r="180" spans="1:9" ht="15" customHeight="1">
      <c r="A180" s="25" t="s">
        <v>2421</v>
      </c>
      <c r="B180" s="25" t="s">
        <v>3022</v>
      </c>
      <c r="C180" s="26" t="s">
        <v>3464</v>
      </c>
      <c r="D180" s="25">
        <v>3104399375</v>
      </c>
      <c r="E180" s="25" t="s">
        <v>3629</v>
      </c>
      <c r="F180" s="25">
        <v>759</v>
      </c>
      <c r="G180" s="25">
        <v>219</v>
      </c>
      <c r="H180" s="25">
        <v>2425000</v>
      </c>
      <c r="I180" s="25">
        <v>0</v>
      </c>
    </row>
    <row r="181" spans="1:9" ht="15" customHeight="1">
      <c r="A181" s="25" t="s">
        <v>2422</v>
      </c>
      <c r="B181" s="25" t="s">
        <v>3023</v>
      </c>
      <c r="C181" s="26" t="s">
        <v>3464</v>
      </c>
      <c r="D181" s="25">
        <v>3104399375</v>
      </c>
      <c r="E181" s="25" t="s">
        <v>3630</v>
      </c>
      <c r="F181" s="25">
        <v>238</v>
      </c>
      <c r="G181" s="25">
        <v>219</v>
      </c>
      <c r="H181" s="25">
        <v>18678350</v>
      </c>
      <c r="I181" s="25">
        <v>0</v>
      </c>
    </row>
    <row r="182" spans="1:9" ht="15" customHeight="1">
      <c r="A182" s="25" t="s">
        <v>2423</v>
      </c>
      <c r="B182" s="25" t="s">
        <v>3024</v>
      </c>
      <c r="C182" s="26" t="s">
        <v>3464</v>
      </c>
      <c r="D182" s="25">
        <v>3104399375</v>
      </c>
      <c r="E182" s="25" t="s">
        <v>3631</v>
      </c>
      <c r="F182" s="25">
        <v>238</v>
      </c>
      <c r="G182" s="25">
        <v>219</v>
      </c>
      <c r="H182" s="25">
        <v>346255000</v>
      </c>
      <c r="I182" s="25">
        <v>0</v>
      </c>
    </row>
    <row r="183" spans="1:9" ht="15" customHeight="1">
      <c r="A183" s="25" t="s">
        <v>2424</v>
      </c>
      <c r="B183" s="25" t="s">
        <v>3025</v>
      </c>
      <c r="C183" s="26" t="s">
        <v>3464</v>
      </c>
      <c r="D183" s="25">
        <v>3104399375</v>
      </c>
      <c r="E183" s="25" t="s">
        <v>3632</v>
      </c>
      <c r="F183" s="25">
        <v>238</v>
      </c>
      <c r="G183" s="25">
        <v>219</v>
      </c>
      <c r="H183" s="25">
        <v>4530000</v>
      </c>
      <c r="I183" s="25">
        <v>0</v>
      </c>
    </row>
    <row r="184" spans="1:9" ht="15" customHeight="1">
      <c r="A184" s="25" t="s">
        <v>2425</v>
      </c>
      <c r="B184" s="25" t="s">
        <v>3026</v>
      </c>
      <c r="C184" s="26" t="s">
        <v>3464</v>
      </c>
      <c r="D184" s="25">
        <v>3104399375</v>
      </c>
      <c r="E184" s="25" t="s">
        <v>3633</v>
      </c>
      <c r="F184" s="25">
        <v>759</v>
      </c>
      <c r="G184" s="25">
        <v>219</v>
      </c>
      <c r="H184" s="25">
        <v>1659999</v>
      </c>
      <c r="I184" s="25">
        <v>0</v>
      </c>
    </row>
    <row r="185" spans="1:9" ht="15" customHeight="1">
      <c r="A185" s="25" t="s">
        <v>2426</v>
      </c>
      <c r="B185" s="25" t="s">
        <v>3027</v>
      </c>
      <c r="C185" s="26" t="s">
        <v>3464</v>
      </c>
      <c r="D185" s="25">
        <v>3104399375</v>
      </c>
      <c r="E185" s="25" t="s">
        <v>3634</v>
      </c>
      <c r="F185" s="25">
        <v>759</v>
      </c>
      <c r="G185" s="25">
        <v>219</v>
      </c>
      <c r="H185" s="25">
        <v>1008000</v>
      </c>
      <c r="I185" s="25">
        <v>0</v>
      </c>
    </row>
    <row r="186" spans="1:9" ht="15" customHeight="1">
      <c r="A186" s="25" t="s">
        <v>2427</v>
      </c>
      <c r="B186" s="25" t="s">
        <v>3028</v>
      </c>
      <c r="C186" s="26" t="s">
        <v>3464</v>
      </c>
      <c r="D186" s="25">
        <v>3104399375</v>
      </c>
      <c r="E186" s="25" t="s">
        <v>3635</v>
      </c>
      <c r="F186" s="25">
        <v>759</v>
      </c>
      <c r="G186" s="25">
        <v>219</v>
      </c>
      <c r="H186" s="25">
        <v>2499999</v>
      </c>
      <c r="I186" s="25">
        <v>0</v>
      </c>
    </row>
    <row r="187" spans="1:9" ht="15" customHeight="1">
      <c r="A187" s="25" t="s">
        <v>2428</v>
      </c>
      <c r="B187" s="25" t="s">
        <v>3029</v>
      </c>
      <c r="C187" s="26" t="s">
        <v>3464</v>
      </c>
      <c r="D187" s="25">
        <v>3104399375</v>
      </c>
      <c r="E187" s="25" t="s">
        <v>3636</v>
      </c>
      <c r="F187" s="25">
        <v>47</v>
      </c>
      <c r="G187" s="25">
        <v>219</v>
      </c>
      <c r="H187" s="25">
        <v>254468750</v>
      </c>
      <c r="I187" s="25">
        <v>0</v>
      </c>
    </row>
    <row r="188" spans="1:9" ht="15" customHeight="1">
      <c r="A188" s="25" t="s">
        <v>2429</v>
      </c>
      <c r="B188" s="25" t="s">
        <v>3030</v>
      </c>
      <c r="C188" s="26" t="s">
        <v>3464</v>
      </c>
      <c r="D188" s="25">
        <v>3104399375</v>
      </c>
      <c r="E188" s="25" t="s">
        <v>3525</v>
      </c>
      <c r="F188" s="25">
        <v>759</v>
      </c>
      <c r="G188" s="25">
        <v>219</v>
      </c>
      <c r="H188" s="25">
        <v>122339291</v>
      </c>
      <c r="I188" s="25">
        <v>0</v>
      </c>
    </row>
    <row r="189" spans="1:9" ht="15" customHeight="1">
      <c r="A189" s="25" t="s">
        <v>2430</v>
      </c>
      <c r="B189" s="25" t="s">
        <v>3031</v>
      </c>
      <c r="C189" s="26" t="s">
        <v>3464</v>
      </c>
      <c r="D189" s="25">
        <v>3104399375</v>
      </c>
      <c r="E189" s="25" t="s">
        <v>3637</v>
      </c>
      <c r="F189" s="25">
        <v>759</v>
      </c>
      <c r="G189" s="25">
        <v>219</v>
      </c>
      <c r="H189" s="25">
        <v>5700000</v>
      </c>
      <c r="I189" s="25">
        <v>0</v>
      </c>
    </row>
    <row r="190" spans="1:9" ht="15" customHeight="1">
      <c r="A190" s="25" t="s">
        <v>2431</v>
      </c>
      <c r="B190" s="25" t="s">
        <v>3032</v>
      </c>
      <c r="C190" s="26" t="s">
        <v>3464</v>
      </c>
      <c r="D190" s="25">
        <v>3104399375</v>
      </c>
      <c r="E190" s="25" t="s">
        <v>3638</v>
      </c>
      <c r="F190" s="27" t="s">
        <v>4059</v>
      </c>
      <c r="G190" s="25">
        <v>219</v>
      </c>
      <c r="H190" s="25">
        <v>22695122</v>
      </c>
      <c r="I190" s="25">
        <v>0</v>
      </c>
    </row>
    <row r="191" spans="1:9" ht="15" customHeight="1">
      <c r="A191" s="25" t="s">
        <v>2432</v>
      </c>
      <c r="B191" s="25" t="s">
        <v>3033</v>
      </c>
      <c r="C191" s="26" t="s">
        <v>3464</v>
      </c>
      <c r="D191" s="25">
        <v>3104399375</v>
      </c>
      <c r="E191" s="25" t="s">
        <v>3639</v>
      </c>
      <c r="F191" s="25">
        <v>238</v>
      </c>
      <c r="G191" s="25">
        <v>219</v>
      </c>
      <c r="H191" s="25">
        <v>262524256</v>
      </c>
      <c r="I191" s="25">
        <v>0</v>
      </c>
    </row>
    <row r="192" spans="1:9" ht="15" customHeight="1">
      <c r="A192" s="25" t="s">
        <v>2433</v>
      </c>
      <c r="B192" s="25" t="s">
        <v>3034</v>
      </c>
      <c r="C192" s="26" t="s">
        <v>3464</v>
      </c>
      <c r="D192" s="25">
        <v>3104399375</v>
      </c>
      <c r="E192" s="25" t="s">
        <v>3640</v>
      </c>
      <c r="F192" s="25">
        <v>806</v>
      </c>
      <c r="G192" s="25">
        <v>219</v>
      </c>
      <c r="H192" s="25">
        <v>894400</v>
      </c>
      <c r="I192" s="25">
        <v>0</v>
      </c>
    </row>
    <row r="193" spans="1:9" ht="15" customHeight="1">
      <c r="A193" s="25" t="s">
        <v>2434</v>
      </c>
      <c r="B193" s="25" t="s">
        <v>3035</v>
      </c>
      <c r="C193" s="26" t="s">
        <v>3464</v>
      </c>
      <c r="D193" s="25">
        <v>3104399375</v>
      </c>
      <c r="E193" s="25" t="s">
        <v>3641</v>
      </c>
      <c r="F193" s="25">
        <v>759</v>
      </c>
      <c r="G193" s="25">
        <v>219</v>
      </c>
      <c r="H193" s="25">
        <v>680000</v>
      </c>
      <c r="I193" s="25">
        <v>0</v>
      </c>
    </row>
    <row r="194" spans="1:9" ht="15" customHeight="1">
      <c r="A194" s="25" t="s">
        <v>2435</v>
      </c>
      <c r="B194" s="25" t="s">
        <v>3036</v>
      </c>
      <c r="C194" s="26" t="s">
        <v>3464</v>
      </c>
      <c r="D194" s="25">
        <v>3104399375</v>
      </c>
      <c r="E194" s="25" t="s">
        <v>3642</v>
      </c>
      <c r="F194" s="25">
        <v>806</v>
      </c>
      <c r="G194" s="25">
        <v>219</v>
      </c>
      <c r="H194" s="25">
        <v>7935000</v>
      </c>
      <c r="I194" s="25">
        <v>0</v>
      </c>
    </row>
    <row r="195" spans="1:9" ht="15" customHeight="1">
      <c r="A195" s="25" t="s">
        <v>2436</v>
      </c>
      <c r="B195" s="25" t="s">
        <v>3037</v>
      </c>
      <c r="C195" s="26" t="s">
        <v>3464</v>
      </c>
      <c r="D195" s="25">
        <v>3104399375</v>
      </c>
      <c r="E195" s="25" t="s">
        <v>3643</v>
      </c>
      <c r="F195" s="25">
        <v>899</v>
      </c>
      <c r="G195" s="25">
        <v>219</v>
      </c>
      <c r="H195" s="25">
        <v>192541650</v>
      </c>
      <c r="I195" s="25">
        <v>0</v>
      </c>
    </row>
    <row r="196" spans="1:9" ht="15" customHeight="1">
      <c r="A196" s="25" t="s">
        <v>2437</v>
      </c>
      <c r="B196" s="25" t="s">
        <v>3038</v>
      </c>
      <c r="C196" s="26" t="s">
        <v>3464</v>
      </c>
      <c r="D196" s="25">
        <v>3104399375</v>
      </c>
      <c r="E196" s="25" t="s">
        <v>3644</v>
      </c>
      <c r="F196" s="27" t="s">
        <v>4059</v>
      </c>
      <c r="G196" s="25">
        <v>219</v>
      </c>
      <c r="H196" s="25">
        <v>88231000</v>
      </c>
      <c r="I196" s="25">
        <v>0</v>
      </c>
    </row>
    <row r="197" spans="1:9" ht="15" customHeight="1">
      <c r="A197" s="25" t="s">
        <v>2438</v>
      </c>
      <c r="B197" s="25" t="s">
        <v>3039</v>
      </c>
      <c r="C197" s="26" t="s">
        <v>3464</v>
      </c>
      <c r="D197" s="25">
        <v>3104399375</v>
      </c>
      <c r="E197" s="25" t="s">
        <v>3645</v>
      </c>
      <c r="F197" s="25">
        <v>238</v>
      </c>
      <c r="G197" s="25">
        <v>219</v>
      </c>
      <c r="H197" s="25">
        <v>54712000</v>
      </c>
      <c r="I197" s="25">
        <v>0</v>
      </c>
    </row>
    <row r="198" spans="1:9" ht="15" customHeight="1">
      <c r="A198" s="25" t="s">
        <v>2439</v>
      </c>
      <c r="B198" s="25" t="s">
        <v>3040</v>
      </c>
      <c r="C198" s="26" t="s">
        <v>3464</v>
      </c>
      <c r="D198" s="25">
        <v>3104399375</v>
      </c>
      <c r="E198" s="25" t="s">
        <v>3646</v>
      </c>
      <c r="F198" s="25">
        <v>238</v>
      </c>
      <c r="G198" s="25">
        <v>219</v>
      </c>
      <c r="H198" s="25">
        <v>384258924</v>
      </c>
      <c r="I198" s="25">
        <v>0</v>
      </c>
    </row>
    <row r="199" spans="1:9" ht="15" customHeight="1">
      <c r="A199" s="25" t="s">
        <v>2440</v>
      </c>
      <c r="B199" s="25" t="s">
        <v>3041</v>
      </c>
      <c r="C199" s="26" t="s">
        <v>3464</v>
      </c>
      <c r="D199" s="25">
        <v>3104399375</v>
      </c>
      <c r="E199" s="25" t="s">
        <v>3647</v>
      </c>
      <c r="F199" s="25">
        <v>238</v>
      </c>
      <c r="G199" s="25">
        <v>219</v>
      </c>
      <c r="H199" s="25">
        <v>197105284</v>
      </c>
      <c r="I199" s="25">
        <v>0</v>
      </c>
    </row>
    <row r="200" spans="1:9" ht="15" customHeight="1">
      <c r="A200" s="25" t="s">
        <v>2441</v>
      </c>
      <c r="B200" s="25" t="s">
        <v>3042</v>
      </c>
      <c r="C200" s="26" t="s">
        <v>3464</v>
      </c>
      <c r="D200" s="25">
        <v>3104399375</v>
      </c>
      <c r="E200" s="25" t="s">
        <v>3648</v>
      </c>
      <c r="F200" s="25">
        <v>238</v>
      </c>
      <c r="G200" s="25">
        <v>219</v>
      </c>
      <c r="H200" s="25">
        <v>7910000</v>
      </c>
      <c r="I200" s="25">
        <v>0</v>
      </c>
    </row>
    <row r="201" spans="1:9" ht="15" customHeight="1">
      <c r="A201" s="25" t="s">
        <v>2442</v>
      </c>
      <c r="B201" s="25" t="s">
        <v>3043</v>
      </c>
      <c r="C201" s="26" t="s">
        <v>3464</v>
      </c>
      <c r="D201" s="25">
        <v>3104399375</v>
      </c>
      <c r="E201" s="25" t="s">
        <v>3649</v>
      </c>
      <c r="F201" s="25">
        <v>238</v>
      </c>
      <c r="G201" s="25">
        <v>219</v>
      </c>
      <c r="H201" s="25">
        <v>3629999</v>
      </c>
      <c r="I201" s="25">
        <v>0</v>
      </c>
    </row>
    <row r="202" spans="1:9" ht="15" customHeight="1">
      <c r="A202" s="25" t="s">
        <v>2443</v>
      </c>
      <c r="B202" s="25" t="s">
        <v>3044</v>
      </c>
      <c r="C202" s="26" t="s">
        <v>3464</v>
      </c>
      <c r="D202" s="25">
        <v>3104399375</v>
      </c>
      <c r="E202" s="25" t="s">
        <v>3650</v>
      </c>
      <c r="F202" s="25">
        <v>238</v>
      </c>
      <c r="G202" s="25">
        <v>219</v>
      </c>
      <c r="H202" s="25">
        <v>550000</v>
      </c>
      <c r="I202" s="25">
        <v>0</v>
      </c>
    </row>
    <row r="203" spans="1:9" ht="15" customHeight="1">
      <c r="A203" s="25" t="s">
        <v>2444</v>
      </c>
      <c r="B203" s="25" t="s">
        <v>3045</v>
      </c>
      <c r="C203" s="26" t="s">
        <v>3464</v>
      </c>
      <c r="D203" s="25">
        <v>3104399375</v>
      </c>
      <c r="E203" s="25" t="s">
        <v>3651</v>
      </c>
      <c r="F203" s="25">
        <v>238</v>
      </c>
      <c r="G203" s="25">
        <v>219</v>
      </c>
      <c r="H203" s="25">
        <v>11228212</v>
      </c>
      <c r="I203" s="25">
        <v>0</v>
      </c>
    </row>
    <row r="204" spans="1:9" ht="15" customHeight="1">
      <c r="A204" s="25" t="s">
        <v>2445</v>
      </c>
      <c r="B204" s="25" t="s">
        <v>3046</v>
      </c>
      <c r="C204" s="26" t="s">
        <v>3464</v>
      </c>
      <c r="D204" s="25">
        <v>3104399375</v>
      </c>
      <c r="E204" s="25" t="s">
        <v>3652</v>
      </c>
      <c r="F204" s="25">
        <v>238</v>
      </c>
      <c r="G204" s="25">
        <v>219</v>
      </c>
      <c r="H204" s="25">
        <v>247356300</v>
      </c>
      <c r="I204" s="25">
        <v>0</v>
      </c>
    </row>
    <row r="205" spans="1:9" ht="15" customHeight="1">
      <c r="A205" s="25" t="s">
        <v>2446</v>
      </c>
      <c r="B205" s="25" t="s">
        <v>3047</v>
      </c>
      <c r="C205" s="26" t="s">
        <v>3464</v>
      </c>
      <c r="D205" s="25">
        <v>3104399375</v>
      </c>
      <c r="E205" s="25" t="s">
        <v>3653</v>
      </c>
      <c r="F205" s="27" t="s">
        <v>4059</v>
      </c>
      <c r="G205" s="25">
        <v>219</v>
      </c>
      <c r="H205" s="25">
        <v>133929799</v>
      </c>
      <c r="I205" s="25">
        <v>0</v>
      </c>
    </row>
    <row r="206" spans="1:9" ht="15" customHeight="1">
      <c r="A206" s="25" t="s">
        <v>2447</v>
      </c>
      <c r="B206" s="25" t="s">
        <v>3048</v>
      </c>
      <c r="C206" s="26" t="s">
        <v>3464</v>
      </c>
      <c r="D206" s="25">
        <v>3104399375</v>
      </c>
      <c r="E206" s="25" t="s">
        <v>3654</v>
      </c>
      <c r="F206" s="25">
        <v>238</v>
      </c>
      <c r="G206" s="25">
        <v>219</v>
      </c>
      <c r="H206" s="25">
        <v>1839999</v>
      </c>
      <c r="I206" s="25">
        <v>0</v>
      </c>
    </row>
    <row r="207" spans="1:9" ht="15" customHeight="1">
      <c r="A207" s="25" t="s">
        <v>2448</v>
      </c>
      <c r="B207" s="25" t="s">
        <v>3049</v>
      </c>
      <c r="C207" s="26" t="s">
        <v>3464</v>
      </c>
      <c r="D207" s="25">
        <v>3104399375</v>
      </c>
      <c r="E207" s="25" t="s">
        <v>3655</v>
      </c>
      <c r="F207" s="25">
        <v>806</v>
      </c>
      <c r="G207" s="25">
        <v>219</v>
      </c>
      <c r="H207" s="25">
        <v>5049000</v>
      </c>
      <c r="I207" s="25">
        <v>0</v>
      </c>
    </row>
    <row r="208" spans="1:9" ht="15" customHeight="1">
      <c r="A208" s="25" t="s">
        <v>2449</v>
      </c>
      <c r="B208" s="25" t="s">
        <v>3050</v>
      </c>
      <c r="C208" s="26" t="s">
        <v>3464</v>
      </c>
      <c r="D208" s="25">
        <v>3104399375</v>
      </c>
      <c r="E208" s="25" t="s">
        <v>3656</v>
      </c>
      <c r="F208" s="25">
        <v>238</v>
      </c>
      <c r="G208" s="25">
        <v>219</v>
      </c>
      <c r="H208" s="25">
        <v>4942857</v>
      </c>
      <c r="I208" s="25">
        <v>0</v>
      </c>
    </row>
    <row r="209" spans="1:9" ht="15" customHeight="1">
      <c r="A209" s="25" t="s">
        <v>2450</v>
      </c>
      <c r="B209" s="25" t="s">
        <v>3051</v>
      </c>
      <c r="C209" s="26" t="s">
        <v>3464</v>
      </c>
      <c r="D209" s="25">
        <v>3104399375</v>
      </c>
      <c r="E209" s="25" t="s">
        <v>3657</v>
      </c>
      <c r="F209" s="25">
        <v>238</v>
      </c>
      <c r="G209" s="25">
        <v>219</v>
      </c>
      <c r="H209" s="25">
        <v>2221700</v>
      </c>
      <c r="I209" s="25">
        <v>0</v>
      </c>
    </row>
    <row r="210" spans="1:9" ht="15" customHeight="1">
      <c r="A210" s="25" t="s">
        <v>2451</v>
      </c>
      <c r="B210" s="25" t="s">
        <v>3052</v>
      </c>
      <c r="C210" s="26" t="s">
        <v>3464</v>
      </c>
      <c r="D210" s="25">
        <v>3104399375</v>
      </c>
      <c r="E210" s="25" t="s">
        <v>3658</v>
      </c>
      <c r="F210" s="25">
        <v>238</v>
      </c>
      <c r="G210" s="25">
        <v>219</v>
      </c>
      <c r="H210" s="25">
        <v>3026000</v>
      </c>
      <c r="I210" s="25">
        <v>0</v>
      </c>
    </row>
    <row r="211" spans="1:9" ht="15" customHeight="1">
      <c r="A211" s="25" t="s">
        <v>2452</v>
      </c>
      <c r="B211" s="25" t="s">
        <v>3053</v>
      </c>
      <c r="C211" s="26" t="s">
        <v>3464</v>
      </c>
      <c r="D211" s="25">
        <v>3104399375</v>
      </c>
      <c r="E211" s="25" t="s">
        <v>3659</v>
      </c>
      <c r="F211" s="25">
        <v>494</v>
      </c>
      <c r="G211" s="25">
        <v>219</v>
      </c>
      <c r="H211" s="25">
        <v>4120000</v>
      </c>
      <c r="I211" s="25">
        <v>0</v>
      </c>
    </row>
    <row r="212" spans="1:9" ht="15" customHeight="1">
      <c r="A212" s="25" t="s">
        <v>2453</v>
      </c>
      <c r="B212" s="25" t="s">
        <v>3054</v>
      </c>
      <c r="C212" s="26" t="s">
        <v>3464</v>
      </c>
      <c r="D212" s="25">
        <v>3104399375</v>
      </c>
      <c r="E212" s="25" t="s">
        <v>3660</v>
      </c>
      <c r="F212" s="25">
        <v>162</v>
      </c>
      <c r="G212" s="25">
        <v>219</v>
      </c>
      <c r="H212" s="25">
        <v>31554200</v>
      </c>
      <c r="I212" s="25">
        <v>0</v>
      </c>
    </row>
    <row r="213" spans="1:9" ht="15" customHeight="1">
      <c r="A213" s="25" t="s">
        <v>2454</v>
      </c>
      <c r="B213" s="25" t="s">
        <v>3055</v>
      </c>
      <c r="C213" s="26" t="s">
        <v>3464</v>
      </c>
      <c r="D213" s="25">
        <v>3104399375</v>
      </c>
      <c r="E213" s="25" t="s">
        <v>3661</v>
      </c>
      <c r="F213" s="25">
        <v>806</v>
      </c>
      <c r="G213" s="25">
        <v>219</v>
      </c>
      <c r="H213" s="25">
        <v>1399999</v>
      </c>
      <c r="I213" s="25">
        <v>0</v>
      </c>
    </row>
    <row r="214" spans="1:9" ht="15" customHeight="1">
      <c r="A214" s="25" t="s">
        <v>2455</v>
      </c>
      <c r="B214" s="25" t="s">
        <v>3056</v>
      </c>
      <c r="C214" s="26" t="s">
        <v>3464</v>
      </c>
      <c r="D214" s="25">
        <v>3104399375</v>
      </c>
      <c r="E214" s="25" t="s">
        <v>3662</v>
      </c>
      <c r="F214" s="25">
        <v>861</v>
      </c>
      <c r="G214" s="25">
        <v>219</v>
      </c>
      <c r="H214" s="25">
        <v>3480000</v>
      </c>
      <c r="I214" s="25">
        <v>0</v>
      </c>
    </row>
    <row r="215" spans="1:9" ht="15" customHeight="1">
      <c r="A215" s="25" t="s">
        <v>2456</v>
      </c>
      <c r="B215" s="25" t="s">
        <v>3057</v>
      </c>
      <c r="C215" s="26" t="s">
        <v>3464</v>
      </c>
      <c r="D215" s="25">
        <v>3104399375</v>
      </c>
      <c r="E215" s="25" t="s">
        <v>3663</v>
      </c>
      <c r="F215" s="25">
        <v>759</v>
      </c>
      <c r="G215" s="25">
        <v>219</v>
      </c>
      <c r="H215" s="25">
        <v>62719982</v>
      </c>
      <c r="I215" s="25">
        <v>0</v>
      </c>
    </row>
    <row r="216" spans="1:9" ht="15" customHeight="1">
      <c r="A216" s="25" t="s">
        <v>2457</v>
      </c>
      <c r="B216" s="25" t="s">
        <v>3058</v>
      </c>
      <c r="C216" s="26" t="s">
        <v>3464</v>
      </c>
      <c r="D216" s="25">
        <v>3104399375</v>
      </c>
      <c r="E216" s="25" t="s">
        <v>3664</v>
      </c>
      <c r="F216" s="25">
        <v>759</v>
      </c>
      <c r="G216" s="25">
        <v>219</v>
      </c>
      <c r="H216" s="25">
        <v>21282000</v>
      </c>
      <c r="I216" s="25">
        <v>0</v>
      </c>
    </row>
    <row r="217" spans="1:9" ht="15" customHeight="1">
      <c r="A217" s="25" t="s">
        <v>2458</v>
      </c>
      <c r="B217" s="25" t="s">
        <v>3059</v>
      </c>
      <c r="C217" s="26" t="s">
        <v>3464</v>
      </c>
      <c r="D217" s="25">
        <v>3104399375</v>
      </c>
      <c r="E217" s="25" t="s">
        <v>3665</v>
      </c>
      <c r="F217" s="25">
        <v>806</v>
      </c>
      <c r="G217" s="25">
        <v>219</v>
      </c>
      <c r="H217" s="25">
        <v>137572000</v>
      </c>
      <c r="I217" s="25">
        <v>0</v>
      </c>
    </row>
    <row r="218" spans="1:9" ht="15" customHeight="1">
      <c r="A218" s="25" t="s">
        <v>2459</v>
      </c>
      <c r="B218" s="25" t="s">
        <v>3060</v>
      </c>
      <c r="C218" s="26" t="s">
        <v>3464</v>
      </c>
      <c r="D218" s="25">
        <v>3104399375</v>
      </c>
      <c r="E218" s="25" t="s">
        <v>3666</v>
      </c>
      <c r="F218" s="25">
        <v>759</v>
      </c>
      <c r="G218" s="25">
        <v>219</v>
      </c>
      <c r="H218" s="25">
        <v>3000000</v>
      </c>
      <c r="I218" s="25">
        <v>0</v>
      </c>
    </row>
    <row r="219" spans="1:9" ht="15" customHeight="1">
      <c r="A219" s="25" t="s">
        <v>2460</v>
      </c>
      <c r="B219" s="25" t="s">
        <v>3061</v>
      </c>
      <c r="C219" s="26" t="s">
        <v>3464</v>
      </c>
      <c r="D219" s="25">
        <v>3104399375</v>
      </c>
      <c r="E219" s="25" t="s">
        <v>3667</v>
      </c>
      <c r="F219" s="25">
        <v>759</v>
      </c>
      <c r="G219" s="25">
        <v>219</v>
      </c>
      <c r="H219" s="25">
        <v>2250000</v>
      </c>
      <c r="I219" s="25">
        <v>0</v>
      </c>
    </row>
    <row r="220" spans="1:9" ht="15" customHeight="1">
      <c r="A220" s="25" t="s">
        <v>2461</v>
      </c>
      <c r="B220" s="25" t="s">
        <v>3062</v>
      </c>
      <c r="C220" s="26" t="s">
        <v>3464</v>
      </c>
      <c r="D220" s="25">
        <v>3104399375</v>
      </c>
      <c r="E220" s="25" t="s">
        <v>3668</v>
      </c>
      <c r="F220" s="25">
        <v>491</v>
      </c>
      <c r="G220" s="25">
        <v>219</v>
      </c>
      <c r="H220" s="25">
        <v>139966612</v>
      </c>
      <c r="I220" s="25">
        <v>0</v>
      </c>
    </row>
    <row r="221" spans="1:9" ht="15" customHeight="1">
      <c r="A221" s="25" t="s">
        <v>2462</v>
      </c>
      <c r="B221" s="25" t="s">
        <v>3063</v>
      </c>
      <c r="C221" s="26" t="s">
        <v>3464</v>
      </c>
      <c r="D221" s="25">
        <v>3104399375</v>
      </c>
      <c r="E221" s="25" t="s">
        <v>3669</v>
      </c>
      <c r="F221" s="25">
        <v>516</v>
      </c>
      <c r="G221" s="25">
        <v>219</v>
      </c>
      <c r="H221" s="25">
        <v>780000</v>
      </c>
      <c r="I221" s="25">
        <v>0</v>
      </c>
    </row>
    <row r="222" spans="1:9" ht="15" customHeight="1">
      <c r="A222" s="25" t="s">
        <v>2463</v>
      </c>
      <c r="B222" s="25" t="s">
        <v>3064</v>
      </c>
      <c r="C222" s="26" t="s">
        <v>3464</v>
      </c>
      <c r="D222" s="25">
        <v>3104399375</v>
      </c>
      <c r="E222" s="25" t="s">
        <v>3670</v>
      </c>
      <c r="F222" s="27" t="s">
        <v>4059</v>
      </c>
      <c r="G222" s="25">
        <v>219</v>
      </c>
      <c r="H222" s="25">
        <v>12863050</v>
      </c>
      <c r="I222" s="25">
        <v>0</v>
      </c>
    </row>
    <row r="223" spans="1:9" ht="15" customHeight="1">
      <c r="A223" s="25" t="s">
        <v>2464</v>
      </c>
      <c r="B223" s="25" t="s">
        <v>3065</v>
      </c>
      <c r="C223" s="26" t="s">
        <v>3464</v>
      </c>
      <c r="D223" s="25">
        <v>3104399375</v>
      </c>
      <c r="E223" s="25" t="s">
        <v>3671</v>
      </c>
      <c r="F223" s="25">
        <v>759</v>
      </c>
      <c r="G223" s="25">
        <v>219</v>
      </c>
      <c r="H223" s="25">
        <v>182187000</v>
      </c>
      <c r="I223" s="25">
        <v>0</v>
      </c>
    </row>
    <row r="224" spans="1:9" ht="15" customHeight="1">
      <c r="A224" s="25" t="s">
        <v>2465</v>
      </c>
      <c r="B224" s="25" t="s">
        <v>3066</v>
      </c>
      <c r="C224" s="26" t="s">
        <v>3464</v>
      </c>
      <c r="D224" s="25">
        <v>3104399375</v>
      </c>
      <c r="E224" s="25" t="s">
        <v>3672</v>
      </c>
      <c r="F224" s="25">
        <v>899</v>
      </c>
      <c r="G224" s="25">
        <v>219</v>
      </c>
      <c r="H224" s="25">
        <v>27430215</v>
      </c>
      <c r="I224" s="25">
        <v>0</v>
      </c>
    </row>
    <row r="225" spans="1:9" ht="15" customHeight="1">
      <c r="A225" s="25" t="s">
        <v>2466</v>
      </c>
      <c r="B225" s="25" t="s">
        <v>3067</v>
      </c>
      <c r="C225" s="26" t="s">
        <v>3464</v>
      </c>
      <c r="D225" s="25">
        <v>3104399375</v>
      </c>
      <c r="E225" s="25" t="s">
        <v>3673</v>
      </c>
      <c r="F225" s="27" t="s">
        <v>4059</v>
      </c>
      <c r="G225" s="25">
        <v>219</v>
      </c>
      <c r="H225" s="25">
        <v>4808118523</v>
      </c>
      <c r="I225" s="25">
        <v>0</v>
      </c>
    </row>
    <row r="226" spans="1:9" ht="15" customHeight="1">
      <c r="A226" s="25" t="s">
        <v>2467</v>
      </c>
      <c r="B226" s="25" t="s">
        <v>3068</v>
      </c>
      <c r="C226" s="26" t="s">
        <v>3464</v>
      </c>
      <c r="D226" s="25">
        <v>3104399375</v>
      </c>
      <c r="E226" s="25" t="s">
        <v>3674</v>
      </c>
      <c r="F226" s="27" t="s">
        <v>4059</v>
      </c>
      <c r="G226" s="25">
        <v>219</v>
      </c>
      <c r="H226" s="25">
        <v>889798169</v>
      </c>
      <c r="I226" s="25">
        <v>0</v>
      </c>
    </row>
    <row r="227" spans="1:9" ht="15" customHeight="1">
      <c r="A227" s="25" t="s">
        <v>2468</v>
      </c>
      <c r="B227" s="25" t="s">
        <v>3069</v>
      </c>
      <c r="C227" s="26" t="s">
        <v>3464</v>
      </c>
      <c r="D227" s="25">
        <v>3104399375</v>
      </c>
      <c r="E227" s="25" t="s">
        <v>3675</v>
      </c>
      <c r="F227" s="27" t="s">
        <v>4059</v>
      </c>
      <c r="G227" s="25">
        <v>219</v>
      </c>
      <c r="H227" s="25">
        <v>163977001</v>
      </c>
      <c r="I227" s="25">
        <v>0</v>
      </c>
    </row>
    <row r="228" spans="1:9" ht="15" customHeight="1">
      <c r="A228" s="25" t="s">
        <v>2469</v>
      </c>
      <c r="B228" s="25" t="s">
        <v>3070</v>
      </c>
      <c r="C228" s="26" t="s">
        <v>3464</v>
      </c>
      <c r="D228" s="25">
        <v>3104399375</v>
      </c>
      <c r="E228" s="25" t="s">
        <v>3676</v>
      </c>
      <c r="F228" s="27" t="s">
        <v>4059</v>
      </c>
      <c r="G228" s="25">
        <v>219</v>
      </c>
      <c r="H228" s="25">
        <v>1366400</v>
      </c>
      <c r="I228" s="25">
        <v>0</v>
      </c>
    </row>
    <row r="229" spans="1:9" ht="15" customHeight="1">
      <c r="A229" s="25" t="s">
        <v>2470</v>
      </c>
      <c r="B229" s="25" t="s">
        <v>3071</v>
      </c>
      <c r="C229" s="26" t="s">
        <v>3464</v>
      </c>
      <c r="D229" s="25">
        <v>3104399375</v>
      </c>
      <c r="E229" s="25" t="s">
        <v>3677</v>
      </c>
      <c r="F229" s="25">
        <v>892</v>
      </c>
      <c r="G229" s="25">
        <v>219</v>
      </c>
      <c r="H229" s="25">
        <v>160872491</v>
      </c>
      <c r="I229" s="25">
        <v>0</v>
      </c>
    </row>
    <row r="230" spans="1:9" ht="15" customHeight="1">
      <c r="A230" s="25" t="s">
        <v>2471</v>
      </c>
      <c r="B230" s="25" t="s">
        <v>3072</v>
      </c>
      <c r="C230" s="26" t="s">
        <v>3464</v>
      </c>
      <c r="D230" s="25">
        <v>3104399375</v>
      </c>
      <c r="E230" s="25" t="s">
        <v>3678</v>
      </c>
      <c r="F230" s="27" t="s">
        <v>4059</v>
      </c>
      <c r="G230" s="25">
        <v>219</v>
      </c>
      <c r="H230" s="25">
        <v>77963173</v>
      </c>
      <c r="I230" s="25">
        <v>0</v>
      </c>
    </row>
    <row r="231" spans="1:9" ht="15" customHeight="1">
      <c r="A231" s="25" t="s">
        <v>2472</v>
      </c>
      <c r="B231" s="25" t="s">
        <v>3073</v>
      </c>
      <c r="C231" s="26" t="s">
        <v>3464</v>
      </c>
      <c r="D231" s="25">
        <v>3104399375</v>
      </c>
      <c r="E231" s="25" t="s">
        <v>3679</v>
      </c>
      <c r="F231" s="27" t="s">
        <v>4059</v>
      </c>
      <c r="G231" s="25">
        <v>219</v>
      </c>
      <c r="H231" s="25">
        <v>85300146</v>
      </c>
      <c r="I231" s="25">
        <v>0</v>
      </c>
    </row>
    <row r="232" spans="1:9" ht="15" customHeight="1">
      <c r="A232" s="25" t="s">
        <v>2473</v>
      </c>
      <c r="B232" s="25" t="s">
        <v>3074</v>
      </c>
      <c r="C232" s="26" t="s">
        <v>3464</v>
      </c>
      <c r="D232" s="25">
        <v>3104399375</v>
      </c>
      <c r="E232" s="25" t="s">
        <v>3680</v>
      </c>
      <c r="F232" s="27" t="s">
        <v>4059</v>
      </c>
      <c r="G232" s="25">
        <v>219</v>
      </c>
      <c r="H232" s="25">
        <v>219980522</v>
      </c>
      <c r="I232" s="25">
        <v>0</v>
      </c>
    </row>
    <row r="233" spans="1:9" ht="15" customHeight="1">
      <c r="A233" s="25" t="s">
        <v>2474</v>
      </c>
      <c r="B233" s="25" t="s">
        <v>3075</v>
      </c>
      <c r="C233" s="26" t="s">
        <v>3464</v>
      </c>
      <c r="D233" s="25">
        <v>3104399375</v>
      </c>
      <c r="E233" s="25" t="s">
        <v>3681</v>
      </c>
      <c r="F233" s="27" t="s">
        <v>4059</v>
      </c>
      <c r="G233" s="25">
        <v>219</v>
      </c>
      <c r="H233" s="25">
        <v>1743335</v>
      </c>
      <c r="I233" s="25">
        <v>0</v>
      </c>
    </row>
    <row r="234" spans="1:9" ht="15" customHeight="1">
      <c r="A234" s="25" t="s">
        <v>2475</v>
      </c>
      <c r="B234" s="25" t="s">
        <v>3076</v>
      </c>
      <c r="C234" s="26" t="s">
        <v>3464</v>
      </c>
      <c r="D234" s="25">
        <v>3104399375</v>
      </c>
      <c r="E234" s="25" t="s">
        <v>3682</v>
      </c>
      <c r="F234" s="27" t="s">
        <v>4059</v>
      </c>
      <c r="G234" s="25">
        <v>219</v>
      </c>
      <c r="H234" s="25">
        <v>35183011</v>
      </c>
      <c r="I234" s="25">
        <v>0</v>
      </c>
    </row>
    <row r="235" spans="1:9" ht="15" customHeight="1">
      <c r="A235" s="25" t="s">
        <v>2476</v>
      </c>
      <c r="B235" s="25" t="s">
        <v>3077</v>
      </c>
      <c r="C235" s="26" t="s">
        <v>3464</v>
      </c>
      <c r="D235" s="25">
        <v>3104399375</v>
      </c>
      <c r="E235" s="25" t="s">
        <v>3683</v>
      </c>
      <c r="F235" s="27" t="s">
        <v>4059</v>
      </c>
      <c r="G235" s="25">
        <v>219</v>
      </c>
      <c r="H235" s="25">
        <v>174496776</v>
      </c>
      <c r="I235" s="25">
        <v>0</v>
      </c>
    </row>
    <row r="236" spans="1:9" ht="15" customHeight="1">
      <c r="A236" s="25" t="s">
        <v>2477</v>
      </c>
      <c r="B236" s="25" t="s">
        <v>3078</v>
      </c>
      <c r="C236" s="26" t="s">
        <v>3464</v>
      </c>
      <c r="D236" s="25">
        <v>3104399375</v>
      </c>
      <c r="E236" s="25" t="s">
        <v>3684</v>
      </c>
      <c r="F236" s="25">
        <v>214</v>
      </c>
      <c r="G236" s="25">
        <v>219</v>
      </c>
      <c r="H236" s="25">
        <v>110530538</v>
      </c>
      <c r="I236" s="25">
        <v>0</v>
      </c>
    </row>
    <row r="237" spans="1:9" ht="15" customHeight="1">
      <c r="A237" s="25" t="s">
        <v>2478</v>
      </c>
      <c r="B237" s="25" t="s">
        <v>3079</v>
      </c>
      <c r="C237" s="26" t="s">
        <v>3464</v>
      </c>
      <c r="D237" s="25">
        <v>3104399375</v>
      </c>
      <c r="E237" s="25" t="s">
        <v>3685</v>
      </c>
      <c r="F237" s="25">
        <v>758</v>
      </c>
      <c r="G237" s="25">
        <v>219</v>
      </c>
      <c r="H237" s="25">
        <v>328191584</v>
      </c>
      <c r="I237" s="25">
        <v>0</v>
      </c>
    </row>
    <row r="238" spans="1:9" ht="15" customHeight="1">
      <c r="A238" s="25" t="s">
        <v>2479</v>
      </c>
      <c r="B238" s="25" t="s">
        <v>3080</v>
      </c>
      <c r="C238" s="26" t="s">
        <v>3464</v>
      </c>
      <c r="D238" s="25">
        <v>3104399375</v>
      </c>
      <c r="E238" s="25" t="s">
        <v>3686</v>
      </c>
      <c r="F238" s="25">
        <v>214</v>
      </c>
      <c r="G238" s="25">
        <v>219</v>
      </c>
      <c r="H238" s="25">
        <v>342373478</v>
      </c>
      <c r="I238" s="25">
        <v>0</v>
      </c>
    </row>
    <row r="239" spans="1:9" ht="15" customHeight="1">
      <c r="A239" s="25" t="s">
        <v>2480</v>
      </c>
      <c r="B239" s="25" t="s">
        <v>3081</v>
      </c>
      <c r="C239" s="26" t="s">
        <v>3464</v>
      </c>
      <c r="D239" s="25">
        <v>3104399375</v>
      </c>
      <c r="E239" s="25" t="s">
        <v>3687</v>
      </c>
      <c r="F239" s="25">
        <v>572</v>
      </c>
      <c r="G239" s="25">
        <v>219</v>
      </c>
      <c r="H239" s="25">
        <v>105144311</v>
      </c>
      <c r="I239" s="25">
        <v>0</v>
      </c>
    </row>
    <row r="240" spans="1:9" ht="15" customHeight="1">
      <c r="A240" s="25" t="s">
        <v>2481</v>
      </c>
      <c r="B240" s="25" t="s">
        <v>3082</v>
      </c>
      <c r="C240" s="26" t="s">
        <v>3464</v>
      </c>
      <c r="D240" s="25">
        <v>3104399375</v>
      </c>
      <c r="E240" s="25" t="s">
        <v>3688</v>
      </c>
      <c r="F240" s="27" t="s">
        <v>4059</v>
      </c>
      <c r="G240" s="25">
        <v>219</v>
      </c>
      <c r="H240" s="25">
        <v>81193066</v>
      </c>
      <c r="I240" s="25">
        <v>0</v>
      </c>
    </row>
    <row r="241" spans="1:9" ht="15" customHeight="1">
      <c r="A241" s="25" t="s">
        <v>2482</v>
      </c>
      <c r="B241" s="25" t="s">
        <v>3083</v>
      </c>
      <c r="C241" s="26" t="s">
        <v>3464</v>
      </c>
      <c r="D241" s="25">
        <v>3104399375</v>
      </c>
      <c r="E241" s="25" t="s">
        <v>3689</v>
      </c>
      <c r="F241" s="27" t="s">
        <v>4059</v>
      </c>
      <c r="G241" s="25">
        <v>219</v>
      </c>
      <c r="H241" s="25">
        <v>1971500569</v>
      </c>
      <c r="I241" s="25">
        <v>0</v>
      </c>
    </row>
    <row r="242" spans="1:9" ht="15" customHeight="1">
      <c r="A242" s="25" t="s">
        <v>2483</v>
      </c>
      <c r="B242" s="25" t="s">
        <v>3084</v>
      </c>
      <c r="C242" s="26" t="s">
        <v>3464</v>
      </c>
      <c r="D242" s="25">
        <v>3104399375</v>
      </c>
      <c r="E242" s="25" t="s">
        <v>3690</v>
      </c>
      <c r="F242" s="27" t="s">
        <v>4059</v>
      </c>
      <c r="G242" s="25">
        <v>219</v>
      </c>
      <c r="H242" s="25">
        <v>48756877</v>
      </c>
      <c r="I242" s="25">
        <v>0</v>
      </c>
    </row>
    <row r="243" spans="1:9" ht="15" customHeight="1">
      <c r="A243" s="25" t="s">
        <v>2484</v>
      </c>
      <c r="B243" s="25" t="s">
        <v>3085</v>
      </c>
      <c r="C243" s="26" t="s">
        <v>3464</v>
      </c>
      <c r="D243" s="25">
        <v>3104399375</v>
      </c>
      <c r="E243" s="25" t="s">
        <v>3691</v>
      </c>
      <c r="F243" s="27" t="s">
        <v>4059</v>
      </c>
      <c r="G243" s="25">
        <v>219</v>
      </c>
      <c r="H243" s="25">
        <v>31061989</v>
      </c>
      <c r="I243" s="25">
        <v>0</v>
      </c>
    </row>
    <row r="244" spans="1:9" ht="15" customHeight="1">
      <c r="A244" s="25" t="s">
        <v>2485</v>
      </c>
      <c r="B244" s="25" t="s">
        <v>3086</v>
      </c>
      <c r="C244" s="26" t="s">
        <v>3464</v>
      </c>
      <c r="D244" s="25">
        <v>3104399375</v>
      </c>
      <c r="E244" s="25" t="s">
        <v>3692</v>
      </c>
      <c r="F244" s="27" t="s">
        <v>4059</v>
      </c>
      <c r="G244" s="25">
        <v>219</v>
      </c>
      <c r="H244" s="25">
        <v>58571610</v>
      </c>
      <c r="I244" s="25">
        <v>0</v>
      </c>
    </row>
    <row r="245" spans="1:9" ht="15" customHeight="1">
      <c r="A245" s="25" t="s">
        <v>2486</v>
      </c>
      <c r="B245" s="25" t="s">
        <v>3087</v>
      </c>
      <c r="C245" s="26" t="s">
        <v>3464</v>
      </c>
      <c r="D245" s="25">
        <v>3104399375</v>
      </c>
      <c r="E245" s="25" t="s">
        <v>3693</v>
      </c>
      <c r="F245" s="27" t="s">
        <v>4059</v>
      </c>
      <c r="G245" s="25">
        <v>219</v>
      </c>
      <c r="H245" s="25">
        <v>83761512</v>
      </c>
      <c r="I245" s="25">
        <v>0</v>
      </c>
    </row>
    <row r="246" spans="1:9" ht="15" customHeight="1">
      <c r="A246" s="25" t="s">
        <v>2487</v>
      </c>
      <c r="B246" s="25" t="s">
        <v>3088</v>
      </c>
      <c r="C246" s="26" t="s">
        <v>3464</v>
      </c>
      <c r="D246" s="25">
        <v>3104399375</v>
      </c>
      <c r="E246" s="25" t="s">
        <v>3694</v>
      </c>
      <c r="F246" s="27" t="s">
        <v>4059</v>
      </c>
      <c r="G246" s="25">
        <v>219</v>
      </c>
      <c r="H246" s="25">
        <v>1169471122</v>
      </c>
      <c r="I246" s="25">
        <v>0</v>
      </c>
    </row>
    <row r="247" spans="1:9" ht="15" customHeight="1">
      <c r="A247" s="25" t="s">
        <v>2488</v>
      </c>
      <c r="B247" s="25" t="s">
        <v>3089</v>
      </c>
      <c r="C247" s="26" t="s">
        <v>3464</v>
      </c>
      <c r="D247" s="25">
        <v>3104399375</v>
      </c>
      <c r="E247" s="25" t="s">
        <v>3695</v>
      </c>
      <c r="F247" s="27" t="s">
        <v>4059</v>
      </c>
      <c r="G247" s="25">
        <v>219</v>
      </c>
      <c r="H247" s="25">
        <v>4227818035</v>
      </c>
      <c r="I247" s="25">
        <v>0</v>
      </c>
    </row>
    <row r="248" spans="1:9" ht="15" customHeight="1">
      <c r="A248" s="25" t="s">
        <v>2489</v>
      </c>
      <c r="B248" s="25" t="s">
        <v>3090</v>
      </c>
      <c r="C248" s="26" t="s">
        <v>3464</v>
      </c>
      <c r="D248" s="25">
        <v>3104399375</v>
      </c>
      <c r="E248" s="25" t="s">
        <v>3696</v>
      </c>
      <c r="F248" s="27" t="s">
        <v>4059</v>
      </c>
      <c r="G248" s="25">
        <v>219</v>
      </c>
      <c r="H248" s="25">
        <v>204484334</v>
      </c>
      <c r="I248" s="25">
        <v>0</v>
      </c>
    </row>
    <row r="249" spans="1:9" ht="15" customHeight="1">
      <c r="A249" s="25" t="s">
        <v>2490</v>
      </c>
      <c r="B249" s="25" t="s">
        <v>3091</v>
      </c>
      <c r="C249" s="26" t="s">
        <v>3464</v>
      </c>
      <c r="D249" s="25">
        <v>3104399375</v>
      </c>
      <c r="E249" s="25" t="s">
        <v>3697</v>
      </c>
      <c r="F249" s="27" t="s">
        <v>4059</v>
      </c>
      <c r="G249" s="25">
        <v>219</v>
      </c>
      <c r="H249" s="25">
        <v>79496169</v>
      </c>
      <c r="I249" s="25">
        <v>0</v>
      </c>
    </row>
    <row r="250" spans="1:9" ht="15" customHeight="1">
      <c r="A250" s="25" t="s">
        <v>2491</v>
      </c>
      <c r="B250" s="25" t="s">
        <v>3092</v>
      </c>
      <c r="C250" s="26" t="s">
        <v>3464</v>
      </c>
      <c r="D250" s="25">
        <v>3104399375</v>
      </c>
      <c r="E250" s="25" t="s">
        <v>3698</v>
      </c>
      <c r="F250" s="27" t="s">
        <v>4059</v>
      </c>
      <c r="G250" s="25">
        <v>219</v>
      </c>
      <c r="H250" s="25">
        <v>329829745</v>
      </c>
      <c r="I250" s="25">
        <v>0</v>
      </c>
    </row>
    <row r="251" spans="1:9" ht="15" customHeight="1">
      <c r="A251" s="25" t="s">
        <v>2492</v>
      </c>
      <c r="B251" s="25" t="s">
        <v>3093</v>
      </c>
      <c r="C251" s="26" t="s">
        <v>3464</v>
      </c>
      <c r="D251" s="25">
        <v>3104399375</v>
      </c>
      <c r="E251" s="25" t="s">
        <v>3699</v>
      </c>
      <c r="F251" s="27" t="s">
        <v>4059</v>
      </c>
      <c r="G251" s="25">
        <v>219</v>
      </c>
      <c r="H251" s="25">
        <v>34126657</v>
      </c>
      <c r="I251" s="25">
        <v>0</v>
      </c>
    </row>
    <row r="252" spans="1:9" ht="15" customHeight="1">
      <c r="A252" s="25" t="s">
        <v>2493</v>
      </c>
      <c r="B252" s="25" t="s">
        <v>3094</v>
      </c>
      <c r="C252" s="26" t="s">
        <v>3464</v>
      </c>
      <c r="D252" s="25">
        <v>3104399375</v>
      </c>
      <c r="E252" s="25" t="s">
        <v>3700</v>
      </c>
      <c r="F252" s="25">
        <v>360</v>
      </c>
      <c r="G252" s="25">
        <v>219</v>
      </c>
      <c r="H252" s="25">
        <v>348329308</v>
      </c>
      <c r="I252" s="25">
        <v>0</v>
      </c>
    </row>
    <row r="253" spans="1:9" ht="15" customHeight="1">
      <c r="A253" s="25" t="s">
        <v>2494</v>
      </c>
      <c r="B253" s="25" t="s">
        <v>3095</v>
      </c>
      <c r="C253" s="26" t="s">
        <v>3464</v>
      </c>
      <c r="D253" s="25">
        <v>3104399375</v>
      </c>
      <c r="E253" s="25" t="s">
        <v>3701</v>
      </c>
      <c r="F253" s="25">
        <v>698</v>
      </c>
      <c r="G253" s="25">
        <v>219</v>
      </c>
      <c r="H253" s="25">
        <v>901469516</v>
      </c>
      <c r="I253" s="25">
        <v>0</v>
      </c>
    </row>
    <row r="254" spans="1:9" ht="15" customHeight="1">
      <c r="A254" s="25" t="s">
        <v>2495</v>
      </c>
      <c r="B254" s="25" t="s">
        <v>3096</v>
      </c>
      <c r="C254" s="26" t="s">
        <v>3464</v>
      </c>
      <c r="D254" s="25">
        <v>3104399375</v>
      </c>
      <c r="E254" s="25" t="s">
        <v>3702</v>
      </c>
      <c r="F254" s="27" t="s">
        <v>4059</v>
      </c>
      <c r="G254" s="25">
        <v>219</v>
      </c>
      <c r="H254" s="25">
        <v>137032987</v>
      </c>
      <c r="I254" s="25">
        <v>0</v>
      </c>
    </row>
    <row r="255" spans="1:9" ht="15" customHeight="1">
      <c r="A255" s="25" t="s">
        <v>2496</v>
      </c>
      <c r="B255" s="25" t="s">
        <v>3097</v>
      </c>
      <c r="C255" s="26" t="s">
        <v>3464</v>
      </c>
      <c r="D255" s="25">
        <v>3104399375</v>
      </c>
      <c r="E255" s="25" t="s">
        <v>3703</v>
      </c>
      <c r="F255" s="27" t="s">
        <v>4059</v>
      </c>
      <c r="G255" s="25">
        <v>219</v>
      </c>
      <c r="H255" s="25">
        <v>194378640</v>
      </c>
      <c r="I255" s="25">
        <v>0</v>
      </c>
    </row>
    <row r="256" spans="1:9" ht="15" customHeight="1">
      <c r="A256" s="25" t="s">
        <v>2497</v>
      </c>
      <c r="B256" s="25" t="s">
        <v>3098</v>
      </c>
      <c r="C256" s="26" t="s">
        <v>3464</v>
      </c>
      <c r="D256" s="25">
        <v>3104399375</v>
      </c>
      <c r="E256" s="25" t="s">
        <v>3704</v>
      </c>
      <c r="F256" s="25">
        <v>759</v>
      </c>
      <c r="G256" s="25">
        <v>219</v>
      </c>
      <c r="H256" s="25">
        <v>223963313</v>
      </c>
      <c r="I256" s="25">
        <v>0</v>
      </c>
    </row>
    <row r="257" spans="1:9" ht="15" customHeight="1">
      <c r="A257" s="25" t="s">
        <v>2498</v>
      </c>
      <c r="B257" s="25" t="s">
        <v>3099</v>
      </c>
      <c r="C257" s="26" t="s">
        <v>3464</v>
      </c>
      <c r="D257" s="25">
        <v>3104399375</v>
      </c>
      <c r="E257" s="25" t="s">
        <v>3705</v>
      </c>
      <c r="F257" s="25">
        <v>238</v>
      </c>
      <c r="G257" s="25">
        <v>219</v>
      </c>
      <c r="H257" s="25">
        <v>401191310</v>
      </c>
      <c r="I257" s="25">
        <v>0</v>
      </c>
    </row>
    <row r="258" spans="1:9" ht="15" customHeight="1">
      <c r="A258" s="25" t="s">
        <v>2499</v>
      </c>
      <c r="B258" s="25" t="s">
        <v>3100</v>
      </c>
      <c r="C258" s="26" t="s">
        <v>3464</v>
      </c>
      <c r="D258" s="25">
        <v>3104399375</v>
      </c>
      <c r="E258" s="25" t="s">
        <v>3706</v>
      </c>
      <c r="F258" s="25">
        <v>799</v>
      </c>
      <c r="G258" s="25">
        <v>219</v>
      </c>
      <c r="H258" s="25">
        <v>1213731802</v>
      </c>
      <c r="I258" s="25">
        <v>0</v>
      </c>
    </row>
    <row r="259" spans="1:9" ht="15" customHeight="1">
      <c r="A259" s="25" t="s">
        <v>2500</v>
      </c>
      <c r="B259" s="25" t="s">
        <v>3101</v>
      </c>
      <c r="C259" s="26" t="s">
        <v>3464</v>
      </c>
      <c r="D259" s="25">
        <v>3104399375</v>
      </c>
      <c r="E259" s="25" t="s">
        <v>3707</v>
      </c>
      <c r="F259" s="27" t="s">
        <v>4059</v>
      </c>
      <c r="G259" s="25">
        <v>219</v>
      </c>
      <c r="H259" s="25">
        <v>990800401</v>
      </c>
      <c r="I259" s="25">
        <v>0</v>
      </c>
    </row>
    <row r="260" spans="1:9" ht="15" customHeight="1">
      <c r="A260" s="25" t="s">
        <v>2501</v>
      </c>
      <c r="B260" s="25" t="s">
        <v>3102</v>
      </c>
      <c r="C260" s="26" t="s">
        <v>3464</v>
      </c>
      <c r="D260" s="25">
        <v>3104399375</v>
      </c>
      <c r="E260" s="25" t="s">
        <v>3708</v>
      </c>
      <c r="F260" s="27" t="s">
        <v>4059</v>
      </c>
      <c r="G260" s="25">
        <v>219</v>
      </c>
      <c r="H260" s="25">
        <v>964150566</v>
      </c>
      <c r="I260" s="25">
        <v>0</v>
      </c>
    </row>
    <row r="261" spans="1:9" ht="15" customHeight="1">
      <c r="A261" s="25" t="s">
        <v>2502</v>
      </c>
      <c r="B261" s="25" t="s">
        <v>3103</v>
      </c>
      <c r="C261" s="26" t="s">
        <v>3464</v>
      </c>
      <c r="D261" s="25">
        <v>3104399375</v>
      </c>
      <c r="E261" s="25" t="s">
        <v>3709</v>
      </c>
      <c r="F261" s="27" t="s">
        <v>4059</v>
      </c>
      <c r="G261" s="25">
        <v>219</v>
      </c>
      <c r="H261" s="25">
        <v>436322438</v>
      </c>
      <c r="I261" s="25">
        <v>0</v>
      </c>
    </row>
    <row r="262" spans="1:9" ht="15" customHeight="1">
      <c r="A262" s="25" t="s">
        <v>2503</v>
      </c>
      <c r="B262" s="25" t="s">
        <v>3104</v>
      </c>
      <c r="C262" s="26" t="s">
        <v>3464</v>
      </c>
      <c r="D262" s="25">
        <v>3104399375</v>
      </c>
      <c r="E262" s="25" t="s">
        <v>3710</v>
      </c>
      <c r="F262" s="27" t="s">
        <v>4059</v>
      </c>
      <c r="G262" s="25">
        <v>219</v>
      </c>
      <c r="H262" s="25">
        <v>89157810</v>
      </c>
      <c r="I262" s="25">
        <v>0</v>
      </c>
    </row>
    <row r="263" spans="1:9" ht="15" customHeight="1">
      <c r="A263" s="25" t="s">
        <v>2504</v>
      </c>
      <c r="B263" s="25" t="s">
        <v>3105</v>
      </c>
      <c r="C263" s="26" t="s">
        <v>3464</v>
      </c>
      <c r="D263" s="25">
        <v>3104399375</v>
      </c>
      <c r="E263" s="25" t="s">
        <v>3711</v>
      </c>
      <c r="F263" s="25">
        <v>286</v>
      </c>
      <c r="G263" s="25">
        <v>219</v>
      </c>
      <c r="H263" s="25">
        <v>119755061</v>
      </c>
      <c r="I263" s="25">
        <v>0</v>
      </c>
    </row>
    <row r="264" spans="1:9" ht="15" customHeight="1">
      <c r="A264" s="25" t="s">
        <v>2505</v>
      </c>
      <c r="B264" s="25" t="s">
        <v>3106</v>
      </c>
      <c r="C264" s="26" t="s">
        <v>3464</v>
      </c>
      <c r="D264" s="25">
        <v>3104399375</v>
      </c>
      <c r="E264" s="25" t="s">
        <v>3712</v>
      </c>
      <c r="F264" s="25">
        <v>430</v>
      </c>
      <c r="G264" s="25">
        <v>219</v>
      </c>
      <c r="H264" s="25">
        <v>34421505</v>
      </c>
      <c r="I264" s="25">
        <v>0</v>
      </c>
    </row>
    <row r="265" spans="1:9" ht="15" customHeight="1">
      <c r="A265" s="25" t="s">
        <v>2506</v>
      </c>
      <c r="B265" s="25" t="s">
        <v>3107</v>
      </c>
      <c r="C265" s="26" t="s">
        <v>3464</v>
      </c>
      <c r="D265" s="25">
        <v>3104399375</v>
      </c>
      <c r="E265" s="25" t="s">
        <v>3713</v>
      </c>
      <c r="F265" s="27" t="s">
        <v>4059</v>
      </c>
      <c r="G265" s="25">
        <v>219</v>
      </c>
      <c r="H265" s="25">
        <v>159099036</v>
      </c>
      <c r="I265" s="25">
        <v>0</v>
      </c>
    </row>
    <row r="266" spans="1:9" ht="15" customHeight="1">
      <c r="A266" s="25" t="s">
        <v>2507</v>
      </c>
      <c r="B266" s="25" t="s">
        <v>3108</v>
      </c>
      <c r="C266" s="26" t="s">
        <v>3464</v>
      </c>
      <c r="D266" s="25">
        <v>3104399375</v>
      </c>
      <c r="E266" s="25" t="s">
        <v>3714</v>
      </c>
      <c r="F266" s="27" t="s">
        <v>4059</v>
      </c>
      <c r="G266" s="25">
        <v>219</v>
      </c>
      <c r="H266" s="25">
        <v>151075228</v>
      </c>
      <c r="I266" s="25">
        <v>0</v>
      </c>
    </row>
    <row r="267" spans="1:9" ht="15" customHeight="1">
      <c r="A267" s="25" t="s">
        <v>2508</v>
      </c>
      <c r="B267" s="25" t="s">
        <v>3109</v>
      </c>
      <c r="C267" s="26" t="s">
        <v>3464</v>
      </c>
      <c r="D267" s="25">
        <v>3104399375</v>
      </c>
      <c r="E267" s="25" t="s">
        <v>3715</v>
      </c>
      <c r="F267" s="25">
        <v>286</v>
      </c>
      <c r="G267" s="25">
        <v>219</v>
      </c>
      <c r="H267" s="25">
        <v>17392983</v>
      </c>
      <c r="I267" s="25">
        <v>0</v>
      </c>
    </row>
    <row r="268" spans="1:9" ht="15" customHeight="1">
      <c r="A268" s="25" t="s">
        <v>2509</v>
      </c>
      <c r="B268" s="25" t="s">
        <v>3110</v>
      </c>
      <c r="C268" s="26" t="s">
        <v>3464</v>
      </c>
      <c r="D268" s="25">
        <v>3104399375</v>
      </c>
      <c r="E268" s="25" t="s">
        <v>3716</v>
      </c>
      <c r="F268" s="25">
        <v>759</v>
      </c>
      <c r="G268" s="25">
        <v>219</v>
      </c>
      <c r="H268" s="25">
        <v>840956540</v>
      </c>
      <c r="I268" s="25">
        <v>0</v>
      </c>
    </row>
    <row r="269" spans="1:9" ht="15" customHeight="1">
      <c r="A269" s="25" t="s">
        <v>2510</v>
      </c>
      <c r="B269" s="25" t="s">
        <v>3111</v>
      </c>
      <c r="C269" s="26" t="s">
        <v>3464</v>
      </c>
      <c r="D269" s="25">
        <v>3104399375</v>
      </c>
      <c r="E269" s="25" t="s">
        <v>3717</v>
      </c>
      <c r="F269" s="25">
        <v>799</v>
      </c>
      <c r="G269" s="25">
        <v>219</v>
      </c>
      <c r="H269" s="25">
        <v>139697993</v>
      </c>
      <c r="I269" s="25">
        <v>0</v>
      </c>
    </row>
    <row r="270" spans="1:9" ht="15" customHeight="1">
      <c r="A270" s="25" t="s">
        <v>2511</v>
      </c>
      <c r="B270" s="25" t="s">
        <v>3112</v>
      </c>
      <c r="C270" s="26" t="s">
        <v>3464</v>
      </c>
      <c r="D270" s="25">
        <v>3104399375</v>
      </c>
      <c r="E270" s="25" t="s">
        <v>3718</v>
      </c>
      <c r="F270" s="27" t="s">
        <v>4059</v>
      </c>
      <c r="G270" s="25">
        <v>219</v>
      </c>
      <c r="H270" s="25">
        <v>1141818897</v>
      </c>
      <c r="I270" s="25">
        <v>0</v>
      </c>
    </row>
    <row r="271" spans="1:9" ht="15" customHeight="1">
      <c r="A271" s="25" t="s">
        <v>2512</v>
      </c>
      <c r="B271" s="25" t="s">
        <v>3113</v>
      </c>
      <c r="C271" s="26" t="s">
        <v>3464</v>
      </c>
      <c r="D271" s="25">
        <v>3104399375</v>
      </c>
      <c r="E271" s="25" t="s">
        <v>3719</v>
      </c>
      <c r="F271" s="27" t="s">
        <v>4059</v>
      </c>
      <c r="G271" s="25">
        <v>219</v>
      </c>
      <c r="H271" s="25">
        <v>27226699</v>
      </c>
      <c r="I271" s="25">
        <v>0</v>
      </c>
    </row>
    <row r="272" spans="1:9" ht="15" customHeight="1">
      <c r="A272" s="25" t="s">
        <v>2513</v>
      </c>
      <c r="B272" s="25" t="s">
        <v>3114</v>
      </c>
      <c r="C272" s="26" t="s">
        <v>3464</v>
      </c>
      <c r="D272" s="25">
        <v>3104399375</v>
      </c>
      <c r="E272" s="25" t="s">
        <v>3720</v>
      </c>
      <c r="F272" s="27" t="s">
        <v>4059</v>
      </c>
      <c r="G272" s="25">
        <v>219</v>
      </c>
      <c r="H272" s="25">
        <v>228872563</v>
      </c>
      <c r="I272" s="25">
        <v>0</v>
      </c>
    </row>
    <row r="273" spans="1:9" ht="15" customHeight="1">
      <c r="A273" s="25" t="s">
        <v>2514</v>
      </c>
      <c r="B273" s="25" t="s">
        <v>3115</v>
      </c>
      <c r="C273" s="26" t="s">
        <v>3464</v>
      </c>
      <c r="D273" s="25">
        <v>3104399375</v>
      </c>
      <c r="E273" s="25" t="s">
        <v>3721</v>
      </c>
      <c r="F273" s="27" t="s">
        <v>4059</v>
      </c>
      <c r="G273" s="25">
        <v>219</v>
      </c>
      <c r="H273" s="25">
        <v>3062668075</v>
      </c>
      <c r="I273" s="25">
        <v>0</v>
      </c>
    </row>
    <row r="274" spans="1:9" ht="15" customHeight="1">
      <c r="A274" s="25" t="s">
        <v>2515</v>
      </c>
      <c r="B274" s="25" t="s">
        <v>3116</v>
      </c>
      <c r="C274" s="26" t="s">
        <v>3464</v>
      </c>
      <c r="D274" s="25">
        <v>3104399375</v>
      </c>
      <c r="E274" s="25" t="s">
        <v>3722</v>
      </c>
      <c r="F274" s="27" t="s">
        <v>4059</v>
      </c>
      <c r="G274" s="25">
        <v>219</v>
      </c>
      <c r="H274" s="25">
        <v>728651105</v>
      </c>
      <c r="I274" s="25">
        <v>0</v>
      </c>
    </row>
    <row r="275" spans="1:9" ht="15" customHeight="1">
      <c r="A275" s="25" t="s">
        <v>2516</v>
      </c>
      <c r="B275" s="25" t="s">
        <v>3117</v>
      </c>
      <c r="C275" s="26" t="s">
        <v>3464</v>
      </c>
      <c r="D275" s="25">
        <v>3104399375</v>
      </c>
      <c r="E275" s="25" t="s">
        <v>3723</v>
      </c>
      <c r="F275" s="25">
        <v>307</v>
      </c>
      <c r="G275" s="25">
        <v>219</v>
      </c>
      <c r="H275" s="25">
        <v>808761861</v>
      </c>
      <c r="I275" s="25">
        <v>0</v>
      </c>
    </row>
    <row r="276" spans="1:9" ht="15" customHeight="1">
      <c r="A276" s="25" t="s">
        <v>2517</v>
      </c>
      <c r="B276" s="25" t="s">
        <v>3118</v>
      </c>
      <c r="C276" s="26" t="s">
        <v>3464</v>
      </c>
      <c r="D276" s="25">
        <v>3104399375</v>
      </c>
      <c r="E276" s="25" t="s">
        <v>3724</v>
      </c>
      <c r="F276" s="27" t="s">
        <v>4059</v>
      </c>
      <c r="G276" s="25">
        <v>219</v>
      </c>
      <c r="H276" s="25">
        <v>62065451</v>
      </c>
      <c r="I276" s="25">
        <v>0</v>
      </c>
    </row>
    <row r="277" spans="1:9" ht="15" customHeight="1">
      <c r="A277" s="25" t="s">
        <v>2518</v>
      </c>
      <c r="B277" s="25" t="s">
        <v>3119</v>
      </c>
      <c r="C277" s="26" t="s">
        <v>3464</v>
      </c>
      <c r="D277" s="25">
        <v>3104399375</v>
      </c>
      <c r="E277" s="25" t="s">
        <v>3725</v>
      </c>
      <c r="F277" s="27" t="s">
        <v>4059</v>
      </c>
      <c r="G277" s="25">
        <v>219</v>
      </c>
      <c r="H277" s="25">
        <v>206259007</v>
      </c>
      <c r="I277" s="25">
        <v>0</v>
      </c>
    </row>
    <row r="278" spans="1:9" ht="15" customHeight="1">
      <c r="A278" s="25" t="s">
        <v>2519</v>
      </c>
      <c r="B278" s="25" t="s">
        <v>3120</v>
      </c>
      <c r="C278" s="26" t="s">
        <v>3464</v>
      </c>
      <c r="D278" s="25">
        <v>3104399375</v>
      </c>
      <c r="E278" s="25" t="s">
        <v>3726</v>
      </c>
      <c r="F278" s="27" t="s">
        <v>4059</v>
      </c>
      <c r="G278" s="25">
        <v>219</v>
      </c>
      <c r="H278" s="25">
        <v>4213657953</v>
      </c>
      <c r="I278" s="25">
        <v>0</v>
      </c>
    </row>
    <row r="279" spans="1:9" ht="15" customHeight="1">
      <c r="A279" s="25" t="s">
        <v>2520</v>
      </c>
      <c r="B279" s="25" t="s">
        <v>3121</v>
      </c>
      <c r="C279" s="26" t="s">
        <v>3464</v>
      </c>
      <c r="D279" s="25">
        <v>3104399375</v>
      </c>
      <c r="E279" s="25" t="s">
        <v>3727</v>
      </c>
      <c r="F279" s="27" t="s">
        <v>4059</v>
      </c>
      <c r="G279" s="25">
        <v>219</v>
      </c>
      <c r="H279" s="25">
        <v>1590853492</v>
      </c>
      <c r="I279" s="25">
        <v>0</v>
      </c>
    </row>
    <row r="280" spans="1:9" ht="15" customHeight="1">
      <c r="A280" s="25" t="s">
        <v>2521</v>
      </c>
      <c r="B280" s="25" t="s">
        <v>3122</v>
      </c>
      <c r="C280" s="26" t="s">
        <v>3464</v>
      </c>
      <c r="D280" s="25">
        <v>3104399375</v>
      </c>
      <c r="E280" s="25" t="s">
        <v>3728</v>
      </c>
      <c r="F280" s="27" t="s">
        <v>4059</v>
      </c>
      <c r="G280" s="25">
        <v>219</v>
      </c>
      <c r="H280" s="25">
        <v>956435890</v>
      </c>
      <c r="I280" s="25">
        <v>0</v>
      </c>
    </row>
    <row r="281" spans="1:9" ht="15" customHeight="1">
      <c r="A281" s="25" t="s">
        <v>2522</v>
      </c>
      <c r="B281" s="25" t="s">
        <v>3123</v>
      </c>
      <c r="C281" s="26" t="s">
        <v>3464</v>
      </c>
      <c r="D281" s="25">
        <v>3104399375</v>
      </c>
      <c r="E281" s="25" t="s">
        <v>3729</v>
      </c>
      <c r="F281" s="27" t="s">
        <v>4059</v>
      </c>
      <c r="G281" s="25">
        <v>219</v>
      </c>
      <c r="H281" s="25">
        <v>5232632744</v>
      </c>
      <c r="I281" s="25">
        <v>0</v>
      </c>
    </row>
    <row r="282" spans="1:9" ht="15" customHeight="1">
      <c r="A282" s="25" t="s">
        <v>2523</v>
      </c>
      <c r="B282" s="25" t="s">
        <v>3124</v>
      </c>
      <c r="C282" s="26" t="s">
        <v>3464</v>
      </c>
      <c r="D282" s="25">
        <v>3104399375</v>
      </c>
      <c r="E282" s="25" t="s">
        <v>3730</v>
      </c>
      <c r="F282" s="27" t="s">
        <v>4059</v>
      </c>
      <c r="G282" s="25">
        <v>219</v>
      </c>
      <c r="H282" s="25">
        <v>760134303</v>
      </c>
      <c r="I282" s="25">
        <v>0</v>
      </c>
    </row>
    <row r="283" spans="1:9" ht="15" customHeight="1">
      <c r="A283" s="25" t="s">
        <v>2524</v>
      </c>
      <c r="B283" s="25" t="s">
        <v>3125</v>
      </c>
      <c r="C283" s="26" t="s">
        <v>3464</v>
      </c>
      <c r="D283" s="25">
        <v>3104399375</v>
      </c>
      <c r="E283" s="25" t="s">
        <v>3731</v>
      </c>
      <c r="F283" s="27" t="s">
        <v>4059</v>
      </c>
      <c r="G283" s="25">
        <v>219</v>
      </c>
      <c r="H283" s="25">
        <v>19160316</v>
      </c>
      <c r="I283" s="25">
        <v>0</v>
      </c>
    </row>
    <row r="284" spans="1:9" ht="15" customHeight="1">
      <c r="A284" s="25" t="s">
        <v>2525</v>
      </c>
      <c r="B284" s="25" t="s">
        <v>3126</v>
      </c>
      <c r="C284" s="26" t="s">
        <v>3464</v>
      </c>
      <c r="D284" s="25">
        <v>3104399375</v>
      </c>
      <c r="E284" s="25" t="s">
        <v>3732</v>
      </c>
      <c r="F284" s="27" t="s">
        <v>4059</v>
      </c>
      <c r="G284" s="25">
        <v>219</v>
      </c>
      <c r="H284" s="25">
        <v>5923602472</v>
      </c>
      <c r="I284" s="25">
        <v>0</v>
      </c>
    </row>
    <row r="285" spans="1:9" ht="15" customHeight="1">
      <c r="A285" s="25" t="s">
        <v>2526</v>
      </c>
      <c r="B285" s="25" t="s">
        <v>3127</v>
      </c>
      <c r="C285" s="26" t="s">
        <v>3464</v>
      </c>
      <c r="D285" s="25">
        <v>3104399375</v>
      </c>
      <c r="E285" s="25" t="s">
        <v>3733</v>
      </c>
      <c r="F285" s="27" t="s">
        <v>4059</v>
      </c>
      <c r="G285" s="25">
        <v>219</v>
      </c>
      <c r="H285" s="25">
        <v>280451400</v>
      </c>
      <c r="I285" s="25">
        <v>0</v>
      </c>
    </row>
    <row r="286" spans="1:9" ht="15" customHeight="1">
      <c r="A286" s="25" t="s">
        <v>2527</v>
      </c>
      <c r="B286" s="25" t="s">
        <v>3128</v>
      </c>
      <c r="C286" s="26" t="s">
        <v>3464</v>
      </c>
      <c r="D286" s="25">
        <v>3104399375</v>
      </c>
      <c r="E286" s="25" t="s">
        <v>3734</v>
      </c>
      <c r="F286" s="27" t="s">
        <v>4059</v>
      </c>
      <c r="G286" s="25">
        <v>219</v>
      </c>
      <c r="H286" s="25">
        <v>53025624</v>
      </c>
      <c r="I286" s="25">
        <v>0</v>
      </c>
    </row>
    <row r="287" spans="1:9" ht="15" customHeight="1">
      <c r="A287" s="25" t="s">
        <v>2528</v>
      </c>
      <c r="B287" s="25" t="s">
        <v>3129</v>
      </c>
      <c r="C287" s="26" t="s">
        <v>3464</v>
      </c>
      <c r="D287" s="25">
        <v>3104399375</v>
      </c>
      <c r="E287" s="25" t="s">
        <v>3735</v>
      </c>
      <c r="F287" s="27" t="s">
        <v>4059</v>
      </c>
      <c r="G287" s="25">
        <v>219</v>
      </c>
      <c r="H287" s="25">
        <v>446537498</v>
      </c>
      <c r="I287" s="25">
        <v>0</v>
      </c>
    </row>
    <row r="288" spans="1:9" ht="15" customHeight="1">
      <c r="A288" s="25" t="s">
        <v>2529</v>
      </c>
      <c r="B288" s="25" t="s">
        <v>3130</v>
      </c>
      <c r="C288" s="26" t="s">
        <v>3464</v>
      </c>
      <c r="D288" s="25">
        <v>3104399375</v>
      </c>
      <c r="E288" s="25" t="s">
        <v>3736</v>
      </c>
      <c r="F288" s="27" t="s">
        <v>4059</v>
      </c>
      <c r="G288" s="25">
        <v>219</v>
      </c>
      <c r="H288" s="25">
        <v>182535700</v>
      </c>
      <c r="I288" s="25">
        <v>0</v>
      </c>
    </row>
    <row r="289" spans="1:9" ht="15" customHeight="1">
      <c r="A289" s="25" t="s">
        <v>2530</v>
      </c>
      <c r="B289" s="25" t="s">
        <v>3131</v>
      </c>
      <c r="C289" s="26" t="s">
        <v>3464</v>
      </c>
      <c r="D289" s="25">
        <v>3104399375</v>
      </c>
      <c r="E289" s="25" t="s">
        <v>3737</v>
      </c>
      <c r="F289" s="25">
        <v>238</v>
      </c>
      <c r="G289" s="25">
        <v>219</v>
      </c>
      <c r="H289" s="25">
        <v>3619150599</v>
      </c>
      <c r="I289" s="25">
        <v>0</v>
      </c>
    </row>
    <row r="290" spans="1:9" ht="15" customHeight="1">
      <c r="A290" s="25" t="s">
        <v>2531</v>
      </c>
      <c r="B290" s="25" t="s">
        <v>3132</v>
      </c>
      <c r="C290" s="26" t="s">
        <v>3464</v>
      </c>
      <c r="D290" s="25">
        <v>3104399375</v>
      </c>
      <c r="E290" s="25" t="s">
        <v>3738</v>
      </c>
      <c r="F290" s="27" t="s">
        <v>4059</v>
      </c>
      <c r="G290" s="25">
        <v>219</v>
      </c>
      <c r="H290" s="25">
        <v>1182098226</v>
      </c>
      <c r="I290" s="25">
        <v>0</v>
      </c>
    </row>
    <row r="291" spans="1:9" ht="15" customHeight="1">
      <c r="A291" s="25" t="s">
        <v>2532</v>
      </c>
      <c r="B291" s="25" t="s">
        <v>3133</v>
      </c>
      <c r="C291" s="26" t="s">
        <v>3464</v>
      </c>
      <c r="D291" s="25">
        <v>3104399375</v>
      </c>
      <c r="E291" s="25" t="s">
        <v>3739</v>
      </c>
      <c r="F291" s="27" t="s">
        <v>4059</v>
      </c>
      <c r="G291" s="25">
        <v>219</v>
      </c>
      <c r="H291" s="25">
        <v>106799377</v>
      </c>
      <c r="I291" s="25">
        <v>0</v>
      </c>
    </row>
    <row r="292" spans="1:9" ht="15" customHeight="1">
      <c r="A292" s="25" t="s">
        <v>2533</v>
      </c>
      <c r="B292" s="25" t="s">
        <v>3134</v>
      </c>
      <c r="C292" s="26" t="s">
        <v>3464</v>
      </c>
      <c r="D292" s="25">
        <v>3104399375</v>
      </c>
      <c r="E292" s="25" t="s">
        <v>3740</v>
      </c>
      <c r="F292" s="27" t="s">
        <v>4059</v>
      </c>
      <c r="G292" s="25">
        <v>219</v>
      </c>
      <c r="H292" s="25">
        <v>6903780</v>
      </c>
      <c r="I292" s="25">
        <v>0</v>
      </c>
    </row>
    <row r="293" spans="1:9" ht="15" customHeight="1">
      <c r="A293" s="25" t="s">
        <v>2534</v>
      </c>
      <c r="B293" s="25" t="s">
        <v>3135</v>
      </c>
      <c r="C293" s="26" t="s">
        <v>3464</v>
      </c>
      <c r="D293" s="25">
        <v>3104399375</v>
      </c>
      <c r="E293" s="25" t="s">
        <v>3741</v>
      </c>
      <c r="F293" s="27" t="s">
        <v>4059</v>
      </c>
      <c r="G293" s="25">
        <v>219</v>
      </c>
      <c r="H293" s="25">
        <v>272076579</v>
      </c>
      <c r="I293" s="25">
        <v>0</v>
      </c>
    </row>
    <row r="294" spans="1:9" ht="15" customHeight="1">
      <c r="A294" s="25" t="s">
        <v>2535</v>
      </c>
      <c r="B294" s="25" t="s">
        <v>3136</v>
      </c>
      <c r="C294" s="26" t="s">
        <v>3464</v>
      </c>
      <c r="D294" s="25">
        <v>3104399375</v>
      </c>
      <c r="E294" s="25" t="s">
        <v>3742</v>
      </c>
      <c r="F294" s="27" t="s">
        <v>4059</v>
      </c>
      <c r="G294" s="25">
        <v>219</v>
      </c>
      <c r="H294" s="25">
        <v>190355820</v>
      </c>
      <c r="I294" s="25">
        <v>0</v>
      </c>
    </row>
    <row r="295" spans="1:9" ht="15" customHeight="1">
      <c r="A295" s="25" t="s">
        <v>2536</v>
      </c>
      <c r="B295" s="25" t="s">
        <v>3137</v>
      </c>
      <c r="C295" s="26" t="s">
        <v>3464</v>
      </c>
      <c r="D295" s="25">
        <v>3104399375</v>
      </c>
      <c r="E295" s="25" t="s">
        <v>3743</v>
      </c>
      <c r="F295" s="27" t="s">
        <v>4059</v>
      </c>
      <c r="G295" s="25">
        <v>219</v>
      </c>
      <c r="H295" s="25">
        <v>1924227722</v>
      </c>
      <c r="I295" s="25">
        <v>0</v>
      </c>
    </row>
    <row r="296" spans="1:9" ht="15" customHeight="1">
      <c r="A296" s="25" t="s">
        <v>2537</v>
      </c>
      <c r="B296" s="25" t="s">
        <v>3138</v>
      </c>
      <c r="C296" s="26" t="s">
        <v>3464</v>
      </c>
      <c r="D296" s="25">
        <v>3104399375</v>
      </c>
      <c r="E296" s="25" t="s">
        <v>3744</v>
      </c>
      <c r="F296" s="27" t="s">
        <v>4059</v>
      </c>
      <c r="G296" s="25">
        <v>219</v>
      </c>
      <c r="H296" s="25">
        <v>103032777</v>
      </c>
      <c r="I296" s="25">
        <v>0</v>
      </c>
    </row>
    <row r="297" spans="1:9" ht="15" customHeight="1">
      <c r="A297" s="25" t="s">
        <v>2538</v>
      </c>
      <c r="B297" s="25" t="s">
        <v>3139</v>
      </c>
      <c r="C297" s="26" t="s">
        <v>3464</v>
      </c>
      <c r="D297" s="25">
        <v>3104399375</v>
      </c>
      <c r="E297" s="25" t="s">
        <v>3745</v>
      </c>
      <c r="F297" s="27" t="s">
        <v>4059</v>
      </c>
      <c r="G297" s="25">
        <v>219</v>
      </c>
      <c r="H297" s="25">
        <v>75605819</v>
      </c>
      <c r="I297" s="25">
        <v>0</v>
      </c>
    </row>
    <row r="298" spans="1:9" ht="15" customHeight="1">
      <c r="A298" s="25" t="s">
        <v>2539</v>
      </c>
      <c r="B298" s="25" t="s">
        <v>3140</v>
      </c>
      <c r="C298" s="26" t="s">
        <v>3464</v>
      </c>
      <c r="D298" s="25">
        <v>3104399375</v>
      </c>
      <c r="E298" s="25" t="s">
        <v>3746</v>
      </c>
      <c r="F298" s="27" t="s">
        <v>4059</v>
      </c>
      <c r="G298" s="25">
        <v>219</v>
      </c>
      <c r="H298" s="25">
        <v>448668036</v>
      </c>
      <c r="I298" s="25">
        <v>0</v>
      </c>
    </row>
    <row r="299" spans="1:9" ht="15" customHeight="1">
      <c r="A299" s="25" t="s">
        <v>2540</v>
      </c>
      <c r="B299" s="25" t="s">
        <v>3141</v>
      </c>
      <c r="C299" s="26" t="s">
        <v>3464</v>
      </c>
      <c r="D299" s="25">
        <v>3104399375</v>
      </c>
      <c r="E299" s="25" t="s">
        <v>3747</v>
      </c>
      <c r="F299" s="27" t="s">
        <v>4059</v>
      </c>
      <c r="G299" s="25">
        <v>219</v>
      </c>
      <c r="H299" s="25">
        <v>39313532</v>
      </c>
      <c r="I299" s="25">
        <v>0</v>
      </c>
    </row>
    <row r="300" spans="1:9" ht="15" customHeight="1">
      <c r="A300" s="25" t="s">
        <v>2541</v>
      </c>
      <c r="B300" s="25" t="s">
        <v>3142</v>
      </c>
      <c r="C300" s="26" t="s">
        <v>3464</v>
      </c>
      <c r="D300" s="25">
        <v>3104399375</v>
      </c>
      <c r="E300" s="25" t="s">
        <v>3748</v>
      </c>
      <c r="F300" s="27" t="s">
        <v>4059</v>
      </c>
      <c r="G300" s="25">
        <v>219</v>
      </c>
      <c r="H300" s="25">
        <v>16280806</v>
      </c>
      <c r="I300" s="25">
        <v>0</v>
      </c>
    </row>
    <row r="301" spans="1:9" ht="15" customHeight="1">
      <c r="A301" s="25" t="s">
        <v>2542</v>
      </c>
      <c r="B301" s="25" t="s">
        <v>3143</v>
      </c>
      <c r="C301" s="26" t="s">
        <v>3464</v>
      </c>
      <c r="D301" s="25">
        <v>3104399375</v>
      </c>
      <c r="E301" s="25" t="s">
        <v>3749</v>
      </c>
      <c r="F301" s="27" t="s">
        <v>4059</v>
      </c>
      <c r="G301" s="25">
        <v>219</v>
      </c>
      <c r="H301" s="25">
        <v>60301721</v>
      </c>
      <c r="I301" s="25">
        <v>0</v>
      </c>
    </row>
    <row r="302" spans="1:9" ht="15" customHeight="1">
      <c r="A302" s="25" t="s">
        <v>2543</v>
      </c>
      <c r="B302" s="25" t="s">
        <v>3144</v>
      </c>
      <c r="C302" s="26" t="s">
        <v>3464</v>
      </c>
      <c r="D302" s="25">
        <v>3104399375</v>
      </c>
      <c r="E302" s="25" t="s">
        <v>3750</v>
      </c>
      <c r="F302" s="27" t="s">
        <v>4059</v>
      </c>
      <c r="G302" s="25">
        <v>219</v>
      </c>
      <c r="H302" s="25">
        <v>77221284</v>
      </c>
      <c r="I302" s="25">
        <v>0</v>
      </c>
    </row>
    <row r="303" spans="1:9" ht="15" customHeight="1">
      <c r="A303" s="25" t="s">
        <v>2544</v>
      </c>
      <c r="B303" s="25" t="s">
        <v>3145</v>
      </c>
      <c r="C303" s="26" t="s">
        <v>3464</v>
      </c>
      <c r="D303" s="25">
        <v>3104399375</v>
      </c>
      <c r="E303" s="25" t="s">
        <v>3751</v>
      </c>
      <c r="F303" s="27" t="s">
        <v>4059</v>
      </c>
      <c r="G303" s="25">
        <v>219</v>
      </c>
      <c r="H303" s="25">
        <v>30704514</v>
      </c>
      <c r="I303" s="25">
        <v>0</v>
      </c>
    </row>
    <row r="304" spans="1:9" ht="15" customHeight="1">
      <c r="A304" s="25" t="s">
        <v>2545</v>
      </c>
      <c r="B304" s="25" t="s">
        <v>3146</v>
      </c>
      <c r="C304" s="26" t="s">
        <v>3464</v>
      </c>
      <c r="D304" s="25">
        <v>3104399375</v>
      </c>
      <c r="E304" s="25" t="s">
        <v>3752</v>
      </c>
      <c r="F304" s="27" t="s">
        <v>4059</v>
      </c>
      <c r="G304" s="25">
        <v>219</v>
      </c>
      <c r="H304" s="25">
        <v>212888683</v>
      </c>
      <c r="I304" s="25">
        <v>0</v>
      </c>
    </row>
    <row r="305" spans="1:9" ht="15" customHeight="1">
      <c r="A305" s="25" t="s">
        <v>2546</v>
      </c>
      <c r="B305" s="25" t="s">
        <v>3147</v>
      </c>
      <c r="C305" s="26" t="s">
        <v>3464</v>
      </c>
      <c r="D305" s="25">
        <v>3104399375</v>
      </c>
      <c r="E305" s="25" t="s">
        <v>3753</v>
      </c>
      <c r="F305" s="27" t="s">
        <v>4059</v>
      </c>
      <c r="G305" s="25">
        <v>219</v>
      </c>
      <c r="H305" s="25">
        <v>490930400</v>
      </c>
      <c r="I305" s="25">
        <v>0</v>
      </c>
    </row>
    <row r="306" spans="1:9" ht="15" customHeight="1">
      <c r="A306" s="25" t="s">
        <v>2547</v>
      </c>
      <c r="B306" s="25" t="s">
        <v>3148</v>
      </c>
      <c r="C306" s="26" t="s">
        <v>3464</v>
      </c>
      <c r="D306" s="25">
        <v>3104399375</v>
      </c>
      <c r="E306" s="25" t="s">
        <v>3754</v>
      </c>
      <c r="F306" s="27" t="s">
        <v>4059</v>
      </c>
      <c r="G306" s="25">
        <v>219</v>
      </c>
      <c r="H306" s="25">
        <v>1080915266</v>
      </c>
      <c r="I306" s="25">
        <v>0</v>
      </c>
    </row>
    <row r="307" spans="1:9" ht="15" customHeight="1">
      <c r="A307" s="25" t="s">
        <v>2548</v>
      </c>
      <c r="B307" s="25" t="s">
        <v>3149</v>
      </c>
      <c r="C307" s="26" t="s">
        <v>3464</v>
      </c>
      <c r="D307" s="25">
        <v>3104399375</v>
      </c>
      <c r="E307" s="25" t="s">
        <v>3755</v>
      </c>
      <c r="F307" s="27" t="s">
        <v>4059</v>
      </c>
      <c r="G307" s="25">
        <v>219</v>
      </c>
      <c r="H307" s="25">
        <v>69889861</v>
      </c>
      <c r="I307" s="25">
        <v>0</v>
      </c>
    </row>
    <row r="308" spans="1:9" ht="15" customHeight="1">
      <c r="A308" s="25" t="s">
        <v>2549</v>
      </c>
      <c r="B308" s="25" t="s">
        <v>3150</v>
      </c>
      <c r="C308" s="26" t="s">
        <v>3464</v>
      </c>
      <c r="D308" s="25">
        <v>3104399375</v>
      </c>
      <c r="E308" s="25" t="s">
        <v>3756</v>
      </c>
      <c r="F308" s="25">
        <v>238</v>
      </c>
      <c r="G308" s="25">
        <v>219</v>
      </c>
      <c r="H308" s="25">
        <v>856810944</v>
      </c>
      <c r="I308" s="25">
        <v>0</v>
      </c>
    </row>
    <row r="309" spans="1:9" ht="15" customHeight="1">
      <c r="A309" s="25" t="s">
        <v>2550</v>
      </c>
      <c r="B309" s="25" t="s">
        <v>3151</v>
      </c>
      <c r="C309" s="26" t="s">
        <v>3464</v>
      </c>
      <c r="D309" s="25">
        <v>3104399375</v>
      </c>
      <c r="E309" s="25" t="s">
        <v>3757</v>
      </c>
      <c r="F309" s="27" t="s">
        <v>4059</v>
      </c>
      <c r="G309" s="25">
        <v>219</v>
      </c>
      <c r="H309" s="25">
        <v>477952465</v>
      </c>
      <c r="I309" s="25">
        <v>0</v>
      </c>
    </row>
    <row r="310" spans="1:9" ht="15" customHeight="1">
      <c r="A310" s="25" t="s">
        <v>2551</v>
      </c>
      <c r="B310" s="25" t="s">
        <v>3152</v>
      </c>
      <c r="C310" s="26" t="s">
        <v>3464</v>
      </c>
      <c r="D310" s="25">
        <v>3104399375</v>
      </c>
      <c r="E310" s="25" t="s">
        <v>3758</v>
      </c>
      <c r="F310" s="25">
        <v>276</v>
      </c>
      <c r="G310" s="25">
        <v>219</v>
      </c>
      <c r="H310" s="25">
        <v>928710047</v>
      </c>
      <c r="I310" s="25">
        <v>0</v>
      </c>
    </row>
    <row r="311" spans="1:9" ht="15" customHeight="1">
      <c r="A311" s="25" t="s">
        <v>2552</v>
      </c>
      <c r="B311" s="25" t="s">
        <v>3153</v>
      </c>
      <c r="C311" s="26" t="s">
        <v>3464</v>
      </c>
      <c r="D311" s="25">
        <v>3104399375</v>
      </c>
      <c r="E311" s="25" t="s">
        <v>3759</v>
      </c>
      <c r="F311" s="27" t="s">
        <v>4059</v>
      </c>
      <c r="G311" s="25">
        <v>219</v>
      </c>
      <c r="H311" s="25">
        <v>636642217</v>
      </c>
      <c r="I311" s="25">
        <v>0</v>
      </c>
    </row>
    <row r="312" spans="1:9" ht="15" customHeight="1">
      <c r="A312" s="25" t="s">
        <v>2553</v>
      </c>
      <c r="B312" s="25" t="s">
        <v>3154</v>
      </c>
      <c r="C312" s="26" t="s">
        <v>3464</v>
      </c>
      <c r="D312" s="25">
        <v>3104399375</v>
      </c>
      <c r="E312" s="25" t="s">
        <v>3760</v>
      </c>
      <c r="F312" s="27" t="s">
        <v>4059</v>
      </c>
      <c r="G312" s="25">
        <v>219</v>
      </c>
      <c r="H312" s="25">
        <v>763034138</v>
      </c>
      <c r="I312" s="25">
        <v>0</v>
      </c>
    </row>
    <row r="313" spans="1:9" ht="15" customHeight="1">
      <c r="A313" s="25" t="s">
        <v>2554</v>
      </c>
      <c r="B313" s="25" t="s">
        <v>3155</v>
      </c>
      <c r="C313" s="26" t="s">
        <v>3464</v>
      </c>
      <c r="D313" s="25">
        <v>3104399375</v>
      </c>
      <c r="E313" s="25" t="s">
        <v>3761</v>
      </c>
      <c r="F313" s="25">
        <v>892</v>
      </c>
      <c r="G313" s="25">
        <v>219</v>
      </c>
      <c r="H313" s="25">
        <v>211166115</v>
      </c>
      <c r="I313" s="25">
        <v>0</v>
      </c>
    </row>
    <row r="314" spans="1:9" ht="15" customHeight="1">
      <c r="A314" s="25" t="s">
        <v>2555</v>
      </c>
      <c r="B314" s="25" t="s">
        <v>3156</v>
      </c>
      <c r="C314" s="26" t="s">
        <v>3464</v>
      </c>
      <c r="D314" s="25">
        <v>3104399375</v>
      </c>
      <c r="E314" s="25" t="s">
        <v>3762</v>
      </c>
      <c r="F314" s="25">
        <v>238</v>
      </c>
      <c r="G314" s="25">
        <v>219</v>
      </c>
      <c r="H314" s="25">
        <v>300358886</v>
      </c>
      <c r="I314" s="25">
        <v>0</v>
      </c>
    </row>
    <row r="315" spans="1:9" ht="15" customHeight="1">
      <c r="A315" s="25" t="s">
        <v>2556</v>
      </c>
      <c r="B315" s="25" t="s">
        <v>3157</v>
      </c>
      <c r="C315" s="26" t="s">
        <v>3464</v>
      </c>
      <c r="D315" s="25">
        <v>3104399375</v>
      </c>
      <c r="E315" s="25" t="s">
        <v>3763</v>
      </c>
      <c r="F315" s="25">
        <v>834</v>
      </c>
      <c r="G315" s="25">
        <v>219</v>
      </c>
      <c r="H315" s="25">
        <v>3290122862</v>
      </c>
      <c r="I315" s="25">
        <v>0</v>
      </c>
    </row>
    <row r="316" spans="1:9" ht="15" customHeight="1">
      <c r="A316" s="25" t="s">
        <v>2557</v>
      </c>
      <c r="B316" s="25" t="s">
        <v>3158</v>
      </c>
      <c r="C316" s="26" t="s">
        <v>3464</v>
      </c>
      <c r="D316" s="25">
        <v>3104399375</v>
      </c>
      <c r="E316" s="25" t="s">
        <v>3764</v>
      </c>
      <c r="F316" s="27" t="s">
        <v>4059</v>
      </c>
      <c r="G316" s="25">
        <v>219</v>
      </c>
      <c r="H316" s="25">
        <v>108740607</v>
      </c>
      <c r="I316" s="25">
        <v>0</v>
      </c>
    </row>
    <row r="317" spans="1:9" ht="15" customHeight="1">
      <c r="A317" s="25" t="s">
        <v>2558</v>
      </c>
      <c r="B317" s="25" t="s">
        <v>3159</v>
      </c>
      <c r="C317" s="26" t="s">
        <v>3464</v>
      </c>
      <c r="D317" s="25">
        <v>3104399375</v>
      </c>
      <c r="E317" s="25" t="s">
        <v>3765</v>
      </c>
      <c r="F317" s="27" t="s">
        <v>4059</v>
      </c>
      <c r="G317" s="25">
        <v>219</v>
      </c>
      <c r="H317" s="25">
        <v>389497789</v>
      </c>
      <c r="I317" s="25">
        <v>0</v>
      </c>
    </row>
    <row r="318" spans="1:9" ht="15" customHeight="1">
      <c r="A318" s="25" t="s">
        <v>2559</v>
      </c>
      <c r="B318" s="25" t="s">
        <v>3160</v>
      </c>
      <c r="C318" s="26" t="s">
        <v>3464</v>
      </c>
      <c r="D318" s="25">
        <v>3104399375</v>
      </c>
      <c r="E318" s="25" t="s">
        <v>3766</v>
      </c>
      <c r="F318" s="25">
        <v>892</v>
      </c>
      <c r="G318" s="25">
        <v>219</v>
      </c>
      <c r="H318" s="25">
        <v>3721509069</v>
      </c>
      <c r="I318" s="25">
        <v>0</v>
      </c>
    </row>
    <row r="319" spans="1:9" ht="15" customHeight="1">
      <c r="A319" s="25" t="s">
        <v>2560</v>
      </c>
      <c r="B319" s="25" t="s">
        <v>3161</v>
      </c>
      <c r="C319" s="26" t="s">
        <v>3464</v>
      </c>
      <c r="D319" s="25">
        <v>3104399375</v>
      </c>
      <c r="E319" s="25" t="s">
        <v>3767</v>
      </c>
      <c r="F319" s="25">
        <v>892</v>
      </c>
      <c r="G319" s="25">
        <v>219</v>
      </c>
      <c r="H319" s="25">
        <v>63171165</v>
      </c>
      <c r="I319" s="25">
        <v>0</v>
      </c>
    </row>
    <row r="320" spans="1:9" ht="15" customHeight="1">
      <c r="A320" s="25" t="s">
        <v>2561</v>
      </c>
      <c r="B320" s="25" t="s">
        <v>3162</v>
      </c>
      <c r="C320" s="26" t="s">
        <v>3464</v>
      </c>
      <c r="D320" s="25">
        <v>3104399375</v>
      </c>
      <c r="E320" s="25" t="s">
        <v>3768</v>
      </c>
      <c r="F320" s="27" t="s">
        <v>4059</v>
      </c>
      <c r="G320" s="25">
        <v>219</v>
      </c>
      <c r="H320" s="25">
        <v>63554904</v>
      </c>
      <c r="I320" s="25">
        <v>0</v>
      </c>
    </row>
    <row r="321" spans="1:9" ht="15" customHeight="1">
      <c r="A321" s="25" t="s">
        <v>2562</v>
      </c>
      <c r="B321" s="25" t="s">
        <v>3163</v>
      </c>
      <c r="C321" s="26" t="s">
        <v>3464</v>
      </c>
      <c r="D321" s="25">
        <v>3104399375</v>
      </c>
      <c r="E321" s="25" t="s">
        <v>3769</v>
      </c>
      <c r="F321" s="25">
        <v>892</v>
      </c>
      <c r="G321" s="25">
        <v>219</v>
      </c>
      <c r="H321" s="25">
        <v>144089600</v>
      </c>
      <c r="I321" s="25">
        <v>0</v>
      </c>
    </row>
    <row r="322" spans="1:9" ht="15" customHeight="1">
      <c r="A322" s="25" t="s">
        <v>2563</v>
      </c>
      <c r="B322" s="25" t="s">
        <v>3164</v>
      </c>
      <c r="C322" s="26" t="s">
        <v>3464</v>
      </c>
      <c r="D322" s="25">
        <v>3104399375</v>
      </c>
      <c r="E322" s="25" t="s">
        <v>3770</v>
      </c>
      <c r="F322" s="27" t="s">
        <v>4059</v>
      </c>
      <c r="G322" s="25">
        <v>219</v>
      </c>
      <c r="H322" s="25">
        <v>3980258215</v>
      </c>
      <c r="I322" s="25">
        <v>0</v>
      </c>
    </row>
    <row r="323" spans="1:9" ht="15" customHeight="1">
      <c r="A323" s="25" t="s">
        <v>2564</v>
      </c>
      <c r="B323" s="25" t="s">
        <v>3165</v>
      </c>
      <c r="C323" s="26" t="s">
        <v>3464</v>
      </c>
      <c r="D323" s="25">
        <v>3104399375</v>
      </c>
      <c r="E323" s="25" t="s">
        <v>3771</v>
      </c>
      <c r="F323" s="25">
        <v>266</v>
      </c>
      <c r="G323" s="25">
        <v>219</v>
      </c>
      <c r="H323" s="25">
        <v>60336580</v>
      </c>
      <c r="I323" s="25">
        <v>0</v>
      </c>
    </row>
    <row r="324" spans="1:9" ht="15" customHeight="1">
      <c r="A324" s="25" t="s">
        <v>2565</v>
      </c>
      <c r="B324" s="25" t="s">
        <v>3166</v>
      </c>
      <c r="C324" s="26" t="s">
        <v>3464</v>
      </c>
      <c r="D324" s="25">
        <v>3104399375</v>
      </c>
      <c r="E324" s="25" t="s">
        <v>3772</v>
      </c>
      <c r="F324" s="27" t="s">
        <v>4059</v>
      </c>
      <c r="G324" s="25">
        <v>219</v>
      </c>
      <c r="H324" s="25">
        <v>473029011</v>
      </c>
      <c r="I324" s="25">
        <v>0</v>
      </c>
    </row>
    <row r="325" spans="1:9" ht="15" customHeight="1">
      <c r="A325" s="25" t="s">
        <v>2566</v>
      </c>
      <c r="B325" s="25" t="s">
        <v>3167</v>
      </c>
      <c r="C325" s="26" t="s">
        <v>3464</v>
      </c>
      <c r="D325" s="25">
        <v>3104399375</v>
      </c>
      <c r="E325" s="25" t="s">
        <v>3773</v>
      </c>
      <c r="F325" s="27" t="s">
        <v>4059</v>
      </c>
      <c r="G325" s="25">
        <v>219</v>
      </c>
      <c r="H325" s="25">
        <v>2540872215</v>
      </c>
      <c r="I325" s="25">
        <v>0</v>
      </c>
    </row>
    <row r="326" spans="1:9" ht="15" customHeight="1">
      <c r="A326" s="25" t="s">
        <v>2567</v>
      </c>
      <c r="B326" s="25" t="s">
        <v>3168</v>
      </c>
      <c r="C326" s="26" t="s">
        <v>3464</v>
      </c>
      <c r="D326" s="25">
        <v>3104399375</v>
      </c>
      <c r="E326" s="25" t="s">
        <v>3774</v>
      </c>
      <c r="F326" s="27" t="s">
        <v>4059</v>
      </c>
      <c r="G326" s="25">
        <v>219</v>
      </c>
      <c r="H326" s="25">
        <v>1146365257</v>
      </c>
      <c r="I326" s="25">
        <v>0</v>
      </c>
    </row>
    <row r="327" spans="1:9" ht="15" customHeight="1">
      <c r="A327" s="25" t="s">
        <v>2568</v>
      </c>
      <c r="B327" s="25" t="s">
        <v>3169</v>
      </c>
      <c r="C327" s="26" t="s">
        <v>3464</v>
      </c>
      <c r="D327" s="25">
        <v>3104399375</v>
      </c>
      <c r="E327" s="25" t="s">
        <v>3775</v>
      </c>
      <c r="F327" s="25">
        <v>631</v>
      </c>
      <c r="G327" s="25">
        <v>219</v>
      </c>
      <c r="H327" s="25">
        <v>163950513</v>
      </c>
      <c r="I327" s="25">
        <v>0</v>
      </c>
    </row>
    <row r="328" spans="1:9" ht="15" customHeight="1">
      <c r="A328" s="25" t="s">
        <v>2569</v>
      </c>
      <c r="B328" s="25" t="s">
        <v>3170</v>
      </c>
      <c r="C328" s="26" t="s">
        <v>3464</v>
      </c>
      <c r="D328" s="25">
        <v>3104399375</v>
      </c>
      <c r="E328" s="25" t="s">
        <v>3776</v>
      </c>
      <c r="F328" s="27" t="s">
        <v>4059</v>
      </c>
      <c r="G328" s="25">
        <v>219</v>
      </c>
      <c r="H328" s="25">
        <v>166766439</v>
      </c>
      <c r="I328" s="25">
        <v>0</v>
      </c>
    </row>
    <row r="329" spans="1:9" ht="15" customHeight="1">
      <c r="A329" s="25" t="s">
        <v>2570</v>
      </c>
      <c r="B329" s="25" t="s">
        <v>3171</v>
      </c>
      <c r="C329" s="26" t="s">
        <v>3464</v>
      </c>
      <c r="D329" s="25">
        <v>3104399375</v>
      </c>
      <c r="E329" s="25" t="s">
        <v>3777</v>
      </c>
      <c r="F329" s="25">
        <v>238</v>
      </c>
      <c r="G329" s="25">
        <v>219</v>
      </c>
      <c r="H329" s="25">
        <v>338975746</v>
      </c>
      <c r="I329" s="25">
        <v>0</v>
      </c>
    </row>
    <row r="330" spans="1:9" ht="15" customHeight="1">
      <c r="A330" s="25" t="s">
        <v>2571</v>
      </c>
      <c r="B330" s="25" t="s">
        <v>3172</v>
      </c>
      <c r="C330" s="26" t="s">
        <v>3464</v>
      </c>
      <c r="D330" s="25">
        <v>3104399375</v>
      </c>
      <c r="E330" s="25" t="s">
        <v>3778</v>
      </c>
      <c r="F330" s="27" t="s">
        <v>4059</v>
      </c>
      <c r="G330" s="25">
        <v>219</v>
      </c>
      <c r="H330" s="25">
        <v>1533437022</v>
      </c>
      <c r="I330" s="25">
        <v>0</v>
      </c>
    </row>
    <row r="331" spans="1:9" ht="15" customHeight="1">
      <c r="A331" s="25" t="s">
        <v>2572</v>
      </c>
      <c r="B331" s="25" t="s">
        <v>3173</v>
      </c>
      <c r="C331" s="26" t="s">
        <v>3464</v>
      </c>
      <c r="D331" s="25">
        <v>3104399375</v>
      </c>
      <c r="E331" s="25" t="s">
        <v>3779</v>
      </c>
      <c r="F331" s="27" t="s">
        <v>4059</v>
      </c>
      <c r="G331" s="25">
        <v>219</v>
      </c>
      <c r="H331" s="25">
        <v>111848382</v>
      </c>
      <c r="I331" s="25">
        <v>0</v>
      </c>
    </row>
    <row r="332" spans="1:9" ht="15" customHeight="1">
      <c r="A332" s="25" t="s">
        <v>2573</v>
      </c>
      <c r="B332" s="25" t="s">
        <v>3174</v>
      </c>
      <c r="C332" s="26" t="s">
        <v>3464</v>
      </c>
      <c r="D332" s="25">
        <v>3104399375</v>
      </c>
      <c r="E332" s="25" t="s">
        <v>3780</v>
      </c>
      <c r="F332" s="27" t="s">
        <v>4059</v>
      </c>
      <c r="G332" s="25">
        <v>219</v>
      </c>
      <c r="H332" s="25">
        <v>536846214</v>
      </c>
      <c r="I332" s="25">
        <v>0</v>
      </c>
    </row>
    <row r="333" spans="1:9" ht="15" customHeight="1">
      <c r="A333" s="25" t="s">
        <v>2574</v>
      </c>
      <c r="B333" s="25" t="s">
        <v>3175</v>
      </c>
      <c r="C333" s="26" t="s">
        <v>3464</v>
      </c>
      <c r="D333" s="25">
        <v>3104399375</v>
      </c>
      <c r="E333" s="25" t="s">
        <v>3781</v>
      </c>
      <c r="F333" s="25">
        <v>360</v>
      </c>
      <c r="G333" s="25">
        <v>219</v>
      </c>
      <c r="H333" s="25">
        <v>784174551</v>
      </c>
      <c r="I333" s="25">
        <v>0</v>
      </c>
    </row>
    <row r="334" spans="1:9" ht="15" customHeight="1">
      <c r="A334" s="25" t="s">
        <v>2575</v>
      </c>
      <c r="B334" s="25" t="s">
        <v>3176</v>
      </c>
      <c r="C334" s="26" t="s">
        <v>3464</v>
      </c>
      <c r="D334" s="25">
        <v>3104399375</v>
      </c>
      <c r="E334" s="25" t="s">
        <v>3782</v>
      </c>
      <c r="F334" s="25">
        <v>380</v>
      </c>
      <c r="G334" s="25">
        <v>219</v>
      </c>
      <c r="H334" s="25">
        <v>12165280</v>
      </c>
      <c r="I334" s="25">
        <v>0</v>
      </c>
    </row>
    <row r="335" spans="1:9" ht="15" customHeight="1">
      <c r="A335" s="25" t="s">
        <v>2576</v>
      </c>
      <c r="B335" s="25" t="s">
        <v>3177</v>
      </c>
      <c r="C335" s="26" t="s">
        <v>3464</v>
      </c>
      <c r="D335" s="25">
        <v>3104399375</v>
      </c>
      <c r="E335" s="25" t="s">
        <v>3783</v>
      </c>
      <c r="F335" s="27" t="s">
        <v>4059</v>
      </c>
      <c r="G335" s="25">
        <v>219</v>
      </c>
      <c r="H335" s="25">
        <v>41858144</v>
      </c>
      <c r="I335" s="25">
        <v>0</v>
      </c>
    </row>
    <row r="336" spans="1:9" ht="15" customHeight="1">
      <c r="A336" s="25" t="s">
        <v>2577</v>
      </c>
      <c r="B336" s="25" t="s">
        <v>3178</v>
      </c>
      <c r="C336" s="26" t="s">
        <v>3464</v>
      </c>
      <c r="D336" s="25">
        <v>3104399375</v>
      </c>
      <c r="E336" s="25" t="s">
        <v>3784</v>
      </c>
      <c r="F336" s="27" t="s">
        <v>4059</v>
      </c>
      <c r="G336" s="25">
        <v>219</v>
      </c>
      <c r="H336" s="25">
        <v>1464825428</v>
      </c>
      <c r="I336" s="25">
        <v>0</v>
      </c>
    </row>
    <row r="337" spans="1:9" ht="15" customHeight="1">
      <c r="A337" s="25" t="s">
        <v>2578</v>
      </c>
      <c r="B337" s="25" t="s">
        <v>3179</v>
      </c>
      <c r="C337" s="26" t="s">
        <v>3464</v>
      </c>
      <c r="D337" s="25">
        <v>3104399375</v>
      </c>
      <c r="E337" s="25" t="s">
        <v>3785</v>
      </c>
      <c r="F337" s="27" t="s">
        <v>4059</v>
      </c>
      <c r="G337" s="25">
        <v>219</v>
      </c>
      <c r="H337" s="25">
        <v>113281438</v>
      </c>
      <c r="I337" s="25">
        <v>0</v>
      </c>
    </row>
    <row r="338" spans="1:9" ht="15" customHeight="1">
      <c r="A338" s="25" t="s">
        <v>2579</v>
      </c>
      <c r="B338" s="25" t="s">
        <v>3180</v>
      </c>
      <c r="C338" s="26" t="s">
        <v>3464</v>
      </c>
      <c r="D338" s="25">
        <v>3104399375</v>
      </c>
      <c r="E338" s="25" t="s">
        <v>3786</v>
      </c>
      <c r="F338" s="27" t="s">
        <v>4059</v>
      </c>
      <c r="G338" s="25">
        <v>219</v>
      </c>
      <c r="H338" s="25">
        <v>1118767902</v>
      </c>
      <c r="I338" s="25">
        <v>0</v>
      </c>
    </row>
    <row r="339" spans="1:9" ht="15" customHeight="1">
      <c r="A339" s="25" t="s">
        <v>2580</v>
      </c>
      <c r="B339" s="25" t="s">
        <v>3181</v>
      </c>
      <c r="C339" s="26" t="s">
        <v>3464</v>
      </c>
      <c r="D339" s="25">
        <v>3104399375</v>
      </c>
      <c r="E339" s="25" t="s">
        <v>3787</v>
      </c>
      <c r="F339" s="27" t="s">
        <v>4059</v>
      </c>
      <c r="G339" s="25">
        <v>219</v>
      </c>
      <c r="H339" s="25">
        <v>1418045921</v>
      </c>
      <c r="I339" s="25">
        <v>0</v>
      </c>
    </row>
    <row r="340" spans="1:9" ht="15" customHeight="1">
      <c r="A340" s="25" t="s">
        <v>2581</v>
      </c>
      <c r="B340" s="25" t="s">
        <v>3182</v>
      </c>
      <c r="C340" s="26" t="s">
        <v>3464</v>
      </c>
      <c r="D340" s="25">
        <v>3104399375</v>
      </c>
      <c r="E340" s="25" t="s">
        <v>3788</v>
      </c>
      <c r="F340" s="25">
        <v>238</v>
      </c>
      <c r="G340" s="25">
        <v>219</v>
      </c>
      <c r="H340" s="25">
        <v>2393838851</v>
      </c>
      <c r="I340" s="25">
        <v>0</v>
      </c>
    </row>
    <row r="341" spans="1:9" ht="15" customHeight="1">
      <c r="A341" s="25" t="s">
        <v>2582</v>
      </c>
      <c r="B341" s="25" t="s">
        <v>3183</v>
      </c>
      <c r="C341" s="26" t="s">
        <v>3464</v>
      </c>
      <c r="D341" s="25">
        <v>3104399375</v>
      </c>
      <c r="E341" s="25" t="s">
        <v>3789</v>
      </c>
      <c r="F341" s="25">
        <v>520</v>
      </c>
      <c r="G341" s="25">
        <v>219</v>
      </c>
      <c r="H341" s="25">
        <v>43784630</v>
      </c>
      <c r="I341" s="25">
        <v>0</v>
      </c>
    </row>
    <row r="342" spans="1:9" ht="15" customHeight="1">
      <c r="A342" s="25" t="s">
        <v>2583</v>
      </c>
      <c r="B342" s="25" t="s">
        <v>3184</v>
      </c>
      <c r="C342" s="26" t="s">
        <v>3464</v>
      </c>
      <c r="D342" s="25">
        <v>3104399375</v>
      </c>
      <c r="E342" s="25" t="s">
        <v>3790</v>
      </c>
      <c r="F342" s="27" t="s">
        <v>4059</v>
      </c>
      <c r="G342" s="25">
        <v>219</v>
      </c>
      <c r="H342" s="25">
        <v>394478792</v>
      </c>
      <c r="I342" s="25">
        <v>0</v>
      </c>
    </row>
    <row r="343" spans="1:9" ht="15" customHeight="1">
      <c r="A343" s="25" t="s">
        <v>2584</v>
      </c>
      <c r="B343" s="25" t="s">
        <v>3185</v>
      </c>
      <c r="C343" s="26" t="s">
        <v>3464</v>
      </c>
      <c r="D343" s="25">
        <v>3104399375</v>
      </c>
      <c r="E343" s="25" t="s">
        <v>3791</v>
      </c>
      <c r="F343" s="27" t="s">
        <v>4059</v>
      </c>
      <c r="G343" s="25">
        <v>219</v>
      </c>
      <c r="H343" s="25">
        <v>1407741419</v>
      </c>
      <c r="I343" s="25">
        <v>0</v>
      </c>
    </row>
    <row r="344" spans="1:9" ht="15" customHeight="1">
      <c r="A344" s="25" t="s">
        <v>2585</v>
      </c>
      <c r="B344" s="25" t="s">
        <v>3186</v>
      </c>
      <c r="C344" s="26" t="s">
        <v>3464</v>
      </c>
      <c r="D344" s="25">
        <v>3104399375</v>
      </c>
      <c r="E344" s="25" t="s">
        <v>3737</v>
      </c>
      <c r="F344" s="25">
        <v>238</v>
      </c>
      <c r="G344" s="25">
        <v>219</v>
      </c>
      <c r="H344" s="25">
        <v>4216554258</v>
      </c>
      <c r="I344" s="25">
        <v>0</v>
      </c>
    </row>
    <row r="345" spans="1:9" ht="15" customHeight="1">
      <c r="A345" s="25" t="s">
        <v>2586</v>
      </c>
      <c r="B345" s="25" t="s">
        <v>3187</v>
      </c>
      <c r="C345" s="26" t="s">
        <v>3464</v>
      </c>
      <c r="D345" s="25">
        <v>3104399375</v>
      </c>
      <c r="E345" s="25" t="s">
        <v>3792</v>
      </c>
      <c r="F345" s="27" t="s">
        <v>4059</v>
      </c>
      <c r="G345" s="25">
        <v>219</v>
      </c>
      <c r="H345" s="25">
        <v>64137836</v>
      </c>
      <c r="I345" s="25">
        <v>0</v>
      </c>
    </row>
    <row r="346" spans="1:9" ht="15" customHeight="1">
      <c r="A346" s="25" t="s">
        <v>2587</v>
      </c>
      <c r="B346" s="25" t="s">
        <v>3188</v>
      </c>
      <c r="C346" s="26" t="s">
        <v>3464</v>
      </c>
      <c r="D346" s="25">
        <v>3104399375</v>
      </c>
      <c r="E346" s="25" t="s">
        <v>3793</v>
      </c>
      <c r="F346" s="27" t="s">
        <v>4059</v>
      </c>
      <c r="G346" s="25">
        <v>219</v>
      </c>
      <c r="H346" s="25">
        <v>685120432</v>
      </c>
      <c r="I346" s="25">
        <v>0</v>
      </c>
    </row>
    <row r="347" spans="1:9" ht="15" customHeight="1">
      <c r="A347" s="25" t="s">
        <v>2588</v>
      </c>
      <c r="B347" s="25" t="s">
        <v>3189</v>
      </c>
      <c r="C347" s="26" t="s">
        <v>3464</v>
      </c>
      <c r="D347" s="25">
        <v>3104399375</v>
      </c>
      <c r="E347" s="25" t="s">
        <v>3794</v>
      </c>
      <c r="F347" s="27" t="s">
        <v>4059</v>
      </c>
      <c r="G347" s="25">
        <v>219</v>
      </c>
      <c r="H347" s="25">
        <v>30944461</v>
      </c>
      <c r="I347" s="25">
        <v>0</v>
      </c>
    </row>
    <row r="348" spans="1:9" ht="15" customHeight="1">
      <c r="A348" s="25" t="s">
        <v>2589</v>
      </c>
      <c r="B348" s="25" t="s">
        <v>3190</v>
      </c>
      <c r="C348" s="26" t="s">
        <v>3464</v>
      </c>
      <c r="D348" s="25">
        <v>3104399375</v>
      </c>
      <c r="E348" s="25" t="s">
        <v>3795</v>
      </c>
      <c r="F348" s="27" t="s">
        <v>4059</v>
      </c>
      <c r="G348" s="25">
        <v>219</v>
      </c>
      <c r="H348" s="25">
        <v>193908737</v>
      </c>
      <c r="I348" s="25">
        <v>0</v>
      </c>
    </row>
    <row r="349" spans="1:9" ht="15" customHeight="1">
      <c r="A349" s="25" t="s">
        <v>2590</v>
      </c>
      <c r="B349" s="25" t="s">
        <v>3191</v>
      </c>
      <c r="C349" s="26" t="s">
        <v>3464</v>
      </c>
      <c r="D349" s="25">
        <v>3104399375</v>
      </c>
      <c r="E349" s="25" t="s">
        <v>3796</v>
      </c>
      <c r="F349" s="25">
        <v>430</v>
      </c>
      <c r="G349" s="25">
        <v>219</v>
      </c>
      <c r="H349" s="25">
        <v>89122592</v>
      </c>
      <c r="I349" s="25">
        <v>0</v>
      </c>
    </row>
    <row r="350" spans="1:9" ht="15" customHeight="1">
      <c r="A350" s="25" t="s">
        <v>2591</v>
      </c>
      <c r="B350" s="25" t="s">
        <v>3192</v>
      </c>
      <c r="C350" s="26" t="s">
        <v>3464</v>
      </c>
      <c r="D350" s="25">
        <v>3104399375</v>
      </c>
      <c r="E350" s="25" t="s">
        <v>3797</v>
      </c>
      <c r="F350" s="27" t="s">
        <v>4059</v>
      </c>
      <c r="G350" s="25">
        <v>219</v>
      </c>
      <c r="H350" s="25">
        <v>11047909</v>
      </c>
      <c r="I350" s="25">
        <v>0</v>
      </c>
    </row>
    <row r="351" spans="1:9" ht="15" customHeight="1">
      <c r="A351" s="25" t="s">
        <v>2592</v>
      </c>
      <c r="B351" s="25" t="s">
        <v>3193</v>
      </c>
      <c r="C351" s="26" t="s">
        <v>3464</v>
      </c>
      <c r="D351" s="25">
        <v>3104399375</v>
      </c>
      <c r="E351" s="25" t="s">
        <v>3798</v>
      </c>
      <c r="F351" s="25">
        <v>759</v>
      </c>
      <c r="G351" s="25">
        <v>219</v>
      </c>
      <c r="H351" s="25">
        <v>108953219</v>
      </c>
      <c r="I351" s="25">
        <v>0</v>
      </c>
    </row>
    <row r="352" spans="1:9" ht="15" customHeight="1">
      <c r="A352" s="25" t="s">
        <v>2593</v>
      </c>
      <c r="B352" s="25" t="s">
        <v>3194</v>
      </c>
      <c r="C352" s="26" t="s">
        <v>3464</v>
      </c>
      <c r="D352" s="25">
        <v>3104399375</v>
      </c>
      <c r="E352" s="25" t="s">
        <v>3799</v>
      </c>
      <c r="F352" s="27" t="s">
        <v>4059</v>
      </c>
      <c r="G352" s="25">
        <v>219</v>
      </c>
      <c r="H352" s="25">
        <v>7632158417</v>
      </c>
      <c r="I352" s="25">
        <v>0</v>
      </c>
    </row>
    <row r="353" spans="1:9" ht="15" customHeight="1">
      <c r="A353" s="25" t="s">
        <v>2594</v>
      </c>
      <c r="B353" s="25" t="s">
        <v>3195</v>
      </c>
      <c r="C353" s="26" t="s">
        <v>3464</v>
      </c>
      <c r="D353" s="25">
        <v>3104399375</v>
      </c>
      <c r="E353" s="25" t="s">
        <v>3800</v>
      </c>
      <c r="F353" s="25">
        <v>430</v>
      </c>
      <c r="G353" s="25">
        <v>219</v>
      </c>
      <c r="H353" s="25">
        <v>91591845</v>
      </c>
      <c r="I353" s="25">
        <v>0</v>
      </c>
    </row>
    <row r="354" spans="1:9" ht="15" customHeight="1">
      <c r="A354" s="25" t="s">
        <v>2595</v>
      </c>
      <c r="B354" s="25" t="s">
        <v>3196</v>
      </c>
      <c r="C354" s="26" t="s">
        <v>3464</v>
      </c>
      <c r="D354" s="25">
        <v>3104399375</v>
      </c>
      <c r="E354" s="25" t="s">
        <v>3801</v>
      </c>
      <c r="F354" s="25">
        <v>754</v>
      </c>
      <c r="G354" s="25">
        <v>219</v>
      </c>
      <c r="H354" s="25">
        <v>53849102</v>
      </c>
      <c r="I354" s="25">
        <v>0</v>
      </c>
    </row>
    <row r="355" spans="1:9" ht="15" customHeight="1">
      <c r="A355" s="25" t="s">
        <v>2596</v>
      </c>
      <c r="B355" s="25" t="s">
        <v>3197</v>
      </c>
      <c r="C355" s="26" t="s">
        <v>3464</v>
      </c>
      <c r="D355" s="25">
        <v>3104399375</v>
      </c>
      <c r="E355" s="25" t="s">
        <v>3802</v>
      </c>
      <c r="F355" s="25">
        <v>899</v>
      </c>
      <c r="G355" s="25">
        <v>219</v>
      </c>
      <c r="H355" s="25">
        <v>764205</v>
      </c>
      <c r="I355" s="25">
        <v>0</v>
      </c>
    </row>
    <row r="356" spans="1:9" ht="15" customHeight="1">
      <c r="A356" s="25" t="s">
        <v>2597</v>
      </c>
      <c r="B356" s="25" t="s">
        <v>3198</v>
      </c>
      <c r="C356" s="26" t="s">
        <v>3464</v>
      </c>
      <c r="D356" s="25">
        <v>3104399375</v>
      </c>
      <c r="E356" s="25" t="s">
        <v>3803</v>
      </c>
      <c r="F356" s="27" t="s">
        <v>4059</v>
      </c>
      <c r="G356" s="25">
        <v>219</v>
      </c>
      <c r="H356" s="25">
        <v>108357986</v>
      </c>
      <c r="I356" s="25">
        <v>0</v>
      </c>
    </row>
    <row r="357" spans="1:9" ht="15" customHeight="1">
      <c r="A357" s="25" t="s">
        <v>2598</v>
      </c>
      <c r="B357" s="25" t="s">
        <v>3199</v>
      </c>
      <c r="C357" s="26" t="s">
        <v>3464</v>
      </c>
      <c r="D357" s="25">
        <v>3104399375</v>
      </c>
      <c r="E357" s="25" t="s">
        <v>3804</v>
      </c>
      <c r="F357" s="27" t="s">
        <v>4059</v>
      </c>
      <c r="G357" s="25">
        <v>219</v>
      </c>
      <c r="H357" s="25">
        <v>1017825841</v>
      </c>
      <c r="I357" s="25">
        <v>0</v>
      </c>
    </row>
    <row r="358" spans="1:9" ht="15" customHeight="1">
      <c r="A358" s="25" t="s">
        <v>2599</v>
      </c>
      <c r="B358" s="25" t="s">
        <v>3200</v>
      </c>
      <c r="C358" s="26" t="s">
        <v>3464</v>
      </c>
      <c r="D358" s="25">
        <v>3104399375</v>
      </c>
      <c r="E358" s="25" t="s">
        <v>3805</v>
      </c>
      <c r="F358" s="25">
        <v>214</v>
      </c>
      <c r="G358" s="25">
        <v>219</v>
      </c>
      <c r="H358" s="25">
        <v>260508460</v>
      </c>
      <c r="I358" s="25">
        <v>0</v>
      </c>
    </row>
    <row r="359" spans="1:9" ht="15" customHeight="1">
      <c r="A359" s="25" t="s">
        <v>2600</v>
      </c>
      <c r="B359" s="25" t="s">
        <v>3201</v>
      </c>
      <c r="C359" s="26" t="s">
        <v>3464</v>
      </c>
      <c r="D359" s="25">
        <v>3104399375</v>
      </c>
      <c r="E359" s="25" t="s">
        <v>3806</v>
      </c>
      <c r="F359" s="27" t="s">
        <v>4059</v>
      </c>
      <c r="G359" s="25">
        <v>219</v>
      </c>
      <c r="H359" s="25">
        <v>578383246</v>
      </c>
      <c r="I359" s="25">
        <v>0</v>
      </c>
    </row>
    <row r="360" spans="1:9" ht="15" customHeight="1">
      <c r="A360" s="25" t="s">
        <v>2601</v>
      </c>
      <c r="B360" s="25" t="s">
        <v>3202</v>
      </c>
      <c r="C360" s="26" t="s">
        <v>3464</v>
      </c>
      <c r="D360" s="25">
        <v>3104399375</v>
      </c>
      <c r="E360" s="25" t="s">
        <v>3807</v>
      </c>
      <c r="F360" s="25">
        <v>238</v>
      </c>
      <c r="G360" s="25">
        <v>219</v>
      </c>
      <c r="H360" s="25">
        <v>450776750</v>
      </c>
      <c r="I360" s="25">
        <v>0</v>
      </c>
    </row>
    <row r="361" spans="1:9" ht="15" customHeight="1">
      <c r="A361" s="25" t="s">
        <v>2602</v>
      </c>
      <c r="B361" s="25" t="s">
        <v>3203</v>
      </c>
      <c r="C361" s="26" t="s">
        <v>3464</v>
      </c>
      <c r="D361" s="25">
        <v>3104399375</v>
      </c>
      <c r="E361" s="25" t="s">
        <v>3808</v>
      </c>
      <c r="F361" s="25">
        <v>693</v>
      </c>
      <c r="G361" s="25">
        <v>219</v>
      </c>
      <c r="H361" s="25">
        <v>239360000</v>
      </c>
      <c r="I361" s="25">
        <v>0</v>
      </c>
    </row>
    <row r="362" spans="1:9" ht="15" customHeight="1">
      <c r="A362" s="25" t="s">
        <v>2603</v>
      </c>
      <c r="B362" s="25" t="s">
        <v>3204</v>
      </c>
      <c r="C362" s="26" t="s">
        <v>3464</v>
      </c>
      <c r="D362" s="25">
        <v>3104399375</v>
      </c>
      <c r="E362" s="25" t="s">
        <v>3809</v>
      </c>
      <c r="F362" s="25">
        <v>769</v>
      </c>
      <c r="G362" s="25">
        <v>219</v>
      </c>
      <c r="H362" s="25">
        <v>521430999</v>
      </c>
      <c r="I362" s="25">
        <v>0</v>
      </c>
    </row>
    <row r="363" spans="1:9" ht="15" customHeight="1">
      <c r="A363" s="25" t="s">
        <v>2604</v>
      </c>
      <c r="B363" s="25" t="s">
        <v>3205</v>
      </c>
      <c r="C363" s="26" t="s">
        <v>3464</v>
      </c>
      <c r="D363" s="25">
        <v>3104399375</v>
      </c>
      <c r="E363" s="25" t="s">
        <v>3810</v>
      </c>
      <c r="F363" s="27" t="s">
        <v>4059</v>
      </c>
      <c r="G363" s="25">
        <v>219</v>
      </c>
      <c r="H363" s="25">
        <v>286314191</v>
      </c>
      <c r="I363" s="25">
        <v>0</v>
      </c>
    </row>
    <row r="364" spans="1:9" ht="15" customHeight="1">
      <c r="A364" s="25" t="s">
        <v>2605</v>
      </c>
      <c r="B364" s="25" t="s">
        <v>3206</v>
      </c>
      <c r="C364" s="26" t="s">
        <v>3464</v>
      </c>
      <c r="D364" s="25">
        <v>3104399375</v>
      </c>
      <c r="E364" s="25" t="s">
        <v>3811</v>
      </c>
      <c r="F364" s="25">
        <v>126</v>
      </c>
      <c r="G364" s="25">
        <v>219</v>
      </c>
      <c r="H364" s="25">
        <v>19741211</v>
      </c>
      <c r="I364" s="25">
        <v>0</v>
      </c>
    </row>
    <row r="365" spans="1:9" ht="15" customHeight="1">
      <c r="A365" s="25" t="s">
        <v>2606</v>
      </c>
      <c r="B365" s="25" t="s">
        <v>3207</v>
      </c>
      <c r="C365" s="26" t="s">
        <v>3464</v>
      </c>
      <c r="D365" s="25">
        <v>3104399375</v>
      </c>
      <c r="E365" s="25" t="s">
        <v>3812</v>
      </c>
      <c r="F365" s="25">
        <v>380</v>
      </c>
      <c r="G365" s="25">
        <v>219</v>
      </c>
      <c r="H365" s="25">
        <v>160246685</v>
      </c>
      <c r="I365" s="25">
        <v>0</v>
      </c>
    </row>
    <row r="366" spans="1:9" ht="15" customHeight="1">
      <c r="A366" s="25" t="s">
        <v>2607</v>
      </c>
      <c r="B366" s="25" t="s">
        <v>3208</v>
      </c>
      <c r="C366" s="26" t="s">
        <v>3464</v>
      </c>
      <c r="D366" s="25">
        <v>3104399375</v>
      </c>
      <c r="E366" s="25" t="s">
        <v>3813</v>
      </c>
      <c r="F366" s="25">
        <v>307</v>
      </c>
      <c r="G366" s="25">
        <v>219</v>
      </c>
      <c r="H366" s="25">
        <v>232820451</v>
      </c>
      <c r="I366" s="25">
        <v>0</v>
      </c>
    </row>
    <row r="367" spans="1:9" ht="15" customHeight="1">
      <c r="A367" s="25" t="s">
        <v>2608</v>
      </c>
      <c r="B367" s="25" t="s">
        <v>3209</v>
      </c>
      <c r="C367" s="26" t="s">
        <v>3464</v>
      </c>
      <c r="D367" s="25">
        <v>3104399375</v>
      </c>
      <c r="E367" s="25" t="s">
        <v>3814</v>
      </c>
      <c r="F367" s="27" t="s">
        <v>4059</v>
      </c>
      <c r="G367" s="25">
        <v>219</v>
      </c>
      <c r="H367" s="25">
        <v>135395477</v>
      </c>
      <c r="I367" s="25">
        <v>0</v>
      </c>
    </row>
    <row r="368" spans="1:9" ht="15" customHeight="1">
      <c r="A368" s="25" t="s">
        <v>2609</v>
      </c>
      <c r="B368" s="25" t="s">
        <v>3210</v>
      </c>
      <c r="C368" s="26" t="s">
        <v>3464</v>
      </c>
      <c r="D368" s="25">
        <v>3104399375</v>
      </c>
      <c r="E368" s="25" t="s">
        <v>3815</v>
      </c>
      <c r="F368" s="25">
        <v>238</v>
      </c>
      <c r="G368" s="25">
        <v>219</v>
      </c>
      <c r="H368" s="25">
        <v>4285713</v>
      </c>
      <c r="I368" s="25">
        <v>0</v>
      </c>
    </row>
    <row r="369" spans="1:9" ht="15" customHeight="1">
      <c r="A369" s="25" t="s">
        <v>2610</v>
      </c>
      <c r="B369" s="25" t="s">
        <v>3211</v>
      </c>
      <c r="C369" s="26" t="s">
        <v>3464</v>
      </c>
      <c r="D369" s="25">
        <v>3104399375</v>
      </c>
      <c r="E369" s="25" t="s">
        <v>3816</v>
      </c>
      <c r="F369" s="27" t="s">
        <v>4059</v>
      </c>
      <c r="G369" s="25">
        <v>219</v>
      </c>
      <c r="H369" s="25">
        <v>82146707</v>
      </c>
      <c r="I369" s="25">
        <v>0</v>
      </c>
    </row>
    <row r="370" spans="1:9" ht="15" customHeight="1">
      <c r="A370" s="25" t="s">
        <v>2611</v>
      </c>
      <c r="B370" s="25" t="s">
        <v>3212</v>
      </c>
      <c r="C370" s="26" t="s">
        <v>3464</v>
      </c>
      <c r="D370" s="25">
        <v>3104399375</v>
      </c>
      <c r="E370" s="25" t="s">
        <v>3817</v>
      </c>
      <c r="F370" s="27" t="s">
        <v>4059</v>
      </c>
      <c r="G370" s="25">
        <v>219</v>
      </c>
      <c r="H370" s="25">
        <v>89487371</v>
      </c>
      <c r="I370" s="25">
        <v>0</v>
      </c>
    </row>
    <row r="371" spans="1:9" ht="15" customHeight="1">
      <c r="A371" s="25" t="s">
        <v>2612</v>
      </c>
      <c r="B371" s="25" t="s">
        <v>3213</v>
      </c>
      <c r="C371" s="26" t="s">
        <v>3464</v>
      </c>
      <c r="D371" s="25">
        <v>3104399375</v>
      </c>
      <c r="E371" s="25" t="s">
        <v>3818</v>
      </c>
      <c r="F371" s="27" t="s">
        <v>4059</v>
      </c>
      <c r="G371" s="25">
        <v>219</v>
      </c>
      <c r="H371" s="25">
        <v>195847467</v>
      </c>
      <c r="I371" s="25">
        <v>0</v>
      </c>
    </row>
    <row r="372" spans="1:9" ht="15" customHeight="1">
      <c r="A372" s="25" t="s">
        <v>2613</v>
      </c>
      <c r="B372" s="25" t="s">
        <v>3214</v>
      </c>
      <c r="C372" s="26" t="s">
        <v>3464</v>
      </c>
      <c r="D372" s="25">
        <v>3104399375</v>
      </c>
      <c r="E372" s="25" t="s">
        <v>3819</v>
      </c>
      <c r="F372" s="27" t="s">
        <v>4059</v>
      </c>
      <c r="G372" s="25">
        <v>219</v>
      </c>
      <c r="H372" s="25">
        <v>1492888607</v>
      </c>
      <c r="I372" s="25">
        <v>0</v>
      </c>
    </row>
    <row r="373" spans="1:9" ht="15" customHeight="1">
      <c r="A373" s="25" t="s">
        <v>2614</v>
      </c>
      <c r="B373" s="25" t="s">
        <v>3215</v>
      </c>
      <c r="C373" s="26" t="s">
        <v>3464</v>
      </c>
      <c r="D373" s="25">
        <v>3104399375</v>
      </c>
      <c r="E373" s="25" t="s">
        <v>3820</v>
      </c>
      <c r="F373" s="27" t="s">
        <v>4059</v>
      </c>
      <c r="G373" s="25">
        <v>219</v>
      </c>
      <c r="H373" s="25">
        <v>80692165</v>
      </c>
      <c r="I373" s="25">
        <v>0</v>
      </c>
    </row>
    <row r="374" spans="1:9" ht="15" customHeight="1">
      <c r="A374" s="25" t="s">
        <v>2615</v>
      </c>
      <c r="B374" s="25" t="s">
        <v>3216</v>
      </c>
      <c r="C374" s="26" t="s">
        <v>3464</v>
      </c>
      <c r="D374" s="25">
        <v>3104399375</v>
      </c>
      <c r="E374" s="25" t="s">
        <v>3821</v>
      </c>
      <c r="F374" s="25">
        <v>214</v>
      </c>
      <c r="G374" s="25">
        <v>219</v>
      </c>
      <c r="H374" s="25">
        <v>88739041</v>
      </c>
      <c r="I374" s="25">
        <v>0</v>
      </c>
    </row>
    <row r="375" spans="1:9" ht="15" customHeight="1">
      <c r="A375" s="25" t="s">
        <v>2616</v>
      </c>
      <c r="B375" s="25" t="s">
        <v>3217</v>
      </c>
      <c r="C375" s="26" t="s">
        <v>3464</v>
      </c>
      <c r="D375" s="25">
        <v>3104399375</v>
      </c>
      <c r="E375" s="25" t="s">
        <v>3822</v>
      </c>
      <c r="F375" s="25">
        <v>238</v>
      </c>
      <c r="G375" s="25">
        <v>219</v>
      </c>
      <c r="H375" s="25">
        <v>16118404</v>
      </c>
      <c r="I375" s="25">
        <v>0</v>
      </c>
    </row>
    <row r="376" spans="1:9" ht="15" customHeight="1">
      <c r="A376" s="25" t="s">
        <v>2617</v>
      </c>
      <c r="B376" s="25" t="s">
        <v>3218</v>
      </c>
      <c r="C376" s="26" t="s">
        <v>3464</v>
      </c>
      <c r="D376" s="25">
        <v>3104399375</v>
      </c>
      <c r="E376" s="25" t="s">
        <v>3823</v>
      </c>
      <c r="F376" s="27" t="s">
        <v>4059</v>
      </c>
      <c r="G376" s="25">
        <v>219</v>
      </c>
      <c r="H376" s="25">
        <v>53146040</v>
      </c>
      <c r="I376" s="25">
        <v>0</v>
      </c>
    </row>
    <row r="377" spans="1:9" ht="15" customHeight="1">
      <c r="A377" s="25" t="s">
        <v>2618</v>
      </c>
      <c r="B377" s="25" t="s">
        <v>3219</v>
      </c>
      <c r="C377" s="26" t="s">
        <v>3464</v>
      </c>
      <c r="D377" s="25">
        <v>3104399375</v>
      </c>
      <c r="E377" s="25" t="s">
        <v>3824</v>
      </c>
      <c r="F377" s="27" t="s">
        <v>4059</v>
      </c>
      <c r="G377" s="25">
        <v>219</v>
      </c>
      <c r="H377" s="25">
        <v>7670857</v>
      </c>
      <c r="I377" s="25">
        <v>0</v>
      </c>
    </row>
    <row r="378" spans="1:9" ht="15" customHeight="1">
      <c r="A378" s="25" t="s">
        <v>2619</v>
      </c>
      <c r="B378" s="25" t="s">
        <v>3220</v>
      </c>
      <c r="C378" s="26" t="s">
        <v>3464</v>
      </c>
      <c r="D378" s="25">
        <v>3104399375</v>
      </c>
      <c r="E378" s="25" t="s">
        <v>3825</v>
      </c>
      <c r="F378" s="25">
        <v>837</v>
      </c>
      <c r="G378" s="25">
        <v>219</v>
      </c>
      <c r="H378" s="25">
        <v>10888000</v>
      </c>
      <c r="I378" s="25">
        <v>0</v>
      </c>
    </row>
    <row r="379" spans="1:9" ht="15" customHeight="1">
      <c r="A379" s="25" t="s">
        <v>2620</v>
      </c>
      <c r="B379" s="25" t="s">
        <v>3221</v>
      </c>
      <c r="C379" s="26" t="s">
        <v>3464</v>
      </c>
      <c r="D379" s="25">
        <v>3104399375</v>
      </c>
      <c r="E379" s="25" t="s">
        <v>3826</v>
      </c>
      <c r="F379" s="25">
        <v>806</v>
      </c>
      <c r="G379" s="25">
        <v>219</v>
      </c>
      <c r="H379" s="25">
        <v>9389550</v>
      </c>
      <c r="I379" s="25">
        <v>0</v>
      </c>
    </row>
    <row r="380" spans="1:9" ht="15" customHeight="1">
      <c r="A380" s="25" t="s">
        <v>2621</v>
      </c>
      <c r="B380" s="25" t="s">
        <v>3222</v>
      </c>
      <c r="C380" s="26" t="s">
        <v>3464</v>
      </c>
      <c r="D380" s="25">
        <v>3104399375</v>
      </c>
      <c r="E380" s="25" t="s">
        <v>3827</v>
      </c>
      <c r="F380" s="27" t="s">
        <v>4059</v>
      </c>
      <c r="G380" s="25">
        <v>219</v>
      </c>
      <c r="H380" s="25">
        <v>61986040</v>
      </c>
      <c r="I380" s="25">
        <v>0</v>
      </c>
    </row>
    <row r="381" spans="1:9" ht="15" customHeight="1">
      <c r="A381" s="25" t="s">
        <v>2622</v>
      </c>
      <c r="B381" s="25" t="s">
        <v>3223</v>
      </c>
      <c r="C381" s="26" t="s">
        <v>3464</v>
      </c>
      <c r="D381" s="25">
        <v>3104399375</v>
      </c>
      <c r="E381" s="25" t="s">
        <v>3828</v>
      </c>
      <c r="F381" s="25">
        <v>400</v>
      </c>
      <c r="G381" s="25">
        <v>219</v>
      </c>
      <c r="H381" s="25">
        <v>1080618909</v>
      </c>
      <c r="I381" s="25">
        <v>0</v>
      </c>
    </row>
    <row r="382" spans="1:9" ht="15" customHeight="1">
      <c r="A382" s="25" t="s">
        <v>2623</v>
      </c>
      <c r="B382" s="25" t="s">
        <v>3224</v>
      </c>
      <c r="C382" s="26" t="s">
        <v>3464</v>
      </c>
      <c r="D382" s="25">
        <v>3104399375</v>
      </c>
      <c r="E382" s="25" t="s">
        <v>3829</v>
      </c>
      <c r="F382" s="25">
        <v>615</v>
      </c>
      <c r="G382" s="25">
        <v>219</v>
      </c>
      <c r="H382" s="25">
        <v>47533132</v>
      </c>
      <c r="I382" s="25">
        <v>0</v>
      </c>
    </row>
    <row r="383" spans="1:9" ht="15" customHeight="1">
      <c r="A383" s="25" t="s">
        <v>2624</v>
      </c>
      <c r="B383" s="25" t="s">
        <v>3225</v>
      </c>
      <c r="C383" s="26" t="s">
        <v>3464</v>
      </c>
      <c r="D383" s="25">
        <v>3104399375</v>
      </c>
      <c r="E383" s="25" t="s">
        <v>3830</v>
      </c>
      <c r="F383" s="25">
        <v>238</v>
      </c>
      <c r="G383" s="25">
        <v>219</v>
      </c>
      <c r="H383" s="25">
        <v>411736332</v>
      </c>
      <c r="I383" s="25">
        <v>0</v>
      </c>
    </row>
    <row r="384" spans="1:9" ht="15" customHeight="1">
      <c r="A384" s="25" t="s">
        <v>2625</v>
      </c>
      <c r="B384" s="25" t="s">
        <v>3226</v>
      </c>
      <c r="C384" s="26" t="s">
        <v>3464</v>
      </c>
      <c r="D384" s="25">
        <v>3104399375</v>
      </c>
      <c r="E384" s="25" t="s">
        <v>3831</v>
      </c>
      <c r="F384" s="27" t="s">
        <v>4059</v>
      </c>
      <c r="G384" s="25">
        <v>219</v>
      </c>
      <c r="H384" s="25">
        <v>499889875</v>
      </c>
      <c r="I384" s="25">
        <v>0</v>
      </c>
    </row>
    <row r="385" spans="1:9" ht="15" customHeight="1">
      <c r="A385" s="25" t="s">
        <v>2626</v>
      </c>
      <c r="B385" s="25" t="s">
        <v>3227</v>
      </c>
      <c r="C385" s="26" t="s">
        <v>3464</v>
      </c>
      <c r="D385" s="25">
        <v>3104399375</v>
      </c>
      <c r="E385" s="25" t="s">
        <v>3832</v>
      </c>
      <c r="F385" s="25">
        <v>356</v>
      </c>
      <c r="G385" s="25">
        <v>219</v>
      </c>
      <c r="H385" s="25">
        <v>635624579</v>
      </c>
      <c r="I385" s="25">
        <v>0</v>
      </c>
    </row>
    <row r="386" spans="1:9" ht="15" customHeight="1">
      <c r="A386" s="25" t="s">
        <v>2627</v>
      </c>
      <c r="B386" s="25" t="s">
        <v>3228</v>
      </c>
      <c r="C386" s="26" t="s">
        <v>3464</v>
      </c>
      <c r="D386" s="25">
        <v>3104399375</v>
      </c>
      <c r="E386" s="25" t="s">
        <v>3833</v>
      </c>
      <c r="F386" s="27" t="s">
        <v>4059</v>
      </c>
      <c r="G386" s="25">
        <v>219</v>
      </c>
      <c r="H386" s="25">
        <v>210501000</v>
      </c>
      <c r="I386" s="25">
        <v>0</v>
      </c>
    </row>
    <row r="387" spans="1:9" ht="15" customHeight="1">
      <c r="A387" s="25" t="s">
        <v>2628</v>
      </c>
      <c r="B387" s="25" t="s">
        <v>3229</v>
      </c>
      <c r="C387" s="26" t="s">
        <v>3464</v>
      </c>
      <c r="D387" s="25">
        <v>3104399375</v>
      </c>
      <c r="E387" s="25" t="s">
        <v>3834</v>
      </c>
      <c r="F387" s="25">
        <v>469</v>
      </c>
      <c r="G387" s="25">
        <v>219</v>
      </c>
      <c r="H387" s="25">
        <v>517731080</v>
      </c>
      <c r="I387" s="25">
        <v>0</v>
      </c>
    </row>
    <row r="388" spans="1:9" ht="15" customHeight="1">
      <c r="A388" s="25" t="s">
        <v>2629</v>
      </c>
      <c r="B388" s="25" t="s">
        <v>3230</v>
      </c>
      <c r="C388" s="26" t="s">
        <v>3464</v>
      </c>
      <c r="D388" s="25">
        <v>3104399375</v>
      </c>
      <c r="E388" s="25" t="s">
        <v>3835</v>
      </c>
      <c r="F388" s="25">
        <v>469</v>
      </c>
      <c r="G388" s="25">
        <v>219</v>
      </c>
      <c r="H388" s="25">
        <v>22226400</v>
      </c>
      <c r="I388" s="25">
        <v>0</v>
      </c>
    </row>
    <row r="389" spans="1:9" ht="15" customHeight="1">
      <c r="A389" s="25" t="s">
        <v>2630</v>
      </c>
      <c r="B389" s="25" t="s">
        <v>3231</v>
      </c>
      <c r="C389" s="26" t="s">
        <v>3464</v>
      </c>
      <c r="D389" s="25">
        <v>3104399375</v>
      </c>
      <c r="E389" s="25" t="s">
        <v>3836</v>
      </c>
      <c r="F389" s="27" t="s">
        <v>4059</v>
      </c>
      <c r="G389" s="25">
        <v>219</v>
      </c>
      <c r="H389" s="25">
        <v>65165664</v>
      </c>
      <c r="I389" s="25">
        <v>0</v>
      </c>
    </row>
    <row r="390" spans="1:9" ht="15" customHeight="1">
      <c r="A390" s="25" t="s">
        <v>2631</v>
      </c>
      <c r="B390" s="25" t="s">
        <v>3232</v>
      </c>
      <c r="C390" s="26" t="s">
        <v>3464</v>
      </c>
      <c r="D390" s="25">
        <v>3104399375</v>
      </c>
      <c r="E390" s="25" t="s">
        <v>3837</v>
      </c>
      <c r="F390" s="25">
        <v>806</v>
      </c>
      <c r="G390" s="25">
        <v>219</v>
      </c>
      <c r="H390" s="25">
        <v>114272254</v>
      </c>
      <c r="I390" s="25">
        <v>0</v>
      </c>
    </row>
    <row r="391" spans="1:9" ht="15" customHeight="1">
      <c r="A391" s="25" t="s">
        <v>2632</v>
      </c>
      <c r="B391" s="25" t="s">
        <v>3233</v>
      </c>
      <c r="C391" s="26" t="s">
        <v>3464</v>
      </c>
      <c r="D391" s="25">
        <v>3104399375</v>
      </c>
      <c r="E391" s="25" t="s">
        <v>3838</v>
      </c>
      <c r="F391" s="25">
        <v>238</v>
      </c>
      <c r="G391" s="25">
        <v>219</v>
      </c>
      <c r="H391" s="25">
        <v>370650087</v>
      </c>
      <c r="I391" s="25">
        <v>0</v>
      </c>
    </row>
    <row r="392" spans="1:9" ht="15" customHeight="1">
      <c r="A392" s="25" t="s">
        <v>2633</v>
      </c>
      <c r="B392" s="25" t="s">
        <v>3234</v>
      </c>
      <c r="C392" s="26" t="s">
        <v>3464</v>
      </c>
      <c r="D392" s="25">
        <v>3104399375</v>
      </c>
      <c r="E392" s="25" t="s">
        <v>3839</v>
      </c>
      <c r="F392" s="25">
        <v>238</v>
      </c>
      <c r="G392" s="25">
        <v>219</v>
      </c>
      <c r="H392" s="25">
        <v>222976060</v>
      </c>
      <c r="I392" s="25">
        <v>0</v>
      </c>
    </row>
    <row r="393" spans="1:9" ht="15" customHeight="1">
      <c r="A393" s="25" t="s">
        <v>2634</v>
      </c>
      <c r="B393" s="25" t="s">
        <v>3235</v>
      </c>
      <c r="C393" s="26" t="s">
        <v>3464</v>
      </c>
      <c r="D393" s="25">
        <v>3104399375</v>
      </c>
      <c r="E393" s="25" t="s">
        <v>3840</v>
      </c>
      <c r="F393" s="27" t="s">
        <v>4059</v>
      </c>
      <c r="G393" s="25">
        <v>219</v>
      </c>
      <c r="H393" s="25">
        <v>837926450</v>
      </c>
      <c r="I393" s="25">
        <v>0</v>
      </c>
    </row>
    <row r="394" spans="1:9" ht="15" customHeight="1">
      <c r="A394" s="25" t="s">
        <v>2635</v>
      </c>
      <c r="B394" s="25" t="s">
        <v>3236</v>
      </c>
      <c r="C394" s="26" t="s">
        <v>3464</v>
      </c>
      <c r="D394" s="25">
        <v>3104399375</v>
      </c>
      <c r="E394" s="25" t="s">
        <v>3841</v>
      </c>
      <c r="F394" s="27" t="s">
        <v>4059</v>
      </c>
      <c r="G394" s="25">
        <v>219</v>
      </c>
      <c r="H394" s="25">
        <v>201104872</v>
      </c>
      <c r="I394" s="25">
        <v>0</v>
      </c>
    </row>
    <row r="395" spans="1:9" ht="15" customHeight="1">
      <c r="A395" s="25" t="s">
        <v>2636</v>
      </c>
      <c r="B395" s="25" t="s">
        <v>3237</v>
      </c>
      <c r="C395" s="26" t="s">
        <v>3464</v>
      </c>
      <c r="D395" s="25">
        <v>3104399375</v>
      </c>
      <c r="E395" s="25" t="s">
        <v>3842</v>
      </c>
      <c r="F395" s="27" t="s">
        <v>4059</v>
      </c>
      <c r="G395" s="25">
        <v>219</v>
      </c>
      <c r="H395" s="25">
        <v>70878757</v>
      </c>
      <c r="I395" s="25">
        <v>0</v>
      </c>
    </row>
    <row r="396" spans="1:9" ht="15" customHeight="1">
      <c r="A396" s="25" t="s">
        <v>2637</v>
      </c>
      <c r="B396" s="25" t="s">
        <v>3238</v>
      </c>
      <c r="C396" s="26" t="s">
        <v>3464</v>
      </c>
      <c r="D396" s="25">
        <v>3104399375</v>
      </c>
      <c r="E396" s="25" t="s">
        <v>3843</v>
      </c>
      <c r="F396" s="25">
        <v>238</v>
      </c>
      <c r="G396" s="25">
        <v>219</v>
      </c>
      <c r="H396" s="25">
        <v>84125817</v>
      </c>
      <c r="I396" s="25">
        <v>0</v>
      </c>
    </row>
    <row r="397" spans="1:9" ht="15" customHeight="1">
      <c r="A397" s="25" t="s">
        <v>2638</v>
      </c>
      <c r="B397" s="25" t="s">
        <v>3239</v>
      </c>
      <c r="C397" s="26" t="s">
        <v>3464</v>
      </c>
      <c r="D397" s="25">
        <v>3104399375</v>
      </c>
      <c r="E397" s="25" t="s">
        <v>3844</v>
      </c>
      <c r="F397" s="25">
        <v>491</v>
      </c>
      <c r="G397" s="25">
        <v>219</v>
      </c>
      <c r="H397" s="25">
        <v>331019991</v>
      </c>
      <c r="I397" s="25">
        <v>0</v>
      </c>
    </row>
    <row r="398" spans="1:9" ht="15" customHeight="1">
      <c r="A398" s="25" t="s">
        <v>2639</v>
      </c>
      <c r="B398" s="25" t="s">
        <v>3240</v>
      </c>
      <c r="C398" s="26" t="s">
        <v>3464</v>
      </c>
      <c r="D398" s="25">
        <v>3104399375</v>
      </c>
      <c r="E398" s="25" t="s">
        <v>3845</v>
      </c>
      <c r="F398" s="25">
        <v>238</v>
      </c>
      <c r="G398" s="25">
        <v>219</v>
      </c>
      <c r="H398" s="25">
        <v>24641675</v>
      </c>
      <c r="I398" s="25">
        <v>0</v>
      </c>
    </row>
    <row r="399" spans="1:9" ht="15" customHeight="1">
      <c r="A399" s="25" t="s">
        <v>2640</v>
      </c>
      <c r="B399" s="25" t="s">
        <v>3241</v>
      </c>
      <c r="C399" s="26" t="s">
        <v>3464</v>
      </c>
      <c r="D399" s="25">
        <v>3104399375</v>
      </c>
      <c r="E399" s="25" t="s">
        <v>3846</v>
      </c>
      <c r="F399" s="25">
        <v>87</v>
      </c>
      <c r="G399" s="25">
        <v>219</v>
      </c>
      <c r="H399" s="25">
        <v>1305330935</v>
      </c>
      <c r="I399" s="25">
        <v>0</v>
      </c>
    </row>
    <row r="400" spans="1:9" ht="15" customHeight="1">
      <c r="A400" s="25" t="s">
        <v>2641</v>
      </c>
      <c r="B400" s="25" t="s">
        <v>3242</v>
      </c>
      <c r="C400" s="26" t="s">
        <v>3464</v>
      </c>
      <c r="D400" s="25">
        <v>3104399375</v>
      </c>
      <c r="E400" s="25" t="s">
        <v>3847</v>
      </c>
      <c r="F400" s="25">
        <v>759</v>
      </c>
      <c r="G400" s="25">
        <v>219</v>
      </c>
      <c r="H400" s="25">
        <v>72229551</v>
      </c>
      <c r="I400" s="25">
        <v>0</v>
      </c>
    </row>
    <row r="401" spans="1:9" ht="15" customHeight="1">
      <c r="A401" s="25" t="s">
        <v>2642</v>
      </c>
      <c r="B401" s="25" t="s">
        <v>3243</v>
      </c>
      <c r="C401" s="26" t="s">
        <v>3464</v>
      </c>
      <c r="D401" s="25">
        <v>3104399375</v>
      </c>
      <c r="E401" s="25" t="s">
        <v>3848</v>
      </c>
      <c r="F401" s="25">
        <v>892</v>
      </c>
      <c r="G401" s="25">
        <v>219</v>
      </c>
      <c r="H401" s="25">
        <v>239060764</v>
      </c>
      <c r="I401" s="25">
        <v>0</v>
      </c>
    </row>
    <row r="402" spans="1:9" ht="15" customHeight="1">
      <c r="A402" s="25" t="s">
        <v>2643</v>
      </c>
      <c r="B402" s="25" t="s">
        <v>3244</v>
      </c>
      <c r="C402" s="26" t="s">
        <v>3464</v>
      </c>
      <c r="D402" s="25">
        <v>3104399375</v>
      </c>
      <c r="E402" s="25" t="s">
        <v>3849</v>
      </c>
      <c r="F402" s="27" t="s">
        <v>4059</v>
      </c>
      <c r="G402" s="25">
        <v>219</v>
      </c>
      <c r="H402" s="25">
        <v>30549200</v>
      </c>
      <c r="I402" s="25">
        <v>0</v>
      </c>
    </row>
    <row r="403" spans="1:9" ht="15" customHeight="1">
      <c r="A403" s="25" t="s">
        <v>2306</v>
      </c>
      <c r="B403" s="25" t="s">
        <v>2907</v>
      </c>
      <c r="C403" s="26" t="s">
        <v>3464</v>
      </c>
      <c r="D403" s="25">
        <v>3104399375</v>
      </c>
      <c r="E403" s="25" t="s">
        <v>3521</v>
      </c>
      <c r="F403" s="27" t="s">
        <v>4059</v>
      </c>
      <c r="G403" s="25">
        <v>219</v>
      </c>
      <c r="H403" s="25">
        <v>22800000</v>
      </c>
      <c r="I403" s="25">
        <v>0</v>
      </c>
    </row>
    <row r="404" spans="1:9" ht="15" customHeight="1">
      <c r="A404" s="25" t="s">
        <v>2644</v>
      </c>
      <c r="B404" s="25" t="s">
        <v>3245</v>
      </c>
      <c r="C404" s="26" t="s">
        <v>3464</v>
      </c>
      <c r="D404" s="25">
        <v>3104399375</v>
      </c>
      <c r="E404" s="25" t="s">
        <v>3850</v>
      </c>
      <c r="F404" s="27" t="s">
        <v>4059</v>
      </c>
      <c r="G404" s="25">
        <v>219</v>
      </c>
      <c r="H404" s="25">
        <v>852393882</v>
      </c>
      <c r="I404" s="25">
        <v>0</v>
      </c>
    </row>
    <row r="405" spans="1:9" ht="15" customHeight="1">
      <c r="A405" s="25" t="s">
        <v>2645</v>
      </c>
      <c r="B405" s="25" t="s">
        <v>3246</v>
      </c>
      <c r="C405" s="26" t="s">
        <v>3464</v>
      </c>
      <c r="D405" s="25">
        <v>3104399375</v>
      </c>
      <c r="E405" s="25" t="s">
        <v>3851</v>
      </c>
      <c r="F405" s="25">
        <v>238</v>
      </c>
      <c r="G405" s="25">
        <v>219</v>
      </c>
      <c r="H405" s="25">
        <v>2225477</v>
      </c>
      <c r="I405" s="25">
        <v>0</v>
      </c>
    </row>
    <row r="406" spans="1:9" ht="15" customHeight="1">
      <c r="A406" s="25" t="s">
        <v>2646</v>
      </c>
      <c r="B406" s="25" t="s">
        <v>3247</v>
      </c>
      <c r="C406" s="26" t="s">
        <v>3464</v>
      </c>
      <c r="D406" s="25">
        <v>3104399375</v>
      </c>
      <c r="E406" s="25" t="s">
        <v>3852</v>
      </c>
      <c r="F406" s="27" t="s">
        <v>4059</v>
      </c>
      <c r="G406" s="25">
        <v>219</v>
      </c>
      <c r="H406" s="25">
        <v>174515000</v>
      </c>
      <c r="I406" s="25">
        <v>0</v>
      </c>
    </row>
    <row r="407" spans="1:9" ht="15" customHeight="1">
      <c r="A407" s="25" t="s">
        <v>2647</v>
      </c>
      <c r="B407" s="25" t="s">
        <v>3248</v>
      </c>
      <c r="C407" s="26" t="s">
        <v>3464</v>
      </c>
      <c r="D407" s="25">
        <v>3104399375</v>
      </c>
      <c r="E407" s="25" t="s">
        <v>3853</v>
      </c>
      <c r="F407" s="25">
        <v>806</v>
      </c>
      <c r="G407" s="25">
        <v>219</v>
      </c>
      <c r="H407" s="25">
        <v>253227500</v>
      </c>
      <c r="I407" s="25">
        <v>0</v>
      </c>
    </row>
    <row r="408" spans="1:9" ht="15" customHeight="1">
      <c r="A408" s="25" t="s">
        <v>2648</v>
      </c>
      <c r="B408" s="25" t="s">
        <v>3249</v>
      </c>
      <c r="C408" s="26" t="s">
        <v>3464</v>
      </c>
      <c r="D408" s="25">
        <v>3104399375</v>
      </c>
      <c r="E408" s="25" t="s">
        <v>3854</v>
      </c>
      <c r="F408" s="25">
        <v>806</v>
      </c>
      <c r="G408" s="25">
        <v>219</v>
      </c>
      <c r="H408" s="25">
        <v>15460900</v>
      </c>
      <c r="I408" s="25">
        <v>0</v>
      </c>
    </row>
    <row r="409" spans="1:9" ht="15" customHeight="1">
      <c r="A409" s="25" t="s">
        <v>2649</v>
      </c>
      <c r="B409" s="25" t="s">
        <v>3250</v>
      </c>
      <c r="C409" s="26" t="s">
        <v>3464</v>
      </c>
      <c r="D409" s="25">
        <v>3104399375</v>
      </c>
      <c r="E409" s="25" t="s">
        <v>3855</v>
      </c>
      <c r="F409" s="25">
        <v>238</v>
      </c>
      <c r="G409" s="25">
        <v>219</v>
      </c>
      <c r="H409" s="25">
        <v>64323000</v>
      </c>
      <c r="I409" s="25">
        <v>0</v>
      </c>
    </row>
    <row r="410" spans="1:9" ht="15" customHeight="1">
      <c r="A410" s="25" t="s">
        <v>2650</v>
      </c>
      <c r="B410" s="25" t="s">
        <v>3251</v>
      </c>
      <c r="C410" s="26" t="s">
        <v>3464</v>
      </c>
      <c r="D410" s="25">
        <v>3104399375</v>
      </c>
      <c r="E410" s="25" t="s">
        <v>3856</v>
      </c>
      <c r="F410" s="25">
        <v>806</v>
      </c>
      <c r="G410" s="25">
        <v>219</v>
      </c>
      <c r="H410" s="25">
        <v>272045000</v>
      </c>
      <c r="I410" s="25">
        <v>0</v>
      </c>
    </row>
    <row r="411" spans="1:9" ht="15" customHeight="1">
      <c r="A411" s="25" t="s">
        <v>2651</v>
      </c>
      <c r="B411" s="25" t="s">
        <v>3252</v>
      </c>
      <c r="C411" s="26" t="s">
        <v>3464</v>
      </c>
      <c r="D411" s="25">
        <v>3104399375</v>
      </c>
      <c r="E411" s="25" t="s">
        <v>3857</v>
      </c>
      <c r="F411" s="27" t="s">
        <v>4059</v>
      </c>
      <c r="G411" s="25">
        <v>219</v>
      </c>
      <c r="H411" s="25">
        <v>176528597</v>
      </c>
      <c r="I411" s="25">
        <v>0</v>
      </c>
    </row>
    <row r="412" spans="1:9" ht="15" customHeight="1">
      <c r="A412" s="25" t="s">
        <v>2652</v>
      </c>
      <c r="B412" s="25" t="s">
        <v>3253</v>
      </c>
      <c r="C412" s="26" t="s">
        <v>3464</v>
      </c>
      <c r="D412" s="25">
        <v>3104399375</v>
      </c>
      <c r="E412" s="25" t="s">
        <v>3858</v>
      </c>
      <c r="F412" s="27" t="s">
        <v>4059</v>
      </c>
      <c r="G412" s="25">
        <v>219</v>
      </c>
      <c r="H412" s="25">
        <v>79453883</v>
      </c>
      <c r="I412" s="25">
        <v>0</v>
      </c>
    </row>
    <row r="413" spans="1:9" ht="15" customHeight="1">
      <c r="A413" s="25" t="s">
        <v>2653</v>
      </c>
      <c r="B413" s="25" t="s">
        <v>3254</v>
      </c>
      <c r="C413" s="26" t="s">
        <v>3464</v>
      </c>
      <c r="D413" s="25">
        <v>3104399375</v>
      </c>
      <c r="E413" s="25" t="s">
        <v>3859</v>
      </c>
      <c r="F413" s="25">
        <v>266</v>
      </c>
      <c r="G413" s="25">
        <v>219</v>
      </c>
      <c r="H413" s="25">
        <v>50143107</v>
      </c>
      <c r="I413" s="25">
        <v>0</v>
      </c>
    </row>
    <row r="414" spans="1:9" ht="15" customHeight="1">
      <c r="A414" s="25" t="s">
        <v>2654</v>
      </c>
      <c r="B414" s="25" t="s">
        <v>3255</v>
      </c>
      <c r="C414" s="26" t="s">
        <v>3464</v>
      </c>
      <c r="D414" s="25">
        <v>3104399375</v>
      </c>
      <c r="E414" s="25" t="s">
        <v>3860</v>
      </c>
      <c r="F414" s="25">
        <v>238</v>
      </c>
      <c r="G414" s="25">
        <v>219</v>
      </c>
      <c r="H414" s="25">
        <v>178561604</v>
      </c>
      <c r="I414" s="25">
        <v>0</v>
      </c>
    </row>
    <row r="415" spans="1:9" ht="15" customHeight="1">
      <c r="A415" s="25" t="s">
        <v>2655</v>
      </c>
      <c r="B415" s="25" t="s">
        <v>3256</v>
      </c>
      <c r="C415" s="26" t="s">
        <v>3464</v>
      </c>
      <c r="D415" s="25">
        <v>3104399375</v>
      </c>
      <c r="E415" s="25" t="s">
        <v>3861</v>
      </c>
      <c r="F415" s="25">
        <v>238</v>
      </c>
      <c r="G415" s="25">
        <v>219</v>
      </c>
      <c r="H415" s="25">
        <v>4360280</v>
      </c>
      <c r="I415" s="25">
        <v>0</v>
      </c>
    </row>
    <row r="416" spans="1:9" ht="15" customHeight="1">
      <c r="A416" s="25" t="s">
        <v>2656</v>
      </c>
      <c r="B416" s="25" t="s">
        <v>3257</v>
      </c>
      <c r="C416" s="26" t="s">
        <v>3464</v>
      </c>
      <c r="D416" s="25">
        <v>3104399375</v>
      </c>
      <c r="E416" s="25" t="s">
        <v>3862</v>
      </c>
      <c r="F416" s="25">
        <v>87</v>
      </c>
      <c r="G416" s="25">
        <v>219</v>
      </c>
      <c r="H416" s="25">
        <v>1036627900</v>
      </c>
      <c r="I416" s="25">
        <v>0</v>
      </c>
    </row>
    <row r="417" spans="1:9" ht="15" customHeight="1">
      <c r="A417" s="25" t="s">
        <v>2657</v>
      </c>
      <c r="B417" s="25" t="s">
        <v>3258</v>
      </c>
      <c r="C417" s="26" t="s">
        <v>3464</v>
      </c>
      <c r="D417" s="25">
        <v>3104399375</v>
      </c>
      <c r="E417" s="25" t="s">
        <v>3863</v>
      </c>
      <c r="F417" s="25">
        <v>238</v>
      </c>
      <c r="G417" s="25">
        <v>334</v>
      </c>
      <c r="H417" s="25">
        <v>1154300</v>
      </c>
      <c r="I417" s="25">
        <v>0</v>
      </c>
    </row>
    <row r="418" spans="1:9" ht="15" customHeight="1">
      <c r="A418" s="25" t="s">
        <v>2658</v>
      </c>
      <c r="B418" s="25" t="s">
        <v>3259</v>
      </c>
      <c r="C418" s="26" t="s">
        <v>3464</v>
      </c>
      <c r="D418" s="25">
        <v>3104399375</v>
      </c>
      <c r="E418" s="25" t="s">
        <v>3864</v>
      </c>
      <c r="F418" s="25">
        <v>238</v>
      </c>
      <c r="G418" s="25">
        <v>334</v>
      </c>
      <c r="H418" s="25">
        <v>3200000</v>
      </c>
      <c r="I418" s="25">
        <v>0</v>
      </c>
    </row>
    <row r="419" spans="1:9" ht="15" customHeight="1">
      <c r="A419" s="25" t="s">
        <v>2659</v>
      </c>
      <c r="B419" s="25" t="s">
        <v>3260</v>
      </c>
      <c r="C419" s="26" t="s">
        <v>3464</v>
      </c>
      <c r="D419" s="25">
        <v>3104399375</v>
      </c>
      <c r="E419" s="25" t="s">
        <v>3865</v>
      </c>
      <c r="F419" s="25">
        <v>238</v>
      </c>
      <c r="G419" s="25">
        <v>334</v>
      </c>
      <c r="H419" s="25">
        <v>4300000</v>
      </c>
      <c r="I419" s="25">
        <v>0</v>
      </c>
    </row>
    <row r="420" spans="1:9" ht="15" customHeight="1">
      <c r="A420" s="25" t="s">
        <v>2660</v>
      </c>
      <c r="B420" s="25" t="s">
        <v>3261</v>
      </c>
      <c r="C420" s="26" t="s">
        <v>3464</v>
      </c>
      <c r="D420" s="25">
        <v>3104399375</v>
      </c>
      <c r="E420" s="25" t="s">
        <v>3866</v>
      </c>
      <c r="F420" s="27" t="s">
        <v>4059</v>
      </c>
      <c r="G420" s="25">
        <v>334</v>
      </c>
      <c r="H420" s="25">
        <v>160510000</v>
      </c>
      <c r="I420" s="25">
        <v>0</v>
      </c>
    </row>
    <row r="421" spans="1:9" ht="15" customHeight="1">
      <c r="A421" s="25" t="s">
        <v>2661</v>
      </c>
      <c r="B421" s="25" t="s">
        <v>3262</v>
      </c>
      <c r="C421" s="26" t="s">
        <v>3464</v>
      </c>
      <c r="D421" s="25">
        <v>3104399375</v>
      </c>
      <c r="E421" s="25" t="s">
        <v>3867</v>
      </c>
      <c r="F421" s="25">
        <v>214</v>
      </c>
      <c r="G421" s="25">
        <v>334</v>
      </c>
      <c r="H421" s="25">
        <v>1899000</v>
      </c>
      <c r="I421" s="25">
        <v>0</v>
      </c>
    </row>
    <row r="422" spans="1:9" ht="15" customHeight="1">
      <c r="A422" s="25" t="s">
        <v>2567</v>
      </c>
      <c r="B422" s="25" t="s">
        <v>3168</v>
      </c>
      <c r="C422" s="26" t="s">
        <v>3464</v>
      </c>
      <c r="D422" s="25">
        <v>3104399375</v>
      </c>
      <c r="E422" s="25" t="s">
        <v>3774</v>
      </c>
      <c r="F422" s="27" t="s">
        <v>4059</v>
      </c>
      <c r="G422" s="25">
        <v>334</v>
      </c>
      <c r="H422" s="25">
        <v>25525948</v>
      </c>
      <c r="I422" s="25">
        <v>0</v>
      </c>
    </row>
    <row r="423" spans="1:9" ht="15" customHeight="1">
      <c r="A423" s="25" t="s">
        <v>2662</v>
      </c>
      <c r="B423" s="25" t="s">
        <v>3263</v>
      </c>
      <c r="C423" s="26" t="s">
        <v>3464</v>
      </c>
      <c r="D423" s="25">
        <v>3104399375</v>
      </c>
      <c r="E423" s="25" t="s">
        <v>3868</v>
      </c>
      <c r="F423" s="25">
        <v>266</v>
      </c>
      <c r="G423" s="25">
        <v>334</v>
      </c>
      <c r="H423" s="25">
        <v>121000000</v>
      </c>
      <c r="I423" s="25">
        <v>0</v>
      </c>
    </row>
    <row r="424" spans="1:9" ht="15" customHeight="1">
      <c r="A424" s="25" t="s">
        <v>2663</v>
      </c>
      <c r="B424" s="25" t="s">
        <v>3264</v>
      </c>
      <c r="C424" s="26" t="s">
        <v>3464</v>
      </c>
      <c r="D424" s="25">
        <v>3104399375</v>
      </c>
      <c r="E424" s="25" t="s">
        <v>3869</v>
      </c>
      <c r="F424" s="27" t="s">
        <v>4059</v>
      </c>
      <c r="G424" s="25">
        <v>334</v>
      </c>
      <c r="H424" s="25">
        <v>39295101</v>
      </c>
      <c r="I424" s="25">
        <v>0</v>
      </c>
    </row>
    <row r="425" spans="1:9" ht="15" customHeight="1">
      <c r="A425" s="25" t="s">
        <v>2664</v>
      </c>
      <c r="B425" s="25" t="s">
        <v>3265</v>
      </c>
      <c r="C425" s="26" t="s">
        <v>3464</v>
      </c>
      <c r="D425" s="25">
        <v>3104399375</v>
      </c>
      <c r="E425" s="25" t="s">
        <v>3870</v>
      </c>
      <c r="F425" s="27" t="s">
        <v>4059</v>
      </c>
      <c r="G425" s="25">
        <v>334</v>
      </c>
      <c r="H425" s="25">
        <v>1691000</v>
      </c>
      <c r="I425" s="25">
        <v>0</v>
      </c>
    </row>
    <row r="426" spans="1:9" ht="15" customHeight="1">
      <c r="A426" s="25" t="s">
        <v>2665</v>
      </c>
      <c r="B426" s="25" t="s">
        <v>3266</v>
      </c>
      <c r="C426" s="26" t="s">
        <v>3464</v>
      </c>
      <c r="D426" s="25">
        <v>3104399375</v>
      </c>
      <c r="E426" s="25" t="s">
        <v>3871</v>
      </c>
      <c r="F426" s="27" t="s">
        <v>4059</v>
      </c>
      <c r="G426" s="25">
        <v>334</v>
      </c>
      <c r="H426" s="25">
        <v>609174</v>
      </c>
      <c r="I426" s="25">
        <v>0</v>
      </c>
    </row>
    <row r="427" spans="1:9" ht="15" customHeight="1">
      <c r="A427" s="25" t="s">
        <v>2299</v>
      </c>
      <c r="B427" s="25" t="s">
        <v>2900</v>
      </c>
      <c r="C427" s="26" t="s">
        <v>3464</v>
      </c>
      <c r="D427" s="25">
        <v>3104399375</v>
      </c>
      <c r="E427" s="25" t="s">
        <v>3514</v>
      </c>
      <c r="F427" s="25">
        <v>238</v>
      </c>
      <c r="G427" s="25">
        <v>334</v>
      </c>
      <c r="H427" s="25">
        <v>18240000</v>
      </c>
      <c r="I427" s="25">
        <v>0</v>
      </c>
    </row>
    <row r="428" spans="1:9" ht="15" customHeight="1">
      <c r="A428" s="25" t="s">
        <v>2666</v>
      </c>
      <c r="B428" s="25" t="s">
        <v>3267</v>
      </c>
      <c r="C428" s="26" t="s">
        <v>3464</v>
      </c>
      <c r="D428" s="25">
        <v>3104399375</v>
      </c>
      <c r="E428" s="25" t="s">
        <v>3872</v>
      </c>
      <c r="F428" s="27" t="s">
        <v>4059</v>
      </c>
      <c r="G428" s="25">
        <v>334</v>
      </c>
      <c r="H428" s="25">
        <v>9500000</v>
      </c>
      <c r="I428" s="25">
        <v>0</v>
      </c>
    </row>
    <row r="429" spans="1:9" ht="15" customHeight="1">
      <c r="A429" s="25" t="s">
        <v>2667</v>
      </c>
      <c r="B429" s="25" t="s">
        <v>3268</v>
      </c>
      <c r="C429" s="26" t="s">
        <v>3464</v>
      </c>
      <c r="D429" s="25">
        <v>3104399375</v>
      </c>
      <c r="E429" s="25" t="s">
        <v>3873</v>
      </c>
      <c r="F429" s="27" t="s">
        <v>4059</v>
      </c>
      <c r="G429" s="25">
        <v>334</v>
      </c>
      <c r="H429" s="25">
        <v>33320000</v>
      </c>
      <c r="I429" s="25">
        <v>0</v>
      </c>
    </row>
    <row r="430" spans="1:9" ht="15" customHeight="1">
      <c r="A430" s="25" t="s">
        <v>2668</v>
      </c>
      <c r="B430" s="25" t="s">
        <v>3269</v>
      </c>
      <c r="C430" s="26" t="s">
        <v>3464</v>
      </c>
      <c r="D430" s="25">
        <v>3104399375</v>
      </c>
      <c r="E430" s="25" t="s">
        <v>3874</v>
      </c>
      <c r="F430" s="27" t="s">
        <v>4059</v>
      </c>
      <c r="G430" s="25">
        <v>334</v>
      </c>
      <c r="H430" s="25">
        <v>3100000</v>
      </c>
      <c r="I430" s="25">
        <v>0</v>
      </c>
    </row>
    <row r="431" spans="1:9" ht="15" customHeight="1">
      <c r="A431" s="25" t="s">
        <v>2669</v>
      </c>
      <c r="B431" s="25" t="s">
        <v>3270</v>
      </c>
      <c r="C431" s="26" t="s">
        <v>3464</v>
      </c>
      <c r="D431" s="25">
        <v>3104399375</v>
      </c>
      <c r="E431" s="25" t="s">
        <v>3875</v>
      </c>
      <c r="F431" s="27" t="s">
        <v>4059</v>
      </c>
      <c r="G431" s="25">
        <v>334</v>
      </c>
      <c r="H431" s="25">
        <v>21800000</v>
      </c>
      <c r="I431" s="25">
        <v>0</v>
      </c>
    </row>
    <row r="432" spans="1:9" ht="15" customHeight="1">
      <c r="A432" s="25">
        <v>891800213</v>
      </c>
      <c r="B432" s="25" t="s">
        <v>3271</v>
      </c>
      <c r="C432" s="26" t="s">
        <v>3464</v>
      </c>
      <c r="D432" s="25">
        <v>3104399375</v>
      </c>
      <c r="E432" s="25" t="s">
        <v>3876</v>
      </c>
      <c r="F432" s="27" t="s">
        <v>4059</v>
      </c>
      <c r="G432" s="25">
        <v>334</v>
      </c>
      <c r="H432" s="25">
        <v>223793741</v>
      </c>
      <c r="I432" s="25">
        <v>0</v>
      </c>
    </row>
    <row r="433" spans="1:9" ht="15" customHeight="1">
      <c r="A433" s="25">
        <v>800130907</v>
      </c>
      <c r="B433" s="25" t="s">
        <v>3272</v>
      </c>
      <c r="C433" s="26" t="s">
        <v>3464</v>
      </c>
      <c r="D433" s="25">
        <v>3104399375</v>
      </c>
      <c r="E433" s="25" t="s">
        <v>3877</v>
      </c>
      <c r="F433" s="27" t="s">
        <v>4059</v>
      </c>
      <c r="G433" s="25">
        <v>334</v>
      </c>
      <c r="H433" s="25">
        <v>274444</v>
      </c>
      <c r="I433" s="25">
        <v>0</v>
      </c>
    </row>
    <row r="434" spans="1:9" ht="15" customHeight="1">
      <c r="A434" s="25">
        <v>800249241</v>
      </c>
      <c r="B434" s="25" t="s">
        <v>3273</v>
      </c>
      <c r="C434" s="26" t="s">
        <v>3464</v>
      </c>
      <c r="D434" s="25">
        <v>3104399375</v>
      </c>
      <c r="E434" s="25" t="s">
        <v>3878</v>
      </c>
      <c r="F434" s="27" t="s">
        <v>4059</v>
      </c>
      <c r="G434" s="25">
        <v>334</v>
      </c>
      <c r="H434" s="25">
        <v>1019557</v>
      </c>
      <c r="I434" s="25">
        <v>0</v>
      </c>
    </row>
    <row r="435" spans="1:9" ht="15" customHeight="1">
      <c r="A435" s="25">
        <v>800251440</v>
      </c>
      <c r="B435" s="25" t="s">
        <v>3274</v>
      </c>
      <c r="C435" s="26" t="s">
        <v>3464</v>
      </c>
      <c r="D435" s="25">
        <v>3104399375</v>
      </c>
      <c r="E435" s="25" t="s">
        <v>3879</v>
      </c>
      <c r="F435" s="27" t="s">
        <v>4059</v>
      </c>
      <c r="G435" s="25">
        <v>334</v>
      </c>
      <c r="H435" s="25">
        <v>2090207</v>
      </c>
      <c r="I435" s="25">
        <v>0</v>
      </c>
    </row>
    <row r="436" spans="1:9" ht="15" customHeight="1">
      <c r="A436" s="25">
        <v>830003564</v>
      </c>
      <c r="B436" s="25" t="s">
        <v>3275</v>
      </c>
      <c r="C436" s="26" t="s">
        <v>3464</v>
      </c>
      <c r="D436" s="25">
        <v>3104399375</v>
      </c>
      <c r="E436" s="25" t="s">
        <v>3880</v>
      </c>
      <c r="F436" s="25">
        <v>238</v>
      </c>
      <c r="G436" s="25">
        <v>334</v>
      </c>
      <c r="H436" s="25">
        <v>744200</v>
      </c>
      <c r="I436" s="25">
        <v>0</v>
      </c>
    </row>
    <row r="437" spans="1:9" ht="15" customHeight="1">
      <c r="A437" s="25" t="s">
        <v>2670</v>
      </c>
      <c r="B437" s="25" t="s">
        <v>3276</v>
      </c>
      <c r="C437" s="26" t="s">
        <v>3464</v>
      </c>
      <c r="D437" s="25">
        <v>3104399375</v>
      </c>
      <c r="E437" s="25" t="s">
        <v>3881</v>
      </c>
      <c r="F437" s="25">
        <v>238</v>
      </c>
      <c r="G437" s="25">
        <v>334</v>
      </c>
      <c r="H437" s="25">
        <v>415000</v>
      </c>
      <c r="I437" s="25">
        <v>0</v>
      </c>
    </row>
    <row r="438" spans="1:9" ht="15" customHeight="1">
      <c r="A438" s="25">
        <v>860011153</v>
      </c>
      <c r="B438" s="25" t="s">
        <v>3276</v>
      </c>
      <c r="C438" s="26" t="s">
        <v>3464</v>
      </c>
      <c r="D438" s="25">
        <v>3104399375</v>
      </c>
      <c r="E438" s="25" t="s">
        <v>3881</v>
      </c>
      <c r="F438" s="25">
        <v>238</v>
      </c>
      <c r="G438" s="25">
        <v>334</v>
      </c>
      <c r="H438" s="25">
        <v>84994475</v>
      </c>
      <c r="I438" s="25">
        <v>0</v>
      </c>
    </row>
    <row r="439" spans="1:9" ht="15" customHeight="1">
      <c r="A439" s="25">
        <v>900156264</v>
      </c>
      <c r="B439" s="25" t="s">
        <v>3277</v>
      </c>
      <c r="C439" s="26" t="s">
        <v>3464</v>
      </c>
      <c r="D439" s="25">
        <v>3104399375</v>
      </c>
      <c r="E439" s="25" t="s">
        <v>3882</v>
      </c>
      <c r="F439" s="25">
        <v>238</v>
      </c>
      <c r="G439" s="25">
        <v>334</v>
      </c>
      <c r="H439" s="25">
        <v>6718313</v>
      </c>
      <c r="I439" s="25">
        <v>0</v>
      </c>
    </row>
    <row r="440" spans="1:9" ht="15" customHeight="1">
      <c r="A440" s="25">
        <v>800224808</v>
      </c>
      <c r="B440" s="25" t="s">
        <v>3278</v>
      </c>
      <c r="C440" s="26" t="s">
        <v>3464</v>
      </c>
      <c r="D440" s="25">
        <v>3104399375</v>
      </c>
      <c r="E440" s="25" t="s">
        <v>3883</v>
      </c>
      <c r="F440" s="25">
        <v>238</v>
      </c>
      <c r="G440" s="25">
        <v>334</v>
      </c>
      <c r="H440" s="25">
        <v>356116479</v>
      </c>
      <c r="I440" s="25">
        <v>0</v>
      </c>
    </row>
    <row r="441" spans="1:9" ht="15" customHeight="1">
      <c r="A441" s="25">
        <v>800227940</v>
      </c>
      <c r="B441" s="25" t="s">
        <v>3279</v>
      </c>
      <c r="C441" s="26" t="s">
        <v>3464</v>
      </c>
      <c r="D441" s="25">
        <v>3104399375</v>
      </c>
      <c r="E441" s="25" t="s">
        <v>3884</v>
      </c>
      <c r="F441" s="27" t="s">
        <v>4059</v>
      </c>
      <c r="G441" s="25">
        <v>334</v>
      </c>
      <c r="H441" s="25">
        <v>19719103</v>
      </c>
      <c r="I441" s="25">
        <v>0</v>
      </c>
    </row>
    <row r="442" spans="1:9" ht="15" customHeight="1">
      <c r="A442" s="25">
        <v>800229739</v>
      </c>
      <c r="B442" s="25" t="s">
        <v>3280</v>
      </c>
      <c r="C442" s="26" t="s">
        <v>3464</v>
      </c>
      <c r="D442" s="25">
        <v>3104399375</v>
      </c>
      <c r="E442" s="25" t="s">
        <v>3885</v>
      </c>
      <c r="F442" s="27" t="s">
        <v>4059</v>
      </c>
      <c r="G442" s="25">
        <v>334</v>
      </c>
      <c r="H442" s="25">
        <v>56241441</v>
      </c>
      <c r="I442" s="25">
        <v>0</v>
      </c>
    </row>
    <row r="443" spans="1:9" ht="15" customHeight="1">
      <c r="A443" s="25">
        <v>900336004</v>
      </c>
      <c r="B443" s="25" t="s">
        <v>3281</v>
      </c>
      <c r="C443" s="26" t="s">
        <v>3464</v>
      </c>
      <c r="D443" s="25">
        <v>3104399375</v>
      </c>
      <c r="E443" s="25" t="s">
        <v>3886</v>
      </c>
      <c r="F443" s="27" t="s">
        <v>4059</v>
      </c>
      <c r="G443" s="25">
        <v>334</v>
      </c>
      <c r="H443" s="25">
        <v>240024345</v>
      </c>
      <c r="I443" s="25">
        <v>0</v>
      </c>
    </row>
    <row r="444" spans="1:9" ht="15" customHeight="1">
      <c r="A444" s="25">
        <v>891801240</v>
      </c>
      <c r="B444" s="25" t="s">
        <v>3282</v>
      </c>
      <c r="C444" s="26" t="s">
        <v>3464</v>
      </c>
      <c r="D444" s="25">
        <v>3104399375</v>
      </c>
      <c r="E444" s="25" t="s">
        <v>3887</v>
      </c>
      <c r="F444" s="25">
        <v>516</v>
      </c>
      <c r="G444" s="25">
        <v>334</v>
      </c>
      <c r="H444" s="25">
        <v>167332000</v>
      </c>
      <c r="I444" s="25">
        <v>0</v>
      </c>
    </row>
    <row r="445" spans="1:9" ht="15" customHeight="1">
      <c r="A445" s="25" t="s">
        <v>2286</v>
      </c>
      <c r="B445" s="25" t="s">
        <v>2887</v>
      </c>
      <c r="C445" s="26" t="s">
        <v>3464</v>
      </c>
      <c r="D445" s="25">
        <v>3104399375</v>
      </c>
      <c r="E445" s="25" t="s">
        <v>3501</v>
      </c>
      <c r="F445" s="25">
        <v>759</v>
      </c>
      <c r="G445" s="25">
        <v>334</v>
      </c>
      <c r="H445" s="25">
        <v>288891000</v>
      </c>
      <c r="I445" s="25">
        <v>0</v>
      </c>
    </row>
    <row r="446" spans="1:9" ht="15" customHeight="1">
      <c r="A446" s="25" t="s">
        <v>2287</v>
      </c>
      <c r="B446" s="25" t="s">
        <v>2888</v>
      </c>
      <c r="C446" s="26" t="s">
        <v>3464</v>
      </c>
      <c r="D446" s="25">
        <v>3104399375</v>
      </c>
      <c r="E446" s="25" t="s">
        <v>3502</v>
      </c>
      <c r="F446" s="25">
        <v>238</v>
      </c>
      <c r="G446" s="25">
        <v>334</v>
      </c>
      <c r="H446" s="25">
        <v>418938000</v>
      </c>
      <c r="I446" s="25">
        <v>0</v>
      </c>
    </row>
    <row r="447" spans="1:9" ht="15" customHeight="1">
      <c r="A447" s="25">
        <v>891855361</v>
      </c>
      <c r="B447" s="25" t="s">
        <v>3283</v>
      </c>
      <c r="C447" s="26" t="s">
        <v>3464</v>
      </c>
      <c r="D447" s="25">
        <v>3104399375</v>
      </c>
      <c r="E447" s="25" t="s">
        <v>3888</v>
      </c>
      <c r="F447" s="25">
        <v>806</v>
      </c>
      <c r="G447" s="25">
        <v>334</v>
      </c>
      <c r="H447" s="25">
        <v>1294972</v>
      </c>
      <c r="I447" s="25">
        <v>0</v>
      </c>
    </row>
    <row r="448" spans="1:9" ht="15" customHeight="1">
      <c r="A448" s="25" t="s">
        <v>2671</v>
      </c>
      <c r="B448" s="25" t="s">
        <v>3284</v>
      </c>
      <c r="C448" s="26" t="s">
        <v>3464</v>
      </c>
      <c r="D448" s="25">
        <v>3104399375</v>
      </c>
      <c r="E448" s="25" t="s">
        <v>3889</v>
      </c>
      <c r="F448" s="25">
        <v>295</v>
      </c>
      <c r="G448" s="25">
        <v>334</v>
      </c>
      <c r="H448" s="25">
        <v>230040</v>
      </c>
      <c r="I448" s="25">
        <v>0</v>
      </c>
    </row>
    <row r="449" spans="1:9" ht="15" customHeight="1">
      <c r="A449" s="25" t="s">
        <v>2672</v>
      </c>
      <c r="B449" s="25" t="s">
        <v>3285</v>
      </c>
      <c r="C449" s="26" t="s">
        <v>3464</v>
      </c>
      <c r="D449" s="25">
        <v>3104399375</v>
      </c>
      <c r="E449" s="25" t="s">
        <v>3890</v>
      </c>
      <c r="F449" s="25">
        <v>238</v>
      </c>
      <c r="G449" s="25">
        <v>334</v>
      </c>
      <c r="H449" s="25">
        <v>331400</v>
      </c>
      <c r="I449" s="25">
        <v>0</v>
      </c>
    </row>
    <row r="450" spans="1:9" ht="15" customHeight="1">
      <c r="A450" s="25" t="s">
        <v>2255</v>
      </c>
      <c r="B450" s="25" t="s">
        <v>2856</v>
      </c>
      <c r="C450" s="26" t="s">
        <v>3464</v>
      </c>
      <c r="D450" s="25">
        <v>3104399375</v>
      </c>
      <c r="E450" s="25" t="s">
        <v>3470</v>
      </c>
      <c r="F450" s="25">
        <v>238</v>
      </c>
      <c r="G450" s="25">
        <v>334</v>
      </c>
      <c r="H450" s="25">
        <v>650000</v>
      </c>
      <c r="I450" s="25">
        <v>0</v>
      </c>
    </row>
    <row r="451" spans="1:9" ht="15" customHeight="1">
      <c r="A451" s="25" t="s">
        <v>2673</v>
      </c>
      <c r="B451" s="25" t="s">
        <v>3286</v>
      </c>
      <c r="C451" s="26" t="s">
        <v>3464</v>
      </c>
      <c r="D451" s="25">
        <v>3104399375</v>
      </c>
      <c r="E451" s="25" t="s">
        <v>3891</v>
      </c>
      <c r="F451" s="25">
        <v>238</v>
      </c>
      <c r="G451" s="25">
        <v>334</v>
      </c>
      <c r="H451" s="25">
        <v>10433512</v>
      </c>
      <c r="I451" s="25">
        <v>0</v>
      </c>
    </row>
    <row r="452" spans="1:9" ht="15" customHeight="1">
      <c r="A452" s="25" t="s">
        <v>2674</v>
      </c>
      <c r="B452" s="25" t="s">
        <v>3287</v>
      </c>
      <c r="C452" s="26" t="s">
        <v>3464</v>
      </c>
      <c r="D452" s="25">
        <v>3104399375</v>
      </c>
      <c r="E452" s="25" t="s">
        <v>3892</v>
      </c>
      <c r="F452" s="25">
        <v>238</v>
      </c>
      <c r="G452" s="25">
        <v>334</v>
      </c>
      <c r="H452" s="25">
        <v>906176</v>
      </c>
      <c r="I452" s="25">
        <v>0</v>
      </c>
    </row>
    <row r="453" spans="1:9" ht="15" customHeight="1">
      <c r="A453" s="25" t="s">
        <v>2675</v>
      </c>
      <c r="B453" s="25" t="s">
        <v>3288</v>
      </c>
      <c r="C453" s="26" t="s">
        <v>3464</v>
      </c>
      <c r="D453" s="25">
        <v>3104399375</v>
      </c>
      <c r="E453" s="25" t="s">
        <v>3893</v>
      </c>
      <c r="F453" s="25">
        <v>238</v>
      </c>
      <c r="G453" s="25">
        <v>334</v>
      </c>
      <c r="H453" s="25" t="e">
        <f>6517131-#REF!</f>
        <v>#REF!</v>
      </c>
      <c r="I453" s="25">
        <v>0</v>
      </c>
    </row>
    <row r="454" spans="1:9" ht="15" customHeight="1">
      <c r="A454" s="25" t="s">
        <v>2676</v>
      </c>
      <c r="B454" s="25" t="s">
        <v>3289</v>
      </c>
      <c r="C454" s="26" t="s">
        <v>3464</v>
      </c>
      <c r="D454" s="25">
        <v>3104399375</v>
      </c>
      <c r="E454" s="25" t="s">
        <v>3894</v>
      </c>
      <c r="F454" s="25">
        <v>238</v>
      </c>
      <c r="G454" s="25">
        <v>334</v>
      </c>
      <c r="H454" s="25">
        <v>18326410</v>
      </c>
      <c r="I454" s="25">
        <v>0</v>
      </c>
    </row>
    <row r="455" spans="1:9" ht="15" customHeight="1">
      <c r="A455" s="25" t="s">
        <v>2677</v>
      </c>
      <c r="B455" s="25" t="s">
        <v>3290</v>
      </c>
      <c r="C455" s="26" t="s">
        <v>3464</v>
      </c>
      <c r="D455" s="25">
        <v>3104399375</v>
      </c>
      <c r="E455" s="25" t="s">
        <v>3895</v>
      </c>
      <c r="F455" s="25">
        <v>238</v>
      </c>
      <c r="G455" s="25">
        <v>334</v>
      </c>
      <c r="H455" s="25">
        <v>2082000</v>
      </c>
      <c r="I455" s="25">
        <v>0</v>
      </c>
    </row>
    <row r="456" spans="1:9" ht="15" customHeight="1">
      <c r="A456" s="25" t="s">
        <v>2678</v>
      </c>
      <c r="B456" s="25" t="s">
        <v>3291</v>
      </c>
      <c r="C456" s="26" t="s">
        <v>3464</v>
      </c>
      <c r="D456" s="25">
        <v>3104399375</v>
      </c>
      <c r="E456" s="25" t="s">
        <v>3896</v>
      </c>
      <c r="F456" s="25">
        <v>238</v>
      </c>
      <c r="G456" s="25">
        <v>334</v>
      </c>
      <c r="H456" s="25">
        <v>638655</v>
      </c>
      <c r="I456" s="25">
        <v>0</v>
      </c>
    </row>
    <row r="457" spans="1:9" ht="15" customHeight="1">
      <c r="A457" s="25" t="s">
        <v>2679</v>
      </c>
      <c r="B457" s="25" t="s">
        <v>3292</v>
      </c>
      <c r="C457" s="26" t="s">
        <v>3464</v>
      </c>
      <c r="D457" s="25">
        <v>3104399375</v>
      </c>
      <c r="E457" s="25" t="s">
        <v>3897</v>
      </c>
      <c r="F457" s="25">
        <v>238</v>
      </c>
      <c r="G457" s="25">
        <v>334</v>
      </c>
      <c r="H457" s="25">
        <v>284999</v>
      </c>
      <c r="I457" s="25">
        <v>0</v>
      </c>
    </row>
    <row r="458" spans="1:9" ht="15" customHeight="1">
      <c r="A458" s="25" t="s">
        <v>2252</v>
      </c>
      <c r="B458" s="25" t="s">
        <v>2853</v>
      </c>
      <c r="C458" s="26" t="s">
        <v>3464</v>
      </c>
      <c r="D458" s="25">
        <v>3104399375</v>
      </c>
      <c r="E458" s="25" t="s">
        <v>3467</v>
      </c>
      <c r="F458" s="27" t="s">
        <v>4059</v>
      </c>
      <c r="G458" s="25">
        <v>334</v>
      </c>
      <c r="H458" s="25">
        <v>623500</v>
      </c>
      <c r="I458" s="25">
        <v>0</v>
      </c>
    </row>
    <row r="459" spans="1:9" ht="15" customHeight="1">
      <c r="A459" s="25" t="s">
        <v>2680</v>
      </c>
      <c r="B459" s="25" t="s">
        <v>3293</v>
      </c>
      <c r="C459" s="26" t="s">
        <v>3464</v>
      </c>
      <c r="D459" s="25">
        <v>3104399375</v>
      </c>
      <c r="E459" s="25" t="s">
        <v>3898</v>
      </c>
      <c r="F459" s="25">
        <v>238</v>
      </c>
      <c r="G459" s="25">
        <v>334</v>
      </c>
      <c r="H459" s="25">
        <v>225000</v>
      </c>
      <c r="I459" s="25">
        <v>0</v>
      </c>
    </row>
    <row r="460" spans="1:9" ht="15" customHeight="1">
      <c r="A460" s="25" t="s">
        <v>2681</v>
      </c>
      <c r="B460" s="25" t="s">
        <v>3294</v>
      </c>
      <c r="C460" s="26" t="s">
        <v>3464</v>
      </c>
      <c r="D460" s="25">
        <v>3104399375</v>
      </c>
      <c r="E460" s="25" t="s">
        <v>3899</v>
      </c>
      <c r="F460" s="25">
        <v>238</v>
      </c>
      <c r="G460" s="25">
        <v>334</v>
      </c>
      <c r="H460" s="25">
        <v>1654596</v>
      </c>
      <c r="I460" s="25">
        <v>0</v>
      </c>
    </row>
    <row r="461" spans="1:9" ht="15" customHeight="1">
      <c r="A461" s="25" t="s">
        <v>2682</v>
      </c>
      <c r="B461" s="25" t="s">
        <v>3295</v>
      </c>
      <c r="C461" s="26" t="s">
        <v>3464</v>
      </c>
      <c r="D461" s="25">
        <v>3104399375</v>
      </c>
      <c r="E461" s="25" t="s">
        <v>3900</v>
      </c>
      <c r="F461" s="25">
        <v>238</v>
      </c>
      <c r="G461" s="25">
        <v>334</v>
      </c>
      <c r="H461" s="25">
        <v>191495</v>
      </c>
      <c r="I461" s="25">
        <v>0</v>
      </c>
    </row>
    <row r="462" spans="1:9" ht="15" customHeight="1">
      <c r="A462" s="25" t="s">
        <v>2683</v>
      </c>
      <c r="B462" s="25" t="s">
        <v>3296</v>
      </c>
      <c r="C462" s="26" t="s">
        <v>3464</v>
      </c>
      <c r="D462" s="25">
        <v>3104399375</v>
      </c>
      <c r="E462" s="25" t="s">
        <v>3901</v>
      </c>
      <c r="F462" s="25">
        <v>238</v>
      </c>
      <c r="G462" s="25">
        <v>334</v>
      </c>
      <c r="H462" s="25">
        <v>18272016</v>
      </c>
      <c r="I462" s="25">
        <v>0</v>
      </c>
    </row>
    <row r="463" spans="1:9" ht="15" customHeight="1">
      <c r="A463" s="25" t="s">
        <v>2684</v>
      </c>
      <c r="B463" s="25" t="s">
        <v>3297</v>
      </c>
      <c r="C463" s="26" t="s">
        <v>3464</v>
      </c>
      <c r="D463" s="25">
        <v>3104399375</v>
      </c>
      <c r="E463" s="25" t="s">
        <v>3902</v>
      </c>
      <c r="F463" s="25">
        <v>238</v>
      </c>
      <c r="G463" s="25">
        <v>334</v>
      </c>
      <c r="H463" s="25">
        <v>2096654</v>
      </c>
      <c r="I463" s="25">
        <v>0</v>
      </c>
    </row>
    <row r="464" spans="1:9" ht="15" customHeight="1">
      <c r="A464" s="25" t="s">
        <v>2685</v>
      </c>
      <c r="B464" s="25" t="s">
        <v>3298</v>
      </c>
      <c r="C464" s="26" t="s">
        <v>3464</v>
      </c>
      <c r="D464" s="25">
        <v>3104399375</v>
      </c>
      <c r="E464" s="25" t="s">
        <v>3903</v>
      </c>
      <c r="F464" s="25">
        <v>238</v>
      </c>
      <c r="G464" s="25">
        <v>334</v>
      </c>
      <c r="H464" s="25">
        <v>1630000</v>
      </c>
      <c r="I464" s="25">
        <v>0</v>
      </c>
    </row>
    <row r="465" spans="1:9" ht="15" customHeight="1">
      <c r="A465" s="25" t="s">
        <v>2686</v>
      </c>
      <c r="B465" s="25" t="s">
        <v>3299</v>
      </c>
      <c r="C465" s="26" t="s">
        <v>3464</v>
      </c>
      <c r="D465" s="25">
        <v>3104399375</v>
      </c>
      <c r="E465" s="25" t="s">
        <v>3904</v>
      </c>
      <c r="F465" s="27" t="s">
        <v>4059</v>
      </c>
      <c r="G465" s="25">
        <v>334</v>
      </c>
      <c r="H465" s="25">
        <v>1247156</v>
      </c>
      <c r="I465" s="25">
        <v>0</v>
      </c>
    </row>
    <row r="466" spans="1:9" ht="15" customHeight="1">
      <c r="A466" s="25" t="s">
        <v>2358</v>
      </c>
      <c r="B466" s="25" t="s">
        <v>2959</v>
      </c>
      <c r="C466" s="26" t="s">
        <v>3464</v>
      </c>
      <c r="D466" s="25">
        <v>3104399375</v>
      </c>
      <c r="E466" s="25" t="s">
        <v>3567</v>
      </c>
      <c r="F466" s="25">
        <v>238</v>
      </c>
      <c r="G466" s="25">
        <v>334</v>
      </c>
      <c r="H466" s="25">
        <v>174000</v>
      </c>
      <c r="I466" s="25">
        <v>0</v>
      </c>
    </row>
    <row r="467" spans="1:9" ht="15" customHeight="1">
      <c r="A467" s="25" t="s">
        <v>2687</v>
      </c>
      <c r="B467" s="25" t="s">
        <v>3300</v>
      </c>
      <c r="C467" s="26" t="s">
        <v>3464</v>
      </c>
      <c r="D467" s="25">
        <v>3104399375</v>
      </c>
      <c r="E467" s="25" t="s">
        <v>3905</v>
      </c>
      <c r="F467" s="25">
        <v>238</v>
      </c>
      <c r="G467" s="25">
        <v>334</v>
      </c>
      <c r="H467" s="25">
        <v>286000</v>
      </c>
      <c r="I467" s="25">
        <v>0</v>
      </c>
    </row>
    <row r="468" spans="1:9" ht="15" customHeight="1">
      <c r="A468" s="25" t="s">
        <v>2688</v>
      </c>
      <c r="B468" s="25" t="s">
        <v>3301</v>
      </c>
      <c r="C468" s="26" t="s">
        <v>3464</v>
      </c>
      <c r="D468" s="25">
        <v>3104399375</v>
      </c>
      <c r="E468" s="25" t="s">
        <v>3906</v>
      </c>
      <c r="F468" s="25">
        <v>238</v>
      </c>
      <c r="G468" s="25">
        <v>334</v>
      </c>
      <c r="H468" s="25">
        <v>1600368</v>
      </c>
      <c r="I468" s="25">
        <v>0</v>
      </c>
    </row>
    <row r="469" spans="1:9" ht="15" customHeight="1">
      <c r="A469" s="25" t="s">
        <v>2689</v>
      </c>
      <c r="B469" s="25" t="s">
        <v>3302</v>
      </c>
      <c r="C469" s="26" t="s">
        <v>3464</v>
      </c>
      <c r="D469" s="25">
        <v>3104399375</v>
      </c>
      <c r="E469" s="25" t="s">
        <v>3907</v>
      </c>
      <c r="F469" s="25">
        <v>238</v>
      </c>
      <c r="G469" s="25">
        <v>334</v>
      </c>
      <c r="H469" s="25">
        <v>1670000</v>
      </c>
      <c r="I469" s="25">
        <v>0</v>
      </c>
    </row>
    <row r="470" spans="1:9" ht="15" customHeight="1">
      <c r="A470" s="25" t="s">
        <v>2690</v>
      </c>
      <c r="B470" s="25" t="s">
        <v>3303</v>
      </c>
      <c r="C470" s="26" t="s">
        <v>3464</v>
      </c>
      <c r="D470" s="25">
        <v>3104399375</v>
      </c>
      <c r="E470" s="25" t="s">
        <v>3908</v>
      </c>
      <c r="F470" s="25">
        <v>759</v>
      </c>
      <c r="G470" s="25">
        <v>334</v>
      </c>
      <c r="H470" s="25">
        <v>218000</v>
      </c>
      <c r="I470" s="25">
        <v>0</v>
      </c>
    </row>
    <row r="471" spans="1:9" ht="15" customHeight="1">
      <c r="A471" s="25" t="s">
        <v>2691</v>
      </c>
      <c r="B471" s="25" t="s">
        <v>3304</v>
      </c>
      <c r="C471" s="26" t="s">
        <v>3464</v>
      </c>
      <c r="D471" s="25">
        <v>3104399375</v>
      </c>
      <c r="E471" s="25" t="s">
        <v>3909</v>
      </c>
      <c r="F471" s="25">
        <v>759</v>
      </c>
      <c r="G471" s="25">
        <v>334</v>
      </c>
      <c r="H471" s="25">
        <v>1616000</v>
      </c>
      <c r="I471" s="25">
        <v>0</v>
      </c>
    </row>
    <row r="472" spans="1:9" ht="15" customHeight="1">
      <c r="A472" s="25" t="s">
        <v>2692</v>
      </c>
      <c r="B472" s="25" t="s">
        <v>3305</v>
      </c>
      <c r="C472" s="26" t="s">
        <v>3464</v>
      </c>
      <c r="D472" s="25">
        <v>3104399375</v>
      </c>
      <c r="E472" s="25" t="s">
        <v>3910</v>
      </c>
      <c r="F472" s="25">
        <v>759</v>
      </c>
      <c r="G472" s="25">
        <v>334</v>
      </c>
      <c r="H472" s="25">
        <v>219800</v>
      </c>
      <c r="I472" s="25">
        <v>0</v>
      </c>
    </row>
    <row r="473" spans="1:9" ht="15" customHeight="1">
      <c r="A473" s="25" t="s">
        <v>2693</v>
      </c>
      <c r="B473" s="25" t="s">
        <v>3306</v>
      </c>
      <c r="C473" s="26" t="s">
        <v>3464</v>
      </c>
      <c r="D473" s="25">
        <v>3104399375</v>
      </c>
      <c r="E473" s="25" t="s">
        <v>3484</v>
      </c>
      <c r="F473" s="25">
        <v>759</v>
      </c>
      <c r="G473" s="25">
        <v>334</v>
      </c>
      <c r="H473" s="25">
        <v>2564500</v>
      </c>
      <c r="I473" s="25">
        <v>0</v>
      </c>
    </row>
    <row r="474" spans="1:9" ht="15" customHeight="1">
      <c r="A474" s="25" t="s">
        <v>2694</v>
      </c>
      <c r="B474" s="25" t="s">
        <v>3307</v>
      </c>
      <c r="C474" s="26" t="s">
        <v>3464</v>
      </c>
      <c r="D474" s="25">
        <v>3104399375</v>
      </c>
      <c r="E474" s="25" t="s">
        <v>3911</v>
      </c>
      <c r="F474" s="25">
        <v>238</v>
      </c>
      <c r="G474" s="25">
        <v>334</v>
      </c>
      <c r="H474" s="25">
        <v>228000</v>
      </c>
      <c r="I474" s="25">
        <v>0</v>
      </c>
    </row>
    <row r="475" spans="1:9" ht="15" customHeight="1">
      <c r="A475" s="25" t="s">
        <v>2695</v>
      </c>
      <c r="B475" s="25" t="s">
        <v>3308</v>
      </c>
      <c r="C475" s="26" t="s">
        <v>3464</v>
      </c>
      <c r="D475" s="25">
        <v>3104399375</v>
      </c>
      <c r="E475" s="25" t="s">
        <v>3912</v>
      </c>
      <c r="F475" s="25">
        <v>759</v>
      </c>
      <c r="G475" s="25">
        <v>334</v>
      </c>
      <c r="H475" s="25">
        <v>4316000</v>
      </c>
      <c r="I475" s="25">
        <v>0</v>
      </c>
    </row>
    <row r="476" spans="1:9" ht="15" customHeight="1">
      <c r="A476" s="25" t="s">
        <v>2696</v>
      </c>
      <c r="B476" s="25" t="s">
        <v>3309</v>
      </c>
      <c r="C476" s="26" t="s">
        <v>3464</v>
      </c>
      <c r="D476" s="25">
        <v>3104399375</v>
      </c>
      <c r="E476" s="25" t="s">
        <v>3913</v>
      </c>
      <c r="F476" s="25">
        <v>238</v>
      </c>
      <c r="G476" s="25">
        <v>334</v>
      </c>
      <c r="H476" s="25">
        <v>1020000</v>
      </c>
      <c r="I476" s="25">
        <v>0</v>
      </c>
    </row>
    <row r="477" spans="1:9" ht="15" customHeight="1">
      <c r="A477" s="25" t="s">
        <v>2697</v>
      </c>
      <c r="B477" s="25" t="s">
        <v>3310</v>
      </c>
      <c r="C477" s="26" t="s">
        <v>3464</v>
      </c>
      <c r="D477" s="25">
        <v>3104399375</v>
      </c>
      <c r="E477" s="25" t="s">
        <v>3914</v>
      </c>
      <c r="F477" s="25">
        <v>238</v>
      </c>
      <c r="G477" s="25">
        <v>334</v>
      </c>
      <c r="H477" s="25" t="e">
        <f>8515834-#REF!</f>
        <v>#REF!</v>
      </c>
      <c r="I477" s="25">
        <v>0</v>
      </c>
    </row>
    <row r="478" spans="1:9" ht="15" customHeight="1">
      <c r="A478" s="25" t="s">
        <v>2698</v>
      </c>
      <c r="B478" s="25" t="s">
        <v>3311</v>
      </c>
      <c r="C478" s="26" t="s">
        <v>3464</v>
      </c>
      <c r="D478" s="25">
        <v>3104399375</v>
      </c>
      <c r="E478" s="25" t="s">
        <v>3915</v>
      </c>
      <c r="F478" s="25">
        <v>759</v>
      </c>
      <c r="G478" s="25">
        <v>334</v>
      </c>
      <c r="H478" s="25">
        <v>156000</v>
      </c>
      <c r="I478" s="25">
        <v>0</v>
      </c>
    </row>
    <row r="479" spans="1:9" ht="15" customHeight="1">
      <c r="A479" s="25" t="s">
        <v>2699</v>
      </c>
      <c r="B479" s="25" t="s">
        <v>3312</v>
      </c>
      <c r="C479" s="26" t="s">
        <v>3464</v>
      </c>
      <c r="D479" s="25">
        <v>3104399375</v>
      </c>
      <c r="E479" s="25" t="s">
        <v>3916</v>
      </c>
      <c r="F479" s="25">
        <v>238</v>
      </c>
      <c r="G479" s="25">
        <v>334</v>
      </c>
      <c r="H479" s="25">
        <v>308403</v>
      </c>
      <c r="I479" s="25">
        <v>0</v>
      </c>
    </row>
    <row r="480" spans="1:9" ht="15" customHeight="1">
      <c r="A480" s="25" t="s">
        <v>2700</v>
      </c>
      <c r="B480" s="25" t="s">
        <v>3313</v>
      </c>
      <c r="C480" s="26" t="s">
        <v>3464</v>
      </c>
      <c r="D480" s="25">
        <v>3104399375</v>
      </c>
      <c r="E480" s="25" t="s">
        <v>3917</v>
      </c>
      <c r="F480" s="25">
        <v>238</v>
      </c>
      <c r="G480" s="25">
        <v>334</v>
      </c>
      <c r="H480" s="25">
        <v>785612</v>
      </c>
      <c r="I480" s="25">
        <v>0</v>
      </c>
    </row>
    <row r="481" spans="1:9" ht="15" customHeight="1">
      <c r="A481" s="25" t="s">
        <v>2701</v>
      </c>
      <c r="B481" s="25" t="s">
        <v>3314</v>
      </c>
      <c r="C481" s="26" t="s">
        <v>3464</v>
      </c>
      <c r="D481" s="25">
        <v>3104399375</v>
      </c>
      <c r="E481" s="25" t="s">
        <v>3918</v>
      </c>
      <c r="F481" s="25">
        <v>238</v>
      </c>
      <c r="G481" s="25">
        <v>334</v>
      </c>
      <c r="H481" s="25">
        <v>10285800</v>
      </c>
      <c r="I481" s="25">
        <v>0</v>
      </c>
    </row>
    <row r="482" spans="1:9" ht="15" customHeight="1">
      <c r="A482" s="25" t="s">
        <v>2702</v>
      </c>
      <c r="B482" s="25" t="s">
        <v>3315</v>
      </c>
      <c r="C482" s="26" t="s">
        <v>3464</v>
      </c>
      <c r="D482" s="25">
        <v>3104399375</v>
      </c>
      <c r="E482" s="25" t="s">
        <v>3919</v>
      </c>
      <c r="F482" s="25">
        <v>238</v>
      </c>
      <c r="G482" s="25">
        <v>334</v>
      </c>
      <c r="H482" s="25">
        <v>182000</v>
      </c>
      <c r="I482" s="25">
        <v>0</v>
      </c>
    </row>
    <row r="483" spans="1:9" ht="15" customHeight="1">
      <c r="A483" s="25" t="s">
        <v>2703</v>
      </c>
      <c r="B483" s="25" t="s">
        <v>3316</v>
      </c>
      <c r="C483" s="26" t="s">
        <v>3464</v>
      </c>
      <c r="D483" s="25">
        <v>3104399375</v>
      </c>
      <c r="E483" s="25" t="s">
        <v>3484</v>
      </c>
      <c r="F483" s="25">
        <v>759</v>
      </c>
      <c r="G483" s="25">
        <v>334</v>
      </c>
      <c r="H483" s="25">
        <v>1000000</v>
      </c>
      <c r="I483" s="25">
        <v>0</v>
      </c>
    </row>
    <row r="484" spans="1:9" ht="15" customHeight="1">
      <c r="A484" s="25" t="s">
        <v>2704</v>
      </c>
      <c r="B484" s="25" t="s">
        <v>3317</v>
      </c>
      <c r="C484" s="26" t="s">
        <v>3464</v>
      </c>
      <c r="D484" s="25">
        <v>3104399375</v>
      </c>
      <c r="E484" s="25" t="s">
        <v>3920</v>
      </c>
      <c r="F484" s="25">
        <v>516</v>
      </c>
      <c r="G484" s="25">
        <v>334</v>
      </c>
      <c r="H484" s="25">
        <v>298700</v>
      </c>
      <c r="I484" s="25">
        <v>0</v>
      </c>
    </row>
    <row r="485" spans="1:9" ht="15" customHeight="1">
      <c r="A485" s="25" t="s">
        <v>2705</v>
      </c>
      <c r="B485" s="25" t="s">
        <v>3318</v>
      </c>
      <c r="C485" s="26" t="s">
        <v>3464</v>
      </c>
      <c r="D485" s="25">
        <v>3104399375</v>
      </c>
      <c r="E485" s="25" t="s">
        <v>3921</v>
      </c>
      <c r="F485" s="25">
        <v>238</v>
      </c>
      <c r="G485" s="25">
        <v>334</v>
      </c>
      <c r="H485" s="25">
        <v>400000</v>
      </c>
      <c r="I485" s="25">
        <v>0</v>
      </c>
    </row>
    <row r="486" spans="1:9" ht="15" customHeight="1">
      <c r="A486" s="25" t="s">
        <v>2706</v>
      </c>
      <c r="B486" s="25" t="s">
        <v>3319</v>
      </c>
      <c r="C486" s="26" t="s">
        <v>3464</v>
      </c>
      <c r="D486" s="25">
        <v>3104399375</v>
      </c>
      <c r="E486" s="25" t="s">
        <v>3922</v>
      </c>
      <c r="F486" s="25">
        <v>238</v>
      </c>
      <c r="G486" s="25">
        <v>334</v>
      </c>
      <c r="H486" s="25">
        <v>530000</v>
      </c>
      <c r="I486" s="25">
        <v>0</v>
      </c>
    </row>
    <row r="487" spans="1:9" ht="15" customHeight="1">
      <c r="A487" s="25" t="s">
        <v>2707</v>
      </c>
      <c r="B487" s="25" t="s">
        <v>3320</v>
      </c>
      <c r="C487" s="26" t="s">
        <v>3464</v>
      </c>
      <c r="D487" s="25">
        <v>3104399375</v>
      </c>
      <c r="E487" s="25" t="s">
        <v>3484</v>
      </c>
      <c r="F487" s="25">
        <v>759</v>
      </c>
      <c r="G487" s="25">
        <v>334</v>
      </c>
      <c r="H487" s="25">
        <v>631000</v>
      </c>
      <c r="I487" s="25">
        <v>0</v>
      </c>
    </row>
    <row r="488" spans="1:9" ht="15" customHeight="1">
      <c r="A488" s="25" t="s">
        <v>2708</v>
      </c>
      <c r="B488" s="25" t="s">
        <v>3321</v>
      </c>
      <c r="C488" s="26" t="s">
        <v>3464</v>
      </c>
      <c r="D488" s="25">
        <v>3104399375</v>
      </c>
      <c r="E488" s="25" t="s">
        <v>3923</v>
      </c>
      <c r="F488" s="25">
        <v>238</v>
      </c>
      <c r="G488" s="25">
        <v>334</v>
      </c>
      <c r="H488" s="25">
        <v>370000</v>
      </c>
      <c r="I488" s="25">
        <v>0</v>
      </c>
    </row>
    <row r="489" spans="1:9" ht="15" customHeight="1">
      <c r="A489" s="25" t="s">
        <v>2422</v>
      </c>
      <c r="B489" s="25" t="s">
        <v>3023</v>
      </c>
      <c r="C489" s="26" t="s">
        <v>3464</v>
      </c>
      <c r="D489" s="25">
        <v>3104399375</v>
      </c>
      <c r="E489" s="25" t="s">
        <v>3630</v>
      </c>
      <c r="F489" s="25">
        <v>238</v>
      </c>
      <c r="G489" s="25">
        <v>334</v>
      </c>
      <c r="H489" s="25">
        <v>278453</v>
      </c>
      <c r="I489" s="25">
        <v>0</v>
      </c>
    </row>
    <row r="490" spans="1:9" ht="15" customHeight="1">
      <c r="A490" s="25" t="s">
        <v>2709</v>
      </c>
      <c r="B490" s="25" t="s">
        <v>3322</v>
      </c>
      <c r="C490" s="26" t="s">
        <v>3464</v>
      </c>
      <c r="D490" s="25">
        <v>3104399375</v>
      </c>
      <c r="E490" s="25" t="s">
        <v>3924</v>
      </c>
      <c r="F490" s="25">
        <v>238</v>
      </c>
      <c r="G490" s="25">
        <v>334</v>
      </c>
      <c r="H490" s="25">
        <v>167000</v>
      </c>
      <c r="I490" s="25">
        <v>0</v>
      </c>
    </row>
    <row r="491" spans="1:9" ht="15" customHeight="1">
      <c r="A491" s="25" t="s">
        <v>2710</v>
      </c>
      <c r="B491" s="25" t="s">
        <v>3323</v>
      </c>
      <c r="C491" s="26" t="s">
        <v>3464</v>
      </c>
      <c r="D491" s="25">
        <v>3104399375</v>
      </c>
      <c r="E491" s="25" t="s">
        <v>3925</v>
      </c>
      <c r="F491" s="27" t="s">
        <v>4059</v>
      </c>
      <c r="G491" s="25">
        <v>334</v>
      </c>
      <c r="H491" s="25">
        <v>25470000</v>
      </c>
      <c r="I491" s="25">
        <v>0</v>
      </c>
    </row>
    <row r="492" spans="1:9" ht="15" customHeight="1">
      <c r="A492" s="25" t="s">
        <v>2711</v>
      </c>
      <c r="B492" s="25" t="s">
        <v>3324</v>
      </c>
      <c r="C492" s="26" t="s">
        <v>3464</v>
      </c>
      <c r="D492" s="25">
        <v>3104399375</v>
      </c>
      <c r="E492" s="25" t="s">
        <v>3926</v>
      </c>
      <c r="F492" s="25">
        <v>238</v>
      </c>
      <c r="G492" s="25">
        <v>334</v>
      </c>
      <c r="H492" s="25">
        <v>4000000</v>
      </c>
      <c r="I492" s="25">
        <v>0</v>
      </c>
    </row>
    <row r="493" spans="1:9" ht="15" customHeight="1">
      <c r="A493" s="25" t="s">
        <v>2712</v>
      </c>
      <c r="B493" s="25" t="s">
        <v>3325</v>
      </c>
      <c r="C493" s="26" t="s">
        <v>3464</v>
      </c>
      <c r="D493" s="25">
        <v>3104399375</v>
      </c>
      <c r="E493" s="25" t="s">
        <v>3927</v>
      </c>
      <c r="F493" s="25">
        <v>238</v>
      </c>
      <c r="G493" s="25">
        <v>334</v>
      </c>
      <c r="H493" s="25">
        <v>15639966</v>
      </c>
      <c r="I493" s="25">
        <v>0</v>
      </c>
    </row>
    <row r="494" spans="1:9" ht="15" customHeight="1">
      <c r="A494" s="25" t="s">
        <v>2713</v>
      </c>
      <c r="B494" s="25" t="s">
        <v>3326</v>
      </c>
      <c r="C494" s="26" t="s">
        <v>3464</v>
      </c>
      <c r="D494" s="25">
        <v>3104399375</v>
      </c>
      <c r="E494" s="25" t="s">
        <v>3928</v>
      </c>
      <c r="F494" s="25">
        <v>238</v>
      </c>
      <c r="G494" s="25">
        <v>334</v>
      </c>
      <c r="H494" s="25">
        <v>4926021</v>
      </c>
      <c r="I494" s="25">
        <v>0</v>
      </c>
    </row>
    <row r="495" spans="1:9" ht="15" customHeight="1">
      <c r="A495" s="25" t="s">
        <v>2714</v>
      </c>
      <c r="B495" s="25" t="s">
        <v>3327</v>
      </c>
      <c r="C495" s="26" t="s">
        <v>3464</v>
      </c>
      <c r="D495" s="25">
        <v>3104399375</v>
      </c>
      <c r="E495" s="25" t="s">
        <v>3929</v>
      </c>
      <c r="F495" s="27" t="s">
        <v>4059</v>
      </c>
      <c r="G495" s="25">
        <v>334</v>
      </c>
      <c r="H495" s="25">
        <v>30699100</v>
      </c>
      <c r="I495" s="25">
        <v>0</v>
      </c>
    </row>
    <row r="496" spans="1:9" ht="15" customHeight="1">
      <c r="A496" s="25" t="s">
        <v>2715</v>
      </c>
      <c r="B496" s="25" t="s">
        <v>3328</v>
      </c>
      <c r="C496" s="26" t="s">
        <v>3464</v>
      </c>
      <c r="D496" s="25">
        <v>3104399375</v>
      </c>
      <c r="E496" s="25" t="s">
        <v>3930</v>
      </c>
      <c r="F496" s="25">
        <v>238</v>
      </c>
      <c r="G496" s="25">
        <v>334</v>
      </c>
      <c r="H496" s="25">
        <v>3658157</v>
      </c>
      <c r="I496" s="25">
        <v>0</v>
      </c>
    </row>
    <row r="497" spans="1:9" ht="15" customHeight="1">
      <c r="A497" s="25" t="s">
        <v>2716</v>
      </c>
      <c r="B497" s="25" t="s">
        <v>3329</v>
      </c>
      <c r="C497" s="26" t="s">
        <v>3464</v>
      </c>
      <c r="D497" s="25">
        <v>3104399375</v>
      </c>
      <c r="E497" s="25" t="s">
        <v>3931</v>
      </c>
      <c r="F497" s="25">
        <v>238</v>
      </c>
      <c r="G497" s="25">
        <v>334</v>
      </c>
      <c r="H497" s="25">
        <v>3621870</v>
      </c>
      <c r="I497" s="25">
        <v>0</v>
      </c>
    </row>
    <row r="498" spans="1:9" ht="15" customHeight="1">
      <c r="A498" s="25" t="s">
        <v>2717</v>
      </c>
      <c r="B498" s="25" t="s">
        <v>3330</v>
      </c>
      <c r="C498" s="26" t="s">
        <v>3464</v>
      </c>
      <c r="D498" s="25">
        <v>3104399375</v>
      </c>
      <c r="E498" s="25" t="s">
        <v>3932</v>
      </c>
      <c r="F498" s="25">
        <v>238</v>
      </c>
      <c r="G498" s="25">
        <v>334</v>
      </c>
      <c r="H498" s="25">
        <v>1808406</v>
      </c>
      <c r="I498" s="25">
        <v>0</v>
      </c>
    </row>
    <row r="499" spans="1:9" ht="15" customHeight="1">
      <c r="A499" s="25" t="s">
        <v>2718</v>
      </c>
      <c r="B499" s="25" t="s">
        <v>3331</v>
      </c>
      <c r="C499" s="26" t="s">
        <v>3464</v>
      </c>
      <c r="D499" s="25">
        <v>3104399375</v>
      </c>
      <c r="E499" s="25" t="s">
        <v>3933</v>
      </c>
      <c r="F499" s="25">
        <v>238</v>
      </c>
      <c r="G499" s="25">
        <v>334</v>
      </c>
      <c r="H499" s="25">
        <v>400000</v>
      </c>
      <c r="I499" s="25">
        <v>0</v>
      </c>
    </row>
    <row r="500" spans="1:9" ht="15" customHeight="1">
      <c r="A500" s="25" t="s">
        <v>2719</v>
      </c>
      <c r="B500" s="25" t="s">
        <v>3332</v>
      </c>
      <c r="C500" s="26" t="s">
        <v>3464</v>
      </c>
      <c r="D500" s="25">
        <v>3104399375</v>
      </c>
      <c r="E500" s="25" t="s">
        <v>3934</v>
      </c>
      <c r="F500" s="25">
        <v>238</v>
      </c>
      <c r="G500" s="25">
        <v>334</v>
      </c>
      <c r="H500" s="25">
        <v>828570</v>
      </c>
      <c r="I500" s="25">
        <v>0</v>
      </c>
    </row>
    <row r="501" spans="1:9" ht="15" customHeight="1">
      <c r="A501" s="25" t="s">
        <v>2720</v>
      </c>
      <c r="B501" s="25" t="s">
        <v>3333</v>
      </c>
      <c r="C501" s="26" t="s">
        <v>3464</v>
      </c>
      <c r="D501" s="25">
        <v>3104399375</v>
      </c>
      <c r="E501" s="25" t="s">
        <v>3935</v>
      </c>
      <c r="F501" s="25">
        <v>238</v>
      </c>
      <c r="G501" s="25">
        <v>334</v>
      </c>
      <c r="H501" s="25">
        <v>430000</v>
      </c>
      <c r="I501" s="25">
        <v>0</v>
      </c>
    </row>
    <row r="502" spans="1:9" ht="15" customHeight="1">
      <c r="A502" s="25" t="s">
        <v>2721</v>
      </c>
      <c r="B502" s="25" t="s">
        <v>3334</v>
      </c>
      <c r="C502" s="26" t="s">
        <v>3464</v>
      </c>
      <c r="D502" s="25">
        <v>3104399375</v>
      </c>
      <c r="E502" s="25" t="s">
        <v>3936</v>
      </c>
      <c r="F502" s="25">
        <v>238</v>
      </c>
      <c r="G502" s="25">
        <v>334</v>
      </c>
      <c r="H502" s="25">
        <v>39159200</v>
      </c>
      <c r="I502" s="25">
        <v>0</v>
      </c>
    </row>
    <row r="503" spans="1:9" ht="15" customHeight="1">
      <c r="A503" s="25" t="s">
        <v>2722</v>
      </c>
      <c r="B503" s="25" t="s">
        <v>3335</v>
      </c>
      <c r="C503" s="26" t="s">
        <v>3464</v>
      </c>
      <c r="D503" s="25">
        <v>3104399375</v>
      </c>
      <c r="E503" s="25" t="s">
        <v>3484</v>
      </c>
      <c r="F503" s="25">
        <v>759</v>
      </c>
      <c r="G503" s="25">
        <v>334</v>
      </c>
      <c r="H503" s="25">
        <v>1619500</v>
      </c>
      <c r="I503" s="25">
        <v>0</v>
      </c>
    </row>
    <row r="504" spans="1:9" ht="15" customHeight="1">
      <c r="A504" s="25" t="s">
        <v>2723</v>
      </c>
      <c r="B504" s="25" t="s">
        <v>3336</v>
      </c>
      <c r="C504" s="26" t="s">
        <v>3464</v>
      </c>
      <c r="D504" s="25">
        <v>3104399375</v>
      </c>
      <c r="E504" s="25" t="s">
        <v>3937</v>
      </c>
      <c r="F504" s="25">
        <v>238</v>
      </c>
      <c r="G504" s="25">
        <v>334</v>
      </c>
      <c r="H504" s="25">
        <v>171428</v>
      </c>
      <c r="I504" s="25">
        <v>0</v>
      </c>
    </row>
    <row r="505" spans="1:9" ht="15" customHeight="1">
      <c r="A505" s="25" t="s">
        <v>2724</v>
      </c>
      <c r="B505" s="25" t="s">
        <v>3337</v>
      </c>
      <c r="C505" s="26" t="s">
        <v>3464</v>
      </c>
      <c r="D505" s="25">
        <v>3104399375</v>
      </c>
      <c r="E505" s="25" t="s">
        <v>3938</v>
      </c>
      <c r="F505" s="25">
        <v>126</v>
      </c>
      <c r="G505" s="25">
        <v>334</v>
      </c>
      <c r="H505" s="25">
        <v>4523618</v>
      </c>
      <c r="I505" s="25">
        <v>0</v>
      </c>
    </row>
    <row r="506" spans="1:9" ht="15" customHeight="1">
      <c r="A506" s="25" t="s">
        <v>2725</v>
      </c>
      <c r="B506" s="25" t="s">
        <v>3338</v>
      </c>
      <c r="C506" s="26" t="s">
        <v>3464</v>
      </c>
      <c r="D506" s="25">
        <v>3104399375</v>
      </c>
      <c r="E506" s="25" t="s">
        <v>3939</v>
      </c>
      <c r="F506" s="27" t="s">
        <v>4059</v>
      </c>
      <c r="G506" s="25">
        <v>334</v>
      </c>
      <c r="H506" s="25">
        <v>6304463</v>
      </c>
      <c r="I506" s="25">
        <v>0</v>
      </c>
    </row>
    <row r="507" spans="1:9" ht="15" customHeight="1">
      <c r="A507" s="25" t="s">
        <v>2272</v>
      </c>
      <c r="B507" s="25" t="s">
        <v>2873</v>
      </c>
      <c r="C507" s="26" t="s">
        <v>3464</v>
      </c>
      <c r="D507" s="25">
        <v>3104399375</v>
      </c>
      <c r="E507" s="25" t="s">
        <v>3487</v>
      </c>
      <c r="F507" s="27" t="s">
        <v>4059</v>
      </c>
      <c r="G507" s="25">
        <v>334</v>
      </c>
      <c r="H507" s="25">
        <v>810000</v>
      </c>
      <c r="I507" s="25">
        <v>0</v>
      </c>
    </row>
    <row r="508" spans="1:9" ht="15" customHeight="1">
      <c r="A508" s="25" t="s">
        <v>2726</v>
      </c>
      <c r="B508" s="25" t="s">
        <v>3339</v>
      </c>
      <c r="C508" s="26" t="s">
        <v>3464</v>
      </c>
      <c r="D508" s="25">
        <v>3104399375</v>
      </c>
      <c r="E508" s="25" t="s">
        <v>3940</v>
      </c>
      <c r="F508" s="25">
        <v>238</v>
      </c>
      <c r="G508" s="25">
        <v>334</v>
      </c>
      <c r="H508" s="25">
        <v>3332645</v>
      </c>
      <c r="I508" s="25">
        <v>0</v>
      </c>
    </row>
    <row r="509" spans="1:9" ht="15" customHeight="1">
      <c r="A509" s="25" t="s">
        <v>2727</v>
      </c>
      <c r="B509" s="25" t="s">
        <v>3340</v>
      </c>
      <c r="C509" s="26" t="s">
        <v>3464</v>
      </c>
      <c r="D509" s="25">
        <v>3104399375</v>
      </c>
      <c r="E509" s="25" t="s">
        <v>3941</v>
      </c>
      <c r="F509" s="27" t="s">
        <v>4059</v>
      </c>
      <c r="G509" s="25">
        <v>334</v>
      </c>
      <c r="H509" s="25">
        <v>915861</v>
      </c>
      <c r="I509" s="25">
        <v>0</v>
      </c>
    </row>
    <row r="510" spans="1:9" ht="15" customHeight="1">
      <c r="A510" s="25" t="s">
        <v>2728</v>
      </c>
      <c r="B510" s="25" t="s">
        <v>3341</v>
      </c>
      <c r="C510" s="26" t="s">
        <v>3464</v>
      </c>
      <c r="D510" s="25">
        <v>3104399375</v>
      </c>
      <c r="E510" s="25" t="s">
        <v>3942</v>
      </c>
      <c r="F510" s="27" t="s">
        <v>4059</v>
      </c>
      <c r="G510" s="25">
        <v>334</v>
      </c>
      <c r="H510" s="25">
        <v>3610000</v>
      </c>
      <c r="I510" s="25">
        <v>0</v>
      </c>
    </row>
    <row r="511" spans="1:9" ht="15" customHeight="1">
      <c r="A511" s="25" t="s">
        <v>2729</v>
      </c>
      <c r="B511" s="25" t="s">
        <v>3342</v>
      </c>
      <c r="C511" s="26" t="s">
        <v>3464</v>
      </c>
      <c r="D511" s="25">
        <v>3104399375</v>
      </c>
      <c r="E511" s="25" t="s">
        <v>3943</v>
      </c>
      <c r="F511" s="27" t="s">
        <v>4059</v>
      </c>
      <c r="G511" s="25">
        <v>334</v>
      </c>
      <c r="H511" s="25">
        <v>533600</v>
      </c>
      <c r="I511" s="25">
        <v>0</v>
      </c>
    </row>
    <row r="512" spans="1:9" ht="15" customHeight="1">
      <c r="A512" s="25" t="s">
        <v>2730</v>
      </c>
      <c r="B512" s="25" t="s">
        <v>3343</v>
      </c>
      <c r="C512" s="26" t="s">
        <v>3464</v>
      </c>
      <c r="D512" s="25">
        <v>3104399375</v>
      </c>
      <c r="E512" s="25" t="s">
        <v>3944</v>
      </c>
      <c r="F512" s="27" t="s">
        <v>4059</v>
      </c>
      <c r="G512" s="25">
        <v>334</v>
      </c>
      <c r="H512" s="25">
        <v>172437</v>
      </c>
      <c r="I512" s="25">
        <v>0</v>
      </c>
    </row>
    <row r="513" spans="1:9" ht="15" customHeight="1">
      <c r="A513" s="25" t="s">
        <v>2731</v>
      </c>
      <c r="B513" s="25" t="s">
        <v>3278</v>
      </c>
      <c r="C513" s="26" t="s">
        <v>3464</v>
      </c>
      <c r="D513" s="25">
        <v>3104399375</v>
      </c>
      <c r="E513" s="25" t="s">
        <v>3883</v>
      </c>
      <c r="F513" s="25">
        <v>238</v>
      </c>
      <c r="G513" s="25">
        <v>334</v>
      </c>
      <c r="H513" s="25">
        <v>3316100</v>
      </c>
      <c r="I513" s="25">
        <v>0</v>
      </c>
    </row>
    <row r="514" spans="1:9" ht="15" customHeight="1">
      <c r="A514" s="25" t="s">
        <v>2732</v>
      </c>
      <c r="B514" s="25" t="s">
        <v>3344</v>
      </c>
      <c r="C514" s="26" t="s">
        <v>3464</v>
      </c>
      <c r="D514" s="25">
        <v>3104399375</v>
      </c>
      <c r="E514" s="25" t="s">
        <v>3945</v>
      </c>
      <c r="F514" s="25">
        <v>238</v>
      </c>
      <c r="G514" s="25">
        <v>334</v>
      </c>
      <c r="H514" s="25">
        <v>501060</v>
      </c>
      <c r="I514" s="25">
        <v>0</v>
      </c>
    </row>
    <row r="515" spans="1:9" ht="15" customHeight="1">
      <c r="A515" s="25" t="s">
        <v>2733</v>
      </c>
      <c r="B515" s="25" t="s">
        <v>3345</v>
      </c>
      <c r="C515" s="26" t="s">
        <v>3464</v>
      </c>
      <c r="D515" s="25">
        <v>3104399375</v>
      </c>
      <c r="E515" s="25" t="s">
        <v>3946</v>
      </c>
      <c r="F515" s="27" t="s">
        <v>4059</v>
      </c>
      <c r="G515" s="25">
        <v>334</v>
      </c>
      <c r="H515" s="25">
        <v>10669553</v>
      </c>
      <c r="I515" s="25">
        <v>0</v>
      </c>
    </row>
    <row r="516" spans="1:9" ht="15" customHeight="1">
      <c r="A516" s="25" t="s">
        <v>2734</v>
      </c>
      <c r="B516" s="25" t="s">
        <v>3346</v>
      </c>
      <c r="C516" s="26" t="s">
        <v>3464</v>
      </c>
      <c r="D516" s="25">
        <v>3104399375</v>
      </c>
      <c r="E516" s="25" t="s">
        <v>3947</v>
      </c>
      <c r="F516" s="25">
        <v>51</v>
      </c>
      <c r="G516" s="25">
        <v>334</v>
      </c>
      <c r="H516" s="25">
        <v>491300</v>
      </c>
      <c r="I516" s="25">
        <v>0</v>
      </c>
    </row>
    <row r="517" spans="1:9" ht="15" customHeight="1">
      <c r="A517" s="25" t="s">
        <v>2497</v>
      </c>
      <c r="B517" s="25" t="s">
        <v>3098</v>
      </c>
      <c r="C517" s="26" t="s">
        <v>3464</v>
      </c>
      <c r="D517" s="25">
        <v>3104399375</v>
      </c>
      <c r="E517" s="25" t="s">
        <v>3704</v>
      </c>
      <c r="F517" s="25">
        <v>759</v>
      </c>
      <c r="G517" s="25">
        <v>334</v>
      </c>
      <c r="H517" s="25">
        <v>506088</v>
      </c>
      <c r="I517" s="25">
        <v>0</v>
      </c>
    </row>
    <row r="518" spans="1:9" ht="15" customHeight="1">
      <c r="A518" s="25" t="s">
        <v>2735</v>
      </c>
      <c r="B518" s="25" t="s">
        <v>3347</v>
      </c>
      <c r="C518" s="26" t="s">
        <v>3464</v>
      </c>
      <c r="D518" s="25">
        <v>3104399375</v>
      </c>
      <c r="E518" s="25" t="s">
        <v>3948</v>
      </c>
      <c r="F518" s="25">
        <v>759</v>
      </c>
      <c r="G518" s="25">
        <v>334</v>
      </c>
      <c r="H518" s="25">
        <v>284703</v>
      </c>
      <c r="I518" s="25">
        <v>0</v>
      </c>
    </row>
    <row r="519" spans="1:9" ht="15" customHeight="1">
      <c r="A519" s="25" t="s">
        <v>2736</v>
      </c>
      <c r="B519" s="25" t="s">
        <v>3348</v>
      </c>
      <c r="C519" s="26" t="s">
        <v>3464</v>
      </c>
      <c r="D519" s="25">
        <v>3104399375</v>
      </c>
      <c r="E519" s="25" t="s">
        <v>3949</v>
      </c>
      <c r="F519" s="25">
        <v>759</v>
      </c>
      <c r="G519" s="25">
        <v>334</v>
      </c>
      <c r="H519" s="25">
        <v>2932756</v>
      </c>
      <c r="I519" s="25">
        <v>0</v>
      </c>
    </row>
    <row r="520" spans="1:9" ht="15" customHeight="1">
      <c r="A520" s="25" t="s">
        <v>2737</v>
      </c>
      <c r="B520" s="25" t="s">
        <v>3349</v>
      </c>
      <c r="C520" s="26" t="s">
        <v>3464</v>
      </c>
      <c r="D520" s="25">
        <v>3104399375</v>
      </c>
      <c r="E520" s="25" t="s">
        <v>3950</v>
      </c>
      <c r="F520" s="25">
        <v>238</v>
      </c>
      <c r="G520" s="25">
        <v>334</v>
      </c>
      <c r="H520" s="25">
        <f>318751-50000</f>
        <v>268751</v>
      </c>
      <c r="I520" s="25">
        <v>0</v>
      </c>
    </row>
    <row r="521" spans="1:9" ht="15" customHeight="1">
      <c r="A521" s="25" t="s">
        <v>2738</v>
      </c>
      <c r="B521" s="25" t="s">
        <v>3350</v>
      </c>
      <c r="C521" s="26" t="s">
        <v>3464</v>
      </c>
      <c r="D521" s="25">
        <v>3104399375</v>
      </c>
      <c r="E521" s="25" t="s">
        <v>3951</v>
      </c>
      <c r="F521" s="25">
        <v>516</v>
      </c>
      <c r="G521" s="25">
        <v>334</v>
      </c>
      <c r="H521" s="25">
        <v>768800</v>
      </c>
      <c r="I521" s="25">
        <v>0</v>
      </c>
    </row>
    <row r="522" spans="1:9" ht="15" customHeight="1">
      <c r="A522" s="25" t="s">
        <v>2739</v>
      </c>
      <c r="B522" s="25" t="s">
        <v>3351</v>
      </c>
      <c r="C522" s="26" t="s">
        <v>3464</v>
      </c>
      <c r="D522" s="25">
        <v>3104399375</v>
      </c>
      <c r="E522" s="25" t="s">
        <v>3351</v>
      </c>
      <c r="F522" s="25">
        <v>837</v>
      </c>
      <c r="G522" s="25">
        <v>334</v>
      </c>
      <c r="H522" s="25">
        <v>1699400</v>
      </c>
      <c r="I522" s="25">
        <v>0</v>
      </c>
    </row>
    <row r="523" spans="1:9" ht="15" customHeight="1">
      <c r="A523" s="25" t="s">
        <v>2740</v>
      </c>
      <c r="B523" s="25" t="s">
        <v>3352</v>
      </c>
      <c r="C523" s="26" t="s">
        <v>3464</v>
      </c>
      <c r="D523" s="25">
        <v>3104399375</v>
      </c>
      <c r="E523" s="25" t="s">
        <v>3952</v>
      </c>
      <c r="F523" s="27" t="s">
        <v>4059</v>
      </c>
      <c r="G523" s="25">
        <v>334</v>
      </c>
      <c r="H523" s="25">
        <v>390000</v>
      </c>
      <c r="I523" s="25">
        <v>0</v>
      </c>
    </row>
    <row r="524" spans="1:9" ht="15" customHeight="1">
      <c r="A524" s="25" t="s">
        <v>2741</v>
      </c>
      <c r="B524" s="25" t="s">
        <v>3353</v>
      </c>
      <c r="C524" s="26" t="s">
        <v>3464</v>
      </c>
      <c r="D524" s="25">
        <v>3104399375</v>
      </c>
      <c r="E524" s="25" t="s">
        <v>3953</v>
      </c>
      <c r="F524" s="27" t="s">
        <v>4059</v>
      </c>
      <c r="G524" s="25">
        <v>334</v>
      </c>
      <c r="H524" s="25">
        <v>31548980</v>
      </c>
      <c r="I524" s="25">
        <v>0</v>
      </c>
    </row>
    <row r="525" spans="1:9" ht="15" customHeight="1">
      <c r="A525" s="25" t="s">
        <v>2742</v>
      </c>
      <c r="B525" s="25" t="s">
        <v>3354</v>
      </c>
      <c r="C525" s="26" t="s">
        <v>3464</v>
      </c>
      <c r="D525" s="25">
        <v>3104399375</v>
      </c>
      <c r="E525" s="25" t="s">
        <v>3954</v>
      </c>
      <c r="F525" s="25">
        <v>214</v>
      </c>
      <c r="G525" s="25">
        <v>334</v>
      </c>
      <c r="H525" s="25">
        <v>7125420</v>
      </c>
      <c r="I525" s="25">
        <v>0</v>
      </c>
    </row>
    <row r="526" spans="1:9" ht="15" customHeight="1">
      <c r="A526" s="25" t="s">
        <v>2743</v>
      </c>
      <c r="B526" s="25" t="s">
        <v>3355</v>
      </c>
      <c r="C526" s="26" t="s">
        <v>3464</v>
      </c>
      <c r="D526" s="25">
        <v>3104399375</v>
      </c>
      <c r="E526" s="25" t="s">
        <v>3955</v>
      </c>
      <c r="F526" s="27" t="s">
        <v>4059</v>
      </c>
      <c r="G526" s="25">
        <v>334</v>
      </c>
      <c r="H526" s="25">
        <v>6546219</v>
      </c>
      <c r="I526" s="25">
        <v>0</v>
      </c>
    </row>
    <row r="527" spans="1:9" ht="15" customHeight="1">
      <c r="A527" s="25" t="s">
        <v>2744</v>
      </c>
      <c r="B527" s="25" t="s">
        <v>3356</v>
      </c>
      <c r="C527" s="26" t="s">
        <v>3464</v>
      </c>
      <c r="D527" s="25">
        <v>3104399375</v>
      </c>
      <c r="E527" s="25" t="s">
        <v>3956</v>
      </c>
      <c r="F527" s="27" t="s">
        <v>4059</v>
      </c>
      <c r="G527" s="25">
        <v>334</v>
      </c>
      <c r="H527" s="25">
        <v>570315</v>
      </c>
      <c r="I527" s="25">
        <v>0</v>
      </c>
    </row>
    <row r="528" spans="1:9" ht="15" customHeight="1">
      <c r="A528" s="25" t="s">
        <v>2745</v>
      </c>
      <c r="B528" s="25" t="s">
        <v>3357</v>
      </c>
      <c r="C528" s="26" t="s">
        <v>3464</v>
      </c>
      <c r="D528" s="25">
        <v>3104399375</v>
      </c>
      <c r="E528" s="25" t="s">
        <v>3957</v>
      </c>
      <c r="F528" s="27" t="s">
        <v>4059</v>
      </c>
      <c r="G528" s="25">
        <v>334</v>
      </c>
      <c r="H528" s="25">
        <v>7200000</v>
      </c>
      <c r="I528" s="25">
        <v>0</v>
      </c>
    </row>
    <row r="529" spans="1:9" ht="15" customHeight="1">
      <c r="A529" s="25" t="s">
        <v>2746</v>
      </c>
      <c r="B529" s="25" t="s">
        <v>3358</v>
      </c>
      <c r="C529" s="26" t="s">
        <v>3464</v>
      </c>
      <c r="D529" s="25">
        <v>3104399375</v>
      </c>
      <c r="E529" s="25" t="s">
        <v>3358</v>
      </c>
      <c r="F529" s="25">
        <v>469</v>
      </c>
      <c r="G529" s="25">
        <v>334</v>
      </c>
      <c r="H529" s="25">
        <v>513600</v>
      </c>
      <c r="I529" s="25">
        <v>0</v>
      </c>
    </row>
    <row r="530" spans="1:9" ht="15" customHeight="1">
      <c r="A530" s="25" t="s">
        <v>2747</v>
      </c>
      <c r="B530" s="25" t="s">
        <v>3359</v>
      </c>
      <c r="C530" s="26" t="s">
        <v>3464</v>
      </c>
      <c r="D530" s="25">
        <v>3104399375</v>
      </c>
      <c r="E530" s="25" t="s">
        <v>3958</v>
      </c>
      <c r="F530" s="27" t="s">
        <v>4059</v>
      </c>
      <c r="G530" s="25">
        <v>334</v>
      </c>
      <c r="H530" s="25">
        <v>3335131</v>
      </c>
      <c r="I530" s="25">
        <v>0</v>
      </c>
    </row>
    <row r="531" spans="1:9" ht="15" customHeight="1">
      <c r="A531" s="25" t="s">
        <v>2748</v>
      </c>
      <c r="B531" s="25" t="s">
        <v>3360</v>
      </c>
      <c r="C531" s="26" t="s">
        <v>3464</v>
      </c>
      <c r="D531" s="25">
        <v>3104399375</v>
      </c>
      <c r="E531" s="25" t="s">
        <v>3959</v>
      </c>
      <c r="F531" s="27" t="s">
        <v>4059</v>
      </c>
      <c r="G531" s="25">
        <v>334</v>
      </c>
      <c r="H531" s="25">
        <v>58050797</v>
      </c>
      <c r="I531" s="25">
        <v>0</v>
      </c>
    </row>
    <row r="532" spans="1:9" ht="15" customHeight="1">
      <c r="A532" s="25" t="s">
        <v>2749</v>
      </c>
      <c r="B532" s="25" t="s">
        <v>3361</v>
      </c>
      <c r="C532" s="26" t="s">
        <v>3464</v>
      </c>
      <c r="D532" s="25">
        <v>3104399375</v>
      </c>
      <c r="E532" s="25" t="s">
        <v>3960</v>
      </c>
      <c r="F532" s="27" t="s">
        <v>4059</v>
      </c>
      <c r="G532" s="25">
        <v>334</v>
      </c>
      <c r="H532" s="25">
        <v>7847900</v>
      </c>
      <c r="I532" s="25">
        <v>0</v>
      </c>
    </row>
    <row r="533" spans="1:9" ht="15" customHeight="1">
      <c r="A533" s="25" t="s">
        <v>2522</v>
      </c>
      <c r="B533" s="25" t="s">
        <v>3123</v>
      </c>
      <c r="C533" s="26" t="s">
        <v>3464</v>
      </c>
      <c r="D533" s="25">
        <v>3104399375</v>
      </c>
      <c r="E533" s="25" t="s">
        <v>3729</v>
      </c>
      <c r="F533" s="27" t="s">
        <v>4059</v>
      </c>
      <c r="G533" s="25">
        <v>334</v>
      </c>
      <c r="H533" s="25">
        <v>6750000</v>
      </c>
      <c r="I533" s="25">
        <v>0</v>
      </c>
    </row>
    <row r="534" spans="1:9" ht="15" customHeight="1">
      <c r="A534" s="25" t="s">
        <v>2750</v>
      </c>
      <c r="B534" s="25" t="s">
        <v>3362</v>
      </c>
      <c r="C534" s="26" t="s">
        <v>3464</v>
      </c>
      <c r="D534" s="25">
        <v>3104399375</v>
      </c>
      <c r="E534" s="25" t="s">
        <v>3961</v>
      </c>
      <c r="F534" s="27" t="s">
        <v>4059</v>
      </c>
      <c r="G534" s="25">
        <v>334</v>
      </c>
      <c r="H534" s="25">
        <v>1110000</v>
      </c>
      <c r="I534" s="25">
        <v>0</v>
      </c>
    </row>
    <row r="535" spans="1:9" ht="15" customHeight="1">
      <c r="A535" s="25" t="s">
        <v>2751</v>
      </c>
      <c r="B535" s="25" t="s">
        <v>3363</v>
      </c>
      <c r="C535" s="26" t="s">
        <v>3464</v>
      </c>
      <c r="D535" s="25">
        <v>3104399375</v>
      </c>
      <c r="E535" s="25" t="s">
        <v>3962</v>
      </c>
      <c r="F535" s="27" t="s">
        <v>4059</v>
      </c>
      <c r="G535" s="25">
        <v>334</v>
      </c>
      <c r="H535" s="25">
        <v>2722026</v>
      </c>
      <c r="I535" s="25">
        <v>0</v>
      </c>
    </row>
    <row r="536" spans="1:9" ht="15" customHeight="1">
      <c r="A536" s="25" t="s">
        <v>2670</v>
      </c>
      <c r="B536" s="25" t="s">
        <v>3276</v>
      </c>
      <c r="C536" s="26" t="s">
        <v>3464</v>
      </c>
      <c r="D536" s="25">
        <v>3104399375</v>
      </c>
      <c r="E536" s="25" t="s">
        <v>3881</v>
      </c>
      <c r="F536" s="25">
        <v>238</v>
      </c>
      <c r="G536" s="25">
        <v>334</v>
      </c>
      <c r="H536" s="25">
        <v>196800</v>
      </c>
      <c r="I536" s="25">
        <v>0</v>
      </c>
    </row>
    <row r="537" spans="1:9" ht="15" customHeight="1">
      <c r="A537" s="25" t="s">
        <v>2532</v>
      </c>
      <c r="B537" s="25" t="s">
        <v>3133</v>
      </c>
      <c r="C537" s="26" t="s">
        <v>3464</v>
      </c>
      <c r="D537" s="25">
        <v>3104399375</v>
      </c>
      <c r="E537" s="25" t="s">
        <v>3739</v>
      </c>
      <c r="F537" s="27" t="s">
        <v>4059</v>
      </c>
      <c r="G537" s="25">
        <v>334</v>
      </c>
      <c r="H537" s="25">
        <v>12588672</v>
      </c>
      <c r="I537" s="25">
        <v>0</v>
      </c>
    </row>
    <row r="538" spans="1:9" ht="15" customHeight="1">
      <c r="A538" s="25" t="s">
        <v>2752</v>
      </c>
      <c r="B538" s="25" t="s">
        <v>3364</v>
      </c>
      <c r="C538" s="26" t="s">
        <v>3464</v>
      </c>
      <c r="D538" s="25">
        <v>3104399375</v>
      </c>
      <c r="E538" s="25" t="s">
        <v>714</v>
      </c>
      <c r="F538" s="25">
        <v>759</v>
      </c>
      <c r="G538" s="25">
        <v>334</v>
      </c>
      <c r="H538" s="25">
        <v>8680000</v>
      </c>
      <c r="I538" s="25">
        <v>0</v>
      </c>
    </row>
    <row r="539" spans="1:9" ht="15" customHeight="1">
      <c r="A539" s="25" t="s">
        <v>2753</v>
      </c>
      <c r="B539" s="25" t="s">
        <v>3365</v>
      </c>
      <c r="C539" s="26" t="s">
        <v>3464</v>
      </c>
      <c r="D539" s="25">
        <v>3104399375</v>
      </c>
      <c r="E539" s="25" t="s">
        <v>730</v>
      </c>
      <c r="F539" s="25">
        <v>238</v>
      </c>
      <c r="G539" s="25">
        <v>334</v>
      </c>
      <c r="H539" s="25">
        <v>3942151</v>
      </c>
      <c r="I539" s="25">
        <v>0</v>
      </c>
    </row>
    <row r="540" spans="1:9" ht="15" customHeight="1">
      <c r="A540" s="25" t="s">
        <v>2754</v>
      </c>
      <c r="B540" s="25" t="s">
        <v>3366</v>
      </c>
      <c r="C540" s="26" t="s">
        <v>3464</v>
      </c>
      <c r="D540" s="25">
        <v>3104399375</v>
      </c>
      <c r="E540" s="25" t="s">
        <v>3963</v>
      </c>
      <c r="F540" s="27" t="s">
        <v>4059</v>
      </c>
      <c r="G540" s="25">
        <v>334</v>
      </c>
      <c r="H540" s="25">
        <v>22745097</v>
      </c>
      <c r="I540" s="25">
        <v>0</v>
      </c>
    </row>
    <row r="541" spans="1:9" ht="15" customHeight="1">
      <c r="A541" s="25" t="s">
        <v>2755</v>
      </c>
      <c r="B541" s="25" t="s">
        <v>3367</v>
      </c>
      <c r="C541" s="26" t="s">
        <v>3464</v>
      </c>
      <c r="D541" s="25">
        <v>3104399375</v>
      </c>
      <c r="E541" s="25" t="s">
        <v>3964</v>
      </c>
      <c r="F541" s="27" t="s">
        <v>4059</v>
      </c>
      <c r="G541" s="25">
        <v>334</v>
      </c>
      <c r="H541" s="25">
        <v>74492497</v>
      </c>
      <c r="I541" s="25">
        <v>0</v>
      </c>
    </row>
    <row r="542" spans="1:9" ht="15" customHeight="1">
      <c r="A542" s="25" t="s">
        <v>2756</v>
      </c>
      <c r="B542" s="25" t="s">
        <v>3368</v>
      </c>
      <c r="C542" s="26" t="s">
        <v>3464</v>
      </c>
      <c r="D542" s="25">
        <v>3104399375</v>
      </c>
      <c r="E542" s="25" t="s">
        <v>3965</v>
      </c>
      <c r="F542" s="27" t="s">
        <v>4059</v>
      </c>
      <c r="G542" s="25">
        <v>334</v>
      </c>
      <c r="H542" s="25">
        <v>321857</v>
      </c>
      <c r="I542" s="25">
        <v>0</v>
      </c>
    </row>
    <row r="543" spans="1:9" ht="15" customHeight="1">
      <c r="A543" s="25" t="s">
        <v>2757</v>
      </c>
      <c r="B543" s="25" t="s">
        <v>3369</v>
      </c>
      <c r="C543" s="26" t="s">
        <v>3464</v>
      </c>
      <c r="D543" s="25">
        <v>3104399375</v>
      </c>
      <c r="E543" s="25" t="s">
        <v>3966</v>
      </c>
      <c r="F543" s="27" t="s">
        <v>4059</v>
      </c>
      <c r="G543" s="25">
        <v>334</v>
      </c>
      <c r="H543" s="25">
        <v>830300</v>
      </c>
      <c r="I543" s="25">
        <v>0</v>
      </c>
    </row>
    <row r="544" spans="1:9" ht="15" customHeight="1">
      <c r="A544" s="25" t="s">
        <v>2758</v>
      </c>
      <c r="B544" s="25" t="s">
        <v>3370</v>
      </c>
      <c r="C544" s="26" t="s">
        <v>3464</v>
      </c>
      <c r="D544" s="25">
        <v>3104399375</v>
      </c>
      <c r="E544" s="25" t="s">
        <v>3967</v>
      </c>
      <c r="F544" s="27" t="s">
        <v>4059</v>
      </c>
      <c r="G544" s="25">
        <v>334</v>
      </c>
      <c r="H544" s="25">
        <v>1949491</v>
      </c>
      <c r="I544" s="25">
        <v>0</v>
      </c>
    </row>
    <row r="545" spans="1:9" ht="15" customHeight="1">
      <c r="A545" s="25" t="s">
        <v>2759</v>
      </c>
      <c r="B545" s="25" t="s">
        <v>3371</v>
      </c>
      <c r="C545" s="26" t="s">
        <v>3464</v>
      </c>
      <c r="D545" s="25">
        <v>3104399375</v>
      </c>
      <c r="E545" s="25" t="s">
        <v>3968</v>
      </c>
      <c r="F545" s="27" t="s">
        <v>4059</v>
      </c>
      <c r="G545" s="25">
        <v>334</v>
      </c>
      <c r="H545" s="25">
        <v>36397500</v>
      </c>
      <c r="I545" s="25">
        <v>0</v>
      </c>
    </row>
    <row r="546" spans="1:9" ht="15" customHeight="1">
      <c r="A546" s="25" t="s">
        <v>2760</v>
      </c>
      <c r="B546" s="25" t="s">
        <v>3372</v>
      </c>
      <c r="C546" s="26" t="s">
        <v>3464</v>
      </c>
      <c r="D546" s="25">
        <v>3104399375</v>
      </c>
      <c r="E546" s="25" t="s">
        <v>3969</v>
      </c>
      <c r="F546" s="25">
        <v>238</v>
      </c>
      <c r="G546" s="25">
        <v>334</v>
      </c>
      <c r="H546" s="25">
        <v>1800000</v>
      </c>
      <c r="I546" s="25">
        <v>0</v>
      </c>
    </row>
    <row r="547" spans="1:9" ht="15" customHeight="1">
      <c r="A547" s="25" t="s">
        <v>2761</v>
      </c>
      <c r="B547" s="25" t="s">
        <v>3373</v>
      </c>
      <c r="C547" s="26" t="s">
        <v>3464</v>
      </c>
      <c r="D547" s="25">
        <v>3104399375</v>
      </c>
      <c r="E547" s="25" t="s">
        <v>3970</v>
      </c>
      <c r="F547" s="27" t="s">
        <v>4059</v>
      </c>
      <c r="G547" s="25">
        <v>334</v>
      </c>
      <c r="H547" s="25">
        <v>1990678</v>
      </c>
      <c r="I547" s="25">
        <v>0</v>
      </c>
    </row>
    <row r="548" spans="1:9" ht="15" customHeight="1">
      <c r="A548" s="25" t="s">
        <v>2762</v>
      </c>
      <c r="B548" s="25" t="s">
        <v>3374</v>
      </c>
      <c r="C548" s="26" t="s">
        <v>3464</v>
      </c>
      <c r="D548" s="25">
        <v>3104399375</v>
      </c>
      <c r="E548" s="25" t="s">
        <v>3971</v>
      </c>
      <c r="F548" s="27" t="s">
        <v>4059</v>
      </c>
      <c r="G548" s="25">
        <v>334</v>
      </c>
      <c r="H548" s="25">
        <v>840000</v>
      </c>
      <c r="I548" s="25">
        <v>0</v>
      </c>
    </row>
    <row r="549" spans="1:9" ht="15" customHeight="1">
      <c r="A549" s="25" t="s">
        <v>2549</v>
      </c>
      <c r="B549" s="25" t="s">
        <v>3150</v>
      </c>
      <c r="C549" s="26" t="s">
        <v>3464</v>
      </c>
      <c r="D549" s="25">
        <v>3104399375</v>
      </c>
      <c r="E549" s="25" t="s">
        <v>3756</v>
      </c>
      <c r="F549" s="25">
        <v>238</v>
      </c>
      <c r="G549" s="25">
        <v>334</v>
      </c>
      <c r="H549" s="25">
        <v>8861500</v>
      </c>
      <c r="I549" s="25">
        <v>0</v>
      </c>
    </row>
    <row r="550" spans="1:9" ht="15" customHeight="1">
      <c r="A550" s="25" t="s">
        <v>2763</v>
      </c>
      <c r="B550" s="25" t="s">
        <v>3375</v>
      </c>
      <c r="C550" s="26" t="s">
        <v>3464</v>
      </c>
      <c r="D550" s="25">
        <v>3104399375</v>
      </c>
      <c r="E550" s="25" t="s">
        <v>3972</v>
      </c>
      <c r="F550" s="25">
        <v>238</v>
      </c>
      <c r="G550" s="25">
        <v>334</v>
      </c>
      <c r="H550" s="25">
        <v>8282929</v>
      </c>
      <c r="I550" s="25">
        <v>0</v>
      </c>
    </row>
    <row r="551" spans="1:9" ht="15" customHeight="1">
      <c r="A551" s="25" t="s">
        <v>2764</v>
      </c>
      <c r="B551" s="25" t="s">
        <v>3376</v>
      </c>
      <c r="C551" s="26" t="s">
        <v>3464</v>
      </c>
      <c r="D551" s="25">
        <v>3104399375</v>
      </c>
      <c r="E551" s="25" t="s">
        <v>3973</v>
      </c>
      <c r="F551" s="27" t="s">
        <v>4059</v>
      </c>
      <c r="G551" s="25">
        <v>334</v>
      </c>
      <c r="H551" s="25">
        <v>446400</v>
      </c>
      <c r="I551" s="25">
        <v>0</v>
      </c>
    </row>
    <row r="552" spans="1:9" ht="15" customHeight="1">
      <c r="A552" s="25" t="s">
        <v>2765</v>
      </c>
      <c r="B552" s="25" t="s">
        <v>3377</v>
      </c>
      <c r="C552" s="26" t="s">
        <v>3464</v>
      </c>
      <c r="D552" s="25">
        <v>3104399375</v>
      </c>
      <c r="E552" s="25" t="s">
        <v>3974</v>
      </c>
      <c r="F552" s="27" t="s">
        <v>4059</v>
      </c>
      <c r="G552" s="25">
        <v>334</v>
      </c>
      <c r="H552" s="25">
        <v>778739</v>
      </c>
      <c r="I552" s="25">
        <v>0</v>
      </c>
    </row>
    <row r="553" spans="1:9" ht="15" customHeight="1">
      <c r="A553" s="25" t="s">
        <v>2567</v>
      </c>
      <c r="B553" s="25" t="s">
        <v>3168</v>
      </c>
      <c r="C553" s="26" t="s">
        <v>3464</v>
      </c>
      <c r="D553" s="25">
        <v>3104399375</v>
      </c>
      <c r="E553" s="25" t="s">
        <v>3774</v>
      </c>
      <c r="F553" s="27" t="s">
        <v>4059</v>
      </c>
      <c r="G553" s="25">
        <v>334</v>
      </c>
      <c r="H553" s="25">
        <v>10249372</v>
      </c>
      <c r="I553" s="25">
        <v>0</v>
      </c>
    </row>
    <row r="554" spans="1:9" ht="15" customHeight="1">
      <c r="A554" s="25" t="s">
        <v>2766</v>
      </c>
      <c r="B554" s="25" t="s">
        <v>3378</v>
      </c>
      <c r="C554" s="26" t="s">
        <v>3464</v>
      </c>
      <c r="D554" s="25">
        <v>3104399375</v>
      </c>
      <c r="E554" s="25" t="s">
        <v>3975</v>
      </c>
      <c r="F554" s="25">
        <v>238</v>
      </c>
      <c r="G554" s="25">
        <v>334</v>
      </c>
      <c r="H554" s="25">
        <v>14101002</v>
      </c>
      <c r="I554" s="25">
        <v>0</v>
      </c>
    </row>
    <row r="555" spans="1:9" ht="15" customHeight="1">
      <c r="A555" s="25" t="s">
        <v>2662</v>
      </c>
      <c r="B555" s="25" t="s">
        <v>3263</v>
      </c>
      <c r="C555" s="26" t="s">
        <v>3464</v>
      </c>
      <c r="D555" s="25">
        <v>3104399375</v>
      </c>
      <c r="E555" s="25" t="s">
        <v>3868</v>
      </c>
      <c r="F555" s="25">
        <v>266</v>
      </c>
      <c r="G555" s="25">
        <v>334</v>
      </c>
      <c r="H555" s="25">
        <v>2871500</v>
      </c>
      <c r="I555" s="25">
        <v>0</v>
      </c>
    </row>
    <row r="556" spans="1:9" ht="15" customHeight="1">
      <c r="A556" s="25" t="s">
        <v>2767</v>
      </c>
      <c r="B556" s="25" t="s">
        <v>3379</v>
      </c>
      <c r="C556" s="26" t="s">
        <v>3464</v>
      </c>
      <c r="D556" s="25">
        <v>3104399375</v>
      </c>
      <c r="E556" s="25" t="s">
        <v>3976</v>
      </c>
      <c r="F556" s="27" t="s">
        <v>4059</v>
      </c>
      <c r="G556" s="25">
        <v>334</v>
      </c>
      <c r="H556" s="25">
        <v>76621733</v>
      </c>
      <c r="I556" s="25">
        <v>0</v>
      </c>
    </row>
    <row r="557" spans="1:9" ht="15" customHeight="1">
      <c r="A557" s="25" t="s">
        <v>2768</v>
      </c>
      <c r="B557" s="25" t="s">
        <v>3380</v>
      </c>
      <c r="C557" s="26" t="s">
        <v>3464</v>
      </c>
      <c r="D557" s="25">
        <v>3104399375</v>
      </c>
      <c r="E557" s="25" t="s">
        <v>3977</v>
      </c>
      <c r="F557" s="25">
        <v>759</v>
      </c>
      <c r="G557" s="25">
        <v>334</v>
      </c>
      <c r="H557" s="25">
        <v>556704</v>
      </c>
      <c r="I557" s="25">
        <v>0</v>
      </c>
    </row>
    <row r="558" spans="1:9" ht="15" customHeight="1">
      <c r="A558" s="25" t="s">
        <v>2285</v>
      </c>
      <c r="B558" s="25" t="s">
        <v>2886</v>
      </c>
      <c r="C558" s="26" t="s">
        <v>3464</v>
      </c>
      <c r="D558" s="25">
        <v>3104399375</v>
      </c>
      <c r="E558" s="25" t="s">
        <v>3500</v>
      </c>
      <c r="F558" s="27" t="s">
        <v>4059</v>
      </c>
      <c r="G558" s="25">
        <v>334</v>
      </c>
      <c r="H558" s="25">
        <v>8376290</v>
      </c>
      <c r="I558" s="25">
        <v>0</v>
      </c>
    </row>
    <row r="559" spans="1:9" ht="15" customHeight="1">
      <c r="A559" s="25" t="s">
        <v>2769</v>
      </c>
      <c r="B559" s="25" t="s">
        <v>3381</v>
      </c>
      <c r="C559" s="26" t="s">
        <v>3464</v>
      </c>
      <c r="D559" s="25">
        <v>3104399375</v>
      </c>
      <c r="E559" s="25" t="s">
        <v>3978</v>
      </c>
      <c r="F559" s="25">
        <v>204</v>
      </c>
      <c r="G559" s="25">
        <v>334</v>
      </c>
      <c r="H559" s="25">
        <v>194700</v>
      </c>
      <c r="I559" s="25">
        <v>0</v>
      </c>
    </row>
    <row r="560" spans="1:9" ht="15" customHeight="1">
      <c r="A560" s="25" t="s">
        <v>2770</v>
      </c>
      <c r="B560" s="25" t="s">
        <v>3382</v>
      </c>
      <c r="C560" s="26" t="s">
        <v>3464</v>
      </c>
      <c r="D560" s="25">
        <v>3104399375</v>
      </c>
      <c r="E560" s="25" t="s">
        <v>3979</v>
      </c>
      <c r="F560" s="25">
        <v>238</v>
      </c>
      <c r="G560" s="25">
        <v>334</v>
      </c>
      <c r="H560" s="25">
        <v>14997000</v>
      </c>
      <c r="I560" s="25">
        <v>0</v>
      </c>
    </row>
    <row r="561" spans="1:9" ht="15" customHeight="1">
      <c r="A561" s="25" t="s">
        <v>2771</v>
      </c>
      <c r="B561" s="25" t="s">
        <v>3383</v>
      </c>
      <c r="C561" s="26" t="s">
        <v>3464</v>
      </c>
      <c r="D561" s="25">
        <v>3104399375</v>
      </c>
      <c r="E561" s="25" t="s">
        <v>3980</v>
      </c>
      <c r="F561" s="25">
        <v>759</v>
      </c>
      <c r="G561" s="25">
        <v>334</v>
      </c>
      <c r="H561" s="25">
        <v>1599800</v>
      </c>
      <c r="I561" s="25">
        <v>0</v>
      </c>
    </row>
    <row r="562" spans="1:9" ht="15" customHeight="1">
      <c r="A562" s="25" t="s">
        <v>2287</v>
      </c>
      <c r="B562" s="25" t="s">
        <v>2888</v>
      </c>
      <c r="C562" s="26" t="s">
        <v>3464</v>
      </c>
      <c r="D562" s="25">
        <v>3104399375</v>
      </c>
      <c r="E562" s="25" t="s">
        <v>3502</v>
      </c>
      <c r="F562" s="25">
        <v>238</v>
      </c>
      <c r="G562" s="25">
        <v>334</v>
      </c>
      <c r="H562" s="25">
        <v>543300</v>
      </c>
      <c r="I562" s="25">
        <v>0</v>
      </c>
    </row>
    <row r="563" spans="1:9" ht="15" customHeight="1">
      <c r="A563" s="25" t="s">
        <v>2772</v>
      </c>
      <c r="B563" s="25" t="s">
        <v>3384</v>
      </c>
      <c r="C563" s="26" t="s">
        <v>3464</v>
      </c>
      <c r="D563" s="25">
        <v>3104399375</v>
      </c>
      <c r="E563" s="25" t="s">
        <v>3981</v>
      </c>
      <c r="F563" s="25">
        <v>238</v>
      </c>
      <c r="G563" s="25">
        <v>334</v>
      </c>
      <c r="H563" s="25">
        <v>2224883</v>
      </c>
      <c r="I563" s="25">
        <v>0</v>
      </c>
    </row>
    <row r="564" spans="1:9" ht="15" customHeight="1">
      <c r="A564" s="25" t="s">
        <v>2773</v>
      </c>
      <c r="B564" s="25" t="s">
        <v>3385</v>
      </c>
      <c r="C564" s="26" t="s">
        <v>3464</v>
      </c>
      <c r="D564" s="25">
        <v>3104399375</v>
      </c>
      <c r="E564" s="25" t="s">
        <v>3982</v>
      </c>
      <c r="F564" s="25">
        <v>238</v>
      </c>
      <c r="G564" s="25">
        <v>334</v>
      </c>
      <c r="H564" s="25">
        <v>334579</v>
      </c>
      <c r="I564" s="25">
        <v>0</v>
      </c>
    </row>
    <row r="565" spans="1:9" ht="15" customHeight="1">
      <c r="A565" s="25" t="s">
        <v>2774</v>
      </c>
      <c r="B565" s="25" t="s">
        <v>3386</v>
      </c>
      <c r="C565" s="26" t="s">
        <v>3464</v>
      </c>
      <c r="D565" s="25">
        <v>3104399375</v>
      </c>
      <c r="E565" s="25" t="s">
        <v>3737</v>
      </c>
      <c r="F565" s="25">
        <v>238</v>
      </c>
      <c r="G565" s="25">
        <v>334</v>
      </c>
      <c r="H565" s="25">
        <v>327312</v>
      </c>
      <c r="I565" s="25">
        <v>0</v>
      </c>
    </row>
    <row r="566" spans="1:9" ht="15" customHeight="1">
      <c r="A566" s="25" t="s">
        <v>2775</v>
      </c>
      <c r="B566" s="25" t="s">
        <v>3387</v>
      </c>
      <c r="C566" s="26" t="s">
        <v>3464</v>
      </c>
      <c r="D566" s="25">
        <v>3104399375</v>
      </c>
      <c r="E566" s="25" t="s">
        <v>3983</v>
      </c>
      <c r="F566" s="25">
        <v>759</v>
      </c>
      <c r="G566" s="25">
        <v>334</v>
      </c>
      <c r="H566" s="25">
        <v>447000</v>
      </c>
      <c r="I566" s="25">
        <v>0</v>
      </c>
    </row>
    <row r="567" spans="1:9" ht="15" customHeight="1">
      <c r="A567" s="25" t="s">
        <v>2776</v>
      </c>
      <c r="B567" s="25" t="s">
        <v>3388</v>
      </c>
      <c r="C567" s="26" t="s">
        <v>3464</v>
      </c>
      <c r="D567" s="25">
        <v>3104399375</v>
      </c>
      <c r="E567" s="25" t="s">
        <v>3984</v>
      </c>
      <c r="F567" s="25">
        <v>238</v>
      </c>
      <c r="G567" s="25">
        <v>334</v>
      </c>
      <c r="H567" s="25">
        <v>2579243</v>
      </c>
      <c r="I567" s="25">
        <v>0</v>
      </c>
    </row>
    <row r="568" spans="1:9" ht="15" customHeight="1">
      <c r="A568" s="25" t="s">
        <v>2777</v>
      </c>
      <c r="B568" s="25" t="s">
        <v>3389</v>
      </c>
      <c r="C568" s="26" t="s">
        <v>3464</v>
      </c>
      <c r="D568" s="25">
        <v>3104399375</v>
      </c>
      <c r="E568" s="25" t="s">
        <v>3985</v>
      </c>
      <c r="F568" s="25">
        <v>440</v>
      </c>
      <c r="G568" s="25">
        <v>334</v>
      </c>
      <c r="H568" s="25">
        <v>1633017</v>
      </c>
      <c r="I568" s="25">
        <v>0</v>
      </c>
    </row>
    <row r="569" spans="1:9" ht="15" customHeight="1">
      <c r="A569" s="25" t="s">
        <v>2778</v>
      </c>
      <c r="B569" s="25" t="s">
        <v>3390</v>
      </c>
      <c r="C569" s="26" t="s">
        <v>3464</v>
      </c>
      <c r="D569" s="25">
        <v>3104399375</v>
      </c>
      <c r="E569" s="25" t="s">
        <v>3986</v>
      </c>
      <c r="F569" s="25">
        <v>238</v>
      </c>
      <c r="G569" s="25">
        <v>334</v>
      </c>
      <c r="H569" s="25">
        <v>524268</v>
      </c>
      <c r="I569" s="25">
        <v>0</v>
      </c>
    </row>
    <row r="570" spans="1:9" ht="15" customHeight="1">
      <c r="A570" s="25" t="s">
        <v>2588</v>
      </c>
      <c r="B570" s="25" t="s">
        <v>3189</v>
      </c>
      <c r="C570" s="26" t="s">
        <v>3464</v>
      </c>
      <c r="D570" s="25">
        <v>3104399375</v>
      </c>
      <c r="E570" s="25" t="s">
        <v>3794</v>
      </c>
      <c r="F570" s="27" t="s">
        <v>4059</v>
      </c>
      <c r="G570" s="25">
        <v>334</v>
      </c>
      <c r="H570" s="25">
        <v>1004768</v>
      </c>
      <c r="I570" s="25">
        <v>0</v>
      </c>
    </row>
    <row r="571" spans="1:9" ht="15" customHeight="1">
      <c r="A571" s="25" t="s">
        <v>2292</v>
      </c>
      <c r="B571" s="25" t="s">
        <v>2893</v>
      </c>
      <c r="C571" s="26" t="s">
        <v>3464</v>
      </c>
      <c r="D571" s="25">
        <v>3104399375</v>
      </c>
      <c r="E571" s="25" t="s">
        <v>3507</v>
      </c>
      <c r="F571" s="27" t="s">
        <v>4059</v>
      </c>
      <c r="G571" s="25">
        <v>334</v>
      </c>
      <c r="H571" s="25">
        <v>268727032</v>
      </c>
      <c r="I571" s="25">
        <v>0</v>
      </c>
    </row>
    <row r="572" spans="1:9" ht="15" customHeight="1">
      <c r="A572" s="25" t="s">
        <v>2779</v>
      </c>
      <c r="B572" s="25" t="s">
        <v>3391</v>
      </c>
      <c r="C572" s="26" t="s">
        <v>3464</v>
      </c>
      <c r="D572" s="25">
        <v>3104399375</v>
      </c>
      <c r="E572" s="25" t="s">
        <v>3987</v>
      </c>
      <c r="F572" s="27" t="s">
        <v>4059</v>
      </c>
      <c r="G572" s="25">
        <v>334</v>
      </c>
      <c r="H572" s="25">
        <v>278992</v>
      </c>
      <c r="I572" s="25">
        <v>0</v>
      </c>
    </row>
    <row r="573" spans="1:9" ht="15" customHeight="1">
      <c r="A573" s="25" t="s">
        <v>2780</v>
      </c>
      <c r="B573" s="25" t="s">
        <v>3392</v>
      </c>
      <c r="C573" s="26" t="s">
        <v>3464</v>
      </c>
      <c r="D573" s="25">
        <v>3104399375</v>
      </c>
      <c r="E573" s="25" t="s">
        <v>3988</v>
      </c>
      <c r="F573" s="25">
        <v>759</v>
      </c>
      <c r="G573" s="25">
        <v>334</v>
      </c>
      <c r="H573" s="25">
        <v>424000</v>
      </c>
      <c r="I573" s="25">
        <v>0</v>
      </c>
    </row>
    <row r="574" spans="1:9" ht="15" customHeight="1">
      <c r="A574" s="25" t="s">
        <v>2781</v>
      </c>
      <c r="B574" s="25" t="s">
        <v>3393</v>
      </c>
      <c r="C574" s="26" t="s">
        <v>3464</v>
      </c>
      <c r="D574" s="25">
        <v>3104399375</v>
      </c>
      <c r="E574" s="25" t="s">
        <v>3989</v>
      </c>
      <c r="F574" s="27" t="s">
        <v>4059</v>
      </c>
      <c r="G574" s="25">
        <v>334</v>
      </c>
      <c r="H574" s="25">
        <v>1999448</v>
      </c>
      <c r="I574" s="25">
        <v>0</v>
      </c>
    </row>
    <row r="575" spans="1:9" ht="15" customHeight="1">
      <c r="A575" s="25" t="s">
        <v>2782</v>
      </c>
      <c r="B575" s="25" t="s">
        <v>3394</v>
      </c>
      <c r="C575" s="26" t="s">
        <v>3464</v>
      </c>
      <c r="D575" s="25">
        <v>3104399375</v>
      </c>
      <c r="E575" s="25" t="s">
        <v>3990</v>
      </c>
      <c r="F575" s="27" t="s">
        <v>4059</v>
      </c>
      <c r="G575" s="25">
        <v>334</v>
      </c>
      <c r="H575" s="25">
        <v>2263000</v>
      </c>
      <c r="I575" s="25">
        <v>0</v>
      </c>
    </row>
    <row r="576" spans="1:9" ht="15" customHeight="1">
      <c r="A576" s="25" t="s">
        <v>2783</v>
      </c>
      <c r="B576" s="25" t="s">
        <v>3395</v>
      </c>
      <c r="C576" s="26" t="s">
        <v>3464</v>
      </c>
      <c r="D576" s="25">
        <v>3104399375</v>
      </c>
      <c r="E576" s="25" t="s">
        <v>3991</v>
      </c>
      <c r="F576" s="27" t="s">
        <v>4059</v>
      </c>
      <c r="G576" s="25">
        <v>334</v>
      </c>
      <c r="H576" s="25">
        <v>3740416</v>
      </c>
      <c r="I576" s="25">
        <v>0</v>
      </c>
    </row>
    <row r="577" spans="1:9" ht="15" customHeight="1">
      <c r="A577" s="25" t="s">
        <v>2784</v>
      </c>
      <c r="B577" s="25" t="s">
        <v>3396</v>
      </c>
      <c r="C577" s="26" t="s">
        <v>3464</v>
      </c>
      <c r="D577" s="25">
        <v>3104399375</v>
      </c>
      <c r="E577" s="25" t="s">
        <v>3992</v>
      </c>
      <c r="F577" s="27" t="s">
        <v>4059</v>
      </c>
      <c r="G577" s="25">
        <v>334</v>
      </c>
      <c r="H577" s="25">
        <v>658303</v>
      </c>
      <c r="I577" s="25">
        <v>0</v>
      </c>
    </row>
    <row r="578" spans="1:9" ht="15" customHeight="1">
      <c r="A578" s="25" t="s">
        <v>2785</v>
      </c>
      <c r="B578" s="25" t="s">
        <v>3397</v>
      </c>
      <c r="C578" s="26" t="s">
        <v>3464</v>
      </c>
      <c r="D578" s="25">
        <v>3104399375</v>
      </c>
      <c r="E578" s="25" t="s">
        <v>3993</v>
      </c>
      <c r="F578" s="25">
        <v>238</v>
      </c>
      <c r="G578" s="25">
        <v>334</v>
      </c>
      <c r="H578" s="25">
        <v>137175139</v>
      </c>
      <c r="I578" s="25">
        <v>0</v>
      </c>
    </row>
    <row r="579" spans="1:9" ht="15" customHeight="1">
      <c r="A579" s="25" t="s">
        <v>2786</v>
      </c>
      <c r="B579" s="25" t="s">
        <v>3398</v>
      </c>
      <c r="C579" s="26" t="s">
        <v>3464</v>
      </c>
      <c r="D579" s="25">
        <v>3104399375</v>
      </c>
      <c r="E579" s="25" t="s">
        <v>3994</v>
      </c>
      <c r="F579" s="27" t="s">
        <v>4059</v>
      </c>
      <c r="G579" s="25">
        <v>334</v>
      </c>
      <c r="H579" s="25">
        <v>25733000</v>
      </c>
      <c r="I579" s="25">
        <v>0</v>
      </c>
    </row>
    <row r="580" spans="1:9" ht="15" customHeight="1">
      <c r="A580" s="25" t="s">
        <v>2787</v>
      </c>
      <c r="B580" s="25" t="s">
        <v>3399</v>
      </c>
      <c r="C580" s="26" t="s">
        <v>3464</v>
      </c>
      <c r="D580" s="25">
        <v>3104399375</v>
      </c>
      <c r="E580" s="25" t="s">
        <v>3995</v>
      </c>
      <c r="F580" s="25">
        <v>238</v>
      </c>
      <c r="G580" s="25">
        <v>334</v>
      </c>
      <c r="H580" s="25">
        <v>2555215</v>
      </c>
      <c r="I580" s="25">
        <v>0</v>
      </c>
    </row>
    <row r="581" spans="1:9" ht="15" customHeight="1">
      <c r="A581" s="25" t="s">
        <v>2788</v>
      </c>
      <c r="B581" s="25" t="s">
        <v>3400</v>
      </c>
      <c r="C581" s="26" t="s">
        <v>3464</v>
      </c>
      <c r="D581" s="25">
        <v>3104399375</v>
      </c>
      <c r="E581" s="25" t="s">
        <v>3996</v>
      </c>
      <c r="F581" s="27" t="s">
        <v>4059</v>
      </c>
      <c r="G581" s="25">
        <v>334</v>
      </c>
      <c r="H581" s="25">
        <v>2091600</v>
      </c>
      <c r="I581" s="25">
        <v>0</v>
      </c>
    </row>
    <row r="582" spans="1:9" ht="15" customHeight="1">
      <c r="A582" s="25" t="s">
        <v>2789</v>
      </c>
      <c r="B582" s="25" t="s">
        <v>3401</v>
      </c>
      <c r="C582" s="26" t="s">
        <v>3464</v>
      </c>
      <c r="D582" s="25">
        <v>3104399375</v>
      </c>
      <c r="E582" s="25" t="s">
        <v>3997</v>
      </c>
      <c r="F582" s="25">
        <v>491</v>
      </c>
      <c r="G582" s="25">
        <v>334</v>
      </c>
      <c r="H582" s="25" t="e">
        <f>1820740-#REF!</f>
        <v>#REF!</v>
      </c>
      <c r="I582" s="25">
        <v>0</v>
      </c>
    </row>
    <row r="583" spans="1:9" ht="15" customHeight="1">
      <c r="A583" s="25" t="s">
        <v>2790</v>
      </c>
      <c r="B583" s="25" t="s">
        <v>3402</v>
      </c>
      <c r="C583" s="26" t="s">
        <v>3464</v>
      </c>
      <c r="D583" s="25">
        <v>3104399375</v>
      </c>
      <c r="E583" s="25" t="s">
        <v>3998</v>
      </c>
      <c r="F583" s="25">
        <v>759</v>
      </c>
      <c r="G583" s="25">
        <v>334</v>
      </c>
      <c r="H583" s="25">
        <v>2386400</v>
      </c>
      <c r="I583" s="25">
        <v>0</v>
      </c>
    </row>
    <row r="584" spans="1:9" ht="15" customHeight="1">
      <c r="A584" s="25" t="s">
        <v>2791</v>
      </c>
      <c r="B584" s="25" t="s">
        <v>3403</v>
      </c>
      <c r="C584" s="26" t="s">
        <v>3464</v>
      </c>
      <c r="D584" s="25">
        <v>3104399375</v>
      </c>
      <c r="E584" s="25" t="s">
        <v>3999</v>
      </c>
      <c r="F584" s="25">
        <v>238</v>
      </c>
      <c r="G584" s="25">
        <v>334</v>
      </c>
      <c r="H584" s="25">
        <v>160000</v>
      </c>
      <c r="I584" s="25">
        <v>0</v>
      </c>
    </row>
    <row r="585" spans="1:9" ht="15" customHeight="1">
      <c r="A585" s="25" t="s">
        <v>2792</v>
      </c>
      <c r="B585" s="25" t="s">
        <v>3404</v>
      </c>
      <c r="C585" s="26" t="s">
        <v>3464</v>
      </c>
      <c r="D585" s="25">
        <v>3104399375</v>
      </c>
      <c r="E585" s="25" t="s">
        <v>4000</v>
      </c>
      <c r="F585" s="25">
        <v>238</v>
      </c>
      <c r="G585" s="25">
        <v>334</v>
      </c>
      <c r="H585" s="25" t="e">
        <f>13771308-#REF!</f>
        <v>#REF!</v>
      </c>
      <c r="I585" s="25">
        <v>0</v>
      </c>
    </row>
    <row r="586" spans="1:9" ht="15" customHeight="1">
      <c r="A586" s="25" t="s">
        <v>2301</v>
      </c>
      <c r="B586" s="25" t="s">
        <v>2902</v>
      </c>
      <c r="C586" s="26" t="s">
        <v>3464</v>
      </c>
      <c r="D586" s="25">
        <v>3104399375</v>
      </c>
      <c r="E586" s="25" t="s">
        <v>3516</v>
      </c>
      <c r="F586" s="27" t="s">
        <v>4059</v>
      </c>
      <c r="G586" s="25">
        <v>334</v>
      </c>
      <c r="H586" s="25">
        <v>8500000</v>
      </c>
      <c r="I586" s="25">
        <v>0</v>
      </c>
    </row>
    <row r="587" spans="1:9" ht="15" customHeight="1">
      <c r="A587" s="25" t="s">
        <v>2793</v>
      </c>
      <c r="B587" s="25" t="s">
        <v>3405</v>
      </c>
      <c r="C587" s="26" t="s">
        <v>3464</v>
      </c>
      <c r="D587" s="25">
        <v>3104399375</v>
      </c>
      <c r="E587" s="25" t="s">
        <v>4001</v>
      </c>
      <c r="F587" s="25">
        <v>759</v>
      </c>
      <c r="G587" s="25">
        <v>334</v>
      </c>
      <c r="H587" s="25">
        <v>232799</v>
      </c>
      <c r="I587" s="25">
        <v>0</v>
      </c>
    </row>
    <row r="588" spans="1:9" ht="15" customHeight="1">
      <c r="A588" s="25" t="s">
        <v>2794</v>
      </c>
      <c r="B588" s="25" t="s">
        <v>3406</v>
      </c>
      <c r="C588" s="26" t="s">
        <v>3464</v>
      </c>
      <c r="D588" s="25">
        <v>3104399375</v>
      </c>
      <c r="E588" s="25" t="s">
        <v>4002</v>
      </c>
      <c r="F588" s="25">
        <v>759</v>
      </c>
      <c r="G588" s="25">
        <v>334</v>
      </c>
      <c r="H588" s="25">
        <v>487068</v>
      </c>
      <c r="I588" s="25">
        <v>0</v>
      </c>
    </row>
    <row r="589" spans="1:9" ht="15" customHeight="1">
      <c r="A589" s="25" t="s">
        <v>2666</v>
      </c>
      <c r="B589" s="25" t="s">
        <v>3267</v>
      </c>
      <c r="C589" s="26" t="s">
        <v>3464</v>
      </c>
      <c r="D589" s="25">
        <v>3104399375</v>
      </c>
      <c r="E589" s="25" t="s">
        <v>3872</v>
      </c>
      <c r="F589" s="27" t="s">
        <v>4059</v>
      </c>
      <c r="G589" s="25">
        <v>334</v>
      </c>
      <c r="H589" s="25">
        <v>5378151</v>
      </c>
      <c r="I589" s="25">
        <v>0</v>
      </c>
    </row>
    <row r="590" spans="1:9" ht="15" customHeight="1">
      <c r="A590" s="25" t="s">
        <v>2795</v>
      </c>
      <c r="B590" s="25" t="s">
        <v>3407</v>
      </c>
      <c r="C590" s="26" t="s">
        <v>3464</v>
      </c>
      <c r="D590" s="25">
        <v>3104399375</v>
      </c>
      <c r="E590" s="25" t="s">
        <v>4003</v>
      </c>
      <c r="F590" s="27" t="s">
        <v>4059</v>
      </c>
      <c r="G590" s="25">
        <v>334</v>
      </c>
      <c r="H590" s="25">
        <v>1012841</v>
      </c>
      <c r="I590" s="25">
        <v>0</v>
      </c>
    </row>
    <row r="591" spans="1:9" ht="15" customHeight="1">
      <c r="A591" s="25" t="s">
        <v>2796</v>
      </c>
      <c r="B591" s="25" t="s">
        <v>3408</v>
      </c>
      <c r="C591" s="26" t="s">
        <v>3464</v>
      </c>
      <c r="D591" s="25">
        <v>3104399375</v>
      </c>
      <c r="E591" s="25" t="s">
        <v>4004</v>
      </c>
      <c r="F591" s="25">
        <v>759</v>
      </c>
      <c r="G591" s="25">
        <v>334</v>
      </c>
      <c r="H591" s="25">
        <v>2658446</v>
      </c>
      <c r="I591" s="25">
        <v>0</v>
      </c>
    </row>
    <row r="592" spans="1:9" ht="15" customHeight="1">
      <c r="A592" s="25" t="s">
        <v>2797</v>
      </c>
      <c r="B592" s="25" t="s">
        <v>3409</v>
      </c>
      <c r="C592" s="26" t="s">
        <v>3464</v>
      </c>
      <c r="D592" s="25">
        <v>3104399375</v>
      </c>
      <c r="E592" s="25" t="s">
        <v>4005</v>
      </c>
      <c r="F592" s="27" t="s">
        <v>4059</v>
      </c>
      <c r="G592" s="25">
        <v>334</v>
      </c>
      <c r="H592" s="25">
        <v>327232</v>
      </c>
      <c r="I592" s="25">
        <v>0</v>
      </c>
    </row>
    <row r="593" spans="1:9" ht="15" customHeight="1">
      <c r="A593" s="25" t="s">
        <v>2798</v>
      </c>
      <c r="B593" s="25" t="s">
        <v>3410</v>
      </c>
      <c r="C593" s="26" t="s">
        <v>3464</v>
      </c>
      <c r="D593" s="25">
        <v>3104399375</v>
      </c>
      <c r="E593" s="25" t="s">
        <v>4006</v>
      </c>
      <c r="F593" s="27" t="s">
        <v>4059</v>
      </c>
      <c r="G593" s="25">
        <v>334</v>
      </c>
      <c r="H593" s="25">
        <v>22176000</v>
      </c>
      <c r="I593" s="25">
        <v>0</v>
      </c>
    </row>
    <row r="594" spans="1:9" ht="15" customHeight="1">
      <c r="A594" s="25" t="s">
        <v>2799</v>
      </c>
      <c r="B594" s="25" t="s">
        <v>3411</v>
      </c>
      <c r="C594" s="26" t="s">
        <v>3464</v>
      </c>
      <c r="D594" s="25">
        <v>3104399375</v>
      </c>
      <c r="E594" s="25" t="s">
        <v>4007</v>
      </c>
      <c r="F594" s="27" t="s">
        <v>4059</v>
      </c>
      <c r="G594" s="25">
        <v>334</v>
      </c>
      <c r="H594" s="25">
        <v>217058</v>
      </c>
      <c r="I594" s="25">
        <v>0</v>
      </c>
    </row>
    <row r="595" spans="1:9" ht="15" customHeight="1">
      <c r="A595" s="25" t="s">
        <v>2800</v>
      </c>
      <c r="B595" s="25" t="s">
        <v>3412</v>
      </c>
      <c r="C595" s="26" t="s">
        <v>3464</v>
      </c>
      <c r="D595" s="25">
        <v>3104399375</v>
      </c>
      <c r="E595" s="25" t="s">
        <v>4008</v>
      </c>
      <c r="F595" s="27" t="s">
        <v>4059</v>
      </c>
      <c r="G595" s="25">
        <v>334</v>
      </c>
      <c r="H595" s="25">
        <v>680800</v>
      </c>
      <c r="I595" s="25">
        <v>0</v>
      </c>
    </row>
    <row r="596" spans="1:9" ht="15" customHeight="1">
      <c r="A596" s="25" t="s">
        <v>2801</v>
      </c>
      <c r="B596" s="25" t="s">
        <v>3413</v>
      </c>
      <c r="C596" s="26" t="s">
        <v>3464</v>
      </c>
      <c r="D596" s="25">
        <v>3104399375</v>
      </c>
      <c r="E596" s="25" t="s">
        <v>4009</v>
      </c>
      <c r="F596" s="27" t="s">
        <v>4059</v>
      </c>
      <c r="G596" s="25">
        <v>334</v>
      </c>
      <c r="H596" s="25">
        <v>71998645</v>
      </c>
      <c r="I596" s="25">
        <v>0</v>
      </c>
    </row>
    <row r="597" spans="1:9" ht="15" customHeight="1">
      <c r="A597" s="25" t="s">
        <v>2802</v>
      </c>
      <c r="B597" s="25" t="s">
        <v>3414</v>
      </c>
      <c r="C597" s="26" t="s">
        <v>3464</v>
      </c>
      <c r="D597" s="25">
        <v>3104399375</v>
      </c>
      <c r="E597" s="25" t="s">
        <v>4010</v>
      </c>
      <c r="F597" s="25">
        <v>238</v>
      </c>
      <c r="G597" s="25">
        <v>334</v>
      </c>
      <c r="H597" s="25">
        <v>392857</v>
      </c>
      <c r="I597" s="25">
        <v>0</v>
      </c>
    </row>
    <row r="598" spans="1:9" ht="15" customHeight="1">
      <c r="A598" s="25" t="s">
        <v>2803</v>
      </c>
      <c r="B598" s="25" t="s">
        <v>3415</v>
      </c>
      <c r="C598" s="26" t="s">
        <v>3464</v>
      </c>
      <c r="D598" s="25">
        <v>3104399375</v>
      </c>
      <c r="E598" s="25" t="s">
        <v>4011</v>
      </c>
      <c r="F598" s="27" t="s">
        <v>4059</v>
      </c>
      <c r="G598" s="25">
        <v>334</v>
      </c>
      <c r="H598" s="25">
        <v>2647059</v>
      </c>
      <c r="I598" s="25">
        <v>0</v>
      </c>
    </row>
    <row r="599" spans="1:9" ht="15" customHeight="1">
      <c r="A599" s="25" t="s">
        <v>2804</v>
      </c>
      <c r="B599" s="25" t="s">
        <v>3416</v>
      </c>
      <c r="C599" s="26" t="s">
        <v>3464</v>
      </c>
      <c r="D599" s="25">
        <v>3104399375</v>
      </c>
      <c r="E599" s="25" t="s">
        <v>4012</v>
      </c>
      <c r="F599" s="25">
        <v>238</v>
      </c>
      <c r="G599" s="25">
        <v>334</v>
      </c>
      <c r="H599" s="25">
        <f>1209552-55300</f>
        <v>1154252</v>
      </c>
      <c r="I599" s="25">
        <v>0</v>
      </c>
    </row>
    <row r="600" spans="1:9" ht="15" customHeight="1">
      <c r="A600" s="25" t="s">
        <v>2805</v>
      </c>
      <c r="B600" s="25" t="s">
        <v>3417</v>
      </c>
      <c r="C600" s="26" t="s">
        <v>3464</v>
      </c>
      <c r="D600" s="25">
        <v>3104399375</v>
      </c>
      <c r="E600" s="25" t="s">
        <v>4013</v>
      </c>
      <c r="F600" s="27" t="s">
        <v>4059</v>
      </c>
      <c r="G600" s="25">
        <v>334</v>
      </c>
      <c r="H600" s="25">
        <v>768067</v>
      </c>
      <c r="I600" s="25">
        <v>0</v>
      </c>
    </row>
    <row r="601" spans="1:9" ht="15" customHeight="1">
      <c r="A601" s="25" t="s">
        <v>2806</v>
      </c>
      <c r="B601" s="25" t="s">
        <v>3418</v>
      </c>
      <c r="C601" s="26" t="s">
        <v>3464</v>
      </c>
      <c r="D601" s="25">
        <v>3104399375</v>
      </c>
      <c r="E601" s="25" t="s">
        <v>4014</v>
      </c>
      <c r="F601" s="25">
        <v>759</v>
      </c>
      <c r="G601" s="25">
        <v>334</v>
      </c>
      <c r="H601" s="25">
        <v>47737807</v>
      </c>
      <c r="I601" s="25">
        <v>0</v>
      </c>
    </row>
    <row r="602" spans="1:9" ht="15" customHeight="1">
      <c r="A602" s="25" t="s">
        <v>2807</v>
      </c>
      <c r="B602" s="25" t="s">
        <v>3419</v>
      </c>
      <c r="C602" s="26" t="s">
        <v>3464</v>
      </c>
      <c r="D602" s="25">
        <v>3104399375</v>
      </c>
      <c r="E602" s="25" t="s">
        <v>4015</v>
      </c>
      <c r="F602" s="25">
        <v>238</v>
      </c>
      <c r="G602" s="25">
        <v>334</v>
      </c>
      <c r="H602" s="25">
        <v>178000</v>
      </c>
      <c r="I602" s="25">
        <v>0</v>
      </c>
    </row>
    <row r="603" spans="1:9" ht="15" customHeight="1">
      <c r="A603" s="25" t="s">
        <v>2808</v>
      </c>
      <c r="B603" s="25" t="s">
        <v>3420</v>
      </c>
      <c r="C603" s="26" t="s">
        <v>3464</v>
      </c>
      <c r="D603" s="25">
        <v>3104399375</v>
      </c>
      <c r="E603" s="25" t="s">
        <v>4016</v>
      </c>
      <c r="F603" s="25">
        <v>308</v>
      </c>
      <c r="G603" s="25">
        <v>334</v>
      </c>
      <c r="H603" s="25">
        <v>287315</v>
      </c>
      <c r="I603" s="25">
        <v>0</v>
      </c>
    </row>
    <row r="604" spans="1:9" ht="15" customHeight="1">
      <c r="A604" s="25" t="s">
        <v>2809</v>
      </c>
      <c r="B604" s="25" t="s">
        <v>3421</v>
      </c>
      <c r="C604" s="26" t="s">
        <v>3464</v>
      </c>
      <c r="D604" s="25">
        <v>3104399375</v>
      </c>
      <c r="E604" s="25" t="s">
        <v>4017</v>
      </c>
      <c r="F604" s="27" t="s">
        <v>4059</v>
      </c>
      <c r="G604" s="25">
        <v>334</v>
      </c>
      <c r="H604" s="25">
        <v>1388297</v>
      </c>
      <c r="I604" s="25">
        <v>0</v>
      </c>
    </row>
    <row r="605" spans="1:9" ht="15" customHeight="1">
      <c r="A605" s="25" t="s">
        <v>2810</v>
      </c>
      <c r="B605" s="25" t="s">
        <v>3422</v>
      </c>
      <c r="C605" s="26" t="s">
        <v>3464</v>
      </c>
      <c r="D605" s="25">
        <v>3104399375</v>
      </c>
      <c r="E605" s="25" t="s">
        <v>4018</v>
      </c>
      <c r="F605" s="27" t="s">
        <v>4059</v>
      </c>
      <c r="G605" s="25">
        <v>334</v>
      </c>
      <c r="H605" s="25">
        <v>2876498</v>
      </c>
      <c r="I605" s="25">
        <v>0</v>
      </c>
    </row>
    <row r="606" spans="1:9" ht="15" customHeight="1">
      <c r="A606" s="25" t="s">
        <v>2811</v>
      </c>
      <c r="B606" s="25" t="s">
        <v>3423</v>
      </c>
      <c r="C606" s="26" t="s">
        <v>3464</v>
      </c>
      <c r="D606" s="25">
        <v>3104399375</v>
      </c>
      <c r="E606" s="25" t="s">
        <v>4019</v>
      </c>
      <c r="F606" s="27" t="s">
        <v>4059</v>
      </c>
      <c r="G606" s="25">
        <v>334</v>
      </c>
      <c r="H606" s="25">
        <v>75653590</v>
      </c>
      <c r="I606" s="25">
        <v>0</v>
      </c>
    </row>
    <row r="607" spans="1:9" ht="15" customHeight="1">
      <c r="A607" s="25" t="s">
        <v>2812</v>
      </c>
      <c r="B607" s="25" t="s">
        <v>3424</v>
      </c>
      <c r="C607" s="26" t="s">
        <v>3464</v>
      </c>
      <c r="D607" s="25">
        <v>3104399375</v>
      </c>
      <c r="E607" s="25" t="s">
        <v>4020</v>
      </c>
      <c r="F607" s="27" t="s">
        <v>4059</v>
      </c>
      <c r="G607" s="25">
        <v>334</v>
      </c>
      <c r="H607" s="25">
        <v>4273600</v>
      </c>
      <c r="I607" s="25">
        <v>0</v>
      </c>
    </row>
    <row r="608" spans="1:9" ht="15" customHeight="1">
      <c r="A608" s="25" t="s">
        <v>2813</v>
      </c>
      <c r="B608" s="25" t="s">
        <v>3425</v>
      </c>
      <c r="C608" s="26" t="s">
        <v>3464</v>
      </c>
      <c r="D608" s="25">
        <v>3104399375</v>
      </c>
      <c r="E608" s="25" t="s">
        <v>4021</v>
      </c>
      <c r="F608" s="27" t="s">
        <v>4059</v>
      </c>
      <c r="G608" s="25">
        <v>334</v>
      </c>
      <c r="H608" s="25">
        <v>150000</v>
      </c>
      <c r="I608" s="25">
        <v>0</v>
      </c>
    </row>
    <row r="609" spans="1:9" ht="15" customHeight="1">
      <c r="A609" s="25" t="s">
        <v>2814</v>
      </c>
      <c r="B609" s="25" t="s">
        <v>3426</v>
      </c>
      <c r="C609" s="26" t="s">
        <v>3464</v>
      </c>
      <c r="D609" s="25">
        <v>3104399375</v>
      </c>
      <c r="E609" s="25" t="s">
        <v>4022</v>
      </c>
      <c r="F609" s="25">
        <v>238</v>
      </c>
      <c r="G609" s="25">
        <v>334</v>
      </c>
      <c r="H609" s="25">
        <v>22490200</v>
      </c>
      <c r="I609" s="25">
        <v>0</v>
      </c>
    </row>
    <row r="610" spans="1:9" ht="15" customHeight="1">
      <c r="A610" s="25" t="s">
        <v>2815</v>
      </c>
      <c r="B610" s="25" t="s">
        <v>3427</v>
      </c>
      <c r="C610" s="26" t="s">
        <v>3464</v>
      </c>
      <c r="D610" s="25">
        <v>3104399375</v>
      </c>
      <c r="E610" s="25" t="s">
        <v>4023</v>
      </c>
      <c r="F610" s="27" t="s">
        <v>4059</v>
      </c>
      <c r="G610" s="25">
        <v>334</v>
      </c>
      <c r="H610" s="25">
        <v>540336</v>
      </c>
      <c r="I610" s="25">
        <v>0</v>
      </c>
    </row>
    <row r="611" spans="1:9" ht="15" customHeight="1">
      <c r="A611" s="25" t="s">
        <v>2816</v>
      </c>
      <c r="B611" s="25" t="s">
        <v>3428</v>
      </c>
      <c r="C611" s="26" t="s">
        <v>3464</v>
      </c>
      <c r="D611" s="25">
        <v>3104399375</v>
      </c>
      <c r="E611" s="25" t="s">
        <v>4024</v>
      </c>
      <c r="F611" s="27" t="s">
        <v>4059</v>
      </c>
      <c r="G611" s="25">
        <v>334</v>
      </c>
      <c r="H611" s="25">
        <v>1367306</v>
      </c>
      <c r="I611" s="25">
        <v>0</v>
      </c>
    </row>
    <row r="612" spans="1:9" ht="15" customHeight="1">
      <c r="A612" s="25" t="s">
        <v>2817</v>
      </c>
      <c r="B612" s="25" t="s">
        <v>3429</v>
      </c>
      <c r="C612" s="26" t="s">
        <v>3464</v>
      </c>
      <c r="D612" s="25">
        <v>3104399375</v>
      </c>
      <c r="E612" s="25" t="s">
        <v>4025</v>
      </c>
      <c r="F612" s="25">
        <v>238</v>
      </c>
      <c r="G612" s="25">
        <v>334</v>
      </c>
      <c r="H612" s="25">
        <v>482387</v>
      </c>
      <c r="I612" s="25">
        <v>0</v>
      </c>
    </row>
    <row r="613" spans="1:9" ht="15" customHeight="1">
      <c r="A613" s="25" t="s">
        <v>2668</v>
      </c>
      <c r="B613" s="25" t="s">
        <v>3269</v>
      </c>
      <c r="C613" s="26" t="s">
        <v>3464</v>
      </c>
      <c r="D613" s="25">
        <v>3104399375</v>
      </c>
      <c r="E613" s="25" t="s">
        <v>3874</v>
      </c>
      <c r="F613" s="27" t="s">
        <v>4059</v>
      </c>
      <c r="G613" s="25">
        <v>334</v>
      </c>
      <c r="H613" s="25">
        <v>1512605</v>
      </c>
      <c r="I613" s="25">
        <v>0</v>
      </c>
    </row>
    <row r="614" spans="1:9" ht="15" customHeight="1">
      <c r="A614" s="25" t="s">
        <v>2818</v>
      </c>
      <c r="B614" s="25" t="s">
        <v>3430</v>
      </c>
      <c r="C614" s="26" t="s">
        <v>3464</v>
      </c>
      <c r="D614" s="25">
        <v>3104399375</v>
      </c>
      <c r="E614" s="25" t="s">
        <v>4026</v>
      </c>
      <c r="F614" s="25">
        <v>238</v>
      </c>
      <c r="G614" s="25">
        <v>334</v>
      </c>
      <c r="H614" s="25">
        <v>230000</v>
      </c>
      <c r="I614" s="25">
        <v>0</v>
      </c>
    </row>
    <row r="615" spans="1:9" ht="15" customHeight="1">
      <c r="A615" s="25" t="s">
        <v>2819</v>
      </c>
      <c r="B615" s="25" t="s">
        <v>3431</v>
      </c>
      <c r="C615" s="26" t="s">
        <v>3464</v>
      </c>
      <c r="D615" s="25">
        <v>3104399375</v>
      </c>
      <c r="E615" s="25" t="s">
        <v>4027</v>
      </c>
      <c r="F615" s="27" t="s">
        <v>4059</v>
      </c>
      <c r="G615" s="25">
        <v>334</v>
      </c>
      <c r="H615" s="25">
        <v>290500</v>
      </c>
      <c r="I615" s="25">
        <v>0</v>
      </c>
    </row>
    <row r="616" spans="1:9" ht="15" customHeight="1">
      <c r="A616" s="25" t="s">
        <v>2820</v>
      </c>
      <c r="B616" s="25" t="s">
        <v>3432</v>
      </c>
      <c r="C616" s="26" t="s">
        <v>3464</v>
      </c>
      <c r="D616" s="25">
        <v>3104399375</v>
      </c>
      <c r="E616" s="25" t="s">
        <v>4028</v>
      </c>
      <c r="F616" s="27" t="s">
        <v>4059</v>
      </c>
      <c r="G616" s="25">
        <v>334</v>
      </c>
      <c r="H616" s="25">
        <v>210084</v>
      </c>
      <c r="I616" s="25">
        <v>0</v>
      </c>
    </row>
    <row r="617" spans="1:9" ht="15" customHeight="1">
      <c r="A617" s="25" t="s">
        <v>2821</v>
      </c>
      <c r="B617" s="25" t="s">
        <v>3433</v>
      </c>
      <c r="C617" s="26" t="s">
        <v>3464</v>
      </c>
      <c r="D617" s="25">
        <v>3104399375</v>
      </c>
      <c r="E617" s="25" t="s">
        <v>4029</v>
      </c>
      <c r="F617" s="27" t="s">
        <v>4059</v>
      </c>
      <c r="G617" s="25">
        <v>334</v>
      </c>
      <c r="H617" s="25">
        <v>700000</v>
      </c>
      <c r="I617" s="25">
        <v>0</v>
      </c>
    </row>
    <row r="618" spans="1:9" ht="15" customHeight="1">
      <c r="A618" s="25" t="s">
        <v>2822</v>
      </c>
      <c r="B618" s="25" t="s">
        <v>3434</v>
      </c>
      <c r="C618" s="26" t="s">
        <v>3464</v>
      </c>
      <c r="D618" s="25">
        <v>3104399375</v>
      </c>
      <c r="E618" s="25" t="s">
        <v>4030</v>
      </c>
      <c r="F618" s="25">
        <v>238</v>
      </c>
      <c r="G618" s="25">
        <v>334</v>
      </c>
      <c r="H618" s="25">
        <v>811679</v>
      </c>
      <c r="I618" s="25">
        <v>0</v>
      </c>
    </row>
    <row r="619" spans="1:9" ht="15" customHeight="1">
      <c r="A619" s="25" t="s">
        <v>2306</v>
      </c>
      <c r="B619" s="25" t="s">
        <v>2907</v>
      </c>
      <c r="C619" s="26" t="s">
        <v>3464</v>
      </c>
      <c r="D619" s="25">
        <v>3104399375</v>
      </c>
      <c r="E619" s="25" t="s">
        <v>3521</v>
      </c>
      <c r="F619" s="27" t="s">
        <v>4059</v>
      </c>
      <c r="G619" s="25">
        <v>334</v>
      </c>
      <c r="H619" s="25">
        <v>3600000</v>
      </c>
      <c r="I619" s="25">
        <v>0</v>
      </c>
    </row>
    <row r="620" spans="1:9" ht="15" customHeight="1">
      <c r="A620" s="25" t="s">
        <v>2823</v>
      </c>
      <c r="B620" s="25" t="s">
        <v>3435</v>
      </c>
      <c r="C620" s="26" t="s">
        <v>3464</v>
      </c>
      <c r="D620" s="25">
        <v>3104399375</v>
      </c>
      <c r="E620" s="25" t="s">
        <v>4031</v>
      </c>
      <c r="F620" s="25">
        <v>238</v>
      </c>
      <c r="G620" s="25">
        <v>334</v>
      </c>
      <c r="H620" s="25">
        <v>18653819</v>
      </c>
      <c r="I620" s="25">
        <v>0</v>
      </c>
    </row>
    <row r="621" spans="1:9" ht="15" customHeight="1">
      <c r="A621" s="25" t="s">
        <v>2824</v>
      </c>
      <c r="B621" s="25" t="s">
        <v>3436</v>
      </c>
      <c r="C621" s="26" t="s">
        <v>3464</v>
      </c>
      <c r="D621" s="25">
        <v>3104399375</v>
      </c>
      <c r="E621" s="25" t="s">
        <v>4032</v>
      </c>
      <c r="F621" s="25">
        <v>238</v>
      </c>
      <c r="G621" s="25">
        <v>334</v>
      </c>
      <c r="H621" s="25">
        <v>158681</v>
      </c>
      <c r="I621" s="25">
        <v>0</v>
      </c>
    </row>
    <row r="622" spans="1:9" ht="15" customHeight="1">
      <c r="A622" s="25" t="s">
        <v>2825</v>
      </c>
      <c r="B622" s="25" t="s">
        <v>3437</v>
      </c>
      <c r="C622" s="26" t="s">
        <v>3464</v>
      </c>
      <c r="D622" s="25">
        <v>3104399375</v>
      </c>
      <c r="E622" s="25" t="s">
        <v>4033</v>
      </c>
      <c r="F622" s="27" t="s">
        <v>4059</v>
      </c>
      <c r="G622" s="25">
        <v>334</v>
      </c>
      <c r="H622" s="25">
        <v>591000</v>
      </c>
      <c r="I622" s="25">
        <v>0</v>
      </c>
    </row>
    <row r="623" spans="1:9" ht="15" customHeight="1">
      <c r="A623" s="25" t="s">
        <v>2826</v>
      </c>
      <c r="B623" s="25" t="s">
        <v>3438</v>
      </c>
      <c r="C623" s="26" t="s">
        <v>3464</v>
      </c>
      <c r="D623" s="25">
        <v>3104399375</v>
      </c>
      <c r="E623" s="25" t="s">
        <v>4034</v>
      </c>
      <c r="F623" s="25">
        <v>238</v>
      </c>
      <c r="G623" s="25">
        <v>334</v>
      </c>
      <c r="H623" s="25">
        <v>3620000</v>
      </c>
      <c r="I623" s="25">
        <v>0</v>
      </c>
    </row>
    <row r="624" spans="1:9" ht="15" customHeight="1">
      <c r="A624" s="25" t="s">
        <v>2827</v>
      </c>
      <c r="B624" s="25" t="s">
        <v>3439</v>
      </c>
      <c r="C624" s="26" t="s">
        <v>3464</v>
      </c>
      <c r="D624" s="25">
        <v>3104399375</v>
      </c>
      <c r="E624" s="25" t="s">
        <v>4035</v>
      </c>
      <c r="F624" s="25">
        <v>759</v>
      </c>
      <c r="G624" s="25">
        <v>334</v>
      </c>
      <c r="H624" s="25">
        <v>2011500</v>
      </c>
      <c r="I624" s="25">
        <v>0</v>
      </c>
    </row>
    <row r="625" spans="1:9" ht="15" customHeight="1">
      <c r="A625" s="25" t="s">
        <v>2669</v>
      </c>
      <c r="B625" s="25" t="s">
        <v>3270</v>
      </c>
      <c r="C625" s="26" t="s">
        <v>3464</v>
      </c>
      <c r="D625" s="25">
        <v>3104399375</v>
      </c>
      <c r="E625" s="25" t="s">
        <v>3875</v>
      </c>
      <c r="F625" s="27" t="s">
        <v>4059</v>
      </c>
      <c r="G625" s="25">
        <v>334</v>
      </c>
      <c r="H625" s="25">
        <v>6890756</v>
      </c>
      <c r="I625" s="25">
        <v>0</v>
      </c>
    </row>
    <row r="626" spans="1:9" ht="15" customHeight="1">
      <c r="A626" s="25" t="s">
        <v>2828</v>
      </c>
      <c r="B626" s="25" t="s">
        <v>3440</v>
      </c>
      <c r="C626" s="26" t="s">
        <v>3464</v>
      </c>
      <c r="D626" s="25">
        <v>3104399375</v>
      </c>
      <c r="E626" s="25" t="s">
        <v>4036</v>
      </c>
      <c r="F626" s="27" t="s">
        <v>4059</v>
      </c>
      <c r="G626" s="25">
        <v>334</v>
      </c>
      <c r="H626" s="25">
        <v>2780580</v>
      </c>
      <c r="I626" s="25">
        <v>0</v>
      </c>
    </row>
    <row r="627" spans="1:9" ht="15" customHeight="1">
      <c r="A627" s="25" t="s">
        <v>2829</v>
      </c>
      <c r="B627" s="25" t="s">
        <v>3441</v>
      </c>
      <c r="C627" s="26" t="s">
        <v>3464</v>
      </c>
      <c r="D627" s="25">
        <v>3104399375</v>
      </c>
      <c r="E627" s="25" t="s">
        <v>4037</v>
      </c>
      <c r="F627" s="25">
        <v>759</v>
      </c>
      <c r="G627" s="25">
        <v>334</v>
      </c>
      <c r="H627" s="25">
        <v>150000</v>
      </c>
      <c r="I627" s="25">
        <v>0</v>
      </c>
    </row>
    <row r="628" spans="1:9" ht="15" customHeight="1">
      <c r="A628" s="25" t="s">
        <v>2713</v>
      </c>
      <c r="B628" s="25" t="s">
        <v>3442</v>
      </c>
      <c r="C628" s="26" t="s">
        <v>3464</v>
      </c>
      <c r="D628" s="25">
        <v>3104399375</v>
      </c>
      <c r="E628" s="25" t="s">
        <v>3928</v>
      </c>
      <c r="F628" s="25">
        <v>238</v>
      </c>
      <c r="G628" s="25">
        <v>334</v>
      </c>
      <c r="H628" s="25">
        <v>4926021</v>
      </c>
      <c r="I628" s="25">
        <v>0</v>
      </c>
    </row>
    <row r="629" spans="1:9" ht="15" customHeight="1">
      <c r="A629" s="25" t="s">
        <v>2830</v>
      </c>
      <c r="B629" s="25" t="s">
        <v>3443</v>
      </c>
      <c r="C629" s="26" t="s">
        <v>3464</v>
      </c>
      <c r="D629" s="25">
        <v>3104399375</v>
      </c>
      <c r="E629" s="25" t="s">
        <v>4038</v>
      </c>
      <c r="F629" s="25">
        <v>238</v>
      </c>
      <c r="G629" s="25">
        <v>334</v>
      </c>
      <c r="H629" s="25">
        <v>942500</v>
      </c>
      <c r="I629" s="25">
        <v>0</v>
      </c>
    </row>
    <row r="630" spans="1:9" ht="15" customHeight="1">
      <c r="A630" s="25" t="s">
        <v>2831</v>
      </c>
      <c r="B630" s="25" t="s">
        <v>3444</v>
      </c>
      <c r="C630" s="26" t="s">
        <v>3464</v>
      </c>
      <c r="D630" s="25">
        <v>3104399375</v>
      </c>
      <c r="E630" s="25" t="s">
        <v>4039</v>
      </c>
      <c r="F630" s="25">
        <v>238</v>
      </c>
      <c r="G630" s="25">
        <v>334</v>
      </c>
      <c r="H630" s="25">
        <v>499000</v>
      </c>
      <c r="I630" s="25">
        <v>0</v>
      </c>
    </row>
    <row r="631" spans="1:9" ht="15" customHeight="1">
      <c r="A631" s="25" t="s">
        <v>2832</v>
      </c>
      <c r="B631" s="25" t="s">
        <v>3445</v>
      </c>
      <c r="C631" s="26" t="s">
        <v>3464</v>
      </c>
      <c r="D631" s="25">
        <v>3104399375</v>
      </c>
      <c r="E631" s="25" t="s">
        <v>4040</v>
      </c>
      <c r="F631" s="25">
        <v>238</v>
      </c>
      <c r="G631" s="25">
        <v>334</v>
      </c>
      <c r="H631" s="25">
        <v>472000</v>
      </c>
      <c r="I631" s="25">
        <v>0</v>
      </c>
    </row>
    <row r="632" spans="1:9" ht="15" customHeight="1">
      <c r="A632" s="25" t="s">
        <v>2833</v>
      </c>
      <c r="B632" s="25" t="s">
        <v>3446</v>
      </c>
      <c r="C632" s="26" t="s">
        <v>3464</v>
      </c>
      <c r="D632" s="25">
        <v>3104399375</v>
      </c>
      <c r="E632" s="25" t="s">
        <v>4041</v>
      </c>
      <c r="F632" s="25">
        <v>238</v>
      </c>
      <c r="G632" s="25">
        <v>334</v>
      </c>
      <c r="H632" s="25">
        <v>1146500</v>
      </c>
      <c r="I632" s="25">
        <v>0</v>
      </c>
    </row>
    <row r="633" spans="1:9" ht="15" customHeight="1">
      <c r="A633" s="25" t="s">
        <v>2834</v>
      </c>
      <c r="B633" s="25" t="s">
        <v>3447</v>
      </c>
      <c r="C633" s="26" t="s">
        <v>3464</v>
      </c>
      <c r="D633" s="25">
        <v>3104399375</v>
      </c>
      <c r="E633" s="25" t="s">
        <v>4042</v>
      </c>
      <c r="F633" s="25">
        <v>238</v>
      </c>
      <c r="G633" s="25">
        <v>334</v>
      </c>
      <c r="H633" s="25">
        <v>3005949</v>
      </c>
      <c r="I633" s="25">
        <v>0</v>
      </c>
    </row>
    <row r="634" spans="1:9" ht="15" customHeight="1">
      <c r="A634" s="25" t="s">
        <v>2835</v>
      </c>
      <c r="B634" s="25" t="s">
        <v>3448</v>
      </c>
      <c r="C634" s="26" t="s">
        <v>3464</v>
      </c>
      <c r="D634" s="25">
        <v>3104399375</v>
      </c>
      <c r="E634" s="25" t="s">
        <v>4043</v>
      </c>
      <c r="F634" s="25">
        <v>238</v>
      </c>
      <c r="G634" s="25">
        <v>334</v>
      </c>
      <c r="H634" s="25">
        <v>2703546</v>
      </c>
      <c r="I634" s="25">
        <v>0</v>
      </c>
    </row>
    <row r="635" spans="1:9" ht="15" customHeight="1">
      <c r="A635" s="25" t="s">
        <v>2836</v>
      </c>
      <c r="B635" s="25" t="s">
        <v>3449</v>
      </c>
      <c r="C635" s="26" t="s">
        <v>3464</v>
      </c>
      <c r="D635" s="25">
        <v>3104399375</v>
      </c>
      <c r="E635" s="25" t="s">
        <v>4044</v>
      </c>
      <c r="F635" s="25">
        <v>238</v>
      </c>
      <c r="G635" s="25">
        <v>334</v>
      </c>
      <c r="H635" s="25">
        <v>4242547</v>
      </c>
      <c r="I635" s="25">
        <v>0</v>
      </c>
    </row>
    <row r="636" spans="1:9" ht="15" customHeight="1">
      <c r="A636" s="25" t="s">
        <v>2837</v>
      </c>
      <c r="B636" s="25" t="s">
        <v>3450</v>
      </c>
      <c r="C636" s="26" t="s">
        <v>3464</v>
      </c>
      <c r="D636" s="25">
        <v>3104399375</v>
      </c>
      <c r="E636" s="25" t="s">
        <v>4045</v>
      </c>
      <c r="F636" s="25">
        <v>238</v>
      </c>
      <c r="G636" s="25">
        <v>334</v>
      </c>
      <c r="H636" s="25">
        <v>891000</v>
      </c>
      <c r="I636" s="25">
        <v>0</v>
      </c>
    </row>
    <row r="637" spans="1:9" ht="15" customHeight="1">
      <c r="A637" s="25" t="s">
        <v>2838</v>
      </c>
      <c r="B637" s="25" t="s">
        <v>3451</v>
      </c>
      <c r="C637" s="26" t="s">
        <v>3464</v>
      </c>
      <c r="D637" s="25">
        <v>3104399375</v>
      </c>
      <c r="E637" s="25" t="s">
        <v>4046</v>
      </c>
      <c r="F637" s="25">
        <v>238</v>
      </c>
      <c r="G637" s="25">
        <v>334</v>
      </c>
      <c r="H637" s="25">
        <v>418000</v>
      </c>
      <c r="I637" s="25">
        <v>0</v>
      </c>
    </row>
    <row r="638" spans="1:9" ht="15" customHeight="1">
      <c r="A638" s="25" t="s">
        <v>2839</v>
      </c>
      <c r="B638" s="25" t="s">
        <v>3452</v>
      </c>
      <c r="C638" s="26" t="s">
        <v>3464</v>
      </c>
      <c r="D638" s="25">
        <v>3104399375</v>
      </c>
      <c r="E638" s="25" t="s">
        <v>4047</v>
      </c>
      <c r="F638" s="25">
        <v>238</v>
      </c>
      <c r="G638" s="25">
        <v>334</v>
      </c>
      <c r="H638" s="25">
        <v>576000</v>
      </c>
      <c r="I638" s="25">
        <v>0</v>
      </c>
    </row>
    <row r="639" spans="1:9" ht="15" customHeight="1">
      <c r="A639" s="25" t="s">
        <v>2840</v>
      </c>
      <c r="B639" s="25" t="s">
        <v>3453</v>
      </c>
      <c r="C639" s="26" t="s">
        <v>3464</v>
      </c>
      <c r="D639" s="25">
        <v>3104399375</v>
      </c>
      <c r="E639" s="25" t="s">
        <v>4048</v>
      </c>
      <c r="F639" s="25">
        <v>238</v>
      </c>
      <c r="G639" s="25">
        <v>334</v>
      </c>
      <c r="H639" s="25">
        <v>772500</v>
      </c>
      <c r="I639" s="25">
        <v>0</v>
      </c>
    </row>
    <row r="640" spans="1:9" ht="15" customHeight="1">
      <c r="A640" s="25" t="s">
        <v>2841</v>
      </c>
      <c r="B640" s="25" t="s">
        <v>3454</v>
      </c>
      <c r="C640" s="26" t="s">
        <v>3464</v>
      </c>
      <c r="D640" s="25">
        <v>3104399375</v>
      </c>
      <c r="E640" s="25" t="s">
        <v>4049</v>
      </c>
      <c r="F640" s="25">
        <v>238</v>
      </c>
      <c r="G640" s="25">
        <v>334</v>
      </c>
      <c r="H640" s="25">
        <v>806000</v>
      </c>
      <c r="I640" s="25">
        <v>0</v>
      </c>
    </row>
    <row r="641" spans="1:9" ht="15" customHeight="1">
      <c r="A641" s="25" t="s">
        <v>2842</v>
      </c>
      <c r="B641" s="25" t="s">
        <v>3455</v>
      </c>
      <c r="C641" s="26" t="s">
        <v>3464</v>
      </c>
      <c r="D641" s="25">
        <v>3104399375</v>
      </c>
      <c r="E641" s="25" t="s">
        <v>4050</v>
      </c>
      <c r="F641" s="25">
        <v>238</v>
      </c>
      <c r="G641" s="25">
        <v>334</v>
      </c>
      <c r="H641" s="25">
        <v>180000</v>
      </c>
      <c r="I641" s="25">
        <v>0</v>
      </c>
    </row>
    <row r="642" spans="1:9" ht="15" customHeight="1">
      <c r="A642" s="25" t="s">
        <v>2843</v>
      </c>
      <c r="B642" s="25" t="s">
        <v>3456</v>
      </c>
      <c r="C642" s="26" t="s">
        <v>3464</v>
      </c>
      <c r="D642" s="25">
        <v>3104399375</v>
      </c>
      <c r="E642" s="25" t="s">
        <v>4051</v>
      </c>
      <c r="F642" s="25">
        <v>238</v>
      </c>
      <c r="G642" s="25">
        <v>334</v>
      </c>
      <c r="H642" s="25">
        <v>203500</v>
      </c>
      <c r="I642" s="25">
        <v>0</v>
      </c>
    </row>
    <row r="643" spans="1:9" ht="15" customHeight="1">
      <c r="A643" s="25" t="s">
        <v>2844</v>
      </c>
      <c r="B643" s="25" t="s">
        <v>3457</v>
      </c>
      <c r="C643" s="26" t="s">
        <v>3464</v>
      </c>
      <c r="D643" s="25">
        <v>3104399375</v>
      </c>
      <c r="E643" s="25" t="s">
        <v>4052</v>
      </c>
      <c r="F643" s="25">
        <v>238</v>
      </c>
      <c r="G643" s="25">
        <v>334</v>
      </c>
      <c r="H643" s="25">
        <v>740000</v>
      </c>
      <c r="I643" s="25">
        <v>0</v>
      </c>
    </row>
    <row r="644" spans="1:9" ht="15" customHeight="1">
      <c r="A644" s="25" t="s">
        <v>2845</v>
      </c>
      <c r="B644" s="25" t="s">
        <v>3458</v>
      </c>
      <c r="C644" s="26" t="s">
        <v>3464</v>
      </c>
      <c r="D644" s="25">
        <v>3104399375</v>
      </c>
      <c r="E644" s="25" t="s">
        <v>4053</v>
      </c>
      <c r="F644" s="25">
        <v>759</v>
      </c>
      <c r="G644" s="25">
        <v>334</v>
      </c>
      <c r="H644" s="25">
        <v>163700</v>
      </c>
      <c r="I644" s="25">
        <v>0</v>
      </c>
    </row>
    <row r="645" spans="1:9" ht="15" customHeight="1">
      <c r="A645" s="25" t="s">
        <v>2846</v>
      </c>
      <c r="B645" s="25" t="s">
        <v>3459</v>
      </c>
      <c r="C645" s="26" t="s">
        <v>3464</v>
      </c>
      <c r="D645" s="25">
        <v>3104399375</v>
      </c>
      <c r="E645" s="25" t="s">
        <v>4054</v>
      </c>
      <c r="F645" s="25">
        <v>693</v>
      </c>
      <c r="G645" s="25">
        <v>334</v>
      </c>
      <c r="H645" s="25">
        <v>675500</v>
      </c>
      <c r="I645" s="25">
        <v>0</v>
      </c>
    </row>
    <row r="646" spans="1:9" ht="15" customHeight="1">
      <c r="A646" s="25" t="s">
        <v>2847</v>
      </c>
      <c r="B646" s="25" t="s">
        <v>3460</v>
      </c>
      <c r="C646" s="26" t="s">
        <v>3464</v>
      </c>
      <c r="D646" s="25">
        <v>3104399375</v>
      </c>
      <c r="E646" s="25" t="s">
        <v>4055</v>
      </c>
      <c r="F646" s="25">
        <v>238</v>
      </c>
      <c r="G646" s="25">
        <v>334</v>
      </c>
      <c r="H646" s="25">
        <v>752500</v>
      </c>
      <c r="I646" s="25">
        <v>0</v>
      </c>
    </row>
    <row r="647" spans="1:9" ht="15" customHeight="1">
      <c r="A647" s="25" t="s">
        <v>2848</v>
      </c>
      <c r="B647" s="25" t="s">
        <v>3461</v>
      </c>
      <c r="C647" s="26" t="s">
        <v>3464</v>
      </c>
      <c r="D647" s="25">
        <v>3104399375</v>
      </c>
      <c r="E647" s="25" t="s">
        <v>4056</v>
      </c>
      <c r="F647" s="25">
        <v>238</v>
      </c>
      <c r="G647" s="25">
        <v>334</v>
      </c>
      <c r="H647" s="25">
        <v>696500</v>
      </c>
      <c r="I647" s="25">
        <v>0</v>
      </c>
    </row>
    <row r="648" spans="1:9" ht="15" customHeight="1">
      <c r="A648" s="25" t="s">
        <v>2849</v>
      </c>
      <c r="B648" s="25" t="s">
        <v>3462</v>
      </c>
      <c r="C648" s="26" t="s">
        <v>3464</v>
      </c>
      <c r="D648" s="25">
        <v>3104399375</v>
      </c>
      <c r="E648" s="25" t="s">
        <v>4057</v>
      </c>
      <c r="F648" s="25">
        <v>238</v>
      </c>
      <c r="G648" s="25">
        <v>334</v>
      </c>
      <c r="H648" s="25">
        <v>648000</v>
      </c>
      <c r="I648" s="25">
        <v>0</v>
      </c>
    </row>
    <row r="649" spans="1:9" ht="15" customHeight="1">
      <c r="A649" s="25" t="s">
        <v>2850</v>
      </c>
      <c r="B649" s="25" t="s">
        <v>3463</v>
      </c>
      <c r="C649" s="26" t="s">
        <v>3464</v>
      </c>
      <c r="D649" s="25">
        <v>3104399375</v>
      </c>
      <c r="E649" s="25" t="s">
        <v>4058</v>
      </c>
      <c r="F649" s="25">
        <v>759</v>
      </c>
      <c r="G649" s="25">
        <v>334</v>
      </c>
      <c r="H649" s="25">
        <f>486008344/2</f>
        <v>243004172</v>
      </c>
      <c r="I649" s="25">
        <v>0</v>
      </c>
    </row>
    <row r="650" spans="1:9" ht="15" customHeight="1">
      <c r="A650" s="25" t="s">
        <v>2753</v>
      </c>
      <c r="B650" s="25" t="s">
        <v>3365</v>
      </c>
      <c r="C650" s="26" t="s">
        <v>3464</v>
      </c>
      <c r="D650" s="25">
        <v>3104399375</v>
      </c>
      <c r="E650" s="25" t="s">
        <v>730</v>
      </c>
      <c r="F650" s="25">
        <v>238</v>
      </c>
      <c r="G650" s="25">
        <v>334</v>
      </c>
      <c r="H650" s="25">
        <f>8697192/2</f>
        <v>4348596</v>
      </c>
      <c r="I650" s="25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hyperlinks>
    <hyperlink ref="C7" r:id="rId1"/>
    <hyperlink ref="C448" r:id="rId2"/>
    <hyperlink ref="C449" r:id="rId3"/>
    <hyperlink ref="C70" r:id="rId4"/>
    <hyperlink ref="C71" r:id="rId5"/>
    <hyperlink ref="C72" r:id="rId6"/>
    <hyperlink ref="C73" r:id="rId7"/>
    <hyperlink ref="C74" r:id="rId8"/>
    <hyperlink ref="C75" r:id="rId9"/>
    <hyperlink ref="C76" r:id="rId10"/>
    <hyperlink ref="C77" r:id="rId11"/>
    <hyperlink ref="C78" r:id="rId12"/>
    <hyperlink ref="C450" r:id="rId13"/>
    <hyperlink ref="C12" r:id="rId14"/>
    <hyperlink ref="C79" r:id="rId15"/>
    <hyperlink ref="C80" r:id="rId16"/>
    <hyperlink ref="C81" r:id="rId17"/>
    <hyperlink ref="C13" r:id="rId18"/>
    <hyperlink ref="C82" r:id="rId19"/>
    <hyperlink ref="C83" r:id="rId20"/>
    <hyperlink ref="C84" r:id="rId21"/>
    <hyperlink ref="C85" r:id="rId22"/>
    <hyperlink ref="C86" r:id="rId23"/>
    <hyperlink ref="C87" r:id="rId24"/>
    <hyperlink ref="C629" r:id="rId25"/>
    <hyperlink ref="C417" r:id="rId26"/>
    <hyperlink ref="C88" r:id="rId27"/>
    <hyperlink ref="C89" r:id="rId28"/>
    <hyperlink ref="C90" r:id="rId29"/>
    <hyperlink ref="C91" r:id="rId30"/>
    <hyperlink ref="C14" r:id="rId31"/>
    <hyperlink ref="C92" r:id="rId32"/>
    <hyperlink ref="C451" r:id="rId33"/>
    <hyperlink ref="C93" r:id="rId34"/>
    <hyperlink ref="C452" r:id="rId35"/>
    <hyperlink ref="C453" r:id="rId36"/>
    <hyperlink ref="C454" r:id="rId37"/>
    <hyperlink ref="C455" r:id="rId38"/>
    <hyperlink ref="C456" r:id="rId39"/>
    <hyperlink ref="C15" r:id="rId40"/>
    <hyperlink ref="C457" r:id="rId41"/>
    <hyperlink ref="C94" r:id="rId42"/>
    <hyperlink ref="C8" r:id="rId43"/>
    <hyperlink ref="C95" r:id="rId44"/>
    <hyperlink ref="C458" r:id="rId45"/>
    <hyperlink ref="C96" r:id="rId46"/>
    <hyperlink ref="C9" r:id="rId47"/>
    <hyperlink ref="C459" r:id="rId48"/>
    <hyperlink ref="C460" r:id="rId49"/>
    <hyperlink ref="C65" r:id="rId50"/>
    <hyperlink ref="C630" r:id="rId51"/>
    <hyperlink ref="C631" r:id="rId52"/>
    <hyperlink ref="C461" r:id="rId53"/>
    <hyperlink ref="C97" r:id="rId54"/>
    <hyperlink ref="C98" r:id="rId55"/>
    <hyperlink ref="C462" r:id="rId56"/>
    <hyperlink ref="C16" r:id="rId57"/>
    <hyperlink ref="C632" r:id="rId58"/>
    <hyperlink ref="C99" r:id="rId59"/>
    <hyperlink ref="C100" r:id="rId60"/>
    <hyperlink ref="C101" r:id="rId61"/>
    <hyperlink ref="C102" r:id="rId62"/>
    <hyperlink ref="C103" r:id="rId63"/>
    <hyperlink ref="C17" r:id="rId64"/>
    <hyperlink ref="C104" r:id="rId65"/>
    <hyperlink ref="C105" r:id="rId66"/>
    <hyperlink ref="C418" r:id="rId67"/>
    <hyperlink ref="C106" r:id="rId68"/>
    <hyperlink ref="C107" r:id="rId69"/>
    <hyperlink ref="C108" r:id="rId70"/>
    <hyperlink ref="C109" r:id="rId71"/>
    <hyperlink ref="C110" r:id="rId72"/>
    <hyperlink ref="C111" r:id="rId73"/>
    <hyperlink ref="C463" r:id="rId74"/>
    <hyperlink ref="C18" r:id="rId75"/>
    <hyperlink ref="C112" r:id="rId76"/>
    <hyperlink ref="C113" r:id="rId77"/>
    <hyperlink ref="C464" r:id="rId78"/>
    <hyperlink ref="C465" r:id="rId79"/>
    <hyperlink ref="C633" r:id="rId80"/>
    <hyperlink ref="C114" r:id="rId81"/>
    <hyperlink ref="C115" r:id="rId82"/>
    <hyperlink ref="C66" r:id="rId83"/>
    <hyperlink ref="C116" r:id="rId84"/>
    <hyperlink ref="C466" r:id="rId85"/>
    <hyperlink ref="C117" r:id="rId86"/>
    <hyperlink ref="C19" r:id="rId87"/>
    <hyperlink ref="C118" r:id="rId88"/>
    <hyperlink ref="C119" r:id="rId89"/>
    <hyperlink ref="C634" r:id="rId90"/>
    <hyperlink ref="C120" r:id="rId91"/>
    <hyperlink ref="C121" r:id="rId92"/>
    <hyperlink ref="C122" r:id="rId93"/>
    <hyperlink ref="C123" r:id="rId94"/>
    <hyperlink ref="C124" r:id="rId95"/>
    <hyperlink ref="C125" r:id="rId96"/>
    <hyperlink ref="C126" r:id="rId97"/>
    <hyperlink ref="C127" r:id="rId98"/>
    <hyperlink ref="C128" r:id="rId99"/>
    <hyperlink ref="C129" r:id="rId100"/>
    <hyperlink ref="C130" r:id="rId101"/>
    <hyperlink ref="C131" r:id="rId102"/>
    <hyperlink ref="C132" r:id="rId103"/>
    <hyperlink ref="C133" r:id="rId104"/>
    <hyperlink ref="C134" r:id="rId105"/>
    <hyperlink ref="C467" r:id="rId106"/>
    <hyperlink ref="C135" r:id="rId107"/>
    <hyperlink ref="C468" r:id="rId108"/>
    <hyperlink ref="C469" r:id="rId109"/>
    <hyperlink ref="C136" r:id="rId110"/>
    <hyperlink ref="C137" r:id="rId111"/>
    <hyperlink ref="C470" r:id="rId112"/>
    <hyperlink ref="C138" r:id="rId113"/>
    <hyperlink ref="C139" r:id="rId114"/>
    <hyperlink ref="C471" r:id="rId115"/>
    <hyperlink ref="C472" r:id="rId116"/>
    <hyperlink ref="C140" r:id="rId117"/>
    <hyperlink ref="C473" r:id="rId118"/>
    <hyperlink ref="C474" r:id="rId119"/>
    <hyperlink ref="C141" r:id="rId120"/>
    <hyperlink ref="C142" r:id="rId121"/>
    <hyperlink ref="C143" r:id="rId122"/>
    <hyperlink ref="C475" r:id="rId123"/>
    <hyperlink ref="C20" r:id="rId124"/>
    <hyperlink ref="C476" r:id="rId125"/>
    <hyperlink ref="C144" r:id="rId126"/>
    <hyperlink ref="C145" r:id="rId127"/>
    <hyperlink ref="C146" r:id="rId128"/>
    <hyperlink ref="C147" r:id="rId129"/>
    <hyperlink ref="C148" r:id="rId130"/>
    <hyperlink ref="C149" r:id="rId131"/>
    <hyperlink ref="C150" r:id="rId132"/>
    <hyperlink ref="C151" r:id="rId133"/>
    <hyperlink ref="C152" r:id="rId134"/>
    <hyperlink ref="C153" r:id="rId135"/>
    <hyperlink ref="C477" r:id="rId136"/>
    <hyperlink ref="C154" r:id="rId137"/>
    <hyperlink ref="C155" r:id="rId138"/>
    <hyperlink ref="C156" r:id="rId139"/>
    <hyperlink ref="C157" r:id="rId140"/>
    <hyperlink ref="C158" r:id="rId141"/>
    <hyperlink ref="C635" r:id="rId142"/>
    <hyperlink ref="C159" r:id="rId143"/>
    <hyperlink ref="C160" r:id="rId144"/>
    <hyperlink ref="C478" r:id="rId145"/>
    <hyperlink ref="C161" r:id="rId146"/>
    <hyperlink ref="C479" r:id="rId147"/>
    <hyperlink ref="C162" r:id="rId148"/>
    <hyperlink ref="C480" r:id="rId149"/>
    <hyperlink ref="C481" r:id="rId150"/>
    <hyperlink ref="C163" r:id="rId151"/>
    <hyperlink ref="C164" r:id="rId152"/>
    <hyperlink ref="C165" r:id="rId153"/>
    <hyperlink ref="C419" r:id="rId154"/>
    <hyperlink ref="C10" r:id="rId155"/>
    <hyperlink ref="C166" r:id="rId156"/>
    <hyperlink ref="C482" r:id="rId157"/>
    <hyperlink ref="C167" r:id="rId158"/>
    <hyperlink ref="C168" r:id="rId159"/>
    <hyperlink ref="C169" r:id="rId160"/>
    <hyperlink ref="C170" r:id="rId161"/>
    <hyperlink ref="C483" r:id="rId162"/>
    <hyperlink ref="C21" r:id="rId163"/>
    <hyperlink ref="C484" r:id="rId164"/>
    <hyperlink ref="C171" r:id="rId165"/>
    <hyperlink ref="C172" r:id="rId166"/>
    <hyperlink ref="C173" r:id="rId167"/>
    <hyperlink ref="C174" r:id="rId168"/>
    <hyperlink ref="C485" r:id="rId169"/>
    <hyperlink ref="C175" r:id="rId170"/>
    <hyperlink ref="C176" r:id="rId171"/>
    <hyperlink ref="C177" r:id="rId172"/>
    <hyperlink ref="C178" r:id="rId173"/>
    <hyperlink ref="C486" r:id="rId174"/>
    <hyperlink ref="C22" r:id="rId175"/>
    <hyperlink ref="C179" r:id="rId176"/>
    <hyperlink ref="C180" r:id="rId177"/>
    <hyperlink ref="C11" r:id="rId178"/>
    <hyperlink ref="C487" r:id="rId179"/>
    <hyperlink ref="C23" r:id="rId180"/>
    <hyperlink ref="C488" r:id="rId181"/>
    <hyperlink ref="C636" r:id="rId182"/>
    <hyperlink ref="C489" r:id="rId183"/>
    <hyperlink ref="C181" r:id="rId184"/>
    <hyperlink ref="C490" r:id="rId185"/>
    <hyperlink ref="C182" r:id="rId186"/>
    <hyperlink ref="C183" r:id="rId187"/>
    <hyperlink ref="C67" r:id="rId188"/>
    <hyperlink ref="C184" r:id="rId189"/>
    <hyperlink ref="C68" r:id="rId190"/>
    <hyperlink ref="C185" r:id="rId191"/>
    <hyperlink ref="C186" r:id="rId192"/>
    <hyperlink ref="C187" r:id="rId193"/>
    <hyperlink ref="C491" r:id="rId194"/>
    <hyperlink ref="C188" r:id="rId195"/>
    <hyperlink ref="C24" r:id="rId196"/>
    <hyperlink ref="C637" r:id="rId197"/>
    <hyperlink ref="C189" r:id="rId198"/>
    <hyperlink ref="C25" r:id="rId199"/>
    <hyperlink ref="C638" r:id="rId200"/>
    <hyperlink ref="C26" r:id="rId201"/>
    <hyperlink ref="C190" r:id="rId202"/>
    <hyperlink ref="C191" r:id="rId203"/>
    <hyperlink ref="C492" r:id="rId204"/>
    <hyperlink ref="C493" r:id="rId205"/>
    <hyperlink ref="C494" r:id="rId206"/>
    <hyperlink ref="C639" r:id="rId207"/>
    <hyperlink ref="C495" r:id="rId208"/>
    <hyperlink ref="C192" r:id="rId209"/>
    <hyperlink ref="C193" r:id="rId210"/>
    <hyperlink ref="C194" r:id="rId211"/>
    <hyperlink ref="C195" r:id="rId212"/>
    <hyperlink ref="C496" r:id="rId213"/>
    <hyperlink ref="C196" r:id="rId214"/>
    <hyperlink ref="C640" r:id="rId215"/>
    <hyperlink ref="C27" r:id="rId216"/>
    <hyperlink ref="C497" r:id="rId217"/>
    <hyperlink ref="C498" r:id="rId218"/>
    <hyperlink ref="C197" r:id="rId219"/>
    <hyperlink ref="C198" r:id="rId220"/>
    <hyperlink ref="C199" r:id="rId221"/>
    <hyperlink ref="C200" r:id="rId222"/>
    <hyperlink ref="C201" r:id="rId223"/>
    <hyperlink ref="C499" r:id="rId224"/>
    <hyperlink ref="C500" r:id="rId225"/>
    <hyperlink ref="C202" r:id="rId226"/>
    <hyperlink ref="C203" r:id="rId227"/>
    <hyperlink ref="C641" r:id="rId228"/>
    <hyperlink ref="C501" r:id="rId229"/>
    <hyperlink ref="C69" r:id="rId230"/>
    <hyperlink ref="C642" r:id="rId231"/>
    <hyperlink ref="C204" r:id="rId232"/>
    <hyperlink ref="C205" r:id="rId233"/>
    <hyperlink ref="C206" r:id="rId234"/>
    <hyperlink ref="C207" r:id="rId235"/>
    <hyperlink ref="C502" r:id="rId236"/>
    <hyperlink ref="C208" r:id="rId237"/>
    <hyperlink ref="C209" r:id="rId238"/>
    <hyperlink ref="C643" r:id="rId239"/>
    <hyperlink ref="C210" r:id="rId240"/>
    <hyperlink ref="C211" r:id="rId241"/>
    <hyperlink ref="C212" r:id="rId242"/>
    <hyperlink ref="C213" r:id="rId243"/>
    <hyperlink ref="C214" r:id="rId244"/>
    <hyperlink ref="C215" r:id="rId245"/>
    <hyperlink ref="C503" r:id="rId246"/>
    <hyperlink ref="C216" r:id="rId247"/>
    <hyperlink ref="C644" r:id="rId248"/>
    <hyperlink ref="C217" r:id="rId249"/>
    <hyperlink ref="C218" r:id="rId250"/>
    <hyperlink ref="C219" r:id="rId251"/>
    <hyperlink ref="C504" r:id="rId252"/>
    <hyperlink ref="C645" r:id="rId253"/>
    <hyperlink ref="C220" r:id="rId254"/>
    <hyperlink ref="C221" r:id="rId255"/>
    <hyperlink ref="C222" r:id="rId256"/>
    <hyperlink ref="C223" r:id="rId257"/>
    <hyperlink ref="C646" r:id="rId258"/>
    <hyperlink ref="C224" r:id="rId259"/>
    <hyperlink ref="C647" r:id="rId260"/>
    <hyperlink ref="C28" r:id="rId261"/>
    <hyperlink ref="C648" r:id="rId262"/>
    <hyperlink ref="C225" r:id="rId263"/>
    <hyperlink ref="C226" r:id="rId264"/>
    <hyperlink ref="C227" r:id="rId265"/>
    <hyperlink ref="C228" r:id="rId266"/>
    <hyperlink ref="C229" r:id="rId267"/>
    <hyperlink ref="C505" r:id="rId268"/>
    <hyperlink ref="C506" r:id="rId269"/>
    <hyperlink ref="C507" r:id="rId270"/>
    <hyperlink ref="C29" r:id="rId271"/>
    <hyperlink ref="C508" r:id="rId272"/>
    <hyperlink ref="C230" r:id="rId273"/>
    <hyperlink ref="C231" r:id="rId274"/>
    <hyperlink ref="C232" r:id="rId275"/>
    <hyperlink ref="C233" r:id="rId276"/>
    <hyperlink ref="C234" r:id="rId277"/>
    <hyperlink ref="C235" r:id="rId278"/>
    <hyperlink ref="C236" r:id="rId279"/>
    <hyperlink ref="C433" r:id="rId280"/>
    <hyperlink ref="C237" r:id="rId281"/>
    <hyperlink ref="C238" r:id="rId282"/>
    <hyperlink ref="C509" r:id="rId283"/>
    <hyperlink ref="C30" r:id="rId284"/>
    <hyperlink ref="C239" r:id="rId285"/>
    <hyperlink ref="C510" r:id="rId286"/>
    <hyperlink ref="C511" r:id="rId287"/>
    <hyperlink ref="C240" r:id="rId288"/>
    <hyperlink ref="C31" r:id="rId289"/>
    <hyperlink ref="C241" r:id="rId290"/>
    <hyperlink ref="C512" r:id="rId291"/>
    <hyperlink ref="C32" r:id="rId292"/>
    <hyperlink ref="C242" r:id="rId293"/>
    <hyperlink ref="C243" r:id="rId294"/>
    <hyperlink ref="C244" r:id="rId295"/>
    <hyperlink ref="C420" r:id="rId296"/>
    <hyperlink ref="C245" r:id="rId297"/>
    <hyperlink ref="C246" r:id="rId298"/>
    <hyperlink ref="C247" r:id="rId299"/>
    <hyperlink ref="C513" r:id="rId300"/>
    <hyperlink ref="C440" r:id="rId301"/>
    <hyperlink ref="C441" r:id="rId302"/>
    <hyperlink ref="C442" r:id="rId303"/>
    <hyperlink ref="C248" r:id="rId304"/>
    <hyperlink ref="C514" r:id="rId305"/>
    <hyperlink ref="C515" r:id="rId306"/>
    <hyperlink ref="C249" r:id="rId307"/>
    <hyperlink ref="C250" r:id="rId308"/>
    <hyperlink ref="C434" r:id="rId309"/>
    <hyperlink ref="C435" r:id="rId310"/>
    <hyperlink ref="C516" r:id="rId311"/>
    <hyperlink ref="C251" r:id="rId312"/>
    <hyperlink ref="C252" r:id="rId313"/>
    <hyperlink ref="C33" r:id="rId314"/>
    <hyperlink ref="C253" r:id="rId315"/>
    <hyperlink ref="C34" r:id="rId316"/>
    <hyperlink ref="C254" r:id="rId317"/>
    <hyperlink ref="C255" r:id="rId318"/>
    <hyperlink ref="C517" r:id="rId319"/>
    <hyperlink ref="C256" r:id="rId320"/>
    <hyperlink ref="C518" r:id="rId321"/>
    <hyperlink ref="C35" r:id="rId322"/>
    <hyperlink ref="C36" r:id="rId323"/>
    <hyperlink ref="C37" r:id="rId324"/>
    <hyperlink ref="C519" r:id="rId325"/>
    <hyperlink ref="C520" r:id="rId326"/>
    <hyperlink ref="C257" r:id="rId327"/>
    <hyperlink ref="C521" r:id="rId328"/>
    <hyperlink ref="C258" r:id="rId329"/>
    <hyperlink ref="C436" r:id="rId330"/>
    <hyperlink ref="C259" r:id="rId331"/>
    <hyperlink ref="C421" r:id="rId332"/>
    <hyperlink ref="C260" r:id="rId333"/>
    <hyperlink ref="C38" r:id="rId334"/>
    <hyperlink ref="C261" r:id="rId335"/>
    <hyperlink ref="C262" r:id="rId336"/>
    <hyperlink ref="C263" r:id="rId337"/>
    <hyperlink ref="C264" r:id="rId338"/>
    <hyperlink ref="C522" r:id="rId339"/>
    <hyperlink ref="C523" r:id="rId340"/>
    <hyperlink ref="C265" r:id="rId341"/>
    <hyperlink ref="C524" r:id="rId342"/>
    <hyperlink ref="C525" r:id="rId343"/>
    <hyperlink ref="C266" r:id="rId344"/>
    <hyperlink ref="C267" r:id="rId345"/>
    <hyperlink ref="C268" r:id="rId346"/>
    <hyperlink ref="C269" r:id="rId347"/>
    <hyperlink ref="C270" r:id="rId348"/>
    <hyperlink ref="C271" r:id="rId349"/>
    <hyperlink ref="C39" r:id="rId350"/>
    <hyperlink ref="C526" r:id="rId351"/>
    <hyperlink ref="C527" r:id="rId352"/>
    <hyperlink ref="C528" r:id="rId353"/>
    <hyperlink ref="C529" r:id="rId354"/>
    <hyperlink ref="C272" r:id="rId355"/>
    <hyperlink ref="C40" r:id="rId356"/>
    <hyperlink ref="C273" r:id="rId357"/>
    <hyperlink ref="C274" r:id="rId358"/>
    <hyperlink ref="C275" r:id="rId359"/>
    <hyperlink ref="C276" r:id="rId360"/>
    <hyperlink ref="C277" r:id="rId361"/>
    <hyperlink ref="C530" r:id="rId362"/>
    <hyperlink ref="C278" r:id="rId363"/>
    <hyperlink ref="C279" r:id="rId364"/>
    <hyperlink ref="C531" r:id="rId365"/>
    <hyperlink ref="C280" r:id="rId366"/>
    <hyperlink ref="C532" r:id="rId367"/>
    <hyperlink ref="C533" r:id="rId368"/>
    <hyperlink ref="C281" r:id="rId369"/>
    <hyperlink ref="C282" r:id="rId370"/>
    <hyperlink ref="C649" r:id="rId371"/>
    <hyperlink ref="C283" r:id="rId372"/>
    <hyperlink ref="C284" r:id="rId373"/>
    <hyperlink ref="C534" r:id="rId374"/>
    <hyperlink ref="C535" r:id="rId375"/>
    <hyperlink ref="C536" r:id="rId376"/>
    <hyperlink ref="C437" r:id="rId377"/>
    <hyperlink ref="C438" r:id="rId378"/>
    <hyperlink ref="C285" r:id="rId379"/>
    <hyperlink ref="C286" r:id="rId380"/>
    <hyperlink ref="C287" r:id="rId381"/>
    <hyperlink ref="C288" r:id="rId382"/>
    <hyperlink ref="C289" r:id="rId383"/>
    <hyperlink ref="C290" r:id="rId384"/>
    <hyperlink ref="C537" r:id="rId385"/>
    <hyperlink ref="C291" r:id="rId386"/>
    <hyperlink ref="C538" r:id="rId387"/>
    <hyperlink ref="C539" r:id="rId388"/>
    <hyperlink ref="C650" r:id="rId389"/>
    <hyperlink ref="C540" r:id="rId390"/>
    <hyperlink ref="C541" r:id="rId391"/>
    <hyperlink ref="C292" r:id="rId392"/>
    <hyperlink ref="C293" r:id="rId393"/>
    <hyperlink ref="C294" r:id="rId394"/>
    <hyperlink ref="C542" r:id="rId395"/>
    <hyperlink ref="C543" r:id="rId396"/>
    <hyperlink ref="C544" r:id="rId397"/>
    <hyperlink ref="C295" r:id="rId398"/>
    <hyperlink ref="C296" r:id="rId399"/>
    <hyperlink ref="C297" r:id="rId400"/>
    <hyperlink ref="C545" r:id="rId401"/>
    <hyperlink ref="C298" r:id="rId402"/>
    <hyperlink ref="C299" r:id="rId403"/>
    <hyperlink ref="C300" r:id="rId404"/>
    <hyperlink ref="C301" r:id="rId405"/>
    <hyperlink ref="C546" r:id="rId406"/>
    <hyperlink ref="C302" r:id="rId407"/>
    <hyperlink ref="C547" r:id="rId408"/>
    <hyperlink ref="C548" r:id="rId409"/>
    <hyperlink ref="C303" r:id="rId410"/>
    <hyperlink ref="C304" r:id="rId411"/>
    <hyperlink ref="C305" r:id="rId412"/>
    <hyperlink ref="C306" r:id="rId413"/>
    <hyperlink ref="C307" r:id="rId414"/>
    <hyperlink ref="C549" r:id="rId415"/>
    <hyperlink ref="C308" r:id="rId416"/>
    <hyperlink ref="C550" r:id="rId417"/>
    <hyperlink ref="C309" r:id="rId418"/>
    <hyperlink ref="C310" r:id="rId419"/>
    <hyperlink ref="C311" r:id="rId420"/>
    <hyperlink ref="C312" r:id="rId421"/>
    <hyperlink ref="C313" r:id="rId422"/>
    <hyperlink ref="C314" r:id="rId423"/>
    <hyperlink ref="C315" r:id="rId424"/>
    <hyperlink ref="C316" r:id="rId425"/>
    <hyperlink ref="C317" r:id="rId426"/>
    <hyperlink ref="C318" r:id="rId427"/>
    <hyperlink ref="C319" r:id="rId428"/>
    <hyperlink ref="C551" r:id="rId429"/>
    <hyperlink ref="C320" r:id="rId430"/>
    <hyperlink ref="C321" r:id="rId431"/>
    <hyperlink ref="C322" r:id="rId432"/>
    <hyperlink ref="C323" r:id="rId433"/>
    <hyperlink ref="C324" r:id="rId434"/>
    <hyperlink ref="C552" r:id="rId435"/>
    <hyperlink ref="C325" r:id="rId436"/>
    <hyperlink ref="C553" r:id="rId437"/>
    <hyperlink ref="C422" r:id="rId438"/>
    <hyperlink ref="C326" r:id="rId439"/>
    <hyperlink ref="C327" r:id="rId440"/>
    <hyperlink ref="C328" r:id="rId441"/>
    <hyperlink ref="C329" r:id="rId442"/>
    <hyperlink ref="C554" r:id="rId443"/>
    <hyperlink ref="C330" r:id="rId444"/>
    <hyperlink ref="C331" r:id="rId445"/>
    <hyperlink ref="C332" r:id="rId446"/>
    <hyperlink ref="C333" r:id="rId447"/>
    <hyperlink ref="C334" r:id="rId448"/>
    <hyperlink ref="C335" r:id="rId449"/>
    <hyperlink ref="C555" r:id="rId450"/>
    <hyperlink ref="C423" r:id="rId451"/>
    <hyperlink ref="C336" r:id="rId452"/>
    <hyperlink ref="C337" r:id="rId453"/>
    <hyperlink ref="C338" r:id="rId454"/>
    <hyperlink ref="C339" r:id="rId455"/>
    <hyperlink ref="C340" r:id="rId456"/>
    <hyperlink ref="C341" r:id="rId457"/>
    <hyperlink ref="C342" r:id="rId458"/>
    <hyperlink ref="C556" r:id="rId459"/>
    <hyperlink ref="C41" r:id="rId460"/>
    <hyperlink ref="C432" r:id="rId461"/>
    <hyperlink ref="C557" r:id="rId462"/>
    <hyperlink ref="C558" r:id="rId463"/>
    <hyperlink ref="C42" r:id="rId464"/>
    <hyperlink ref="C559" r:id="rId465"/>
    <hyperlink ref="C444" r:id="rId466"/>
    <hyperlink ref="C343" r:id="rId467"/>
    <hyperlink ref="C560" r:id="rId468"/>
    <hyperlink ref="C561" r:id="rId469"/>
    <hyperlink ref="C43" r:id="rId470"/>
    <hyperlink ref="C445" r:id="rId471"/>
    <hyperlink ref="C562" r:id="rId472"/>
    <hyperlink ref="C44" r:id="rId473"/>
    <hyperlink ref="C446" r:id="rId474"/>
    <hyperlink ref="C45" r:id="rId475"/>
    <hyperlink ref="C447" r:id="rId476"/>
    <hyperlink ref="C46" r:id="rId477"/>
    <hyperlink ref="C563" r:id="rId478"/>
    <hyperlink ref="C564" r:id="rId479"/>
    <hyperlink ref="C565" r:id="rId480"/>
    <hyperlink ref="C566" r:id="rId481"/>
    <hyperlink ref="C567" r:id="rId482"/>
    <hyperlink ref="C344" r:id="rId483"/>
    <hyperlink ref="C345" r:id="rId484"/>
    <hyperlink ref="C568" r:id="rId485"/>
    <hyperlink ref="C47" r:id="rId486"/>
    <hyperlink ref="C569" r:id="rId487"/>
    <hyperlink ref="C424" r:id="rId488"/>
    <hyperlink ref="C346" r:id="rId489"/>
    <hyperlink ref="C570" r:id="rId490"/>
    <hyperlink ref="C347" r:id="rId491"/>
    <hyperlink ref="C348" r:id="rId492"/>
    <hyperlink ref="C48" r:id="rId493"/>
    <hyperlink ref="C349" r:id="rId494"/>
    <hyperlink ref="C439" r:id="rId495"/>
    <hyperlink ref="C350" r:id="rId496"/>
    <hyperlink ref="C49" r:id="rId497"/>
    <hyperlink ref="C571" r:id="rId498"/>
    <hyperlink ref="C50" r:id="rId499"/>
    <hyperlink ref="C51" r:id="rId500"/>
    <hyperlink ref="C351" r:id="rId501"/>
    <hyperlink ref="C572" r:id="rId502"/>
    <hyperlink ref="C573" r:id="rId503"/>
    <hyperlink ref="C52" r:id="rId504"/>
    <hyperlink ref="C53" r:id="rId505"/>
    <hyperlink ref="C54" r:id="rId506"/>
    <hyperlink ref="C425" r:id="rId507"/>
    <hyperlink ref="C55" r:id="rId508"/>
    <hyperlink ref="C443" r:id="rId509"/>
    <hyperlink ref="C352" r:id="rId510"/>
    <hyperlink ref="C353" r:id="rId511"/>
    <hyperlink ref="C574" r:id="rId512"/>
    <hyperlink ref="C575" r:id="rId513"/>
    <hyperlink ref="C354" r:id="rId514"/>
    <hyperlink ref="C576" r:id="rId515"/>
    <hyperlink ref="C577" r:id="rId516"/>
    <hyperlink ref="C355" r:id="rId517"/>
    <hyperlink ref="C578" r:id="rId518"/>
    <hyperlink ref="C579" r:id="rId519"/>
    <hyperlink ref="C356" r:id="rId520"/>
    <hyperlink ref="C580" r:id="rId521"/>
    <hyperlink ref="C357" r:id="rId522"/>
    <hyperlink ref="C358" r:id="rId523"/>
    <hyperlink ref="C359" r:id="rId524"/>
    <hyperlink ref="C581" r:id="rId525"/>
    <hyperlink ref="C582" r:id="rId526"/>
    <hyperlink ref="C583" r:id="rId527"/>
    <hyperlink ref="C360" r:id="rId528"/>
    <hyperlink ref="C426" r:id="rId529"/>
    <hyperlink ref="C427" r:id="rId530"/>
    <hyperlink ref="C56" r:id="rId531"/>
    <hyperlink ref="C361" r:id="rId532"/>
    <hyperlink ref="C362" r:id="rId533"/>
    <hyperlink ref="C57" r:id="rId534"/>
    <hyperlink ref="C584" r:id="rId535"/>
    <hyperlink ref="C585" r:id="rId536"/>
    <hyperlink ref="C363" r:id="rId537"/>
    <hyperlink ref="C364" r:id="rId538"/>
    <hyperlink ref="C58" r:id="rId539"/>
    <hyperlink ref="C586" r:id="rId540"/>
    <hyperlink ref="C365" r:id="rId541"/>
    <hyperlink ref="C366" r:id="rId542"/>
    <hyperlink ref="C587" r:id="rId543"/>
    <hyperlink ref="C367" r:id="rId544"/>
    <hyperlink ref="C368" r:id="rId545"/>
    <hyperlink ref="C588" r:id="rId546"/>
    <hyperlink ref="C589" r:id="rId547"/>
    <hyperlink ref="C428" r:id="rId548"/>
    <hyperlink ref="C590" r:id="rId549"/>
    <hyperlink ref="C591" r:id="rId550"/>
    <hyperlink ref="C592" r:id="rId551"/>
    <hyperlink ref="C593" r:id="rId552"/>
    <hyperlink ref="C369" r:id="rId553"/>
    <hyperlink ref="C370" r:id="rId554"/>
    <hyperlink ref="C371" r:id="rId555"/>
    <hyperlink ref="C372" r:id="rId556"/>
    <hyperlink ref="C373" r:id="rId557"/>
    <hyperlink ref="C374" r:id="rId558"/>
    <hyperlink ref="C594" r:id="rId559"/>
    <hyperlink ref="C375" r:id="rId560"/>
    <hyperlink ref="C376" r:id="rId561"/>
    <hyperlink ref="C595" r:id="rId562"/>
    <hyperlink ref="C377" r:id="rId563"/>
    <hyperlink ref="C596" r:id="rId564"/>
    <hyperlink ref="C597" r:id="rId565"/>
    <hyperlink ref="C378" r:id="rId566"/>
    <hyperlink ref="C379" r:id="rId567"/>
    <hyperlink ref="C380" r:id="rId568"/>
    <hyperlink ref="C598" r:id="rId569"/>
    <hyperlink ref="C59" r:id="rId570"/>
    <hyperlink ref="C381" r:id="rId571"/>
    <hyperlink ref="C382" r:id="rId572"/>
    <hyperlink ref="C383" r:id="rId573"/>
    <hyperlink ref="C599" r:id="rId574"/>
    <hyperlink ref="C384" r:id="rId575"/>
    <hyperlink ref="C600" r:id="rId576"/>
    <hyperlink ref="C385" r:id="rId577"/>
    <hyperlink ref="C60" r:id="rId578"/>
    <hyperlink ref="C386" r:id="rId579"/>
    <hyperlink ref="C387" r:id="rId580"/>
    <hyperlink ref="C601" r:id="rId581"/>
    <hyperlink ref="C602" r:id="rId582"/>
    <hyperlink ref="C61" r:id="rId583"/>
    <hyperlink ref="C603" r:id="rId584"/>
    <hyperlink ref="C388" r:id="rId585"/>
    <hyperlink ref="C389" r:id="rId586"/>
    <hyperlink ref="C604" r:id="rId587"/>
    <hyperlink ref="C390" r:id="rId588"/>
    <hyperlink ref="C391" r:id="rId589"/>
    <hyperlink ref="C605" r:id="rId590"/>
    <hyperlink ref="C606" r:id="rId591"/>
    <hyperlink ref="C392" r:id="rId592"/>
    <hyperlink ref="C62" r:id="rId593"/>
    <hyperlink ref="C607" r:id="rId594"/>
    <hyperlink ref="C393" r:id="rId595"/>
    <hyperlink ref="C394" r:id="rId596"/>
    <hyperlink ref="C608" r:id="rId597"/>
    <hyperlink ref="C395" r:id="rId598"/>
    <hyperlink ref="C396" r:id="rId599"/>
    <hyperlink ref="C397" r:id="rId600"/>
    <hyperlink ref="C398" r:id="rId601"/>
    <hyperlink ref="C399" r:id="rId602"/>
    <hyperlink ref="C609" r:id="rId603"/>
    <hyperlink ref="C400" r:id="rId604"/>
    <hyperlink ref="C401" r:id="rId605"/>
    <hyperlink ref="C610" r:id="rId606"/>
    <hyperlink ref="C611" r:id="rId607"/>
    <hyperlink ref="C402" r:id="rId608"/>
    <hyperlink ref="C612" r:id="rId609"/>
    <hyperlink ref="C429" r:id="rId610"/>
    <hyperlink ref="C613" r:id="rId611"/>
    <hyperlink ref="C430" r:id="rId612"/>
    <hyperlink ref="C614" r:id="rId613"/>
    <hyperlink ref="C615" r:id="rId614"/>
    <hyperlink ref="C616" r:id="rId615"/>
    <hyperlink ref="C617" r:id="rId616"/>
    <hyperlink ref="C618" r:id="rId617"/>
    <hyperlink ref="C63" r:id="rId618"/>
    <hyperlink ref="C619" r:id="rId619"/>
    <hyperlink ref="C403" r:id="rId620"/>
    <hyperlink ref="C620" r:id="rId621"/>
    <hyperlink ref="C404" r:id="rId622"/>
    <hyperlink ref="C405" r:id="rId623"/>
    <hyperlink ref="C406" r:id="rId624"/>
    <hyperlink ref="C621" r:id="rId625"/>
    <hyperlink ref="C622" r:id="rId626"/>
    <hyperlink ref="C407" r:id="rId627"/>
    <hyperlink ref="C408" r:id="rId628"/>
    <hyperlink ref="C623" r:id="rId629"/>
    <hyperlink ref="C409" r:id="rId630"/>
    <hyperlink ref="C624" r:id="rId631"/>
    <hyperlink ref="C625" r:id="rId632"/>
    <hyperlink ref="C431" r:id="rId633"/>
    <hyperlink ref="C626" r:id="rId634"/>
    <hyperlink ref="C410" r:id="rId635"/>
    <hyperlink ref="C411" r:id="rId636"/>
    <hyperlink ref="C412" r:id="rId637"/>
    <hyperlink ref="C413" r:id="rId638"/>
    <hyperlink ref="C414" r:id="rId639"/>
    <hyperlink ref="C415" r:id="rId640"/>
    <hyperlink ref="C64" r:id="rId641"/>
    <hyperlink ref="C416" r:id="rId642"/>
    <hyperlink ref="C627" r:id="rId643"/>
    <hyperlink ref="C628" r:id="rId644"/>
  </hyperlinks>
  <pageMargins left="0.7" right="0.7" top="0.93567251461988299" bottom="0.75" header="0" footer="0"/>
  <pageSetup scale="60" orientation="landscape" r:id="rId645"/>
  <headerFooter scaleWithDoc="0"/>
  <drawing r:id="rId646"/>
  <legacyDrawing r:id="rId647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CONTA SEIS</cp:lastModifiedBy>
  <cp:lastPrinted>2026-03-30T17:32:14Z</cp:lastPrinted>
  <dcterms:created xsi:type="dcterms:W3CDTF">2015-06-05T18:19:34Z</dcterms:created>
  <dcterms:modified xsi:type="dcterms:W3CDTF">2026-06-25T19:14:13Z</dcterms:modified>
</cp:coreProperties>
</file>