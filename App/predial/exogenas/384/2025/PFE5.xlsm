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ocumentos\Lyda\NICE\EXOGENA PAIPA\2025\"/>
    </mc:Choice>
  </mc:AlternateContent>
  <xr:revisionPtr revIDLastSave="0" documentId="13_ncr:1_{73C87F68-1435-46AB-9FCF-F78FAED00905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10" yWindow="-110" windowWidth="19420" windowHeight="10300" xr2:uid="{00000000-000D-0000-FFFF-FFFF00000000}"/>
  </bookViews>
  <sheets>
    <sheet name="PFE5" sheetId="1" r:id="rId1"/>
    <sheet name="Actividades" sheetId="2" r:id="rId2"/>
    <sheet name="Municipios" sheetId="3" r:id="rId3"/>
  </sheets>
  <externalReferences>
    <externalReference r:id="rId4"/>
  </externalReferences>
  <definedNames>
    <definedName name="MiLista">#REF!</definedName>
  </definedNames>
  <calcPr calcId="19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alcChain.xml><?xml version="1.0" encoding="utf-8"?>
<calcChain xmlns="http://schemas.openxmlformats.org/spreadsheetml/2006/main">
  <c r="B156" i="1" l="1"/>
  <c r="D155" i="1"/>
  <c r="C155" i="1"/>
  <c r="B155" i="1"/>
  <c r="D154" i="1"/>
  <c r="C154" i="1"/>
  <c r="B154" i="1"/>
  <c r="B153" i="1"/>
  <c r="B152" i="1"/>
  <c r="D151" i="1"/>
  <c r="C151" i="1"/>
  <c r="B151" i="1"/>
  <c r="C150" i="1"/>
  <c r="B150" i="1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B134" i="1"/>
  <c r="D133" i="1"/>
  <c r="C133" i="1"/>
  <c r="B133" i="1"/>
  <c r="D132" i="1"/>
  <c r="C132" i="1"/>
  <c r="B132" i="1"/>
  <c r="D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B122" i="1"/>
  <c r="D121" i="1"/>
  <c r="C121" i="1"/>
  <c r="B121" i="1"/>
  <c r="D120" i="1"/>
  <c r="C120" i="1"/>
  <c r="B120" i="1"/>
  <c r="D119" i="1"/>
  <c r="C119" i="1"/>
  <c r="B119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D94" i="1"/>
  <c r="C94" i="1"/>
  <c r="B94" i="1"/>
  <c r="D93" i="1"/>
  <c r="C93" i="1"/>
  <c r="B93" i="1"/>
  <c r="D92" i="1"/>
  <c r="C92" i="1"/>
  <c r="B92" i="1"/>
  <c r="D91" i="1"/>
  <c r="C91" i="1"/>
  <c r="B91" i="1"/>
  <c r="D90" i="1"/>
  <c r="C90" i="1"/>
  <c r="B90" i="1"/>
  <c r="D89" i="1"/>
  <c r="C89" i="1"/>
  <c r="B89" i="1"/>
  <c r="D88" i="1"/>
  <c r="B88" i="1"/>
  <c r="D87" i="1"/>
  <c r="C87" i="1"/>
  <c r="B87" i="1"/>
  <c r="D86" i="1"/>
  <c r="C86" i="1"/>
  <c r="B86" i="1"/>
  <c r="C85" i="1"/>
  <c r="B85" i="1"/>
  <c r="D84" i="1"/>
  <c r="C84" i="1"/>
  <c r="B84" i="1"/>
  <c r="D83" i="1"/>
  <c r="C83" i="1"/>
  <c r="B83" i="1"/>
  <c r="D82" i="1"/>
  <c r="C82" i="1"/>
  <c r="B82" i="1"/>
  <c r="D81" i="1"/>
  <c r="C81" i="1"/>
  <c r="B81" i="1"/>
  <c r="C80" i="1"/>
  <c r="B80" i="1"/>
  <c r="D79" i="1"/>
  <c r="C79" i="1"/>
  <c r="B79" i="1"/>
  <c r="D78" i="1"/>
  <c r="C78" i="1"/>
  <c r="B78" i="1"/>
  <c r="D77" i="1"/>
  <c r="C77" i="1"/>
  <c r="B77" i="1"/>
  <c r="D76" i="1"/>
  <c r="C76" i="1"/>
  <c r="B76" i="1"/>
  <c r="C75" i="1"/>
  <c r="B75" i="1"/>
  <c r="D74" i="1"/>
  <c r="C74" i="1"/>
  <c r="B74" i="1"/>
  <c r="D73" i="1"/>
  <c r="C73" i="1"/>
  <c r="B73" i="1"/>
  <c r="D72" i="1"/>
  <c r="C72" i="1"/>
  <c r="B72" i="1"/>
  <c r="D71" i="1"/>
  <c r="C71" i="1"/>
  <c r="B71" i="1"/>
  <c r="D70" i="1"/>
  <c r="C70" i="1"/>
  <c r="B70" i="1"/>
  <c r="D69" i="1"/>
  <c r="C69" i="1"/>
  <c r="B69" i="1"/>
  <c r="D68" i="1"/>
  <c r="C68" i="1"/>
  <c r="B68" i="1"/>
  <c r="D67" i="1"/>
  <c r="C67" i="1"/>
  <c r="B67" i="1"/>
  <c r="D66" i="1"/>
  <c r="C66" i="1"/>
  <c r="B66" i="1"/>
  <c r="D65" i="1"/>
  <c r="C65" i="1"/>
  <c r="B65" i="1"/>
  <c r="D64" i="1"/>
  <c r="C64" i="1"/>
  <c r="B64" i="1"/>
  <c r="D63" i="1"/>
  <c r="C63" i="1"/>
  <c r="B63" i="1"/>
  <c r="D62" i="1"/>
  <c r="C62" i="1"/>
  <c r="B62" i="1"/>
  <c r="D61" i="1"/>
  <c r="C61" i="1"/>
  <c r="B61" i="1"/>
  <c r="D60" i="1"/>
  <c r="C60" i="1"/>
  <c r="B60" i="1"/>
  <c r="D59" i="1"/>
  <c r="C59" i="1"/>
  <c r="B59" i="1"/>
  <c r="D58" i="1"/>
  <c r="C58" i="1"/>
  <c r="B58" i="1"/>
  <c r="D57" i="1"/>
  <c r="C57" i="1"/>
  <c r="B57" i="1"/>
  <c r="D56" i="1"/>
  <c r="C56" i="1"/>
  <c r="B56" i="1"/>
  <c r="D55" i="1"/>
  <c r="C55" i="1"/>
  <c r="B55" i="1"/>
  <c r="D54" i="1"/>
  <c r="C54" i="1"/>
  <c r="B54" i="1"/>
  <c r="D53" i="1"/>
  <c r="C53" i="1"/>
  <c r="B53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B34" i="1"/>
  <c r="D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B26" i="1"/>
  <c r="D25" i="1"/>
  <c r="C25" i="1"/>
  <c r="B25" i="1"/>
  <c r="D24" i="1"/>
  <c r="C24" i="1"/>
  <c r="B24" i="1"/>
  <c r="D23" i="1"/>
  <c r="C23" i="1"/>
  <c r="B23" i="1"/>
  <c r="D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B13" i="1"/>
  <c r="D12" i="1"/>
  <c r="B12" i="1"/>
  <c r="D11" i="1"/>
  <c r="C11" i="1"/>
  <c r="B11" i="1"/>
  <c r="D10" i="1"/>
  <c r="B10" i="1"/>
  <c r="D9" i="1"/>
  <c r="C9" i="1"/>
  <c r="B9" i="1"/>
  <c r="D8" i="1"/>
  <c r="C8" i="1"/>
  <c r="B8" i="1"/>
  <c r="D7" i="1"/>
  <c r="C7" i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I7" authorId="0" shapeId="0" xr:uid="{BD0BD262-D124-403C-8D47-693BF1A3CA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 xr:uid="{9C584AAD-0DB7-4887-8337-CCF08E7673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" authorId="0" shapeId="0" xr:uid="{BD604BB3-8738-452A-A314-3F6D7F95957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" authorId="0" shapeId="0" xr:uid="{1B5BF96F-EDD9-48D9-BFF4-FF89560631B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" authorId="0" shapeId="0" xr:uid="{A29CD78A-6ED5-4159-97F3-37748A57971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" authorId="0" shapeId="0" xr:uid="{B7F90219-C7DF-4F28-A472-8D8F64A03E8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" authorId="0" shapeId="0" xr:uid="{7E774E90-586E-4AEC-BB2C-34D4F469A32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" authorId="0" shapeId="0" xr:uid="{7AAD6B18-F1DF-42C4-BE62-099555A3783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" authorId="0" shapeId="0" xr:uid="{6D21C250-A044-4612-BF0A-8B9061666E0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" authorId="0" shapeId="0" xr:uid="{0263417F-AE06-4E85-9FA3-88A4AE70864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" authorId="0" shapeId="0" xr:uid="{3732DFF9-E6C3-4C9D-AD15-9AFB1862B85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" authorId="0" shapeId="0" xr:uid="{9F8564E8-E1B9-4D1D-81C6-2802C260D9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" authorId="0" shapeId="0" xr:uid="{904B6403-AC28-4FF7-95BA-B45A24BEDFC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" authorId="0" shapeId="0" xr:uid="{4450B1A8-0F7E-434F-B590-7C9B26EE0F5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" authorId="0" shapeId="0" xr:uid="{83DBD906-5B84-4FF4-80B8-004B0D36308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" authorId="0" shapeId="0" xr:uid="{269CED4E-DC7A-4FE4-9069-0BC823CC979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" authorId="0" shapeId="0" xr:uid="{4E0C770B-540D-4483-9EAB-B8201066990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" authorId="0" shapeId="0" xr:uid="{D7405B8A-7ACD-4994-88FB-C5DC9A315ED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6" authorId="0" shapeId="0" xr:uid="{F2FCC8F2-479D-4DD7-9FCB-744A076DBD4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6" authorId="0" shapeId="0" xr:uid="{DFE6819A-2FAC-4194-8FB7-395FCD361A0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7" authorId="0" shapeId="0" xr:uid="{B1F2D2F3-660E-4DD1-9AAB-A8FCB27353C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7" authorId="0" shapeId="0" xr:uid="{88D00D9B-ED14-48CB-9F3F-118FE4276C0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8" authorId="0" shapeId="0" xr:uid="{6A52AB25-020B-43ED-A186-930CE34E59F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8" authorId="0" shapeId="0" xr:uid="{33B62D66-2F90-4AD2-873B-144795EA8FB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9" authorId="0" shapeId="0" xr:uid="{31CFA18D-4DD2-40D1-B4EE-538940CD86A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9" authorId="0" shapeId="0" xr:uid="{CB0F59FF-5C93-4C74-B3F3-E718320BC8F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0" authorId="0" shapeId="0" xr:uid="{1BD20827-5900-4BC1-A7F5-6F205C28B10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0" authorId="0" shapeId="0" xr:uid="{4880B2E4-49C7-42DF-9E35-45D35A974EF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1" authorId="0" shapeId="0" xr:uid="{AF58CB15-D1FE-4BC0-99FF-B35CA249C9B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1" authorId="0" shapeId="0" xr:uid="{489E6151-EDAE-4659-A150-4CC8552485B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2" authorId="0" shapeId="0" xr:uid="{9CA52C83-3874-4904-9460-97D383ABF5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2" authorId="0" shapeId="0" xr:uid="{BC3541C1-D0BB-4F7E-A711-A5B73B178D1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3" authorId="0" shapeId="0" xr:uid="{62384BC2-8FB9-4C3E-B3FC-C315977E798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3" authorId="0" shapeId="0" xr:uid="{BA3BFC7D-4CD0-4F81-85DA-01A34EF779E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4" authorId="0" shapeId="0" xr:uid="{213A790A-429C-46BD-A649-AD8940CE9CC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4" authorId="0" shapeId="0" xr:uid="{AB7CD3B8-51EF-4C1A-AFA9-53618FE5BA0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5" authorId="0" shapeId="0" xr:uid="{6DBC1C99-A33D-4187-AD44-849018B739B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5" authorId="0" shapeId="0" xr:uid="{F2F4CEC7-C0C8-4A14-A530-658F595891F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6" authorId="0" shapeId="0" xr:uid="{3016B1F5-3EB3-4E20-8E89-EB636148B2B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6" authorId="0" shapeId="0" xr:uid="{12EA31DF-8CAA-4C96-B512-F12FB8DAFCD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7" authorId="0" shapeId="0" xr:uid="{172FB843-FD96-48CC-BB96-9BDE8A5AEC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7" authorId="0" shapeId="0" xr:uid="{3890D37E-BF3A-4F8E-B9B3-B52290D9026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8" authorId="0" shapeId="0" xr:uid="{A11F8E36-DBA1-498B-9CEB-4192B7AB06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8" authorId="0" shapeId="0" xr:uid="{04E319D8-FCB8-43EF-BA86-47B58203761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29" authorId="0" shapeId="0" xr:uid="{B86923AA-341D-4632-85B5-CF5E3A28CC8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29" authorId="0" shapeId="0" xr:uid="{4462BD93-EDDA-47E3-AECF-BF3F9581E37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0" authorId="0" shapeId="0" xr:uid="{25B267B1-21DD-4C21-A9F9-EC375D8AE0A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0" authorId="0" shapeId="0" xr:uid="{D9BEB364-BE70-463C-B7BB-64F6203BCAF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1" authorId="0" shapeId="0" xr:uid="{E9BF87A6-7025-475A-BBAE-7ADEBC7F4D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1" authorId="0" shapeId="0" xr:uid="{6FC4D15F-4B20-42C2-8504-2E7F4C6F21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2" authorId="0" shapeId="0" xr:uid="{131CB745-3E4E-4D58-A338-E17D038B715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2" authorId="0" shapeId="0" xr:uid="{164EF91A-919E-4C16-AB3E-5C6616E7FFD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3" authorId="0" shapeId="0" xr:uid="{49E8DAF4-DC34-460C-870B-40F1FDEA117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3" authorId="0" shapeId="0" xr:uid="{E4E51914-2205-4916-927A-6D3524C842A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4" authorId="0" shapeId="0" xr:uid="{A570B664-E631-498A-ADA4-00C98109A8A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4" authorId="0" shapeId="0" xr:uid="{2BBFB73F-8CFD-40D2-A1B3-A9E257AF4DE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5" authorId="0" shapeId="0" xr:uid="{063D6B3B-B3E1-4EDB-ADD8-6C5712AFD79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5" authorId="0" shapeId="0" xr:uid="{08E4A59C-9AE4-48DC-86F5-A66BCF07F5F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6" authorId="0" shapeId="0" xr:uid="{2E660F1F-283B-47A9-BB5F-C39B2C77A5B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6" authorId="0" shapeId="0" xr:uid="{917EEE6A-D4C8-4C46-A74D-AA3A640658B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7" authorId="0" shapeId="0" xr:uid="{D26E9850-2E3E-4502-8C54-1C884A68297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7" authorId="0" shapeId="0" xr:uid="{56546EBF-3B29-4ACF-B9A1-F7C97C78FA2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8" authorId="0" shapeId="0" xr:uid="{5A44D15D-260F-4783-B816-5F4D2BB3EB1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8" authorId="0" shapeId="0" xr:uid="{456C13B9-DDE2-46CD-8A21-FC89229F72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39" authorId="0" shapeId="0" xr:uid="{D076D72B-B273-4BB7-A83C-096C87F40FD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39" authorId="0" shapeId="0" xr:uid="{877A807E-E6B5-40BD-B066-9E3E7BD3EB4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0" authorId="0" shapeId="0" xr:uid="{104355AE-818B-4A0B-9D18-D8506AC46EB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0" authorId="0" shapeId="0" xr:uid="{87B3DA04-9BD2-48F3-A605-FDB18E0944C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1" authorId="0" shapeId="0" xr:uid="{CAE07F5F-76DB-4714-A9CA-12DC906001F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1" authorId="0" shapeId="0" xr:uid="{96325D3B-7D67-4640-AAFD-ED158164BE4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2" authorId="0" shapeId="0" xr:uid="{4C3E860D-FF57-44FA-917F-20774145D0D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2" authorId="0" shapeId="0" xr:uid="{68F4727A-E81A-41C9-BDC3-83C975A3B17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3" authorId="0" shapeId="0" xr:uid="{FC4E09AA-9582-4BF6-ADFF-4627C3B8016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3" authorId="0" shapeId="0" xr:uid="{CF3E2AAC-EEB0-4E0C-ADFA-33E9EAD4A5A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4" authorId="0" shapeId="0" xr:uid="{E57DA609-56B1-4553-B227-BC7603C0A8B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4" authorId="0" shapeId="0" xr:uid="{51058511-6889-4CC4-A1E2-4B8A048DA6F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5" authorId="0" shapeId="0" xr:uid="{88663148-B250-4F94-A679-D1301258367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5" authorId="0" shapeId="0" xr:uid="{936BA20E-90CE-4E7D-B6B6-BD24503E6D8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6" authorId="0" shapeId="0" xr:uid="{27015524-C2FE-470B-94C7-6C11A784DEE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6" authorId="0" shapeId="0" xr:uid="{2C0E46B4-5D00-424A-AE21-52AFEC58041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7" authorId="0" shapeId="0" xr:uid="{A34A02E9-2B35-4FEE-8E0D-FD0E2CED4ED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7" authorId="0" shapeId="0" xr:uid="{F8EA5BD8-B42D-481B-884A-80D70D68144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8" authorId="0" shapeId="0" xr:uid="{404FEFEA-1BF7-4DF9-93FD-D7E736F06EA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8" authorId="0" shapeId="0" xr:uid="{7DC0E2AA-A99B-4197-BA70-F74D5DBAA57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49" authorId="0" shapeId="0" xr:uid="{F2144A6B-9908-41E8-9AD9-C4D72E24DE0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49" authorId="0" shapeId="0" xr:uid="{BCBAA3F1-459C-4076-A22D-0088DBFCA52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0" authorId="0" shapeId="0" xr:uid="{5A8D7E61-506E-462B-AB0E-AF794F024BF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0" authorId="0" shapeId="0" xr:uid="{706CDB66-DC1C-4719-A558-EE8DCAC92D3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1" authorId="0" shapeId="0" xr:uid="{89E2F6E5-DA80-4564-A7E9-DE0C9E1A828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1" authorId="0" shapeId="0" xr:uid="{0A18CD3D-6A63-4AC1-BC1C-0122DC7B445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2" authorId="0" shapeId="0" xr:uid="{0003D599-A2BB-45E0-A91A-65554D508A5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2" authorId="0" shapeId="0" xr:uid="{7068BDD8-69E3-4020-A271-895DC25031F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3" authorId="0" shapeId="0" xr:uid="{1C4D8207-DF97-4656-A396-DCF381BCA7C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3" authorId="0" shapeId="0" xr:uid="{CA136779-D9E6-44C9-9C07-227708A1D80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4" authorId="0" shapeId="0" xr:uid="{12446C00-0737-46D1-B464-42BA5441619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4" authorId="0" shapeId="0" xr:uid="{19E64BF4-4653-4A58-BF4D-3CE3A5AFA05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5" authorId="0" shapeId="0" xr:uid="{AB1845D6-3829-4E78-BB69-CC93A94CE03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5" authorId="0" shapeId="0" xr:uid="{462DCDE4-DCC4-4D2A-927D-AD05307FF83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6" authorId="0" shapeId="0" xr:uid="{897DBBC8-AF45-42EC-9BC6-3CD29ACD0CE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6" authorId="0" shapeId="0" xr:uid="{594EF979-E9BE-446B-AE22-12CF42F8B5F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7" authorId="0" shapeId="0" xr:uid="{4C0DE1D3-0B53-48F9-AEA3-DFE77A015B0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7" authorId="0" shapeId="0" xr:uid="{A9143439-8EC7-480B-8960-3EB38657A69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8" authorId="0" shapeId="0" xr:uid="{E82BB200-0910-4514-ACB5-70044AC384A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8" authorId="0" shapeId="0" xr:uid="{6AB45992-17BC-4BCA-8F0F-D669A859926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59" authorId="0" shapeId="0" xr:uid="{8FBEF87F-6718-47B1-8285-C481127F2F7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59" authorId="0" shapeId="0" xr:uid="{191AD461-1237-428D-A05D-F6D4370A02A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0" authorId="0" shapeId="0" xr:uid="{66E1ADBB-10DF-4F0D-8D68-CC590CB6F3B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0" authorId="0" shapeId="0" xr:uid="{C98EA174-6392-4093-975F-1A143E185B1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1" authorId="0" shapeId="0" xr:uid="{4763CC9C-A10F-40B8-A966-05DD511B707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1" authorId="0" shapeId="0" xr:uid="{81A75982-1E5E-4F52-A841-E75E24B2A2C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2" authorId="0" shapeId="0" xr:uid="{B9720C39-FBFB-468B-8344-1D56DDF44FD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2" authorId="0" shapeId="0" xr:uid="{4217FCC8-B929-4F76-B704-1106EB14E24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3" authorId="0" shapeId="0" xr:uid="{61E9CA13-6A8B-46D4-93D2-487AF0D55B6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3" authorId="0" shapeId="0" xr:uid="{6E7A1C96-D1F1-4794-BD5B-73E91A0E489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4" authorId="0" shapeId="0" xr:uid="{375C426F-764F-480A-93B7-BC856893118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4" authorId="0" shapeId="0" xr:uid="{19E42DB3-D0FD-4884-9E15-C992726B6C2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5" authorId="0" shapeId="0" xr:uid="{6522AD03-2401-4C32-831E-1BFE31724E5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5" authorId="0" shapeId="0" xr:uid="{F3870794-C3E3-44C1-8027-13164233B36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6" authorId="0" shapeId="0" xr:uid="{7624114B-BB24-48E6-9699-B6D27D2A1B8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6" authorId="0" shapeId="0" xr:uid="{AF414FE9-8B80-49B8-AC40-D0836FAA887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7" authorId="0" shapeId="0" xr:uid="{E4DE3388-89B2-4792-9D4A-0615D248CA5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7" authorId="0" shapeId="0" xr:uid="{EECB961D-A1FF-4E09-B2BE-D386D5ED0D3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8" authorId="0" shapeId="0" xr:uid="{8086637E-A0FF-4EF5-B017-F42A88C7312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8" authorId="0" shapeId="0" xr:uid="{2DE7D99F-685F-4B6C-BA0C-532A26B00F3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69" authorId="0" shapeId="0" xr:uid="{0388E8C9-4D8F-4ED3-9EDD-3AB60786EEF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69" authorId="0" shapeId="0" xr:uid="{7EE4F7A2-91DB-4E2F-BCDD-4E9CBC33F51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0" authorId="0" shapeId="0" xr:uid="{265AE7FE-C1EA-4C72-957B-FE0A2A3B2E1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0" authorId="0" shapeId="0" xr:uid="{D3F53694-80B4-48D8-BAEB-070CBBAB0C6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1" authorId="0" shapeId="0" xr:uid="{0F188DDE-E686-4DA7-9520-3F3A8A3596F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1" authorId="0" shapeId="0" xr:uid="{3AFF4D21-74E0-4D40-816E-9DB6683327D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2" authorId="0" shapeId="0" xr:uid="{92BF3223-E56A-4611-A883-22841E449B3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2" authorId="0" shapeId="0" xr:uid="{900B6F3D-18A2-4030-A0F4-591E768ECEC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3" authorId="0" shapeId="0" xr:uid="{DC116924-525D-4AF3-8318-4BFA4D7CE4F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3" authorId="0" shapeId="0" xr:uid="{8737DB26-8CA0-4DA2-8F02-6C478DE3E3D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4" authorId="0" shapeId="0" xr:uid="{77057616-F2D1-4CD3-BADA-DD19C1D5EE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4" authorId="0" shapeId="0" xr:uid="{FF7BB56C-C108-477E-B899-D679E6BE40B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5" authorId="0" shapeId="0" xr:uid="{1B5A1BAA-247A-43D4-A727-A34FBE6531A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5" authorId="0" shapeId="0" xr:uid="{F5994A8B-3DB3-4E89-AE37-E59EA49D61A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6" authorId="0" shapeId="0" xr:uid="{6A173227-A96E-4499-81F6-0451D6B368F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6" authorId="0" shapeId="0" xr:uid="{8209A100-D6A1-4D74-9EA4-0A9763D82DD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7" authorId="0" shapeId="0" xr:uid="{9C7C6106-8C76-45B4-936B-610A931189A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7" authorId="0" shapeId="0" xr:uid="{E946BEEC-6673-4E3B-A84A-9523A21CCB3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8" authorId="0" shapeId="0" xr:uid="{01FDE659-219E-47BE-B918-2544C00A2DF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8" authorId="0" shapeId="0" xr:uid="{74F1FE19-DA2F-4A36-9138-97BE8183579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79" authorId="0" shapeId="0" xr:uid="{7E317C73-9D44-4C1C-9BAB-D97FAE04C95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9" authorId="0" shapeId="0" xr:uid="{2AF9A5B6-E119-4E0C-B8C4-3E6D07ACDAE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0" authorId="0" shapeId="0" xr:uid="{BF542490-5C4B-405A-85E9-824BF3CA05E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0" authorId="0" shapeId="0" xr:uid="{9CA0643C-0F56-4356-9633-EAF292F3DB2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1" authorId="0" shapeId="0" xr:uid="{1B026548-A73B-493D-ABF8-CD5AF315195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1" authorId="0" shapeId="0" xr:uid="{23DC9071-9D96-4686-944A-57F13E8117A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2" authorId="0" shapeId="0" xr:uid="{28B326A2-E729-4C50-A5CD-81F40AA5AEE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2" authorId="0" shapeId="0" xr:uid="{85E8B125-DAF8-41CB-9A98-7A5995A5648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3" authorId="0" shapeId="0" xr:uid="{62309FBE-ECD1-4DA0-912A-C897D26BBD0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3" authorId="0" shapeId="0" xr:uid="{DE0FC742-12B5-4B77-A6D1-09FF542A6BE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4" authorId="0" shapeId="0" xr:uid="{3D211F38-4278-4360-8BF1-C066DB610D5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4" authorId="0" shapeId="0" xr:uid="{6470EDDB-9EC8-4D6B-99B9-48FB285CC43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5" authorId="0" shapeId="0" xr:uid="{04FD688D-D1EE-4D7F-9F9E-0621A1C77DC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5" authorId="0" shapeId="0" xr:uid="{7F0EDD48-759D-48A6-8435-6D89E226D9D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6" authorId="0" shapeId="0" xr:uid="{08D115D7-56D8-4518-94E6-AE40E36C39A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6" authorId="0" shapeId="0" xr:uid="{2178A7C5-8C2D-4184-BFE6-F0922F6A22D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7" authorId="0" shapeId="0" xr:uid="{6D6CA6A5-B758-48DD-85F2-43A11D49DF0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7" authorId="0" shapeId="0" xr:uid="{A509477F-BB0A-450E-A6D6-9CED0662A80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8" authorId="0" shapeId="0" xr:uid="{24F511E6-6052-40A5-A031-BF2D2B6F9EB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8" authorId="0" shapeId="0" xr:uid="{F93F816F-13AC-47EE-8EC3-BC012EA1A73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9" authorId="0" shapeId="0" xr:uid="{5506135A-0B54-407A-94CD-0F0684D988C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9" authorId="0" shapeId="0" xr:uid="{1385726D-47B6-4314-A886-7FDF0D91DCC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0" authorId="0" shapeId="0" xr:uid="{A1D4ACDF-9190-42F9-9981-198FDFB8AB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0" authorId="0" shapeId="0" xr:uid="{E822F3E8-6B49-4F46-AAE4-33648A3AD89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1" authorId="0" shapeId="0" xr:uid="{D0D6ED15-6EDF-4C8F-94C4-9B510C28842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1" authorId="0" shapeId="0" xr:uid="{DE4323D1-5DEF-4187-B642-9B90F36ABCE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2" authorId="0" shapeId="0" xr:uid="{601D42D2-7F42-444B-86AD-9E0264446D1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2" authorId="0" shapeId="0" xr:uid="{C2CB19E2-649E-4BAA-8344-772BFAE8884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3" authorId="0" shapeId="0" xr:uid="{C545BF72-D09B-4040-BA69-5C8C9E66CDC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3" authorId="0" shapeId="0" xr:uid="{19C17041-225A-4624-A90E-3F03391765A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4" authorId="0" shapeId="0" xr:uid="{E93C2585-337B-4B43-8189-67B4C10B9F5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4" authorId="0" shapeId="0" xr:uid="{70A4AA9F-1E58-4F08-8148-5917D3D1767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5" authorId="0" shapeId="0" xr:uid="{ECC69C64-199C-49AE-A0C1-42B37DB301D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5" authorId="0" shapeId="0" xr:uid="{750ED449-7818-4B50-806B-9D3EE8133EF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6" authorId="0" shapeId="0" xr:uid="{9C87AA7E-C72D-461B-9D02-78E3A18F05E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6" authorId="0" shapeId="0" xr:uid="{6B9F3BEF-E040-4D1E-BDF6-E004542BA34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7" authorId="0" shapeId="0" xr:uid="{B275CC89-D830-4B25-B0CF-BB232725527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7" authorId="0" shapeId="0" xr:uid="{8839B655-EECC-4D36-8490-B4B41F79308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8" authorId="0" shapeId="0" xr:uid="{73A76F80-1D79-4D1F-A54B-9D1ED69C15B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8" authorId="0" shapeId="0" xr:uid="{2B15AAA8-4B00-4BA2-BD45-4A1CEFE4B2F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9" authorId="0" shapeId="0" xr:uid="{B3FC3A3C-BAFD-4C0C-9AA5-30EA28290A1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9" authorId="0" shapeId="0" xr:uid="{E71D0849-9336-4080-8D2C-9DBFE982413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0" authorId="0" shapeId="0" xr:uid="{E7F9324C-DA82-498E-9E6F-288F62409E3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0" authorId="0" shapeId="0" xr:uid="{5396CA81-D94B-422A-A665-E4ACE8A573A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1" authorId="0" shapeId="0" xr:uid="{949CF107-7560-4C4F-8837-8529C0426AA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1" authorId="0" shapeId="0" xr:uid="{9DFF1215-649D-4205-A163-81748B87DA6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2" authorId="0" shapeId="0" xr:uid="{5E6D40B3-FAB8-4BD0-A5C4-73C0857F9CA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2" authorId="0" shapeId="0" xr:uid="{746278DD-399E-44E0-B0BB-A69ACC1E88D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3" authorId="0" shapeId="0" xr:uid="{072BD230-ABE9-42CD-9C9F-AE48987B842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3" authorId="0" shapeId="0" xr:uid="{8D4CC81F-5083-48AE-8144-27624EC1F84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4" authorId="0" shapeId="0" xr:uid="{44FEC065-97C0-4081-AC12-0138CEE6D01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4" authorId="0" shapeId="0" xr:uid="{06200ADE-B7DA-4FCE-AFD6-9B49034B66D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5" authorId="0" shapeId="0" xr:uid="{3BC4F0AF-1031-460C-AD8C-D1266AC752F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5" authorId="0" shapeId="0" xr:uid="{D28AAE8E-B94D-41F5-91F3-E35B0B45BE1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6" authorId="0" shapeId="0" xr:uid="{640B3522-2B8A-460A-AC37-5A0336FE1B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6" authorId="0" shapeId="0" xr:uid="{D2AE3CD1-CB92-4487-8F37-22E501293FE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7" authorId="0" shapeId="0" xr:uid="{A9E05FBD-3FDC-46E3-B055-BFD2D86C1B8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7" authorId="0" shapeId="0" xr:uid="{612DAD73-A680-43D2-A23B-E590A0D2110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8" authorId="0" shapeId="0" xr:uid="{448DC475-ECA9-4F6C-A704-2C7C3F102BD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8" authorId="0" shapeId="0" xr:uid="{4A4C5C2B-BF20-46FB-9AA1-1DEE00157D6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9" authorId="0" shapeId="0" xr:uid="{A556FCBA-51D0-4E6C-BE66-44D1D3E612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9" authorId="0" shapeId="0" xr:uid="{C6B10B44-A8B0-4AC4-9D64-D41C54D7A3E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0" authorId="0" shapeId="0" xr:uid="{D2C83097-6BCA-4F94-BD7C-BE70C7E6EA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0" authorId="0" shapeId="0" xr:uid="{BA5C7DAB-0305-4B3F-A900-61492B62364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1" authorId="0" shapeId="0" xr:uid="{20DA2639-F811-4C66-A393-B0F89F80B12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1" authorId="0" shapeId="0" xr:uid="{FE001908-DF74-41F8-997A-D19B1688927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2" authorId="0" shapeId="0" xr:uid="{42919B75-EF58-49F7-8FC1-EAFEF5B5D9C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2" authorId="0" shapeId="0" xr:uid="{9A3EA238-508A-4C43-AEFE-CC307BE23E6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3" authorId="0" shapeId="0" xr:uid="{28746651-535C-4AF0-9C0A-E595ED2FEAA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3" authorId="0" shapeId="0" xr:uid="{4C8B64C6-89FD-4246-8332-D6A9542DE6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4" authorId="0" shapeId="0" xr:uid="{4930DD8B-F722-4D81-8355-FC39D8421E4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4" authorId="0" shapeId="0" xr:uid="{A267C1DF-BD06-421F-8994-ADD731EE4D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5" authorId="0" shapeId="0" xr:uid="{6BB750B4-A65B-4990-9EDC-992B0257C95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5" authorId="0" shapeId="0" xr:uid="{C6170E5B-7806-4397-8F4B-504C3B4FF7F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6" authorId="0" shapeId="0" xr:uid="{147DEA7F-B071-4321-B4C3-B1CEE0F9FC3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6" authorId="0" shapeId="0" xr:uid="{F23C7E55-7608-4B90-B4E0-070C1571227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7" authorId="0" shapeId="0" xr:uid="{AB162158-BEC4-4F6D-8342-C99B3341AB4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7" authorId="0" shapeId="0" xr:uid="{9873C6E9-B608-4415-A95F-D348760E0DF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8" authorId="0" shapeId="0" xr:uid="{75F3EA79-3D88-41AE-9713-41B424EF048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8" authorId="0" shapeId="0" xr:uid="{BAC39A16-F3BA-4F59-8B18-1611A216227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9" authorId="0" shapeId="0" xr:uid="{49F0B7CE-1265-4AE1-8BC1-C04F3F9B78C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9" authorId="0" shapeId="0" xr:uid="{3812EF19-A619-457A-B794-80CC42A4F78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0" authorId="0" shapeId="0" xr:uid="{8D7231FD-B39B-4831-B0F1-C9FCDD8F569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0" authorId="0" shapeId="0" xr:uid="{FAEDB5DC-CBB2-47C0-988B-6AE33868CB4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1" authorId="0" shapeId="0" xr:uid="{E31D114E-7B24-4C63-B738-C3D6CE0DFD2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1" authorId="0" shapeId="0" xr:uid="{47C7AA94-87EE-4CBF-8A55-64E3BF4F45D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2" authorId="0" shapeId="0" xr:uid="{29520E7A-8CB3-4277-B593-2EF36104810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2" authorId="0" shapeId="0" xr:uid="{4826F6A7-4F8F-4E60-BD35-23F5E3B0CD5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3" authorId="0" shapeId="0" xr:uid="{E5554FD3-9BEA-41D2-975E-56848FFDB4A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3" authorId="0" shapeId="0" xr:uid="{6F7964B4-0164-486F-9BF6-F43F09452F4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4" authorId="0" shapeId="0" xr:uid="{5BF59A08-6028-4669-B478-9D4B5E20315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4" authorId="0" shapeId="0" xr:uid="{D82498E7-513A-4A2E-9337-A2AE76F58EB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5" authorId="0" shapeId="0" xr:uid="{61F0C428-C35E-4121-9CBA-62AA19141D3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5" authorId="0" shapeId="0" xr:uid="{58437D5F-3D77-4994-9B47-A32FE1FE4D2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6" authorId="0" shapeId="0" xr:uid="{EBC39C40-981D-4298-A838-0A8DA6138EF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6" authorId="0" shapeId="0" xr:uid="{1128F3C8-DDE3-4FBF-99BD-20A653C93C2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7" authorId="0" shapeId="0" xr:uid="{E91D290B-379B-4CBE-95B3-7EFF3291613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7" authorId="0" shapeId="0" xr:uid="{964BE1B0-6FA6-4B4D-937C-C5E745EF5DE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8" authorId="0" shapeId="0" xr:uid="{507D4D4F-39BE-46BA-8267-531D97E7C94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8" authorId="0" shapeId="0" xr:uid="{FA0BD671-C99D-4A54-B391-B556B8B18D9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9" authorId="0" shapeId="0" xr:uid="{41A4826D-5F0B-48DB-89B4-F17BE6E3440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9" authorId="0" shapeId="0" xr:uid="{EA841A4B-B941-49B4-A562-84D5ECDB1F5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0" authorId="0" shapeId="0" xr:uid="{6AD252EB-0D5A-4088-890C-70EC2CD95FA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0" authorId="0" shapeId="0" xr:uid="{C3CAC84E-1522-4FD2-BC91-1D58B3CB686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1" authorId="0" shapeId="0" xr:uid="{11FD5EC3-F02B-49F4-A2E5-E650FC46B61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1" authorId="0" shapeId="0" xr:uid="{032A949D-E678-4682-BD9D-0516089FEC7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2" authorId="0" shapeId="0" xr:uid="{B3CE2235-5B84-41DA-948D-E2E48E5EE10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2" authorId="0" shapeId="0" xr:uid="{404D2AD3-88BA-4B67-97A8-F7C1D7E7631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3" authorId="0" shapeId="0" xr:uid="{493C8CB5-16D1-48CD-9324-58DF4731642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3" authorId="0" shapeId="0" xr:uid="{1D7C38BA-2D47-4D9D-9794-BFE1AB87773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4" authorId="0" shapeId="0" xr:uid="{6DB08347-008D-4821-BDEE-E1FF9272424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4" authorId="0" shapeId="0" xr:uid="{DDD72714-CE53-446E-A6F7-178423C53AF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5" authorId="0" shapeId="0" xr:uid="{9E3D0C1E-4A3C-43B1-A3A7-0F74EB1DB1C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5" authorId="0" shapeId="0" xr:uid="{0F9FCF15-D243-467E-8843-87F3AC3F3ED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6" authorId="0" shapeId="0" xr:uid="{A20301DF-7DF9-4C84-A960-8DF6A1D9C75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6" authorId="0" shapeId="0" xr:uid="{A107488B-B820-495A-BD34-7CE0C5D123E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7" authorId="0" shapeId="0" xr:uid="{12231EE9-BC33-45C4-8BEF-55EB94DA1A9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7" authorId="0" shapeId="0" xr:uid="{969C58B3-0791-44F6-9FC2-CC4D9E8490D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8" authorId="0" shapeId="0" xr:uid="{71E19703-23E4-483E-982D-86278BEBF16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8" authorId="0" shapeId="0" xr:uid="{CCA762CA-82EB-4917-AA8F-79D8438775A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39" authorId="0" shapeId="0" xr:uid="{863362E5-C3B0-4390-A872-1F69370296D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39" authorId="0" shapeId="0" xr:uid="{D4663C97-B2D8-471D-A80D-2B3B47334BD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0" authorId="0" shapeId="0" xr:uid="{A540B300-6295-4D60-AAFE-2ED119B29B2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0" authorId="0" shapeId="0" xr:uid="{E3A7C1DE-F21E-4000-935E-2B464C3280A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1" authorId="0" shapeId="0" xr:uid="{AD0481BE-5CF8-4CBB-AED5-E11D08CDF4E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1" authorId="0" shapeId="0" xr:uid="{6ADCFF98-8107-4461-8576-BFA55FD408A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2" authorId="0" shapeId="0" xr:uid="{6E735292-CC41-4984-8D38-9B802B3C5E9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2" authorId="0" shapeId="0" xr:uid="{AF6E0359-C33B-48CC-B574-CAA7F909CC0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3" authorId="0" shapeId="0" xr:uid="{CBE6989F-04B8-400D-AAB1-B787AB92FA4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3" authorId="0" shapeId="0" xr:uid="{A4DC2AFA-1AE2-484D-AB82-854841BF090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4" authorId="0" shapeId="0" xr:uid="{EC91A9B2-1354-45EF-8B95-377DF395D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4" authorId="0" shapeId="0" xr:uid="{10FCDA3A-6391-46B0-9DB2-EF9FC098DB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5" authorId="0" shapeId="0" xr:uid="{106395CF-206A-4BB9-84EA-A086BCDA10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5" authorId="0" shapeId="0" xr:uid="{0DF5EA16-7924-4493-9265-2F1B44F9C1A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6" authorId="0" shapeId="0" xr:uid="{231130DD-5672-4406-A3A7-413BBE9643F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6" authorId="0" shapeId="0" xr:uid="{D3B55A9E-2733-4BDE-9656-05618268945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7" authorId="0" shapeId="0" xr:uid="{1120F92F-0B1E-4BCD-AD3A-93C1E3C6340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7" authorId="0" shapeId="0" xr:uid="{0CA05E89-5D9F-44E7-9D07-F2B914E438A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8" authorId="0" shapeId="0" xr:uid="{B5307F22-701A-4351-9228-5086EEA5A27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8" authorId="0" shapeId="0" xr:uid="{86E187F7-0546-47C2-875F-186BFBDA48C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49" authorId="0" shapeId="0" xr:uid="{E55DBFFF-CCC3-4BEB-A6F2-C5E3CA3F64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49" authorId="0" shapeId="0" xr:uid="{F3F33295-7402-4312-86BA-B17154C6497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0" authorId="0" shapeId="0" xr:uid="{7E776961-E721-4237-8EBD-FB19DF234B2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0" authorId="0" shapeId="0" xr:uid="{80DCA8EB-D793-4C08-AC23-C693D593DFE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1" authorId="0" shapeId="0" xr:uid="{A92788EF-A17C-4442-9097-2418117847E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1" authorId="0" shapeId="0" xr:uid="{031AF4FB-B1E5-4F54-8EB6-53388900160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2" authorId="0" shapeId="0" xr:uid="{096392D4-72F2-4980-ABD6-9F30AFF8A09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2" authorId="0" shapeId="0" xr:uid="{EB367807-A6AF-470F-8A32-7FC671A2510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3" authorId="0" shapeId="0" xr:uid="{EC76CB7F-6D29-4D74-A79F-F33716F0563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3" authorId="0" shapeId="0" xr:uid="{6859A028-ED13-4298-9647-2A09510C1A6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4" authorId="0" shapeId="0" xr:uid="{AE371854-87A4-46F3-879B-2A2643229CF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4" authorId="0" shapeId="0" xr:uid="{1193AD7F-EEC7-4C68-9C8F-37A2C0A5D73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5" authorId="0" shapeId="0" xr:uid="{F9BD8DCD-60B9-4358-A11A-9E070F51D02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5" authorId="0" shapeId="0" xr:uid="{EBA82597-EA85-43FA-8149-C02687ED4B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56" authorId="0" shapeId="0" xr:uid="{69158651-EDE3-4269-BB40-CFF7893C248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56" authorId="0" shapeId="0" xr:uid="{8732B7DF-1ABD-4911-B406-60588E94671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<sst xmlns="http://schemas.openxmlformats.org/spreadsheetml/2006/main" count="2646" uniqueCount="2409">
  <si>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</si>
  <si>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</si>
  <si>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</si>
  <si>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</si>
  <si>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</si>
  <si>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</si>
  <si>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</si>
  <si>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</si>
  <si>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</si>
  <si>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</si>
  <si>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</si>
  <si>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</si>
  <si>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</si>
  <si>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</si>
  <si>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</si>
  <si>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</si>
  <si>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</si>
  <si>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</si>
  <si>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</si>
  <si>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</si>
  <si>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</si>
  <si>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</si>
  <si>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</si>
  <si>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</si>
  <si>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</si>
  <si>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</si>
  <si>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</si>
  <si>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</si>
  <si>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</si>
  <si>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</si>
  <si>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</si>
  <si>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</si>
  <si>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</si>
  <si>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</si>
  <si>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</si>
  <si>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</si>
  <si>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</si>
  <si>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</si>
  <si>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</si>
  <si>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</si>
  <si>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</si>
  <si>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</si>
  <si>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</si>
  <si>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</si>
  <si>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</si>
  <si>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</si>
  <si>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</si>
  <si>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</si>
  <si>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</si>
  <si>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</si>
  <si>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</si>
  <si>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</si>
  <si>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</si>
  <si>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</si>
  <si>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</si>
  <si>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</si>
  <si>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</si>
  <si>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</si>
  <si>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</si>
  <si>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</si>
  <si>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</si>
  <si>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</si>
  <si>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</si>
  <si>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</si>
  <si>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</si>
  <si>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</si>
  <si>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</si>
  <si>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</si>
  <si>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</si>
  <si>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</si>
  <si>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</si>
  <si>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</si>
  <si>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</si>
  <si>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</si>
  <si>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</si>
  <si>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</si>
  <si>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</si>
  <si>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</si>
  <si>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</si>
  <si>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</si>
  <si>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</si>
  <si>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</si>
  <si>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</si>
  <si>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</si>
  <si>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</si>
  <si>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</si>
  <si>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</si>
  <si>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</si>
  <si>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</si>
  <si>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</si>
  <si>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</si>
  <si>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</si>
  <si>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</si>
  <si>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</si>
  <si>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</si>
  <si>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</si>
  <si>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</si>
  <si>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</si>
  <si>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</si>
  <si>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</si>
  <si>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</si>
  <si>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</si>
  <si>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</si>
  <si>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</si>
  <si>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</si>
  <si>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</si>
  <si>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</si>
  <si>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</si>
  <si>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</si>
  <si>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</si>
  <si>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</si>
  <si>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</si>
  <si>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</si>
  <si>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</si>
  <si>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</si>
  <si>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</si>
  <si>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</si>
  <si>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</si>
  <si>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</si>
  <si>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</si>
  <si>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</si>
  <si>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</si>
  <si>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</si>
  <si>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</si>
  <si>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</si>
  <si>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</si>
  <si>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</si>
  <si>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</si>
  <si>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</si>
  <si>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</si>
  <si>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</si>
  <si>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</si>
  <si>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</si>
  <si>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</si>
  <si>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</si>
  <si>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</si>
  <si>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</si>
  <si>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</si>
  <si>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</si>
  <si>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</si>
  <si>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</si>
  <si>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</si>
  <si>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</si>
  <si>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</si>
  <si>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</si>
  <si>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</si>
  <si>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</si>
  <si>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</si>
  <si>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</si>
  <si>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</si>
  <si>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</si>
  <si>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</si>
  <si>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</si>
  <si>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</si>
  <si>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</si>
  <si>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</si>
  <si>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</si>
  <si>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</si>
  <si>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</si>
  <si>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</si>
  <si>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</si>
  <si>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</si>
  <si>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</si>
  <si>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</si>
  <si>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</si>
  <si>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</si>
  <si>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</si>
  <si>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</si>
  <si>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</si>
  <si>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</si>
  <si>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</si>
  <si>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</si>
  <si>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</si>
  <si>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</si>
  <si>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</si>
  <si>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</si>
  <si>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</si>
  <si>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</si>
  <si>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</si>
  <si>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</si>
  <si>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</si>
  <si>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</si>
  <si>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</si>
  <si>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</si>
  <si>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</si>
  <si>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</si>
  <si>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</si>
  <si>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</si>
  <si>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</si>
  <si>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</si>
  <si>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</si>
  <si>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</si>
  <si>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</si>
  <si>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</si>
  <si>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</si>
  <si>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</si>
  <si>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</si>
  <si>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</si>
  <si>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</si>
  <si>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</si>
  <si>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</si>
  <si>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</si>
  <si>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</si>
  <si>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</si>
  <si>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</si>
  <si>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</si>
  <si>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</si>
  <si>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</si>
  <si>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</si>
  <si>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</si>
  <si>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</si>
  <si>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</si>
  <si>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</si>
  <si>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</si>
  <si>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</si>
  <si>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</si>
  <si>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</si>
  <si>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</si>
  <si>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</si>
  <si>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</si>
  <si>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</si>
  <si>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</si>
  <si>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</si>
  <si>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</si>
  <si>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</si>
  <si>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</si>
  <si>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</si>
  <si>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</si>
  <si>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</si>
  <si>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</si>
  <si>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</si>
  <si>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</si>
  <si>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</si>
  <si>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</si>
  <si>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</si>
  <si>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</si>
  <si>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</si>
  <si>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</si>
  <si>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</si>
  <si>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</si>
  <si>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</si>
  <si>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</si>
  <si>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</si>
  <si>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</si>
  <si>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</si>
  <si>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</si>
  <si>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</si>
  <si>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</si>
  <si>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</si>
  <si>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</si>
  <si>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</si>
  <si>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</si>
  <si>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</si>
  <si>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</si>
  <si>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</si>
  <si>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</si>
  <si>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</si>
  <si>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</si>
  <si>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</si>
  <si>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</si>
  <si>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</si>
  <si>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</si>
  <si>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</si>
  <si>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</si>
  <si>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</si>
  <si>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</si>
  <si>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</si>
  <si>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</si>
  <si>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</si>
  <si>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</si>
  <si>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</si>
  <si>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</si>
  <si>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</si>
  <si>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</si>
  <si>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</si>
  <si>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</si>
  <si>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</si>
  <si>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</si>
  <si>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</si>
  <si>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</si>
  <si>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</si>
  <si>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</si>
  <si>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</si>
  <si>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</si>
  <si>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</si>
  <si>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</si>
  <si>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</si>
  <si>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</si>
  <si>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</si>
  <si>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</si>
  <si>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</si>
  <si>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</si>
  <si>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</si>
  <si>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</si>
  <si>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</si>
  <si>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</si>
  <si>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</si>
  <si>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</si>
  <si>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</si>
  <si>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</si>
  <si>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</si>
  <si>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</si>
  <si>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</si>
  <si>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</si>
  <si>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</si>
  <si>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</si>
  <si>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</si>
  <si>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</si>
  <si>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</si>
  <si>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</si>
  <si>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</si>
  <si>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</si>
  <si>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</si>
  <si>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</si>
  <si>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</si>
  <si>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</si>
  <si>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</si>
  <si>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</si>
  <si>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</si>
  <si>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</si>
  <si>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</si>
  <si>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</si>
  <si>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</si>
  <si>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</si>
  <si>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</si>
  <si>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</si>
  <si>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</si>
  <si>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</si>
  <si>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</si>
  <si>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</si>
  <si>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</si>
  <si>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</si>
  <si>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</si>
  <si>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</si>
  <si>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</si>
  <si>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</si>
  <si>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</si>
  <si>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</si>
  <si>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</si>
  <si>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</si>
  <si>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</si>
  <si>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</si>
  <si>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</si>
  <si>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</si>
  <si>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</si>
  <si>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</si>
  <si>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</si>
  <si>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</si>
  <si>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</si>
  <si>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</si>
  <si>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</si>
  <si>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</si>
  <si>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</si>
  <si>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</si>
  <si>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</si>
  <si>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</si>
  <si>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</si>
  <si>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</si>
  <si>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</si>
  <si>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</si>
  <si>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</si>
  <si>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</si>
  <si>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</si>
  <si>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</si>
  <si>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</si>
  <si>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</si>
  <si>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</si>
  <si>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</si>
  <si>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</si>
  <si>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</si>
  <si>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</si>
  <si>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</si>
  <si>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</si>
  <si>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</si>
  <si>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</si>
  <si>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</si>
  <si>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</si>
  <si>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</si>
  <si>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</si>
  <si>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</si>
  <si>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</si>
  <si>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</si>
  <si>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</si>
  <si>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</si>
  <si>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</si>
  <si>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</si>
  <si>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</si>
  <si>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</si>
  <si>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</si>
  <si>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</si>
  <si>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</si>
  <si>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</si>
  <si>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</si>
  <si>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</si>
  <si>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</si>
  <si>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</si>
  <si>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</si>
  <si>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</si>
  <si>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</si>
  <si>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</si>
  <si>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</si>
  <si>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</si>
  <si>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</si>
  <si>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</si>
  <si>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</si>
  <si>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</si>
  <si>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</si>
  <si>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</si>
  <si>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</si>
  <si>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</si>
  <si>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</si>
  <si>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</si>
  <si>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</si>
  <si>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</si>
  <si>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</si>
  <si>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</si>
  <si>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</si>
  <si>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</si>
  <si>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</si>
  <si>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</si>
  <si>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</si>
  <si>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</si>
  <si>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</si>
  <si>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</si>
  <si>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</si>
  <si>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</si>
  <si>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</si>
  <si>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</si>
  <si>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</si>
  <si>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</si>
  <si>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</si>
  <si>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</si>
  <si>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</si>
  <si>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</si>
  <si>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</si>
  <si>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</si>
  <si>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</si>
  <si>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</si>
  <si>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</si>
  <si>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</si>
  <si>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</si>
  <si>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</si>
  <si>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</si>
  <si>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</si>
  <si>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</si>
  <si>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</si>
  <si>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</si>
  <si>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</si>
  <si>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</si>
  <si>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</si>
  <si>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</si>
  <si>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</si>
  <si>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</si>
  <si>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</si>
  <si>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</si>
  <si>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</si>
  <si>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</si>
  <si>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</si>
  <si>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</si>
  <si>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</si>
  <si>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</si>
  <si>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</si>
  <si>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</si>
  <si>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</si>
  <si>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</si>
  <si>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</si>
  <si>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</si>
  <si>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</si>
  <si>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</si>
  <si>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</si>
  <si>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</si>
  <si>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</si>
  <si>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</si>
  <si>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</si>
  <si>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</si>
  <si>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</si>
  <si>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</si>
  <si>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</si>
  <si>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</si>
  <si>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</si>
  <si>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</si>
  <si>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</si>
  <si>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</si>
  <si>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</si>
  <si>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</si>
  <si>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</si>
  <si>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</si>
  <si>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</si>
  <si>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</si>
  <si>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</si>
  <si>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</si>
  <si>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</si>
  <si>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</si>
  <si>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</si>
  <si>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</si>
  <si>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</si>
  <si>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</si>
  <si>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</si>
  <si>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</si>
  <si>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</si>
  <si>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</si>
  <si>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</si>
  <si>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</si>
  <si>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</si>
  <si>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</si>
  <si>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</si>
  <si>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</si>
  <si>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</si>
  <si>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</si>
  <si>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</si>
  <si>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</si>
  <si>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</si>
  <si>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</si>
  <si>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</si>
  <si>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</si>
  <si>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</si>
  <si>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</si>
  <si>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</si>
  <si>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</si>
  <si>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</si>
  <si>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</si>
  <si>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</si>
  <si>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</si>
  <si>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</si>
  <si>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</si>
  <si>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</si>
  <si>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</si>
  <si>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</si>
  <si>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</si>
  <si>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</si>
  <si>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</si>
  <si>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</si>
  <si>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</si>
  <si>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</si>
  <si>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</si>
  <si>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</si>
  <si>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</si>
  <si>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</si>
  <si>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</si>
  <si>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</si>
  <si>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</si>
  <si>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</si>
  <si>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</si>
  <si>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</si>
  <si>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</si>
  <si>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</si>
  <si>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</si>
  <si>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</si>
  <si>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</si>
  <si>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</si>
  <si>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</si>
  <si>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</si>
  <si>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</si>
  <si>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</si>
  <si>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</si>
  <si>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</si>
  <si>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</si>
  <si>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</si>
  <si>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</si>
  <si>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</si>
  <si>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</si>
  <si>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</si>
  <si>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</si>
  <si>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</si>
  <si>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</si>
  <si>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</si>
  <si>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</si>
  <si>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</si>
  <si>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</si>
  <si>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</si>
  <si>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</si>
  <si>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</si>
  <si>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</si>
  <si>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</si>
  <si>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</si>
  <si>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</si>
  <si>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</si>
  <si>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</si>
  <si>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</si>
  <si>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</si>
  <si>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</si>
  <si>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</si>
  <si>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</si>
  <si>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</si>
  <si>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</si>
  <si>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</si>
  <si>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</si>
  <si>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</si>
  <si>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</si>
  <si>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</si>
  <si>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</si>
  <si>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</si>
  <si>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</si>
  <si>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</si>
  <si>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</si>
  <si>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</si>
  <si>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</si>
  <si>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</si>
  <si>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</si>
  <si>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</si>
  <si>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</si>
  <si>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</si>
  <si>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</si>
  <si>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</si>
  <si>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</si>
  <si>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</si>
  <si>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</si>
  <si>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</si>
  <si>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</si>
  <si>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</si>
  <si>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</si>
  <si>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</si>
  <si>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</si>
  <si>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</si>
  <si>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</si>
  <si>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</si>
  <si>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</si>
  <si>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</si>
  <si>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</si>
  <si>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</si>
  <si>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</si>
  <si>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</si>
  <si>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</si>
  <si>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</si>
  <si>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</si>
  <si>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</si>
  <si>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</si>
  <si>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</si>
  <si>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</si>
  <si>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</si>
  <si>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</si>
  <si>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</si>
  <si>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</si>
  <si>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</si>
  <si>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</si>
  <si>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</si>
  <si>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</si>
  <si>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</si>
  <si>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</si>
  <si>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</si>
  <si>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</si>
  <si>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</si>
  <si>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</si>
  <si>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</si>
  <si>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</si>
  <si>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</si>
  <si>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</si>
  <si>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</si>
  <si>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</si>
  <si>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</si>
  <si>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</si>
  <si>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</si>
  <si>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</si>
  <si>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</si>
  <si>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</si>
  <si>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</si>
  <si>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</si>
  <si>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</si>
  <si>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</si>
  <si>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</si>
  <si>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</si>
  <si>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</si>
  <si>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</si>
  <si>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</si>
  <si>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</si>
  <si>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</si>
  <si>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</si>
  <si>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</si>
  <si>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</si>
  <si>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</si>
  <si>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</si>
  <si>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</si>
  <si>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</si>
  <si>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</si>
  <si>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</si>
  <si>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</si>
  <si>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</si>
  <si>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</si>
  <si>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</si>
  <si>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</si>
  <si>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</si>
  <si>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</si>
  <si>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</si>
  <si>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</si>
  <si>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</si>
  <si>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</si>
  <si>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</si>
  <si>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</si>
  <si>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</si>
  <si>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</si>
  <si>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</si>
  <si>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</si>
  <si>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</si>
  <si>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</si>
  <si>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</si>
  <si>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</si>
  <si>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</si>
  <si>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</si>
  <si>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</si>
  <si>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</si>
  <si>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</si>
  <si>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</si>
  <si>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</si>
  <si>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</si>
  <si>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</si>
  <si>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</si>
  <si>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</si>
  <si>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</si>
  <si>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</si>
  <si>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</si>
  <si>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</si>
  <si>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</si>
  <si>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</si>
  <si>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</si>
  <si>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</si>
  <si>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</si>
  <si>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</si>
  <si>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</si>
  <si>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</si>
  <si>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</si>
  <si>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</si>
  <si>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</si>
  <si>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</si>
  <si>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</si>
  <si>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</si>
  <si>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</si>
  <si>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</si>
  <si>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</si>
  <si>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</si>
  <si>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</si>
  <si>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</si>
  <si>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</si>
  <si>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</si>
  <si>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</si>
  <si>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</si>
  <si>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</si>
  <si>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</si>
  <si>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</si>
  <si>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</si>
  <si>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</si>
  <si>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</si>
  <si>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</si>
  <si>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</si>
  <si>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</si>
  <si>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</si>
  <si>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</si>
  <si>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</si>
  <si>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</si>
  <si>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</si>
  <si>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</si>
  <si>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</si>
  <si>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</si>
  <si>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</si>
  <si>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</si>
  <si>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</si>
  <si>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</si>
  <si>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</si>
  <si>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</si>
  <si>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</si>
  <si>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</si>
  <si>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</si>
  <si>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</si>
  <si>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</si>
  <si>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</si>
  <si>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</si>
  <si>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</si>
  <si>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</si>
  <si>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</si>
  <si>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</si>
  <si>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</si>
  <si>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</si>
  <si>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</si>
  <si>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</si>
  <si>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</si>
  <si>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</si>
  <si>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</si>
  <si>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</si>
  <si>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</si>
  <si>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</si>
  <si>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</si>
  <si>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</si>
  <si>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</si>
  <si>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</si>
  <si>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</si>
  <si>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</si>
  <si>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</si>
  <si>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</si>
  <si>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</si>
  <si>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</si>
  <si>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</si>
  <si>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</si>
  <si>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</si>
  <si>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</si>
  <si>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</si>
  <si>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</si>
  <si>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</si>
  <si>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</si>
  <si>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</si>
  <si>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</si>
  <si>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</si>
  <si>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</si>
  <si>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</si>
  <si>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</si>
  <si>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</si>
  <si>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</si>
  <si>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</si>
  <si>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</si>
  <si>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</si>
  <si>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</si>
  <si>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</si>
  <si>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</si>
  <si>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</si>
  <si>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</si>
  <si>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</si>
  <si>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</si>
  <si>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</si>
  <si>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</si>
  <si>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</si>
  <si>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</si>
  <si>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</si>
  <si>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</si>
  <si>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</si>
  <si>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</si>
  <si>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</si>
  <si>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</si>
  <si>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</si>
  <si>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</si>
  <si>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</si>
  <si>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</si>
  <si>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</si>
  <si>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</si>
  <si>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</si>
  <si>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</si>
  <si>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</si>
  <si>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</si>
  <si>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</si>
  <si>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</si>
  <si>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</si>
  <si>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</si>
  <si>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</si>
  <si>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</si>
  <si>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</si>
  <si>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</si>
  <si>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</si>
  <si>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</si>
  <si>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</si>
  <si>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</si>
  <si>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</si>
  <si>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</si>
  <si>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</si>
  <si>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</si>
  <si>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</si>
  <si>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</si>
  <si>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</si>
  <si>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</si>
  <si>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</si>
  <si>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</si>
  <si>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</si>
  <si>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</si>
  <si>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</si>
  <si>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</si>
  <si>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</si>
  <si>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</si>
  <si>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</si>
  <si>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</si>
  <si>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</si>
  <si>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</si>
  <si>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</si>
  <si>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</si>
  <si>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</si>
  <si>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</si>
  <si>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</si>
  <si>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</si>
  <si>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</si>
  <si>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</si>
  <si>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</si>
  <si>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</si>
  <si>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</si>
  <si>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</si>
  <si>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</si>
  <si>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</si>
  <si>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</si>
  <si>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</si>
  <si>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</si>
  <si>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</si>
  <si>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</si>
  <si>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</si>
  <si>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</si>
  <si>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</si>
  <si>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</si>
  <si>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</si>
  <si>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</si>
  <si>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</si>
  <si>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</si>
  <si>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</si>
  <si>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</si>
  <si>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</si>
  <si>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</si>
  <si>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</si>
  <si>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</si>
  <si>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</si>
  <si>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</si>
  <si>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</si>
  <si>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</si>
  <si>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</si>
  <si>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</si>
  <si>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</si>
  <si>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</si>
  <si>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</si>
  <si>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</si>
  <si>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</si>
  <si>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</si>
  <si>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</si>
  <si>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</si>
  <si>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</si>
  <si>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</si>
  <si>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</si>
  <si>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</si>
  <si>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</si>
  <si>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</si>
  <si>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</si>
  <si>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</si>
  <si>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</si>
  <si>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</si>
  <si>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</si>
  <si>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</si>
  <si>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</si>
  <si>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</si>
  <si>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</si>
  <si>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</si>
  <si>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</si>
  <si>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</si>
  <si>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</si>
  <si>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</si>
  <si>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</si>
  <si>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</si>
  <si>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</si>
  <si>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</si>
  <si>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</si>
  <si>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</si>
  <si>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</si>
  <si>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</si>
  <si>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</si>
  <si>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</si>
  <si>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</si>
  <si>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</si>
  <si>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</si>
  <si>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</si>
  <si>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</si>
  <si>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</si>
  <si>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</si>
  <si>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</si>
  <si>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</si>
  <si>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</si>
  <si>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</si>
  <si>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</si>
  <si>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</si>
  <si>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</si>
  <si>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</si>
  <si>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</si>
  <si>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</si>
  <si>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</si>
  <si>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</si>
  <si>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</si>
  <si>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</si>
  <si>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</si>
  <si>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</si>
  <si>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</si>
  <si>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</si>
  <si>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</si>
  <si>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</si>
  <si>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</si>
  <si>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</si>
  <si>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</si>
  <si>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</si>
  <si>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</si>
  <si>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</si>
  <si>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</si>
  <si>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</si>
  <si>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</si>
  <si>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</si>
  <si>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</si>
  <si>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</si>
  <si>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</si>
  <si>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</si>
  <si>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</si>
  <si>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</si>
  <si>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</si>
  <si>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</si>
  <si>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</si>
  <si>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</si>
  <si>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</si>
  <si>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</si>
  <si>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</si>
  <si>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</si>
  <si>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</si>
  <si>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</si>
  <si>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</si>
  <si>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</si>
  <si>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</si>
  <si>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</si>
  <si>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</si>
  <si>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</si>
  <si>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</si>
  <si>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</si>
  <si>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</si>
  <si>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</si>
  <si>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</si>
  <si>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</si>
  <si>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</si>
  <si>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</si>
  <si>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</si>
  <si>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</si>
  <si>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</si>
  <si>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</si>
  <si>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</si>
  <si>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</si>
  <si>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</si>
  <si>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</si>
  <si>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</si>
  <si>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</si>
  <si>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</si>
  <si>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</si>
  <si>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</si>
  <si>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</si>
  <si>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</si>
  <si>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</si>
  <si>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</si>
  <si>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</si>
  <si>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</si>
  <si>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</si>
  <si>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</si>
  <si>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</si>
  <si>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</si>
  <si>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</si>
  <si>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</si>
  <si>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</si>
  <si>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</si>
  <si>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</si>
  <si>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</si>
  <si>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</si>
  <si>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</si>
  <si>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</si>
  <si>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</si>
  <si>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</si>
  <si>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</si>
  <si>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</si>
  <si>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</si>
  <si>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</si>
  <si>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</si>
  <si>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</si>
  <si>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</si>
  <si>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</si>
  <si>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</si>
  <si>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</si>
  <si>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</si>
  <si>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</si>
  <si>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</si>
  <si>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</si>
  <si>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</si>
  <si>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</si>
  <si>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</si>
  <si>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</si>
  <si>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</si>
  <si>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</si>
  <si>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</si>
  <si>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</si>
  <si>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</si>
  <si>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</si>
  <si>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</si>
  <si>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</si>
  <si>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</si>
  <si>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</si>
  <si>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</si>
  <si>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</si>
  <si>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</si>
  <si>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</si>
  <si>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</si>
  <si>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</si>
  <si>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</si>
  <si>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</si>
  <si>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</si>
  <si>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</si>
  <si>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</si>
  <si>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</si>
  <si>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</si>
  <si>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</si>
  <si>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</si>
  <si>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</si>
  <si>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</si>
  <si>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</si>
  <si>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</si>
  <si>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</si>
  <si>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</si>
  <si>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</si>
  <si>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</si>
  <si>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</si>
  <si>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</si>
  <si>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</si>
  <si>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</si>
  <si>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</si>
  <si>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</si>
  <si>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</si>
  <si>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</si>
  <si>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</si>
  <si>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</si>
  <si>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</si>
  <si>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</si>
  <si>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</si>
  <si>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</si>
  <si>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</si>
  <si>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</si>
  <si>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</si>
  <si>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</si>
  <si>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</si>
  <si>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</si>
  <si>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</si>
  <si>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</si>
  <si>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</si>
  <si>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</si>
  <si>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</si>
  <si>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</si>
  <si>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</si>
  <si>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</si>
  <si>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</si>
  <si>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</si>
  <si>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</si>
  <si>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</si>
  <si>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</si>
  <si>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</si>
  <si>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</si>
  <si>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</si>
  <si>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</si>
  <si>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</si>
  <si>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</si>
  <si>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</si>
  <si>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</si>
  <si>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</si>
  <si>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</si>
  <si>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</si>
  <si>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</si>
  <si>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</si>
  <si>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</si>
  <si>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</si>
  <si>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</si>
  <si>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</si>
  <si>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</si>
  <si>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</si>
  <si>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</si>
  <si>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</si>
  <si>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</si>
  <si>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</si>
  <si>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</si>
  <si>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</si>
  <si>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</si>
  <si>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</si>
  <si>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</si>
  <si>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</si>
  <si>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</si>
  <si>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</si>
  <si>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</si>
  <si>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</si>
  <si>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</si>
  <si>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</si>
  <si>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</si>
  <si>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</si>
  <si>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</si>
  <si>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</si>
  <si>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</si>
  <si>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</si>
  <si>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</si>
  <si>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</si>
  <si>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</si>
  <si>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</si>
  <si>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</si>
  <si>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</si>
  <si>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</si>
  <si>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</si>
  <si>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</si>
  <si>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</si>
  <si>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</si>
  <si>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</si>
  <si>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</si>
  <si>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</si>
  <si>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</si>
  <si>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</si>
  <si>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</si>
  <si>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</si>
  <si>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</si>
  <si>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</si>
  <si>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</si>
  <si>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</si>
  <si>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</si>
  <si>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</si>
  <si>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</si>
  <si>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</si>
  <si>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</si>
  <si>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</si>
  <si>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</si>
  <si>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</si>
  <si>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</si>
  <si>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</si>
  <si>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</si>
  <si>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</si>
  <si>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</si>
  <si>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</si>
  <si>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</si>
  <si>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</si>
  <si>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</si>
  <si>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</si>
  <si>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</si>
  <si>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</si>
  <si>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</si>
  <si>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</si>
  <si>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</si>
  <si>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</si>
  <si>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</si>
  <si>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</si>
  <si>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</si>
  <si>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</si>
  <si>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</si>
  <si>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</si>
  <si>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</si>
  <si>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</si>
  <si>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</si>
  <si>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</si>
  <si>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</si>
  <si>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</si>
  <si>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</si>
  <si>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</si>
  <si>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</si>
  <si>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</si>
  <si>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</si>
  <si>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</si>
  <si>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</si>
  <si>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</si>
  <si>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</si>
  <si>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</si>
  <si>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</si>
  <si>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</si>
  <si>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</si>
  <si>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</si>
  <si>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</si>
  <si>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</si>
  <si>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</si>
  <si>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</si>
  <si>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</si>
  <si>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</si>
  <si>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</si>
  <si>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</si>
  <si>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</si>
  <si>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</si>
  <si>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</si>
  <si>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</si>
  <si>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</si>
  <si>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</si>
  <si>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</si>
  <si>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</si>
  <si>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</si>
  <si>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</si>
  <si>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</si>
  <si>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</si>
  <si>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</si>
  <si>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</si>
  <si>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</si>
  <si>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</si>
  <si>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</si>
  <si>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</si>
  <si>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</si>
  <si>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</si>
  <si>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</si>
  <si>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</si>
  <si>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</si>
  <si>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</si>
  <si>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</si>
  <si>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</si>
  <si>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</si>
  <si>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</si>
  <si>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</si>
  <si>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</si>
  <si>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</si>
  <si>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</si>
  <si>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</si>
  <si>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</si>
  <si>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</si>
  <si>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</si>
  <si>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</si>
  <si>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</si>
  <si>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</si>
  <si>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</si>
  <si>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</si>
  <si>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</si>
  <si>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</si>
  <si>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</si>
  <si>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</si>
  <si>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</si>
  <si>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</si>
  <si>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</si>
  <si>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</si>
  <si>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</si>
  <si>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</si>
  <si>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</si>
  <si>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</si>
  <si>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</si>
  <si>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</si>
  <si>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</si>
  <si>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</si>
  <si>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</si>
  <si>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</si>
  <si>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</si>
  <si>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</si>
  <si>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</si>
  <si>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</si>
  <si>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</si>
  <si>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</si>
  <si>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</si>
  <si>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</si>
  <si>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</si>
  <si>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</si>
  <si>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</si>
  <si>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</si>
  <si>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</si>
  <si>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</si>
  <si>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</si>
  <si>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</si>
  <si>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</si>
  <si>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</si>
  <si>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</si>
  <si>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</si>
  <si>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</si>
  <si>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</si>
  <si>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</si>
  <si>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</si>
  <si>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</si>
  <si>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</si>
  <si>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</si>
  <si>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</si>
  <si>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</si>
  <si>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</si>
  <si>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</si>
  <si>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</si>
  <si>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</si>
  <si>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</si>
  <si>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</si>
  <si>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</si>
  <si>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</si>
  <si>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</si>
  <si>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</si>
  <si>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</si>
  <si>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</si>
  <si>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</si>
  <si>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</si>
  <si>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</si>
  <si>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</si>
  <si>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</si>
  <si>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</si>
  <si>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</si>
  <si>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</si>
  <si>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</si>
  <si>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</si>
  <si>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</si>
  <si>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</si>
  <si>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</si>
  <si>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</si>
  <si>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</si>
  <si>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</si>
  <si>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</si>
  <si>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</si>
  <si>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</si>
  <si>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</si>
  <si>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</si>
  <si>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</si>
  <si>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</si>
  <si>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</si>
  <si>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</si>
  <si>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</si>
  <si>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</si>
  <si>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</si>
  <si>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</si>
  <si>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</si>
  <si>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</si>
  <si>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</si>
  <si>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</si>
  <si>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</si>
  <si>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</si>
  <si>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</si>
  <si>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</si>
  <si>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</si>
  <si>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</si>
  <si>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</si>
  <si>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</si>
  <si>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</si>
  <si>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</si>
  <si>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</si>
  <si>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</si>
  <si>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</si>
  <si>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</si>
  <si>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</si>
  <si>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</si>
  <si>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</si>
  <si>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</si>
  <si>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</si>
  <si>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</si>
  <si>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</si>
  <si>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</si>
  <si>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</si>
  <si>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</si>
  <si>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</si>
  <si>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</si>
  <si>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</si>
  <si>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</si>
  <si>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</si>
  <si>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</si>
  <si>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</si>
  <si>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</si>
  <si>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</si>
  <si>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</si>
  <si>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</si>
  <si>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</si>
  <si>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</si>
  <si>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</si>
  <si>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</si>
  <si>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</si>
  <si>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</si>
  <si>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</si>
  <si>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</si>
  <si>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</si>
  <si>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</si>
  <si>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</si>
  <si>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</si>
  <si>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</si>
  <si>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</si>
  <si>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</si>
  <si>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</si>
  <si>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</si>
  <si>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</si>
  <si>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</si>
  <si>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</si>
  <si>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</si>
  <si>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</si>
  <si>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</si>
  <si>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</si>
  <si>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</si>
  <si>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</si>
  <si>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</si>
  <si>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</si>
  <si>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</si>
  <si>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</si>
  <si>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</si>
  <si>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</si>
  <si>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</si>
  <si>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</si>
  <si>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</si>
  <si>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</si>
  <si>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</si>
  <si>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</si>
  <si>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</si>
  <si>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</si>
  <si>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</si>
  <si>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</si>
  <si>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</si>
  <si>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</si>
  <si>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</si>
  <si>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</si>
  <si>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</si>
  <si>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</si>
  <si>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</si>
  <si>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</si>
  <si>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</si>
  <si>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</si>
  <si>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</si>
  <si>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</si>
  <si>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</si>
  <si>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</si>
  <si>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</si>
  <si>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</si>
  <si>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</si>
  <si>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</si>
  <si>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</si>
  <si>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</si>
  <si>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</si>
  <si>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</si>
  <si>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</si>
  <si>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</si>
  <si>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</si>
  <si>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</si>
  <si>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</si>
  <si>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</si>
  <si>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</si>
  <si>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</si>
  <si>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</si>
  <si>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</si>
  <si>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</si>
  <si>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</si>
  <si>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</si>
  <si>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</si>
  <si>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</si>
  <si>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</si>
  <si>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</si>
  <si>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</si>
  <si>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</si>
  <si>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</si>
  <si>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</si>
  <si>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</si>
  <si>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</si>
  <si>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</si>
  <si>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</si>
  <si>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</si>
  <si>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</si>
  <si>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</si>
  <si>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</si>
  <si>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</si>
  <si>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</si>
  <si>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</si>
  <si>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</si>
  <si>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</si>
  <si>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</si>
  <si>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</si>
  <si>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</si>
  <si>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</si>
  <si>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</si>
  <si>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</si>
  <si>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</si>
  <si>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</si>
  <si>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</si>
  <si>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</si>
  <si>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</si>
  <si>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</si>
  <si>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</si>
  <si>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</si>
  <si>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</si>
  <si>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</si>
  <si>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</si>
  <si>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</si>
  <si>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</si>
  <si>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</si>
  <si>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</si>
  <si>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</si>
  <si>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</si>
  <si>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</si>
  <si>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</si>
  <si>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</si>
  <si>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</si>
  <si>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</si>
  <si>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</si>
  <si>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</si>
  <si>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</si>
  <si>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</si>
  <si>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</si>
  <si>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</si>
  <si>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</si>
  <si>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</si>
  <si>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</si>
  <si>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</si>
  <si>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</si>
  <si>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</si>
  <si>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</si>
  <si>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</si>
  <si>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</si>
  <si>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</si>
  <si>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</si>
  <si>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</si>
  <si>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</si>
  <si>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</si>
  <si>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</si>
  <si>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</si>
  <si>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</si>
  <si>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</si>
  <si>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</si>
  <si>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</si>
  <si>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</si>
  <si>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</si>
  <si>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</si>
  <si>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</si>
  <si>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</si>
  <si>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</si>
  <si>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</si>
  <si>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</si>
  <si>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</si>
  <si>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</si>
  <si>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</si>
  <si>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</si>
  <si>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</si>
  <si>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</si>
  <si>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</si>
  <si>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</si>
  <si>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</si>
  <si>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</si>
  <si>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</si>
  <si>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</si>
  <si>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</si>
  <si>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</si>
  <si>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</si>
  <si>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</si>
  <si>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</si>
  <si>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</si>
  <si>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</si>
  <si>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</si>
  <si>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</si>
  <si>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</si>
  <si>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</si>
  <si>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</si>
  <si>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</si>
  <si>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</si>
  <si>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</si>
  <si>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</si>
  <si>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</si>
  <si>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</si>
  <si>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</si>
  <si>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</si>
  <si>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</si>
  <si>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</si>
  <si>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</si>
  <si>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</si>
  <si>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</si>
  <si>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</si>
  <si>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</si>
  <si>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</si>
  <si>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</si>
  <si>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</si>
  <si>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</si>
  <si>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</si>
  <si>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</si>
  <si>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</si>
  <si>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</si>
  <si>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</si>
  <si>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</si>
  <si>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</si>
  <si>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</si>
  <si>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</si>
  <si>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</si>
  <si>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</si>
  <si>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</si>
  <si>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</si>
  <si>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</si>
  <si>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</si>
  <si>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</si>
  <si>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</si>
  <si>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</si>
  <si>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</si>
  <si>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</si>
  <si>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</si>
  <si>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</si>
  <si>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</si>
  <si>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</si>
  <si>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</si>
  <si>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</si>
  <si>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</si>
  <si>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</si>
  <si>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</si>
  <si>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</si>
  <si>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</si>
  <si>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</si>
  <si>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</si>
  <si>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</si>
  <si>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</si>
  <si>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</si>
  <si>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</si>
  <si>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</si>
  <si>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</si>
  <si>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</si>
  <si>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</si>
  <si>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</si>
  <si>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</si>
  <si>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</si>
  <si>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</si>
  <si>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</si>
  <si>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</si>
  <si>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</si>
  <si>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</si>
  <si>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</si>
  <si>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</si>
  <si>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</si>
  <si>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</si>
  <si>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</si>
  <si>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</si>
  <si>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</si>
  <si>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</si>
  <si>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</si>
  <si>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</si>
  <si>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</si>
  <si>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</si>
  <si>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</si>
  <si>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</si>
  <si>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</si>
  <si>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</si>
  <si>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</si>
  <si>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</si>
  <si>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</si>
  <si>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</si>
  <si>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</si>
  <si>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</si>
  <si>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</si>
  <si>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</si>
  <si>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</si>
  <si>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</si>
  <si>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</si>
  <si>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</si>
  <si>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</si>
  <si>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</si>
  <si>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</si>
  <si>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</si>
  <si>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</si>
  <si>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</si>
  <si>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</si>
  <si>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</si>
  <si>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</si>
  <si>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</si>
  <si>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</si>
  <si>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</si>
  <si>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</si>
  <si>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</si>
  <si>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</si>
  <si>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</si>
  <si>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</si>
  <si>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</si>
  <si>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</si>
  <si>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</si>
  <si>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</si>
  <si>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</si>
  <si>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</si>
  <si>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</si>
  <si>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</si>
  <si>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</si>
  <si>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</si>
  <si>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</si>
  <si>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</si>
  <si>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</si>
  <si>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</si>
  <si>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</si>
  <si>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</si>
  <si>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</si>
  <si>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</si>
  <si>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</si>
  <si>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</si>
  <si>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</si>
  <si>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</si>
  <si>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</si>
  <si>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</si>
  <si>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</si>
  <si>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</si>
  <si>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</si>
  <si>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</si>
  <si>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</si>
  <si>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</si>
  <si>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</si>
  <si>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</si>
  <si>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</si>
  <si>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</si>
  <si>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</si>
  <si>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</si>
  <si>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</si>
  <si>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</si>
  <si>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</si>
  <si>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</si>
  <si>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</si>
  <si>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</si>
  <si>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</si>
  <si>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</si>
  <si>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</si>
  <si>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</si>
  <si>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</si>
  <si>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</si>
  <si>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</si>
  <si>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</si>
  <si>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</si>
  <si>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</si>
  <si>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</si>
  <si>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</si>
  <si>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</si>
  <si>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</si>
  <si>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</si>
  <si>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</si>
  <si>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</si>
  <si>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</si>
  <si>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</si>
  <si>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</si>
  <si>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</si>
  <si>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</si>
  <si>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</si>
  <si>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</si>
  <si>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</si>
  <si>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</si>
  <si>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</si>
  <si>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</si>
  <si>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</si>
  <si>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</si>
  <si>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</si>
  <si>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</si>
  <si>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</si>
  <si>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</si>
  <si>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</si>
  <si>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</si>
  <si>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</si>
  <si>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</si>
  <si>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</si>
  <si>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</si>
  <si>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</si>
  <si>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</si>
  <si>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</si>
  <si>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</si>
  <si>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</si>
  <si>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</si>
  <si>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</si>
  <si>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</si>
  <si>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</si>
  <si>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</si>
  <si>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</si>
  <si>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</si>
  <si>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</si>
  <si>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</si>
  <si>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</si>
  <si>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</si>
  <si>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</si>
  <si>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</si>
  <si>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</si>
  <si>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</si>
  <si>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</si>
  <si>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</si>
  <si>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</si>
  <si>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</si>
  <si>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</si>
  <si>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</si>
  <si>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</si>
  <si>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</si>
  <si>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</si>
  <si>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</si>
  <si>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</si>
  <si>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</si>
  <si>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</si>
  <si>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</si>
  <si>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</si>
  <si>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</si>
  <si>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</si>
  <si>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</si>
  <si>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</si>
  <si>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</si>
  <si>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</si>
  <si>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</si>
  <si>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</si>
  <si>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</si>
  <si>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</si>
  <si>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</si>
  <si>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</si>
  <si>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</si>
  <si>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</si>
  <si>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</si>
  <si>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</si>
  <si>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</si>
  <si>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</si>
  <si>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</si>
  <si>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</si>
  <si>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</si>
  <si>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</si>
  <si>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</si>
  <si>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</si>
  <si>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</si>
  <si>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</si>
  <si>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</si>
  <si>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</si>
  <si>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</si>
  <si>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</si>
  <si>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</si>
  <si>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</si>
  <si>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</si>
  <si>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</si>
  <si>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</si>
  <si>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</si>
  <si>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</si>
  <si>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</si>
  <si>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</si>
  <si>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</si>
  <si>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</si>
  <si>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</si>
  <si>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</si>
  <si>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</si>
  <si>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</si>
  <si>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</si>
  <si>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</si>
  <si>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</si>
  <si>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</si>
  <si>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</si>
  <si>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</si>
  <si>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</si>
  <si>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</si>
  <si>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</si>
  <si>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</si>
  <si>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</si>
  <si>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</si>
  <si>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</si>
  <si>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</si>
  <si>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</si>
  <si>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</si>
  <si>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</si>
  <si>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</si>
  <si>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</si>
  <si>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</si>
  <si>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</si>
  <si>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</si>
  <si>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</si>
  <si>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</si>
  <si>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</si>
  <si>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</si>
  <si>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</si>
  <si>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</si>
  <si>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</si>
  <si>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</si>
  <si>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</si>
  <si>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</si>
  <si>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</si>
  <si>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</si>
  <si>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</si>
  <si>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</si>
  <si>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</si>
  <si>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</si>
  <si>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</si>
  <si>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</si>
  <si>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</si>
  <si>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</si>
  <si>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</si>
  <si>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</si>
  <si>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</si>
  <si>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</si>
  <si>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</si>
  <si>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</si>
  <si>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</si>
  <si>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</si>
  <si>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</si>
  <si>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</si>
  <si>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</si>
  <si>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</si>
  <si>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</si>
  <si>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</si>
  <si>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</si>
  <si>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</si>
  <si>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</si>
  <si>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</si>
  <si>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</si>
  <si>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</si>
  <si>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</si>
  <si>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</si>
  <si>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</si>
  <si>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</si>
  <si>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</si>
  <si>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</si>
  <si>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</si>
  <si>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</si>
  <si>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</si>
  <si>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</si>
  <si>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</si>
  <si>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</si>
  <si>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</si>
  <si>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</si>
  <si>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</si>
  <si>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</si>
  <si>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</si>
  <si>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</si>
  <si>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</si>
  <si>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</si>
  <si>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</si>
  <si>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</si>
  <si>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</si>
  <si>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</si>
  <si>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</si>
  <si>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</si>
  <si>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</si>
  <si>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</si>
  <si>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</si>
  <si>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</si>
  <si>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</si>
  <si>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</si>
  <si>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</si>
  <si>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</si>
  <si>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</si>
  <si>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</si>
  <si>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</si>
  <si>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</si>
  <si>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</si>
  <si>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</si>
  <si>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</si>
  <si>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</si>
  <si>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</si>
  <si>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</si>
  <si>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</si>
  <si>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</si>
  <si>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</si>
  <si>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</si>
  <si>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</si>
  <si>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</si>
  <si>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</si>
  <si>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</si>
  <si>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</si>
  <si>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</si>
  <si>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</si>
  <si>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</si>
  <si>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</si>
  <si>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</si>
  <si>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</si>
  <si>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</si>
  <si>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</si>
  <si>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</si>
  <si>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</si>
  <si>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</si>
  <si>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</si>
  <si>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</si>
  <si>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</si>
  <si>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</si>
  <si>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</si>
  <si>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</si>
  <si>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</si>
  <si>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</si>
  <si>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</si>
  <si>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</si>
  <si>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</si>
  <si>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</si>
  <si>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</si>
  <si>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</si>
  <si>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</si>
  <si>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</si>
  <si>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</si>
  <si>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</si>
  <si>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</si>
  <si>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</si>
  <si>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</si>
  <si>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</si>
  <si>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</si>
  <si>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</si>
  <si>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</si>
  <si>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</si>
  <si>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</si>
  <si>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</si>
  <si>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</si>
  <si>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</si>
  <si>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</si>
  <si>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</si>
  <si>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</si>
  <si>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</si>
  <si>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</si>
  <si>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</si>
  <si>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</si>
  <si>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</si>
  <si>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</si>
  <si>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</si>
  <si>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</si>
  <si>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</si>
  <si>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</si>
  <si>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</si>
  <si>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</si>
  <si>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</si>
  <si>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</si>
  <si>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</si>
  <si>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</si>
  <si>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</si>
  <si>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</si>
  <si>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</si>
  <si>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</si>
  <si>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</si>
  <si>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</si>
  <si>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</si>
  <si>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</si>
  <si>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</si>
  <si>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</si>
  <si>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</si>
  <si>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</si>
  <si>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</si>
  <si>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</si>
  <si>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</si>
  <si>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</si>
  <si>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</si>
  <si>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</si>
  <si>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</si>
  <si>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</si>
  <si>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</si>
  <si>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</si>
  <si>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</si>
  <si>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</si>
  <si>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</si>
  <si>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</si>
  <si>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</si>
  <si>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</si>
  <si>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</si>
  <si>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</si>
  <si>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</si>
  <si>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</si>
  <si>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</si>
  <si>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</si>
  <si>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</si>
  <si>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</si>
  <si>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</si>
  <si>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</si>
  <si>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</si>
  <si>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</si>
  <si>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</si>
  <si>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</si>
  <si>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</si>
  <si>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</si>
  <si>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</si>
  <si>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</si>
  <si>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</si>
  <si>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</si>
  <si>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</si>
  <si>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</si>
  <si>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</si>
  <si>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</si>
  <si>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</si>
  <si>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</si>
  <si>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</si>
  <si>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</si>
  <si>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</si>
  <si>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</si>
  <si>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</si>
  <si>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</si>
  <si>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</si>
  <si>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</si>
  <si>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</si>
  <si>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</si>
  <si>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</si>
  <si>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</si>
  <si>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</si>
  <si>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</si>
  <si>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</si>
  <si>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</si>
  <si>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</si>
  <si>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</si>
  <si>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</si>
  <si>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</si>
  <si>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</si>
  <si>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</si>
  <si>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</si>
  <si>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</si>
  <si>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</si>
  <si>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</si>
  <si>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</si>
  <si>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</si>
  <si>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</si>
  <si>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</si>
  <si>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</si>
  <si>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</si>
  <si>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</si>
  <si>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</si>
  <si>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</si>
  <si>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</si>
  <si>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</si>
  <si>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</si>
  <si>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</si>
  <si>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</si>
  <si>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</si>
  <si>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</si>
  <si>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</si>
  <si>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</si>
  <si>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</si>
  <si>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</si>
  <si>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</si>
  <si>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</si>
  <si>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</si>
  <si>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</si>
  <si>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</si>
  <si>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</si>
  <si>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</si>
  <si>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</si>
  <si>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</si>
  <si>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</si>
  <si>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</si>
  <si>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</si>
  <si>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</si>
  <si>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</si>
  <si>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</si>
  <si>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</si>
  <si>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</si>
  <si>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</si>
  <si>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</si>
  <si>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</si>
  <si>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</si>
  <si>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</si>
  <si>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</si>
  <si>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</si>
  <si>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</si>
  <si>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</si>
  <si>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</si>
  <si>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</si>
  <si>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</si>
  <si>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</si>
  <si>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</si>
  <si>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</si>
  <si>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</si>
  <si>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</si>
  <si>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</si>
  <si>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</si>
  <si>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</si>
  <si>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</si>
  <si>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</si>
  <si>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</si>
  <si>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</si>
  <si>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</si>
  <si>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</si>
  <si>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</si>
  <si>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</si>
  <si>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</si>
  <si>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</si>
  <si>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</si>
  <si>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</si>
  <si>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</si>
  <si>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</si>
  <si>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</si>
  <si>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</si>
  <si>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</si>
  <si>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</si>
  <si>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</si>
  <si>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</si>
  <si>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</si>
  <si>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</si>
  <si>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</si>
  <si>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</si>
  <si>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</si>
  <si>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</si>
  <si>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</si>
  <si>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</si>
  <si>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</si>
  <si>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</si>
  <si>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</si>
  <si>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</si>
  <si>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</si>
  <si>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</si>
  <si>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</si>
  <si>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</si>
  <si>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</si>
  <si>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</si>
  <si>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</si>
  <si>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</si>
  <si>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</si>
  <si>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</si>
  <si>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</si>
  <si>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</si>
  <si>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</si>
  <si>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</si>
  <si>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</si>
  <si>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</si>
  <si>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</si>
  <si>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</si>
  <si>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</si>
  <si>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</si>
  <si>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</si>
  <si>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</si>
  <si>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</si>
  <si>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</si>
  <si>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</si>
  <si>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</si>
  <si>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</si>
  <si>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</si>
  <si>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CR 2 1 63 local1</t>
  </si>
  <si>
    <t>BRR EL BOSQUE CA 27</t>
  </si>
  <si>
    <t xml:space="preserve">CR 19 13 40 </t>
  </si>
  <si>
    <t>alfredo salazar @gmail.com</t>
  </si>
  <si>
    <t>CR 21 No. 8 20</t>
  </si>
  <si>
    <t>CR 44 No. 21 B 17</t>
  </si>
  <si>
    <t>andreaochoa@gmail.com</t>
  </si>
  <si>
    <t>CR 16 13 44 LC 107</t>
  </si>
  <si>
    <t>auraniño@gmail.com</t>
  </si>
  <si>
    <t>CL 13 No. 15 45 Int 101</t>
  </si>
  <si>
    <t>CL 9 3 81</t>
  </si>
  <si>
    <t xml:space="preserve">CL 30 No. 29 06 </t>
  </si>
  <si>
    <t>CL 11 18 61</t>
  </si>
  <si>
    <t xml:space="preserve">CR 17 No. 25 14 </t>
  </si>
  <si>
    <t>CR 19 10a 61</t>
  </si>
  <si>
    <t>CR 38 14 84</t>
  </si>
  <si>
    <t>CLL 7A 3A 28 BRR SIXTO LOPEZ VILLETA</t>
  </si>
  <si>
    <t>eliorincon@gmail.com</t>
  </si>
  <si>
    <t>CL 18 19 29</t>
  </si>
  <si>
    <t>CL 15 14 14</t>
  </si>
  <si>
    <t>Vereda rio arriba</t>
  </si>
  <si>
    <t>CR 18 18 80</t>
  </si>
  <si>
    <t>fredyrodriguez@gmail.com</t>
  </si>
  <si>
    <t>VEREDA PATROCINIO BAJO TIBASOSA</t>
  </si>
  <si>
    <t>CR 7 No. 02 117</t>
  </si>
  <si>
    <t>Vereda la Chorrera</t>
  </si>
  <si>
    <t>CL 14 18 52 LC 1</t>
  </si>
  <si>
    <t>CL 13 18 89</t>
  </si>
  <si>
    <t>CL 15 16 34</t>
  </si>
  <si>
    <t>jairocusba@gmail.com</t>
  </si>
  <si>
    <t>CR 16 No. 17 72</t>
  </si>
  <si>
    <t>jenniferromero@gmail.com</t>
  </si>
  <si>
    <t>CL 19 A 30 176</t>
  </si>
  <si>
    <t>Cl 9 No.19 53</t>
  </si>
  <si>
    <t>AV americas 23 78</t>
  </si>
  <si>
    <t>CL 5 2 94</t>
  </si>
  <si>
    <t>CL 20 No. 17 121</t>
  </si>
  <si>
    <t>CR 19 13 07</t>
  </si>
  <si>
    <t>CR 19 13 76</t>
  </si>
  <si>
    <t>Diagonal 21 16 21</t>
  </si>
  <si>
    <t>CL12 No. 19 07</t>
  </si>
  <si>
    <t>CL 18 23 48</t>
  </si>
  <si>
    <t>CL 9C No. 33 27</t>
  </si>
  <si>
    <t xml:space="preserve">CL 14 6 57 </t>
  </si>
  <si>
    <t>CL 19 33 74</t>
  </si>
  <si>
    <t>Transversal 11 No. 13 31</t>
  </si>
  <si>
    <t>CL 24 39B 134</t>
  </si>
  <si>
    <t>Cra 16 D 2 W 44</t>
  </si>
  <si>
    <t>CR 34 No. 19 112 Torre 8 Apartamento 402</t>
  </si>
  <si>
    <t>CR 19 No. 10 24</t>
  </si>
  <si>
    <t>CR 6A 14 23 Barrio Colombia</t>
  </si>
  <si>
    <t>CL 9 No. 19 85</t>
  </si>
  <si>
    <t>CL 134 13 74</t>
  </si>
  <si>
    <t>CL 17 B No. 8 10 Brr Manzanares</t>
  </si>
  <si>
    <t>CL 129 A No. 47 21</t>
  </si>
  <si>
    <t xml:space="preserve">CR 72 F No. 68 B 03 Sur Barrio Peñón del Cortijo III Sector </t>
  </si>
  <si>
    <t>CL 20 17 89</t>
  </si>
  <si>
    <t>Tv 29 14 84</t>
  </si>
  <si>
    <t>Cl 12 No.17 33</t>
  </si>
  <si>
    <t>Cll 11 17 46</t>
  </si>
  <si>
    <t>CL 14 18 11</t>
  </si>
  <si>
    <t>CL 10 No. 35 50 Apto 301</t>
  </si>
  <si>
    <t>Vereda Rincón de Españoles No. 00 00 Sector El jote</t>
  </si>
  <si>
    <t>CL 22 No. 37 69</t>
  </si>
  <si>
    <t>CL 31 NO. 17 48 BRR BELLO HORIZONTE</t>
  </si>
  <si>
    <t>CR 11 22a 79</t>
  </si>
  <si>
    <t>CL 137 No 46 59</t>
  </si>
  <si>
    <t>Transversal 19 No. 29 40 Sector Betania</t>
  </si>
  <si>
    <t>CLL 15 No. 17 00</t>
  </si>
  <si>
    <t>CR 7 2 1177</t>
  </si>
  <si>
    <t>TRANV 19 29 40</t>
  </si>
  <si>
    <t>Km 1 Via Duitama Paipa Sector Higueras</t>
  </si>
  <si>
    <t>Cr 88 No.17B 10</t>
  </si>
  <si>
    <t>CL 24F 102A 23</t>
  </si>
  <si>
    <t>Cr 30 No.7 45</t>
  </si>
  <si>
    <t>AV CL 6 34A 11</t>
  </si>
  <si>
    <t>Cr 18 No.7 41</t>
  </si>
  <si>
    <t>Avenida CL 6 No. 18 b 36 Esquina</t>
  </si>
  <si>
    <t>Cr 10 15 87</t>
  </si>
  <si>
    <t>CR 9 A No. 99 02 Piso 9</t>
  </si>
  <si>
    <t>AV CL 26 92 32</t>
  </si>
  <si>
    <t>Cra 14 Cl 15</t>
  </si>
  <si>
    <t>CL 2 06 03</t>
  </si>
  <si>
    <t>Anillo vial oriental Villa Cecilia G8</t>
  </si>
  <si>
    <t>facturacion.lanly@gmail.com</t>
  </si>
  <si>
    <t>CR 106 15A 25 MZ23</t>
  </si>
  <si>
    <t>CR 51A 10SUR 81</t>
  </si>
  <si>
    <t>CR 9 No 113 52 oficina 1405</t>
  </si>
  <si>
    <t>cl 163 A 20 15</t>
  </si>
  <si>
    <t>Cr 27 No.84 51</t>
  </si>
  <si>
    <t>Grupo de caballeria 1 Silva Plazas</t>
  </si>
  <si>
    <t>CRA 10 21 35</t>
  </si>
  <si>
    <t>CR 46 No. 152 46 Oficina 213</t>
  </si>
  <si>
    <t>CR 19 No. 12 A 16</t>
  </si>
  <si>
    <t xml:space="preserve">CR 45A 67B 153 </t>
  </si>
  <si>
    <t>CR 90 A No. 64 C 38 Alamos Norte</t>
  </si>
  <si>
    <t>CL 53 Sur 19 B 22</t>
  </si>
  <si>
    <t>CL 7A 74 79</t>
  </si>
  <si>
    <t>CR 9 19 20</t>
  </si>
  <si>
    <t>CL 77 A No. 84 25</t>
  </si>
  <si>
    <t>Los Balsos</t>
  </si>
  <si>
    <t>CR 5 4 26</t>
  </si>
  <si>
    <t>CRA 19 A 20 24 la dorada</t>
  </si>
  <si>
    <t>CL 17A 7A 02</t>
  </si>
  <si>
    <t>CL 57 No. 9 07</t>
  </si>
  <si>
    <t>CR 11 90 20</t>
  </si>
  <si>
    <t>servicioalcliente@camaradecomercio.com</t>
  </si>
  <si>
    <t>Tv 19 No.23 141</t>
  </si>
  <si>
    <t>AV el dorado 68 C 61 OF 204</t>
  </si>
  <si>
    <t>CL 109 18 C 17 OF 304</t>
  </si>
  <si>
    <t>Cr 18 No.10 21</t>
  </si>
  <si>
    <t xml:space="preserve">CR 63 49 A 31 PISO 1 ED CAMACOL </t>
  </si>
  <si>
    <t>CR 6 6b 99</t>
  </si>
  <si>
    <t>CR 15 10 51</t>
  </si>
  <si>
    <t>CL 65 25 29</t>
  </si>
  <si>
    <t>Carrrera 19 No. 11 09</t>
  </si>
  <si>
    <t>TV 24 16 22 SUR</t>
  </si>
  <si>
    <t>CR 28c 8 53</t>
  </si>
  <si>
    <t>henergy@gmail.com</t>
  </si>
  <si>
    <t>Cl 22 40 22</t>
  </si>
  <si>
    <t>DG 7 3E 13</t>
  </si>
  <si>
    <t>CL 1 7 307</t>
  </si>
  <si>
    <t>Ak 60 24 09 Local 306</t>
  </si>
  <si>
    <t>CL 70 23B 08</t>
  </si>
  <si>
    <t>Cl 17 No.15A 17</t>
  </si>
  <si>
    <t>CL 3a No. 18 27</t>
  </si>
  <si>
    <t>Cra 12 16 99</t>
  </si>
  <si>
    <t>CR 18 10 72</t>
  </si>
  <si>
    <t>distribuciones@gmail.com</t>
  </si>
  <si>
    <t>CL 72 65B 53</t>
  </si>
  <si>
    <t>CL 11 17 10</t>
  </si>
  <si>
    <t>Cr 16 No.11 77</t>
  </si>
  <si>
    <t>grupopamper@gmail.com</t>
  </si>
  <si>
    <t>CR 17 No. 17 63</t>
  </si>
  <si>
    <t>CL 33 24b 171</t>
  </si>
  <si>
    <t>CL 70 F 80 J 27</t>
  </si>
  <si>
    <t xml:space="preserve">Avenida norte No. 37 45 </t>
  </si>
  <si>
    <t>Cr 19 No.8 05</t>
  </si>
  <si>
    <t>CRA 18 11 69</t>
  </si>
  <si>
    <t>Cr 19 No. 14 35</t>
  </si>
  <si>
    <t>CL 59A BIS 5 53</t>
  </si>
  <si>
    <t>CR 8 CL 12 Y 13</t>
  </si>
  <si>
    <t>Cra 4 No. 4 43 Piso</t>
  </si>
  <si>
    <t>Cll 4 N 4 65 Centro Topaga</t>
  </si>
  <si>
    <t xml:space="preserve">CR 18 No. 11 24
</t>
  </si>
  <si>
    <t>Cl 16 No.18 44</t>
  </si>
  <si>
    <t>CR 30 20 45</t>
  </si>
  <si>
    <t>CL 65 27A 11</t>
  </si>
  <si>
    <t>CL 17 No. 10 48 segundo piso</t>
  </si>
  <si>
    <t>servicioalcliente@bancolombia.com</t>
  </si>
  <si>
    <t>343 0000</t>
  </si>
  <si>
    <t>CL 15 15 46</t>
  </si>
  <si>
    <t>325 6000</t>
  </si>
  <si>
    <t>Cl 16 No.15 23</t>
  </si>
  <si>
    <t>cra 11 9 b 11</t>
  </si>
  <si>
    <t>Cr 3 18 65</t>
  </si>
  <si>
    <t>info@axxacolpatria.com</t>
  </si>
  <si>
    <t>01 8000 512 620</t>
  </si>
  <si>
    <t>CLL 24 4 15</t>
  </si>
  <si>
    <t>NETWORKS INTERCONNETED BY EXPERTS COMUNICACIONES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</si>
</sst>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5">
    <xf numFmtId="0" fontId="0" fillId="0" borderId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1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3" fillId="2" borderId="1" xfId="0" applyFont="1" applyFill="1" applyBorder="1"/>
    <xf numFmtId="1" fontId="4" fillId="4" borderId="2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2" fillId="5" borderId="4" xfId="1" applyBorder="1"/>
    <xf numFmtId="0" fontId="1" fillId="5" borderId="4" xfId="1" applyFont="1" applyBorder="1" applyAlignment="1">
      <alignment horizontal="right"/>
    </xf>
    <xf numFmtId="0" fontId="3" fillId="6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3" xfId="0" applyFont="1" applyFill="1" applyBorder="1" applyAlignment="1">
      <alignment horizontal="left"/>
    </xf>
    <xf numFmtId="0" fontId="8" fillId="0" borderId="5" xfId="0" applyFont="1" applyBorder="1" applyAlignment="1" applyProtection="1">
      <alignment vertical="top"/>
    </xf>
    <xf numFmtId="0" fontId="8" fillId="0" borderId="5" xfId="0" applyFont="1" applyBorder="1" applyAlignment="1" applyProtection="1">
      <alignment vertical="top" wrapText="1"/>
    </xf>
    <xf numFmtId="0" fontId="8" fillId="0" borderId="1" xfId="3" applyAlignment="1" applyProtection="1">
      <alignment vertical="top"/>
    </xf>
    <xf numFmtId="0" fontId="0" fillId="0" borderId="0" xfId="0" applyProtection="1"/>
    <xf numFmtId="49" fontId="8" fillId="0" borderId="5" xfId="0" applyNumberFormat="1" applyFont="1" applyBorder="1" applyAlignment="1" applyProtection="1">
      <alignment horizontal="left" vertical="center" wrapText="1"/>
    </xf>
    <xf numFmtId="43" fontId="8" fillId="0" borderId="5" xfId="4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/>
    </xf>
    <xf numFmtId="43" fontId="8" fillId="7" borderId="0" xfId="4" applyFont="1" applyFill="1" applyAlignment="1" applyProtection="1">
      <alignment horizontal="left" vertical="center" wrapText="1"/>
    </xf>
    <xf numFmtId="0" fontId="7" fillId="0" borderId="0" xfId="2" applyProtection="1"/>
    <xf numFmtId="0" fontId="8" fillId="0" borderId="0" xfId="0" applyFont="1" applyAlignment="1" applyProtection="1">
      <alignment horizontal="left"/>
    </xf>
    <xf numFmtId="0" fontId="3" fillId="0" borderId="1" xfId="0" applyFont="1" applyFill="1" applyBorder="1"/>
    <xf numFmtId="0" fontId="3" fillId="0" borderId="0" xfId="0" applyFont="1" applyProtection="1"/>
    <xf numFmtId="0" fontId="3" fillId="0" borderId="1" xfId="0" applyFont="1" applyFill="1" applyBorder="1" applyProtection="1"/>
    <xf numFmtId="0" fontId="10" fillId="8" borderId="6" xfId="0" applyFont="1" applyFill="1" applyBorder="1" applyAlignment="1" applyProtection="1">
      <alignment horizontal="center"/>
    </xf>
    <xf numFmtId="0" fontId="10" fillId="8" borderId="7" xfId="0" applyFont="1" applyFill="1" applyBorder="1" applyAlignment="1" applyProtection="1">
      <alignment horizontal="center"/>
    </xf>
    <xf numFmtId="0" fontId="10" fillId="0" borderId="6" xfId="0" applyFont="1" applyBorder="1" applyAlignment="1" applyProtection="1">
      <alignment horizontal="center"/>
    </xf>
    <xf numFmtId="0" fontId="10" fillId="0" borderId="7" xfId="0" applyFont="1" applyBorder="1" applyAlignment="1" applyProtection="1">
      <alignment horizontal="center"/>
    </xf>
    <xf numFmtId="14" fontId="10" fillId="0" borderId="8" xfId="0" applyNumberFormat="1" applyFont="1" applyBorder="1" applyAlignment="1" applyProtection="1">
      <alignment horizontal="center"/>
    </xf>
    <xf numFmtId="0" fontId="10" fillId="0" borderId="9" xfId="0" applyFont="1" applyBorder="1" applyAlignment="1" applyProtection="1">
      <alignment horizontal="center"/>
    </xf>
  </cellXfs>
  <cellStyles count="5">
    <cellStyle name="20% - Énfasis1" xfId="1" builtinId="30"/>
    <cellStyle name="Hipervínculo" xfId="2" builtinId="8"/>
    <cellStyle name="Millares" xfId="4" builtinId="3"/>
    <cellStyle name="Normal" xfId="0" builtinId="0"/>
    <cellStyle name="Normal 3 2 2 2" xfId="3" xr:uid="{3D6C823B-4D41-4EFB-8842-FC8CD25B190D}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ORMATO%20GENER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ceros"/>
      <sheetName val="BASE "/>
      <sheetName val="1"/>
      <sheetName val="PFE2"/>
      <sheetName val="PFE5"/>
      <sheetName val="Hoja1"/>
    </sheetNames>
    <sheetDataSet>
      <sheetData sheetId="0"/>
      <sheetData sheetId="1"/>
      <sheetData sheetId="2"/>
      <sheetData sheetId="3"/>
      <sheetData sheetId="4"/>
      <sheetData sheetId="5">
        <row r="12">
          <cell r="F12" t="str">
            <v>lilianatorres@gmail.com</v>
          </cell>
        </row>
        <row r="13">
          <cell r="F13" t="str">
            <v>luisvelandia@gmail.com</v>
          </cell>
        </row>
        <row r="14">
          <cell r="F14" t="str">
            <v>maríade@gmail.com</v>
          </cell>
        </row>
        <row r="15">
          <cell r="F15" t="str">
            <v>marthabarajas@gmail.com</v>
          </cell>
        </row>
        <row r="16">
          <cell r="F16" t="str">
            <v>nuryyaruro@gmail.com</v>
          </cell>
        </row>
        <row r="17">
          <cell r="F17" t="str">
            <v>rafaelarguello@gmail.com</v>
          </cell>
        </row>
        <row r="18">
          <cell r="F18" t="str">
            <v>rafaelmartinez@gmail.com</v>
          </cell>
        </row>
        <row r="19">
          <cell r="F19" t="str">
            <v>rosavalero@gmail.com</v>
          </cell>
        </row>
        <row r="20">
          <cell r="F20" t="str">
            <v>rosasuarez@gmail.com</v>
          </cell>
        </row>
        <row r="21">
          <cell r="F21" t="str">
            <v>victorsandoval@gmail.com</v>
          </cell>
        </row>
        <row r="22">
          <cell r="F22" t="str">
            <v>yederxonrincon@gmail.com</v>
          </cell>
        </row>
        <row r="23">
          <cell r="F23" t="str">
            <v>yimirojas@gmail.com</v>
          </cell>
        </row>
        <row r="24">
          <cell r="F24" t="str">
            <v>centroperla@gmail.com</v>
          </cell>
        </row>
        <row r="25">
          <cell r="F25" t="str">
            <v>colvanes@gmail.com</v>
          </cell>
        </row>
        <row r="26">
          <cell r="F26" t="str">
            <v>estelar@gmail.com</v>
          </cell>
        </row>
        <row r="27">
          <cell r="F27" t="str">
            <v>inter@gmail.com</v>
          </cell>
        </row>
        <row r="28">
          <cell r="F28" t="str">
            <v>servientrega@gmail.com</v>
          </cell>
        </row>
        <row r="29">
          <cell r="F29" t="str">
            <v>super@gmail.com</v>
          </cell>
        </row>
        <row r="30">
          <cell r="F30" t="str">
            <v>colombiana@gmail.com</v>
          </cell>
        </row>
        <row r="31">
          <cell r="F31" t="str">
            <v>nice@gmail.com</v>
          </cell>
        </row>
        <row r="32">
          <cell r="F32" t="str">
            <v>ebsa@gmail.com</v>
          </cell>
        </row>
        <row r="33">
          <cell r="F33" t="str">
            <v>azteca@gmail.com</v>
          </cell>
        </row>
        <row r="35">
          <cell r="F35" t="str">
            <v>comcel@gmail.com</v>
          </cell>
        </row>
        <row r="36">
          <cell r="F36" t="str">
            <v>innovaciones@gmail.com</v>
          </cell>
        </row>
        <row r="37">
          <cell r="F37" t="str">
            <v>livetech@gmail.com</v>
          </cell>
        </row>
        <row r="38">
          <cell r="F38" t="str">
            <v>liwa@gmail.com</v>
          </cell>
        </row>
        <row r="39">
          <cell r="F39" t="str">
            <v>macrotics@gmail.com</v>
          </cell>
        </row>
        <row r="40">
          <cell r="F40" t="str">
            <v>nice@gmail.com</v>
          </cell>
        </row>
        <row r="41">
          <cell r="F41" t="str">
            <v>selling@gmail.com</v>
          </cell>
        </row>
        <row r="42">
          <cell r="F42" t="str">
            <v>serviseg@gmail.com</v>
          </cell>
        </row>
        <row r="44">
          <cell r="F44" t="str">
            <v>syscom@gmail.com</v>
          </cell>
        </row>
        <row r="45">
          <cell r="F45" t="str">
            <v>teleredes@gmail.com</v>
          </cell>
        </row>
        <row r="46">
          <cell r="F46" t="str">
            <v>tx@gmail.com</v>
          </cell>
        </row>
        <row r="47">
          <cell r="F47" t="str">
            <v>une@gmail.com</v>
          </cell>
        </row>
        <row r="48">
          <cell r="F48" t="str">
            <v>municipio@gmail.com</v>
          </cell>
        </row>
        <row r="49">
          <cell r="F49" t="str">
            <v>municipio@gmail.com</v>
          </cell>
        </row>
        <row r="50">
          <cell r="F50" t="str">
            <v>municipio@gmail.com</v>
          </cell>
        </row>
        <row r="57">
          <cell r="F57" t="str">
            <v>camara@gmail.com</v>
          </cell>
        </row>
        <row r="58">
          <cell r="F58" t="str">
            <v>inversiones@gmail.com</v>
          </cell>
        </row>
        <row r="59">
          <cell r="F59" t="str">
            <v>seguros@gmail.com</v>
          </cell>
        </row>
        <row r="61">
          <cell r="F61" t="str">
            <v>serviseg@gmail.com</v>
          </cell>
        </row>
        <row r="62">
          <cell r="F62" t="str">
            <v>super@gmail.com</v>
          </cell>
        </row>
        <row r="63">
          <cell r="F63" t="str">
            <v>h@gmail.com</v>
          </cell>
        </row>
        <row r="64">
          <cell r="F64" t="str">
            <v>inversiones@gmail.com</v>
          </cell>
        </row>
        <row r="65">
          <cell r="F65" t="str">
            <v>maria@gmail.com</v>
          </cell>
        </row>
        <row r="67">
          <cell r="F67" t="str">
            <v>almacenes@gmail.com</v>
          </cell>
        </row>
        <row r="68">
          <cell r="F68" t="str">
            <v>deisyliliana@gmail.com</v>
          </cell>
        </row>
        <row r="69">
          <cell r="F69" t="str">
            <v>distribuciones@gmail.com</v>
          </cell>
        </row>
        <row r="70">
          <cell r="F70" t="str">
            <v>grupo@gmail.com</v>
          </cell>
        </row>
        <row r="71">
          <cell r="F71" t="str">
            <v>soelco@gmail.com</v>
          </cell>
        </row>
        <row r="74">
          <cell r="F74" t="str">
            <v>comision@gmail.com</v>
          </cell>
        </row>
        <row r="75">
          <cell r="F75" t="str">
            <v>fondo@gmail.com</v>
          </cell>
        </row>
        <row r="76">
          <cell r="F76" t="str">
            <v>colombiamovil@gmail.com</v>
          </cell>
        </row>
        <row r="77">
          <cell r="F77" t="str">
            <v>agrofilter@gmail.com</v>
          </cell>
        </row>
        <row r="78">
          <cell r="F78" t="str">
            <v>centro@gmail.com</v>
          </cell>
        </row>
        <row r="79">
          <cell r="F79" t="str">
            <v>chevrokee@gmail.com</v>
          </cell>
        </row>
        <row r="80">
          <cell r="F80" t="str">
            <v>superboyaca1@gmail.com</v>
          </cell>
        </row>
        <row r="81">
          <cell r="F81" t="str">
            <v>servicioal cliente@gmail.com</v>
          </cell>
        </row>
        <row r="82">
          <cell r="F82" t="str">
            <v>banco@gmail.com</v>
          </cell>
        </row>
        <row r="83">
          <cell r="F83" t="str">
            <v>proteccion@gmail.com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57"/>
  <sheetViews>
    <sheetView tabSelected="1" zoomScaleNormal="100" zoomScalePageLayoutView="80" workbookViewId="0">
      <selection activeCell="A8" sqref="A8"/>
    </sheetView>
  </sheetViews>
  <sheetFormatPr baseColWidth="10" defaultColWidth="14.453125" defaultRowHeight="15" customHeight="1"/>
  <cols>
    <col min="1" max="1" width="19.36328125" customWidth="1"/>
    <col min="2" max="2" width="17" customWidth="1"/>
    <col min="3" max="3" width="24" customWidth="1"/>
    <col min="4" max="4" width="12.54296875" customWidth="1"/>
    <col min="5" max="5" width="19.453125" customWidth="1"/>
    <col min="6" max="6" width="22.453125" customWidth="1"/>
    <col min="7" max="7" width="21.36328125" customWidth="1"/>
    <col min="8" max="8" width="21.6328125" customWidth="1"/>
    <col min="9" max="9" width="11.90625" customWidth="1"/>
    <col min="10" max="10" width="18.08984375" customWidth="1"/>
  </cols>
  <sheetData>
    <row r="1" spans="1:10" ht="133.2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 ht="14.5">
      <c r="A2" s="16" t="s">
        <v>0</v>
      </c>
      <c r="B2" s="16"/>
      <c r="C2" s="32">
        <v>901368459</v>
      </c>
      <c r="D2" s="33"/>
      <c r="E2" s="33"/>
      <c r="F2" s="1"/>
      <c r="G2" s="1"/>
      <c r="H2" s="1"/>
      <c r="I2" s="11" t="s">
        <v>2243</v>
      </c>
      <c r="J2" s="12" t="s">
        <v>2244</v>
      </c>
    </row>
    <row r="3" spans="1:10" ht="14.5">
      <c r="A3" s="17" t="s">
        <v>1</v>
      </c>
      <c r="B3" s="17"/>
      <c r="C3" s="34" t="s">
        <v>2408</v>
      </c>
      <c r="D3" s="35"/>
      <c r="E3" s="35"/>
      <c r="F3" s="1"/>
      <c r="G3" s="1"/>
      <c r="H3" s="1"/>
      <c r="I3" s="1"/>
      <c r="J3" s="1"/>
    </row>
    <row r="4" spans="1:10" ht="14.5">
      <c r="A4" s="16" t="s">
        <v>2</v>
      </c>
      <c r="B4" s="16"/>
      <c r="C4" s="32">
        <v>2025</v>
      </c>
      <c r="D4" s="33"/>
      <c r="E4" s="33"/>
      <c r="F4" s="1"/>
      <c r="G4" s="1"/>
      <c r="H4" s="1"/>
      <c r="I4" s="1"/>
      <c r="J4" s="1"/>
    </row>
    <row r="5" spans="1:10" ht="14.5">
      <c r="A5" s="18" t="s">
        <v>3</v>
      </c>
      <c r="B5" s="18"/>
      <c r="C5" s="36">
        <v>45838</v>
      </c>
      <c r="D5" s="37"/>
      <c r="E5" s="37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14.5">
      <c r="A7" s="19">
        <v>74344744</v>
      </c>
      <c r="B7" s="22" t="str">
        <f>VLOOKUP(A7,[1]!Tabla1[#All],2,FALSE)</f>
        <v>Gustavo Antonio Vargas Rincon</v>
      </c>
      <c r="C7" s="22" t="str">
        <f>VLOOKUP(A7,[1]!Tabla1[#All],6,FALSE)</f>
        <v>zona6floresta@hotmail.com</v>
      </c>
      <c r="D7" s="22" t="str">
        <f>VLOOKUP(A7,[1]!Tabla1[#All],4,FALSE)</f>
        <v>3204947387</v>
      </c>
      <c r="E7" s="23" t="s">
        <v>2249</v>
      </c>
      <c r="F7" s="22" t="s">
        <v>731</v>
      </c>
      <c r="G7" s="22">
        <v>334</v>
      </c>
      <c r="H7" s="24">
        <v>618200</v>
      </c>
      <c r="I7" s="4">
        <v>0</v>
      </c>
      <c r="J7" s="29">
        <v>0</v>
      </c>
    </row>
    <row r="8" spans="1:10" ht="25">
      <c r="A8" s="20">
        <v>23384445</v>
      </c>
      <c r="B8" s="22" t="str">
        <f>VLOOKUP(A8,[1]!Tabla1[#All],2,FALSE)</f>
        <v>Alba Ignacia Rodriguez Adame</v>
      </c>
      <c r="C8" s="22" t="str">
        <f>VLOOKUP(A8,[1]!Tabla1[#All],6,FALSE)</f>
        <v>paorodri147@gmail.com</v>
      </c>
      <c r="D8" s="22" t="str">
        <f>VLOOKUP(A8,[1]!Tabla1[#All],4,FALSE)</f>
        <v>3107370223</v>
      </c>
      <c r="E8" s="23" t="s">
        <v>2250</v>
      </c>
      <c r="F8" s="22" t="s">
        <v>723</v>
      </c>
      <c r="G8" s="22">
        <v>334</v>
      </c>
      <c r="H8" s="24">
        <v>787932</v>
      </c>
      <c r="I8" s="30">
        <v>0</v>
      </c>
      <c r="J8" s="31">
        <v>0</v>
      </c>
    </row>
    <row r="9" spans="1:10" ht="14.5">
      <c r="A9" s="20">
        <v>63288331</v>
      </c>
      <c r="B9" s="22" t="str">
        <f>VLOOKUP(A9,[1]!Tabla1[#All],2,FALSE)</f>
        <v>Alba Rosa Aguirre Zarate</v>
      </c>
      <c r="C9" s="22" t="str">
        <f>VLOOKUP(A9,[1]!Tabla1[#All],6,FALSE)</f>
        <v>corman191340@gmail.com</v>
      </c>
      <c r="D9" s="22" t="str">
        <f>VLOOKUP(A9,[1]!Tabla1[#All],4,FALSE)</f>
        <v>3102668403</v>
      </c>
      <c r="E9" s="23" t="s">
        <v>2251</v>
      </c>
      <c r="F9" s="22" t="s">
        <v>729</v>
      </c>
      <c r="G9" s="22">
        <v>334</v>
      </c>
      <c r="H9" s="24">
        <v>26890</v>
      </c>
      <c r="I9" s="30">
        <v>0</v>
      </c>
      <c r="J9" s="31">
        <v>0</v>
      </c>
    </row>
    <row r="10" spans="1:10" ht="14.5">
      <c r="A10" s="20">
        <v>7214221</v>
      </c>
      <c r="B10" s="22" t="str">
        <f>VLOOKUP(A10,[1]!Tabla1[#All],2,FALSE)</f>
        <v>ALFREDO SALAZAR QUECANO</v>
      </c>
      <c r="C10" s="22" t="s">
        <v>2252</v>
      </c>
      <c r="D10" s="22" t="str">
        <f>VLOOKUP(A10,[1]!Tabla1[#All],4,FALSE)</f>
        <v>3108690384</v>
      </c>
      <c r="E10" s="23" t="s">
        <v>2253</v>
      </c>
      <c r="F10" s="22" t="s">
        <v>729</v>
      </c>
      <c r="G10" s="22">
        <v>334</v>
      </c>
      <c r="H10" s="24">
        <v>70588</v>
      </c>
      <c r="I10" s="30">
        <v>0</v>
      </c>
      <c r="J10" s="31">
        <v>0</v>
      </c>
    </row>
    <row r="11" spans="1:10" ht="14.5">
      <c r="A11" s="20">
        <v>36308431</v>
      </c>
      <c r="B11" s="22" t="str">
        <f>VLOOKUP(A11,[1]!Tabla1[#All],2,FALSE)</f>
        <v>Ana Deicy Marquin Paez</v>
      </c>
      <c r="C11" s="22" t="str">
        <f>VLOOKUP(A11,[1]!Tabla1[#All],6,FALSE)</f>
        <v>anadeisymarquin@gmail.com</v>
      </c>
      <c r="D11" s="22" t="str">
        <f>VLOOKUP(A11,[1]!Tabla1[#All],4,FALSE)</f>
        <v>3115078169</v>
      </c>
      <c r="E11" s="23" t="s">
        <v>2254</v>
      </c>
      <c r="F11" s="22" t="s">
        <v>729</v>
      </c>
      <c r="G11" s="22">
        <v>334</v>
      </c>
      <c r="H11" s="24">
        <v>1366128</v>
      </c>
      <c r="I11" s="30">
        <v>0</v>
      </c>
      <c r="J11" s="31">
        <v>0</v>
      </c>
    </row>
    <row r="12" spans="1:10" ht="14.5">
      <c r="A12" s="20">
        <v>46674144</v>
      </c>
      <c r="B12" s="22" t="str">
        <f>VLOOKUP(A12,[1]!Tabla1[#All],2,FALSE)</f>
        <v>Andrea del Pilar Ochoa Mateus</v>
      </c>
      <c r="C12" s="22" t="s">
        <v>2255</v>
      </c>
      <c r="D12" s="22" t="str">
        <f>VLOOKUP(A12,[1]!Tabla1[#All],4,FALSE)</f>
        <v>3115385085</v>
      </c>
      <c r="E12" s="23" t="s">
        <v>2256</v>
      </c>
      <c r="F12" s="22" t="s">
        <v>729</v>
      </c>
      <c r="G12" s="22">
        <v>334</v>
      </c>
      <c r="H12" s="24">
        <v>420167</v>
      </c>
      <c r="I12" s="30">
        <v>0</v>
      </c>
      <c r="J12" s="31">
        <v>0</v>
      </c>
    </row>
    <row r="13" spans="1:10" ht="25">
      <c r="A13" s="20">
        <v>23554360</v>
      </c>
      <c r="B13" s="22" t="str">
        <f>VLOOKUP(A13,[1]!Tabla1[#All],2,FALSE)</f>
        <v>Aura Lucia Niño Correa</v>
      </c>
      <c r="C13" s="22" t="s">
        <v>2257</v>
      </c>
      <c r="D13" s="22" t="str">
        <f>VLOOKUP(A13,[1]!Tabla1[#All],4,FALSE)</f>
        <v>3123976590</v>
      </c>
      <c r="E13" s="23" t="s">
        <v>2258</v>
      </c>
      <c r="F13" s="22" t="s">
        <v>729</v>
      </c>
      <c r="G13" s="22">
        <v>334</v>
      </c>
      <c r="H13" s="24">
        <v>71034</v>
      </c>
      <c r="I13" s="30">
        <v>0</v>
      </c>
      <c r="J13" s="31">
        <v>0</v>
      </c>
    </row>
    <row r="14" spans="1:10" ht="14.5">
      <c r="A14" s="20">
        <v>80217142</v>
      </c>
      <c r="B14" s="22" t="str">
        <f>VLOOKUP(A14,[1]!Tabla1[#All],2,FALSE)</f>
        <v>Billy James Bain Rodriguez</v>
      </c>
      <c r="C14" s="22" t="str">
        <f>VLOOKUP(A14,[1]!Tabla1[#All],6,FALSE)</f>
        <v>solucionescontables812@gmail.com</v>
      </c>
      <c r="D14" s="22" t="str">
        <f>VLOOKUP(A14,[1]!Tabla1[#All],4,FALSE)</f>
        <v>3044644349</v>
      </c>
      <c r="E14" s="23" t="s">
        <v>2259</v>
      </c>
      <c r="F14" s="22" t="s">
        <v>735</v>
      </c>
      <c r="G14" s="22">
        <v>334</v>
      </c>
      <c r="H14" s="24">
        <v>1111112</v>
      </c>
      <c r="I14" s="30">
        <v>0</v>
      </c>
      <c r="J14" s="31">
        <v>0</v>
      </c>
    </row>
    <row r="15" spans="1:10" ht="14.5">
      <c r="A15" s="20">
        <v>39757285</v>
      </c>
      <c r="B15" s="22" t="str">
        <f>VLOOKUP(A15,[1]!Tabla1[#All],2,FALSE)</f>
        <v>Blanca Ines Avella</v>
      </c>
      <c r="C15" s="22" t="str">
        <f>VLOOKUP(A15,[1]!Tabla1[#All],6,FALSE)</f>
        <v>www@hotmail.com</v>
      </c>
      <c r="D15" s="22" t="str">
        <f>VLOOKUP(A15,[1]!Tabla1[#All],4,FALSE)</f>
        <v>3124842067</v>
      </c>
      <c r="E15" s="23" t="s">
        <v>2260</v>
      </c>
      <c r="F15" s="22" t="s">
        <v>733</v>
      </c>
      <c r="G15" s="22">
        <v>334</v>
      </c>
      <c r="H15" s="24">
        <v>382728</v>
      </c>
      <c r="I15" s="30">
        <v>0</v>
      </c>
      <c r="J15" s="31">
        <v>0</v>
      </c>
    </row>
    <row r="16" spans="1:10" ht="14.5">
      <c r="A16" s="20">
        <v>39757285</v>
      </c>
      <c r="B16" s="22" t="str">
        <f>VLOOKUP(A16,[1]!Tabla1[#All],2,FALSE)</f>
        <v>Blanca Ines Avella</v>
      </c>
      <c r="C16" s="22" t="str">
        <f>VLOOKUP(A16,[1]!Tabla1[#All],6,FALSE)</f>
        <v>www@hotmail.com</v>
      </c>
      <c r="D16" s="22" t="str">
        <f>VLOOKUP(A16,[1]!Tabla1[#All],4,FALSE)</f>
        <v>3124842067</v>
      </c>
      <c r="E16" s="23" t="s">
        <v>2260</v>
      </c>
      <c r="F16" s="22" t="s">
        <v>733</v>
      </c>
      <c r="G16" s="22">
        <v>334</v>
      </c>
      <c r="H16" s="24">
        <v>286140</v>
      </c>
      <c r="I16" s="30">
        <v>0</v>
      </c>
      <c r="J16" s="31">
        <v>0</v>
      </c>
    </row>
    <row r="17" spans="1:10" ht="14.5">
      <c r="A17" s="20">
        <v>74372775</v>
      </c>
      <c r="B17" s="22" t="str">
        <f>VLOOKUP(A17,[1]!Tabla1[#All],2,FALSE)</f>
        <v>Camargo Ibañez Nelson Ricardo</v>
      </c>
      <c r="C17" s="22" t="str">
        <f>VLOOKUP(A17,[1]!Tabla1[#All],6,FALSE)</f>
        <v>dinelsoncamargo@gmail.com</v>
      </c>
      <c r="D17" s="22" t="str">
        <f>VLOOKUP(A17,[1]!Tabla1[#All],4,FALSE)</f>
        <v>3112254780</v>
      </c>
      <c r="E17" s="23" t="s">
        <v>2261</v>
      </c>
      <c r="F17" s="22" t="s">
        <v>729</v>
      </c>
      <c r="G17" s="22">
        <v>334</v>
      </c>
      <c r="H17" s="24">
        <v>2051282</v>
      </c>
      <c r="I17" s="30">
        <v>0</v>
      </c>
      <c r="J17" s="31">
        <v>0</v>
      </c>
    </row>
    <row r="18" spans="1:10" ht="14.5">
      <c r="A18" s="20">
        <v>4109520</v>
      </c>
      <c r="B18" s="22" t="str">
        <f>VLOOKUP(A18,[1]!Tabla1[#All],2,FALSE)</f>
        <v>CARLOS ALBERTO HIGUERA AVELLA</v>
      </c>
      <c r="C18" s="22" t="str">
        <f>VLOOKUP(A18,[1]!Tabla1[#All],6,FALSE)</f>
        <v>carloshiguera1942@gmail.com</v>
      </c>
      <c r="D18" s="22" t="str">
        <f>VLOOKUP(A18,[1]!Tabla1[#All],4,FALSE)</f>
        <v>3125725339</v>
      </c>
      <c r="E18" s="23" t="s">
        <v>2262</v>
      </c>
      <c r="F18" s="22" t="s">
        <v>729</v>
      </c>
      <c r="G18" s="22">
        <v>334</v>
      </c>
      <c r="H18" s="24">
        <v>3000000</v>
      </c>
      <c r="I18" s="30">
        <v>0</v>
      </c>
      <c r="J18" s="31">
        <v>0</v>
      </c>
    </row>
    <row r="19" spans="1:10" ht="14.5">
      <c r="A19" s="20">
        <v>23384452</v>
      </c>
      <c r="B19" s="22" t="str">
        <f>VLOOKUP(A19,[1]!Tabla1[#All],2,FALSE)</f>
        <v>CLAUDIA YASMIN GOMEZ FONSECA</v>
      </c>
      <c r="C19" s="22" t="str">
        <f>VLOOKUP(A19,[1]!Tabla1[#All],6,FALSE)</f>
        <v>klaugomez1979@gmail.com</v>
      </c>
      <c r="D19" s="22" t="str">
        <f>VLOOKUP(A19,[1]!Tabla1[#All],4,FALSE)</f>
        <v>3124690601</v>
      </c>
      <c r="E19" s="23" t="s">
        <v>2263</v>
      </c>
      <c r="F19" s="22" t="s">
        <v>729</v>
      </c>
      <c r="G19" s="22">
        <v>334</v>
      </c>
      <c r="H19" s="24">
        <v>90000</v>
      </c>
      <c r="I19" s="30">
        <v>0</v>
      </c>
      <c r="J19" s="31">
        <v>0</v>
      </c>
    </row>
    <row r="20" spans="1:10" ht="14.5">
      <c r="A20" s="20">
        <v>1052398816</v>
      </c>
      <c r="B20" s="22" t="str">
        <f>VLOOKUP(A20,[1]!Tabla1[#All],2,FALSE)</f>
        <v>Diana Mileyvi Leon Molano</v>
      </c>
      <c r="C20" s="22" t="str">
        <f>VLOOKUP(A20,[1]!Tabla1[#All],6,FALSE)</f>
        <v>dianitaleon93@gmail.com</v>
      </c>
      <c r="D20" s="22" t="str">
        <f>VLOOKUP(A20,[1]!Tabla1[#All],4,FALSE)</f>
        <v>3113707834</v>
      </c>
      <c r="E20" s="23" t="s">
        <v>2264</v>
      </c>
      <c r="F20" s="22" t="s">
        <v>729</v>
      </c>
      <c r="G20" s="22">
        <v>334</v>
      </c>
      <c r="H20" s="24">
        <v>250000</v>
      </c>
      <c r="I20" s="30">
        <v>0</v>
      </c>
      <c r="J20" s="31">
        <v>0</v>
      </c>
    </row>
    <row r="21" spans="1:10" ht="15.75" customHeight="1">
      <c r="A21" s="20">
        <v>7218958</v>
      </c>
      <c r="B21" s="22" t="str">
        <f>VLOOKUP(A21,[1]!Tabla1[#All],2,FALSE)</f>
        <v>Eduardo Antonio Valderrama Gonzalez</v>
      </c>
      <c r="C21" s="22" t="str">
        <f>VLOOKUP(A21,[1]!Tabla1[#All],6,FALSE)</f>
        <v>eduvalderrama17@hotmail.com</v>
      </c>
      <c r="D21" s="22" t="str">
        <f>VLOOKUP(A21,[1]!Tabla1[#All],4,FALSE)</f>
        <v>3105573688</v>
      </c>
      <c r="E21" s="23" t="s">
        <v>2265</v>
      </c>
      <c r="F21" s="22" t="s">
        <v>729</v>
      </c>
      <c r="G21" s="22">
        <v>334</v>
      </c>
      <c r="H21" s="24">
        <v>776676</v>
      </c>
      <c r="I21" s="30">
        <v>0</v>
      </c>
      <c r="J21" s="31">
        <v>0</v>
      </c>
    </row>
    <row r="22" spans="1:10" ht="15.75" customHeight="1">
      <c r="A22" s="20">
        <v>4053407</v>
      </c>
      <c r="B22" s="22" t="str">
        <f>VLOOKUP(A22,[1]!Tabla1[#All],2,FALSE)</f>
        <v>ELIO RINCON GALLO</v>
      </c>
      <c r="C22" s="22" t="s">
        <v>2266</v>
      </c>
      <c r="D22" s="22" t="str">
        <f>VLOOKUP(A22,[1]!Tabla1[#All],5,FALSE)</f>
        <v>7612216</v>
      </c>
      <c r="E22" s="23" t="s">
        <v>2267</v>
      </c>
      <c r="F22" s="22" t="s">
        <v>729</v>
      </c>
      <c r="G22" s="22">
        <v>334</v>
      </c>
      <c r="H22" s="24">
        <v>233193</v>
      </c>
      <c r="I22" s="30">
        <v>0</v>
      </c>
      <c r="J22" s="31">
        <v>0</v>
      </c>
    </row>
    <row r="23" spans="1:10" ht="15.75" customHeight="1">
      <c r="A23" s="20">
        <v>75098549</v>
      </c>
      <c r="B23" s="22" t="str">
        <f>VLOOKUP(A23,[1]!Tabla1[#All],2,FALSE)</f>
        <v>FAJARDO CHACON MARIO ANDRES</v>
      </c>
      <c r="C23" s="22" t="str">
        <f>VLOOKUP(A23,[1]!Tabla1[#All],6,FALSE)</f>
        <v>mariofadmon@hotmail.com</v>
      </c>
      <c r="D23" s="22" t="str">
        <f>VLOOKUP(A23,[1]!Tabla1[#All],4,FALSE)</f>
        <v>3112403643</v>
      </c>
      <c r="E23" s="23" t="s">
        <v>2268</v>
      </c>
      <c r="F23" s="22" t="s">
        <v>729</v>
      </c>
      <c r="G23" s="22">
        <v>334</v>
      </c>
      <c r="H23" s="24">
        <v>20000</v>
      </c>
      <c r="I23" s="30">
        <v>0</v>
      </c>
      <c r="J23" s="31">
        <v>0</v>
      </c>
    </row>
    <row r="24" spans="1:10" ht="15.75" customHeight="1">
      <c r="A24" s="20">
        <v>46683497</v>
      </c>
      <c r="B24" s="22" t="str">
        <f>VLOOKUP(A24,[1]!Tabla1[#All],2,FALSE)</f>
        <v>Flor Ruth Rojas Toba</v>
      </c>
      <c r="C24" s="22" t="str">
        <f>VLOOKUP(A24,[1]!Tabla1[#All],6,FALSE)</f>
        <v>cartera@nicecomunicaciones.com</v>
      </c>
      <c r="D24" s="22" t="str">
        <f>VLOOKUP(A24,[1]!Tabla1[#All],4,FALSE)</f>
        <v>3202312967</v>
      </c>
      <c r="E24" s="23" t="s">
        <v>2269</v>
      </c>
      <c r="F24" s="22" t="s">
        <v>729</v>
      </c>
      <c r="G24" s="22">
        <v>334</v>
      </c>
      <c r="H24" s="24">
        <v>500000</v>
      </c>
      <c r="I24" s="30">
        <v>0</v>
      </c>
      <c r="J24" s="31">
        <v>0</v>
      </c>
    </row>
    <row r="25" spans="1:10" ht="15.75" customHeight="1">
      <c r="A25" s="20">
        <v>1052381985</v>
      </c>
      <c r="B25" s="22" t="str">
        <f>VLOOKUP(A25,[1]!Tabla1[#All],2,FALSE)</f>
        <v>Fonseca Correa Diana Carolina</v>
      </c>
      <c r="C25" s="22" t="str">
        <f>VLOOKUP(A25,[1]!Tabla1[#All],6,FALSE)</f>
        <v>dotacioneslos33@gmail.com</v>
      </c>
      <c r="D25" s="22" t="str">
        <f>VLOOKUP(A25,[1]!Tabla1[#All],4,FALSE)</f>
        <v>3106748611</v>
      </c>
      <c r="E25" s="23" t="s">
        <v>2270</v>
      </c>
      <c r="F25" s="22" t="s">
        <v>729</v>
      </c>
      <c r="G25" s="22">
        <v>334</v>
      </c>
      <c r="H25" s="24">
        <v>100000</v>
      </c>
      <c r="I25" s="30">
        <v>0</v>
      </c>
      <c r="J25" s="31">
        <v>0</v>
      </c>
    </row>
    <row r="26" spans="1:10" ht="15.75" customHeight="1">
      <c r="A26" s="20">
        <v>1055312523</v>
      </c>
      <c r="B26" s="22" t="str">
        <f>VLOOKUP(A26,[1]!Tabla1[#All],2,FALSE)</f>
        <v>FREDY ALEXANDER RODRIGUEZ GUTIERREZ</v>
      </c>
      <c r="C26" s="22" t="s">
        <v>2271</v>
      </c>
      <c r="D26" s="22" t="str">
        <f>VLOOKUP(A26,[1]!Tabla1[#All],4,FALSE)</f>
        <v>3226266799</v>
      </c>
      <c r="E26" s="23" t="s">
        <v>2272</v>
      </c>
      <c r="F26" s="22" t="s">
        <v>715</v>
      </c>
      <c r="G26" s="22">
        <v>334</v>
      </c>
      <c r="H26" s="24">
        <v>1655460</v>
      </c>
      <c r="I26" s="30">
        <v>0</v>
      </c>
      <c r="J26" s="31">
        <v>0</v>
      </c>
    </row>
    <row r="27" spans="1:10" ht="15.75" customHeight="1">
      <c r="A27" s="20">
        <v>23912627</v>
      </c>
      <c r="B27" s="22" t="str">
        <f>VLOOKUP(A27,[1]!Tabla1[#All],2,FALSE)</f>
        <v>Gilma Nohemy Rojas Araque</v>
      </c>
      <c r="C27" s="22" t="str">
        <f>VLOOKUP(A27,[1]!Tabla1[#All],6,FALSE)</f>
        <v>gilmanohemyrojas5@gmail.com</v>
      </c>
      <c r="D27" s="22" t="str">
        <f>VLOOKUP(A27,[1]!Tabla1[#All],4,FALSE)</f>
        <v>3138166695</v>
      </c>
      <c r="E27" s="23" t="s">
        <v>2273</v>
      </c>
      <c r="F27" s="22" t="s">
        <v>750</v>
      </c>
      <c r="G27" s="22">
        <v>334</v>
      </c>
      <c r="H27" s="24">
        <v>4031183</v>
      </c>
      <c r="I27" s="30">
        <v>0</v>
      </c>
      <c r="J27" s="31">
        <v>0</v>
      </c>
    </row>
    <row r="28" spans="1:10" ht="15.75" customHeight="1">
      <c r="A28" s="20">
        <v>7221688</v>
      </c>
      <c r="B28" s="22" t="str">
        <f>VLOOKUP(A28,[1]!Tabla1[#All],2,FALSE)</f>
        <v>Graciano Barrera Rivera</v>
      </c>
      <c r="C28" s="22" t="str">
        <f>VLOOKUP(A28,[1]!Tabla1[#All],6,FALSE)</f>
        <v>grazzi6526@hotmail.com</v>
      </c>
      <c r="D28" s="22" t="str">
        <f>VLOOKUP(A28,[1]!Tabla1[#All],4,FALSE)</f>
        <v>3102159671</v>
      </c>
      <c r="E28" s="23" t="s">
        <v>2274</v>
      </c>
      <c r="F28" s="22" t="s">
        <v>731</v>
      </c>
      <c r="G28" s="22">
        <v>334</v>
      </c>
      <c r="H28" s="24">
        <v>490000</v>
      </c>
      <c r="I28" s="30">
        <v>0</v>
      </c>
      <c r="J28" s="31">
        <v>0</v>
      </c>
    </row>
    <row r="29" spans="1:10" ht="15.75" customHeight="1">
      <c r="A29" s="20">
        <v>74344744</v>
      </c>
      <c r="B29" s="22" t="str">
        <f>VLOOKUP(A29,[1]!Tabla1[#All],2,FALSE)</f>
        <v>Gustavo Antonio Vargas Rincon</v>
      </c>
      <c r="C29" s="22" t="str">
        <f>VLOOKUP(A29,[1]!Tabla1[#All],6,FALSE)</f>
        <v>zona6floresta@hotmail.com</v>
      </c>
      <c r="D29" s="22" t="str">
        <f>VLOOKUP(A29,[1]!Tabla1[#All],4,FALSE)</f>
        <v>3204947387</v>
      </c>
      <c r="E29" s="23" t="s">
        <v>2249</v>
      </c>
      <c r="F29" s="22" t="s">
        <v>731</v>
      </c>
      <c r="G29" s="22">
        <v>334</v>
      </c>
      <c r="H29" s="24">
        <v>1374000</v>
      </c>
      <c r="I29" s="30">
        <v>0</v>
      </c>
      <c r="J29" s="31">
        <v>0</v>
      </c>
    </row>
    <row r="30" spans="1:10" ht="15.75" customHeight="1">
      <c r="A30" s="20">
        <v>1018488453</v>
      </c>
      <c r="B30" s="22" t="str">
        <f>VLOOKUP(A30,[1]!Tabla1[#All],2,FALSE)</f>
        <v>Henry Alberto Patarroyo</v>
      </c>
      <c r="C30" s="22" t="str">
        <f>VLOOKUP(A30,[1]!Tabla1[#All],6,FALSE)</f>
        <v>superkyhrepuestos@gmail.com</v>
      </c>
      <c r="D30" s="22" t="str">
        <f>VLOOKUP(A30,[1]!Tabla1[#All],4,FALSE)</f>
        <v>3142169757</v>
      </c>
      <c r="E30" s="23" t="s">
        <v>2275</v>
      </c>
      <c r="F30" s="22" t="s">
        <v>729</v>
      </c>
      <c r="G30" s="22">
        <v>334</v>
      </c>
      <c r="H30" s="24">
        <v>288235</v>
      </c>
      <c r="I30" s="30">
        <v>0</v>
      </c>
      <c r="J30" s="31">
        <v>0</v>
      </c>
    </row>
    <row r="31" spans="1:10" ht="15.75" customHeight="1">
      <c r="A31" s="20">
        <v>19065286</v>
      </c>
      <c r="B31" s="22" t="str">
        <f>VLOOKUP(A31,[1]!Tabla1[#All],2,FALSE)</f>
        <v>ILDEFONSO ANTONIO BERDUGO ALBARRACIN</v>
      </c>
      <c r="C31" s="22" t="str">
        <f>VLOOKUP(A31,[1]!Tabla1[#All],6,FALSE)</f>
        <v>mundimezclas20226@gmail.com</v>
      </c>
      <c r="D31" s="22" t="str">
        <f>VLOOKUP(A31,[1]!Tabla1[#All],4,FALSE)</f>
        <v>3108521751</v>
      </c>
      <c r="E31" s="23" t="s">
        <v>2276</v>
      </c>
      <c r="F31" s="22" t="s">
        <v>729</v>
      </c>
      <c r="G31" s="22">
        <v>334</v>
      </c>
      <c r="H31" s="24">
        <v>230668</v>
      </c>
      <c r="I31" s="30">
        <v>0</v>
      </c>
      <c r="J31" s="31">
        <v>0</v>
      </c>
    </row>
    <row r="32" spans="1:10" ht="15.75" customHeight="1">
      <c r="A32" s="20">
        <v>19470700</v>
      </c>
      <c r="B32" s="22" t="str">
        <f>VLOOKUP(A32,[1]!Tabla1[#All],2,FALSE)</f>
        <v>Jaime Arturo Lopez Chaparro</v>
      </c>
      <c r="C32" s="22" t="str">
        <f>VLOOKUP(A32,[1]!Tabla1[#All],6,FALSE)</f>
        <v>jaimearturolopezchaparro@gmail.com</v>
      </c>
      <c r="D32" s="22" t="str">
        <f>VLOOKUP(A32,[1]!Tabla1[#All],4,FALSE)</f>
        <v>3209571589</v>
      </c>
      <c r="E32" s="23" t="s">
        <v>2277</v>
      </c>
      <c r="F32" s="22" t="s">
        <v>729</v>
      </c>
      <c r="G32" s="22">
        <v>334</v>
      </c>
      <c r="H32" s="24">
        <v>5500000</v>
      </c>
      <c r="I32" s="30">
        <v>0</v>
      </c>
      <c r="J32" s="31">
        <v>0</v>
      </c>
    </row>
    <row r="33" spans="1:10" ht="15.75" customHeight="1">
      <c r="A33" s="20">
        <v>7226160</v>
      </c>
      <c r="B33" s="22" t="str">
        <f>VLOOKUP(A33,[1]!Tabla1[#All],2,FALSE)</f>
        <v>Jairo Alberto Cusba Albarracin</v>
      </c>
      <c r="C33" s="22" t="s">
        <v>2278</v>
      </c>
      <c r="D33" s="22" t="str">
        <f>VLOOKUP(A33,[1]!Tabla1[#All],4,FALSE)</f>
        <v>3123772301</v>
      </c>
      <c r="E33" s="23" t="s">
        <v>2279</v>
      </c>
      <c r="F33" s="22" t="s">
        <v>729</v>
      </c>
      <c r="G33" s="22">
        <v>334</v>
      </c>
      <c r="H33" s="24">
        <v>1697760</v>
      </c>
      <c r="I33" s="30">
        <v>0</v>
      </c>
      <c r="J33" s="31">
        <v>0</v>
      </c>
    </row>
    <row r="34" spans="1:10" ht="15.75" customHeight="1">
      <c r="A34" s="20">
        <v>1057596692</v>
      </c>
      <c r="B34" s="22" t="str">
        <f>VLOOKUP(A34,[1]!Tabla1[#All],2,FALSE)</f>
        <v>Jennifer Julieth Romero Grajales</v>
      </c>
      <c r="C34" s="22" t="s">
        <v>2280</v>
      </c>
      <c r="D34" s="22" t="str">
        <f>VLOOKUP(A29,[1]!Tabla1[#All],5,FALSE)</f>
        <v>3134958458</v>
      </c>
      <c r="E34" s="23" t="s">
        <v>2281</v>
      </c>
      <c r="F34" s="22" t="s">
        <v>729</v>
      </c>
      <c r="G34" s="22">
        <v>334</v>
      </c>
      <c r="H34" s="24">
        <v>911724</v>
      </c>
      <c r="I34" s="30">
        <v>0</v>
      </c>
      <c r="J34" s="31">
        <v>0</v>
      </c>
    </row>
    <row r="35" spans="1:10" ht="15.75" customHeight="1">
      <c r="A35" s="20">
        <v>7212963</v>
      </c>
      <c r="B35" s="22" t="str">
        <f>VLOOKUP(A35,[1]!Tabla1[#All],2,FALSE)</f>
        <v>Jesus Gomez Lizarazo</v>
      </c>
      <c r="C35" s="22" t="str">
        <f>VLOOKUP(A35,[1]!Tabla1[#All],6,FALSE)</f>
        <v>ferropazduitama@yahoo.com</v>
      </c>
      <c r="D35" s="22" t="str">
        <f>VLOOKUP(A35,[1]!Tabla1[#All],4,FALSE)</f>
        <v>3152446908</v>
      </c>
      <c r="E35" s="23" t="s">
        <v>2282</v>
      </c>
      <c r="F35" s="22" t="s">
        <v>729</v>
      </c>
      <c r="G35" s="22">
        <v>334</v>
      </c>
      <c r="H35" s="24">
        <v>1266471</v>
      </c>
      <c r="I35" s="30">
        <v>0</v>
      </c>
      <c r="J35" s="31">
        <v>0</v>
      </c>
    </row>
    <row r="36" spans="1:10" ht="15.75" customHeight="1">
      <c r="A36" s="20">
        <v>11371224</v>
      </c>
      <c r="B36" s="22" t="str">
        <f>VLOOKUP(A36,[1]!Tabla1[#All],2,FALSE)</f>
        <v>Jorge Armando Mateus Mateus</v>
      </c>
      <c r="C36" s="22" t="str">
        <f>VLOOKUP(A36,[1]!Tabla1[#All],6,FALSE)</f>
        <v>jamateus1@hotmail.com</v>
      </c>
      <c r="D36" s="22" t="str">
        <f>VLOOKUP(A36,[1]!Tabla1[#All],4,FALSE)</f>
        <v>3183499077</v>
      </c>
      <c r="E36" s="23" t="s">
        <v>2283</v>
      </c>
      <c r="F36" s="22" t="s">
        <v>729</v>
      </c>
      <c r="G36" s="22">
        <v>334</v>
      </c>
      <c r="H36" s="24">
        <v>20000</v>
      </c>
      <c r="I36" s="30">
        <v>0</v>
      </c>
      <c r="J36" s="31">
        <v>0</v>
      </c>
    </row>
    <row r="37" spans="1:10" ht="15.75" customHeight="1">
      <c r="A37" s="20">
        <v>74362363</v>
      </c>
      <c r="B37" s="22" t="str">
        <f>VLOOKUP(A37,[1]!Tabla1[#All],2,FALSE)</f>
        <v>JORGE BALMORE PEREZ BARRERA</v>
      </c>
      <c r="C37" s="22" t="str">
        <f>VLOOKUP(A37,[1]!Tabla1[#All],6,FALSE)</f>
        <v>jorge.balmore@gmail.com</v>
      </c>
      <c r="D37" s="22" t="str">
        <f>VLOOKUP(A37,[1]!Tabla1[#All],4,FALSE)</f>
        <v>3112439952</v>
      </c>
      <c r="E37" s="23" t="s">
        <v>2284</v>
      </c>
      <c r="F37" s="22" t="s">
        <v>707</v>
      </c>
      <c r="G37" s="22">
        <v>334</v>
      </c>
      <c r="H37" s="24">
        <v>3000000</v>
      </c>
      <c r="I37" s="30">
        <v>0</v>
      </c>
      <c r="J37" s="31">
        <v>0</v>
      </c>
    </row>
    <row r="38" spans="1:10" ht="15.75" customHeight="1">
      <c r="A38" s="20">
        <v>74362363</v>
      </c>
      <c r="B38" s="22" t="str">
        <f>VLOOKUP(A38,[1]!Tabla1[#All],2,FALSE)</f>
        <v>JORGE BALMORE PEREZ BARRERA</v>
      </c>
      <c r="C38" s="22" t="str">
        <f>VLOOKUP(A38,[1]!Tabla1[#All],6,FALSE)</f>
        <v>jorge.balmore@gmail.com</v>
      </c>
      <c r="D38" s="22" t="str">
        <f>VLOOKUP(A38,[1]!Tabla1[#All],4,FALSE)</f>
        <v>3112439952</v>
      </c>
      <c r="E38" s="23" t="s">
        <v>2284</v>
      </c>
      <c r="F38" s="22" t="s">
        <v>707</v>
      </c>
      <c r="G38" s="22">
        <v>334</v>
      </c>
      <c r="H38" s="24">
        <v>5404256</v>
      </c>
      <c r="I38" s="30">
        <v>0</v>
      </c>
      <c r="J38" s="31">
        <v>0</v>
      </c>
    </row>
    <row r="39" spans="1:10" ht="15.75" customHeight="1">
      <c r="A39" s="20">
        <v>13467832</v>
      </c>
      <c r="B39" s="22" t="str">
        <f>VLOOKUP(A39,[1]!Tabla1[#All],2,FALSE)</f>
        <v>Jose Arquimedes Jaime Galvis</v>
      </c>
      <c r="C39" s="22" t="str">
        <f>[1]Hoja1!F12</f>
        <v>lilianatorres@gmail.com</v>
      </c>
      <c r="D39" s="22" t="str">
        <f>VLOOKUP(A39,[1]!Tabla1[#All],4,FALSE)</f>
        <v>3115228783</v>
      </c>
      <c r="E39" s="23" t="s">
        <v>2285</v>
      </c>
      <c r="F39" s="22" t="s">
        <v>729</v>
      </c>
      <c r="G39" s="22">
        <v>334</v>
      </c>
      <c r="H39" s="24">
        <v>250000</v>
      </c>
      <c r="I39" s="30">
        <v>0</v>
      </c>
      <c r="J39" s="31">
        <v>0</v>
      </c>
    </row>
    <row r="40" spans="1:10" ht="15.75" customHeight="1">
      <c r="A40" s="20">
        <v>7215896</v>
      </c>
      <c r="B40" s="22" t="str">
        <f>VLOOKUP(A40,[1]!Tabla1[#All],2,FALSE)</f>
        <v>JOSE ARTURO VILLATE ALFONSO</v>
      </c>
      <c r="C40" s="22" t="str">
        <f>VLOOKUP(A40,[1]!Tabla1[#All],6,FALSE)</f>
        <v>joarvial@gmail.com</v>
      </c>
      <c r="D40" s="22" t="str">
        <f>VLOOKUP(A40,[1]!Tabla1[#All],4,FALSE)</f>
        <v>3138042994</v>
      </c>
      <c r="E40" s="23" t="s">
        <v>2286</v>
      </c>
      <c r="F40" s="22" t="s">
        <v>729</v>
      </c>
      <c r="G40" s="22">
        <v>334</v>
      </c>
      <c r="H40" s="24">
        <v>58823</v>
      </c>
      <c r="I40" s="30">
        <v>0</v>
      </c>
      <c r="J40" s="31">
        <v>0</v>
      </c>
    </row>
    <row r="41" spans="1:10" ht="15.75" customHeight="1">
      <c r="A41" s="20">
        <v>7212812</v>
      </c>
      <c r="B41" s="22" t="str">
        <f>VLOOKUP(A41,[1]!Tabla1[#All],2,FALSE)</f>
        <v>JOSE BERTULFO CIENDUA CRUZ</v>
      </c>
      <c r="C41" s="22" t="str">
        <f>[1]Hoja1!F13</f>
        <v>luisvelandia@gmail.com</v>
      </c>
      <c r="D41" s="22" t="str">
        <f>VLOOKUP(A41,[1]!Tabla1[#All],4,FALSE)</f>
        <v>3154268192</v>
      </c>
      <c r="E41" s="23" t="s">
        <v>2287</v>
      </c>
      <c r="F41" s="22" t="s">
        <v>729</v>
      </c>
      <c r="G41" s="22">
        <v>334</v>
      </c>
      <c r="H41" s="24">
        <v>105714</v>
      </c>
      <c r="I41" s="30">
        <v>0</v>
      </c>
      <c r="J41" s="31">
        <v>0</v>
      </c>
    </row>
    <row r="42" spans="1:10" ht="15.75" customHeight="1">
      <c r="A42" s="20">
        <v>7227862</v>
      </c>
      <c r="B42" s="22" t="str">
        <f>VLOOKUP(A42,[1]!Tabla1[#All],2,FALSE)</f>
        <v>Jose Heladio Diaz Merchan</v>
      </c>
      <c r="C42" s="22" t="str">
        <f>VLOOKUP(A42,[1]!Tabla1[#All],6,FALSE)</f>
        <v>heladiomerchan@gmail.com</v>
      </c>
      <c r="D42" s="22" t="str">
        <f>VLOOKUP(A42,[1]!Tabla1[#All],4,FALSE)</f>
        <v>3223753361</v>
      </c>
      <c r="E42" s="23" t="s">
        <v>2288</v>
      </c>
      <c r="F42" s="22" t="s">
        <v>729</v>
      </c>
      <c r="G42" s="22">
        <v>334</v>
      </c>
      <c r="H42" s="24">
        <v>1468086</v>
      </c>
      <c r="I42" s="30">
        <v>0</v>
      </c>
      <c r="J42" s="31">
        <v>0</v>
      </c>
    </row>
    <row r="43" spans="1:10" ht="15.75" customHeight="1">
      <c r="A43" s="20">
        <v>1055274598</v>
      </c>
      <c r="B43" s="22" t="str">
        <f>VLOOKUP(A43,[1]!Tabla1[#All],2,FALSE)</f>
        <v>Josmar Stiven Cely Gomez</v>
      </c>
      <c r="C43" s="22" t="str">
        <f>VLOOKUP(A43,[1]!Tabla1[#All],6,FALSE)</f>
        <v>cely98231@gmail.com</v>
      </c>
      <c r="D43" s="22" t="str">
        <f>VLOOKUP(A43,[1]!Tabla1[#All],4,FALSE)</f>
        <v>3208144925</v>
      </c>
      <c r="E43" s="23" t="s">
        <v>2289</v>
      </c>
      <c r="F43" s="22" t="s">
        <v>729</v>
      </c>
      <c r="G43" s="22">
        <v>334</v>
      </c>
      <c r="H43" s="24">
        <v>10602131</v>
      </c>
      <c r="I43" s="30">
        <v>0</v>
      </c>
      <c r="J43" s="31">
        <v>0</v>
      </c>
    </row>
    <row r="44" spans="1:10" ht="15" customHeight="1">
      <c r="A44" s="20">
        <v>1120364386</v>
      </c>
      <c r="B44" s="22" t="str">
        <f>VLOOKUP(A44,[1]!Tabla1[#All],2,FALSE)</f>
        <v>Juan Camilo Ortiz Puentes</v>
      </c>
      <c r="C44" s="22" t="str">
        <f>[1]Hoja1!F14</f>
        <v>maríade@gmail.com</v>
      </c>
      <c r="D44" s="22" t="str">
        <f>VLOOKUP(A44,[1]!Tabla1[#All],4,FALSE)</f>
        <v>3202404810</v>
      </c>
      <c r="E44" s="23" t="s">
        <v>2290</v>
      </c>
      <c r="F44" s="22" t="s">
        <v>729</v>
      </c>
      <c r="G44" s="22">
        <v>334</v>
      </c>
      <c r="H44" s="24">
        <v>239496</v>
      </c>
      <c r="I44" s="30">
        <v>0</v>
      </c>
      <c r="J44" s="31">
        <v>0</v>
      </c>
    </row>
    <row r="45" spans="1:10" ht="15" customHeight="1">
      <c r="A45" s="20">
        <v>1055275144</v>
      </c>
      <c r="B45" s="22" t="str">
        <f>VLOOKUP(A45,[1]!Tabla1[#All],2,FALSE)</f>
        <v>Juan Carlos Alvarez Santoyo</v>
      </c>
      <c r="C45" s="22" t="str">
        <f>VLOOKUP(A45,[1]!Tabla1[#All],6,FALSE)</f>
        <v>jc.colmex@gmail.com</v>
      </c>
      <c r="D45" s="22" t="str">
        <f>VLOOKUP(A47,[1]!Tabla1[#All],5,FALSE)</f>
        <v>3102420926</v>
      </c>
      <c r="E45" s="23" t="s">
        <v>2291</v>
      </c>
      <c r="F45" s="22" t="s">
        <v>729</v>
      </c>
      <c r="G45" s="22">
        <v>334</v>
      </c>
      <c r="H45" s="24">
        <v>726854</v>
      </c>
      <c r="I45" s="30">
        <v>0</v>
      </c>
      <c r="J45" s="31">
        <v>0</v>
      </c>
    </row>
    <row r="46" spans="1:10" ht="15" customHeight="1">
      <c r="A46" s="20">
        <v>7228651</v>
      </c>
      <c r="B46" s="22" t="str">
        <f>VLOOKUP(A46,[1]!Tabla1[#All],2,FALSE)</f>
        <v>Juan Martin Pinzon Sosa</v>
      </c>
      <c r="C46" s="22" t="str">
        <f>VLOOKUP(A46,[1]!Tabla1[#All],6,FALSE)</f>
        <v>juanmartinpinzonsosa@gmail.com</v>
      </c>
      <c r="D46" s="22" t="str">
        <f>VLOOKUP(A46,[1]!Tabla1[#All],4,FALSE)</f>
        <v>3102692200</v>
      </c>
      <c r="E46" s="23" t="s">
        <v>2292</v>
      </c>
      <c r="F46" s="22" t="s">
        <v>729</v>
      </c>
      <c r="G46" s="22">
        <v>334</v>
      </c>
      <c r="H46" s="24">
        <v>297900</v>
      </c>
      <c r="I46" s="30">
        <v>0</v>
      </c>
      <c r="J46" s="31">
        <v>0</v>
      </c>
    </row>
    <row r="47" spans="1:10" ht="15" customHeight="1">
      <c r="A47" s="20">
        <v>9398866</v>
      </c>
      <c r="B47" s="22" t="str">
        <f>VLOOKUP(A47,[1]!Tabla1[#All],2,FALSE)</f>
        <v>JUAN MIGUEL ROCHA GIL</v>
      </c>
      <c r="C47" s="22" t="str">
        <f>VLOOKUP(A47,[1]!Tabla1[#All],6,FALSE)</f>
        <v>juanchorocha3@gmail.com</v>
      </c>
      <c r="D47" s="22" t="str">
        <f>VLOOKUP(A47,[1]!Tabla1[#All],4,FALSE)</f>
        <v>3102420926</v>
      </c>
      <c r="E47" s="23" t="s">
        <v>2293</v>
      </c>
      <c r="F47" s="22" t="s">
        <v>729</v>
      </c>
      <c r="G47" s="22">
        <v>334</v>
      </c>
      <c r="H47" s="24">
        <v>300000</v>
      </c>
      <c r="I47" s="30">
        <v>0</v>
      </c>
      <c r="J47" s="31">
        <v>0</v>
      </c>
    </row>
    <row r="48" spans="1:10" ht="15" customHeight="1">
      <c r="A48" s="20">
        <v>7218034</v>
      </c>
      <c r="B48" s="22" t="str">
        <f>VLOOKUP(A48,[1]!Tabla1[#All],2,FALSE)</f>
        <v>Julio Daniel Fracica Gonzalez</v>
      </c>
      <c r="C48" s="22" t="str">
        <f>VLOOKUP(A48,[1]!Tabla1[#All],6,FALSE)</f>
        <v>juliodanielfracica@gmail.com</v>
      </c>
      <c r="D48" s="22" t="str">
        <f>VLOOKUP(A48,[1]!Tabla1[#All],4,FALSE)</f>
        <v>3107692095</v>
      </c>
      <c r="E48" s="23" t="s">
        <v>2294</v>
      </c>
      <c r="F48" s="22" t="s">
        <v>729</v>
      </c>
      <c r="G48" s="22">
        <v>334</v>
      </c>
      <c r="H48" s="24">
        <v>4875804</v>
      </c>
      <c r="I48" s="30">
        <v>0</v>
      </c>
      <c r="J48" s="31">
        <v>0</v>
      </c>
    </row>
    <row r="49" spans="1:10" ht="15" customHeight="1">
      <c r="A49" s="20">
        <v>1090503634</v>
      </c>
      <c r="B49" s="22" t="str">
        <f>VLOOKUP(A49,[1]!Tabla1[#All],2,FALSE)</f>
        <v>KELLY MARCELA ALARCON RAMIREZ</v>
      </c>
      <c r="C49" s="22" t="str">
        <f>VLOOKUP(A49,[1]!Tabla1[#All],6,FALSE)</f>
        <v>alarcon98231@gmail.com</v>
      </c>
      <c r="D49" s="22" t="str">
        <f>VLOOKUP(A49,[1]!Tabla1[#All],4,FALSE)</f>
        <v>3102592796</v>
      </c>
      <c r="E49" s="23" t="s">
        <v>2295</v>
      </c>
      <c r="F49" s="22" t="s">
        <v>729</v>
      </c>
      <c r="G49" s="22">
        <v>334</v>
      </c>
      <c r="H49" s="24">
        <v>1000000</v>
      </c>
      <c r="I49" s="30">
        <v>0</v>
      </c>
      <c r="J49" s="31">
        <v>0</v>
      </c>
    </row>
    <row r="50" spans="1:10" ht="15" customHeight="1">
      <c r="A50" s="20">
        <v>7229854</v>
      </c>
      <c r="B50" s="22" t="str">
        <f>VLOOKUP(A50,[1]!Tabla1[#All],2,FALSE)</f>
        <v>KING ANDREWS MOJICA MOJICA</v>
      </c>
      <c r="C50" s="22" t="str">
        <f>VLOOKUP(A50,[1]!Tabla1[#All],6,FALSE)</f>
        <v>kingmojica@yahoo.com</v>
      </c>
      <c r="D50" s="22" t="str">
        <f>VLOOKUP(A50,[1]!Tabla1[#All],5,FALSE)</f>
        <v>7611880</v>
      </c>
      <c r="E50" s="23" t="s">
        <v>2296</v>
      </c>
      <c r="F50" s="22" t="s">
        <v>729</v>
      </c>
      <c r="G50" s="22">
        <v>334</v>
      </c>
      <c r="H50" s="24">
        <v>240000</v>
      </c>
      <c r="I50" s="30">
        <v>0</v>
      </c>
      <c r="J50" s="31">
        <v>0</v>
      </c>
    </row>
    <row r="51" spans="1:10" ht="15" customHeight="1">
      <c r="A51" s="20">
        <v>1090499724</v>
      </c>
      <c r="B51" s="22" t="str">
        <f>VLOOKUP(A51,[1]!Tabla1[#All],2,FALSE)</f>
        <v>Leidy Sthepany Castañeda Moreno</v>
      </c>
      <c r="C51" s="22" t="str">
        <f>VLOOKUP(A51,[1]!Tabla1[#All],6,FALSE)</f>
        <v>tefii961864@gmail.com</v>
      </c>
      <c r="D51" s="22" t="str">
        <f>VLOOKUP(A51,[1]!Tabla1[#All],4,FALSE)</f>
        <v>3209424507</v>
      </c>
      <c r="E51" s="23" t="s">
        <v>2297</v>
      </c>
      <c r="F51" s="22" t="s">
        <v>729</v>
      </c>
      <c r="G51" s="22">
        <v>334</v>
      </c>
      <c r="H51" s="24">
        <v>470000</v>
      </c>
      <c r="I51" s="30">
        <v>0</v>
      </c>
      <c r="J51" s="31">
        <v>0</v>
      </c>
    </row>
    <row r="52" spans="1:10" ht="15" customHeight="1">
      <c r="A52" s="20">
        <v>24047879</v>
      </c>
      <c r="B52" s="22" t="str">
        <f>VLOOKUP(A52,[1]!Tabla1[#All],2,FALSE)</f>
        <v>Liliana Torres Martinez</v>
      </c>
      <c r="C52" s="22" t="str">
        <f>[1]Hoja1!F15</f>
        <v>marthabarajas@gmail.com</v>
      </c>
      <c r="D52" s="25">
        <v>6788669</v>
      </c>
      <c r="E52" s="23" t="s">
        <v>2298</v>
      </c>
      <c r="F52" s="22" t="s">
        <v>729</v>
      </c>
      <c r="G52" s="22">
        <v>334</v>
      </c>
      <c r="H52" s="24">
        <v>67226</v>
      </c>
      <c r="I52" s="30">
        <v>0</v>
      </c>
      <c r="J52" s="31">
        <v>0</v>
      </c>
    </row>
    <row r="53" spans="1:10" ht="15" customHeight="1">
      <c r="A53" s="20">
        <v>1053443885</v>
      </c>
      <c r="B53" s="22" t="str">
        <f>VLOOKUP(A53,[1]!Tabla1[#All],2,FALSE)</f>
        <v>Lina Yisel Perez Puerto</v>
      </c>
      <c r="C53" s="22" t="str">
        <f>VLOOKUP(A53,[1]!Tabla1[#All],6,FALSE)</f>
        <v>linayiselperez@gmail.com</v>
      </c>
      <c r="D53" s="22" t="str">
        <f>VLOOKUP(A53,[1]!Tabla1[#All],4,FALSE)</f>
        <v>3142569879</v>
      </c>
      <c r="E53" s="23" t="s">
        <v>2299</v>
      </c>
      <c r="F53" s="22" t="s">
        <v>729</v>
      </c>
      <c r="G53" s="22">
        <v>334</v>
      </c>
      <c r="H53" s="24">
        <v>1500000</v>
      </c>
      <c r="I53" s="30">
        <v>0</v>
      </c>
      <c r="J53" s="31">
        <v>0</v>
      </c>
    </row>
    <row r="54" spans="1:10" ht="15" customHeight="1">
      <c r="A54" s="20">
        <v>7226847</v>
      </c>
      <c r="B54" s="22" t="str">
        <f>VLOOKUP(A54,[1]!Tabla1[#All],2,FALSE)</f>
        <v>Luis Velandia Cely</v>
      </c>
      <c r="C54" s="22" t="str">
        <f>[1]Hoja1!F16</f>
        <v>nuryyaruro@gmail.com</v>
      </c>
      <c r="D54" s="22" t="str">
        <f>VLOOKUP(A54,[1]!Tabla1[#All],4,FALSE)</f>
        <v>3204780069</v>
      </c>
      <c r="E54" s="23" t="s">
        <v>2300</v>
      </c>
      <c r="F54" s="22" t="s">
        <v>729</v>
      </c>
      <c r="G54" s="22">
        <v>334</v>
      </c>
      <c r="H54" s="24">
        <v>11067228</v>
      </c>
      <c r="I54" s="30">
        <v>0</v>
      </c>
      <c r="J54" s="31">
        <v>0</v>
      </c>
    </row>
    <row r="55" spans="1:10" ht="15" customHeight="1">
      <c r="A55" s="20">
        <v>23551419</v>
      </c>
      <c r="B55" s="22" t="str">
        <f>VLOOKUP(A55,[1]!Tabla1[#All],2,FALSE)</f>
        <v>Luz Marina Herrera Guataqui</v>
      </c>
      <c r="C55" s="22" t="str">
        <f>VLOOKUP(A55,[1]!Tabla1[#All],6,FALSE)</f>
        <v>herreritaluzma@yahoo.com</v>
      </c>
      <c r="D55" s="22" t="str">
        <f>VLOOKUP(A55,[1]!Tabla1[#All],4,FALSE)</f>
        <v>3214687709</v>
      </c>
      <c r="E55" s="23" t="s">
        <v>2301</v>
      </c>
      <c r="F55" s="22" t="s">
        <v>418</v>
      </c>
      <c r="G55" s="22">
        <v>334</v>
      </c>
      <c r="H55" s="24">
        <v>2000000</v>
      </c>
      <c r="I55" s="30">
        <v>0</v>
      </c>
      <c r="J55" s="31">
        <v>0</v>
      </c>
    </row>
    <row r="56" spans="1:10" ht="15" customHeight="1">
      <c r="A56" s="20">
        <v>23547126</v>
      </c>
      <c r="B56" s="22" t="str">
        <f>VLOOKUP(A56,[1]!Tabla1[#All],2,FALSE)</f>
        <v>María Esther Acevedo de Sánchez</v>
      </c>
      <c r="C56" s="22" t="str">
        <f>[1]Hoja1!F17</f>
        <v>rafaelarguello@gmail.com</v>
      </c>
      <c r="D56" s="22" t="str">
        <f>VLOOKUP(A56,[1]!Tabla1[#All],4,FALSE)</f>
        <v>3012761742</v>
      </c>
      <c r="E56" s="23" t="s">
        <v>2302</v>
      </c>
      <c r="F56" s="22" t="s">
        <v>729</v>
      </c>
      <c r="G56" s="22">
        <v>334</v>
      </c>
      <c r="H56" s="24">
        <v>10800000</v>
      </c>
      <c r="I56" s="30">
        <v>0</v>
      </c>
      <c r="J56" s="31">
        <v>0</v>
      </c>
    </row>
    <row r="57" spans="1:10" ht="15" customHeight="1">
      <c r="A57" s="20">
        <v>52260312</v>
      </c>
      <c r="B57" s="22" t="str">
        <f>VLOOKUP(A57,[1]!Tabla1[#All],2,FALSE)</f>
        <v>Marleni Gallo Balaguera</v>
      </c>
      <c r="C57" s="22" t="str">
        <f>VLOOKUP(A57,[1]!Tabla1[#All],6,FALSE)</f>
        <v>marlengallo6@gmail.com</v>
      </c>
      <c r="D57" s="22" t="str">
        <f>VLOOKUP(A57,[1]!Tabla1[#All],4,FALSE)</f>
        <v>3167515260</v>
      </c>
      <c r="E57" s="23" t="s">
        <v>2303</v>
      </c>
      <c r="F57" s="22" t="s">
        <v>418</v>
      </c>
      <c r="G57" s="22">
        <v>334</v>
      </c>
      <c r="H57" s="24">
        <v>1200256</v>
      </c>
      <c r="I57" s="30">
        <v>0</v>
      </c>
      <c r="J57" s="31">
        <v>0</v>
      </c>
    </row>
    <row r="58" spans="1:10" ht="15" customHeight="1">
      <c r="A58" s="20">
        <v>63391674</v>
      </c>
      <c r="B58" s="22" t="str">
        <f>VLOOKUP(A58,[1]!Tabla1[#All],2,FALSE)</f>
        <v>Martha Cecilia Barajas Rincon</v>
      </c>
      <c r="C58" s="22" t="str">
        <f>[1]Hoja1!F18</f>
        <v>rafaelmartinez@gmail.com</v>
      </c>
      <c r="D58" s="22" t="str">
        <f>VLOOKUP(A58,[1]!Tabla1[#All],4,FALSE)</f>
        <v>3134099025</v>
      </c>
      <c r="E58" s="23" t="s">
        <v>2304</v>
      </c>
      <c r="F58" s="22" t="s">
        <v>418</v>
      </c>
      <c r="G58" s="22">
        <v>334</v>
      </c>
      <c r="H58" s="24">
        <v>1282968</v>
      </c>
      <c r="I58" s="30">
        <v>0</v>
      </c>
      <c r="J58" s="31">
        <v>0</v>
      </c>
    </row>
    <row r="59" spans="1:10" ht="15" customHeight="1">
      <c r="A59" s="20">
        <v>52168978</v>
      </c>
      <c r="B59" s="22" t="str">
        <f>VLOOKUP(A59,[1]!Tabla1[#All],2,FALSE)</f>
        <v>Miriam Graciela Alferez Guerrero</v>
      </c>
      <c r="C59" s="22" t="str">
        <f>VLOOKUP(A59,[1]!Tabla1[#All],6,FALSE)</f>
        <v>motorelaperla@hotmail.com</v>
      </c>
      <c r="D59" s="22" t="str">
        <f>VLOOKUP(A59,[1]!Tabla1[#All],4,FALSE)</f>
        <v>3114723126</v>
      </c>
      <c r="E59" s="23" t="s">
        <v>2305</v>
      </c>
      <c r="F59" s="22" t="s">
        <v>729</v>
      </c>
      <c r="G59" s="22">
        <v>334</v>
      </c>
      <c r="H59" s="24">
        <v>13000</v>
      </c>
      <c r="I59" s="30">
        <v>0</v>
      </c>
      <c r="J59" s="31">
        <v>0</v>
      </c>
    </row>
    <row r="60" spans="1:10" ht="15" customHeight="1">
      <c r="A60" s="20">
        <v>46453685</v>
      </c>
      <c r="B60" s="22" t="str">
        <f>VLOOKUP(A60,[1]!Tabla1[#All],2,FALSE)</f>
        <v>NINI JOHANA GUTIERREZ TIBABUIZA</v>
      </c>
      <c r="C60" s="22" t="str">
        <f>VLOOKUP(A60,[1]!Tabla1[#All],6,FALSE)</f>
        <v>facturacionelectronicavalzarsa@gmail.com</v>
      </c>
      <c r="D60" s="22" t="str">
        <f>VLOOKUP(A60,[1]!Tabla1[#All],4,FALSE)</f>
        <v>3204897093</v>
      </c>
      <c r="E60" s="23" t="s">
        <v>2306</v>
      </c>
      <c r="F60" s="22" t="s">
        <v>729</v>
      </c>
      <c r="G60" s="22">
        <v>334</v>
      </c>
      <c r="H60" s="24">
        <v>185185</v>
      </c>
      <c r="I60" s="30">
        <v>0</v>
      </c>
      <c r="J60" s="31">
        <v>0</v>
      </c>
    </row>
    <row r="61" spans="1:10" ht="15" customHeight="1">
      <c r="A61" s="20">
        <v>46453685</v>
      </c>
      <c r="B61" s="22" t="str">
        <f>VLOOKUP(A61,[1]!Tabla1[#All],2,FALSE)</f>
        <v>NINI JOHANA GUTIERREZ TIBABUIZA</v>
      </c>
      <c r="C61" s="22" t="str">
        <f>VLOOKUP(A61,[1]!Tabla1[#All],6,FALSE)</f>
        <v>facturacionelectronicavalzarsa@gmail.com</v>
      </c>
      <c r="D61" s="22" t="str">
        <f>VLOOKUP(A61,[1]!Tabla1[#All],4,FALSE)</f>
        <v>3204897093</v>
      </c>
      <c r="E61" s="23" t="s">
        <v>2306</v>
      </c>
      <c r="F61" s="22" t="s">
        <v>729</v>
      </c>
      <c r="G61" s="22">
        <v>334</v>
      </c>
      <c r="H61" s="24">
        <v>14815</v>
      </c>
      <c r="I61" s="30">
        <v>0</v>
      </c>
      <c r="J61" s="31">
        <v>0</v>
      </c>
    </row>
    <row r="62" spans="1:10" ht="15" customHeight="1">
      <c r="A62" s="20">
        <v>40028401</v>
      </c>
      <c r="B62" s="22" t="str">
        <f>VLOOKUP(A62,[1]!Tabla1[#All],2,FALSE)</f>
        <v>Nury Yaruro Carrascal</v>
      </c>
      <c r="C62" s="22" t="str">
        <f>[1]Hoja1!F19</f>
        <v>rosavalero@gmail.com</v>
      </c>
      <c r="D62" s="22" t="str">
        <f>VLOOKUP(A62,[1]!Tabla1[#All],5,FALSE)</f>
        <v>7613287</v>
      </c>
      <c r="E62" s="23" t="s">
        <v>2307</v>
      </c>
      <c r="F62" s="22" t="s">
        <v>729</v>
      </c>
      <c r="G62" s="22">
        <v>334</v>
      </c>
      <c r="H62" s="24">
        <v>1351226</v>
      </c>
      <c r="I62" s="30">
        <v>0</v>
      </c>
      <c r="J62" s="31">
        <v>0</v>
      </c>
    </row>
    <row r="63" spans="1:10" ht="15" customHeight="1">
      <c r="A63" s="20">
        <v>9522660</v>
      </c>
      <c r="B63" s="22" t="str">
        <f>VLOOKUP(A63,[1]!Tabla1[#All],2,FALSE)</f>
        <v>Octaviano Torres Guevara</v>
      </c>
      <c r="C63" s="22" t="str">
        <f>VLOOKUP(A63,[1]!Tabla1[#All],6,FALSE)</f>
        <v>distrirepuestos0207@gmail.com</v>
      </c>
      <c r="D63" s="22" t="str">
        <f>VLOOKUP(A63,[1]!Tabla1[#All],4,FALSE)</f>
        <v>3108123618</v>
      </c>
      <c r="E63" s="23" t="s">
        <v>2308</v>
      </c>
      <c r="F63" s="22" t="s">
        <v>713</v>
      </c>
      <c r="G63" s="22">
        <v>334</v>
      </c>
      <c r="H63" s="24">
        <v>1289915</v>
      </c>
      <c r="I63" s="30">
        <v>0</v>
      </c>
      <c r="J63" s="31">
        <v>0</v>
      </c>
    </row>
    <row r="64" spans="1:10" ht="15" customHeight="1">
      <c r="A64" s="20">
        <v>4168662</v>
      </c>
      <c r="B64" s="22" t="str">
        <f>VLOOKUP(A64,[1]!Tabla1[#All],2,FALSE)</f>
        <v>Rafael Antonio Arguello Montañez</v>
      </c>
      <c r="C64" s="22" t="str">
        <f>[1]Hoja1!F20</f>
        <v>rosasuarez@gmail.com</v>
      </c>
      <c r="D64" s="22" t="str">
        <f>VLOOKUP(A64,[1]!Tabla1[#All],4,FALSE)</f>
        <v>3165243584</v>
      </c>
      <c r="E64" s="23" t="s">
        <v>2309</v>
      </c>
      <c r="F64" s="22" t="s">
        <v>729</v>
      </c>
      <c r="G64" s="22">
        <v>334</v>
      </c>
      <c r="H64" s="24">
        <v>360000</v>
      </c>
      <c r="I64" s="30">
        <v>0</v>
      </c>
      <c r="J64" s="31">
        <v>0</v>
      </c>
    </row>
    <row r="65" spans="1:10" ht="15" customHeight="1">
      <c r="A65" s="20">
        <v>79046019</v>
      </c>
      <c r="B65" s="22" t="str">
        <f>VLOOKUP(A65,[1]!Tabla1[#All],2,FALSE)</f>
        <v>Rafael Eduardo Martinez Salcedo</v>
      </c>
      <c r="C65" s="22" t="str">
        <f>[1]Hoja1!F21</f>
        <v>victorsandoval@gmail.com</v>
      </c>
      <c r="D65" s="22" t="str">
        <f>VLOOKUP(A65,[1]!Tabla1[#All],4,FALSE)</f>
        <v>3125449875</v>
      </c>
      <c r="E65" s="23" t="s">
        <v>2310</v>
      </c>
      <c r="F65" s="22" t="s">
        <v>729</v>
      </c>
      <c r="G65" s="22">
        <v>334</v>
      </c>
      <c r="H65" s="24">
        <v>2160000</v>
      </c>
      <c r="I65" s="30">
        <v>0</v>
      </c>
      <c r="J65" s="31">
        <v>0</v>
      </c>
    </row>
    <row r="66" spans="1:10" ht="15" customHeight="1">
      <c r="A66" s="20">
        <v>4190733</v>
      </c>
      <c r="B66" s="22" t="str">
        <f>VLOOKUP(A66,[1]!Tabla1[#All],2,FALSE)</f>
        <v>Regulo Antonio Pedraza Rodriguez</v>
      </c>
      <c r="C66" s="22" t="str">
        <f>VLOOKUP(A66,[1]!Tabla1[#All],6,FALSE)</f>
        <v>pedrazareguloantonio@gmail.com</v>
      </c>
      <c r="D66" s="22" t="str">
        <f>VLOOKUP(A66,[1]!Tabla1[#All],4,FALSE)</f>
        <v>3203403086</v>
      </c>
      <c r="E66" s="23" t="s">
        <v>2311</v>
      </c>
      <c r="F66" s="22" t="s">
        <v>733</v>
      </c>
      <c r="G66" s="22">
        <v>334</v>
      </c>
      <c r="H66" s="24">
        <v>1211616</v>
      </c>
      <c r="I66" s="30">
        <v>0</v>
      </c>
      <c r="J66" s="31">
        <v>0</v>
      </c>
    </row>
    <row r="67" spans="1:10" ht="15" customHeight="1">
      <c r="A67" s="20">
        <v>52135493</v>
      </c>
      <c r="B67" s="22" t="str">
        <f>VLOOKUP(A67,[1]!Tabla1[#All],2,FALSE)</f>
        <v>Rosa Angela Valero Melo</v>
      </c>
      <c r="C67" s="22" t="str">
        <f>[1]Hoja1!F22</f>
        <v>yederxonrincon@gmail.com</v>
      </c>
      <c r="D67" s="22" t="str">
        <f>VLOOKUP(A67,[1]!Tabla1[#All],4,FALSE)</f>
        <v>3134139164</v>
      </c>
      <c r="E67" s="23" t="s">
        <v>2312</v>
      </c>
      <c r="F67" s="22" t="s">
        <v>729</v>
      </c>
      <c r="G67" s="22">
        <v>334</v>
      </c>
      <c r="H67" s="24">
        <v>8750000</v>
      </c>
      <c r="I67" s="30">
        <v>0</v>
      </c>
      <c r="J67" s="31">
        <v>0</v>
      </c>
    </row>
    <row r="68" spans="1:10" ht="15" customHeight="1">
      <c r="A68" s="20">
        <v>33379417</v>
      </c>
      <c r="B68" s="22" t="str">
        <f>VLOOKUP(A68,[1]!Tabla1[#All],2,FALSE)</f>
        <v>ROSA HELENA SUAREZ RODRIGUEZ</v>
      </c>
      <c r="C68" s="22" t="str">
        <f>[1]Hoja1!F23</f>
        <v>yimirojas@gmail.com</v>
      </c>
      <c r="D68" s="22" t="str">
        <f>VLOOKUP(A68,[1]!Tabla1[#All],4,FALSE)</f>
        <v>3114926372</v>
      </c>
      <c r="E68" s="23" t="s">
        <v>2313</v>
      </c>
      <c r="F68" s="22" t="s">
        <v>534</v>
      </c>
      <c r="G68" s="22">
        <v>334</v>
      </c>
      <c r="H68" s="24">
        <v>5938601</v>
      </c>
      <c r="I68" s="30">
        <v>0</v>
      </c>
      <c r="J68" s="31">
        <v>0</v>
      </c>
    </row>
    <row r="69" spans="1:10" ht="15" customHeight="1">
      <c r="A69" s="20">
        <v>46670072</v>
      </c>
      <c r="B69" s="22" t="str">
        <f>VLOOKUP(A69,[1]!Tabla1[#All],2,FALSE)</f>
        <v>Sandra Patricia Gonzalez Niño</v>
      </c>
      <c r="C69" s="22" t="str">
        <f>VLOOKUP(A69,[1]!Tabla1[#All],6,FALSE)</f>
        <v>ferreteriaferrecom@gmail.com</v>
      </c>
      <c r="D69" s="22" t="str">
        <f>VLOOKUP(A69,[1]!Tabla1[#All],4,FALSE)</f>
        <v>3212145095</v>
      </c>
      <c r="E69" s="23" t="s">
        <v>2314</v>
      </c>
      <c r="F69" s="22" t="s">
        <v>729</v>
      </c>
      <c r="G69" s="22">
        <v>334</v>
      </c>
      <c r="H69" s="24">
        <v>56610</v>
      </c>
      <c r="I69" s="30">
        <v>0</v>
      </c>
      <c r="J69" s="31">
        <v>0</v>
      </c>
    </row>
    <row r="70" spans="1:10" ht="15" customHeight="1">
      <c r="A70" s="20">
        <v>23912922</v>
      </c>
      <c r="B70" s="22" t="str">
        <f>VLOOKUP(A70,[1]!Tabla1[#All],2,FALSE)</f>
        <v>Transito Gallo Nausa</v>
      </c>
      <c r="C70" s="22" t="str">
        <f>VLOOKUP(A70,[1]!Tabla1[#All],6,FALSE)</f>
        <v>transito.gallo.nausa@gmail.com</v>
      </c>
      <c r="D70" s="22" t="str">
        <f>VLOOKUP(A70,[1]!Tabla1[#All],4,FALSE)</f>
        <v>3115959228</v>
      </c>
      <c r="E70" s="23" t="s">
        <v>2315</v>
      </c>
      <c r="F70" s="22" t="s">
        <v>418</v>
      </c>
      <c r="G70" s="22">
        <v>334</v>
      </c>
      <c r="H70" s="26">
        <v>1200256</v>
      </c>
      <c r="I70" s="30">
        <v>0</v>
      </c>
      <c r="J70" s="31">
        <v>0</v>
      </c>
    </row>
    <row r="71" spans="1:10" ht="15" customHeight="1">
      <c r="A71" s="20">
        <v>7222811</v>
      </c>
      <c r="B71" s="22" t="str">
        <f>VLOOKUP(A71,[1]!Tabla1[#All],2,FALSE)</f>
        <v>Victor Manuel Sandoval Cely</v>
      </c>
      <c r="C71" s="22" t="str">
        <f>[1]Hoja1!F24</f>
        <v>centroperla@gmail.com</v>
      </c>
      <c r="D71" s="22" t="str">
        <f>VLOOKUP(A71,[1]!Tabla1[#All],4,FALSE)</f>
        <v>3112061323</v>
      </c>
      <c r="E71" s="23" t="s">
        <v>2316</v>
      </c>
      <c r="F71" s="22" t="s">
        <v>729</v>
      </c>
      <c r="G71" s="22">
        <v>334</v>
      </c>
      <c r="H71" s="24">
        <v>776676</v>
      </c>
      <c r="I71" s="30">
        <v>0</v>
      </c>
      <c r="J71" s="31">
        <v>0</v>
      </c>
    </row>
    <row r="72" spans="1:10" ht="15" customHeight="1">
      <c r="A72" s="20">
        <v>79732512</v>
      </c>
      <c r="B72" s="22" t="str">
        <f>VLOOKUP(A72,[1]!Tabla1[#All],2,FALSE)</f>
        <v>Willdeman Freyner Antonio Jimenez Rodriguez</v>
      </c>
      <c r="C72" s="22" t="str">
        <f>VLOOKUP(A72,[1]!Tabla1[#All],6,FALSE)</f>
        <v>willdeman.j@hotmail.com</v>
      </c>
      <c r="D72" s="22" t="str">
        <f>VLOOKUP(A72,[1]!Tabla1[#All],4,FALSE)</f>
        <v>6002207679</v>
      </c>
      <c r="E72" s="23" t="s">
        <v>2317</v>
      </c>
      <c r="F72" s="22" t="s">
        <v>729</v>
      </c>
      <c r="G72" s="22">
        <v>334</v>
      </c>
      <c r="H72" s="24">
        <v>55000</v>
      </c>
      <c r="I72" s="30">
        <v>0</v>
      </c>
      <c r="J72" s="31">
        <v>0</v>
      </c>
    </row>
    <row r="73" spans="1:10" ht="15" customHeight="1">
      <c r="A73" s="20">
        <v>1058430538</v>
      </c>
      <c r="B73" s="22" t="str">
        <f>VLOOKUP(A73,[1]!Tabla1[#All],2,FALSE)</f>
        <v>Yederxon Bernardo Rincon Rojas</v>
      </c>
      <c r="C73" s="22" t="str">
        <f>[1]Hoja1!F25</f>
        <v>colvanes@gmail.com</v>
      </c>
      <c r="D73" s="22" t="str">
        <f>VLOOKUP(A73,[1]!Tabla1[#All],4,FALSE)</f>
        <v>3146650789</v>
      </c>
      <c r="E73" s="23" t="s">
        <v>2318</v>
      </c>
      <c r="F73" s="22" t="s">
        <v>729</v>
      </c>
      <c r="G73" s="22">
        <v>334</v>
      </c>
      <c r="H73" s="24">
        <v>106383</v>
      </c>
      <c r="I73" s="30">
        <v>0</v>
      </c>
      <c r="J73" s="31">
        <v>0</v>
      </c>
    </row>
    <row r="74" spans="1:10" ht="15" customHeight="1">
      <c r="A74" s="20">
        <v>74373345</v>
      </c>
      <c r="B74" s="22" t="str">
        <f>VLOOKUP(A74,[1]!Tabla1[#All],2,FALSE)</f>
        <v>Yimi Alexander Rojas Becerra</v>
      </c>
      <c r="C74" s="22" t="str">
        <f>[1]Hoja1!F26</f>
        <v>estelar@gmail.com</v>
      </c>
      <c r="D74" s="22" t="str">
        <f>VLOOKUP(A74,[1]!Tabla1[#All],4,FALSE)</f>
        <v>3017200022</v>
      </c>
      <c r="E74" s="23" t="s">
        <v>2319</v>
      </c>
      <c r="F74" s="22" t="s">
        <v>729</v>
      </c>
      <c r="G74" s="22">
        <v>334</v>
      </c>
      <c r="H74" s="24">
        <v>17915910</v>
      </c>
      <c r="I74" s="30">
        <v>0</v>
      </c>
      <c r="J74" s="31">
        <v>0</v>
      </c>
    </row>
    <row r="75" spans="1:10" ht="15" customHeight="1">
      <c r="A75" s="20">
        <v>900215775</v>
      </c>
      <c r="B75" s="22" t="str">
        <f>VLOOKUP(A75,[1]!Tabla1[#All],2,FALSE)</f>
        <v>Centro de Diagnostico Automotor La Perla Ltda</v>
      </c>
      <c r="C75" s="22" t="str">
        <f>[1]Hoja1!F27</f>
        <v>inter@gmail.com</v>
      </c>
      <c r="D75" s="25">
        <v>7693344</v>
      </c>
      <c r="E75" s="23" t="s">
        <v>2320</v>
      </c>
      <c r="F75" s="22" t="s">
        <v>729</v>
      </c>
      <c r="G75" s="22">
        <v>334</v>
      </c>
      <c r="H75" s="24">
        <v>2251512</v>
      </c>
      <c r="I75" s="30">
        <v>0</v>
      </c>
      <c r="J75" s="31">
        <v>0</v>
      </c>
    </row>
    <row r="76" spans="1:10" ht="15" customHeight="1">
      <c r="A76" s="20">
        <v>800185306</v>
      </c>
      <c r="B76" s="22" t="str">
        <f>VLOOKUP(A76,[1]!Tabla1[#All],2,FALSE)</f>
        <v>COLVANES S.A.S.</v>
      </c>
      <c r="C76" s="22" t="str">
        <f>[1]Hoja1!F28</f>
        <v>servientrega@gmail.com</v>
      </c>
      <c r="D76" s="22" t="str">
        <f>VLOOKUP(A76,[1]!Tabla1[#All],5,FALSE)</f>
        <v>4239666</v>
      </c>
      <c r="E76" s="23" t="s">
        <v>2321</v>
      </c>
      <c r="F76" s="22" t="s">
        <v>418</v>
      </c>
      <c r="G76" s="22">
        <v>301</v>
      </c>
      <c r="H76" s="24">
        <v>193387</v>
      </c>
      <c r="I76" s="30">
        <v>0</v>
      </c>
      <c r="J76" s="31">
        <v>0</v>
      </c>
    </row>
    <row r="77" spans="1:10" ht="15" customHeight="1">
      <c r="A77" s="20">
        <v>830054581</v>
      </c>
      <c r="B77" s="22" t="str">
        <f>VLOOKUP(A77,[1]!Tabla1[#All],2,FALSE)</f>
        <v>ESTELAR EXPRESS S.A.S.</v>
      </c>
      <c r="C77" s="22" t="str">
        <f>[1]Hoja1!F29</f>
        <v>super@gmail.com</v>
      </c>
      <c r="D77" s="22" t="str">
        <f>VLOOKUP(A77,[1]!Tabla1[#All],5,FALSE)</f>
        <v>4076769</v>
      </c>
      <c r="E77" s="23" t="s">
        <v>2322</v>
      </c>
      <c r="F77" s="22" t="s">
        <v>418</v>
      </c>
      <c r="G77" s="22">
        <v>301</v>
      </c>
      <c r="H77" s="24">
        <v>1454400</v>
      </c>
      <c r="I77" s="30">
        <v>0</v>
      </c>
      <c r="J77" s="31">
        <v>0</v>
      </c>
    </row>
    <row r="78" spans="1:10" ht="15" customHeight="1">
      <c r="A78" s="20">
        <v>800251569</v>
      </c>
      <c r="B78" s="22" t="str">
        <f>VLOOKUP(A78,[1]!Tabla1[#All],2,FALSE)</f>
        <v>Inter Rapidisimo S.A.</v>
      </c>
      <c r="C78" s="22" t="str">
        <f>[1]Hoja1!F30</f>
        <v>colombiana@gmail.com</v>
      </c>
      <c r="D78" s="22" t="str">
        <f>VLOOKUP(A78,[1]!Tabla1[#All],4,FALSE)</f>
        <v>3232554455</v>
      </c>
      <c r="E78" s="23" t="s">
        <v>2323</v>
      </c>
      <c r="F78" s="22" t="s">
        <v>418</v>
      </c>
      <c r="G78" s="22">
        <v>301</v>
      </c>
      <c r="H78" s="24">
        <v>1631670</v>
      </c>
      <c r="I78" s="30">
        <v>0</v>
      </c>
      <c r="J78" s="31">
        <v>0</v>
      </c>
    </row>
    <row r="79" spans="1:10" ht="15" customHeight="1">
      <c r="A79" s="20">
        <v>860512330</v>
      </c>
      <c r="B79" s="22" t="str">
        <f>VLOOKUP(A79,[1]!Tabla1[#All],2,FALSE)</f>
        <v>SERVIENTREGA S.A.</v>
      </c>
      <c r="C79" s="22" t="str">
        <f>[1]Hoja1!F31</f>
        <v>nice@gmail.com</v>
      </c>
      <c r="D79" s="22" t="str">
        <f>VLOOKUP(A79,[1]!Tabla1[#All],4,FALSE)</f>
        <v>6087603403</v>
      </c>
      <c r="E79" s="23" t="s">
        <v>2324</v>
      </c>
      <c r="F79" s="22" t="s">
        <v>418</v>
      </c>
      <c r="G79" s="22">
        <v>301</v>
      </c>
      <c r="H79" s="24">
        <v>24050</v>
      </c>
      <c r="I79" s="30">
        <v>0</v>
      </c>
      <c r="J79" s="31">
        <v>0</v>
      </c>
    </row>
    <row r="80" spans="1:10" ht="15" customHeight="1">
      <c r="A80" s="20">
        <v>891855991</v>
      </c>
      <c r="B80" s="22" t="str">
        <f>VLOOKUP(A80,[1]!Tabla1[#All],2,FALSE)</f>
        <v>SUPER SERVICIOS BOYACA S.A.S.</v>
      </c>
      <c r="C80" s="22" t="str">
        <f>[1]Hoja1!F32</f>
        <v>ebsa@gmail.com</v>
      </c>
      <c r="D80" s="22">
        <v>67654567</v>
      </c>
      <c r="E80" s="23" t="s">
        <v>2325</v>
      </c>
      <c r="F80" s="22" t="s">
        <v>729</v>
      </c>
      <c r="G80" s="22">
        <v>334</v>
      </c>
      <c r="H80" s="24">
        <v>343495</v>
      </c>
      <c r="I80" s="30">
        <v>0</v>
      </c>
      <c r="J80" s="31">
        <v>0</v>
      </c>
    </row>
    <row r="81" spans="1:10" ht="15" customHeight="1">
      <c r="A81" s="20">
        <v>800209179</v>
      </c>
      <c r="B81" s="22" t="str">
        <f>VLOOKUP(A81,[1]!Tabla1[#All],2,FALSE)</f>
        <v>COLOMBIANA DE ENCOMIENDAS S.A</v>
      </c>
      <c r="C81" s="22" t="str">
        <f>[1]Hoja1!F33</f>
        <v>azteca@gmail.com</v>
      </c>
      <c r="D81" s="22" t="str">
        <f>VLOOKUP(A81,[1]!Tabla1[#All],4,FALSE)</f>
        <v>13788060</v>
      </c>
      <c r="E81" s="23" t="s">
        <v>2326</v>
      </c>
      <c r="F81" s="22" t="s">
        <v>418</v>
      </c>
      <c r="G81" s="22">
        <v>301</v>
      </c>
      <c r="H81" s="24">
        <v>120000</v>
      </c>
      <c r="I81" s="30">
        <v>0</v>
      </c>
      <c r="J81" s="31">
        <v>0</v>
      </c>
    </row>
    <row r="82" spans="1:10" ht="15" customHeight="1">
      <c r="A82" s="20">
        <v>891800219</v>
      </c>
      <c r="B82" s="22" t="str">
        <f>VLOOKUP(A82,[1]!Tabla1[#All],2,FALSE)</f>
        <v>EBSA S.A. E.S.P.</v>
      </c>
      <c r="C82" s="22" t="str">
        <f>[1]Hoja1!F35</f>
        <v>comcel@gmail.com</v>
      </c>
      <c r="D82" s="22" t="str">
        <f>VLOOKUP(A82,[1]!Tabla1[#All],5,FALSE)</f>
        <v>7405000</v>
      </c>
      <c r="E82" s="23" t="s">
        <v>2327</v>
      </c>
      <c r="F82" s="22" t="s">
        <v>534</v>
      </c>
      <c r="G82" s="22">
        <v>334</v>
      </c>
      <c r="H82" s="24">
        <v>27169227</v>
      </c>
      <c r="I82" s="30">
        <v>0</v>
      </c>
      <c r="J82" s="31">
        <v>0</v>
      </c>
    </row>
    <row r="83" spans="1:10" ht="15" customHeight="1">
      <c r="A83" s="20">
        <v>900548102</v>
      </c>
      <c r="B83" s="22" t="str">
        <f>VLOOKUP(A83,[1]!Tabla1[#All],2,FALSE)</f>
        <v>AZTECA COMUNICACIONES COLOMBIA S A S</v>
      </c>
      <c r="C83" s="22" t="str">
        <f>[1]Hoja1!F36</f>
        <v>innovaciones@gmail.com</v>
      </c>
      <c r="D83" s="22" t="str">
        <f>VLOOKUP(A83,[1]!Tabla1[#All],4,FALSE)</f>
        <v>3152216947</v>
      </c>
      <c r="E83" s="23" t="s">
        <v>2328</v>
      </c>
      <c r="F83" s="22" t="s">
        <v>418</v>
      </c>
      <c r="G83" s="22">
        <v>334</v>
      </c>
      <c r="H83" s="24">
        <v>47159154</v>
      </c>
      <c r="I83" s="30">
        <v>0</v>
      </c>
      <c r="J83" s="31">
        <v>0</v>
      </c>
    </row>
    <row r="84" spans="1:10" ht="15" customHeight="1">
      <c r="A84" s="20">
        <v>830114921</v>
      </c>
      <c r="B84" s="22" t="str">
        <f>VLOOKUP(A84,[1]!Tabla1[#All],2,FALSE)</f>
        <v>COLOMBIA MOVIL S.A. E.S.P.</v>
      </c>
      <c r="C84" s="22" t="str">
        <f>[1]Hoja1!F37</f>
        <v>livetech@gmail.com</v>
      </c>
      <c r="D84" s="22" t="str">
        <f>VLOOKUP(A84,[1]!Tabla1[#All],5,FALSE)</f>
        <v>0180003000000</v>
      </c>
      <c r="E84" s="23" t="s">
        <v>2329</v>
      </c>
      <c r="F84" s="22" t="s">
        <v>418</v>
      </c>
      <c r="G84" s="22">
        <v>334</v>
      </c>
      <c r="H84" s="24">
        <v>2053223</v>
      </c>
      <c r="I84" s="30">
        <v>0</v>
      </c>
      <c r="J84" s="31">
        <v>0</v>
      </c>
    </row>
    <row r="85" spans="1:10" ht="15" customHeight="1">
      <c r="A85" s="20">
        <v>800153993</v>
      </c>
      <c r="B85" s="22" t="str">
        <f>VLOOKUP(A85,[1]!Tabla1[#All],2,FALSE)</f>
        <v>COMCEL S.A.</v>
      </c>
      <c r="C85" s="22" t="str">
        <f>[1]Hoja1!F38</f>
        <v>liwa@gmail.com</v>
      </c>
      <c r="D85" s="22">
        <v>7654433</v>
      </c>
      <c r="E85" s="23" t="s">
        <v>2330</v>
      </c>
      <c r="F85" s="22" t="s">
        <v>729</v>
      </c>
      <c r="G85" s="22">
        <v>334</v>
      </c>
      <c r="H85" s="24">
        <v>3295617</v>
      </c>
      <c r="I85" s="30">
        <v>0</v>
      </c>
      <c r="J85" s="31">
        <v>0</v>
      </c>
    </row>
    <row r="86" spans="1:10" ht="15" customHeight="1">
      <c r="A86" s="20">
        <v>901957809</v>
      </c>
      <c r="B86" s="22" t="str">
        <f>VLOOKUP(A86,[1]!Tabla1[#All],2,FALSE)</f>
        <v>FAST NET SOLUCIONES TECNOLOGICAS</v>
      </c>
      <c r="C86" s="22" t="str">
        <f>VLOOKUP(A86,[1]!Tabla1[#All],6,FALSE)</f>
        <v>fasnetinternet1@gmail.com</v>
      </c>
      <c r="D86" s="22" t="str">
        <f>VLOOKUP(A86,[1]!Tabla1[#All],4,FALSE)</f>
        <v>3214281899</v>
      </c>
      <c r="E86" s="23" t="s">
        <v>2331</v>
      </c>
      <c r="F86" s="22" t="s">
        <v>729</v>
      </c>
      <c r="G86" s="22">
        <v>334</v>
      </c>
      <c r="H86" s="24">
        <v>250000</v>
      </c>
      <c r="I86" s="30">
        <v>0</v>
      </c>
      <c r="J86" s="31">
        <v>0</v>
      </c>
    </row>
    <row r="87" spans="1:10" ht="15" customHeight="1">
      <c r="A87" s="20">
        <v>900421943</v>
      </c>
      <c r="B87" s="22" t="str">
        <f>VLOOKUP(A87,[1]!Tabla1[#All],2,FALSE)</f>
        <v>INNOVACIONES ELECTROMECANICAS DE CUCUTA S.A.S.</v>
      </c>
      <c r="C87" s="22" t="str">
        <f>[1]Hoja1!F39</f>
        <v>macrotics@gmail.com</v>
      </c>
      <c r="D87" s="22" t="str">
        <f>VLOOKUP(A87,[1]!Tabla1[#All],4,FALSE)</f>
        <v>75838929</v>
      </c>
      <c r="E87" s="23" t="s">
        <v>2332</v>
      </c>
      <c r="F87" s="22" t="s">
        <v>1738</v>
      </c>
      <c r="G87" s="22">
        <v>334</v>
      </c>
      <c r="H87" s="24">
        <v>900000</v>
      </c>
      <c r="I87" s="30">
        <v>0</v>
      </c>
      <c r="J87" s="31">
        <v>0</v>
      </c>
    </row>
    <row r="88" spans="1:10" ht="15" customHeight="1">
      <c r="A88" s="20">
        <v>901709959</v>
      </c>
      <c r="B88" s="22" t="str">
        <f>VLOOKUP(A88,[1]!Tabla1[#All],2,FALSE)</f>
        <v>LANLY COLOMBIA S.A.S</v>
      </c>
      <c r="C88" s="27" t="s">
        <v>2333</v>
      </c>
      <c r="D88" s="22" t="str">
        <f>VLOOKUP(A88,[1]!Tabla1[#All],4,FALSE)</f>
        <v>3213706646</v>
      </c>
      <c r="E88" s="23" t="s">
        <v>2334</v>
      </c>
      <c r="F88" s="22" t="s">
        <v>418</v>
      </c>
      <c r="G88" s="22">
        <v>334</v>
      </c>
      <c r="H88" s="24">
        <v>8428574</v>
      </c>
      <c r="I88" s="30">
        <v>0</v>
      </c>
      <c r="J88" s="31">
        <v>0</v>
      </c>
    </row>
    <row r="89" spans="1:10" ht="15" customHeight="1">
      <c r="A89" s="20">
        <v>811017576</v>
      </c>
      <c r="B89" s="22" t="str">
        <f>VLOOKUP(A89,[1]!Tabla1[#All],2,FALSE)</f>
        <v>LATINOAMERICANA TCA S.A.S.</v>
      </c>
      <c r="C89" s="22" t="str">
        <f>VLOOKUP(A89,[1]!Tabla1[#All],6,FALSE)</f>
        <v>facturacionelectronica@latinotca.com.co</v>
      </c>
      <c r="D89" s="22" t="str">
        <f>VLOOKUP(A89,[1]!Tabla1[#All],5,FALSE)</f>
        <v>5607900</v>
      </c>
      <c r="E89" s="23" t="s">
        <v>2335</v>
      </c>
      <c r="F89" s="22" t="s">
        <v>1548</v>
      </c>
      <c r="G89" s="22">
        <v>334</v>
      </c>
      <c r="H89" s="24">
        <v>19211013</v>
      </c>
      <c r="I89" s="30">
        <v>0</v>
      </c>
      <c r="J89" s="31">
        <v>0</v>
      </c>
    </row>
    <row r="90" spans="1:10" ht="15" customHeight="1">
      <c r="A90" s="20">
        <v>901260668</v>
      </c>
      <c r="B90" s="22" t="str">
        <f>VLOOKUP(A90,[1]!Tabla1[#All],2,FALSE)</f>
        <v>LIVETECH COLOMBIA S.A.S.</v>
      </c>
      <c r="C90" s="22" t="str">
        <f>[1]Hoja1!F40</f>
        <v>nice@gmail.com</v>
      </c>
      <c r="D90" s="22" t="str">
        <f>VLOOKUP(A90,[1]!Tabla1[#All],4,FALSE)</f>
        <v>6290266</v>
      </c>
      <c r="E90" s="23" t="s">
        <v>2336</v>
      </c>
      <c r="F90" s="22" t="s">
        <v>418</v>
      </c>
      <c r="G90" s="22">
        <v>334</v>
      </c>
      <c r="H90" s="24">
        <v>36325842</v>
      </c>
      <c r="I90" s="30">
        <v>0</v>
      </c>
      <c r="J90" s="31">
        <v>0</v>
      </c>
    </row>
    <row r="91" spans="1:10" ht="15" customHeight="1">
      <c r="A91" s="20">
        <v>830130125</v>
      </c>
      <c r="B91" s="22" t="str">
        <f>VLOOKUP(A91,[1]!Tabla1[#All],2,FALSE)</f>
        <v>LIWA SAS ESP</v>
      </c>
      <c r="C91" s="22" t="str">
        <f>[1]Hoja1!F41</f>
        <v>selling@gmail.com</v>
      </c>
      <c r="D91" s="22" t="str">
        <f>VLOOKUP(A93,[1]!Tabla1[#All],5,FALSE)</f>
        <v>3175731653</v>
      </c>
      <c r="E91" s="23" t="s">
        <v>2337</v>
      </c>
      <c r="F91" s="22" t="s">
        <v>729</v>
      </c>
      <c r="G91" s="22">
        <v>334</v>
      </c>
      <c r="H91" s="24">
        <v>2677308</v>
      </c>
      <c r="I91" s="30">
        <v>0</v>
      </c>
      <c r="J91" s="31">
        <v>0</v>
      </c>
    </row>
    <row r="92" spans="1:10" ht="15" customHeight="1">
      <c r="A92" s="20">
        <v>900434009</v>
      </c>
      <c r="B92" s="22" t="str">
        <f>VLOOKUP(A92,[1]!Tabla1[#All],2,FALSE)</f>
        <v>MACROTICS S.A.S. BOGOTA</v>
      </c>
      <c r="C92" s="22" t="str">
        <f>[1]Hoja1!F42</f>
        <v>serviseg@gmail.com</v>
      </c>
      <c r="D92" s="22" t="str">
        <f>VLOOKUP(A92,[1]!Tabla1[#All],5,FALSE)</f>
        <v>7437498</v>
      </c>
      <c r="E92" s="23" t="s">
        <v>2338</v>
      </c>
      <c r="F92" s="22" t="s">
        <v>418</v>
      </c>
      <c r="G92" s="22">
        <v>334</v>
      </c>
      <c r="H92" s="24">
        <v>28767310</v>
      </c>
      <c r="I92" s="30">
        <v>0</v>
      </c>
      <c r="J92" s="31">
        <v>0</v>
      </c>
    </row>
    <row r="93" spans="1:10" ht="15" customHeight="1">
      <c r="A93" s="20">
        <v>819006966</v>
      </c>
      <c r="B93" s="22" t="str">
        <f>VLOOKUP(A93,[1]!Tabla1[#All],2,FALSE)</f>
        <v>MEDIA COMMERCE PARTNERS S A S</v>
      </c>
      <c r="C93" s="22" t="str">
        <f>VLOOKUP(A93,[1]!Tabla1[#All],6,FALSE)</f>
        <v>cuentasporpagar@mc.net.co</v>
      </c>
      <c r="D93" s="22" t="str">
        <f>VLOOKUP(A93,[1]!Tabla1[#All],4,FALSE)</f>
        <v>3163781417</v>
      </c>
      <c r="E93" s="23" t="s">
        <v>2339</v>
      </c>
      <c r="F93" s="22" t="s">
        <v>729</v>
      </c>
      <c r="G93" s="22">
        <v>334</v>
      </c>
      <c r="H93" s="24">
        <v>39600000</v>
      </c>
      <c r="I93" s="30">
        <v>0</v>
      </c>
      <c r="J93" s="31">
        <v>0</v>
      </c>
    </row>
    <row r="94" spans="1:10" ht="15" customHeight="1">
      <c r="A94" s="20">
        <v>901668793</v>
      </c>
      <c r="B94" s="22" t="str">
        <f>VLOOKUP(A94,[1]!Tabla1[#All],2,FALSE)</f>
        <v>MUNDIAL DE CAMARAS SAS</v>
      </c>
      <c r="C94" s="22" t="str">
        <f>VLOOKUP(A94,[1]!Tabla1[#All],6,FALSE)</f>
        <v>mundialdecamarassas@gmail.com</v>
      </c>
      <c r="D94" s="22" t="str">
        <f>VLOOKUP(A94,[1]!Tabla1[#All],4,FALSE)</f>
        <v>3041243224</v>
      </c>
      <c r="E94" s="23" t="s">
        <v>2340</v>
      </c>
      <c r="F94" s="22" t="s">
        <v>729</v>
      </c>
      <c r="G94" s="22">
        <v>334</v>
      </c>
      <c r="H94" s="24">
        <v>514287</v>
      </c>
      <c r="I94" s="30">
        <v>0</v>
      </c>
      <c r="J94" s="31">
        <v>0</v>
      </c>
    </row>
    <row r="95" spans="1:10" ht="15" customHeight="1">
      <c r="A95" s="20">
        <v>900244129</v>
      </c>
      <c r="B95" s="22" t="str">
        <f>VLOOKUP(A95,[1]!Tabla1[#All],2,FALSE)</f>
        <v>SELLING S A S</v>
      </c>
      <c r="C95" s="22" t="str">
        <f>[1]Hoja1!F44</f>
        <v>syscom@gmail.com</v>
      </c>
      <c r="D95" s="22" t="str">
        <f>VLOOKUP(A95,[1]!Tabla1[#All],4,FALSE)</f>
        <v>5176612</v>
      </c>
      <c r="E95" s="23" t="s">
        <v>2341</v>
      </c>
      <c r="F95" s="22" t="s">
        <v>418</v>
      </c>
      <c r="G95" s="22">
        <v>334</v>
      </c>
      <c r="H95" s="24">
        <v>850500</v>
      </c>
      <c r="I95" s="30">
        <v>0</v>
      </c>
      <c r="J95" s="31">
        <v>0</v>
      </c>
    </row>
    <row r="96" spans="1:10" ht="15" customHeight="1">
      <c r="A96" s="20">
        <v>901448346</v>
      </c>
      <c r="B96" s="22" t="str">
        <f>VLOOKUP(A96,[1]!Tabla1[#All],2,FALSE)</f>
        <v>SERVISEG TOOLS COMPANY S.A.S</v>
      </c>
      <c r="C96" s="22" t="str">
        <f>[1]Hoja1!F45</f>
        <v>teleredes@gmail.com</v>
      </c>
      <c r="D96" s="22" t="str">
        <f>VLOOKUP(A96,[1]!Tabla1[#All],4,FALSE)</f>
        <v>3107679848</v>
      </c>
      <c r="E96" s="23" t="s">
        <v>2342</v>
      </c>
      <c r="F96" s="22" t="s">
        <v>729</v>
      </c>
      <c r="G96" s="22">
        <v>334</v>
      </c>
      <c r="H96" s="24">
        <v>268907</v>
      </c>
      <c r="I96" s="30">
        <v>0</v>
      </c>
      <c r="J96" s="31">
        <v>0</v>
      </c>
    </row>
    <row r="97" spans="1:10" ht="15" customHeight="1">
      <c r="A97" s="20">
        <v>900794750</v>
      </c>
      <c r="B97" s="22" t="str">
        <f>VLOOKUP(A97,[1]!Tabla1[#All],2,FALSE)</f>
        <v>SISCOAX S.A.S.</v>
      </c>
      <c r="C97" s="22" t="str">
        <f>[1]Hoja1!F46</f>
        <v>tx@gmail.com</v>
      </c>
      <c r="D97" s="22" t="str">
        <f>VLOOKUP(A97,[1]!Tabla1[#All],5,FALSE)</f>
        <v>4446177</v>
      </c>
      <c r="E97" s="23" t="s">
        <v>2343</v>
      </c>
      <c r="F97" s="22" t="s">
        <v>351</v>
      </c>
      <c r="G97" s="22">
        <v>334</v>
      </c>
      <c r="H97" s="24">
        <v>5850744</v>
      </c>
      <c r="I97" s="30">
        <v>0</v>
      </c>
      <c r="J97" s="31">
        <v>0</v>
      </c>
    </row>
    <row r="98" spans="1:10" ht="15" customHeight="1">
      <c r="A98" s="20">
        <v>901192317</v>
      </c>
      <c r="B98" s="22" t="str">
        <f>VLOOKUP(A98,[1]!Tabla1[#All],2,FALSE)</f>
        <v>SYSCOM COLOMBIA SAS</v>
      </c>
      <c r="C98" s="22" t="str">
        <f>[1]Hoja1!F47</f>
        <v>une@gmail.com</v>
      </c>
      <c r="D98" s="22" t="str">
        <f>VLOOKUP(A98,[1]!Tabla1[#All],4,FALSE)</f>
        <v>7443650</v>
      </c>
      <c r="E98" s="23" t="s">
        <v>2344</v>
      </c>
      <c r="F98" s="22" t="s">
        <v>418</v>
      </c>
      <c r="G98" s="22">
        <v>334</v>
      </c>
      <c r="H98" s="24">
        <v>56189341</v>
      </c>
      <c r="I98" s="30">
        <v>0</v>
      </c>
      <c r="J98" s="31">
        <v>0</v>
      </c>
    </row>
    <row r="99" spans="1:10" ht="15" customHeight="1">
      <c r="A99" s="20">
        <v>900523032</v>
      </c>
      <c r="B99" s="22" t="str">
        <f>VLOOKUP(A99,[1]!Tabla1[#All],2,FALSE)</f>
        <v>TELEREDES.PUNTO ROJO SAS</v>
      </c>
      <c r="C99" s="22" t="str">
        <f>[1]Hoja1!F48</f>
        <v>municipio@gmail.com</v>
      </c>
      <c r="D99" s="22" t="str">
        <f>VLOOKUP(A99,[1]!Tabla1[#All],4,FALSE)</f>
        <v>3115222208</v>
      </c>
      <c r="E99" s="23" t="s">
        <v>2345</v>
      </c>
      <c r="F99" s="22" t="s">
        <v>418</v>
      </c>
      <c r="G99" s="22">
        <v>334</v>
      </c>
      <c r="H99" s="24">
        <v>8850000</v>
      </c>
      <c r="I99" s="30">
        <v>0</v>
      </c>
      <c r="J99" s="31">
        <v>0</v>
      </c>
    </row>
    <row r="100" spans="1:10" ht="15" customHeight="1">
      <c r="A100" s="20">
        <v>901957420</v>
      </c>
      <c r="B100" s="22" t="str">
        <f>VLOOKUP(A100,[1]!Tabla1[#All],2,FALSE)</f>
        <v>TIERRA SOLAR SAS</v>
      </c>
      <c r="C100" s="22" t="str">
        <f>VLOOKUP(A100,[1]!Tabla1[#All],6,FALSE)</f>
        <v>tierrasolar.info@gmail.com</v>
      </c>
      <c r="D100" s="22" t="str">
        <f>VLOOKUP(A100,[1]!Tabla1[#All],4,FALSE)</f>
        <v>3024368766</v>
      </c>
      <c r="E100" s="23" t="s">
        <v>2346</v>
      </c>
      <c r="F100" s="22" t="s">
        <v>418</v>
      </c>
      <c r="G100" s="22">
        <v>334</v>
      </c>
      <c r="H100" s="24">
        <v>578000</v>
      </c>
      <c r="I100" s="30">
        <v>0</v>
      </c>
      <c r="J100" s="31">
        <v>0</v>
      </c>
    </row>
    <row r="101" spans="1:10" ht="15" customHeight="1">
      <c r="A101" s="20">
        <v>900136510</v>
      </c>
      <c r="B101" s="22" t="str">
        <f>VLOOKUP(A101,[1]!Tabla1[#All],2,FALSE)</f>
        <v>TNC ELECTRONICS S.A.S.</v>
      </c>
      <c r="C101" s="22" t="str">
        <f>VLOOKUP(A101,[1]!Tabla1[#All],6,FALSE)</f>
        <v>tncelectronicsltda@hotmail.com</v>
      </c>
      <c r="D101" s="22" t="str">
        <f>VLOOKUP(A101,[1]!Tabla1[#All],4,FALSE)</f>
        <v>3114937504</v>
      </c>
      <c r="E101" s="23" t="s">
        <v>2347</v>
      </c>
      <c r="F101" s="22" t="s">
        <v>729</v>
      </c>
      <c r="G101" s="22">
        <v>334</v>
      </c>
      <c r="H101" s="24">
        <v>958824</v>
      </c>
      <c r="I101" s="30">
        <v>0</v>
      </c>
      <c r="J101" s="31">
        <v>0</v>
      </c>
    </row>
    <row r="102" spans="1:10" ht="15" customHeight="1">
      <c r="A102" s="20">
        <v>900253167</v>
      </c>
      <c r="B102" s="22" t="str">
        <f>VLOOKUP(A102,[1]!Tabla1[#All],2,FALSE)</f>
        <v>TX SOLUCIONES SAS</v>
      </c>
      <c r="C102" s="22" t="str">
        <f>[1]Hoja1!F49</f>
        <v>municipio@gmail.com</v>
      </c>
      <c r="D102" s="22" t="str">
        <f>VLOOKUP(A102,[1]!Tabla1[#All],4,FALSE)</f>
        <v>3135458784</v>
      </c>
      <c r="E102" s="23" t="s">
        <v>2348</v>
      </c>
      <c r="F102" s="22" t="s">
        <v>418</v>
      </c>
      <c r="G102" s="22">
        <v>334</v>
      </c>
      <c r="H102" s="24">
        <v>1899159</v>
      </c>
      <c r="I102" s="30">
        <v>0</v>
      </c>
      <c r="J102" s="31">
        <v>0</v>
      </c>
    </row>
    <row r="103" spans="1:10" ht="15" customHeight="1">
      <c r="A103" s="20">
        <v>900092385</v>
      </c>
      <c r="B103" s="22" t="str">
        <f>VLOOKUP(A103,[1]!Tabla1[#All],2,FALSE)</f>
        <v>UNE EPM TELECOMUNICACIONES S.A.</v>
      </c>
      <c r="C103" s="22" t="str">
        <f>[1]Hoja1!F50</f>
        <v>municipio@gmail.com</v>
      </c>
      <c r="D103" s="22">
        <v>76543367</v>
      </c>
      <c r="E103" s="23" t="s">
        <v>2349</v>
      </c>
      <c r="F103" s="22" t="s">
        <v>1548</v>
      </c>
      <c r="G103" s="22">
        <v>334</v>
      </c>
      <c r="H103" s="24">
        <v>18508881</v>
      </c>
      <c r="I103" s="30">
        <v>0</v>
      </c>
      <c r="J103" s="31">
        <v>0</v>
      </c>
    </row>
    <row r="104" spans="1:10" ht="15" customHeight="1">
      <c r="A104" s="20">
        <v>901516842</v>
      </c>
      <c r="B104" s="22" t="str">
        <f>VLOOKUP(A104,[1]!Tabla1[#All],2,FALSE)</f>
        <v>WINCO INTERNET COLOMBIA SAS</v>
      </c>
      <c r="C104" s="22" t="str">
        <f>VLOOKUP(A104,[1]!Tabla1[#All],6,FALSE)</f>
        <v>wimco.internet@gmail.com</v>
      </c>
      <c r="D104" s="22" t="str">
        <f>VLOOKUP(A104,[1]!Tabla1[#All],4,FALSE)</f>
        <v>3108667060</v>
      </c>
      <c r="E104" s="23" t="s">
        <v>2350</v>
      </c>
      <c r="F104" s="22" t="s">
        <v>729</v>
      </c>
      <c r="G104" s="22">
        <v>334</v>
      </c>
      <c r="H104" s="24">
        <v>480000</v>
      </c>
      <c r="I104" s="30">
        <v>0</v>
      </c>
      <c r="J104" s="31">
        <v>0</v>
      </c>
    </row>
    <row r="105" spans="1:10" ht="15" customHeight="1">
      <c r="A105" s="20">
        <v>901847803</v>
      </c>
      <c r="B105" s="22" t="str">
        <f>VLOOKUP(A105,[1]!Tabla1[#All],2,FALSE)</f>
        <v>Cormercializadora y Distribuidora Grupo Colombiano</v>
      </c>
      <c r="C105" s="22" t="str">
        <f>VLOOKUP(A105,[1]!Tabla1[#All],6,FALSE)</f>
        <v>grupocolombiano@indusutuuniforme.com</v>
      </c>
      <c r="D105" s="22" t="str">
        <f>VLOOKUP(A105,[1]!Tabla1[#All],4,FALSE)</f>
        <v>3166284567</v>
      </c>
      <c r="E105" s="23" t="s">
        <v>2351</v>
      </c>
      <c r="F105" s="22" t="s">
        <v>729</v>
      </c>
      <c r="G105" s="22">
        <v>334</v>
      </c>
      <c r="H105" s="24">
        <v>6265000</v>
      </c>
      <c r="I105" s="30">
        <v>0</v>
      </c>
      <c r="J105" s="31">
        <v>0</v>
      </c>
    </row>
    <row r="106" spans="1:10" ht="15" customHeight="1">
      <c r="A106" s="20">
        <v>900866471</v>
      </c>
      <c r="B106" s="22" t="str">
        <f>VLOOKUP(A106,[1]!Tabla1[#All],2,FALSE)</f>
        <v>FRANJA SOLUCIONES OCUPACIONALES S.A.S.</v>
      </c>
      <c r="C106" s="22" t="str">
        <f>[1]Hoja1!F57</f>
        <v>camara@gmail.com</v>
      </c>
      <c r="D106" s="22" t="str">
        <f>VLOOKUP(A106,[1]!Tabla1[#All],4,FALSE)</f>
        <v>3108589312</v>
      </c>
      <c r="E106" s="23" t="s">
        <v>2352</v>
      </c>
      <c r="F106" s="22" t="s">
        <v>729</v>
      </c>
      <c r="G106" s="22">
        <v>334</v>
      </c>
      <c r="H106" s="24">
        <v>968400</v>
      </c>
      <c r="I106" s="30">
        <v>0</v>
      </c>
      <c r="J106" s="31">
        <v>0</v>
      </c>
    </row>
    <row r="107" spans="1:10" ht="15" customHeight="1">
      <c r="A107" s="20">
        <v>860002400</v>
      </c>
      <c r="B107" s="22" t="str">
        <f>VLOOKUP(A107,[1]!Tabla1[#All],2,FALSE)</f>
        <v>Previsora S.A. compañia de seguros</v>
      </c>
      <c r="C107" s="22" t="str">
        <f>[1]Hoja1!F58</f>
        <v>inversiones@gmail.com</v>
      </c>
      <c r="D107" s="22" t="str">
        <f>VLOOKUP(A105,[1]!Tabla1[#All],5,FALSE)</f>
        <v>3166284567</v>
      </c>
      <c r="E107" s="23" t="s">
        <v>2353</v>
      </c>
      <c r="F107" s="22" t="s">
        <v>729</v>
      </c>
      <c r="G107" s="22">
        <v>334</v>
      </c>
      <c r="H107" s="24">
        <v>1707500</v>
      </c>
      <c r="I107" s="30">
        <v>0</v>
      </c>
      <c r="J107" s="31">
        <v>0</v>
      </c>
    </row>
    <row r="108" spans="1:10" ht="15" customHeight="1">
      <c r="A108" s="20">
        <v>860009578</v>
      </c>
      <c r="B108" s="22" t="str">
        <f>VLOOKUP(A108,[1]!Tabla1[#All],2,FALSE)</f>
        <v>SEGUROS DEL ESTADO S.A.</v>
      </c>
      <c r="C108" s="22" t="str">
        <f>[1]Hoja1!F59</f>
        <v>seguros@gmail.com</v>
      </c>
      <c r="D108" s="22" t="str">
        <f>VLOOKUP(A108,[1]!Tabla1[#All],4,FALSE)</f>
        <v>6019330</v>
      </c>
      <c r="E108" s="23" t="s">
        <v>2354</v>
      </c>
      <c r="F108" s="22" t="s">
        <v>418</v>
      </c>
      <c r="G108" s="22">
        <v>334</v>
      </c>
      <c r="H108" s="24">
        <v>570940</v>
      </c>
      <c r="I108" s="30">
        <v>0</v>
      </c>
      <c r="J108" s="31">
        <v>0</v>
      </c>
    </row>
    <row r="109" spans="1:10" ht="15" customHeight="1">
      <c r="A109" s="20">
        <v>891855025</v>
      </c>
      <c r="B109" s="22" t="str">
        <f>VLOOKUP(A109,[1]!Tabla1[#All],2,FALSE)</f>
        <v>CAMARA DE COMERCIO DE DUITAMA</v>
      </c>
      <c r="C109" s="27" t="s">
        <v>2355</v>
      </c>
      <c r="D109" s="28">
        <v>7405848</v>
      </c>
      <c r="E109" s="23" t="s">
        <v>2356</v>
      </c>
      <c r="F109" s="22" t="s">
        <v>729</v>
      </c>
      <c r="G109" s="22">
        <v>334</v>
      </c>
      <c r="H109" s="24">
        <v>1936700</v>
      </c>
      <c r="I109" s="30">
        <v>0</v>
      </c>
      <c r="J109" s="31">
        <v>0</v>
      </c>
    </row>
    <row r="110" spans="1:10" ht="15" customHeight="1">
      <c r="A110" s="20">
        <v>900883324</v>
      </c>
      <c r="B110" s="22" t="str">
        <f>VLOOKUP(A110,[1]!Tabla1[#All],2,FALSE)</f>
        <v>Log tec consultinng Group S.A.S</v>
      </c>
      <c r="C110" s="22" t="str">
        <f>VLOOKUP(A110,[1]!Tabla1[#All],6,FALSE)</f>
        <v>administrativa@logtecgroup.com.co</v>
      </c>
      <c r="D110" s="22" t="str">
        <f>VLOOKUP(A110,[1]!Tabla1[#All],5,FALSE)</f>
        <v>9244398</v>
      </c>
      <c r="E110" s="23" t="s">
        <v>2357</v>
      </c>
      <c r="F110" s="22" t="s">
        <v>729</v>
      </c>
      <c r="G110" s="22">
        <v>334</v>
      </c>
      <c r="H110" s="24">
        <v>2779169</v>
      </c>
      <c r="I110" s="30">
        <v>0</v>
      </c>
      <c r="J110" s="31">
        <v>0</v>
      </c>
    </row>
    <row r="111" spans="1:10" ht="15" customHeight="1">
      <c r="A111" s="20">
        <v>900028095</v>
      </c>
      <c r="B111" s="22" t="str">
        <f>VLOOKUP(A111,[1]!Tabla1[#All],2,FALSE)</f>
        <v>COMPRESSSED NATURAL GAS COLOMBIA SAS EDS LOS LAURELES</v>
      </c>
      <c r="C111" s="22" t="str">
        <f>VLOOKUP(A111,[1]!Tabla1[#All],6,FALSE)</f>
        <v>cngas@cngas.com.co</v>
      </c>
      <c r="D111" s="22" t="str">
        <f>VLOOKUP(A111,[1]!Tabla1[#All],5,FALSE)</f>
        <v>6015235290</v>
      </c>
      <c r="E111" s="23" t="s">
        <v>2358</v>
      </c>
      <c r="F111" s="22" t="s">
        <v>729</v>
      </c>
      <c r="G111" s="22">
        <v>334</v>
      </c>
      <c r="H111" s="24">
        <v>472568</v>
      </c>
      <c r="I111" s="30">
        <v>0</v>
      </c>
      <c r="J111" s="31">
        <v>0</v>
      </c>
    </row>
    <row r="112" spans="1:10" ht="15" customHeight="1">
      <c r="A112" s="20">
        <v>891855859</v>
      </c>
      <c r="B112" s="22" t="str">
        <f>VLOOKUP(A112,[1]!Tabla1[#All],2,FALSE)</f>
        <v>INVERSIONES Y PROMOCIONES S.A.S.</v>
      </c>
      <c r="C112" s="22" t="str">
        <f>[1]Hoja1!F61</f>
        <v>serviseg@gmail.com</v>
      </c>
      <c r="D112" s="22" t="str">
        <f>VLOOKUP(A112,[1]!Tabla1[#All],5,FALSE)</f>
        <v>7651028</v>
      </c>
      <c r="E112" s="23" t="s">
        <v>2359</v>
      </c>
      <c r="F112" s="22" t="s">
        <v>729</v>
      </c>
      <c r="G112" s="22">
        <v>334</v>
      </c>
      <c r="H112" s="24">
        <v>8189442</v>
      </c>
      <c r="I112" s="30">
        <v>0</v>
      </c>
      <c r="J112" s="31">
        <v>0</v>
      </c>
    </row>
    <row r="113" spans="1:10" ht="15" customHeight="1">
      <c r="A113" s="20">
        <v>890903407</v>
      </c>
      <c r="B113" s="22" t="str">
        <f>VLOOKUP(A113,[1]!Tabla1[#All],2,FALSE)</f>
        <v>SEGUROS GENERALES SURAMERICANA S. A.</v>
      </c>
      <c r="C113" s="22" t="str">
        <f>[1]Hoja1!F62</f>
        <v>super@gmail.com</v>
      </c>
      <c r="D113" s="22" t="str">
        <f>VLOOKUP(A113,[1]!Tabla1[#All],4,FALSE)</f>
        <v>600 411 1000</v>
      </c>
      <c r="E113" s="23" t="s">
        <v>2360</v>
      </c>
      <c r="F113" s="22" t="s">
        <v>1548</v>
      </c>
      <c r="G113" s="22">
        <v>334</v>
      </c>
      <c r="H113" s="24">
        <v>591246</v>
      </c>
      <c r="I113" s="30">
        <v>0</v>
      </c>
      <c r="J113" s="31">
        <v>0</v>
      </c>
    </row>
    <row r="114" spans="1:10" ht="15" customHeight="1">
      <c r="A114" s="20">
        <v>901226545</v>
      </c>
      <c r="B114" s="22" t="str">
        <f>VLOOKUP(A114,[1]!Tabla1[#All],2,FALSE)</f>
        <v>TRIPLE CLEAN S.A.S.</v>
      </c>
      <c r="C114" s="22" t="str">
        <f>VLOOKUP(A114,[1]!Tabla1[#All],6,FALSE)</f>
        <v>tripleclean@tripleclean.com.co</v>
      </c>
      <c r="D114" s="22" t="str">
        <f>VLOOKUP(A114,[1]!Tabla1[#All],4,FALSE)</f>
        <v>3213358412</v>
      </c>
      <c r="E114" s="23" t="s">
        <v>2361</v>
      </c>
      <c r="F114" s="22" t="s">
        <v>1244</v>
      </c>
      <c r="G114" s="22">
        <v>334</v>
      </c>
      <c r="H114" s="24">
        <v>36323</v>
      </c>
      <c r="I114" s="30">
        <v>0</v>
      </c>
      <c r="J114" s="31">
        <v>0</v>
      </c>
    </row>
    <row r="115" spans="1:10" ht="15" customHeight="1">
      <c r="A115" s="20">
        <v>891855193</v>
      </c>
      <c r="B115" s="22" t="str">
        <f>VLOOKUP(A115,[1]!Tabla1[#All],2,FALSE)</f>
        <v>BENEMERITO CUERPO DE BOMBEROS VOLUNTARIOS DE DUITAMA</v>
      </c>
      <c r="C115" s="22" t="str">
        <f>[1]Hoja1!F63</f>
        <v>h@gmail.com</v>
      </c>
      <c r="D115" s="22" t="str">
        <f>VLOOKUP(A115,[1]!Tabla1[#All],4,FALSE)</f>
        <v>3105788203</v>
      </c>
      <c r="E115" s="23" t="s">
        <v>2362</v>
      </c>
      <c r="F115" s="22" t="s">
        <v>729</v>
      </c>
      <c r="G115" s="22">
        <v>334</v>
      </c>
      <c r="H115" s="24">
        <v>92436</v>
      </c>
      <c r="I115" s="30">
        <v>0</v>
      </c>
      <c r="J115" s="31">
        <v>0</v>
      </c>
    </row>
    <row r="116" spans="1:10" ht="15" customHeight="1">
      <c r="A116" s="20">
        <v>901552816</v>
      </c>
      <c r="B116" s="22" t="str">
        <f>VLOOKUP(A116,[1]!Tabla1[#All],2,FALSE)</f>
        <v>CHEMAZ REPUESTOS CD SAS</v>
      </c>
      <c r="C116" s="22" t="str">
        <f>VLOOKUP(A116,[1]!Tabla1[#All],6,FALSE)</f>
        <v>deisyps1024@gmail.com</v>
      </c>
      <c r="D116" s="22" t="str">
        <f>VLOOKUP(A116,[1]!Tabla1[#All],4,FALSE)</f>
        <v>3134034054</v>
      </c>
      <c r="E116" s="23" t="s">
        <v>2363</v>
      </c>
      <c r="F116" s="22" t="s">
        <v>418</v>
      </c>
      <c r="G116" s="22">
        <v>334</v>
      </c>
      <c r="H116" s="24">
        <v>134454</v>
      </c>
      <c r="I116" s="30">
        <v>0</v>
      </c>
      <c r="J116" s="31">
        <v>0</v>
      </c>
    </row>
    <row r="117" spans="1:10" ht="15" customHeight="1">
      <c r="A117" s="20">
        <v>901448346</v>
      </c>
      <c r="B117" s="22" t="str">
        <f>VLOOKUP(A117,[1]!Tabla1[#All],2,FALSE)</f>
        <v>SERVISEG TOOLS COMPANY S.A.S</v>
      </c>
      <c r="C117" s="22" t="str">
        <f>[1]Hoja1!F64</f>
        <v>inversiones@gmail.com</v>
      </c>
      <c r="D117" s="22" t="str">
        <f>VLOOKUP(A117,[1]!Tabla1[#All],4,FALSE)</f>
        <v>3107679848</v>
      </c>
      <c r="E117" s="23" t="s">
        <v>2342</v>
      </c>
      <c r="F117" s="22" t="s">
        <v>729</v>
      </c>
      <c r="G117" s="22">
        <v>334</v>
      </c>
      <c r="H117" s="24">
        <v>297100</v>
      </c>
      <c r="I117" s="30">
        <v>0</v>
      </c>
      <c r="J117" s="31">
        <v>0</v>
      </c>
    </row>
    <row r="118" spans="1:10" ht="15" customHeight="1">
      <c r="A118" s="20">
        <v>891855991</v>
      </c>
      <c r="B118" s="22" t="str">
        <f>VLOOKUP(A118,[1]!Tabla1[#All],2,FALSE)</f>
        <v>SUPER SERVICIOS BOYACA S.A.S.</v>
      </c>
      <c r="C118" s="22" t="str">
        <f>[1]Hoja1!F65</f>
        <v>maria@gmail.com</v>
      </c>
      <c r="D118" s="25">
        <v>3007688733</v>
      </c>
      <c r="E118" s="23" t="s">
        <v>2325</v>
      </c>
      <c r="F118" s="22" t="s">
        <v>729</v>
      </c>
      <c r="G118" s="22">
        <v>334</v>
      </c>
      <c r="H118" s="24">
        <v>230092</v>
      </c>
      <c r="I118" s="30">
        <v>0</v>
      </c>
      <c r="J118" s="31">
        <v>0</v>
      </c>
    </row>
    <row r="119" spans="1:10" ht="15" customHeight="1">
      <c r="A119" s="20">
        <v>826000515</v>
      </c>
      <c r="B119" s="22" t="str">
        <f>VLOOKUP(A119,[1]!Tabla1[#All],2,FALSE)</f>
        <v>AMORTIGUADORES Y FRENOS LIMITADA</v>
      </c>
      <c r="C119" s="22" t="str">
        <f>VLOOKUP(A119,[1]!Tabla1[#All],6,FALSE)</f>
        <v>amortifrenosltda@hotmail.com</v>
      </c>
      <c r="D119" s="22" t="str">
        <f>VLOOKUP(A119,[1]!Tabla1[#All],4,FALSE)</f>
        <v>387620633</v>
      </c>
      <c r="E119" s="23" t="s">
        <v>2364</v>
      </c>
      <c r="F119" s="22" t="s">
        <v>729</v>
      </c>
      <c r="G119" s="22">
        <v>334</v>
      </c>
      <c r="H119" s="24">
        <v>210084</v>
      </c>
      <c r="I119" s="30">
        <v>0</v>
      </c>
      <c r="J119" s="31">
        <v>0</v>
      </c>
    </row>
    <row r="120" spans="1:10" ht="15" customHeight="1">
      <c r="A120" s="20">
        <v>830099846</v>
      </c>
      <c r="B120" s="22" t="str">
        <f>VLOOKUP(A120,[1]!Tabla1[#All],2,FALSE)</f>
        <v>MATRIX TELCOM LTDA</v>
      </c>
      <c r="C120" s="22" t="str">
        <f>VLOOKUP(A120,[1]!Tabla1[#All],6,FALSE)</f>
        <v>contabilidad2@matrixtelcom.co</v>
      </c>
      <c r="D120" s="22" t="str">
        <f>VLOOKUP(A120,[1]!Tabla1[#All],5,FALSE)</f>
        <v>4080700</v>
      </c>
      <c r="E120" s="23" t="s">
        <v>2365</v>
      </c>
      <c r="F120" s="22" t="s">
        <v>418</v>
      </c>
      <c r="G120" s="22">
        <v>334</v>
      </c>
      <c r="H120" s="24">
        <v>580000</v>
      </c>
      <c r="I120" s="30">
        <v>0</v>
      </c>
      <c r="J120" s="31">
        <v>0</v>
      </c>
    </row>
    <row r="121" spans="1:10" ht="15" customHeight="1">
      <c r="A121" s="20">
        <v>891855600</v>
      </c>
      <c r="B121" s="22" t="str">
        <f>VLOOKUP(A121,[1]!Tabla1[#All],2,FALSE)</f>
        <v>DISTRIBUIDORA DE COMBUSTIBLE EL SOL SAS</v>
      </c>
      <c r="C121" s="22" t="str">
        <f>VLOOKUP(A121,[1]!Tabla1[#All],6,FALSE)</f>
        <v>comprasdlcosol@gmail.com</v>
      </c>
      <c r="D121" s="22" t="str">
        <f>VLOOKUP(A121,[1]!Tabla1[#All],4,FALSE)</f>
        <v>6087603303</v>
      </c>
      <c r="E121" s="23" t="s">
        <v>2366</v>
      </c>
      <c r="F121" s="22" t="s">
        <v>729</v>
      </c>
      <c r="G121" s="22">
        <v>334</v>
      </c>
      <c r="H121" s="24">
        <v>350019</v>
      </c>
      <c r="I121" s="30">
        <v>0</v>
      </c>
      <c r="J121" s="31">
        <v>0</v>
      </c>
    </row>
    <row r="122" spans="1:10" ht="15" customHeight="1">
      <c r="A122" s="20">
        <v>901046216</v>
      </c>
      <c r="B122" s="22" t="str">
        <f>VLOOKUP(A122,[1]!Tabla1[#All],2,FALSE)</f>
        <v>H &amp; R ENERGY S.A.S.</v>
      </c>
      <c r="C122" s="27" t="s">
        <v>2367</v>
      </c>
      <c r="D122" s="22" t="str">
        <f>VLOOKUP(A122,[1]!Tabla1[#All],5,FALSE)</f>
        <v>3602772</v>
      </c>
      <c r="E122" s="23" t="s">
        <v>2368</v>
      </c>
      <c r="F122" s="22" t="s">
        <v>729</v>
      </c>
      <c r="G122" s="22">
        <v>334</v>
      </c>
      <c r="H122" s="24">
        <v>240000</v>
      </c>
      <c r="I122" s="30">
        <v>0</v>
      </c>
      <c r="J122" s="31">
        <v>0</v>
      </c>
    </row>
    <row r="123" spans="1:10" ht="15" customHeight="1">
      <c r="A123" s="20">
        <v>901242839</v>
      </c>
      <c r="B123" s="22" t="str">
        <f>VLOOKUP(A123,[1]!Tabla1[#All],2,FALSE)</f>
        <v>INVERSIONES RODRIGUEZ MURCIA S.A.S.</v>
      </c>
      <c r="C123" s="22" t="str">
        <f>[1]Hoja1!F67</f>
        <v>almacenes@gmail.com</v>
      </c>
      <c r="D123" s="22" t="str">
        <f>VLOOKUP(A132,[1]!Tabla1[#All],5,FALSE)</f>
        <v>7612342</v>
      </c>
      <c r="E123" s="23" t="s">
        <v>2369</v>
      </c>
      <c r="F123" s="22" t="s">
        <v>729</v>
      </c>
      <c r="G123" s="22">
        <v>334</v>
      </c>
      <c r="H123" s="24">
        <v>1172800</v>
      </c>
      <c r="I123" s="30">
        <v>0</v>
      </c>
      <c r="J123" s="31">
        <v>0</v>
      </c>
    </row>
    <row r="124" spans="1:10" ht="15" customHeight="1">
      <c r="A124" s="20">
        <v>24048305</v>
      </c>
      <c r="B124" s="22" t="str">
        <f>VLOOKUP(A124,[1]!Tabla1[#All],2,FALSE)</f>
        <v>MARIA EUGENIA RUIZ REYES</v>
      </c>
      <c r="C124" s="22" t="str">
        <f>[1]Hoja1!F68</f>
        <v>deisyliliana@gmail.com</v>
      </c>
      <c r="D124" s="22" t="str">
        <f>VLOOKUP(A124,[1]!Tabla1[#All],4,FALSE)</f>
        <v>3124791761</v>
      </c>
      <c r="E124" s="23" t="s">
        <v>2370</v>
      </c>
      <c r="F124" s="22" t="s">
        <v>683</v>
      </c>
      <c r="G124" s="22">
        <v>334</v>
      </c>
      <c r="H124" s="24">
        <v>70000</v>
      </c>
      <c r="I124" s="30">
        <v>0</v>
      </c>
      <c r="J124" s="31">
        <v>0</v>
      </c>
    </row>
    <row r="125" spans="1:10" ht="15" customHeight="1">
      <c r="A125" s="20">
        <v>900512316</v>
      </c>
      <c r="B125" s="22" t="str">
        <f>VLOOKUP(A125,[1]!Tabla1[#All],2,FALSE)</f>
        <v>CELNOVA S.A.S.</v>
      </c>
      <c r="C125" s="22" t="str">
        <f>VLOOKUP(A125,[1]!Tabla1[#All],6,FALSE)</f>
        <v>gerencia@celnova.net</v>
      </c>
      <c r="D125" s="22" t="str">
        <f>VLOOKUP(A125,[1]!Tabla1[#All],4,FALSE)</f>
        <v>3118220914</v>
      </c>
      <c r="E125" s="23" t="s">
        <v>2371</v>
      </c>
      <c r="F125" s="22" t="s">
        <v>418</v>
      </c>
      <c r="G125" s="22">
        <v>334</v>
      </c>
      <c r="H125" s="24">
        <v>247899</v>
      </c>
      <c r="I125" s="30">
        <v>0</v>
      </c>
      <c r="J125" s="31">
        <v>0</v>
      </c>
    </row>
    <row r="126" spans="1:10" ht="15" customHeight="1">
      <c r="A126" s="20">
        <v>810000630</v>
      </c>
      <c r="B126" s="22" t="str">
        <f>VLOOKUP(A126,[1]!Tabla1[#All],2,FALSE)</f>
        <v>INSOFT .A.S.</v>
      </c>
      <c r="C126" s="22" t="str">
        <f>[1]Hoja1!F69</f>
        <v>distribuciones@gmail.com</v>
      </c>
      <c r="D126" s="22" t="str">
        <f>VLOOKUP(A126,[1]!Tabla1[#All],5,FALSE)</f>
        <v>8850800</v>
      </c>
      <c r="E126" s="23" t="s">
        <v>2372</v>
      </c>
      <c r="F126" s="22" t="s">
        <v>782</v>
      </c>
      <c r="G126" s="22">
        <v>334</v>
      </c>
      <c r="H126" s="24">
        <v>1724953</v>
      </c>
      <c r="I126" s="30">
        <v>0</v>
      </c>
      <c r="J126" s="31">
        <v>0</v>
      </c>
    </row>
    <row r="127" spans="1:10" ht="15" customHeight="1">
      <c r="A127" s="20">
        <v>826000361</v>
      </c>
      <c r="B127" s="22" t="str">
        <f>VLOOKUP(A127,[1]!Tabla1[#All],2,FALSE)</f>
        <v>ALMACENES PARAISO S.A.</v>
      </c>
      <c r="C127" s="22" t="str">
        <f>[1]Hoja1!F70</f>
        <v>grupo@gmail.com</v>
      </c>
      <c r="D127" s="22" t="str">
        <f>VLOOKUP(A127,[1]!Tabla1[#All],5,FALSE)</f>
        <v>7602319</v>
      </c>
      <c r="E127" s="23" t="s">
        <v>2373</v>
      </c>
      <c r="F127" s="22" t="s">
        <v>729</v>
      </c>
      <c r="G127" s="22">
        <v>334</v>
      </c>
      <c r="H127" s="24">
        <v>1991715</v>
      </c>
      <c r="I127" s="30">
        <v>0</v>
      </c>
      <c r="J127" s="31">
        <v>0</v>
      </c>
    </row>
    <row r="128" spans="1:10" ht="15" customHeight="1">
      <c r="A128" s="20">
        <v>830109536</v>
      </c>
      <c r="B128" s="22" t="str">
        <f>VLOOKUP(A128,[1]!Tabla1[#All],2,FALSE)</f>
        <v>Boton Promo SAS</v>
      </c>
      <c r="C128" s="22" t="str">
        <f>VLOOKUP(A128,[1]!Tabla1[#All],6,FALSE)</f>
        <v>info@esferos.com</v>
      </c>
      <c r="D128" s="22" t="str">
        <f>VLOOKUP(A128,[1]!Tabla1[#All],4,FALSE)</f>
        <v>3333112</v>
      </c>
      <c r="E128" s="23" t="s">
        <v>2374</v>
      </c>
      <c r="F128" s="22" t="s">
        <v>729</v>
      </c>
      <c r="G128" s="22">
        <v>334</v>
      </c>
      <c r="H128" s="24">
        <v>5587000</v>
      </c>
      <c r="I128" s="30">
        <v>0</v>
      </c>
      <c r="J128" s="31">
        <v>0</v>
      </c>
    </row>
    <row r="129" spans="1:10" ht="15" customHeight="1">
      <c r="A129" s="20">
        <v>800152703</v>
      </c>
      <c r="B129" s="22" t="str">
        <f>VLOOKUP(A129,[1]!Tabla1[#All],2,FALSE)</f>
        <v>Conelec Industrial S.A.S</v>
      </c>
      <c r="C129" s="22" t="str">
        <f>VLOOKUP(A129,[1]!Tabla1[#All],6,FALSE)</f>
        <v>conelecindustrial@mail.com</v>
      </c>
      <c r="D129" s="22" t="str">
        <f>VLOOKUP(A129,[1]!Tabla1[#All],4,FALSE)</f>
        <v>3429692</v>
      </c>
      <c r="E129" s="23" t="s">
        <v>2375</v>
      </c>
      <c r="F129" s="22" t="s">
        <v>729</v>
      </c>
      <c r="G129" s="22">
        <v>334</v>
      </c>
      <c r="H129" s="24">
        <v>373041</v>
      </c>
      <c r="I129" s="30">
        <v>0</v>
      </c>
      <c r="J129" s="31">
        <v>0</v>
      </c>
    </row>
    <row r="130" spans="1:10" ht="15" customHeight="1">
      <c r="A130" s="20">
        <v>1052380230</v>
      </c>
      <c r="B130" s="22" t="str">
        <f>VLOOKUP(A130,[1]!Tabla1[#All],2,FALSE)</f>
        <v>DEISY LILIANA FAJARDO GARCIA</v>
      </c>
      <c r="C130" s="22" t="str">
        <f>[1]Hoja1!F71</f>
        <v>soelco@gmail.com</v>
      </c>
      <c r="D130" s="22" t="str">
        <f>VLOOKUP(A130,[1]!Tabla1[#All],4,FALSE)</f>
        <v>3118168881</v>
      </c>
      <c r="E130" s="23" t="s">
        <v>2376</v>
      </c>
      <c r="F130" s="22" t="s">
        <v>729</v>
      </c>
      <c r="G130" s="22">
        <v>334</v>
      </c>
      <c r="H130" s="24">
        <v>1378153</v>
      </c>
      <c r="I130" s="30">
        <v>0</v>
      </c>
      <c r="J130" s="31">
        <v>0</v>
      </c>
    </row>
    <row r="131" spans="1:10" ht="15" customHeight="1">
      <c r="A131" s="20">
        <v>900932440</v>
      </c>
      <c r="B131" s="22" t="str">
        <f>VLOOKUP(A131,[1]!Tabla1[#All],2,FALSE)</f>
        <v>DISTRIBUCIONES FERRECO SAS</v>
      </c>
      <c r="C131" s="22" t="s">
        <v>2377</v>
      </c>
      <c r="D131" s="22" t="str">
        <f>VLOOKUP(A131,[1]!Tabla1[#All],4,FALSE)</f>
        <v xml:space="preserve"> 3152269798</v>
      </c>
      <c r="E131" s="23" t="s">
        <v>2378</v>
      </c>
      <c r="F131" s="22" t="s">
        <v>418</v>
      </c>
      <c r="G131" s="22">
        <v>334</v>
      </c>
      <c r="H131" s="24">
        <v>127697</v>
      </c>
      <c r="I131" s="30">
        <v>0</v>
      </c>
      <c r="J131" s="31">
        <v>0</v>
      </c>
    </row>
    <row r="132" spans="1:10" ht="15" customHeight="1">
      <c r="A132" s="20">
        <v>901624416</v>
      </c>
      <c r="B132" s="22" t="str">
        <f>VLOOKUP(A132,[1]!Tabla1[#All],2,FALSE)</f>
        <v>DOTACOL E.P.P S.A.S</v>
      </c>
      <c r="C132" s="22" t="str">
        <f>VLOOKUP(A132,[1]!Tabla1[#All],6,FALSE)</f>
        <v>dotacol2015@hotmail.com</v>
      </c>
      <c r="D132" s="22" t="str">
        <f>VLOOKUP(A132,[1]!Tabla1[#All],4,FALSE)</f>
        <v>3143719009</v>
      </c>
      <c r="E132" s="23" t="s">
        <v>2379</v>
      </c>
      <c r="F132" s="22" t="s">
        <v>729</v>
      </c>
      <c r="G132" s="22">
        <v>334</v>
      </c>
      <c r="H132" s="24">
        <v>339495</v>
      </c>
      <c r="I132" s="30">
        <v>0</v>
      </c>
      <c r="J132" s="31">
        <v>0</v>
      </c>
    </row>
    <row r="133" spans="1:10" ht="15" customHeight="1">
      <c r="A133" s="20">
        <v>900581542</v>
      </c>
      <c r="B133" s="22" t="str">
        <f>VLOOKUP(A133,[1]!Tabla1[#All],2,FALSE)</f>
        <v>EL FARO ELECTRICO S.A.S.</v>
      </c>
      <c r="C133" s="22" t="str">
        <f>VLOOKUP(A133,[1]!Tabla1[#All],6,FALSE)</f>
        <v>ventasduitama@elfaroelectrico.com</v>
      </c>
      <c r="D133" s="22" t="str">
        <f>VLOOKUP(A133,[1]!Tabla1[#All],4,FALSE)</f>
        <v>3107955879</v>
      </c>
      <c r="E133" s="23" t="s">
        <v>2380</v>
      </c>
      <c r="F133" s="22" t="s">
        <v>729</v>
      </c>
      <c r="G133" s="22">
        <v>334</v>
      </c>
      <c r="H133" s="24">
        <v>6683868</v>
      </c>
      <c r="I133" s="30">
        <v>0</v>
      </c>
      <c r="J133" s="31">
        <v>0</v>
      </c>
    </row>
    <row r="134" spans="1:10" ht="15" customHeight="1">
      <c r="A134" s="20">
        <v>900510563</v>
      </c>
      <c r="B134" s="22" t="str">
        <f>VLOOKUP(A134,[1]!Tabla1[#All],2,FALSE)</f>
        <v>GRUPO PAMER SOCIEDAD POR ACCIONES SIMPLIFICADA</v>
      </c>
      <c r="C134" s="27" t="s">
        <v>2381</v>
      </c>
      <c r="D134" s="22" t="str">
        <f>VLOOKUP(A134,[1]!Tabla1[#All],4,FALSE)</f>
        <v>3188269815</v>
      </c>
      <c r="E134" s="23" t="s">
        <v>2382</v>
      </c>
      <c r="F134" s="22" t="s">
        <v>729</v>
      </c>
      <c r="G134" s="22">
        <v>334</v>
      </c>
      <c r="H134" s="24">
        <v>310504</v>
      </c>
      <c r="I134" s="30">
        <v>0</v>
      </c>
      <c r="J134" s="31">
        <v>0</v>
      </c>
    </row>
    <row r="135" spans="1:10" ht="15" customHeight="1">
      <c r="A135" s="20">
        <v>901503622</v>
      </c>
      <c r="B135" s="22" t="str">
        <f>VLOOKUP(A135,[1]!Tabla1[#All],2,FALSE)</f>
        <v>JDETODO IMPORTACIONES SAS</v>
      </c>
      <c r="C135" s="22" t="str">
        <f>VLOOKUP(A135,[1]!Tabla1[#All],6,FALSE)</f>
        <v>luzdaryr124@gmail.com</v>
      </c>
      <c r="D135" s="22" t="str">
        <f>VLOOKUP(A135,[1]!Tabla1[#All],4,FALSE)</f>
        <v>3209027989</v>
      </c>
      <c r="E135" s="23" t="s">
        <v>2383</v>
      </c>
      <c r="F135" s="22" t="s">
        <v>1284</v>
      </c>
      <c r="G135" s="22">
        <v>334</v>
      </c>
      <c r="H135" s="24">
        <v>153360</v>
      </c>
      <c r="I135" s="30">
        <v>0</v>
      </c>
      <c r="J135" s="31">
        <v>0</v>
      </c>
    </row>
    <row r="136" spans="1:10" ht="15" customHeight="1">
      <c r="A136" s="20">
        <v>901850132</v>
      </c>
      <c r="B136" s="22" t="str">
        <f>VLOOKUP(A136,[1]!Tabla1[#All],2,FALSE)</f>
        <v>kok Hogar SAS</v>
      </c>
      <c r="C136" s="22" t="str">
        <f>VLOOKUP(A136,[1]!Tabla1[#All],6,FALSE)</f>
        <v>kokhogar@gmail.com</v>
      </c>
      <c r="D136" s="22" t="str">
        <f>VLOOKUP(A136,[1]!Tabla1[#All],4,FALSE)</f>
        <v>3203688520</v>
      </c>
      <c r="E136" s="23" t="s">
        <v>2384</v>
      </c>
      <c r="F136" s="22" t="s">
        <v>418</v>
      </c>
      <c r="G136" s="22">
        <v>334</v>
      </c>
      <c r="H136" s="24">
        <v>328815</v>
      </c>
      <c r="I136" s="30">
        <v>0</v>
      </c>
      <c r="J136" s="31">
        <v>0</v>
      </c>
    </row>
    <row r="137" spans="1:10" ht="15" customHeight="1">
      <c r="A137" s="20">
        <v>891801918</v>
      </c>
      <c r="B137" s="22" t="str">
        <f>VLOOKUP(A137,[1]!Tabla1[#All],2,FALSE)</f>
        <v>SOELCO S.A.S.</v>
      </c>
      <c r="C137" s="22" t="str">
        <f>[1]Hoja1!F74</f>
        <v>comision@gmail.com</v>
      </c>
      <c r="D137" s="22" t="str">
        <f>VLOOKUP(A137,[1]!Tabla1[#All],4,FALSE)</f>
        <v>0387458687</v>
      </c>
      <c r="E137" s="23" t="s">
        <v>2385</v>
      </c>
      <c r="F137" s="22" t="s">
        <v>534</v>
      </c>
      <c r="G137" s="22">
        <v>334</v>
      </c>
      <c r="H137" s="24">
        <v>963441</v>
      </c>
      <c r="I137" s="30">
        <v>0</v>
      </c>
      <c r="J137" s="31">
        <v>0</v>
      </c>
    </row>
    <row r="138" spans="1:10" ht="15" customHeight="1">
      <c r="A138" s="20">
        <v>222222222</v>
      </c>
      <c r="B138" s="22" t="str">
        <f>VLOOKUP(A138,[1]!Tabla1[#All],2,FALSE)</f>
        <v>Cuantias menores</v>
      </c>
      <c r="C138" s="22" t="str">
        <f>[1]Hoja1!F75</f>
        <v>fondo@gmail.com</v>
      </c>
      <c r="D138" s="22" t="str">
        <f>VLOOKUP(A138,[1]!Tabla1[#All],4,FALSE)</f>
        <v>3008221727</v>
      </c>
      <c r="E138" s="23" t="s">
        <v>2386</v>
      </c>
      <c r="F138" s="22" t="s">
        <v>729</v>
      </c>
      <c r="G138" s="22">
        <v>334</v>
      </c>
      <c r="H138" s="24">
        <v>928024</v>
      </c>
      <c r="I138" s="30">
        <v>0</v>
      </c>
      <c r="J138" s="31">
        <v>0</v>
      </c>
    </row>
    <row r="139" spans="1:10" ht="15" customHeight="1">
      <c r="A139" s="20">
        <v>901064829</v>
      </c>
      <c r="B139" s="22" t="str">
        <f>VLOOKUP(A139,[1]!Tabla1[#All],2,FALSE)</f>
        <v>LABELL MINING SAS</v>
      </c>
      <c r="C139" s="22" t="str">
        <f>VLOOKUP(A139,[1]!Tabla1[#All],6,FALSE)</f>
        <v>labellfacturas@gmail.com</v>
      </c>
      <c r="D139" s="22" t="str">
        <f>VLOOKUP(A139,[1]!Tabla1[#All],4,FALSE)</f>
        <v>3214927759</v>
      </c>
      <c r="E139" s="23" t="s">
        <v>2387</v>
      </c>
      <c r="F139" s="22" t="s">
        <v>713</v>
      </c>
      <c r="G139" s="22">
        <v>334</v>
      </c>
      <c r="H139" s="24">
        <v>252100</v>
      </c>
      <c r="I139" s="30">
        <v>0</v>
      </c>
      <c r="J139" s="31">
        <v>0</v>
      </c>
    </row>
    <row r="140" spans="1:10" ht="15" customHeight="1">
      <c r="A140" s="20">
        <v>901190402</v>
      </c>
      <c r="B140" s="22" t="str">
        <f>VLOOKUP(A140,[1]!Tabla1[#All],2,FALSE)</f>
        <v>Universal de tornillos y ferreteria S.A.S.</v>
      </c>
      <c r="C140" s="22" t="str">
        <f>[1]Hoja1!F76</f>
        <v>colombiamovil@gmail.com</v>
      </c>
      <c r="D140" s="25">
        <v>3323666775</v>
      </c>
      <c r="E140" s="23" t="s">
        <v>2388</v>
      </c>
      <c r="F140" s="22" t="s">
        <v>729</v>
      </c>
      <c r="G140" s="22">
        <v>334</v>
      </c>
      <c r="H140" s="24">
        <v>416836</v>
      </c>
      <c r="I140" s="30">
        <v>0</v>
      </c>
      <c r="J140" s="31">
        <v>0</v>
      </c>
    </row>
    <row r="141" spans="1:10" ht="15" customHeight="1">
      <c r="A141" s="20">
        <v>830002593</v>
      </c>
      <c r="B141" s="22" t="str">
        <f>VLOOKUP(A141,[1]!Tabla1[#All],2,FALSE)</f>
        <v>COMISION DE REGULACION DE COMUNICACIONES</v>
      </c>
      <c r="C141" s="22" t="str">
        <f>[1]Hoja1!F77</f>
        <v>agrofilter@gmail.com</v>
      </c>
      <c r="D141" s="22" t="str">
        <f>VLOOKUP(A141,[1]!Tabla1[#All],4,FALSE)</f>
        <v>3111111111</v>
      </c>
      <c r="E141" s="23" t="s">
        <v>2389</v>
      </c>
      <c r="F141" s="22" t="s">
        <v>418</v>
      </c>
      <c r="G141" s="22">
        <v>334</v>
      </c>
      <c r="H141" s="24">
        <v>1630000</v>
      </c>
      <c r="I141" s="30">
        <v>0</v>
      </c>
      <c r="J141" s="31">
        <v>0</v>
      </c>
    </row>
    <row r="142" spans="1:10" ht="15" customHeight="1">
      <c r="A142" s="20">
        <v>800131648</v>
      </c>
      <c r="B142" s="22" t="str">
        <f>VLOOKUP(A142,[1]!Tabla1[#All],2,FALSE)</f>
        <v>FONDO UNICO TIC</v>
      </c>
      <c r="C142" s="22" t="str">
        <f>[1]Hoja1!F78</f>
        <v>centro@gmail.com</v>
      </c>
      <c r="D142" s="22" t="str">
        <f>VLOOKUP(A143,[1]!Tabla1[#All],5,FALSE)</f>
        <v>3219364579</v>
      </c>
      <c r="E142" s="23" t="s">
        <v>2390</v>
      </c>
      <c r="F142" s="22" t="s">
        <v>418</v>
      </c>
      <c r="G142" s="22">
        <v>334</v>
      </c>
      <c r="H142" s="24">
        <v>17427000</v>
      </c>
      <c r="I142" s="30">
        <v>0</v>
      </c>
      <c r="J142" s="31">
        <v>0</v>
      </c>
    </row>
    <row r="143" spans="1:10" ht="15" customHeight="1">
      <c r="A143" s="20">
        <v>891855735</v>
      </c>
      <c r="B143" s="22" t="str">
        <f>VLOOKUP(A143,[1]!Tabla1[#All],2,FALSE)</f>
        <v>Alcaldia en Mongua</v>
      </c>
      <c r="C143" s="22" t="str">
        <f>VLOOKUP(A143,[1]!Tabla1[#All],6,FALSE)</f>
        <v>planeacion@mongua-boyaca.gov.co</v>
      </c>
      <c r="D143" s="22" t="str">
        <f>VLOOKUP(A143,[1]!Tabla1[#All],4,FALSE)</f>
        <v>7772116</v>
      </c>
      <c r="E143" s="23" t="s">
        <v>2391</v>
      </c>
      <c r="F143" s="22" t="s">
        <v>729</v>
      </c>
      <c r="G143" s="22">
        <v>334</v>
      </c>
      <c r="H143" s="24">
        <v>3000714</v>
      </c>
      <c r="I143" s="30">
        <v>0</v>
      </c>
      <c r="J143" s="31">
        <v>0</v>
      </c>
    </row>
    <row r="144" spans="1:10" ht="15" customHeight="1">
      <c r="A144" s="20">
        <v>891856625</v>
      </c>
      <c r="B144" s="22" t="str">
        <f>VLOOKUP(A144,[1]!Tabla1[#All],2,FALSE)</f>
        <v>Alcaldia Municipal de Topaga</v>
      </c>
      <c r="C144" s="22" t="str">
        <f>VLOOKUP(A144,[1]!Tabla1[#All],6,FALSE)</f>
        <v>alcaldia@topaga-boyaca.gov.co</v>
      </c>
      <c r="D144" s="22" t="str">
        <f>VLOOKUP(A144,[1]!Tabla1[#All],4,FALSE)</f>
        <v>7797004</v>
      </c>
      <c r="E144" s="23" t="s">
        <v>2392</v>
      </c>
      <c r="F144" s="22" t="s">
        <v>717</v>
      </c>
      <c r="G144" s="22">
        <v>334</v>
      </c>
      <c r="H144" s="24">
        <v>2208093</v>
      </c>
      <c r="I144" s="30">
        <v>0</v>
      </c>
      <c r="J144" s="31">
        <v>0</v>
      </c>
    </row>
    <row r="145" spans="1:10" ht="15" customHeight="1">
      <c r="A145" s="20">
        <v>830114921</v>
      </c>
      <c r="B145" s="22" t="str">
        <f>VLOOKUP(A145,[1]!Tabla1[#All],2,FALSE)</f>
        <v>COLOMBIA MOVIL S.A. E.S.P.</v>
      </c>
      <c r="C145" s="22" t="str">
        <f>[1]Hoja1!F79</f>
        <v>chevrokee@gmail.com</v>
      </c>
      <c r="D145" s="22" t="str">
        <f>VLOOKUP(A145,[1]!Tabla1[#All],5,FALSE)</f>
        <v>0180003000000</v>
      </c>
      <c r="E145" s="23" t="s">
        <v>2329</v>
      </c>
      <c r="F145" s="22" t="s">
        <v>418</v>
      </c>
      <c r="G145" s="22">
        <v>334</v>
      </c>
      <c r="H145" s="24">
        <v>38743</v>
      </c>
      <c r="I145" s="30">
        <v>0</v>
      </c>
      <c r="J145" s="31">
        <v>0</v>
      </c>
    </row>
    <row r="146" spans="1:10" ht="15" customHeight="1">
      <c r="A146" s="20">
        <v>800091418</v>
      </c>
      <c r="B146" s="22" t="str">
        <f>VLOOKUP(A146,[1]!Tabla1[#All],2,FALSE)</f>
        <v>AGROFILTER LTDA</v>
      </c>
      <c r="C146" s="22" t="str">
        <f>[1]Hoja1!F80</f>
        <v>superboyaca1@gmail.com</v>
      </c>
      <c r="D146" s="22" t="str">
        <f>VLOOKUP(A146,[1]!Tabla1[#All],4,FALSE)</f>
        <v>7602071</v>
      </c>
      <c r="E146" s="23" t="s">
        <v>2393</v>
      </c>
      <c r="F146" s="22" t="s">
        <v>729</v>
      </c>
      <c r="G146" s="22">
        <v>334</v>
      </c>
      <c r="H146" s="24">
        <v>20168</v>
      </c>
      <c r="I146" s="30">
        <v>0</v>
      </c>
      <c r="J146" s="31">
        <v>0</v>
      </c>
    </row>
    <row r="147" spans="1:10" ht="15" customHeight="1">
      <c r="A147" s="20">
        <v>901163983</v>
      </c>
      <c r="B147" s="22" t="str">
        <f>VLOOKUP(A147,[1]!Tabla1[#All],2,FALSE)</f>
        <v>Centro de Atencion Reina Maria Ltda</v>
      </c>
      <c r="C147" s="22" t="str">
        <f>[1]Hoja1!F81</f>
        <v>servicioal cliente@gmail.com</v>
      </c>
      <c r="D147" s="22" t="str">
        <f>VLOOKUP(A147,[1]!Tabla1[#All],4,FALSE)</f>
        <v>3174302959</v>
      </c>
      <c r="E147" s="23" t="s">
        <v>2394</v>
      </c>
      <c r="F147" s="22" t="s">
        <v>729</v>
      </c>
      <c r="G147" s="22">
        <v>334</v>
      </c>
      <c r="H147" s="24">
        <v>1075000</v>
      </c>
      <c r="I147" s="30">
        <v>0</v>
      </c>
      <c r="J147" s="31">
        <v>0</v>
      </c>
    </row>
    <row r="148" spans="1:10" ht="15" customHeight="1">
      <c r="A148" s="20">
        <v>901088744</v>
      </c>
      <c r="B148" s="22" t="str">
        <f>VLOOKUP(A148,[1]!Tabla1[#All],2,FALSE)</f>
        <v>Centro De Diagnstico Automotor Motocentro S.A.S</v>
      </c>
      <c r="C148" s="22" t="str">
        <f>VLOOKUP(A148,[1]!Tabla1[#All],6,FALSE)</f>
        <v>cdamotocentroduitama@gmail.com</v>
      </c>
      <c r="D148" s="22" t="str">
        <f>VLOOKUP(A148,[1]!Tabla1[#All],4,FALSE)</f>
        <v>3202296055</v>
      </c>
      <c r="E148" s="23" t="s">
        <v>2395</v>
      </c>
      <c r="F148" s="22" t="s">
        <v>729</v>
      </c>
      <c r="G148" s="22">
        <v>334</v>
      </c>
      <c r="H148" s="24">
        <v>444608</v>
      </c>
      <c r="I148" s="30">
        <v>0</v>
      </c>
      <c r="J148" s="31">
        <v>0</v>
      </c>
    </row>
    <row r="149" spans="1:10" ht="15" customHeight="1">
      <c r="A149" s="20">
        <v>901613006</v>
      </c>
      <c r="B149" s="22" t="str">
        <f>VLOOKUP(A149,[1]!Tabla1[#All],2,FALSE)</f>
        <v>Chevrokee Automotriz S.A.S</v>
      </c>
      <c r="C149" s="22" t="str">
        <f>[1]Hoja1!F82</f>
        <v>banco@gmail.com</v>
      </c>
      <c r="D149" s="22" t="str">
        <f>VLOOKUP(A149,[1]!Tabla1[#All],4,FALSE)</f>
        <v>3057096663</v>
      </c>
      <c r="E149" s="23" t="s">
        <v>2396</v>
      </c>
      <c r="F149" s="22" t="s">
        <v>418</v>
      </c>
      <c r="G149" s="22">
        <v>334</v>
      </c>
      <c r="H149" s="24">
        <v>240000</v>
      </c>
      <c r="I149" s="30">
        <v>0</v>
      </c>
      <c r="J149" s="31">
        <v>0</v>
      </c>
    </row>
    <row r="150" spans="1:10" ht="15" customHeight="1">
      <c r="A150" s="20">
        <v>891855991</v>
      </c>
      <c r="B150" s="22" t="str">
        <f>VLOOKUP(A150,[1]!Tabla1[#All],2,FALSE)</f>
        <v>SUPER SERVICIOS BOYACA S.A.S.</v>
      </c>
      <c r="C150" s="22" t="str">
        <f>[1]Hoja1!F83</f>
        <v>proteccion@gmail.com</v>
      </c>
      <c r="D150" s="22">
        <v>3145644882</v>
      </c>
      <c r="E150" s="23" t="s">
        <v>2325</v>
      </c>
      <c r="F150" s="22" t="s">
        <v>729</v>
      </c>
      <c r="G150" s="22">
        <v>334</v>
      </c>
      <c r="H150" s="24">
        <v>3315605</v>
      </c>
      <c r="I150" s="30">
        <v>0</v>
      </c>
      <c r="J150" s="31">
        <v>0</v>
      </c>
    </row>
    <row r="151" spans="1:10" ht="15" customHeight="1">
      <c r="A151" s="20">
        <v>901469423</v>
      </c>
      <c r="B151" s="22" t="str">
        <f>VLOOKUP(A151,[1]!Tabla1[#All],2,FALSE)</f>
        <v>BOBINADOS JR SAS</v>
      </c>
      <c r="C151" s="22" t="str">
        <f>VLOOKUP(A151,[1]!Tabla1[#All],6,FALSE)</f>
        <v>ventas@bobinadosjr.com</v>
      </c>
      <c r="D151" s="22" t="str">
        <f>VLOOKUP(A151,[1]!Tabla1[#All],4,FALSE)</f>
        <v>3103220692</v>
      </c>
      <c r="E151" s="23" t="s">
        <v>2397</v>
      </c>
      <c r="F151" s="22" t="s">
        <v>418</v>
      </c>
      <c r="G151" s="22">
        <v>334</v>
      </c>
      <c r="H151" s="24">
        <v>1050000</v>
      </c>
      <c r="I151" s="30">
        <v>0</v>
      </c>
      <c r="J151" s="31">
        <v>0</v>
      </c>
    </row>
    <row r="152" spans="1:10" ht="15" customHeight="1">
      <c r="A152" s="20">
        <v>890903938</v>
      </c>
      <c r="B152" s="22" t="str">
        <f>VLOOKUP(A152,[1]!Tabla1[#All],2,FALSE)</f>
        <v>BANCOLOMBIA S.A.</v>
      </c>
      <c r="C152" s="27" t="s">
        <v>2398</v>
      </c>
      <c r="D152" s="22" t="s">
        <v>2399</v>
      </c>
      <c r="E152" s="23" t="s">
        <v>2400</v>
      </c>
      <c r="F152" s="22" t="s">
        <v>729</v>
      </c>
      <c r="G152" s="22">
        <v>402</v>
      </c>
      <c r="H152" s="24">
        <v>59746024</v>
      </c>
      <c r="I152" s="30">
        <v>0</v>
      </c>
      <c r="J152" s="31">
        <v>0</v>
      </c>
    </row>
    <row r="153" spans="1:10" ht="15" customHeight="1">
      <c r="A153" s="20">
        <v>860035827</v>
      </c>
      <c r="B153" s="22" t="str">
        <f>VLOOKUP(A153,[1]!Tabla1[#All],2,FALSE)</f>
        <v>BANCO COMERCIAL AV VILLAS S.A.</v>
      </c>
      <c r="C153" s="27" t="s">
        <v>2398</v>
      </c>
      <c r="D153" s="22" t="s">
        <v>2401</v>
      </c>
      <c r="E153" s="23" t="s">
        <v>2402</v>
      </c>
      <c r="F153" s="22" t="s">
        <v>729</v>
      </c>
      <c r="G153" s="22">
        <v>402</v>
      </c>
      <c r="H153" s="24">
        <v>5106942</v>
      </c>
      <c r="I153" s="30">
        <v>0</v>
      </c>
      <c r="J153" s="31">
        <v>0</v>
      </c>
    </row>
    <row r="154" spans="1:10" ht="15" customHeight="1">
      <c r="A154" s="20">
        <v>1090487204</v>
      </c>
      <c r="B154" s="22" t="str">
        <f>VLOOKUP(A154,[1]!Tabla1[#All],2,FALSE)</f>
        <v>Keisy Yasmin Buitrago Solano</v>
      </c>
      <c r="C154" s="22" t="str">
        <f>VLOOKUP(A154,[1]!Tabla1[#All],6,FALSE)</f>
        <v>kybuitrago4@misena.edu.co</v>
      </c>
      <c r="D154" s="22" t="str">
        <f>VLOOKUP(A154,[1]!Tabla1[#All],4,FALSE)</f>
        <v>3214976090</v>
      </c>
      <c r="E154" s="23" t="s">
        <v>2403</v>
      </c>
      <c r="F154" s="22" t="s">
        <v>729</v>
      </c>
      <c r="G154" s="22">
        <v>334</v>
      </c>
      <c r="H154" s="24">
        <v>827392</v>
      </c>
      <c r="I154" s="30">
        <v>0</v>
      </c>
      <c r="J154" s="31">
        <v>0</v>
      </c>
    </row>
    <row r="155" spans="1:10" ht="15" customHeight="1">
      <c r="A155" s="20">
        <v>1002528071</v>
      </c>
      <c r="B155" s="22" t="str">
        <f>VLOOKUP(A155,[1]!Tabla1[#All],2,FALSE)</f>
        <v>Andres Ricardo Sanchez Buitrago</v>
      </c>
      <c r="C155" s="22" t="str">
        <f>VLOOKUP(A155,[1]!Tabla1[#All],6,FALSE)</f>
        <v>arsanchezb@gmail.com</v>
      </c>
      <c r="D155" s="22" t="str">
        <f>VLOOKUP(A155,[1]!Tabla1[#All],4,FALSE)</f>
        <v>3134659370</v>
      </c>
      <c r="E155" s="23" t="s">
        <v>2404</v>
      </c>
      <c r="F155" s="22" t="s">
        <v>729</v>
      </c>
      <c r="G155" s="22">
        <v>334</v>
      </c>
      <c r="H155" s="24">
        <v>276300</v>
      </c>
      <c r="I155" s="30">
        <v>0</v>
      </c>
      <c r="J155" s="31">
        <v>0</v>
      </c>
    </row>
    <row r="156" spans="1:10" ht="15" customHeight="1">
      <c r="A156" s="20">
        <v>860002183</v>
      </c>
      <c r="B156" s="22" t="str">
        <f>VLOOKUP(A156,[1]!Tabla1[#All],2,FALSE)</f>
        <v>AXXA COLPATRIA SEGUROS DE VIDA S.A.</v>
      </c>
      <c r="C156" s="27" t="s">
        <v>2405</v>
      </c>
      <c r="D156" s="22" t="s">
        <v>2406</v>
      </c>
      <c r="E156" s="23" t="s">
        <v>2407</v>
      </c>
      <c r="F156" s="22" t="s">
        <v>418</v>
      </c>
      <c r="G156" s="22">
        <v>334</v>
      </c>
      <c r="H156" s="24">
        <v>6181500</v>
      </c>
      <c r="I156" s="30">
        <v>0</v>
      </c>
      <c r="J156" s="31">
        <v>0</v>
      </c>
    </row>
    <row r="157" spans="1:10" ht="15" customHeight="1">
      <c r="A157" s="21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55" workbookViewId="0">
      <selection activeCell="B63" sqref="B63"/>
    </sheetView>
  </sheetViews>
  <sheetFormatPr baseColWidth="10" defaultColWidth="14.453125" defaultRowHeight="15" customHeight="1"/>
  <cols>
    <col min="1" max="1" width="11.54296875" customWidth="1"/>
    <col min="2" max="2" width="211" customWidth="1"/>
    <col min="3" max="26" width="10.6328125" customWidth="1"/>
  </cols>
  <sheetData>
    <row r="1" spans="1:2" ht="14.5">
      <c r="A1" s="5" t="s">
        <v>10</v>
      </c>
      <c r="B1" s="6" t="s">
        <v>11</v>
      </c>
    </row>
    <row r="2" spans="1:2" ht="14.5">
      <c r="A2" s="7">
        <v>101</v>
      </c>
      <c r="B2" s="8" t="s">
        <v>12</v>
      </c>
    </row>
    <row r="3" spans="1:2" ht="14.5">
      <c r="A3" s="7">
        <v>102</v>
      </c>
      <c r="B3" s="8" t="s">
        <v>13</v>
      </c>
    </row>
    <row r="4" spans="1:2" ht="14.5">
      <c r="A4" s="7">
        <v>103</v>
      </c>
      <c r="B4" s="8" t="s">
        <v>14</v>
      </c>
    </row>
    <row r="5" spans="1:2" ht="14.5">
      <c r="A5" s="7">
        <v>104</v>
      </c>
      <c r="B5" s="8" t="s">
        <v>15</v>
      </c>
    </row>
    <row r="6" spans="1:2" ht="14.5">
      <c r="A6" s="7">
        <v>105</v>
      </c>
      <c r="B6" s="8" t="s">
        <v>16</v>
      </c>
    </row>
    <row r="7" spans="1:2" ht="14.5">
      <c r="A7" s="7">
        <v>106</v>
      </c>
      <c r="B7" s="8" t="s">
        <v>17</v>
      </c>
    </row>
    <row r="8" spans="1:2" ht="14.5">
      <c r="A8" s="7">
        <v>107</v>
      </c>
      <c r="B8" s="8" t="s">
        <v>18</v>
      </c>
    </row>
    <row r="9" spans="1:2" ht="14.5">
      <c r="A9" s="7">
        <v>108</v>
      </c>
      <c r="B9" s="8" t="s">
        <v>19</v>
      </c>
    </row>
    <row r="10" spans="1:2" ht="14.5">
      <c r="A10" s="7">
        <v>109</v>
      </c>
      <c r="B10" s="8" t="s">
        <v>20</v>
      </c>
    </row>
    <row r="11" spans="1:2" ht="14.5">
      <c r="A11" s="7">
        <v>110</v>
      </c>
      <c r="B11" s="8" t="s">
        <v>21</v>
      </c>
    </row>
    <row r="12" spans="1:2" ht="14.5">
      <c r="A12" s="7">
        <v>111</v>
      </c>
      <c r="B12" s="8" t="s">
        <v>22</v>
      </c>
    </row>
    <row r="13" spans="1:2" ht="14.5">
      <c r="A13" s="7">
        <v>112</v>
      </c>
      <c r="B13" s="8" t="s">
        <v>23</v>
      </c>
    </row>
    <row r="14" spans="1:2" ht="14.5">
      <c r="A14" s="7">
        <v>113</v>
      </c>
      <c r="B14" s="8" t="s">
        <v>24</v>
      </c>
    </row>
    <row r="15" spans="1:2" ht="14.5">
      <c r="A15" s="7">
        <v>114</v>
      </c>
      <c r="B15" s="8" t="s">
        <v>25</v>
      </c>
    </row>
    <row r="16" spans="1:2" ht="14.5">
      <c r="A16" s="7">
        <v>201</v>
      </c>
      <c r="B16" s="8" t="s">
        <v>26</v>
      </c>
    </row>
    <row r="17" spans="1:2" ht="14.5">
      <c r="A17" s="7">
        <v>202</v>
      </c>
      <c r="B17" s="8" t="s">
        <v>27</v>
      </c>
    </row>
    <row r="18" spans="1:2" ht="14.5">
      <c r="A18" s="7">
        <v>203</v>
      </c>
      <c r="B18" s="8" t="s">
        <v>28</v>
      </c>
    </row>
    <row r="19" spans="1:2" ht="14.5">
      <c r="A19" s="7">
        <v>204</v>
      </c>
      <c r="B19" s="8" t="s">
        <v>29</v>
      </c>
    </row>
    <row r="20" spans="1:2" ht="14.5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13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13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>
      <selection activeCell="B1109" sqref="B1109"/>
    </sheetView>
  </sheetViews>
  <sheetFormatPr baseColWidth="10" defaultColWidth="14.453125" defaultRowHeight="15" customHeight="1"/>
  <cols>
    <col min="1" max="1" width="25" customWidth="1"/>
    <col min="2" max="2" width="30" customWidth="1"/>
    <col min="3" max="26" width="10.6328125" customWidth="1"/>
  </cols>
  <sheetData>
    <row r="1" spans="1:2" ht="14.5">
      <c r="A1" s="5" t="s">
        <v>81</v>
      </c>
      <c r="B1" s="5" t="s">
        <v>82</v>
      </c>
    </row>
    <row r="2" spans="1:2" ht="14.5">
      <c r="A2" s="10" t="s">
        <v>83</v>
      </c>
      <c r="B2" s="10" t="s">
        <v>84</v>
      </c>
    </row>
    <row r="3" spans="1:2" ht="14.5">
      <c r="A3" s="10" t="s">
        <v>85</v>
      </c>
      <c r="B3" s="10" t="s">
        <v>86</v>
      </c>
    </row>
    <row r="4" spans="1:2" ht="14.5">
      <c r="A4" s="10" t="s">
        <v>87</v>
      </c>
      <c r="B4" s="10" t="s">
        <v>88</v>
      </c>
    </row>
    <row r="5" spans="1:2" ht="14.5">
      <c r="A5" s="10" t="s">
        <v>89</v>
      </c>
      <c r="B5" s="10" t="s">
        <v>90</v>
      </c>
    </row>
    <row r="6" spans="1:2" ht="14.5">
      <c r="A6" s="10" t="s">
        <v>91</v>
      </c>
      <c r="B6" s="10" t="s">
        <v>92</v>
      </c>
    </row>
    <row r="7" spans="1:2" ht="14.5">
      <c r="A7" s="10" t="s">
        <v>93</v>
      </c>
      <c r="B7" s="10" t="s">
        <v>94</v>
      </c>
    </row>
    <row r="8" spans="1:2" ht="14.5">
      <c r="A8" s="10" t="s">
        <v>95</v>
      </c>
      <c r="B8" s="10" t="s">
        <v>96</v>
      </c>
    </row>
    <row r="9" spans="1:2" ht="14.5">
      <c r="A9" s="10" t="s">
        <v>97</v>
      </c>
      <c r="B9" s="10" t="s">
        <v>98</v>
      </c>
    </row>
    <row r="10" spans="1:2" ht="14.5">
      <c r="A10" s="10" t="s">
        <v>99</v>
      </c>
      <c r="B10" s="10" t="s">
        <v>100</v>
      </c>
    </row>
    <row r="11" spans="1:2" ht="14.5">
      <c r="A11" s="10" t="s">
        <v>101</v>
      </c>
      <c r="B11" s="10" t="s">
        <v>102</v>
      </c>
    </row>
    <row r="12" spans="1:2" ht="14.5">
      <c r="A12" s="10" t="s">
        <v>103</v>
      </c>
      <c r="B12" s="10" t="s">
        <v>104</v>
      </c>
    </row>
    <row r="13" spans="1:2" ht="14.5">
      <c r="A13" s="10" t="s">
        <v>105</v>
      </c>
      <c r="B13" s="10" t="s">
        <v>106</v>
      </c>
    </row>
    <row r="14" spans="1:2" ht="14.5">
      <c r="A14" s="10" t="s">
        <v>107</v>
      </c>
      <c r="B14" s="10" t="s">
        <v>108</v>
      </c>
    </row>
    <row r="15" spans="1:2" ht="14.5">
      <c r="A15" s="10" t="s">
        <v>109</v>
      </c>
      <c r="B15" s="10" t="s">
        <v>110</v>
      </c>
    </row>
    <row r="16" spans="1:2" ht="14.5">
      <c r="A16" s="10" t="s">
        <v>111</v>
      </c>
      <c r="B16" s="10" t="s">
        <v>112</v>
      </c>
    </row>
    <row r="17" spans="1:2" ht="14.5">
      <c r="A17" s="10" t="s">
        <v>113</v>
      </c>
      <c r="B17" s="10" t="s">
        <v>114</v>
      </c>
    </row>
    <row r="18" spans="1:2" ht="14.5">
      <c r="A18" s="10" t="s">
        <v>115</v>
      </c>
      <c r="B18" s="10" t="s">
        <v>116</v>
      </c>
    </row>
    <row r="19" spans="1:2" ht="14.5">
      <c r="A19" s="10" t="s">
        <v>117</v>
      </c>
      <c r="B19" s="10" t="s">
        <v>118</v>
      </c>
    </row>
    <row r="20" spans="1:2" ht="14.5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Lenovo</cp:lastModifiedBy>
  <cp:lastPrinted>2026-03-30T17:32:14Z</cp:lastPrinted>
  <dcterms:created xsi:type="dcterms:W3CDTF">2015-06-05T18:19:34Z</dcterms:created>
  <dcterms:modified xsi:type="dcterms:W3CDTF">2026-06-30T22:18:47Z</dcterms:modified>
</cp:coreProperties>
</file>