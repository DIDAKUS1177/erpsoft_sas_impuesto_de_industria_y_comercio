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DBD21592-FAAF-48BC-9524-AF4281EFC5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1" i="1" l="1"/>
  <c r="H17" i="1"/>
  <c r="H13" i="1"/>
</calcChain>
</file>

<file path=xl/sharedStrings.xml><?xml version="1.0" encoding="utf-8"?>
<sst xmlns="http://schemas.openxmlformats.org/spreadsheetml/2006/main" count="2408" uniqueCount="2328">
  <si>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</si>
  <si>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</si>
  <si>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</si>
  <si>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</si>
  <si>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</si>
  <si>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</si>
  <si>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</si>
  <si>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</si>
  <si>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</si>
  <si>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</si>
  <si>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</si>
  <si>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</si>
  <si>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</si>
  <si>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</si>
  <si>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</si>
  <si>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</si>
  <si>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</si>
  <si>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</si>
  <si>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</si>
  <si>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</si>
  <si>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</si>
  <si>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</si>
  <si>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</si>
  <si>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</si>
  <si>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</si>
  <si>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</si>
  <si>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</si>
  <si>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</si>
  <si>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</si>
  <si>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</si>
  <si>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</si>
  <si>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</si>
  <si>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</si>
  <si>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</si>
  <si>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</si>
  <si>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</si>
  <si>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</si>
  <si>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</si>
  <si>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</si>
  <si>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</si>
  <si>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</si>
  <si>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</si>
  <si>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</si>
  <si>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</si>
  <si>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</si>
  <si>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</si>
  <si>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</si>
  <si>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</si>
  <si>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</si>
  <si>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</si>
  <si>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</si>
  <si>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</si>
  <si>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</si>
  <si>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</si>
  <si>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</si>
  <si>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</si>
  <si>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</si>
  <si>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</si>
  <si>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</si>
  <si>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</si>
  <si>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</si>
  <si>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</si>
  <si>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</si>
  <si>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</si>
  <si>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</si>
  <si>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</si>
  <si>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</si>
  <si>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</si>
  <si>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</si>
  <si>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</si>
  <si>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</si>
  <si>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</si>
  <si>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</si>
  <si>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</si>
  <si>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</si>
  <si>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</si>
  <si>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</si>
  <si>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</si>
  <si>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</si>
  <si>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</si>
  <si>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</si>
  <si>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</si>
  <si>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</si>
  <si>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</si>
  <si>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</si>
  <si>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</si>
  <si>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</si>
  <si>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</si>
  <si>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</si>
  <si>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</si>
  <si>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</si>
  <si>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</si>
  <si>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</si>
  <si>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</si>
  <si>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</si>
  <si>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</si>
  <si>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</si>
  <si>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</si>
  <si>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</si>
  <si>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</si>
  <si>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</si>
  <si>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</si>
  <si>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</si>
  <si>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</si>
  <si>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</si>
  <si>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</si>
  <si>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</si>
  <si>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</si>
  <si>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</si>
  <si>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</si>
  <si>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</si>
  <si>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</si>
  <si>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</si>
  <si>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</si>
  <si>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</si>
  <si>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</si>
  <si>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</si>
  <si>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</si>
  <si>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</si>
  <si>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</si>
  <si>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</si>
  <si>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</si>
  <si>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</si>
  <si>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</si>
  <si>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</si>
  <si>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</si>
  <si>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</si>
  <si>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</si>
  <si>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</si>
  <si>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</si>
  <si>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</si>
  <si>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</si>
  <si>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</si>
  <si>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</si>
  <si>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</si>
  <si>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</si>
  <si>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</si>
  <si>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</si>
  <si>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</si>
  <si>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</si>
  <si>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</si>
  <si>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</si>
  <si>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</si>
  <si>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</si>
  <si>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</si>
  <si>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</si>
  <si>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</si>
  <si>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</si>
  <si>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</si>
  <si>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</si>
  <si>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</si>
  <si>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</si>
  <si>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</si>
  <si>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</si>
  <si>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</si>
  <si>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</si>
  <si>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</si>
  <si>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</si>
  <si>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</si>
  <si>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</si>
  <si>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</si>
  <si>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</si>
  <si>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</si>
  <si>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</si>
  <si>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</si>
  <si>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</si>
  <si>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</si>
  <si>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</si>
  <si>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</si>
  <si>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</si>
  <si>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</si>
  <si>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</si>
  <si>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</si>
  <si>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</si>
  <si>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</si>
  <si>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</si>
  <si>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</si>
  <si>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</si>
  <si>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</si>
  <si>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</si>
  <si>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</si>
  <si>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</si>
  <si>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</si>
  <si>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</si>
  <si>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</si>
  <si>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</si>
  <si>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</si>
  <si>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</si>
  <si>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</si>
  <si>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</si>
  <si>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</si>
  <si>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</si>
  <si>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</si>
  <si>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</si>
  <si>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</si>
  <si>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</si>
  <si>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</si>
  <si>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</si>
  <si>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</si>
  <si>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</si>
  <si>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</si>
  <si>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</si>
  <si>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</si>
  <si>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</si>
  <si>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</si>
  <si>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</si>
  <si>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</si>
  <si>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</si>
  <si>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</si>
  <si>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</si>
  <si>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</si>
  <si>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</si>
  <si>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</si>
  <si>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</si>
  <si>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</si>
  <si>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</si>
  <si>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</si>
  <si>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</si>
  <si>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</si>
  <si>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</si>
  <si>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</si>
  <si>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</si>
  <si>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</si>
  <si>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</si>
  <si>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</si>
  <si>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</si>
  <si>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</si>
  <si>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</si>
  <si>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</si>
  <si>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</si>
  <si>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</si>
  <si>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</si>
  <si>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</si>
  <si>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</si>
  <si>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</si>
  <si>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</si>
  <si>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</si>
  <si>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</si>
  <si>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</si>
  <si>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</si>
  <si>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</si>
  <si>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</si>
  <si>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</si>
  <si>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</si>
  <si>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</si>
  <si>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</si>
  <si>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</si>
  <si>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</si>
  <si>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</si>
  <si>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</si>
  <si>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</si>
  <si>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</si>
  <si>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</si>
  <si>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</si>
  <si>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</si>
  <si>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</si>
  <si>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</si>
  <si>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</si>
  <si>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</si>
  <si>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</si>
  <si>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</si>
  <si>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</si>
  <si>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</si>
  <si>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</si>
  <si>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</si>
  <si>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</si>
  <si>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</si>
  <si>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</si>
  <si>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</si>
  <si>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</si>
  <si>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</si>
  <si>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</si>
  <si>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</si>
  <si>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</si>
  <si>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</si>
  <si>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</si>
  <si>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</si>
  <si>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</si>
  <si>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</si>
  <si>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</si>
  <si>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</si>
  <si>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</si>
  <si>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</si>
  <si>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</si>
  <si>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</si>
  <si>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</si>
  <si>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</si>
  <si>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</si>
  <si>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</si>
  <si>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</si>
  <si>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</si>
  <si>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</si>
  <si>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</si>
  <si>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</si>
  <si>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</si>
  <si>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</si>
  <si>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</si>
  <si>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</si>
  <si>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</si>
  <si>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</si>
  <si>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</si>
  <si>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</si>
  <si>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</si>
  <si>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</si>
  <si>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</si>
  <si>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</si>
  <si>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</si>
  <si>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</si>
  <si>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</si>
  <si>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</si>
  <si>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</si>
  <si>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</si>
  <si>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</si>
  <si>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</si>
  <si>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</si>
  <si>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</si>
  <si>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</si>
  <si>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</si>
  <si>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</si>
  <si>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</si>
  <si>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</si>
  <si>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</si>
  <si>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</si>
  <si>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</si>
  <si>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</si>
  <si>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</si>
  <si>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</si>
  <si>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</si>
  <si>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</si>
  <si>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</si>
  <si>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</si>
  <si>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</si>
  <si>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</si>
  <si>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</si>
  <si>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</si>
  <si>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</si>
  <si>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</si>
  <si>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</si>
  <si>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</si>
  <si>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</si>
  <si>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</si>
  <si>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</si>
  <si>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</si>
  <si>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</si>
  <si>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</si>
  <si>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</si>
  <si>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</si>
  <si>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</si>
  <si>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</si>
  <si>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</si>
  <si>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</si>
  <si>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</si>
  <si>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</si>
  <si>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</si>
  <si>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</si>
  <si>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</si>
  <si>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</si>
  <si>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</si>
  <si>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</si>
  <si>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</si>
  <si>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</si>
  <si>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</si>
  <si>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</si>
  <si>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</si>
  <si>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</si>
  <si>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</si>
  <si>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</si>
  <si>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</si>
  <si>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</si>
  <si>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</si>
  <si>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</si>
  <si>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</si>
  <si>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</si>
  <si>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</si>
  <si>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</si>
  <si>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</si>
  <si>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</si>
  <si>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</si>
  <si>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</si>
  <si>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</si>
  <si>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</si>
  <si>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</si>
  <si>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</si>
  <si>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</si>
  <si>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</si>
  <si>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</si>
  <si>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</si>
  <si>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</si>
  <si>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</si>
  <si>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</si>
  <si>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</si>
  <si>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</si>
  <si>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</si>
  <si>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</si>
  <si>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</si>
  <si>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</si>
  <si>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</si>
  <si>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</si>
  <si>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</si>
  <si>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</si>
  <si>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</si>
  <si>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</si>
  <si>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</si>
  <si>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</si>
  <si>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</si>
  <si>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</si>
  <si>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</si>
  <si>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</si>
  <si>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</si>
  <si>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</si>
  <si>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</si>
  <si>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</si>
  <si>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</si>
  <si>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</si>
  <si>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</si>
  <si>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</si>
  <si>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</si>
  <si>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</si>
  <si>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</si>
  <si>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</si>
  <si>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</si>
  <si>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</si>
  <si>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</si>
  <si>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</si>
  <si>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</si>
  <si>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</si>
  <si>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</si>
  <si>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</si>
  <si>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</si>
  <si>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</si>
  <si>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</si>
  <si>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</si>
  <si>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</si>
  <si>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</si>
  <si>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</si>
  <si>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</si>
  <si>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</si>
  <si>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</si>
  <si>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</si>
  <si>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</si>
  <si>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</si>
  <si>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</si>
  <si>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</si>
  <si>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</si>
  <si>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</si>
  <si>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</si>
  <si>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</si>
  <si>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</si>
  <si>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</si>
  <si>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</si>
  <si>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</si>
  <si>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</si>
  <si>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</si>
  <si>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</si>
  <si>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</si>
  <si>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</si>
  <si>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</si>
  <si>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</si>
  <si>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</si>
  <si>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</si>
  <si>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</si>
  <si>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</si>
  <si>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</si>
  <si>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</si>
  <si>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</si>
  <si>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</si>
  <si>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</si>
  <si>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</si>
  <si>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</si>
  <si>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</si>
  <si>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</si>
  <si>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</si>
  <si>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</si>
  <si>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</si>
  <si>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</si>
  <si>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</si>
  <si>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</si>
  <si>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</si>
  <si>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</si>
  <si>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</si>
  <si>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</si>
  <si>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</si>
  <si>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</si>
  <si>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</si>
  <si>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</si>
  <si>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</si>
  <si>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</si>
  <si>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</si>
  <si>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</si>
  <si>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</si>
  <si>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</si>
  <si>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</si>
  <si>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</si>
  <si>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</si>
  <si>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</si>
  <si>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</si>
  <si>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</si>
  <si>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</si>
  <si>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</si>
  <si>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</si>
  <si>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</si>
  <si>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</si>
  <si>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</si>
  <si>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</si>
  <si>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</si>
  <si>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</si>
  <si>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</si>
  <si>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</si>
  <si>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</si>
  <si>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</si>
  <si>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</si>
  <si>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</si>
  <si>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</si>
  <si>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</si>
  <si>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</si>
  <si>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</si>
  <si>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</si>
  <si>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</si>
  <si>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</si>
  <si>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</si>
  <si>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</si>
  <si>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</si>
  <si>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</si>
  <si>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</si>
  <si>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</si>
  <si>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</si>
  <si>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</si>
  <si>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</si>
  <si>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</si>
  <si>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</si>
  <si>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</si>
  <si>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</si>
  <si>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</si>
  <si>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</si>
  <si>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</si>
  <si>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</si>
  <si>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</si>
  <si>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</si>
  <si>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</si>
  <si>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</si>
  <si>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</si>
  <si>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</si>
  <si>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</si>
  <si>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</si>
  <si>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</si>
  <si>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</si>
  <si>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</si>
  <si>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</si>
  <si>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</si>
  <si>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</si>
  <si>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</si>
  <si>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</si>
  <si>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</si>
  <si>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</si>
  <si>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</si>
  <si>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</si>
  <si>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</si>
  <si>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</si>
  <si>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</si>
  <si>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</si>
  <si>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</si>
  <si>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</si>
  <si>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</si>
  <si>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</si>
  <si>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</si>
  <si>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</si>
  <si>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</si>
  <si>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</si>
  <si>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</si>
  <si>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</si>
  <si>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</si>
  <si>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</si>
  <si>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</si>
  <si>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</si>
  <si>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</si>
  <si>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</si>
  <si>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</si>
  <si>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</si>
  <si>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</si>
  <si>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</si>
  <si>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</si>
  <si>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</si>
  <si>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</si>
  <si>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</si>
  <si>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</si>
  <si>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</si>
  <si>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</si>
  <si>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</si>
  <si>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</si>
  <si>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</si>
  <si>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</si>
  <si>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</si>
  <si>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</si>
  <si>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</si>
  <si>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</si>
  <si>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</si>
  <si>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</si>
  <si>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</si>
  <si>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</si>
  <si>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</si>
  <si>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</si>
  <si>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</si>
  <si>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</si>
  <si>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</si>
  <si>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</si>
  <si>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</si>
  <si>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</si>
  <si>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</si>
  <si>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</si>
  <si>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</si>
  <si>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</si>
  <si>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</si>
  <si>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</si>
  <si>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</si>
  <si>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</si>
  <si>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</si>
  <si>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</si>
  <si>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</si>
  <si>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</si>
  <si>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</si>
  <si>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</si>
  <si>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</si>
  <si>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</si>
  <si>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</si>
  <si>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</si>
  <si>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</si>
  <si>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</si>
  <si>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</si>
  <si>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</si>
  <si>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</si>
  <si>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</si>
  <si>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</si>
  <si>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</si>
  <si>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</si>
  <si>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</si>
  <si>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</si>
  <si>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</si>
  <si>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</si>
  <si>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</si>
  <si>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</si>
  <si>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</si>
  <si>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</si>
  <si>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</si>
  <si>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</si>
  <si>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</si>
  <si>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</si>
  <si>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</si>
  <si>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</si>
  <si>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</si>
  <si>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</si>
  <si>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</si>
  <si>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</si>
  <si>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</si>
  <si>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</si>
  <si>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</si>
  <si>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</si>
  <si>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</si>
  <si>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</si>
  <si>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</si>
  <si>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</si>
  <si>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</si>
  <si>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</si>
  <si>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</si>
  <si>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</si>
  <si>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</si>
  <si>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</si>
  <si>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</si>
  <si>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</si>
  <si>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</si>
  <si>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</si>
  <si>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</si>
  <si>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</si>
  <si>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</si>
  <si>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</si>
  <si>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</si>
  <si>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</si>
  <si>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</si>
  <si>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</si>
  <si>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</si>
  <si>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</si>
  <si>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</si>
  <si>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</si>
  <si>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</si>
  <si>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</si>
  <si>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</si>
  <si>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</si>
  <si>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</si>
  <si>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</si>
  <si>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</si>
  <si>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</si>
  <si>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</si>
  <si>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</si>
  <si>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</si>
  <si>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</si>
  <si>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</si>
  <si>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</si>
  <si>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</si>
  <si>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</si>
  <si>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</si>
  <si>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</si>
  <si>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</si>
  <si>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</si>
  <si>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</si>
  <si>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</si>
  <si>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</si>
  <si>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</si>
  <si>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</si>
  <si>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</si>
  <si>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</si>
  <si>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</si>
  <si>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</si>
  <si>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</si>
  <si>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</si>
  <si>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</si>
  <si>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</si>
  <si>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</si>
  <si>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</si>
  <si>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</si>
  <si>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</si>
  <si>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</si>
  <si>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</si>
  <si>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</si>
  <si>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</si>
  <si>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</si>
  <si>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</si>
  <si>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</si>
  <si>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</si>
  <si>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</si>
  <si>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</si>
  <si>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</si>
  <si>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</si>
  <si>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</si>
  <si>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</si>
  <si>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</si>
  <si>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</si>
  <si>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</si>
  <si>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</si>
  <si>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</si>
  <si>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</si>
  <si>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</si>
  <si>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</si>
  <si>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</si>
  <si>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</si>
  <si>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</si>
  <si>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</si>
  <si>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</si>
  <si>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</si>
  <si>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</si>
  <si>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</si>
  <si>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</si>
  <si>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</si>
  <si>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</si>
  <si>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</si>
  <si>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</si>
  <si>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</si>
  <si>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</si>
  <si>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</si>
  <si>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</si>
  <si>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</si>
  <si>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</si>
  <si>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</si>
  <si>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</si>
  <si>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</si>
  <si>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</si>
  <si>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</si>
  <si>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</si>
  <si>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</si>
  <si>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</si>
  <si>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</si>
  <si>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</si>
  <si>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</si>
  <si>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</si>
  <si>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</si>
  <si>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</si>
  <si>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</si>
  <si>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</si>
  <si>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</si>
  <si>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</si>
  <si>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</si>
  <si>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</si>
  <si>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</si>
  <si>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</si>
  <si>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</si>
  <si>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</si>
  <si>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</si>
  <si>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</si>
  <si>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</si>
  <si>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</si>
  <si>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</si>
  <si>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</si>
  <si>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</si>
  <si>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</si>
  <si>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</si>
  <si>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</si>
  <si>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</si>
  <si>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</si>
  <si>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</si>
  <si>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</si>
  <si>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</si>
  <si>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</si>
  <si>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</si>
  <si>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</si>
  <si>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</si>
  <si>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</si>
  <si>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</si>
  <si>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</si>
  <si>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</si>
  <si>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</si>
  <si>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</si>
  <si>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</si>
  <si>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</si>
  <si>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</si>
  <si>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</si>
  <si>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</si>
  <si>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</si>
  <si>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</si>
  <si>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</si>
  <si>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</si>
  <si>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</si>
  <si>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</si>
  <si>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</si>
  <si>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</si>
  <si>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</si>
  <si>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</si>
  <si>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</si>
  <si>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</si>
  <si>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</si>
  <si>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</si>
  <si>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</si>
  <si>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</si>
  <si>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</si>
  <si>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</si>
  <si>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</si>
  <si>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</si>
  <si>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</si>
  <si>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</si>
  <si>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</si>
  <si>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</si>
  <si>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</si>
  <si>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</si>
  <si>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</si>
  <si>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</si>
  <si>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</si>
  <si>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</si>
  <si>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</si>
  <si>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</si>
  <si>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</si>
  <si>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</si>
  <si>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</si>
  <si>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</si>
  <si>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</si>
  <si>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</si>
  <si>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</si>
  <si>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</si>
  <si>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</si>
  <si>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</si>
  <si>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</si>
  <si>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</si>
  <si>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</si>
  <si>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</si>
  <si>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</si>
  <si>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</si>
  <si>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</si>
  <si>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</si>
  <si>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</si>
  <si>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</si>
  <si>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</si>
  <si>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</si>
  <si>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</si>
  <si>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</si>
  <si>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</si>
  <si>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</si>
  <si>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</si>
  <si>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</si>
  <si>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</si>
  <si>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</si>
  <si>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</si>
  <si>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</si>
  <si>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</si>
  <si>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</si>
  <si>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</si>
  <si>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</si>
  <si>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</si>
  <si>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</si>
  <si>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</si>
  <si>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</si>
  <si>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</si>
  <si>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</si>
  <si>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</si>
  <si>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</si>
  <si>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</si>
  <si>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</si>
  <si>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</si>
  <si>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</si>
  <si>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</si>
  <si>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</si>
  <si>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</si>
  <si>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</si>
  <si>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</si>
  <si>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</si>
  <si>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</si>
  <si>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</si>
  <si>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</si>
  <si>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</si>
  <si>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</si>
  <si>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</si>
  <si>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</si>
  <si>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</si>
  <si>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</si>
  <si>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</si>
  <si>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</si>
  <si>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</si>
  <si>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</si>
  <si>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</si>
  <si>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</si>
  <si>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</si>
  <si>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</si>
  <si>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</si>
  <si>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</si>
  <si>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</si>
  <si>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</si>
  <si>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</si>
  <si>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</si>
  <si>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</si>
  <si>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</si>
  <si>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</si>
  <si>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</si>
  <si>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</si>
  <si>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</si>
  <si>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</si>
  <si>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</si>
  <si>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</si>
  <si>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</si>
  <si>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</si>
  <si>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</si>
  <si>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</si>
  <si>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</si>
  <si>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</si>
  <si>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</si>
  <si>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</si>
  <si>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</si>
  <si>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</si>
  <si>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</si>
  <si>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</si>
  <si>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</si>
  <si>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</si>
  <si>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</si>
  <si>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</si>
  <si>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</si>
  <si>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</si>
  <si>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</si>
  <si>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</si>
  <si>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</si>
  <si>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</si>
  <si>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</si>
  <si>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</si>
  <si>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</si>
  <si>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</si>
  <si>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</si>
  <si>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</si>
  <si>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</si>
  <si>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</si>
  <si>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</si>
  <si>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</si>
  <si>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</si>
  <si>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</si>
  <si>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</si>
  <si>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</si>
  <si>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</si>
  <si>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</si>
  <si>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</si>
  <si>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</si>
  <si>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</si>
  <si>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</si>
  <si>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</si>
  <si>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</si>
  <si>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</si>
  <si>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</si>
  <si>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</si>
  <si>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</si>
  <si>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</si>
  <si>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</si>
  <si>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</si>
  <si>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</si>
  <si>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</si>
  <si>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</si>
  <si>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</si>
  <si>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</si>
  <si>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</si>
  <si>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</si>
  <si>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</si>
  <si>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</si>
  <si>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</si>
  <si>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</si>
  <si>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</si>
  <si>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</si>
  <si>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</si>
  <si>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</si>
  <si>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</si>
  <si>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</si>
  <si>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</si>
  <si>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</si>
  <si>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</si>
  <si>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</si>
  <si>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</si>
  <si>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</si>
  <si>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</si>
  <si>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</si>
  <si>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</si>
  <si>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</si>
  <si>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</si>
  <si>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</si>
  <si>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</si>
  <si>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</si>
  <si>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</si>
  <si>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</si>
  <si>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</si>
  <si>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</si>
  <si>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</si>
  <si>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</si>
  <si>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</si>
  <si>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</si>
  <si>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</si>
  <si>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</si>
  <si>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</si>
  <si>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</si>
  <si>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</si>
  <si>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</si>
  <si>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</si>
  <si>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</si>
  <si>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</si>
  <si>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</si>
  <si>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</si>
  <si>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</si>
  <si>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</si>
  <si>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</si>
  <si>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</si>
  <si>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</si>
  <si>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</si>
  <si>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</si>
  <si>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</si>
  <si>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</si>
  <si>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</si>
  <si>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</si>
  <si>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</si>
  <si>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</si>
  <si>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</si>
  <si>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</si>
  <si>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</si>
  <si>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</si>
  <si>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</si>
  <si>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</si>
  <si>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</si>
  <si>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</si>
  <si>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</si>
  <si>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</si>
  <si>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</si>
  <si>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</si>
  <si>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</si>
  <si>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</si>
  <si>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</si>
  <si>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</si>
  <si>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</si>
  <si>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</si>
  <si>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</si>
  <si>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</si>
  <si>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</si>
  <si>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</si>
  <si>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</si>
  <si>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</si>
  <si>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</si>
  <si>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</si>
  <si>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</si>
  <si>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</si>
  <si>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</si>
  <si>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</si>
  <si>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</si>
  <si>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</si>
  <si>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</si>
  <si>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</si>
  <si>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</si>
  <si>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</si>
  <si>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</si>
  <si>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</si>
  <si>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</si>
  <si>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</si>
  <si>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</si>
  <si>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</si>
  <si>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</si>
  <si>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</si>
  <si>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</si>
  <si>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</si>
  <si>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</si>
  <si>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</si>
  <si>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</si>
  <si>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</si>
  <si>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</si>
  <si>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</si>
  <si>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</si>
  <si>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</si>
  <si>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</si>
  <si>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</si>
  <si>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</si>
  <si>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</si>
  <si>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</si>
  <si>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</si>
  <si>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</si>
  <si>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</si>
  <si>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</si>
  <si>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</si>
  <si>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</si>
  <si>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</si>
  <si>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</si>
  <si>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</si>
  <si>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</si>
  <si>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</si>
  <si>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</si>
  <si>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</si>
  <si>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</si>
  <si>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</si>
  <si>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</si>
  <si>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</si>
  <si>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</si>
  <si>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</si>
  <si>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</si>
  <si>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</si>
  <si>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</si>
  <si>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</si>
  <si>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</si>
  <si>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</si>
  <si>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</si>
  <si>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</si>
  <si>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</si>
  <si>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</si>
  <si>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</si>
  <si>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</si>
  <si>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</si>
  <si>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</si>
  <si>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</si>
  <si>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</si>
  <si>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</si>
  <si>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</si>
  <si>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</si>
  <si>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</si>
  <si>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</si>
  <si>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</si>
  <si>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</si>
  <si>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</si>
  <si>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</si>
  <si>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</si>
  <si>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</si>
  <si>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</si>
  <si>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</si>
  <si>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</si>
  <si>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</si>
  <si>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</si>
  <si>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</si>
  <si>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</si>
  <si>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</si>
  <si>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</si>
  <si>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</si>
  <si>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</si>
  <si>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</si>
  <si>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</si>
  <si>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</si>
  <si>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</si>
  <si>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</si>
  <si>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</si>
  <si>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</si>
  <si>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</si>
  <si>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</si>
  <si>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</si>
  <si>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</si>
  <si>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</si>
  <si>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</si>
  <si>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</si>
  <si>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</si>
  <si>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</si>
  <si>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</si>
  <si>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</si>
  <si>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</si>
  <si>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</si>
  <si>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</si>
  <si>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</si>
  <si>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</si>
  <si>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</si>
  <si>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</si>
  <si>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</si>
  <si>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</si>
  <si>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</si>
  <si>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</si>
  <si>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</si>
  <si>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</si>
  <si>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</si>
  <si>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</si>
  <si>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</si>
  <si>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</si>
  <si>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</si>
  <si>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</si>
  <si>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</si>
  <si>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</si>
  <si>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</si>
  <si>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</si>
  <si>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</si>
  <si>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</si>
  <si>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</si>
  <si>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</si>
  <si>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</si>
  <si>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</si>
  <si>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</si>
  <si>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</si>
  <si>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</si>
  <si>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</si>
  <si>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</si>
  <si>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</si>
  <si>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</si>
  <si>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</si>
  <si>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</si>
  <si>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</si>
  <si>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</si>
  <si>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</si>
  <si>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</si>
  <si>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</si>
  <si>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</si>
  <si>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</si>
  <si>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</si>
  <si>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</si>
  <si>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</si>
  <si>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</si>
  <si>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</si>
  <si>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</si>
  <si>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</si>
  <si>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</si>
  <si>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</si>
  <si>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</si>
  <si>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</si>
  <si>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</si>
  <si>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</si>
  <si>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</si>
  <si>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</si>
  <si>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</si>
  <si>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</si>
  <si>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</si>
  <si>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</si>
  <si>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</si>
  <si>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</si>
  <si>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</si>
  <si>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</si>
  <si>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</si>
  <si>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</si>
  <si>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</si>
  <si>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</si>
  <si>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</si>
  <si>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</si>
  <si>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</si>
  <si>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</si>
  <si>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</si>
  <si>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</si>
  <si>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</si>
  <si>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</si>
  <si>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</si>
  <si>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</si>
  <si>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</si>
  <si>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</si>
  <si>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</si>
  <si>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</si>
  <si>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</si>
  <si>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</si>
  <si>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</si>
  <si>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</si>
  <si>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</si>
  <si>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</si>
  <si>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</si>
  <si>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</si>
  <si>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</si>
  <si>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</si>
  <si>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</si>
  <si>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</si>
  <si>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</si>
  <si>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</si>
  <si>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</si>
  <si>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</si>
  <si>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</si>
  <si>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</si>
  <si>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</si>
  <si>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</si>
  <si>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</si>
  <si>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</si>
  <si>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</si>
  <si>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</si>
  <si>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</si>
  <si>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</si>
  <si>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</si>
  <si>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</si>
  <si>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</si>
  <si>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</si>
  <si>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</si>
  <si>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</si>
  <si>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</si>
  <si>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</si>
  <si>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</si>
  <si>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</si>
  <si>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</si>
  <si>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</si>
  <si>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</si>
  <si>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</si>
  <si>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</si>
  <si>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</si>
  <si>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</si>
  <si>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</si>
  <si>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</si>
  <si>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</si>
  <si>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</si>
  <si>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</si>
  <si>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</si>
  <si>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</si>
  <si>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</si>
  <si>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</si>
  <si>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</si>
  <si>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</si>
  <si>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</si>
  <si>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</si>
  <si>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</si>
  <si>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</si>
  <si>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</si>
  <si>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</si>
  <si>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</si>
  <si>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</si>
  <si>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</si>
  <si>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</si>
  <si>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</si>
  <si>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</si>
  <si>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</si>
  <si>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</si>
  <si>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</si>
  <si>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</si>
  <si>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</si>
  <si>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</si>
  <si>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</si>
  <si>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</si>
  <si>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</si>
  <si>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</si>
  <si>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</si>
  <si>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</si>
  <si>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</si>
  <si>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</si>
  <si>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</si>
  <si>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</si>
  <si>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</si>
  <si>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</si>
  <si>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</si>
  <si>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</si>
  <si>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</si>
  <si>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</si>
  <si>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</si>
  <si>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</si>
  <si>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</si>
  <si>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</si>
  <si>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</si>
  <si>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</si>
  <si>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</si>
  <si>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</si>
  <si>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</si>
  <si>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</si>
  <si>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</si>
  <si>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</si>
  <si>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</si>
  <si>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</si>
  <si>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</si>
  <si>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</si>
  <si>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</si>
  <si>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</si>
  <si>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</si>
  <si>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</si>
  <si>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</si>
  <si>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</si>
  <si>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</si>
  <si>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</si>
  <si>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</si>
  <si>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</si>
  <si>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</si>
  <si>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</si>
  <si>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</si>
  <si>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</si>
  <si>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</si>
  <si>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</si>
  <si>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</si>
  <si>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</si>
  <si>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</si>
  <si>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</si>
  <si>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</si>
  <si>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</si>
  <si>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</si>
  <si>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</si>
  <si>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</si>
  <si>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</si>
  <si>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</si>
  <si>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</si>
  <si>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</si>
  <si>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</si>
  <si>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</si>
  <si>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</si>
  <si>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</si>
  <si>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</si>
  <si>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</si>
  <si>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</si>
  <si>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</si>
  <si>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</si>
  <si>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</si>
  <si>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</si>
  <si>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</si>
  <si>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</si>
  <si>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</si>
  <si>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</si>
  <si>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</si>
  <si>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</si>
  <si>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</si>
  <si>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</si>
  <si>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</si>
  <si>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</si>
  <si>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</si>
  <si>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</si>
  <si>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</si>
  <si>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</si>
  <si>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</si>
  <si>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</si>
  <si>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</si>
  <si>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</si>
  <si>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</si>
  <si>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</si>
  <si>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</si>
  <si>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</si>
  <si>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</si>
  <si>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</si>
  <si>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</si>
  <si>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</si>
  <si>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</si>
  <si>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</si>
  <si>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</si>
  <si>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</si>
  <si>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</si>
  <si>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</si>
  <si>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</si>
  <si>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</si>
  <si>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</si>
  <si>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</si>
  <si>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</si>
  <si>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</si>
  <si>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</si>
  <si>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</si>
  <si>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</si>
  <si>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</si>
  <si>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</si>
  <si>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</si>
  <si>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</si>
  <si>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</si>
  <si>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</si>
  <si>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</si>
  <si>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</si>
  <si>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</si>
  <si>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</si>
  <si>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</si>
  <si>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</si>
  <si>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</si>
  <si>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</si>
  <si>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</si>
  <si>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</si>
  <si>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</si>
  <si>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</si>
  <si>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</si>
  <si>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</si>
  <si>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</si>
  <si>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</si>
  <si>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</si>
  <si>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</si>
  <si>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</si>
  <si>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</si>
  <si>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</si>
  <si>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</si>
  <si>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</si>
  <si>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</si>
  <si>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</si>
  <si>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</si>
  <si>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</si>
  <si>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</si>
  <si>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</si>
  <si>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</si>
  <si>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</si>
  <si>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</si>
  <si>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</si>
  <si>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</si>
  <si>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</si>
  <si>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</si>
  <si>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</si>
  <si>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</si>
  <si>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</si>
  <si>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</si>
  <si>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</si>
  <si>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</si>
  <si>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</si>
  <si>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</si>
  <si>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</si>
  <si>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</si>
  <si>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</si>
  <si>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</si>
  <si>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</si>
  <si>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</si>
  <si>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</si>
  <si>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</si>
  <si>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</si>
  <si>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</si>
  <si>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</si>
  <si>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</si>
  <si>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</si>
  <si>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</si>
  <si>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</si>
  <si>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</si>
  <si>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</si>
  <si>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</si>
  <si>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</si>
  <si>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</si>
  <si>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</si>
  <si>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</si>
  <si>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</si>
  <si>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</si>
  <si>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</si>
  <si>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</si>
  <si>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</si>
  <si>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</si>
  <si>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</si>
  <si>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</si>
  <si>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</si>
  <si>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</si>
  <si>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</si>
  <si>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</si>
  <si>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</si>
  <si>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</si>
  <si>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</si>
  <si>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</si>
  <si>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</si>
  <si>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</si>
  <si>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</si>
  <si>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</si>
  <si>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</si>
  <si>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</si>
  <si>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</si>
  <si>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</si>
  <si>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</si>
  <si>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</si>
  <si>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</si>
  <si>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</si>
  <si>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</si>
  <si>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</si>
  <si>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</si>
  <si>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</si>
  <si>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</si>
  <si>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</si>
  <si>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</si>
  <si>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</si>
  <si>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</si>
  <si>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</si>
  <si>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</si>
  <si>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</si>
  <si>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</si>
  <si>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</si>
  <si>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</si>
  <si>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</si>
  <si>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</si>
  <si>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</si>
  <si>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</si>
  <si>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</si>
  <si>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</si>
  <si>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</si>
  <si>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</si>
  <si>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</si>
  <si>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</si>
  <si>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</si>
  <si>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</si>
  <si>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</si>
  <si>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</si>
  <si>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</si>
  <si>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</si>
  <si>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</si>
  <si>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</si>
  <si>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</si>
  <si>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</si>
  <si>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</si>
  <si>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</si>
  <si>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</si>
  <si>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</si>
  <si>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</si>
  <si>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</si>
  <si>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</si>
  <si>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</si>
  <si>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</si>
  <si>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</si>
  <si>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</si>
  <si>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</si>
  <si>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</si>
  <si>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</si>
  <si>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</si>
  <si>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</si>
  <si>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</si>
  <si>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</si>
  <si>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</si>
  <si>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</si>
  <si>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</si>
  <si>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</si>
  <si>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</si>
  <si>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</si>
  <si>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</si>
  <si>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</si>
  <si>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</si>
  <si>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</si>
  <si>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</si>
  <si>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</si>
  <si>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</si>
  <si>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</si>
  <si>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</si>
  <si>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</si>
  <si>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</si>
  <si>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</si>
  <si>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</si>
  <si>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</si>
  <si>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</si>
  <si>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</si>
  <si>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</si>
  <si>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</si>
  <si>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</si>
  <si>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</si>
  <si>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</si>
  <si>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</si>
  <si>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</si>
  <si>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</si>
  <si>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</si>
  <si>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</si>
  <si>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</si>
  <si>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</si>
  <si>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</si>
  <si>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</si>
  <si>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</si>
  <si>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</si>
  <si>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</si>
  <si>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</si>
  <si>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</si>
  <si>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</si>
  <si>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</si>
  <si>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</si>
  <si>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</si>
  <si>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</si>
  <si>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</si>
  <si>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</si>
  <si>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</si>
  <si>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</si>
  <si>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</si>
  <si>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</si>
  <si>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</si>
  <si>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</si>
  <si>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</si>
  <si>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</si>
  <si>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</si>
  <si>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</si>
  <si>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</si>
  <si>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</si>
  <si>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</si>
  <si>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</si>
  <si>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</si>
  <si>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</si>
  <si>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</si>
  <si>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</si>
  <si>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</si>
  <si>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</si>
  <si>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</si>
  <si>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</si>
  <si>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</si>
  <si>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</si>
  <si>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</si>
  <si>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</si>
  <si>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</si>
  <si>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</si>
  <si>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</si>
  <si>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</si>
  <si>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</si>
  <si>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</si>
  <si>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</si>
  <si>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</si>
  <si>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</si>
  <si>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</si>
  <si>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</si>
  <si>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</si>
  <si>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</si>
  <si>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</si>
  <si>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</si>
  <si>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</si>
  <si>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</si>
  <si>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</si>
  <si>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</si>
  <si>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</si>
  <si>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</si>
  <si>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</si>
  <si>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</si>
  <si>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</si>
  <si>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</si>
  <si>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</si>
  <si>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</si>
  <si>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</si>
  <si>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</si>
  <si>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</si>
  <si>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</si>
  <si>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</si>
  <si>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</si>
  <si>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</si>
  <si>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</si>
  <si>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</si>
  <si>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</si>
  <si>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</si>
  <si>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</si>
  <si>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</si>
  <si>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</si>
  <si>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</si>
  <si>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</si>
  <si>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</si>
  <si>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</si>
  <si>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</si>
  <si>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</si>
  <si>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</si>
  <si>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</si>
  <si>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</si>
  <si>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</si>
  <si>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</si>
  <si>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</si>
  <si>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</si>
  <si>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</si>
  <si>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</si>
  <si>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</si>
  <si>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</si>
  <si>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</si>
  <si>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</si>
  <si>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</si>
  <si>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</si>
  <si>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</si>
  <si>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</si>
  <si>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</si>
  <si>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</si>
  <si>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</si>
  <si>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</si>
  <si>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</si>
  <si>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</si>
  <si>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</si>
  <si>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</si>
  <si>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</si>
  <si>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</si>
  <si>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</si>
  <si>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</si>
  <si>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</si>
  <si>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</si>
  <si>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</si>
  <si>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</si>
  <si>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</si>
  <si>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</si>
  <si>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</si>
  <si>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</si>
  <si>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</si>
  <si>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</si>
  <si>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</si>
  <si>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</si>
  <si>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</si>
  <si>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</si>
  <si>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</si>
  <si>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</si>
  <si>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</si>
  <si>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</si>
  <si>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</si>
  <si>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</si>
  <si>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</si>
  <si>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</si>
  <si>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</si>
  <si>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</si>
  <si>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</si>
  <si>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</si>
  <si>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</si>
  <si>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</si>
  <si>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</si>
  <si>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</si>
  <si>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</si>
  <si>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</si>
  <si>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</si>
  <si>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</si>
  <si>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</si>
  <si>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</si>
  <si>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</si>
  <si>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</si>
  <si>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</si>
  <si>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</si>
  <si>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</si>
  <si>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</si>
  <si>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</si>
  <si>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</si>
  <si>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</si>
  <si>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</si>
  <si>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</si>
  <si>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</si>
  <si>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</si>
  <si>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</si>
  <si>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</si>
  <si>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</si>
  <si>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</si>
  <si>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</si>
  <si>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</si>
  <si>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</si>
  <si>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</si>
  <si>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</si>
  <si>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</si>
  <si>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</si>
  <si>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</si>
  <si>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</si>
  <si>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</si>
  <si>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</si>
  <si>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</si>
  <si>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</si>
  <si>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</si>
  <si>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</si>
  <si>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</si>
  <si>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</si>
  <si>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</si>
  <si>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</si>
  <si>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</si>
  <si>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</si>
  <si>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</si>
  <si>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</si>
  <si>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</si>
  <si>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</si>
  <si>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</si>
  <si>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</si>
  <si>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</si>
  <si>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</si>
  <si>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</si>
  <si>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</si>
  <si>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</si>
  <si>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</si>
  <si>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</si>
  <si>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</si>
  <si>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</si>
  <si>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</si>
  <si>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</si>
  <si>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</si>
  <si>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</si>
  <si>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</si>
  <si>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</si>
  <si>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</si>
  <si>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</si>
  <si>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</si>
  <si>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</si>
  <si>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</si>
  <si>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</si>
  <si>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</si>
  <si>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</si>
  <si>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</si>
  <si>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</si>
  <si>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</si>
  <si>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</si>
  <si>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</si>
  <si>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</si>
  <si>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</si>
  <si>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</si>
  <si>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</si>
  <si>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</si>
  <si>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</si>
  <si>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</si>
  <si>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</si>
  <si>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</si>
  <si>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</si>
  <si>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</si>
  <si>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</si>
  <si>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</si>
  <si>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</si>
  <si>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</si>
  <si>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</si>
  <si>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</si>
  <si>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</si>
  <si>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</si>
  <si>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</si>
  <si>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</si>
  <si>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</si>
  <si>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</si>
  <si>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</si>
  <si>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</si>
  <si>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</si>
  <si>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</si>
  <si>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</si>
  <si>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</si>
  <si>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</si>
  <si>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</si>
  <si>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</si>
  <si>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</si>
  <si>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</si>
  <si>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</si>
  <si>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</si>
  <si>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</si>
  <si>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</si>
  <si>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</si>
  <si>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</si>
  <si>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</si>
  <si>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</si>
  <si>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</si>
  <si>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</si>
  <si>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</si>
  <si>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</si>
  <si>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</si>
  <si>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</si>
  <si>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</si>
  <si>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</si>
  <si>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</si>
  <si>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</si>
  <si>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</si>
  <si>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</si>
  <si>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</si>
  <si>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</si>
  <si>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</si>
  <si>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</si>
  <si>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</si>
  <si>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</si>
  <si>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</si>
  <si>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</si>
  <si>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</si>
  <si>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</si>
  <si>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</si>
  <si>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</si>
  <si>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</si>
  <si>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</si>
  <si>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</si>
  <si>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</si>
  <si>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</si>
  <si>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</si>
  <si>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</si>
  <si>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</si>
  <si>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</si>
  <si>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</si>
  <si>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</si>
  <si>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</si>
  <si>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</si>
  <si>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</si>
  <si>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</si>
  <si>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</si>
  <si>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</si>
  <si>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</si>
  <si>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</si>
  <si>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</si>
  <si>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</si>
  <si>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</si>
  <si>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</si>
  <si>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</si>
  <si>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</si>
  <si>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</si>
  <si>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</si>
  <si>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</si>
  <si>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</si>
  <si>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</si>
  <si>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</si>
  <si>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</si>
  <si>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</si>
  <si>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</si>
  <si>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</si>
  <si>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</si>
  <si>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</si>
  <si>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</si>
  <si>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</si>
  <si>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</si>
  <si>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</si>
  <si>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</si>
  <si>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</si>
  <si>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</si>
  <si>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</si>
  <si>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</si>
  <si>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</si>
  <si>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</si>
  <si>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</si>
  <si>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</si>
  <si>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</si>
  <si>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</si>
  <si>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</si>
  <si>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</si>
  <si>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</si>
  <si>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</si>
  <si>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</si>
  <si>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</si>
  <si>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</si>
  <si>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</si>
  <si>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</si>
  <si>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</si>
  <si>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</si>
  <si>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</si>
  <si>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</si>
  <si>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</si>
  <si>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</si>
  <si>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</si>
  <si>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</si>
  <si>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</si>
  <si>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</si>
  <si>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</si>
  <si>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</si>
  <si>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</si>
  <si>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</si>
  <si>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</si>
  <si>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</si>
  <si>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</si>
  <si>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</si>
  <si>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</si>
  <si>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</si>
  <si>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</si>
  <si>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</si>
  <si>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</si>
  <si>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</si>
  <si>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</si>
  <si>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</si>
  <si>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</si>
  <si>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</si>
  <si>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</si>
  <si>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</si>
  <si>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</si>
  <si>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</si>
  <si>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</si>
  <si>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</si>
  <si>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</si>
  <si>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</si>
  <si>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</si>
  <si>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</si>
  <si>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</si>
  <si>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</si>
  <si>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</si>
  <si>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</si>
  <si>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</si>
  <si>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</si>
  <si>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</si>
  <si>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</si>
  <si>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</si>
  <si>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</si>
  <si>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</si>
  <si>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</si>
  <si>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</si>
  <si>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</si>
  <si>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</si>
  <si>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</si>
  <si>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</si>
  <si>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</si>
  <si>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</si>
  <si>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</si>
  <si>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</si>
  <si>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</si>
  <si>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</si>
  <si>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</si>
  <si>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</si>
  <si>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</si>
  <si>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</si>
  <si>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</si>
  <si>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</si>
  <si>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</si>
  <si>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</si>
  <si>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</si>
  <si>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</si>
  <si>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</si>
  <si>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</si>
  <si>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</si>
  <si>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</si>
  <si>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</si>
  <si>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</si>
  <si>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</si>
  <si>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</si>
  <si>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</si>
  <si>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</si>
  <si>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</si>
  <si>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</si>
  <si>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</si>
  <si>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</si>
  <si>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</si>
  <si>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</si>
  <si>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</si>
  <si>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</si>
  <si>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</si>
  <si>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</si>
  <si>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</si>
  <si>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</si>
  <si>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</si>
  <si>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</si>
  <si>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</si>
  <si>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</si>
  <si>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</si>
  <si>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</si>
  <si>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</si>
  <si>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</si>
  <si>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</si>
  <si>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</si>
  <si>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</si>
  <si>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</si>
  <si>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</si>
  <si>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</si>
  <si>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</si>
  <si>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</si>
  <si>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</si>
  <si>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</si>
  <si>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</si>
  <si>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</si>
  <si>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</si>
  <si>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</si>
  <si>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</si>
  <si>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</si>
  <si>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</si>
  <si>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</si>
  <si>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</si>
  <si>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</si>
  <si>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</si>
  <si>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</si>
  <si>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</si>
  <si>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</si>
  <si>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</si>
  <si>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</si>
  <si>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</si>
  <si>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</si>
  <si>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</si>
  <si>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</si>
  <si>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</si>
  <si>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</si>
  <si>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</si>
  <si>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</si>
  <si>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</si>
  <si>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</si>
  <si>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</si>
  <si>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</si>
  <si>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</si>
  <si>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</si>
  <si>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</si>
  <si>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</si>
  <si>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</si>
  <si>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</si>
  <si>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</si>
  <si>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</si>
  <si>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</si>
  <si>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</si>
  <si>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</si>
  <si>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</si>
  <si>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</si>
  <si>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</si>
  <si>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</si>
  <si>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</si>
  <si>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</si>
  <si>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</si>
  <si>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</si>
  <si>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</si>
  <si>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</si>
  <si>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</si>
  <si>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</si>
  <si>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</si>
  <si>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</si>
  <si>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</si>
  <si>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</si>
  <si>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</si>
  <si>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</si>
  <si>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</si>
  <si>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</si>
  <si>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</si>
  <si>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</si>
  <si>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</si>
  <si>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</si>
  <si>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</si>
  <si>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</si>
  <si>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</si>
  <si>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</si>
  <si>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</si>
  <si>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</si>
  <si>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</si>
  <si>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</si>
  <si>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</si>
  <si>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</si>
  <si>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</si>
  <si>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</si>
  <si>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</si>
  <si>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</si>
  <si>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</si>
  <si>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</si>
  <si>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</si>
  <si>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</si>
  <si>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</si>
  <si>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</si>
  <si>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</si>
  <si>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</si>
  <si>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</si>
  <si>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</si>
  <si>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</si>
  <si>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</si>
  <si>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</si>
  <si>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</si>
  <si>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</si>
  <si>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</si>
  <si>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</si>
  <si>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</si>
  <si>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</si>
  <si>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</si>
  <si>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</si>
  <si>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</si>
  <si>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</si>
  <si>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</si>
  <si>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</si>
  <si>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</si>
  <si>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</si>
  <si>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</si>
  <si>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</si>
  <si>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</si>
  <si>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</si>
  <si>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</si>
  <si>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</si>
  <si>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</si>
  <si>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</si>
  <si>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</si>
  <si>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</si>
  <si>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</si>
  <si>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</si>
  <si>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</si>
  <si>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</si>
  <si>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</si>
  <si>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</si>
  <si>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</si>
  <si>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</si>
  <si>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</si>
  <si>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</si>
  <si>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</si>
  <si>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</si>
  <si>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</si>
  <si>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</si>
  <si>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</si>
  <si>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</si>
  <si>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</si>
  <si>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</si>
  <si>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</si>
  <si>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</si>
  <si>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</si>
  <si>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</si>
  <si>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</si>
  <si>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</si>
  <si>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</si>
  <si>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</si>
  <si>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</si>
  <si>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</si>
  <si>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</si>
  <si>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</si>
  <si>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</si>
  <si>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</si>
  <si>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</si>
  <si>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</si>
  <si>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</si>
  <si>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</si>
  <si>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6760882</t>
  </si>
  <si>
    <t>820000671</t>
  </si>
  <si>
    <t>820003424</t>
  </si>
  <si>
    <t>820003658</t>
  </si>
  <si>
    <t>830135106</t>
  </si>
  <si>
    <t>844004655</t>
  </si>
  <si>
    <t>900786391</t>
  </si>
  <si>
    <t>900861635</t>
  </si>
  <si>
    <t>901098039</t>
  </si>
  <si>
    <t>901125591</t>
  </si>
  <si>
    <t>901221063</t>
  </si>
  <si>
    <t>901393816</t>
  </si>
  <si>
    <t>901483405</t>
  </si>
  <si>
    <t>901554945</t>
  </si>
  <si>
    <t>901651601</t>
  </si>
  <si>
    <t>901703351</t>
  </si>
  <si>
    <t>901703765</t>
  </si>
  <si>
    <t>901767248</t>
  </si>
  <si>
    <t>901772136</t>
  </si>
  <si>
    <t>901821373</t>
  </si>
  <si>
    <t>HECTOR TOCARRUNCHO GAMBOA</t>
  </si>
  <si>
    <t>VEOLIA AGUAS DE TUNJA S.A. E.S.P</t>
  </si>
  <si>
    <t>B &amp; V INGENIERIA S.A.S</t>
  </si>
  <si>
    <t>ASOCIACION DE SUSCRIPTORES DEL ACUEDUCTO RIO CHAINA ESP</t>
  </si>
  <si>
    <t>INGENIEROS RECUPERADORES AMBIENTALES DE COLOMBIA SAS</t>
  </si>
  <si>
    <t>ORGANIZACION C&amp;V SAS</t>
  </si>
  <si>
    <t>CONSTRUIMOS CALIDAD S.A.S</t>
  </si>
  <si>
    <t>ENARFIRE CONSULTING SAS</t>
  </si>
  <si>
    <t>AT CONSTRUCCIONES Y SUMINISTROS S.A.S.</t>
  </si>
  <si>
    <t>INGENIERÍA DISEÑO &amp; CONSTRUCCIÓN DE OBRAS CIVILES S.A.S</t>
  </si>
  <si>
    <t>HUERTAS VILLA CONSTRUCTORES S.A.S</t>
  </si>
  <si>
    <t>DESARROLLADORA VERDE SAS</t>
  </si>
  <si>
    <t>AA GEMA S.A.S</t>
  </si>
  <si>
    <t>CONSORCIO EDILAB UPTC</t>
  </si>
  <si>
    <t>DESARROLLADORA BOYACA SAS</t>
  </si>
  <si>
    <t>CONSORCIO INFRASALUD</t>
  </si>
  <si>
    <t>CONSORCIO SALUD GARAGOA</t>
  </si>
  <si>
    <t>CONSORCIO VIAL 14</t>
  </si>
  <si>
    <t>CONSORCIO PATINODROMO</t>
  </si>
  <si>
    <t>CONSORCIO ESE TASCO 2024</t>
  </si>
  <si>
    <t>htgarq@yahoo.com</t>
  </si>
  <si>
    <t>CL 32 1 B 48 CA 21 CON BOSQUES DE GUAGUANI</t>
  </si>
  <si>
    <t>co.radicacionfacturas@veolia.com</t>
  </si>
  <si>
    <t>cra 3 este n 11 20</t>
  </si>
  <si>
    <t>byvingenieria@hotmail.com</t>
  </si>
  <si>
    <t>AV NORTE 47 A 40 P 3 OF 31 BRR JOSE JOAQUIN CAMACHO</t>
  </si>
  <si>
    <t>chainaesp@gmail.com</t>
  </si>
  <si>
    <t>CR 9 9 61 OF 204 BRR CENTRO</t>
  </si>
  <si>
    <t>igraco_ltda@yahoo.com</t>
  </si>
  <si>
    <t>CL 80 AUT MEDELLIN KM 1 5 VIA SIBERIA COTA PH DE OCCIDENTE LC 1147 1145</t>
  </si>
  <si>
    <t>CONTABILIDAD@ORGANIZACIONCV.COM</t>
  </si>
  <si>
    <t>CL 24 N 12 54 BRR BRISAS DEL AGUA CLARA</t>
  </si>
  <si>
    <t>servicioalcliente@grupounocolombia.com</t>
  </si>
  <si>
    <t>CLL 86A N 24 81</t>
  </si>
  <si>
    <t>contabilidad@enarfire.com</t>
  </si>
  <si>
    <t>CL 15 17 A 51 BRR EL LAGO</t>
  </si>
  <si>
    <t>gerenteatconstrucciones@gmail.com</t>
  </si>
  <si>
    <t>CR 11 41 44 LC 8 OF 12</t>
  </si>
  <si>
    <t>CR 9 7 51 BRR SAN CAYETANO</t>
  </si>
  <si>
    <t>indicoc.sas@gmail.com</t>
  </si>
  <si>
    <t>Huvicons.compras@gmail.com</t>
  </si>
  <si>
    <t>TV 3 60 77 BRR SANTA ANA</t>
  </si>
  <si>
    <t>CL 86 A 24 81</t>
  </si>
  <si>
    <t>aa.gemasas05@gmail.com</t>
  </si>
  <si>
    <t>CL 9 36 24</t>
  </si>
  <si>
    <t>facturacionelectronica042@gmail.com</t>
  </si>
  <si>
    <t>CL 20 12 84 OF 211 B</t>
  </si>
  <si>
    <t>CL 86 A NO. 24 81</t>
  </si>
  <si>
    <t>consorcioinfrasalud23@gmail.com</t>
  </si>
  <si>
    <t>CR 10 21 15 ED CAMOL OF 16 B</t>
  </si>
  <si>
    <t>saludgaragoa@gmail.com</t>
  </si>
  <si>
    <t>CL 48 3 64</t>
  </si>
  <si>
    <t>padincolcontable@gmail.com</t>
  </si>
  <si>
    <t>CL 54 7 33 AP 301</t>
  </si>
  <si>
    <t>alcaingesas@gmail.com</t>
  </si>
  <si>
    <t>CL 48 A 3 64</t>
  </si>
  <si>
    <t>esetasco2024@gmail.com</t>
  </si>
  <si>
    <t>CL 143 # 9 - 55 OF 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</si>
</sst>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1333499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28"/>
  <sheetViews>
    <sheetView tabSelected="1" zoomScale="85" zoomScaleNormal="85" workbookViewId="0">
      <pane ySplit="6" topLeftCell="A7" activePane="bottomLeft" state="frozen"/>
      <selection pane="bottomLeft" activeCell="E12" sqref="E12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59" style="9" bestFit="1" customWidth="1"/>
    <col min="4" max="4" width="21" style="9" bestFit="1" customWidth="1"/>
    <col min="5" max="5" width="20.28515625" style="9" bestFit="1" customWidth="1"/>
    <col min="6" max="6" width="21.425781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0" t="s">
        <v>2246</v>
      </c>
      <c r="B2" s="10"/>
      <c r="C2" s="10"/>
      <c r="D2" s="19"/>
      <c r="E2" s="20"/>
      <c r="F2" s="20"/>
      <c r="G2" s="8"/>
      <c r="H2" s="8"/>
      <c r="I2" s="8"/>
    </row>
    <row r="3" spans="1:9" x14ac:dyDescent="0.25">
      <c r="A3" s="11" t="s">
        <v>2247</v>
      </c>
      <c r="B3" s="11"/>
      <c r="C3" s="11"/>
      <c r="D3" s="21"/>
      <c r="E3" s="22"/>
      <c r="F3" s="22"/>
      <c r="G3" s="8"/>
      <c r="H3" s="8"/>
      <c r="I3" s="8"/>
    </row>
    <row r="4" spans="1:9" x14ac:dyDescent="0.25">
      <c r="A4" s="10" t="s">
        <v>2248</v>
      </c>
      <c r="B4" s="10"/>
      <c r="C4" s="10"/>
      <c r="D4" s="19"/>
      <c r="E4" s="20"/>
      <c r="F4" s="20"/>
      <c r="G4" s="8"/>
      <c r="H4" s="8"/>
      <c r="I4" s="8"/>
    </row>
    <row r="5" spans="1:9" x14ac:dyDescent="0.25">
      <c r="A5" s="11" t="s">
        <v>2249</v>
      </c>
      <c r="B5" s="11"/>
      <c r="C5" s="11"/>
      <c r="D5" s="16"/>
      <c r="E5" s="17"/>
      <c r="F5" s="17"/>
      <c r="G5" s="8"/>
      <c r="H5" s="8"/>
      <c r="I5" s="8"/>
    </row>
    <row r="6" spans="1:9" ht="30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 t="s">
        <v>2250</v>
      </c>
      <c r="C7" s="9" t="s">
        <v>2270</v>
      </c>
      <c r="D7" s="9">
        <v>3115986471</v>
      </c>
      <c r="E7" s="9" t="s">
        <v>2290</v>
      </c>
      <c r="F7" s="9" t="s">
        <v>2291</v>
      </c>
      <c r="G7" s="9">
        <v>15001</v>
      </c>
      <c r="H7" s="23">
        <v>8620540</v>
      </c>
      <c r="I7" s="9">
        <v>113</v>
      </c>
    </row>
    <row r="8" spans="1:9" x14ac:dyDescent="0.25">
      <c r="A8" s="9" t="s">
        <v>2251</v>
      </c>
      <c r="B8" s="9">
        <v>7</v>
      </c>
      <c r="C8" s="9" t="s">
        <v>2271</v>
      </c>
      <c r="D8" s="9">
        <v>6087440088</v>
      </c>
      <c r="E8" s="9" t="s">
        <v>2292</v>
      </c>
      <c r="F8" s="9" t="s">
        <v>2293</v>
      </c>
      <c r="G8" s="9">
        <v>15001</v>
      </c>
      <c r="H8" s="23">
        <v>264874413.23000002</v>
      </c>
      <c r="I8" s="9">
        <v>113</v>
      </c>
    </row>
    <row r="9" spans="1:9" x14ac:dyDescent="0.25">
      <c r="A9" s="9" t="s">
        <v>2252</v>
      </c>
      <c r="B9" s="9">
        <v>8</v>
      </c>
      <c r="C9" s="9" t="s">
        <v>2272</v>
      </c>
      <c r="D9" s="9">
        <v>3132109054</v>
      </c>
      <c r="E9" s="9" t="s">
        <v>2294</v>
      </c>
      <c r="F9" s="9" t="s">
        <v>2295</v>
      </c>
      <c r="G9" s="9">
        <v>15001</v>
      </c>
      <c r="H9" s="23">
        <v>12899640.460000001</v>
      </c>
      <c r="I9" s="9">
        <v>113</v>
      </c>
    </row>
    <row r="10" spans="1:9" x14ac:dyDescent="0.25">
      <c r="A10" s="9" t="s">
        <v>2253</v>
      </c>
      <c r="B10" s="9">
        <v>4</v>
      </c>
      <c r="C10" s="9" t="s">
        <v>2273</v>
      </c>
      <c r="D10" s="9">
        <v>3183795851</v>
      </c>
      <c r="E10" s="9" t="s">
        <v>2296</v>
      </c>
      <c r="F10" s="9" t="s">
        <v>2297</v>
      </c>
      <c r="G10" s="9">
        <v>15407</v>
      </c>
      <c r="H10" s="23">
        <v>4096041.68</v>
      </c>
      <c r="I10" s="9">
        <v>113</v>
      </c>
    </row>
    <row r="11" spans="1:9" x14ac:dyDescent="0.25">
      <c r="A11" s="9" t="s">
        <v>2254</v>
      </c>
      <c r="B11" s="9">
        <v>3</v>
      </c>
      <c r="C11" s="9" t="s">
        <v>2274</v>
      </c>
      <c r="D11" s="9">
        <v>3144731939</v>
      </c>
      <c r="E11" s="9" t="s">
        <v>2298</v>
      </c>
      <c r="F11" s="9" t="s">
        <v>2299</v>
      </c>
      <c r="G11" s="9">
        <v>25214</v>
      </c>
      <c r="H11" s="23">
        <v>744109.20000000007</v>
      </c>
      <c r="I11" s="9">
        <v>113</v>
      </c>
    </row>
    <row r="12" spans="1:9" x14ac:dyDescent="0.25">
      <c r="A12" s="9" t="s">
        <v>2255</v>
      </c>
      <c r="B12" s="9">
        <v>4</v>
      </c>
      <c r="C12" s="9" t="s">
        <v>2275</v>
      </c>
      <c r="D12" s="9">
        <v>3105518041</v>
      </c>
      <c r="E12" s="9" t="s">
        <v>2300</v>
      </c>
      <c r="F12" s="9" t="s">
        <v>2301</v>
      </c>
      <c r="G12" s="9">
        <v>85440</v>
      </c>
      <c r="H12" s="23">
        <v>56830748.07</v>
      </c>
      <c r="I12" s="9">
        <v>113</v>
      </c>
    </row>
    <row r="13" spans="1:9" x14ac:dyDescent="0.25">
      <c r="A13" s="9" t="s">
        <v>2256</v>
      </c>
      <c r="B13" s="9">
        <v>2</v>
      </c>
      <c r="C13" s="9" t="s">
        <v>2276</v>
      </c>
      <c r="D13" s="9">
        <v>6015338009</v>
      </c>
      <c r="E13" s="9" t="s">
        <v>2302</v>
      </c>
      <c r="F13" s="9" t="s">
        <v>2303</v>
      </c>
      <c r="G13" s="9">
        <v>11001</v>
      </c>
      <c r="H13" s="23">
        <f>228172488.75-31751601</f>
        <v>196420887.75</v>
      </c>
      <c r="I13" s="9">
        <v>113</v>
      </c>
    </row>
    <row r="14" spans="1:9" x14ac:dyDescent="0.25">
      <c r="A14" s="9" t="s">
        <v>2257</v>
      </c>
      <c r="B14" s="9">
        <v>5</v>
      </c>
      <c r="C14" s="9" t="s">
        <v>2277</v>
      </c>
      <c r="D14" s="9">
        <v>3123275887</v>
      </c>
      <c r="E14" s="9" t="s">
        <v>2304</v>
      </c>
      <c r="F14" s="9" t="s">
        <v>2305</v>
      </c>
      <c r="G14" s="9">
        <v>25286</v>
      </c>
      <c r="H14" s="23">
        <v>10390726</v>
      </c>
      <c r="I14" s="9">
        <v>113</v>
      </c>
    </row>
    <row r="15" spans="1:9" x14ac:dyDescent="0.25">
      <c r="A15" s="9" t="s">
        <v>2258</v>
      </c>
      <c r="B15" s="9">
        <v>6</v>
      </c>
      <c r="C15" s="9" t="s">
        <v>2278</v>
      </c>
      <c r="D15" s="9">
        <v>3144449334</v>
      </c>
      <c r="E15" s="9" t="s">
        <v>2306</v>
      </c>
      <c r="F15" s="9" t="s">
        <v>2307</v>
      </c>
      <c r="G15" s="9">
        <v>68001</v>
      </c>
      <c r="H15" s="23">
        <v>1930080</v>
      </c>
      <c r="I15" s="9">
        <v>113</v>
      </c>
    </row>
    <row r="16" spans="1:9" x14ac:dyDescent="0.25">
      <c r="A16" s="9" t="s">
        <v>2259</v>
      </c>
      <c r="B16" s="9">
        <v>7</v>
      </c>
      <c r="C16" s="9" t="s">
        <v>2279</v>
      </c>
      <c r="D16" s="9">
        <v>3125281849</v>
      </c>
      <c r="E16" s="9" t="s">
        <v>2309</v>
      </c>
      <c r="F16" s="9" t="s">
        <v>2308</v>
      </c>
      <c r="G16" s="9">
        <v>15646</v>
      </c>
      <c r="H16" s="23">
        <v>597066.16</v>
      </c>
      <c r="I16" s="9">
        <v>113</v>
      </c>
    </row>
    <row r="17" spans="1:9" x14ac:dyDescent="0.25">
      <c r="A17" s="9" t="s">
        <v>2260</v>
      </c>
      <c r="B17" s="9">
        <v>0</v>
      </c>
      <c r="C17" s="9" t="s">
        <v>2280</v>
      </c>
      <c r="D17" s="9">
        <v>3217317071</v>
      </c>
      <c r="E17" s="9" t="s">
        <v>2310</v>
      </c>
      <c r="F17" s="9" t="s">
        <v>2311</v>
      </c>
      <c r="G17" s="9">
        <v>15001</v>
      </c>
      <c r="H17" s="23">
        <f>43081111.84-25968773</f>
        <v>17112338.840000004</v>
      </c>
      <c r="I17" s="9">
        <v>113</v>
      </c>
    </row>
    <row r="18" spans="1:9" x14ac:dyDescent="0.25">
      <c r="A18" s="9" t="s">
        <v>2261</v>
      </c>
      <c r="B18" s="9">
        <v>7</v>
      </c>
      <c r="C18" s="9" t="s">
        <v>2281</v>
      </c>
      <c r="D18" s="9">
        <v>3102438151</v>
      </c>
      <c r="E18" s="9" t="s">
        <v>2302</v>
      </c>
      <c r="F18" s="9" t="s">
        <v>2312</v>
      </c>
      <c r="G18" s="9">
        <v>11001</v>
      </c>
      <c r="H18" s="23">
        <v>7960199.3399999999</v>
      </c>
      <c r="I18" s="9">
        <v>113</v>
      </c>
    </row>
    <row r="19" spans="1:9" x14ac:dyDescent="0.25">
      <c r="A19" s="9" t="s">
        <v>2262</v>
      </c>
      <c r="B19" s="9">
        <v>1</v>
      </c>
      <c r="C19" s="9" t="s">
        <v>2282</v>
      </c>
      <c r="D19" s="9">
        <v>3143755049</v>
      </c>
      <c r="E19" s="9" t="s">
        <v>2313</v>
      </c>
      <c r="F19" s="9" t="s">
        <v>2314</v>
      </c>
      <c r="G19" s="9">
        <v>15238</v>
      </c>
      <c r="H19" s="23">
        <v>10673740</v>
      </c>
      <c r="I19" s="9">
        <v>113</v>
      </c>
    </row>
    <row r="20" spans="1:9" x14ac:dyDescent="0.25">
      <c r="A20" s="9" t="s">
        <v>2263</v>
      </c>
      <c r="B20" s="9">
        <v>0</v>
      </c>
      <c r="C20" s="9" t="s">
        <v>2283</v>
      </c>
      <c r="D20" s="9">
        <v>3118122806</v>
      </c>
      <c r="E20" s="9" t="s">
        <v>2315</v>
      </c>
      <c r="F20" s="9" t="s">
        <v>2316</v>
      </c>
      <c r="G20" s="9">
        <v>15001</v>
      </c>
      <c r="H20" s="23">
        <v>4327320</v>
      </c>
      <c r="I20" s="9">
        <v>113</v>
      </c>
    </row>
    <row r="21" spans="1:9" x14ac:dyDescent="0.25">
      <c r="A21" s="9" t="s">
        <v>2264</v>
      </c>
      <c r="B21" s="9">
        <v>8</v>
      </c>
      <c r="C21" s="9" t="s">
        <v>2284</v>
      </c>
      <c r="D21" s="9">
        <v>6015338010</v>
      </c>
      <c r="E21" s="9" t="s">
        <v>2302</v>
      </c>
      <c r="F21" s="9" t="s">
        <v>2317</v>
      </c>
      <c r="G21" s="9">
        <v>11001</v>
      </c>
      <c r="H21" s="23">
        <f>81266069.68-79518171</f>
        <v>1747898.6800000072</v>
      </c>
      <c r="I21" s="9">
        <v>113</v>
      </c>
    </row>
    <row r="22" spans="1:9" x14ac:dyDescent="0.25">
      <c r="A22" s="9" t="s">
        <v>2265</v>
      </c>
      <c r="B22" s="9">
        <v>6</v>
      </c>
      <c r="C22" s="9" t="s">
        <v>2285</v>
      </c>
      <c r="D22" s="9">
        <v>3115935664</v>
      </c>
      <c r="E22" s="9" t="s">
        <v>2318</v>
      </c>
      <c r="F22" s="9" t="s">
        <v>2319</v>
      </c>
      <c r="G22" s="9">
        <v>15001</v>
      </c>
      <c r="H22" s="23">
        <v>4636192.6000000006</v>
      </c>
      <c r="I22" s="9">
        <v>113</v>
      </c>
    </row>
    <row r="23" spans="1:9" x14ac:dyDescent="0.25">
      <c r="A23" s="9" t="s">
        <v>2266</v>
      </c>
      <c r="B23" s="9">
        <v>1</v>
      </c>
      <c r="C23" s="9" t="s">
        <v>2286</v>
      </c>
      <c r="D23" s="9">
        <v>3123173146</v>
      </c>
      <c r="E23" s="9" t="s">
        <v>2320</v>
      </c>
      <c r="F23" s="9" t="s">
        <v>2321</v>
      </c>
      <c r="G23" s="9">
        <v>15001</v>
      </c>
      <c r="H23" s="23">
        <v>3105000</v>
      </c>
      <c r="I23" s="9">
        <v>113</v>
      </c>
    </row>
    <row r="24" spans="1:9" x14ac:dyDescent="0.25">
      <c r="A24" s="9" t="s">
        <v>2267</v>
      </c>
      <c r="B24" s="9">
        <v>1</v>
      </c>
      <c r="C24" s="9" t="s">
        <v>2287</v>
      </c>
      <c r="D24" s="9">
        <v>3134511645</v>
      </c>
      <c r="E24" s="9" t="s">
        <v>2322</v>
      </c>
      <c r="F24" s="9" t="s">
        <v>2323</v>
      </c>
      <c r="G24" s="9">
        <v>15001</v>
      </c>
      <c r="H24" s="23">
        <v>8899680</v>
      </c>
      <c r="I24" s="9">
        <v>113</v>
      </c>
    </row>
    <row r="25" spans="1:9" x14ac:dyDescent="0.25">
      <c r="A25" s="9" t="s">
        <v>2268</v>
      </c>
      <c r="B25" s="9">
        <v>3</v>
      </c>
      <c r="C25" s="9" t="s">
        <v>2288</v>
      </c>
      <c r="D25" s="9">
        <v>3133146502</v>
      </c>
      <c r="E25" s="9" t="s">
        <v>2324</v>
      </c>
      <c r="F25" s="9" t="s">
        <v>2325</v>
      </c>
      <c r="G25" s="9">
        <v>15001</v>
      </c>
      <c r="H25" s="23">
        <v>398044.72000000003</v>
      </c>
      <c r="I25" s="9">
        <v>113</v>
      </c>
    </row>
    <row r="26" spans="1:9" x14ac:dyDescent="0.25">
      <c r="A26" s="9" t="s">
        <v>2269</v>
      </c>
      <c r="B26" s="9">
        <v>3</v>
      </c>
      <c r="C26" s="9" t="s">
        <v>2289</v>
      </c>
      <c r="D26" s="9">
        <v>3183118010</v>
      </c>
      <c r="E26" s="9" t="s">
        <v>2326</v>
      </c>
      <c r="F26" s="9" t="s">
        <v>2327</v>
      </c>
      <c r="G26" s="9">
        <v>15790</v>
      </c>
      <c r="H26" s="23">
        <v>7938186.3099999996</v>
      </c>
      <c r="I26" s="9">
        <v>113</v>
      </c>
    </row>
    <row r="27" spans="1:9" x14ac:dyDescent="0.25">
      <c r="H27" s="23"/>
    </row>
    <row r="28" spans="1:9" x14ac:dyDescent="0.25">
      <c r="H28" s="23"/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A14" sqref="A14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09" workbookViewId="0">
      <selection activeCell="A338" sqref="A338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Usuario</cp:lastModifiedBy>
  <dcterms:created xsi:type="dcterms:W3CDTF">2015-06-05T18:19:34Z</dcterms:created>
  <dcterms:modified xsi:type="dcterms:W3CDTF">2025-08-21T21:03:23Z</dcterms:modified>
</cp:coreProperties>
</file>