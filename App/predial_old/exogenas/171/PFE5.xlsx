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Contable\Desktop\Archivos C\CONTABILIDAD LAGO VERDE CONSTRUCCIONES SAS\INFORMACION EXOGENA PAIPA-LVC\"/>
    </mc:Choice>
  </mc:AlternateContent>
  <xr:revisionPtr revIDLastSave="0" documentId="13_ncr:1_{D4451BF9-CDC4-491F-AF54-461C43DD897E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externalReferences>
    <externalReference r:id="rId4"/>
  </externalReference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7" i="1"/>
</calcChain>
</file>

<file path=xl/sharedStrings.xml><?xml version="1.0" encoding="utf-8"?>
<sst xmlns="http://schemas.openxmlformats.org/spreadsheetml/2006/main" count="2845" uniqueCount="2637">
  <si>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</si>
  <si>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</si>
  <si>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</si>
  <si>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</si>
  <si>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</si>
  <si>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</si>
  <si>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</si>
  <si>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</si>
  <si>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</si>
  <si>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</si>
  <si>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</si>
  <si>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</si>
  <si>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</si>
  <si>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</si>
  <si>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</si>
  <si>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</si>
  <si>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</si>
  <si>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</si>
  <si>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</si>
  <si>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</si>
  <si>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</si>
  <si>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</si>
  <si>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</si>
  <si>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</si>
  <si>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</si>
  <si>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</si>
  <si>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</si>
  <si>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</si>
  <si>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</si>
  <si>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</si>
  <si>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</si>
  <si>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</si>
  <si>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</si>
  <si>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</si>
  <si>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</si>
  <si>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</si>
  <si>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</si>
  <si>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</si>
  <si>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</si>
  <si>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</si>
  <si>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</si>
  <si>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</si>
  <si>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</si>
  <si>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</si>
  <si>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</si>
  <si>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</si>
  <si>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</si>
  <si>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</si>
  <si>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</si>
  <si>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</si>
  <si>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</si>
  <si>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</si>
  <si>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</si>
  <si>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</si>
  <si>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</si>
  <si>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</si>
  <si>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</si>
  <si>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</si>
  <si>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</si>
  <si>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</si>
  <si>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</si>
  <si>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</si>
  <si>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</si>
  <si>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</si>
  <si>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</si>
  <si>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</si>
  <si>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</si>
  <si>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</si>
  <si>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</si>
  <si>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</si>
  <si>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</si>
  <si>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</si>
  <si>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</si>
  <si>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</si>
  <si>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</si>
  <si>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</si>
  <si>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</si>
  <si>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</si>
  <si>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</si>
  <si>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</si>
  <si>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</si>
  <si>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</si>
  <si>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</si>
  <si>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</si>
  <si>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</si>
  <si>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</si>
  <si>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</si>
  <si>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</si>
  <si>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</si>
  <si>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</si>
  <si>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</si>
  <si>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</si>
  <si>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</si>
  <si>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</si>
  <si>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</si>
  <si>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</si>
  <si>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</si>
  <si>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</si>
  <si>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</si>
  <si>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</si>
  <si>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</si>
  <si>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</si>
  <si>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</si>
  <si>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</si>
  <si>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</si>
  <si>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</si>
  <si>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</si>
  <si>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</si>
  <si>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</si>
  <si>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</si>
  <si>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</si>
  <si>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</si>
  <si>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</si>
  <si>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</si>
  <si>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</si>
  <si>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</si>
  <si>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</si>
  <si>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</si>
  <si>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</si>
  <si>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</si>
  <si>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</si>
  <si>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</si>
  <si>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</si>
  <si>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</si>
  <si>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</si>
  <si>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</si>
  <si>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</si>
  <si>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</si>
  <si>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</si>
  <si>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</si>
  <si>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</si>
  <si>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</si>
  <si>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</si>
  <si>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</si>
  <si>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</si>
  <si>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</si>
  <si>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</si>
  <si>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</si>
  <si>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</si>
  <si>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</si>
  <si>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</si>
  <si>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</si>
  <si>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</si>
  <si>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</si>
  <si>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</si>
  <si>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</si>
  <si>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</si>
  <si>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</si>
  <si>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</si>
  <si>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</si>
  <si>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</si>
  <si>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</si>
  <si>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</si>
  <si>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</si>
  <si>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</si>
  <si>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</si>
  <si>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</si>
  <si>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</si>
  <si>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</si>
  <si>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</si>
  <si>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</si>
  <si>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</si>
  <si>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</si>
  <si>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</si>
  <si>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</si>
  <si>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</si>
  <si>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</si>
  <si>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</si>
  <si>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</si>
  <si>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</si>
  <si>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</si>
  <si>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</si>
  <si>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</si>
  <si>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</si>
  <si>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</si>
  <si>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</si>
  <si>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</si>
  <si>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</si>
  <si>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</si>
  <si>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</si>
  <si>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</si>
  <si>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</si>
  <si>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</si>
  <si>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</si>
  <si>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</si>
  <si>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</si>
  <si>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</si>
  <si>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</si>
  <si>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</si>
  <si>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</si>
  <si>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</si>
  <si>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</si>
  <si>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</si>
  <si>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</si>
  <si>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</si>
  <si>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</si>
  <si>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</si>
  <si>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</si>
  <si>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</si>
  <si>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</si>
  <si>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</si>
  <si>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</si>
  <si>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</si>
  <si>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</si>
  <si>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</si>
  <si>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</si>
  <si>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</si>
  <si>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</si>
  <si>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</si>
  <si>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</si>
  <si>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</si>
  <si>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</si>
  <si>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</si>
  <si>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</si>
  <si>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</si>
  <si>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</si>
  <si>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</si>
  <si>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</si>
  <si>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</si>
  <si>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</si>
  <si>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</si>
  <si>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</si>
  <si>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</si>
  <si>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</si>
  <si>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</si>
  <si>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</si>
  <si>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</si>
  <si>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</si>
  <si>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</si>
  <si>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</si>
  <si>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</si>
  <si>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</si>
  <si>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</si>
  <si>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</si>
  <si>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</si>
  <si>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</si>
  <si>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</si>
  <si>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</si>
  <si>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</si>
  <si>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</si>
  <si>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</si>
  <si>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</si>
  <si>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</si>
  <si>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</si>
  <si>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</si>
  <si>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</si>
  <si>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</si>
  <si>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</si>
  <si>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</si>
  <si>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</si>
  <si>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</si>
  <si>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</si>
  <si>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</si>
  <si>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</si>
  <si>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</si>
  <si>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</si>
  <si>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</si>
  <si>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</si>
  <si>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</si>
  <si>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</si>
  <si>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</si>
  <si>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</si>
  <si>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</si>
  <si>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</si>
  <si>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</si>
  <si>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</si>
  <si>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</si>
  <si>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</si>
  <si>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</si>
  <si>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</si>
  <si>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</si>
  <si>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</si>
  <si>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</si>
  <si>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</si>
  <si>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</si>
  <si>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</si>
  <si>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</si>
  <si>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</si>
  <si>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</si>
  <si>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</si>
  <si>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</si>
  <si>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</si>
  <si>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</si>
  <si>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</si>
  <si>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</si>
  <si>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</si>
  <si>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</si>
  <si>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</si>
  <si>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</si>
  <si>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</si>
  <si>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</si>
  <si>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</si>
  <si>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</si>
  <si>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</si>
  <si>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</si>
  <si>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</si>
  <si>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</si>
  <si>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</si>
  <si>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</si>
  <si>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</si>
  <si>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</si>
  <si>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</si>
  <si>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</si>
  <si>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</si>
  <si>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</si>
  <si>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</si>
  <si>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</si>
  <si>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</si>
  <si>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</si>
  <si>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</si>
  <si>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</si>
  <si>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</si>
  <si>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</si>
  <si>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</si>
  <si>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</si>
  <si>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</si>
  <si>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</si>
  <si>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</si>
  <si>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</si>
  <si>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</si>
  <si>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</si>
  <si>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</si>
  <si>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</si>
  <si>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</si>
  <si>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</si>
  <si>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</si>
  <si>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</si>
  <si>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</si>
  <si>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</si>
  <si>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</si>
  <si>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</si>
  <si>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</si>
  <si>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</si>
  <si>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</si>
  <si>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</si>
  <si>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</si>
  <si>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</si>
  <si>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</si>
  <si>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</si>
  <si>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</si>
  <si>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</si>
  <si>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</si>
  <si>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</si>
  <si>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</si>
  <si>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</si>
  <si>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</si>
  <si>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</si>
  <si>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</si>
  <si>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</si>
  <si>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</si>
  <si>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</si>
  <si>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</si>
  <si>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</si>
  <si>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</si>
  <si>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</si>
  <si>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</si>
  <si>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</si>
  <si>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</si>
  <si>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</si>
  <si>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</si>
  <si>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</si>
  <si>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</si>
  <si>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</si>
  <si>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</si>
  <si>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</si>
  <si>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</si>
  <si>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</si>
  <si>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</si>
  <si>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</si>
  <si>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</si>
  <si>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</si>
  <si>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</si>
  <si>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</si>
  <si>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</si>
  <si>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</si>
  <si>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</si>
  <si>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</si>
  <si>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</si>
  <si>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</si>
  <si>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</si>
  <si>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</si>
  <si>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</si>
  <si>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</si>
  <si>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</si>
  <si>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</si>
  <si>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</si>
  <si>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</si>
  <si>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</si>
  <si>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</si>
  <si>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</si>
  <si>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</si>
  <si>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</si>
  <si>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</si>
  <si>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</si>
  <si>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</si>
  <si>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</si>
  <si>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</si>
  <si>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</si>
  <si>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</si>
  <si>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</si>
  <si>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</si>
  <si>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</si>
  <si>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</si>
  <si>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</si>
  <si>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</si>
  <si>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</si>
  <si>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</si>
  <si>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</si>
  <si>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</si>
  <si>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</si>
  <si>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</si>
  <si>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</si>
  <si>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</si>
  <si>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</si>
  <si>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</si>
  <si>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</si>
  <si>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</si>
  <si>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</si>
  <si>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</si>
  <si>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</si>
  <si>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</si>
  <si>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</si>
  <si>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</si>
  <si>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</si>
  <si>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</si>
  <si>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</si>
  <si>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</si>
  <si>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</si>
  <si>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</si>
  <si>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</si>
  <si>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</si>
  <si>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</si>
  <si>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</si>
  <si>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</si>
  <si>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</si>
  <si>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</si>
  <si>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</si>
  <si>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</si>
  <si>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</si>
  <si>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</si>
  <si>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</si>
  <si>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</si>
  <si>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</si>
  <si>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</si>
  <si>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</si>
  <si>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</si>
  <si>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</si>
  <si>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</si>
  <si>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</si>
  <si>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</si>
  <si>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</si>
  <si>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</si>
  <si>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</si>
  <si>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</si>
  <si>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</si>
  <si>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</si>
  <si>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</si>
  <si>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</si>
  <si>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</si>
  <si>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</si>
  <si>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</si>
  <si>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</si>
  <si>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</si>
  <si>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</si>
  <si>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</si>
  <si>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</si>
  <si>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</si>
  <si>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</si>
  <si>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</si>
  <si>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</si>
  <si>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</si>
  <si>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</si>
  <si>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</si>
  <si>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</si>
  <si>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</si>
  <si>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</si>
  <si>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</si>
  <si>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</si>
  <si>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</si>
  <si>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</si>
  <si>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</si>
  <si>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</si>
  <si>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</si>
  <si>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</si>
  <si>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</si>
  <si>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</si>
  <si>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</si>
  <si>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</si>
  <si>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</si>
  <si>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</si>
  <si>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</si>
  <si>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</si>
  <si>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</si>
  <si>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</si>
  <si>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</si>
  <si>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</si>
  <si>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</si>
  <si>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</si>
  <si>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</si>
  <si>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</si>
  <si>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</si>
  <si>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</si>
  <si>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</si>
  <si>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</si>
  <si>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</si>
  <si>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</si>
  <si>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</si>
  <si>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</si>
  <si>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</si>
  <si>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</si>
  <si>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</si>
  <si>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</si>
  <si>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</si>
  <si>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</si>
  <si>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</si>
  <si>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</si>
  <si>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</si>
  <si>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</si>
  <si>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</si>
  <si>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</si>
  <si>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</si>
  <si>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</si>
  <si>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</si>
  <si>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</si>
  <si>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</si>
  <si>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</si>
  <si>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</si>
  <si>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</si>
  <si>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</si>
  <si>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</si>
  <si>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</si>
  <si>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</si>
  <si>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</si>
  <si>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</si>
  <si>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</si>
  <si>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</si>
  <si>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</si>
  <si>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</si>
  <si>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</si>
  <si>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</si>
  <si>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</si>
  <si>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</si>
  <si>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</si>
  <si>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</si>
  <si>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</si>
  <si>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</si>
  <si>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</si>
  <si>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</si>
  <si>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</si>
  <si>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</si>
  <si>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</si>
  <si>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</si>
  <si>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</si>
  <si>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</si>
  <si>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</si>
  <si>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</si>
  <si>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</si>
  <si>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</si>
  <si>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</si>
  <si>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</si>
  <si>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</si>
  <si>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</si>
  <si>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</si>
  <si>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</si>
  <si>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</si>
  <si>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</si>
  <si>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</si>
  <si>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</si>
  <si>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</si>
  <si>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</si>
  <si>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</si>
  <si>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</si>
  <si>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</si>
  <si>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</si>
  <si>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</si>
  <si>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</si>
  <si>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</si>
  <si>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</si>
  <si>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</si>
  <si>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</si>
  <si>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</si>
  <si>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</si>
  <si>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</si>
  <si>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</si>
  <si>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</si>
  <si>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</si>
  <si>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</si>
  <si>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</si>
  <si>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</si>
  <si>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</si>
  <si>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</si>
  <si>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</si>
  <si>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</si>
  <si>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</si>
  <si>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</si>
  <si>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</si>
  <si>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</si>
  <si>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</si>
  <si>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</si>
  <si>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</si>
  <si>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</si>
  <si>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</si>
  <si>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</si>
  <si>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</si>
  <si>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</si>
  <si>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</si>
  <si>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</si>
  <si>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</si>
  <si>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</si>
  <si>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</si>
  <si>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</si>
  <si>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</si>
  <si>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</si>
  <si>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</si>
  <si>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</si>
  <si>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</si>
  <si>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</si>
  <si>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</si>
  <si>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</si>
  <si>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</si>
  <si>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</si>
  <si>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</si>
  <si>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</si>
  <si>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</si>
  <si>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</si>
  <si>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</si>
  <si>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</si>
  <si>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</si>
  <si>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</si>
  <si>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</si>
  <si>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</si>
  <si>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</si>
  <si>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</si>
  <si>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</si>
  <si>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</si>
  <si>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</si>
  <si>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</si>
  <si>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</si>
  <si>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</si>
  <si>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</si>
  <si>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</si>
  <si>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</si>
  <si>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</si>
  <si>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</si>
  <si>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</si>
  <si>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</si>
  <si>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</si>
  <si>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</si>
  <si>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</si>
  <si>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</si>
  <si>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</si>
  <si>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</si>
  <si>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</si>
  <si>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</si>
  <si>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</si>
  <si>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</si>
  <si>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</si>
  <si>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</si>
  <si>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</si>
  <si>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</si>
  <si>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</si>
  <si>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</si>
  <si>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</si>
  <si>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</si>
  <si>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</si>
  <si>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</si>
  <si>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</si>
  <si>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</si>
  <si>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</si>
  <si>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</si>
  <si>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</si>
  <si>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</si>
  <si>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</si>
  <si>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</si>
  <si>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</si>
  <si>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</si>
  <si>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</si>
  <si>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</si>
  <si>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</si>
  <si>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</si>
  <si>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</si>
  <si>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</si>
  <si>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</si>
  <si>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</si>
  <si>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</si>
  <si>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</si>
  <si>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</si>
  <si>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</si>
  <si>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</si>
  <si>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</si>
  <si>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</si>
  <si>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</si>
  <si>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</si>
  <si>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</si>
  <si>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</si>
  <si>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</si>
  <si>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</si>
  <si>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</si>
  <si>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</si>
  <si>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</si>
  <si>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</si>
  <si>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</si>
  <si>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</si>
  <si>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</si>
  <si>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</si>
  <si>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</si>
  <si>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</si>
  <si>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</si>
  <si>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</si>
  <si>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</si>
  <si>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</si>
  <si>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</si>
  <si>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</si>
  <si>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</si>
  <si>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</si>
  <si>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</si>
  <si>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</si>
  <si>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</si>
  <si>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</si>
  <si>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</si>
  <si>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</si>
  <si>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</si>
  <si>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</si>
  <si>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</si>
  <si>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</si>
  <si>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</si>
  <si>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</si>
  <si>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</si>
  <si>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</si>
  <si>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</si>
  <si>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</si>
  <si>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</si>
  <si>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</si>
  <si>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</si>
  <si>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</si>
  <si>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</si>
  <si>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</si>
  <si>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</si>
  <si>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</si>
  <si>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</si>
  <si>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</si>
  <si>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</si>
  <si>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</si>
  <si>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</si>
  <si>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</si>
  <si>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</si>
  <si>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</si>
  <si>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</si>
  <si>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</si>
  <si>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</si>
  <si>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</si>
  <si>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</si>
  <si>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</si>
  <si>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</si>
  <si>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</si>
  <si>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</si>
  <si>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</si>
  <si>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</si>
  <si>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</si>
  <si>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</si>
  <si>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</si>
  <si>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</si>
  <si>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</si>
  <si>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</si>
  <si>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</si>
  <si>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</si>
  <si>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</si>
  <si>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</si>
  <si>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</si>
  <si>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</si>
  <si>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</si>
  <si>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</si>
  <si>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</si>
  <si>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</si>
  <si>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</si>
  <si>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</si>
  <si>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</si>
  <si>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</si>
  <si>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</si>
  <si>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</si>
  <si>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</si>
  <si>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</si>
  <si>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</si>
  <si>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</si>
  <si>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</si>
  <si>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</si>
  <si>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</si>
  <si>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</si>
  <si>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</si>
  <si>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</si>
  <si>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</si>
  <si>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</si>
  <si>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</si>
  <si>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</si>
  <si>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</si>
  <si>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</si>
  <si>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</si>
  <si>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</si>
  <si>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</si>
  <si>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</si>
  <si>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</si>
  <si>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</si>
  <si>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</si>
  <si>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</si>
  <si>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</si>
  <si>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</si>
  <si>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</si>
  <si>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</si>
  <si>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</si>
  <si>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</si>
  <si>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</si>
  <si>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</si>
  <si>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</si>
  <si>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</si>
  <si>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</si>
  <si>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</si>
  <si>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</si>
  <si>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</si>
  <si>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</si>
  <si>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</si>
  <si>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</si>
  <si>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</si>
  <si>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</si>
  <si>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</si>
  <si>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</si>
  <si>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</si>
  <si>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</si>
  <si>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</si>
  <si>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</si>
  <si>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</si>
  <si>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</si>
  <si>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</si>
  <si>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</si>
  <si>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</si>
  <si>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</si>
  <si>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</si>
  <si>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</si>
  <si>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</si>
  <si>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</si>
  <si>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</si>
  <si>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</si>
  <si>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</si>
  <si>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</si>
  <si>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</si>
  <si>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</si>
  <si>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</si>
  <si>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</si>
  <si>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</si>
  <si>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</si>
  <si>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</si>
  <si>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</si>
  <si>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</si>
  <si>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</si>
  <si>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</si>
  <si>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</si>
  <si>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</si>
  <si>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</si>
  <si>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</si>
  <si>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</si>
  <si>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</si>
  <si>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</si>
  <si>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</si>
  <si>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</si>
  <si>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</si>
  <si>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</si>
  <si>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</si>
  <si>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</si>
  <si>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</si>
  <si>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</si>
  <si>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</si>
  <si>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</si>
  <si>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</si>
  <si>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</si>
  <si>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</si>
  <si>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</si>
  <si>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</si>
  <si>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</si>
  <si>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</si>
  <si>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</si>
  <si>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</si>
  <si>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</si>
  <si>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</si>
  <si>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</si>
  <si>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</si>
  <si>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</si>
  <si>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</si>
  <si>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</si>
  <si>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</si>
  <si>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</si>
  <si>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</si>
  <si>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</si>
  <si>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</si>
  <si>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</si>
  <si>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</si>
  <si>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</si>
  <si>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</si>
  <si>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</si>
  <si>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</si>
  <si>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</si>
  <si>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</si>
  <si>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</si>
  <si>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</si>
  <si>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</si>
  <si>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</si>
  <si>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</si>
  <si>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</si>
  <si>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</si>
  <si>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</si>
  <si>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</si>
  <si>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</si>
  <si>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</si>
  <si>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</si>
  <si>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</si>
  <si>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</si>
  <si>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</si>
  <si>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</si>
  <si>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</si>
  <si>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</si>
  <si>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</si>
  <si>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</si>
  <si>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</si>
  <si>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</si>
  <si>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</si>
  <si>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</si>
  <si>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</si>
  <si>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</si>
  <si>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</si>
  <si>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</si>
  <si>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</si>
  <si>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</si>
  <si>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</si>
  <si>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</si>
  <si>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</si>
  <si>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</si>
  <si>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</si>
  <si>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</si>
  <si>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</si>
  <si>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</si>
  <si>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</si>
  <si>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</si>
  <si>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</si>
  <si>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</si>
  <si>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</si>
  <si>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</si>
  <si>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</si>
  <si>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</si>
  <si>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</si>
  <si>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</si>
  <si>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</si>
  <si>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</si>
  <si>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</si>
  <si>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</si>
  <si>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</si>
  <si>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</si>
  <si>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</si>
  <si>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</si>
  <si>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</si>
  <si>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</si>
  <si>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</si>
  <si>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</si>
  <si>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</si>
  <si>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</si>
  <si>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</si>
  <si>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</si>
  <si>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</si>
  <si>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</si>
  <si>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</si>
  <si>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</si>
  <si>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</si>
  <si>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</si>
  <si>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</si>
  <si>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</si>
  <si>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</si>
  <si>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</si>
  <si>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</si>
  <si>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</si>
  <si>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</si>
  <si>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</si>
  <si>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</si>
  <si>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</si>
  <si>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</si>
  <si>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</si>
  <si>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</si>
  <si>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</si>
  <si>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</si>
  <si>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</si>
  <si>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</si>
  <si>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</si>
  <si>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</si>
  <si>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</si>
  <si>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</si>
  <si>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</si>
  <si>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</si>
  <si>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</si>
  <si>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</si>
  <si>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</si>
  <si>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</si>
  <si>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</si>
  <si>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</si>
  <si>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</si>
  <si>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</si>
  <si>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</si>
  <si>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</si>
  <si>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</si>
  <si>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</si>
  <si>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</si>
  <si>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</si>
  <si>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</si>
  <si>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</si>
  <si>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</si>
  <si>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</si>
  <si>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</si>
  <si>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</si>
  <si>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</si>
  <si>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</si>
  <si>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</si>
  <si>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</si>
  <si>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</si>
  <si>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</si>
  <si>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</si>
  <si>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</si>
  <si>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</si>
  <si>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</si>
  <si>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</si>
  <si>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</si>
  <si>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</si>
  <si>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</si>
  <si>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</si>
  <si>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</si>
  <si>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</si>
  <si>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</si>
  <si>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</si>
  <si>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</si>
  <si>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</si>
  <si>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</si>
  <si>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</si>
  <si>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</si>
  <si>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</si>
  <si>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</si>
  <si>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</si>
  <si>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</si>
  <si>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</si>
  <si>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</si>
  <si>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</si>
  <si>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</si>
  <si>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</si>
  <si>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</si>
  <si>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</si>
  <si>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</si>
  <si>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</si>
  <si>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</si>
  <si>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</si>
  <si>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</si>
  <si>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</si>
  <si>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</si>
  <si>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</si>
  <si>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</si>
  <si>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</si>
  <si>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</si>
  <si>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</si>
  <si>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</si>
  <si>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</si>
  <si>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</si>
  <si>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</si>
  <si>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</si>
  <si>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</si>
  <si>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</si>
  <si>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</si>
  <si>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</si>
  <si>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</si>
  <si>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</si>
  <si>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</si>
  <si>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</si>
  <si>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</si>
  <si>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</si>
  <si>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</si>
  <si>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</si>
  <si>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</si>
  <si>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</si>
  <si>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</si>
  <si>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</si>
  <si>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</si>
  <si>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</si>
  <si>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</si>
  <si>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</si>
  <si>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</si>
  <si>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</si>
  <si>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</si>
  <si>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</si>
  <si>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</si>
  <si>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</si>
  <si>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</si>
  <si>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</si>
  <si>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</si>
  <si>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</si>
  <si>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</si>
  <si>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</si>
  <si>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</si>
  <si>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</si>
  <si>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</si>
  <si>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</si>
  <si>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</si>
  <si>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</si>
  <si>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</si>
  <si>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</si>
  <si>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</si>
  <si>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</si>
  <si>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</si>
  <si>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</si>
  <si>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</si>
  <si>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</si>
  <si>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</si>
  <si>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</si>
  <si>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</si>
  <si>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</si>
  <si>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</si>
  <si>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</si>
  <si>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</si>
  <si>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</si>
  <si>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</si>
  <si>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</si>
  <si>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</si>
  <si>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</si>
  <si>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</si>
  <si>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</si>
  <si>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</si>
  <si>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</si>
  <si>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</si>
  <si>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</si>
  <si>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</si>
  <si>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</si>
  <si>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</si>
  <si>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</si>
  <si>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</si>
  <si>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</si>
  <si>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</si>
  <si>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</si>
  <si>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</si>
  <si>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</si>
  <si>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</si>
  <si>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</si>
  <si>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</si>
  <si>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</si>
  <si>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</si>
  <si>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</si>
  <si>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</si>
  <si>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</si>
  <si>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</si>
  <si>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</si>
  <si>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</si>
  <si>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</si>
  <si>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</si>
  <si>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</si>
  <si>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</si>
  <si>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</si>
  <si>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</si>
  <si>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</si>
  <si>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</si>
  <si>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</si>
  <si>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</si>
  <si>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</si>
  <si>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</si>
  <si>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</si>
  <si>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</si>
  <si>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</si>
  <si>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</si>
  <si>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</si>
  <si>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</si>
  <si>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</si>
  <si>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</si>
  <si>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</si>
  <si>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</si>
  <si>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</si>
  <si>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</si>
  <si>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</si>
  <si>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</si>
  <si>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</si>
  <si>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</si>
  <si>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</si>
  <si>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</si>
  <si>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</si>
  <si>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</si>
  <si>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</si>
  <si>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</si>
  <si>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</si>
  <si>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</si>
  <si>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</si>
  <si>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</si>
  <si>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</si>
  <si>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</si>
  <si>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</si>
  <si>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</si>
  <si>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</si>
  <si>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</si>
  <si>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</si>
  <si>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</si>
  <si>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</si>
  <si>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</si>
  <si>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</si>
  <si>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</si>
  <si>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</si>
  <si>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</si>
  <si>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</si>
  <si>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</si>
  <si>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</si>
  <si>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</si>
  <si>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</si>
  <si>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</si>
  <si>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</si>
  <si>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</si>
  <si>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</si>
  <si>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</si>
  <si>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</si>
  <si>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</si>
  <si>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</si>
  <si>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</si>
  <si>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</si>
  <si>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</si>
  <si>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</si>
  <si>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</si>
  <si>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</si>
  <si>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</si>
  <si>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</si>
  <si>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</si>
  <si>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</si>
  <si>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</si>
  <si>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</si>
  <si>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</si>
  <si>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</si>
  <si>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</si>
  <si>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</si>
  <si>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</si>
  <si>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</si>
  <si>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</si>
  <si>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</si>
  <si>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</si>
  <si>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</si>
  <si>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</si>
  <si>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</si>
  <si>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</si>
  <si>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</si>
  <si>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</si>
  <si>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</si>
  <si>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</si>
  <si>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</si>
  <si>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</si>
  <si>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</si>
  <si>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</si>
  <si>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</si>
  <si>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</si>
  <si>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</si>
  <si>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</si>
  <si>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</si>
  <si>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</si>
  <si>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</si>
  <si>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</si>
  <si>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</si>
  <si>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</si>
  <si>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</si>
  <si>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</si>
  <si>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</si>
  <si>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</si>
  <si>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</si>
  <si>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</si>
  <si>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</si>
  <si>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</si>
  <si>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</si>
  <si>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</si>
  <si>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</si>
  <si>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</si>
  <si>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</si>
  <si>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</si>
  <si>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</si>
  <si>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</si>
  <si>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</si>
  <si>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</si>
  <si>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</si>
  <si>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</si>
  <si>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</si>
  <si>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</si>
  <si>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</si>
  <si>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</si>
  <si>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</si>
  <si>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</si>
  <si>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</si>
  <si>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</si>
  <si>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</si>
  <si>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</si>
  <si>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</si>
  <si>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</si>
  <si>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</si>
  <si>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</si>
  <si>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</si>
  <si>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</si>
  <si>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</si>
  <si>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</si>
  <si>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</si>
  <si>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</si>
  <si>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</si>
  <si>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</si>
  <si>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</si>
  <si>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</si>
  <si>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</si>
  <si>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</si>
  <si>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</si>
  <si>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</si>
  <si>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</si>
  <si>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</si>
  <si>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</si>
  <si>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</si>
  <si>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</si>
  <si>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</si>
  <si>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</si>
  <si>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</si>
  <si>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</si>
  <si>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</si>
  <si>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</si>
  <si>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</si>
  <si>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</si>
  <si>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</si>
  <si>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</si>
  <si>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</si>
  <si>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</si>
  <si>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</si>
  <si>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</si>
  <si>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</si>
  <si>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</si>
  <si>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</si>
  <si>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</si>
  <si>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</si>
  <si>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</si>
  <si>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</si>
  <si>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</si>
  <si>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</si>
  <si>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</si>
  <si>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</si>
  <si>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</si>
  <si>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</si>
  <si>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</si>
  <si>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</si>
  <si>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</si>
  <si>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</si>
  <si>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</si>
  <si>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</si>
  <si>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</si>
  <si>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</si>
  <si>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</si>
  <si>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</si>
  <si>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</si>
  <si>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</si>
  <si>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</si>
  <si>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</si>
  <si>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</si>
  <si>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</si>
  <si>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</si>
  <si>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</si>
  <si>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</si>
  <si>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</si>
  <si>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</si>
  <si>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</si>
  <si>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</si>
  <si>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</si>
  <si>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</si>
  <si>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</si>
  <si>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</si>
  <si>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</si>
  <si>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</si>
  <si>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</si>
  <si>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</si>
  <si>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</si>
  <si>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</si>
  <si>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</si>
  <si>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</si>
  <si>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</si>
  <si>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</si>
  <si>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</si>
  <si>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</si>
  <si>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</si>
  <si>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</si>
  <si>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</si>
  <si>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</si>
  <si>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</si>
  <si>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</si>
  <si>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</si>
  <si>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</si>
  <si>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</si>
  <si>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</si>
  <si>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</si>
  <si>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</si>
  <si>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</si>
  <si>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</si>
  <si>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</si>
  <si>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</si>
  <si>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</si>
  <si>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</si>
  <si>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</si>
  <si>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</si>
  <si>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</si>
  <si>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</si>
  <si>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</si>
  <si>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</si>
  <si>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</si>
  <si>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</si>
  <si>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</si>
  <si>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</si>
  <si>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</si>
  <si>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</si>
  <si>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</si>
  <si>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</si>
  <si>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</si>
  <si>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</si>
  <si>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</si>
  <si>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</si>
  <si>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</si>
  <si>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</si>
  <si>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</si>
  <si>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</si>
  <si>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</si>
  <si>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</si>
  <si>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</si>
  <si>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</si>
  <si>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</si>
  <si>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</si>
  <si>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</si>
  <si>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</si>
  <si>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</si>
  <si>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</si>
  <si>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</si>
  <si>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</si>
  <si>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</si>
  <si>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</si>
  <si>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</si>
  <si>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</si>
  <si>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</si>
  <si>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</si>
  <si>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</si>
  <si>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</si>
  <si>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</si>
  <si>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</si>
  <si>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</si>
  <si>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</si>
  <si>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</si>
  <si>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</si>
  <si>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</si>
  <si>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</si>
  <si>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</si>
  <si>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</si>
  <si>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</si>
  <si>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</si>
  <si>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</si>
  <si>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</si>
  <si>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</si>
  <si>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</si>
  <si>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</si>
  <si>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</si>
  <si>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</si>
  <si>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</si>
  <si>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</si>
  <si>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</si>
  <si>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</si>
  <si>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</si>
  <si>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</si>
  <si>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</si>
  <si>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</si>
  <si>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</si>
  <si>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</si>
  <si>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</si>
  <si>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</si>
  <si>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</si>
  <si>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</si>
  <si>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</si>
  <si>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</si>
  <si>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</si>
  <si>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</si>
  <si>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</si>
  <si>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</si>
  <si>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</si>
  <si>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</si>
  <si>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</si>
  <si>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</si>
  <si>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</si>
  <si>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</si>
  <si>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</si>
  <si>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</si>
  <si>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</si>
  <si>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</si>
  <si>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</si>
  <si>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</si>
  <si>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</si>
  <si>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</si>
  <si>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</si>
  <si>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</si>
  <si>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</si>
  <si>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</si>
  <si>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</si>
  <si>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</si>
  <si>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</si>
  <si>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</si>
  <si>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</si>
  <si>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</si>
  <si>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</si>
  <si>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</si>
  <si>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</si>
  <si>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</si>
  <si>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</si>
  <si>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</si>
  <si>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</si>
  <si>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</si>
  <si>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</si>
  <si>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</si>
  <si>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</si>
  <si>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</si>
  <si>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</si>
  <si>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</si>
  <si>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</si>
  <si>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</si>
  <si>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</si>
  <si>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</si>
  <si>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</si>
  <si>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</si>
  <si>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</si>
  <si>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</si>
  <si>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</si>
  <si>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</si>
  <si>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</si>
  <si>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</si>
  <si>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</si>
  <si>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</si>
  <si>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</si>
  <si>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</si>
  <si>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</si>
  <si>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</si>
  <si>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</si>
  <si>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</si>
  <si>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</si>
  <si>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</si>
  <si>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</si>
  <si>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</si>
  <si>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</si>
  <si>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</si>
  <si>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</si>
  <si>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</si>
  <si>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</si>
  <si>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</si>
  <si>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</si>
  <si>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</si>
  <si>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</si>
  <si>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</si>
  <si>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</si>
  <si>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</si>
  <si>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</si>
  <si>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</si>
  <si>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</si>
  <si>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</si>
  <si>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</si>
  <si>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</si>
  <si>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</si>
  <si>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</si>
  <si>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</si>
  <si>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</si>
  <si>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</si>
  <si>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</si>
  <si>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</si>
  <si>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</si>
  <si>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</si>
  <si>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</si>
  <si>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</si>
  <si>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</si>
  <si>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</si>
  <si>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</si>
  <si>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</si>
  <si>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</si>
  <si>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</si>
  <si>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</si>
  <si>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</si>
  <si>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</si>
  <si>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</si>
  <si>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</si>
  <si>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</si>
  <si>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</si>
  <si>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</si>
  <si>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</si>
  <si>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</si>
  <si>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</si>
  <si>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</si>
  <si>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</si>
  <si>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</si>
  <si>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</si>
  <si>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</si>
  <si>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</si>
  <si>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</si>
  <si>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</si>
  <si>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</si>
  <si>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</si>
  <si>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</si>
  <si>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</si>
  <si>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</si>
  <si>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</si>
  <si>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</si>
  <si>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</si>
  <si>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</si>
  <si>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</si>
  <si>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</si>
  <si>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</si>
  <si>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</si>
  <si>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</si>
  <si>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</si>
  <si>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</si>
  <si>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</si>
  <si>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</si>
  <si>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</si>
  <si>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</si>
  <si>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</si>
  <si>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</si>
  <si>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</si>
  <si>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</si>
  <si>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</si>
  <si>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</si>
  <si>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</si>
  <si>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</si>
  <si>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</si>
  <si>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</si>
  <si>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</si>
  <si>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</si>
  <si>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</si>
  <si>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</si>
  <si>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</si>
  <si>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</si>
  <si>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</si>
  <si>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</si>
  <si>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</si>
  <si>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</si>
  <si>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</si>
  <si>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</si>
  <si>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</si>
  <si>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</si>
  <si>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</si>
  <si>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</si>
  <si>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</si>
  <si>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</si>
  <si>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</si>
  <si>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</si>
  <si>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</si>
  <si>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</si>
  <si>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</si>
  <si>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</si>
  <si>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</si>
  <si>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</si>
  <si>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</si>
  <si>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</si>
  <si>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</si>
  <si>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</si>
  <si>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</si>
  <si>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</si>
  <si>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</si>
  <si>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</si>
  <si>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</si>
  <si>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</si>
  <si>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</si>
  <si>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</si>
  <si>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</si>
  <si>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</si>
  <si>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</si>
  <si>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</si>
  <si>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</si>
  <si>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</si>
  <si>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</si>
  <si>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</si>
  <si>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</si>
  <si>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</si>
  <si>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</si>
  <si>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</si>
  <si>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</si>
  <si>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</si>
  <si>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</si>
  <si>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</si>
  <si>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</si>
  <si>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</si>
  <si>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</si>
  <si>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</si>
  <si>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</si>
  <si>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</si>
  <si>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</si>
  <si>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</si>
  <si>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</si>
  <si>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</si>
  <si>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</si>
  <si>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</si>
  <si>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</si>
  <si>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</si>
  <si>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</si>
  <si>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</si>
  <si>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</si>
  <si>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</si>
  <si>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</si>
  <si>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</si>
  <si>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</si>
  <si>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</si>
  <si>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</si>
  <si>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</si>
  <si>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</si>
  <si>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</si>
  <si>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</si>
  <si>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</si>
  <si>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</si>
  <si>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</si>
  <si>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</si>
  <si>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</si>
  <si>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</si>
  <si>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</si>
  <si>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</si>
  <si>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</si>
  <si>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</si>
  <si>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</si>
  <si>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</si>
  <si>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</si>
  <si>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</si>
  <si>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</si>
  <si>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</si>
  <si>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</si>
  <si>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</si>
  <si>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</si>
  <si>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</si>
  <si>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</si>
  <si>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</si>
  <si>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</si>
  <si>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</si>
  <si>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</si>
  <si>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</si>
  <si>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</si>
  <si>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</si>
  <si>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</si>
  <si>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</si>
  <si>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</si>
  <si>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</si>
  <si>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</si>
  <si>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</si>
  <si>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</si>
  <si>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</si>
  <si>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</si>
  <si>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</si>
  <si>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</si>
  <si>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</si>
  <si>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</si>
  <si>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</si>
  <si>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</si>
  <si>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</si>
  <si>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</si>
  <si>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</si>
  <si>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</si>
  <si>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</si>
  <si>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</si>
  <si>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</si>
  <si>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</si>
  <si>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</si>
  <si>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</si>
  <si>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</si>
  <si>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</si>
  <si>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</si>
  <si>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</si>
  <si>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</si>
  <si>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</si>
  <si>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</si>
  <si>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</si>
  <si>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</si>
  <si>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</si>
  <si>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</si>
  <si>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</si>
  <si>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</si>
  <si>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</si>
  <si>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</si>
  <si>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</si>
  <si>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</si>
  <si>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</si>
  <si>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</si>
  <si>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</si>
  <si>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</si>
  <si>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</si>
  <si>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</si>
  <si>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</si>
  <si>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</si>
  <si>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</si>
  <si>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</si>
  <si>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</si>
  <si>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</si>
  <si>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</si>
  <si>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</si>
  <si>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</si>
  <si>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</si>
  <si>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</si>
  <si>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</si>
  <si>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</si>
  <si>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</si>
  <si>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</si>
  <si>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</si>
  <si>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</si>
  <si>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</si>
  <si>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</si>
  <si>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</si>
  <si>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</si>
  <si>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</si>
  <si>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</si>
  <si>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</si>
  <si>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</si>
  <si>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</si>
  <si>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</si>
  <si>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</si>
  <si>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</si>
  <si>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</si>
  <si>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</si>
  <si>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</si>
  <si>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</si>
  <si>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</si>
  <si>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</si>
  <si>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</si>
  <si>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</si>
  <si>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</si>
  <si>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</si>
  <si>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</si>
  <si>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</si>
  <si>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</si>
  <si>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</si>
  <si>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</si>
  <si>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</si>
  <si>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</si>
  <si>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</si>
  <si>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</si>
  <si>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</si>
  <si>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</si>
  <si>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</si>
  <si>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</si>
  <si>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</si>
  <si>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</si>
  <si>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</si>
  <si>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</si>
  <si>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</si>
  <si>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</si>
  <si>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</si>
  <si>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</si>
  <si>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</si>
  <si>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</si>
  <si>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</si>
  <si>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</si>
  <si>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</si>
  <si>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</si>
  <si>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</si>
  <si>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</si>
  <si>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</si>
  <si>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</si>
  <si>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</si>
  <si>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</si>
  <si>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</si>
  <si>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</si>
  <si>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</si>
  <si>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</si>
  <si>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</si>
  <si>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</si>
  <si>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</si>
  <si>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</si>
  <si>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</si>
  <si>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</si>
  <si>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</si>
  <si>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</si>
  <si>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</si>
  <si>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</si>
  <si>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</si>
  <si>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</si>
  <si>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</si>
  <si>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</si>
  <si>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</si>
  <si>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</si>
  <si>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</si>
  <si>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</si>
  <si>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</si>
  <si>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</si>
  <si>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</si>
  <si>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</si>
  <si>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</si>
  <si>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</si>
  <si>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</si>
  <si>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</si>
  <si>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</si>
  <si>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</si>
  <si>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</si>
  <si>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</si>
  <si>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</si>
  <si>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</si>
  <si>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</si>
  <si>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</si>
  <si>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</si>
  <si>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</si>
  <si>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</si>
  <si>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</si>
  <si>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</si>
  <si>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</si>
  <si>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</si>
  <si>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</si>
  <si>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</si>
  <si>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</si>
  <si>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</si>
  <si>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</si>
  <si>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</si>
  <si>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</si>
  <si>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</si>
  <si>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</si>
  <si>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</si>
  <si>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</si>
  <si>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</si>
  <si>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</si>
  <si>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</si>
  <si>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</si>
  <si>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</si>
  <si>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</si>
  <si>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</si>
  <si>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</si>
  <si>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</si>
  <si>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</si>
  <si>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</si>
  <si>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</si>
  <si>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</si>
  <si>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</si>
  <si>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</si>
  <si>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</si>
  <si>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</si>
  <si>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</si>
  <si>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</si>
  <si>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</si>
  <si>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</si>
  <si>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</si>
  <si>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</si>
  <si>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</si>
  <si>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</si>
  <si>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</si>
  <si>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</si>
  <si>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</si>
  <si>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</si>
  <si>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</si>
  <si>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</si>
  <si>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</si>
  <si>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</si>
  <si>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</si>
  <si>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</si>
  <si>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</si>
  <si>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</si>
  <si>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</si>
  <si>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</si>
  <si>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</si>
  <si>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</si>
  <si>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</si>
  <si>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</si>
  <si>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</si>
  <si>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</si>
  <si>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</si>
  <si>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</si>
  <si>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</si>
  <si>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</si>
  <si>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</si>
  <si>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</si>
  <si>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</si>
  <si>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</si>
  <si>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</si>
  <si>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</si>
  <si>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</si>
  <si>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</si>
  <si>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</si>
  <si>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</si>
  <si>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</si>
  <si>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</si>
  <si>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</si>
  <si>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</si>
  <si>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</si>
  <si>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</si>
  <si>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</si>
  <si>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</si>
  <si>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</si>
  <si>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</si>
  <si>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</si>
  <si>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</si>
  <si>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</si>
  <si>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</si>
  <si>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</si>
  <si>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</si>
  <si>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</si>
  <si>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</si>
  <si>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</si>
  <si>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</si>
  <si>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</si>
  <si>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</si>
  <si>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</si>
  <si>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</si>
  <si>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</si>
  <si>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</si>
  <si>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</si>
  <si>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</si>
  <si>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</si>
  <si>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</si>
  <si>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</si>
  <si>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</si>
  <si>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</si>
  <si>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</si>
  <si>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</si>
  <si>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</si>
  <si>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</si>
  <si>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</si>
  <si>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</si>
  <si>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</si>
  <si>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</si>
  <si>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</si>
  <si>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</si>
  <si>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</si>
  <si>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</si>
  <si>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</si>
  <si>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</si>
  <si>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</si>
  <si>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</si>
  <si>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</si>
  <si>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</si>
  <si>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</si>
  <si>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</si>
  <si>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</si>
  <si>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</si>
  <si>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</si>
  <si>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</si>
  <si>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</si>
  <si>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</si>
  <si>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</si>
  <si>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</si>
  <si>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</si>
  <si>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</si>
  <si>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</si>
  <si>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</si>
  <si>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</si>
  <si>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</si>
  <si>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</si>
  <si>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</si>
  <si>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</si>
  <si>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</si>
  <si>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</si>
  <si>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</si>
  <si>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</si>
  <si>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</si>
  <si>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</si>
  <si>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</si>
  <si>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</si>
  <si>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</si>
  <si>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</si>
  <si>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</si>
  <si>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</si>
  <si>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</si>
  <si>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</si>
  <si>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</si>
  <si>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</si>
  <si>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</si>
  <si>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</si>
  <si>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</si>
  <si>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</si>
  <si>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</si>
  <si>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</si>
  <si>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</si>
  <si>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</si>
  <si>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</si>
  <si>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</si>
  <si>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</si>
  <si>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</si>
  <si>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</si>
  <si>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</si>
  <si>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</si>
  <si>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</si>
  <si>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</si>
  <si>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</si>
  <si>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</si>
  <si>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</si>
  <si>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</si>
  <si>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</si>
  <si>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</si>
  <si>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</si>
  <si>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</si>
  <si>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</si>
  <si>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</si>
  <si>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</si>
  <si>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</si>
  <si>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</si>
  <si>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</si>
  <si>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</si>
  <si>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</si>
  <si>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</si>
  <si>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</si>
  <si>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</si>
  <si>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</si>
  <si>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</si>
  <si>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</si>
  <si>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</si>
  <si>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</si>
  <si>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</si>
  <si>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</si>
  <si>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</si>
  <si>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</si>
  <si>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</si>
  <si>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</si>
  <si>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</si>
  <si>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</si>
  <si>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</si>
  <si>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</si>
  <si>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</si>
  <si>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</si>
  <si>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</si>
  <si>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</si>
  <si>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</si>
  <si>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</si>
  <si>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</si>
  <si>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</si>
  <si>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</si>
  <si>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</si>
  <si>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</si>
  <si>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</si>
  <si>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</si>
  <si>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</si>
  <si>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</si>
  <si>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</si>
  <si>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</si>
  <si>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</si>
  <si>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</si>
  <si>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</si>
  <si>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</si>
  <si>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</si>
  <si>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</si>
  <si>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</si>
  <si>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</si>
  <si>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</si>
  <si>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</si>
  <si>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</si>
  <si>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</si>
  <si>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</si>
  <si>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</si>
  <si>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</si>
  <si>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</si>
  <si>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</si>
  <si>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</si>
  <si>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</si>
  <si>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</si>
  <si>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</si>
  <si>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</si>
  <si>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</si>
  <si>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</si>
  <si>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</si>
  <si>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</si>
  <si>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</si>
  <si>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</si>
  <si>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</si>
  <si>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</si>
  <si>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</si>
  <si>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</si>
  <si>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</si>
  <si>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</si>
  <si>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</si>
  <si>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</si>
  <si>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</si>
  <si>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</si>
  <si>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</si>
  <si>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</si>
  <si>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</si>
  <si>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</si>
  <si>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</si>
  <si>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</si>
  <si>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</si>
  <si>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</si>
  <si>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</si>
  <si>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</si>
  <si>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</si>
  <si>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</si>
  <si>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</si>
  <si>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</si>
  <si>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</si>
  <si>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</si>
  <si>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</si>
  <si>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</si>
  <si>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</si>
  <si>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</si>
  <si>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</si>
  <si>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</si>
  <si>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</si>
  <si>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</si>
  <si>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</si>
  <si>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</si>
  <si>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</si>
  <si>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</si>
  <si>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</si>
  <si>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</si>
  <si>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</si>
  <si>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</si>
  <si>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</si>
  <si>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</si>
  <si>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</si>
  <si>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</si>
  <si>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</si>
  <si>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</si>
  <si>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</si>
  <si>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</si>
  <si>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</si>
  <si>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</si>
  <si>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</si>
  <si>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</si>
  <si>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</si>
  <si>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</si>
  <si>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</si>
  <si>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</si>
  <si>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</si>
  <si>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</si>
  <si>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</si>
  <si>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</si>
  <si>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</si>
  <si>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</si>
  <si>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</si>
  <si>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</si>
  <si>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</si>
  <si>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</si>
  <si>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</si>
  <si>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</si>
  <si>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</si>
  <si>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</si>
  <si>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</si>
  <si>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</si>
  <si>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</si>
  <si>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</si>
  <si>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</si>
  <si>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</si>
  <si>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</si>
  <si>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</si>
  <si>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</si>
  <si>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</si>
  <si>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</si>
  <si>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</si>
  <si>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</si>
  <si>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</si>
  <si>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</si>
  <si>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</si>
  <si>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</si>
  <si>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</si>
  <si>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</si>
  <si>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</si>
  <si>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</si>
  <si>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</si>
  <si>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</si>
  <si>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</si>
  <si>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</si>
  <si>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</si>
  <si>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</si>
  <si>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</si>
  <si>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EMILCE BOLIVAR CRUZ</t>
  </si>
  <si>
    <t>R &amp; F ENERGY INSPECTION S.A.S</t>
  </si>
  <si>
    <t>JOSE JACINTO CRUZ PIAMONTE</t>
  </si>
  <si>
    <t>RAUL RODRIGUEZ RODRIGUEZ</t>
  </si>
  <si>
    <t>ADIOSTO RUIZ LADINO</t>
  </si>
  <si>
    <t>ADAN MALPICA HERRERA</t>
  </si>
  <si>
    <t>JHOVANY SILVA HERMIDA</t>
  </si>
  <si>
    <t>JOSE EUCLIDES RODRIGUEZ FAGUA</t>
  </si>
  <si>
    <t>JORGE EDGAR ESTUPIÑAN MESA</t>
  </si>
  <si>
    <t>PABLO HERNANDO MARIÑO GARCIA</t>
  </si>
  <si>
    <t>HILDEM ELICEO VELASQUEZ SILVESTRE</t>
  </si>
  <si>
    <t>FABIAN SILVA HERMIDA</t>
  </si>
  <si>
    <t>ANA OTILIA ORTIZ DE FARFAN</t>
  </si>
  <si>
    <t>MARIA YANETH COMBARIZA</t>
  </si>
  <si>
    <t>WILSON OSWALDO TIRIA TORRES</t>
  </si>
  <si>
    <t>JOSE DAVID YANQUEN PARADA</t>
  </si>
  <si>
    <t>JOSE ABELARDO PEREZ PINTO</t>
  </si>
  <si>
    <t>JUAN PABLO CORREDOR</t>
  </si>
  <si>
    <t>JESUS ALEXANDER SOLANO HOLGUIN</t>
  </si>
  <si>
    <t>HENRY DANIEL BECERRA BECERRA</t>
  </si>
  <si>
    <t>ORLANDO MEDINA ESCOBAR</t>
  </si>
  <si>
    <t>MISAEL NIÑO ORTIZ</t>
  </si>
  <si>
    <t>GUSTAVO TIJARO CARO</t>
  </si>
  <si>
    <t>ALMACENES CORONA S.A.S</t>
  </si>
  <si>
    <t>EMPRESA DE ENERGIA DE BOYACA S.A E.S.P. EMPRESA DE SERVICIOS PUBLICOS</t>
  </si>
  <si>
    <t>RED VITAL PAIPA S.A E.S.P</t>
  </si>
  <si>
    <t>HERRERA JAIME CONSTRUCCIONES SAS</t>
  </si>
  <si>
    <t>AMERICANA DE TECNOLOGIA Y COMUNICACIONES SAS</t>
  </si>
  <si>
    <t>INDUICOPOR S.A.S</t>
  </si>
  <si>
    <t>TERMOVENTANAS S.A.S</t>
  </si>
  <si>
    <t>FEDESTRUCTURAS S.A.S</t>
  </si>
  <si>
    <t>SERVICIOS INTEGRALES GUIO SOCIEDAD POR ACCIONES SIMPLIFICADA</t>
  </si>
  <si>
    <t>MODULO DISEÑO E INTERIORISMO SOCIEDAD POR ACCIONES SIMPLIFICADA</t>
  </si>
  <si>
    <t>PROYECTOS Y MATERIALES ELECTRICOS S.A.S</t>
  </si>
  <si>
    <t>DANIEL ALFONSO ROJAS PEREZ</t>
  </si>
  <si>
    <t>MAURICIO MENDIVELSO</t>
  </si>
  <si>
    <t>FABIAN LEONARDO CHISINO MANOSALVA</t>
  </si>
  <si>
    <t>EDGAR ANDRES BECERRA PEDRAZA</t>
  </si>
  <si>
    <t>JOHAN HERNANDO BARRERA JIMENEZ</t>
  </si>
  <si>
    <t>ANDRES FELIPE RODRIGUEZ MACIAS</t>
  </si>
  <si>
    <t>EDWIN GIOVANNY CUERVO SUAREZ</t>
  </si>
  <si>
    <t>EDUARD STIVEN LOPEZ PULIDO</t>
  </si>
  <si>
    <t>CHELA ESPINOSA KHENAYZIR</t>
  </si>
  <si>
    <t>ANDRES RICARDO HERRERA KHENAYZIR</t>
  </si>
  <si>
    <t>SODIMAC COLOMBIA SA</t>
  </si>
  <si>
    <t>LIBIA PAULINA GOMEZ HIGUERA</t>
  </si>
  <si>
    <t>ROLANDO SUAREZ SUAREZ</t>
  </si>
  <si>
    <t>JESUS GOMEZ LIZARAZO</t>
  </si>
  <si>
    <t>RAUL ERNESTO RODRIGUEZ RAMIREZ</t>
  </si>
  <si>
    <t>LUIS ALBERTO ANGARITA MARTINEZ</t>
  </si>
  <si>
    <t>DIOMEDES MARTINEZ ALVARES</t>
  </si>
  <si>
    <t>WILLIAM ISAURO AREVALO PIÑEROS</t>
  </si>
  <si>
    <t>DORA HILDA MEDINA PACHECO</t>
  </si>
  <si>
    <t>MARIA NELLY AVENDAÑO AVELLA</t>
  </si>
  <si>
    <t>DORY MILENA AGUIRRE ALVARADO</t>
  </si>
  <si>
    <t>EDY CRISTINA CAMARGO CUERVO</t>
  </si>
  <si>
    <t>DIEGO ANDRES PEREZ ORDUZ</t>
  </si>
  <si>
    <t>TAX TURISTICO PAIPA S.A.</t>
  </si>
  <si>
    <t>INGEMEC S.A.S. .</t>
  </si>
  <si>
    <t>G Y J FERRETERIAS S.A</t>
  </si>
  <si>
    <t>MULTIELECTRICOS S.A.S</t>
  </si>
  <si>
    <t>LADRILLOS EL ZIPA S.A.S.</t>
  </si>
  <si>
    <t>CENTRAL DE DOTACIONES S.A.S</t>
  </si>
  <si>
    <t>EDIL ANDINA SAS</t>
  </si>
  <si>
    <t>MADECENTRO COLOMBIA S.A.S</t>
  </si>
  <si>
    <t>COMPAÑÍA COLOMBIANA DE CONCRETOS S.A</t>
  </si>
  <si>
    <t>COVAL COMERCIAL S.A.S</t>
  </si>
  <si>
    <t>ALFAGRES S.A.-EN REORGANIZACION</t>
  </si>
  <si>
    <t>BANCO DAVIVIENDA</t>
  </si>
  <si>
    <t>BANCOLOMBIA</t>
  </si>
  <si>
    <t>DEPARTAMENTO DE BOYACA</t>
  </si>
  <si>
    <t>CAMARA DE COMERCIO DE DUITAMA</t>
  </si>
  <si>
    <t>SUPERINTENDENCIA DE NOTARIADO Y REGISTRO</t>
  </si>
  <si>
    <t>EUROLIFT SAS</t>
  </si>
  <si>
    <t>SM ASOCIADOS S.A</t>
  </si>
  <si>
    <t>PORCELANATOS Y PISOS DE COLOMBIA S.A.S</t>
  </si>
  <si>
    <t>TUVALREP SAS</t>
  </si>
  <si>
    <t>HIDROPROTECCION S A</t>
  </si>
  <si>
    <t>HACERCASA LTDA</t>
  </si>
  <si>
    <t>LISTODO S.A.S</t>
  </si>
  <si>
    <t>SURAMERICANA DE ELECTRICOS E ILUMINACION SAS</t>
  </si>
  <si>
    <t>GLASSEC LTDA</t>
  </si>
  <si>
    <t>DISTRIBUIDORA FERREACEROS SAS</t>
  </si>
  <si>
    <t>ALUMBOY DISTRIBUCIONES SAS</t>
  </si>
  <si>
    <t>PREFABRICADOS DE DUITAMA COLOMBIA SAS</t>
  </si>
  <si>
    <t>LUCTRA SAS</t>
  </si>
  <si>
    <t>CENTRAL DE TRITURADOS S.A.S.</t>
  </si>
  <si>
    <t>SOCIAL SOLAR S.A.S</t>
  </si>
  <si>
    <t>SERVI PRES S.A.S</t>
  </si>
  <si>
    <t>ISEK S.A.S</t>
  </si>
  <si>
    <t>CENTRO COMERCIAL Y APARTAMENTOS SENDERO PLAZA</t>
  </si>
  <si>
    <t>VIDRIOS SAN LORENZO SAS</t>
  </si>
  <si>
    <t>COCINAS NUEVAS TENDENCIAS S.A.S</t>
  </si>
  <si>
    <t>LADRILLERA GRESPAN S.A.S</t>
  </si>
  <si>
    <t>ARAMAR SUPERMERCADOS SAS</t>
  </si>
  <si>
    <t>GRANISTON S.A.S</t>
  </si>
  <si>
    <t>JOSE FERNANDO OCHOA OCHOA</t>
  </si>
  <si>
    <t>BRAYAN DANIEL PIZA FORERO</t>
  </si>
  <si>
    <t>RAFAEL ALEJANDRO CAMARGO PEDRAZA</t>
  </si>
  <si>
    <t>CUANTIAS MENORES</t>
  </si>
  <si>
    <t>LAGO VERDE CONSTRUCCIONES SAS</t>
  </si>
  <si>
    <t>VDA SAN ONOFRE</t>
  </si>
  <si>
    <t>suarez.rolando29@gmail.com</t>
  </si>
  <si>
    <t>servidigital07@gmail.com</t>
  </si>
  <si>
    <t>ryfenergysas@hotmail.com</t>
  </si>
  <si>
    <t>josejacintocruzpiamonte@gmail.com</t>
  </si>
  <si>
    <t>agladysvladerrama05@gmail.com</t>
  </si>
  <si>
    <t>lagoverdeconstrucciones@gmail.com</t>
  </si>
  <si>
    <t>adanmalpicaherrera@gmail.com</t>
  </si>
  <si>
    <t>todoalum_duitama@yahoo.com.ar</t>
  </si>
  <si>
    <t>electrobobinadossolano24@gmail.com</t>
  </si>
  <si>
    <t>acnotificaciones@corona.com.co</t>
  </si>
  <si>
    <t>servicioalcliente@ebsa.com.co</t>
  </si>
  <si>
    <t>redvital@gmail.com</t>
  </si>
  <si>
    <t>servicioalcliente@amtec-sas.com.co</t>
  </si>
  <si>
    <t>induicipors@gmail.com</t>
  </si>
  <si>
    <t>contabilidad@termoventanas.com</t>
  </si>
  <si>
    <t>facturacionfedestructuras@gmail.com</t>
  </si>
  <si>
    <t>tuproyectomodulo@gmail.com</t>
  </si>
  <si>
    <t>andresbecerrapedraza@hotmail.com</t>
  </si>
  <si>
    <t>stivenlopez.s2001@gmail.com</t>
  </si>
  <si>
    <t>servicioalcliente@homecenter.com</t>
  </si>
  <si>
    <t>notaria2duitama@gmail.com</t>
  </si>
  <si>
    <t>rherrerajaime@gmail.com</t>
  </si>
  <si>
    <t>erropazduitama@yahoo.com</t>
  </si>
  <si>
    <t>ndustriaraulcar@hotmail.com</t>
  </si>
  <si>
    <t>ferremetro0520@hotmail.com</t>
  </si>
  <si>
    <t>industriamduitama@hotmail.com</t>
  </si>
  <si>
    <t>ventas.facturaciongasboy@gmail.com</t>
  </si>
  <si>
    <t>diegoladsol@gmail.com</t>
  </si>
  <si>
    <t>info@ingemec.com.co</t>
  </si>
  <si>
    <t>servicioalcliente@gyj.com.co</t>
  </si>
  <si>
    <t>multielectricos@gmail.com</t>
  </si>
  <si>
    <t>serviciosalcliente@homecenter.com</t>
  </si>
  <si>
    <t>atencionalcliente@centraldedotaciones.com</t>
  </si>
  <si>
    <t>info@edilandina.com</t>
  </si>
  <si>
    <t>notificaciones.judicial@madecentro.co</t>
  </si>
  <si>
    <t>procontacolombia@hotmail.com</t>
  </si>
  <si>
    <t>ocubides@coval.com.co</t>
  </si>
  <si>
    <t>dlegal@alfa.com.co</t>
  </si>
  <si>
    <t>trasnparencia@boyaca.gov.co</t>
  </si>
  <si>
    <t>acontabilidad@ccduitama.org.co</t>
  </si>
  <si>
    <r>
      <t> </t>
    </r>
    <r>
      <rPr>
        <b/>
        <sz val="11"/>
        <color rgb="FF767676"/>
        <rFont val="Arial"/>
        <family val="2"/>
      </rPr>
      <t>correspondencia@supernotariado.gov.co</t>
    </r>
    <r>
      <rPr>
        <sz val="11"/>
        <color rgb="FF474747"/>
        <rFont val="Arial"/>
        <family val="2"/>
      </rPr>
      <t>.</t>
    </r>
  </si>
  <si>
    <t>info@eurolift.com.co</t>
  </si>
  <si>
    <t>info.fe@xylonfloor.com.co</t>
  </si>
  <si>
    <t>contador@tuvalrep.com.co</t>
  </si>
  <si>
    <t>contabilidad2@hidroproteccion.com</t>
  </si>
  <si>
    <t>hacercasa_ltda@hotmail.com</t>
  </si>
  <si>
    <t>almacenlistodo@listodo.com.co</t>
  </si>
  <si>
    <t>info@suraelec.com</t>
  </si>
  <si>
    <t>contabilidadglassesec@hotmail.com</t>
  </si>
  <si>
    <t>ferreaceros.sas@gmail.com</t>
  </si>
  <si>
    <t>distribucionesalumboy@hotmail.com</t>
  </si>
  <si>
    <t>preducol@gmail.com</t>
  </si>
  <si>
    <t>ventascentraldetriturados@gmail.com</t>
  </si>
  <si>
    <t>serviprees@outlook.com</t>
  </si>
  <si>
    <t>isek.tunja@gmail.com</t>
  </si>
  <si>
    <t>senderoplazapaipa@gmail.com</t>
  </si>
  <si>
    <t>ventas@vidriosanlorenzo.com</t>
  </si>
  <si>
    <t>fe@cocinasnt.com</t>
  </si>
  <si>
    <t>facturacionladrilleragrespan@gmail.com</t>
  </si>
  <si>
    <t>josfe89@hotmail.com</t>
  </si>
  <si>
    <t>daniellpizaforero@gmail.com</t>
  </si>
  <si>
    <t>cl 24 19 121</t>
  </si>
  <si>
    <t>CL 25 2104</t>
  </si>
  <si>
    <t>defensordelcliente@davivienda.com</t>
  </si>
  <si>
    <t>CL 25 2278</t>
  </si>
  <si>
    <t>atencionalcliente@bancolombia.com</t>
  </si>
  <si>
    <t>jhovanny2502@hotmail.com</t>
  </si>
  <si>
    <t>joseeuclides44@outlook.com</t>
  </si>
  <si>
    <t>ingealumyestructuras@hotmail.com</t>
  </si>
  <si>
    <t>serviciotecnico.sme@gmail.com</t>
  </si>
  <si>
    <t>fabiansilvahermida8@gmail.com</t>
  </si>
  <si>
    <t>pintufarfan@gmail.com</t>
  </si>
  <si>
    <t>mariajanethcombariza89@gmail.com</t>
  </si>
  <si>
    <t>willitorres1006@gmail.com</t>
  </si>
  <si>
    <t>yanquispr@gmail.com</t>
  </si>
  <si>
    <t>carpinteriajoseabel@gmail.com</t>
  </si>
  <si>
    <t>lverdeconstrucciones@gmail.com</t>
  </si>
  <si>
    <t>henrys1494@gmail.com</t>
  </si>
  <si>
    <t>ormes49.oe@hotmail.com</t>
  </si>
  <si>
    <t>misaeln702@gmail.com</t>
  </si>
  <si>
    <t>oyanethb@gmail.com</t>
  </si>
  <si>
    <t>serviguiosas@gmail.com</t>
  </si>
  <si>
    <t>proyectospyme.sas@gmail.com</t>
  </si>
  <si>
    <t xml:space="preserve"> danielroa87@gmail.com</t>
  </si>
  <si>
    <t>mendimauro@gmail.com</t>
  </si>
  <si>
    <t>chisinoleonardo348@gmail.com</t>
  </si>
  <si>
    <t>johanhernandobarrera@gmail.com</t>
  </si>
  <si>
    <t>pipe.rodriguezmacias@gmail.com</t>
  </si>
  <si>
    <t>cuervoedwin182@gmail.com</t>
  </si>
  <si>
    <t>khenay18@gmail.com</t>
  </si>
  <si>
    <t>unicpaipa@supernotariado.gov.co</t>
  </si>
  <si>
    <t>doraalamos61@gmail.com</t>
  </si>
  <si>
    <t>ferreca@hotmail.com</t>
  </si>
  <si>
    <t>tesoreriataxturistico@gmail.com</t>
  </si>
  <si>
    <t>ladrilloselzipa@yahoo.com</t>
  </si>
  <si>
    <t>ferreteriasym@hotmail.es</t>
  </si>
  <si>
    <t>luctrasas@gmail.com</t>
  </si>
  <si>
    <t>gerencia@socialsolar.com.co</t>
  </si>
  <si>
    <t>aramar.paipa@gmail.com</t>
  </si>
  <si>
    <t>graniston.sas@outlook.com</t>
  </si>
  <si>
    <t>proyectos@compuredesboyaca.com</t>
  </si>
  <si>
    <t>7851709</t>
  </si>
  <si>
    <t>CL 25 22 49</t>
  </si>
  <si>
    <t>3118444071</t>
  </si>
  <si>
    <t>CL 12 36 50</t>
  </si>
  <si>
    <t>3132765985</t>
  </si>
  <si>
    <t>VDA CENTRAL BELLA VISTA</t>
  </si>
  <si>
    <t>3132519791</t>
  </si>
  <si>
    <t>DG 22 22 58</t>
  </si>
  <si>
    <t>3118562709</t>
  </si>
  <si>
    <t>CR 5 19 45 BRR MANZANARES</t>
  </si>
  <si>
    <t>7705230</t>
  </si>
  <si>
    <t>CL 48 A 10 A 132</t>
  </si>
  <si>
    <t>3214358817</t>
  </si>
  <si>
    <t>VDA PEÑA NEGRA</t>
  </si>
  <si>
    <t>3123645746</t>
  </si>
  <si>
    <t>VDA CENTRO</t>
  </si>
  <si>
    <t>7627144</t>
  </si>
  <si>
    <t>TRV 29 14 74</t>
  </si>
  <si>
    <t>3102191633</t>
  </si>
  <si>
    <t>CL 13 16 28</t>
  </si>
  <si>
    <t>3123336594</t>
  </si>
  <si>
    <t>CR 21 14 12</t>
  </si>
  <si>
    <t>3125793843</t>
  </si>
  <si>
    <t>VILLA CORINA MZD CA 4</t>
  </si>
  <si>
    <t>3132656003</t>
  </si>
  <si>
    <t>CR 22 22 79 CENTRO</t>
  </si>
  <si>
    <t>3223452203</t>
  </si>
  <si>
    <t>CL 2 A 15 A 13 BR BALCONES DE LA VILLA</t>
  </si>
  <si>
    <t>3143682361</t>
  </si>
  <si>
    <t>CR 28 19A 74</t>
  </si>
  <si>
    <t>3104801107</t>
  </si>
  <si>
    <t>CL 8 11B 18</t>
  </si>
  <si>
    <t>3142558438</t>
  </si>
  <si>
    <t>CL 26 17 A 46</t>
  </si>
  <si>
    <t>3214443245</t>
  </si>
  <si>
    <t>TV 14 10 53</t>
  </si>
  <si>
    <t>3208915087</t>
  </si>
  <si>
    <t>PRIMERO DE MAYO CL 2 17 21</t>
  </si>
  <si>
    <t>3124100472</t>
  </si>
  <si>
    <t>VDA QUEBRADA DE BECERRAS DUITAMA</t>
  </si>
  <si>
    <t>3158379410</t>
  </si>
  <si>
    <t>3108128755</t>
  </si>
  <si>
    <t>CR 18 24 B 25 P 2</t>
  </si>
  <si>
    <t>3212616922</t>
  </si>
  <si>
    <t>CL 17 8 22</t>
  </si>
  <si>
    <t>4279300</t>
  </si>
  <si>
    <t>CL 26 86 85</t>
  </si>
  <si>
    <t>7405000</t>
  </si>
  <si>
    <t>CR 10 15 87</t>
  </si>
  <si>
    <t>3208585284</t>
  </si>
  <si>
    <t>CR 17 A 23A 05</t>
  </si>
  <si>
    <t>CL 29 19 122</t>
  </si>
  <si>
    <t>6087850331</t>
  </si>
  <si>
    <t>CR 21 22 86</t>
  </si>
  <si>
    <t>3006561616</t>
  </si>
  <si>
    <t>VDA  OTRO LADO LT EL TERRENO</t>
  </si>
  <si>
    <t>3232910645</t>
  </si>
  <si>
    <t>CL 3 3 51 CD INDUSTRIAL</t>
  </si>
  <si>
    <t>3124357849</t>
  </si>
  <si>
    <t>CR 12 A 38 35 APT 301 BRR LA MARIA</t>
  </si>
  <si>
    <t>3115117496</t>
  </si>
  <si>
    <t>KM 7 VIA TRINIDAD VEREDA CRUZ DE BONZA</t>
  </si>
  <si>
    <t>3122589720</t>
  </si>
  <si>
    <t>CR 11 22 A 122</t>
  </si>
  <si>
    <t>3134846047</t>
  </si>
  <si>
    <t>CL 16 A 17 02</t>
  </si>
  <si>
    <t>3134493756</t>
  </si>
  <si>
    <t>VDA EL HATO</t>
  </si>
  <si>
    <t>3202864827</t>
  </si>
  <si>
    <t>CR 27 A 5 63 BRR LAURELES</t>
  </si>
  <si>
    <t>3125906048</t>
  </si>
  <si>
    <t>CL 11 BARR LA TOLOSA</t>
  </si>
  <si>
    <t>3102053609</t>
  </si>
  <si>
    <t>CL 19 A 4 55</t>
  </si>
  <si>
    <t>3102965893</t>
  </si>
  <si>
    <t>CL 9 BIS 10 47</t>
  </si>
  <si>
    <t>3108789924</t>
  </si>
  <si>
    <t>CR 15 A  29 15 B EL BOSQUE</t>
  </si>
  <si>
    <t>3196306761</t>
  </si>
  <si>
    <t>VDA EL MORAL</t>
  </si>
  <si>
    <t>3226825252</t>
  </si>
  <si>
    <t>CL 2 A 21 24 BRR VILLA DEL SOL</t>
  </si>
  <si>
    <t>3124607593</t>
  </si>
  <si>
    <t>CL 24 19 121 LOCAL 208</t>
  </si>
  <si>
    <t>3156007442</t>
  </si>
  <si>
    <t>CR 10 25 60</t>
  </si>
  <si>
    <t>018000127373</t>
  </si>
  <si>
    <t>AV UNIVERSITARIA 50 21</t>
  </si>
  <si>
    <t>3123788403</t>
  </si>
  <si>
    <t>CL 16 14 46</t>
  </si>
  <si>
    <t>CL 24 19 121</t>
  </si>
  <si>
    <t>7603312</t>
  </si>
  <si>
    <t>Cl 9 19 53</t>
  </si>
  <si>
    <t>3114549417</t>
  </si>
  <si>
    <t>CR 31 D 15 22</t>
  </si>
  <si>
    <t>3105538864</t>
  </si>
  <si>
    <t>AV AMERICAS 24 72</t>
  </si>
  <si>
    <t>3112550459</t>
  </si>
  <si>
    <t>VDA LA PRADERA</t>
  </si>
  <si>
    <t>3208412466</t>
  </si>
  <si>
    <t>CL 26 22 31</t>
  </si>
  <si>
    <t>3125863017</t>
  </si>
  <si>
    <t>CR 21 20 07</t>
  </si>
  <si>
    <t>7853364</t>
  </si>
  <si>
    <t>CR 22 25 44</t>
  </si>
  <si>
    <t>7620926</t>
  </si>
  <si>
    <t>3143239509</t>
  </si>
  <si>
    <t>CL 23 25 00</t>
  </si>
  <si>
    <t>3134959083</t>
  </si>
  <si>
    <t>CL 22 36 50</t>
  </si>
  <si>
    <t>6087853578</t>
  </si>
  <si>
    <t>CR 19 34 12</t>
  </si>
  <si>
    <t>3124492510</t>
  </si>
  <si>
    <t>CR 10 9 64</t>
  </si>
  <si>
    <t>3208302902</t>
  </si>
  <si>
    <t>VDA PATROCINIO</t>
  </si>
  <si>
    <t>7654536</t>
  </si>
  <si>
    <t>CL 11 17 46</t>
  </si>
  <si>
    <t>3102826254</t>
  </si>
  <si>
    <t>VADA DE SATIVA</t>
  </si>
  <si>
    <t>7602310</t>
  </si>
  <si>
    <t>CL 14 18 82</t>
  </si>
  <si>
    <t>4880055</t>
  </si>
  <si>
    <t>CL 166 20 45</t>
  </si>
  <si>
    <t>4442893</t>
  </si>
  <si>
    <t>CL 7 SUR 4270 ED FORUM LA FRANCIA TO 1 OF 505</t>
  </si>
  <si>
    <t>3133927151</t>
  </si>
  <si>
    <t>CR 10 B 134 A 35 AP 401</t>
  </si>
  <si>
    <t>3102114123</t>
  </si>
  <si>
    <t>CL 2 240 LOTE 3 MODULO C VEREDA SAN LORENZO</t>
  </si>
  <si>
    <t>3311515</t>
  </si>
  <si>
    <t>AV CARACAS 35 55</t>
  </si>
  <si>
    <t>7420150</t>
  </si>
  <si>
    <t>CL 20 9 90 PALACIO DE LA TORRE</t>
  </si>
  <si>
    <t>7602596</t>
  </si>
  <si>
    <t>TV 19 23 141</t>
  </si>
  <si>
    <t>3822121</t>
  </si>
  <si>
    <t>CL 26 13 49</t>
  </si>
  <si>
    <t>6012776103</t>
  </si>
  <si>
    <t>CL 12 39 71</t>
  </si>
  <si>
    <t>3105518809</t>
  </si>
  <si>
    <t>AV LIBERTADORES 22 71</t>
  </si>
  <si>
    <t>7444540</t>
  </si>
  <si>
    <t>CR 21 166 45</t>
  </si>
  <si>
    <t>6013713386</t>
  </si>
  <si>
    <t>AV CL 13 22 72 LC 3</t>
  </si>
  <si>
    <t>3183470687</t>
  </si>
  <si>
    <t>KM 1 VDA ISLA VIA LA ARGENTINA PARQUE IND EL DORADO BG 44</t>
  </si>
  <si>
    <t>2582097</t>
  </si>
  <si>
    <t>AK 45 128 C 47</t>
  </si>
  <si>
    <t>6016267640</t>
  </si>
  <si>
    <t>AUT NORTE 131 65</t>
  </si>
  <si>
    <t>7227905</t>
  </si>
  <si>
    <t>CR 4 15 86 LC 103 BRR EL DORADO</t>
  </si>
  <si>
    <t>3182870647</t>
  </si>
  <si>
    <t>PARQUE INDUSTRIAL DE ORIENTE LOTE 62 MANZANA G</t>
  </si>
  <si>
    <t>3123113434</t>
  </si>
  <si>
    <t>CL 22 40 08</t>
  </si>
  <si>
    <t>7613781</t>
  </si>
  <si>
    <t>CR 21 7 21</t>
  </si>
  <si>
    <t>3507810458</t>
  </si>
  <si>
    <t>KM 8 VIA PAIPA DUITAMA</t>
  </si>
  <si>
    <t>3144752589</t>
  </si>
  <si>
    <t>CL 22 20 77</t>
  </si>
  <si>
    <t>CR 10 B 134A 35 OF 401</t>
  </si>
  <si>
    <t>3204679942</t>
  </si>
  <si>
    <t>CR 19 28 60</t>
  </si>
  <si>
    <t>3123358333</t>
  </si>
  <si>
    <t>CR 46 20 33 BRR JUAN GRANDE</t>
  </si>
  <si>
    <t>3223801686</t>
  </si>
  <si>
    <t>KM 1 VIA TUNJA BOGOTA VDA RUNTA ARRIBA</t>
  </si>
  <si>
    <t>3153901028</t>
  </si>
  <si>
    <t>CL 20 28 21 LC 2</t>
  </si>
  <si>
    <t>3112283531</t>
  </si>
  <si>
    <t>CR 16 19 28 BRR VATICANO</t>
  </si>
  <si>
    <t>3108751787</t>
  </si>
  <si>
    <t>KM 5 VIA ZIPAQUIRA UBATE SEC LOS CERROS</t>
  </si>
  <si>
    <t>3125857981</t>
  </si>
  <si>
    <t>CR 23 22 51</t>
  </si>
  <si>
    <t>311200900</t>
  </si>
  <si>
    <t>AV LIBERTADORES 43 110</t>
  </si>
  <si>
    <t>3122671928</t>
  </si>
  <si>
    <t>CL 19 5 45</t>
  </si>
  <si>
    <t>3164501924</t>
  </si>
  <si>
    <t>CL 24 17 AA 12 BRR LAS QUINTAS</t>
  </si>
  <si>
    <t>farfan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</si>
</sst>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MS Sans Serif"/>
    </font>
    <font>
      <sz val="11"/>
      <color rgb="FF474747"/>
      <name val="Arial"/>
      <family val="2"/>
    </font>
    <font>
      <b/>
      <sz val="11"/>
      <color rgb="FF767676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3" fontId="3" fillId="0" borderId="0" xfId="0" applyNumberFormat="1" applyFont="1" applyFill="1" applyProtection="1">
      <protection locked="0"/>
    </xf>
    <xf numFmtId="0" fontId="0" fillId="0" borderId="0" xfId="0" applyFill="1" applyProtection="1">
      <protection locked="0"/>
    </xf>
    <xf numFmtId="43" fontId="0" fillId="0" borderId="0" xfId="1" applyFont="1" applyFill="1" applyProtection="1">
      <protection locked="0"/>
    </xf>
    <xf numFmtId="165" fontId="0" fillId="0" borderId="0" xfId="2" applyNumberFormat="1" applyFont="1" applyFill="1" applyProtection="1">
      <protection locked="0"/>
    </xf>
    <xf numFmtId="0" fontId="1" fillId="0" borderId="0" xfId="0" applyFont="1" applyFill="1" applyBorder="1" applyAlignment="1" applyProtection="1"/>
    <xf numFmtId="0" fontId="0" fillId="0" borderId="4" xfId="0" applyFill="1" applyBorder="1" applyAlignment="1" applyProtection="1">
      <alignment horizont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14" fontId="0" fillId="0" borderId="5" xfId="0" applyNumberFormat="1" applyFill="1" applyBorder="1" applyAlignment="1" applyProtection="1">
      <alignment horizontal="center"/>
      <protection locked="0"/>
    </xf>
    <xf numFmtId="0" fontId="0" fillId="0" borderId="3" xfId="0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Alignment="1" applyProtection="1">
      <alignment horizontal="center" vertical="center" wrapText="1"/>
    </xf>
    <xf numFmtId="1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</cellXfs>
  <cellStyles count="3">
    <cellStyle name="Millares" xfId="2" builtinId="3"/>
    <cellStyle name="Millares 3" xfId="1" xr:uid="{2CC7C701-5E44-40C3-AD7B-79289CACE4A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rcer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arAExcel (2)"/>
      <sheetName val="ExportarAExcel"/>
    </sheetNames>
    <sheetDataSet>
      <sheetData sheetId="0">
        <row r="1">
          <cell r="A1" t="str">
            <v>NIT</v>
          </cell>
          <cell r="B1" t="str">
            <v>DV</v>
          </cell>
          <cell r="C1" t="str">
            <v>Nombre</v>
          </cell>
          <cell r="D1" t="str">
            <v>Dirección</v>
          </cell>
          <cell r="E1" t="str">
            <v>Teléfonos</v>
          </cell>
          <cell r="F1" t="str">
            <v>Ciudad</v>
          </cell>
        </row>
        <row r="2">
          <cell r="A2">
            <v>901717608</v>
          </cell>
          <cell r="B2">
            <v>4</v>
          </cell>
          <cell r="C2" t="str">
            <v>PROCAJACORP SAS</v>
          </cell>
          <cell r="D2" t="str">
            <v>DG 16 SUR No. 50 44</v>
          </cell>
          <cell r="E2" t="str">
            <v>3503469250</v>
          </cell>
          <cell r="F2" t="str">
            <v>Bogota D.C.</v>
          </cell>
        </row>
        <row r="3">
          <cell r="A3">
            <v>860051705</v>
          </cell>
          <cell r="B3">
            <v>2</v>
          </cell>
          <cell r="C3" t="str">
            <v>ABN AMRO BANK</v>
          </cell>
        </row>
        <row r="4">
          <cell r="A4">
            <v>901037916</v>
          </cell>
          <cell r="B4">
            <v>1</v>
          </cell>
          <cell r="C4" t="str">
            <v>ADRES-ADMINISTRADORA DE LOS RECURSOS DEL SISTEMA GENERAL DE SEGURIDAD SOCIAL EN SALUD</v>
          </cell>
          <cell r="D4" t="str">
            <v>CL 5 4 28</v>
          </cell>
          <cell r="E4" t="str">
            <v>4322760</v>
          </cell>
          <cell r="F4" t="str">
            <v>Bogota D.C.</v>
          </cell>
        </row>
        <row r="5">
          <cell r="A5">
            <v>901541201</v>
          </cell>
          <cell r="B5">
            <v>3</v>
          </cell>
          <cell r="C5" t="str">
            <v>AGROEXITO LA NOVENA S.A.S</v>
          </cell>
          <cell r="D5" t="str">
            <v>CL 13 18 32 D</v>
          </cell>
          <cell r="E5" t="str">
            <v>3202776175</v>
          </cell>
          <cell r="F5" t="str">
            <v>Duitama</v>
          </cell>
        </row>
        <row r="6">
          <cell r="A6">
            <v>900044405</v>
          </cell>
          <cell r="B6">
            <v>3</v>
          </cell>
          <cell r="C6" t="str">
            <v>AGUAVIDA SOCIEDAD POR ACCIONES SIMPLIFICADA</v>
          </cell>
          <cell r="D6" t="str">
            <v>CL 14 A 123 60</v>
          </cell>
          <cell r="F6" t="str">
            <v>Paipa</v>
          </cell>
        </row>
        <row r="7">
          <cell r="A7">
            <v>860032550</v>
          </cell>
          <cell r="B7">
            <v>7</v>
          </cell>
          <cell r="C7" t="str">
            <v>ALFAGRES S.A.-EN REORGANIZACION</v>
          </cell>
          <cell r="D7" t="str">
            <v>AV CARACAS 35 55</v>
          </cell>
          <cell r="E7" t="str">
            <v>3311515</v>
          </cell>
          <cell r="F7" t="str">
            <v>Bogota D.C.</v>
          </cell>
        </row>
        <row r="8">
          <cell r="A8">
            <v>90060435</v>
          </cell>
          <cell r="B8">
            <v>4</v>
          </cell>
          <cell r="C8" t="str">
            <v>ALIANZA MEDELLIN ANTIOQUIA EPS</v>
          </cell>
        </row>
        <row r="9">
          <cell r="A9">
            <v>860500480</v>
          </cell>
          <cell r="B9">
            <v>8</v>
          </cell>
          <cell r="C9" t="str">
            <v>ALMACENES CORONA S.A.S</v>
          </cell>
          <cell r="D9" t="str">
            <v>CL 26 86 85</v>
          </cell>
          <cell r="E9" t="str">
            <v>4279300</v>
          </cell>
          <cell r="F9" t="str">
            <v>Bogota D.C.</v>
          </cell>
        </row>
        <row r="10">
          <cell r="A10">
            <v>900555902</v>
          </cell>
          <cell r="B10">
            <v>5</v>
          </cell>
          <cell r="C10" t="str">
            <v>ALUMBOY DISTRIBUCIONES SAS</v>
          </cell>
          <cell r="D10" t="str">
            <v>CR 21 7 21</v>
          </cell>
          <cell r="E10" t="str">
            <v>7613781</v>
          </cell>
          <cell r="F10" t="str">
            <v>Duitama</v>
          </cell>
        </row>
        <row r="11">
          <cell r="A11">
            <v>900813668</v>
          </cell>
          <cell r="B11">
            <v>3</v>
          </cell>
          <cell r="C11" t="str">
            <v>AMERICANA DE TECNOLOGIA Y COMUNICACIONES SAS</v>
          </cell>
          <cell r="D11" t="str">
            <v>CR 21 22 86</v>
          </cell>
          <cell r="E11" t="str">
            <v>6087850331</v>
          </cell>
          <cell r="F11" t="str">
            <v>Paipa</v>
          </cell>
        </row>
        <row r="12">
          <cell r="A12">
            <v>901465361</v>
          </cell>
          <cell r="B12">
            <v>8</v>
          </cell>
          <cell r="C12" t="str">
            <v>ARAMAR SUPERMERCADOS SAS</v>
          </cell>
          <cell r="D12" t="str">
            <v>CR 23 22 51</v>
          </cell>
          <cell r="E12" t="str">
            <v>3125857981</v>
          </cell>
          <cell r="F12" t="str">
            <v>Paipa</v>
          </cell>
        </row>
        <row r="13">
          <cell r="A13">
            <v>860002183</v>
          </cell>
          <cell r="B13">
            <v>9</v>
          </cell>
          <cell r="C13" t="str">
            <v>ARL SEGUROS DE VIDA COLPATRIA SA</v>
          </cell>
        </row>
        <row r="14">
          <cell r="A14">
            <v>800256161</v>
          </cell>
          <cell r="B14">
            <v>9</v>
          </cell>
          <cell r="C14" t="str">
            <v>ARL SURA</v>
          </cell>
        </row>
        <row r="15">
          <cell r="A15">
            <v>860503617</v>
          </cell>
          <cell r="B15">
            <v>3</v>
          </cell>
          <cell r="C15" t="str">
            <v>ARP ALFA</v>
          </cell>
        </row>
        <row r="16">
          <cell r="A16">
            <v>82600725</v>
          </cell>
          <cell r="B16">
            <v>4</v>
          </cell>
          <cell r="C16" t="str">
            <v>ASFALTO SAS</v>
          </cell>
          <cell r="D16" t="str">
            <v>CL 16 11A 38 OF201</v>
          </cell>
          <cell r="E16" t="str">
            <v>6082426262</v>
          </cell>
          <cell r="F16" t="str">
            <v>Sogamoso</v>
          </cell>
        </row>
        <row r="17">
          <cell r="A17">
            <v>900319291</v>
          </cell>
          <cell r="B17">
            <v>2</v>
          </cell>
          <cell r="C17" t="str">
            <v>ASOPAGOS SA</v>
          </cell>
          <cell r="D17" t="str">
            <v>CL 65 A 7 12 PISO 3</v>
          </cell>
          <cell r="E17" t="str">
            <v>4875111</v>
          </cell>
          <cell r="F17" t="str">
            <v>Bogota D.C.</v>
          </cell>
        </row>
        <row r="18">
          <cell r="A18">
            <v>901354980</v>
          </cell>
          <cell r="B18">
            <v>0</v>
          </cell>
          <cell r="C18" t="str">
            <v>ATECHNOLOGY SAS</v>
          </cell>
          <cell r="D18" t="str">
            <v>DG 77 B 116 B 55 IN A APT 301</v>
          </cell>
          <cell r="E18" t="str">
            <v>3004382337</v>
          </cell>
          <cell r="F18" t="str">
            <v>Bogota D.C.</v>
          </cell>
        </row>
        <row r="19">
          <cell r="A19">
            <v>901395372</v>
          </cell>
          <cell r="B19">
            <v>8</v>
          </cell>
          <cell r="C19" t="str">
            <v>BADIZ S.A.S</v>
          </cell>
          <cell r="D19" t="str">
            <v>CL 25 19 75</v>
          </cell>
          <cell r="E19" t="str">
            <v>3144158819</v>
          </cell>
          <cell r="F19" t="str">
            <v>Paipa</v>
          </cell>
        </row>
        <row r="20">
          <cell r="A20">
            <v>800037800</v>
          </cell>
          <cell r="B20">
            <v>8</v>
          </cell>
          <cell r="C20" t="str">
            <v>BANCO AGRARIO DE COLOMBIA</v>
          </cell>
        </row>
        <row r="21">
          <cell r="A21">
            <v>860035827</v>
          </cell>
          <cell r="B21">
            <v>5</v>
          </cell>
          <cell r="C21" t="str">
            <v>BANCO AV VILLAS</v>
          </cell>
        </row>
        <row r="22">
          <cell r="A22">
            <v>860003020</v>
          </cell>
          <cell r="B22">
            <v>1</v>
          </cell>
          <cell r="C22" t="str">
            <v>BANCO BBVA</v>
          </cell>
        </row>
        <row r="23">
          <cell r="A23">
            <v>860007335</v>
          </cell>
          <cell r="B23">
            <v>4</v>
          </cell>
          <cell r="C23" t="str">
            <v>BANCO CAJA SOCIAL BCSC</v>
          </cell>
        </row>
        <row r="24">
          <cell r="A24">
            <v>860034594</v>
          </cell>
          <cell r="B24">
            <v>1</v>
          </cell>
          <cell r="C24" t="str">
            <v>BANCO COLPATRIA</v>
          </cell>
        </row>
        <row r="25">
          <cell r="A25">
            <v>860034313</v>
          </cell>
          <cell r="B25">
            <v>7</v>
          </cell>
          <cell r="C25" t="str">
            <v>BANCO DAVIVIENDA</v>
          </cell>
        </row>
        <row r="26">
          <cell r="A26">
            <v>860002964</v>
          </cell>
          <cell r="B26">
            <v>4</v>
          </cell>
          <cell r="C26" t="str">
            <v>BANCO DE BOGOTÁ</v>
          </cell>
        </row>
        <row r="27">
          <cell r="A27">
            <v>860007660</v>
          </cell>
          <cell r="B27">
            <v>3</v>
          </cell>
          <cell r="C27" t="str">
            <v>BANCO DE CRÉDITO DE COLOMBIA</v>
          </cell>
        </row>
        <row r="28">
          <cell r="A28">
            <v>890300279</v>
          </cell>
          <cell r="B28">
            <v>4</v>
          </cell>
          <cell r="C28" t="str">
            <v>BANCO DE OCCIDENTE</v>
          </cell>
        </row>
        <row r="29">
          <cell r="A29">
            <v>860050750</v>
          </cell>
          <cell r="B29">
            <v>1</v>
          </cell>
          <cell r="C29" t="str">
            <v>BANCO GNB SUDAMERIS</v>
          </cell>
        </row>
        <row r="30">
          <cell r="A30">
            <v>860007738</v>
          </cell>
          <cell r="B30">
            <v>9</v>
          </cell>
          <cell r="C30" t="str">
            <v>BANCO POPULAR</v>
          </cell>
        </row>
        <row r="31">
          <cell r="A31">
            <v>890903937</v>
          </cell>
          <cell r="B31">
            <v>0</v>
          </cell>
          <cell r="C31" t="str">
            <v>BANCO SANTANDER</v>
          </cell>
        </row>
        <row r="32">
          <cell r="A32">
            <v>890903938</v>
          </cell>
          <cell r="B32">
            <v>8</v>
          </cell>
          <cell r="C32" t="str">
            <v>BANCOLOMBIA</v>
          </cell>
        </row>
        <row r="33">
          <cell r="A33">
            <v>800147502</v>
          </cell>
          <cell r="B33">
            <v>1</v>
          </cell>
          <cell r="C33" t="str">
            <v>BBVA HORIZONTE AFPC</v>
          </cell>
        </row>
        <row r="34">
          <cell r="A34">
            <v>800240882</v>
          </cell>
          <cell r="B34">
            <v>0</v>
          </cell>
          <cell r="C34" t="str">
            <v>BBVA SEGUROS DE VIDA COLOMBIA S.A.</v>
          </cell>
        </row>
        <row r="35">
          <cell r="A35">
            <v>891855193</v>
          </cell>
          <cell r="B35">
            <v>5</v>
          </cell>
          <cell r="C35" t="str">
            <v>BENEMERITO CUERPO DE BOMBEROS VOLUNTARIOS DE DUITAMA</v>
          </cell>
          <cell r="D35" t="str">
            <v>CR 15 10 51</v>
          </cell>
          <cell r="E35" t="str">
            <v>7604111</v>
          </cell>
          <cell r="F35" t="str">
            <v>Duitama</v>
          </cell>
        </row>
        <row r="36">
          <cell r="A36">
            <v>860013570</v>
          </cell>
          <cell r="B36">
            <v>3</v>
          </cell>
          <cell r="C36" t="str">
            <v>CAFAM</v>
          </cell>
        </row>
        <row r="37">
          <cell r="A37">
            <v>800003122</v>
          </cell>
          <cell r="B37">
            <v>6</v>
          </cell>
          <cell r="C37" t="str">
            <v>CAFAMAZ CAJA DE COMPENSACION FAMILIAR DEL AMAZONAS</v>
          </cell>
        </row>
        <row r="38">
          <cell r="A38">
            <v>890704737</v>
          </cell>
          <cell r="B38">
            <v>0</v>
          </cell>
          <cell r="C38" t="str">
            <v>CAFASUR CCF DEL SUR DEL TOLIMA</v>
          </cell>
        </row>
        <row r="39">
          <cell r="A39">
            <v>800140949</v>
          </cell>
          <cell r="B39">
            <v>6</v>
          </cell>
          <cell r="C39" t="str">
            <v>CAFESALUD EPS</v>
          </cell>
        </row>
        <row r="40">
          <cell r="A40">
            <v>890102044</v>
          </cell>
          <cell r="B40">
            <v>1</v>
          </cell>
          <cell r="C40" t="str">
            <v>CAJA DE COMPENSACION FAMILIAR CAJACOPI ATLANTICO</v>
          </cell>
        </row>
        <row r="41">
          <cell r="A41">
            <v>890500516</v>
          </cell>
          <cell r="B41">
            <v>3</v>
          </cell>
          <cell r="C41" t="str">
            <v>CAJA DE COMPENSACION FAMILIAR COMFANORTE</v>
          </cell>
        </row>
        <row r="42">
          <cell r="A42">
            <v>890900841</v>
          </cell>
          <cell r="B42">
            <v>9</v>
          </cell>
          <cell r="C42" t="str">
            <v>CAJA DE COMPENSACION FAMILIAR DE ANTIOQUIA</v>
          </cell>
        </row>
        <row r="43">
          <cell r="A43">
            <v>890270275</v>
          </cell>
          <cell r="B43">
            <v>5</v>
          </cell>
          <cell r="C43" t="str">
            <v>CAJA DE COMPENSACION FAMILIAR DE BARRANCABERMEJA</v>
          </cell>
        </row>
        <row r="44">
          <cell r="A44">
            <v>890806490</v>
          </cell>
          <cell r="B44">
            <v>5</v>
          </cell>
          <cell r="C44" t="str">
            <v>CAJA DE COMPENSACION FAMILIAR DE CALDAS</v>
          </cell>
        </row>
        <row r="45">
          <cell r="A45">
            <v>892115006</v>
          </cell>
          <cell r="B45">
            <v>5</v>
          </cell>
          <cell r="C45" t="str">
            <v>CAJA DE COMPENSACION FAMILIAR DE LA GUAJIRA</v>
          </cell>
        </row>
        <row r="46">
          <cell r="A46">
            <v>891280008</v>
          </cell>
          <cell r="B46">
            <v>1</v>
          </cell>
          <cell r="C46" t="str">
            <v>CAJA DE COMPENSACION FAMILIAR DE NARIÑO</v>
          </cell>
        </row>
        <row r="47">
          <cell r="A47">
            <v>892200015</v>
          </cell>
          <cell r="B47">
            <v>5</v>
          </cell>
          <cell r="C47" t="str">
            <v>CAJA DE COMPENSACION FAMILIAR DE SUCRE</v>
          </cell>
        </row>
        <row r="48">
          <cell r="A48">
            <v>890480110</v>
          </cell>
          <cell r="B48">
            <v>1</v>
          </cell>
          <cell r="C48" t="str">
            <v>CAJA DE COMPENSACION FAMILIAR DED CARTAGENA</v>
          </cell>
        </row>
        <row r="49">
          <cell r="A49">
            <v>892399989</v>
          </cell>
          <cell r="B49">
            <v>8</v>
          </cell>
          <cell r="C49" t="str">
            <v>CAJA DE COMPENSACION FAMILIAR DEL CESAR</v>
          </cell>
        </row>
        <row r="50">
          <cell r="A50">
            <v>891780093</v>
          </cell>
          <cell r="B50">
            <v>3</v>
          </cell>
          <cell r="C50" t="str">
            <v>CAJA DE COMPENSACION FAMILIAR DEL MAGDALENA</v>
          </cell>
        </row>
        <row r="51">
          <cell r="A51">
            <v>890500675</v>
          </cell>
          <cell r="B51">
            <v>6</v>
          </cell>
          <cell r="C51" t="str">
            <v>CAJA DE COMPENSACION FAMILIAR DEL ORIENTE</v>
          </cell>
        </row>
        <row r="52">
          <cell r="A52">
            <v>891200337</v>
          </cell>
          <cell r="B52">
            <v>8</v>
          </cell>
          <cell r="C52" t="str">
            <v>CAJA DE COMPENSACION FAMILIAR DEL PUTUMAYO</v>
          </cell>
        </row>
        <row r="53">
          <cell r="A53">
            <v>901543211</v>
          </cell>
          <cell r="B53">
            <v>6</v>
          </cell>
          <cell r="C53" t="str">
            <v>CAJACOPI EPS S.A.S</v>
          </cell>
          <cell r="D53" t="str">
            <v>CL 44  CR 46 16</v>
          </cell>
          <cell r="F53" t="str">
            <v>Barranquilla</v>
          </cell>
        </row>
        <row r="54">
          <cell r="A54">
            <v>899999010</v>
          </cell>
          <cell r="B54">
            <v>3</v>
          </cell>
          <cell r="C54" t="str">
            <v>CAJANAL EPS</v>
          </cell>
        </row>
        <row r="55">
          <cell r="A55">
            <v>892400320</v>
          </cell>
          <cell r="B55">
            <v>5</v>
          </cell>
          <cell r="C55" t="str">
            <v>CAJASAI</v>
          </cell>
        </row>
        <row r="56">
          <cell r="A56">
            <v>-890200106</v>
          </cell>
          <cell r="B56">
            <v>6</v>
          </cell>
          <cell r="C56" t="str">
            <v>CAJASAN</v>
          </cell>
        </row>
        <row r="57">
          <cell r="A57">
            <v>805004565</v>
          </cell>
          <cell r="B57">
            <v>8</v>
          </cell>
          <cell r="C57" t="str">
            <v>CALISALUD EPS</v>
          </cell>
        </row>
        <row r="58">
          <cell r="A58">
            <v>890900840</v>
          </cell>
          <cell r="B58">
            <v>1</v>
          </cell>
          <cell r="C58" t="str">
            <v>CAMACOL</v>
          </cell>
        </row>
        <row r="59">
          <cell r="A59">
            <v>891855025</v>
          </cell>
          <cell r="B59">
            <v>6</v>
          </cell>
          <cell r="C59" t="str">
            <v>CAMARA DE COMERCIO DE DUITAMA</v>
          </cell>
          <cell r="D59" t="str">
            <v>TV 19 23 141</v>
          </cell>
          <cell r="E59" t="str">
            <v>7602596</v>
          </cell>
          <cell r="F59" t="str">
            <v>Duitama</v>
          </cell>
        </row>
        <row r="60">
          <cell r="A60">
            <v>901333307</v>
          </cell>
          <cell r="B60">
            <v>3</v>
          </cell>
          <cell r="C60" t="str">
            <v>CANTERA SAN JOSE MINERIA Y MATERIALES S.A.S</v>
          </cell>
          <cell r="D60" t="str">
            <v>CL 17 A 16A 15 URB ESTACION DE ALEJANDRIA</v>
          </cell>
          <cell r="E60" t="str">
            <v>3154521525</v>
          </cell>
          <cell r="F60" t="str">
            <v>Paipa</v>
          </cell>
        </row>
        <row r="61">
          <cell r="A61">
            <v>899999026</v>
          </cell>
          <cell r="B61">
            <v>0</v>
          </cell>
          <cell r="C61" t="str">
            <v>CAPRECOM</v>
          </cell>
        </row>
        <row r="62">
          <cell r="A62">
            <v>891856000</v>
          </cell>
          <cell r="B62">
            <v>0</v>
          </cell>
          <cell r="C62" t="str">
            <v>CAPRESOCA EPS</v>
          </cell>
        </row>
        <row r="63">
          <cell r="A63">
            <v>860007379</v>
          </cell>
          <cell r="B63">
            <v>8</v>
          </cell>
          <cell r="C63" t="str">
            <v>CAXDAC</v>
          </cell>
        </row>
        <row r="64">
          <cell r="A64">
            <v>800242586</v>
          </cell>
          <cell r="B64">
            <v>4</v>
          </cell>
          <cell r="C64" t="str">
            <v>CENTRAL DE DOTACIONES S.A.S</v>
          </cell>
          <cell r="D64" t="str">
            <v>CL 14 18 82</v>
          </cell>
          <cell r="E64" t="str">
            <v>7602310</v>
          </cell>
          <cell r="F64" t="str">
            <v>Duitama</v>
          </cell>
        </row>
        <row r="65">
          <cell r="A65">
            <v>901041174</v>
          </cell>
          <cell r="B65">
            <v>7</v>
          </cell>
          <cell r="C65" t="str">
            <v>CENTRAL DE TRITURADOS S.A.S.</v>
          </cell>
          <cell r="D65" t="str">
            <v>CR 10 B 134A 35 OF 401</v>
          </cell>
          <cell r="E65" t="str">
            <v>3133927151</v>
          </cell>
          <cell r="F65" t="str">
            <v>Bogota D.C.</v>
          </cell>
        </row>
        <row r="66">
          <cell r="A66">
            <v>901230211</v>
          </cell>
          <cell r="B66">
            <v>2</v>
          </cell>
          <cell r="C66" t="str">
            <v>CENTRO COMERCIAL Y APARTAMENTOS SENDERO PLAZA</v>
          </cell>
          <cell r="D66" t="str">
            <v>CL 24 19 131</v>
          </cell>
          <cell r="F66" t="str">
            <v>Paipa</v>
          </cell>
        </row>
        <row r="67">
          <cell r="A67">
            <v>900291230</v>
          </cell>
          <cell r="B67">
            <v>1</v>
          </cell>
          <cell r="C67" t="str">
            <v>CENTRO DE ATENCION REINA MARIA LTDA</v>
          </cell>
          <cell r="D67" t="str">
            <v>CL 16 18 44</v>
          </cell>
          <cell r="E67" t="str">
            <v>7651038</v>
          </cell>
          <cell r="F67" t="str">
            <v>Duitama</v>
          </cell>
        </row>
        <row r="68">
          <cell r="A68">
            <v>826002292</v>
          </cell>
          <cell r="B68">
            <v>1</v>
          </cell>
          <cell r="C68" t="str">
            <v>CENTRO INDUSTRIAL COOPERATIVO DE ALFAREROS DE SOGAMOSO</v>
          </cell>
          <cell r="D68" t="str">
            <v>KM 3 CAR SOGAMOSO-MORCA VDA OMBACHITA</v>
          </cell>
          <cell r="F68" t="str">
            <v>Sogamoso</v>
          </cell>
        </row>
        <row r="69">
          <cell r="A69">
            <v>860051135</v>
          </cell>
          <cell r="B69">
            <v>4</v>
          </cell>
          <cell r="C69" t="str">
            <v>CITIBANK</v>
          </cell>
        </row>
        <row r="70">
          <cell r="A70">
            <v>901293343</v>
          </cell>
          <cell r="B70">
            <v>6</v>
          </cell>
          <cell r="C70" t="str">
            <v>COCINAS NUEVAS TENDENCIAS S.A.S</v>
          </cell>
          <cell r="D70" t="str">
            <v>CR 16 19 28 BRR VATICANO</v>
          </cell>
          <cell r="E70" t="str">
            <v>3112283531</v>
          </cell>
          <cell r="F70" t="str">
            <v>Duitama</v>
          </cell>
        </row>
        <row r="71">
          <cell r="A71">
            <v>892000146</v>
          </cell>
          <cell r="B71">
            <v>3</v>
          </cell>
          <cell r="C71" t="str">
            <v>COFREM META</v>
          </cell>
        </row>
        <row r="72">
          <cell r="A72">
            <v>800149496</v>
          </cell>
          <cell r="B72">
            <v>2</v>
          </cell>
          <cell r="C72" t="str">
            <v>COLFONDOS S.A. AFPC</v>
          </cell>
        </row>
        <row r="73">
          <cell r="A73">
            <v>830113831</v>
          </cell>
          <cell r="B73">
            <v>0</v>
          </cell>
          <cell r="C73" t="str">
            <v>COLMEDICA EPS</v>
          </cell>
        </row>
        <row r="74">
          <cell r="A74">
            <v>800226175</v>
          </cell>
          <cell r="B74">
            <v>3</v>
          </cell>
          <cell r="C74" t="str">
            <v>COLMENA RIESGOS PROFESIONALES</v>
          </cell>
        </row>
        <row r="75">
          <cell r="A75">
            <v>890900943</v>
          </cell>
          <cell r="B75">
            <v>1</v>
          </cell>
          <cell r="C75" t="str">
            <v>COLOMBIANA DE COMERCIO S.A-</v>
          </cell>
          <cell r="D75" t="str">
            <v>AV UNIVERSITARIA 50 21 LC 2</v>
          </cell>
          <cell r="E75" t="str">
            <v>4376868</v>
          </cell>
          <cell r="F75" t="str">
            <v>Bogota D.C.</v>
          </cell>
        </row>
        <row r="76">
          <cell r="A76">
            <v>900336004</v>
          </cell>
          <cell r="B76">
            <v>7</v>
          </cell>
          <cell r="C76" t="str">
            <v>COLPENSIONES</v>
          </cell>
        </row>
        <row r="77">
          <cell r="A77">
            <v>890102002</v>
          </cell>
          <cell r="B77">
            <v>2</v>
          </cell>
          <cell r="C77" t="str">
            <v>COMBARRANQUILLA</v>
          </cell>
        </row>
        <row r="78">
          <cell r="A78">
            <v>800231969</v>
          </cell>
          <cell r="B78">
            <v>4</v>
          </cell>
          <cell r="C78" t="str">
            <v>COMCAJA</v>
          </cell>
        </row>
        <row r="79">
          <cell r="A79">
            <v>800239064</v>
          </cell>
          <cell r="B79">
            <v>0</v>
          </cell>
          <cell r="C79" t="str">
            <v>COMERCIALIZADORA INTERNACIONAL DE LLANTAS S.A.S</v>
          </cell>
          <cell r="D79" t="str">
            <v>CR 25 1 A SUR 155 OF 255</v>
          </cell>
          <cell r="E79" t="str">
            <v>44446646</v>
          </cell>
          <cell r="F79" t="str">
            <v>Medellín</v>
          </cell>
        </row>
        <row r="80">
          <cell r="A80">
            <v>901144210</v>
          </cell>
          <cell r="B80">
            <v>7</v>
          </cell>
          <cell r="C80" t="str">
            <v>COMERCIALIZADORA RIANDE SAS</v>
          </cell>
          <cell r="D80" t="str">
            <v>CR 18 12 47</v>
          </cell>
          <cell r="E80" t="str">
            <v>3174311125</v>
          </cell>
          <cell r="F80" t="str">
            <v>Tunja</v>
          </cell>
        </row>
        <row r="81">
          <cell r="A81">
            <v>891190047</v>
          </cell>
          <cell r="B81">
            <v>2</v>
          </cell>
          <cell r="C81" t="str">
            <v>COMFACA</v>
          </cell>
        </row>
        <row r="82">
          <cell r="A82">
            <v>844003392</v>
          </cell>
          <cell r="B82">
            <v>8</v>
          </cell>
          <cell r="C82" t="str">
            <v>COMFACASANARE</v>
          </cell>
        </row>
        <row r="83">
          <cell r="A83">
            <v>891500182</v>
          </cell>
          <cell r="B83">
            <v>0</v>
          </cell>
          <cell r="C83" t="str">
            <v>COMFACAUCA</v>
          </cell>
        </row>
        <row r="84">
          <cell r="A84">
            <v>891600091</v>
          </cell>
          <cell r="B84">
            <v>8</v>
          </cell>
          <cell r="C84" t="str">
            <v>COMFACHOCO EPS S</v>
          </cell>
        </row>
        <row r="85">
          <cell r="A85">
            <v>891080005</v>
          </cell>
          <cell r="B85">
            <v>1</v>
          </cell>
          <cell r="C85" t="str">
            <v>COMFACOR EPS S</v>
          </cell>
        </row>
        <row r="86">
          <cell r="A86">
            <v>890101994</v>
          </cell>
          <cell r="B86">
            <v>9</v>
          </cell>
          <cell r="C86" t="str">
            <v>COMFAMILIAR ATLANTICO</v>
          </cell>
        </row>
        <row r="87">
          <cell r="A87">
            <v>891180008</v>
          </cell>
          <cell r="B87">
            <v>2</v>
          </cell>
          <cell r="C87" t="str">
            <v>COMFAMILIAR HUILA EPS - CCF</v>
          </cell>
        </row>
        <row r="88">
          <cell r="A88">
            <v>891480000</v>
          </cell>
          <cell r="B88">
            <v>1</v>
          </cell>
          <cell r="C88" t="str">
            <v>COMFAMILIAR RISARALDA</v>
          </cell>
        </row>
        <row r="89">
          <cell r="A89">
            <v>890303208</v>
          </cell>
          <cell r="B89">
            <v>5</v>
          </cell>
          <cell r="C89" t="str">
            <v>COMFANDI</v>
          </cell>
        </row>
        <row r="90">
          <cell r="A90">
            <v>800211025</v>
          </cell>
          <cell r="B90">
            <v>1</v>
          </cell>
          <cell r="C90" t="str">
            <v>COMFATOLIMA</v>
          </cell>
        </row>
        <row r="91">
          <cell r="A91">
            <v>890900842</v>
          </cell>
          <cell r="B91">
            <v>6</v>
          </cell>
          <cell r="C91" t="str">
            <v>COMFENALCO ANTIOQUIA</v>
          </cell>
        </row>
        <row r="92">
          <cell r="A92">
            <v>890480023</v>
          </cell>
          <cell r="B92">
            <v>7</v>
          </cell>
          <cell r="C92" t="str">
            <v>COMFENALCO CARTAGENA</v>
          </cell>
        </row>
        <row r="93">
          <cell r="A93">
            <v>890000381</v>
          </cell>
          <cell r="B93">
            <v>0</v>
          </cell>
          <cell r="C93" t="str">
            <v>COMFENALCO QUINDIO</v>
          </cell>
        </row>
        <row r="94">
          <cell r="A94">
            <v>890201578</v>
          </cell>
          <cell r="B94">
            <v>7</v>
          </cell>
          <cell r="C94" t="str">
            <v>COMFENALCO SANTANDER</v>
          </cell>
        </row>
        <row r="95">
          <cell r="A95">
            <v>890700148</v>
          </cell>
          <cell r="B95">
            <v>4</v>
          </cell>
          <cell r="C95" t="str">
            <v>COMFENALCO TOLIMA</v>
          </cell>
        </row>
        <row r="96">
          <cell r="A96">
            <v>890303093</v>
          </cell>
          <cell r="B96">
            <v>5</v>
          </cell>
          <cell r="C96" t="str">
            <v>COMFENALCO VALLE EPS</v>
          </cell>
        </row>
        <row r="97">
          <cell r="A97">
            <v>800219488</v>
          </cell>
          <cell r="B97">
            <v>4</v>
          </cell>
          <cell r="C97" t="str">
            <v>COMFIAR CAJA DE COMPENSACION FAMILIAR DE ARAUCA</v>
          </cell>
        </row>
        <row r="98">
          <cell r="A98">
            <v>826000089</v>
          </cell>
          <cell r="B98">
            <v>1</v>
          </cell>
          <cell r="C98" t="str">
            <v>COMPAÑÍA COLOMBIANA DE CONCRETOS S.A</v>
          </cell>
          <cell r="D98" t="str">
            <v>CR 10 B 134 A 35 AP 401</v>
          </cell>
          <cell r="E98" t="str">
            <v>3133927151</v>
          </cell>
          <cell r="F98" t="str">
            <v>Bogota D.C.</v>
          </cell>
        </row>
        <row r="99">
          <cell r="A99">
            <v>860002503</v>
          </cell>
          <cell r="B99">
            <v>2</v>
          </cell>
          <cell r="C99" t="str">
            <v>COMPAÑÍA DE SEGUROS BOLIVAR SA</v>
          </cell>
        </row>
        <row r="100">
          <cell r="A100">
            <v>900749886</v>
          </cell>
          <cell r="B100">
            <v>9</v>
          </cell>
          <cell r="C100" t="str">
            <v>COMPAÑÍA EMPRESARIAL RINCON SOCIEDAD POR ACCIONES SIMPLIFICADA</v>
          </cell>
          <cell r="D100" t="str">
            <v>CL 6 18 79</v>
          </cell>
          <cell r="E100" t="str">
            <v>3102539336</v>
          </cell>
          <cell r="F100" t="str">
            <v>Duitama</v>
          </cell>
        </row>
        <row r="101">
          <cell r="A101">
            <v>860066942</v>
          </cell>
          <cell r="B101">
            <v>7</v>
          </cell>
          <cell r="C101" t="str">
            <v>COMPENSAR EPS</v>
          </cell>
        </row>
        <row r="102">
          <cell r="A102">
            <v>901573440</v>
          </cell>
          <cell r="B102">
            <v>4</v>
          </cell>
          <cell r="C102" t="str">
            <v>COMPUREDES BOYACA SAS</v>
          </cell>
          <cell r="D102" t="str">
            <v>CL 24 17 A 16 BRR LAS QUINTAS</v>
          </cell>
          <cell r="E102" t="str">
            <v>3164501924</v>
          </cell>
          <cell r="F102" t="str">
            <v>Paipa</v>
          </cell>
        </row>
        <row r="103">
          <cell r="A103">
            <v>814000608</v>
          </cell>
          <cell r="B103">
            <v>0</v>
          </cell>
          <cell r="C103" t="str">
            <v>CONDOR EPS</v>
          </cell>
        </row>
        <row r="104">
          <cell r="A104">
            <v>901542484</v>
          </cell>
          <cell r="B104">
            <v>5</v>
          </cell>
          <cell r="C104" t="str">
            <v>CONSTRUCTORA MARASHA GREEN SAS</v>
          </cell>
          <cell r="D104" t="str">
            <v>CL 7 5 45</v>
          </cell>
          <cell r="E104" t="str">
            <v>6053148757</v>
          </cell>
          <cell r="F104" t="str">
            <v>Puerto Colombia</v>
          </cell>
        </row>
        <row r="105">
          <cell r="A105">
            <v>901106206</v>
          </cell>
          <cell r="B105">
            <v>5</v>
          </cell>
          <cell r="C105" t="str">
            <v>CONSULTORIA Y COMERCIALIZADORA DAZA RAMIREZ S.A.S</v>
          </cell>
          <cell r="D105" t="str">
            <v>CR 19 24 17</v>
          </cell>
          <cell r="E105" t="str">
            <v>8785144</v>
          </cell>
          <cell r="F105" t="str">
            <v>Paipa</v>
          </cell>
        </row>
        <row r="106">
          <cell r="A106">
            <v>899999107</v>
          </cell>
          <cell r="B106">
            <v>9</v>
          </cell>
          <cell r="C106" t="str">
            <v>CONVIDA</v>
          </cell>
        </row>
        <row r="107">
          <cell r="A107">
            <v>805000427</v>
          </cell>
          <cell r="B107">
            <v>1</v>
          </cell>
          <cell r="C107" t="str">
            <v>COOMEVA EPS</v>
          </cell>
        </row>
        <row r="108">
          <cell r="A108">
            <v>900226715</v>
          </cell>
          <cell r="B108">
            <v>3</v>
          </cell>
          <cell r="C108" t="str">
            <v>COOSALUD ENTIDAD PROMOTORA DE SALUD SA</v>
          </cell>
          <cell r="D108" t="str">
            <v>CR 2 11  PISO 8</v>
          </cell>
          <cell r="E108" t="str">
            <v>018000515611</v>
          </cell>
          <cell r="F108" t="str">
            <v>Cartagena</v>
          </cell>
        </row>
        <row r="109">
          <cell r="A109">
            <v>830063800</v>
          </cell>
          <cell r="B109">
            <v>7</v>
          </cell>
          <cell r="C109" t="str">
            <v>COVAL COMERCIAL S.A.S</v>
          </cell>
          <cell r="D109" t="str">
            <v>CL 2 240 LOTE 3 MODULO C VEREDA SAN LORENZO</v>
          </cell>
          <cell r="E109" t="str">
            <v>3102114123</v>
          </cell>
          <cell r="F109" t="str">
            <v>Duitama</v>
          </cell>
        </row>
        <row r="110">
          <cell r="A110">
            <v>830009783</v>
          </cell>
          <cell r="B110">
            <v>0</v>
          </cell>
          <cell r="C110" t="str">
            <v>CRUZ BLANCA EPS</v>
          </cell>
        </row>
        <row r="111">
          <cell r="A111">
            <v>900286962</v>
          </cell>
          <cell r="B111">
            <v>2</v>
          </cell>
          <cell r="C111" t="str">
            <v>D1 S.A.S</v>
          </cell>
          <cell r="D111" t="str">
            <v>CR 7 155 C 30</v>
          </cell>
          <cell r="E111" t="str">
            <v>2541055</v>
          </cell>
          <cell r="F111" t="str">
            <v>Paipa</v>
          </cell>
        </row>
        <row r="112">
          <cell r="A112">
            <v>891800498</v>
          </cell>
          <cell r="B112">
            <v>1</v>
          </cell>
          <cell r="C112" t="str">
            <v>DEPARTAMENTO DE BOYACA</v>
          </cell>
          <cell r="D112" t="str">
            <v>CL 20 9 90 PALACIO DE LA TORRE</v>
          </cell>
          <cell r="E112" t="str">
            <v>7420150</v>
          </cell>
          <cell r="F112" t="str">
            <v>Tunja</v>
          </cell>
        </row>
        <row r="113">
          <cell r="A113">
            <v>800197268</v>
          </cell>
          <cell r="B113">
            <v>4</v>
          </cell>
          <cell r="C113" t="str">
            <v>DIRECCION DE IMPUESTOS Y ADUANAS NACIONALES</v>
          </cell>
          <cell r="D113" t="str">
            <v>CR 8 6C 38</v>
          </cell>
          <cell r="F113" t="str">
            <v>Bogota D.C.</v>
          </cell>
        </row>
        <row r="114">
          <cell r="A114">
            <v>901062064</v>
          </cell>
          <cell r="B114">
            <v>5</v>
          </cell>
          <cell r="C114" t="str">
            <v>DISTRIAGROS SAS</v>
          </cell>
          <cell r="D114" t="str">
            <v>CL 24 24 44</v>
          </cell>
          <cell r="E114" t="str">
            <v>3155979276</v>
          </cell>
          <cell r="F114" t="str">
            <v>Paipa</v>
          </cell>
        </row>
        <row r="115">
          <cell r="A115">
            <v>900412256</v>
          </cell>
          <cell r="B115">
            <v>1</v>
          </cell>
          <cell r="C115" t="str">
            <v>DISTRIBUIDORA FERREACEROS SAS</v>
          </cell>
          <cell r="D115" t="str">
            <v>CL 22 40 08</v>
          </cell>
          <cell r="E115" t="str">
            <v>3123113434</v>
          </cell>
          <cell r="F115" t="str">
            <v>Duitama</v>
          </cell>
        </row>
        <row r="116">
          <cell r="A116">
            <v>830112333</v>
          </cell>
          <cell r="B116">
            <v>1</v>
          </cell>
          <cell r="C116" t="str">
            <v>DISTRIBUIDORA METROCERAMICAS S.A.S</v>
          </cell>
          <cell r="D116" t="str">
            <v>AUT NORTE 138 83</v>
          </cell>
          <cell r="E116" t="str">
            <v>6019172221</v>
          </cell>
          <cell r="F116" t="str">
            <v>Bogota D.C.</v>
          </cell>
        </row>
        <row r="117">
          <cell r="A117">
            <v>901263126</v>
          </cell>
          <cell r="B117">
            <v>6</v>
          </cell>
          <cell r="C117" t="str">
            <v>DOCTOR DRYWALL L.A SAS</v>
          </cell>
          <cell r="D117" t="str">
            <v>CL 70 90B 23</v>
          </cell>
          <cell r="E117" t="str">
            <v>3118082505</v>
          </cell>
          <cell r="F117" t="str">
            <v>Bogota D.C.</v>
          </cell>
        </row>
        <row r="118">
          <cell r="A118">
            <v>900972985</v>
          </cell>
          <cell r="B118">
            <v>4</v>
          </cell>
          <cell r="C118" t="str">
            <v>DOTACIONES BOYACA SEGURIDAD INDUSTRIAL S.A.S</v>
          </cell>
          <cell r="D118" t="str">
            <v>CR 11 No 11 25</v>
          </cell>
          <cell r="E118" t="str">
            <v>7430559</v>
          </cell>
          <cell r="F118" t="str">
            <v>Tunja</v>
          </cell>
        </row>
        <row r="119">
          <cell r="A119">
            <v>901138291</v>
          </cell>
          <cell r="B119">
            <v>9</v>
          </cell>
          <cell r="C119" t="str">
            <v>E.D.S ESTACION LA TURISTICA DE PAIPA S.A.S</v>
          </cell>
          <cell r="D119" t="str">
            <v>CR 19 26 45</v>
          </cell>
          <cell r="E119" t="str">
            <v>7855945</v>
          </cell>
          <cell r="F119" t="str">
            <v>Paipa</v>
          </cell>
        </row>
        <row r="120">
          <cell r="A120">
            <v>900009701</v>
          </cell>
          <cell r="B120">
            <v>0</v>
          </cell>
          <cell r="C120" t="str">
            <v>ECONORTE DISEÑOS E IMPLEMENTOS Y PRODUCTOS LIMITADA</v>
          </cell>
          <cell r="D120" t="str">
            <v>KM 1 VIA ZIPAQUIRA VDA PORTACHUELO PAR INDUSTRIAL ZUMA BG 38</v>
          </cell>
          <cell r="E120" t="str">
            <v>3142944404</v>
          </cell>
          <cell r="F120" t="str">
            <v>Zipaquirá</v>
          </cell>
        </row>
        <row r="121">
          <cell r="A121">
            <v>805015703</v>
          </cell>
          <cell r="B121">
            <v>5</v>
          </cell>
          <cell r="C121" t="str">
            <v>EDIL ANDINA SAS</v>
          </cell>
          <cell r="D121" t="str">
            <v>CL 166 20 45</v>
          </cell>
          <cell r="E121" t="str">
            <v>4880055</v>
          </cell>
          <cell r="F121" t="str">
            <v>Bogota D.C.</v>
          </cell>
        </row>
        <row r="122">
          <cell r="A122">
            <v>900581542</v>
          </cell>
          <cell r="B122">
            <v>7</v>
          </cell>
          <cell r="C122" t="str">
            <v>EL FARO ELECTRICO SAS</v>
          </cell>
          <cell r="D122" t="str">
            <v>CR 25 8 15</v>
          </cell>
          <cell r="E122" t="str">
            <v>3162085676</v>
          </cell>
          <cell r="F122" t="str">
            <v>Duitama</v>
          </cell>
        </row>
        <row r="123">
          <cell r="A123">
            <v>891800219</v>
          </cell>
          <cell r="C123" t="str">
            <v>EMPRESA DE ENERGIA DE BOYACA S.A E.S.P. EMPRESA DE SERVICIOS PUBLICOS</v>
          </cell>
          <cell r="D123" t="str">
            <v>CR 10 15 87</v>
          </cell>
          <cell r="E123" t="str">
            <v>7405000</v>
          </cell>
          <cell r="F123" t="str">
            <v>Tunja</v>
          </cell>
        </row>
        <row r="124">
          <cell r="A124">
            <v>890904996</v>
          </cell>
          <cell r="B124">
            <v>1</v>
          </cell>
          <cell r="C124" t="str">
            <v>EMPRESAS PUBLICAS DE MEDELLIN DEPARTAMENTO MEDICO</v>
          </cell>
        </row>
        <row r="125">
          <cell r="A125">
            <v>891800213</v>
          </cell>
          <cell r="B125">
            <v>8</v>
          </cell>
          <cell r="C125" t="str">
            <v>EPS COMFABOY</v>
          </cell>
        </row>
        <row r="126">
          <cell r="A126">
            <v>900013681</v>
          </cell>
          <cell r="B126">
            <v>7</v>
          </cell>
          <cell r="C126" t="str">
            <v>EUROLIFT SAS</v>
          </cell>
          <cell r="D126" t="str">
            <v>CL 12 39 71</v>
          </cell>
          <cell r="E126" t="str">
            <v>6012776103</v>
          </cell>
          <cell r="F126" t="str">
            <v>Bogota D.C.</v>
          </cell>
        </row>
        <row r="127">
          <cell r="A127">
            <v>830003564</v>
          </cell>
          <cell r="B127">
            <v>7</v>
          </cell>
          <cell r="C127" t="str">
            <v>FAMISANAR EPS CAFAM - COLSUBSIDIO</v>
          </cell>
        </row>
        <row r="128">
          <cell r="A128">
            <v>901333717</v>
          </cell>
          <cell r="B128">
            <v>1</v>
          </cell>
          <cell r="C128" t="str">
            <v>FEDESTRUCTURAS S.A.S</v>
          </cell>
          <cell r="D128" t="str">
            <v>CR 12 A 38 35 APT 301 BRR LA MARIA</v>
          </cell>
          <cell r="E128" t="str">
            <v>3124357849</v>
          </cell>
          <cell r="F128" t="str">
            <v>Tunja</v>
          </cell>
        </row>
        <row r="129">
          <cell r="A129">
            <v>800130904</v>
          </cell>
          <cell r="B129">
            <v>2</v>
          </cell>
          <cell r="C129" t="str">
            <v>FERNANDO BOHORQUEZ Y CIA S.A.S</v>
          </cell>
          <cell r="D129" t="str">
            <v>AV NORTE 50 39 BRR LA GRANJA</v>
          </cell>
          <cell r="E129" t="str">
            <v>7407810</v>
          </cell>
          <cell r="F129" t="str">
            <v>Tunja</v>
          </cell>
        </row>
        <row r="130">
          <cell r="A130">
            <v>901565948</v>
          </cell>
          <cell r="B130">
            <v>1</v>
          </cell>
          <cell r="C130" t="str">
            <v>FERREGREP S.A.S.</v>
          </cell>
        </row>
        <row r="131">
          <cell r="A131">
            <v>891855733</v>
          </cell>
          <cell r="B131">
            <v>2</v>
          </cell>
          <cell r="C131" t="str">
            <v>FERRETERIA EL COMPETIDOR LTDA</v>
          </cell>
          <cell r="D131" t="str">
            <v>CL 13 18 56</v>
          </cell>
          <cell r="E131" t="str">
            <v>3133879955</v>
          </cell>
          <cell r="F131" t="str">
            <v>Duitama</v>
          </cell>
        </row>
        <row r="132">
          <cell r="A132">
            <v>830052998</v>
          </cell>
          <cell r="B132">
            <v>9</v>
          </cell>
          <cell r="C132" t="str">
            <v>FIDEICOMISOS BBVA ASSET MANAGEMENT S.A</v>
          </cell>
        </row>
        <row r="133">
          <cell r="A133">
            <v>830126424</v>
          </cell>
          <cell r="B133">
            <v>2</v>
          </cell>
          <cell r="C133" t="str">
            <v>FONDO DE INVERSION ABIERTO BBVA EFECTIVO A - INVERSIONISTA</v>
          </cell>
        </row>
        <row r="134">
          <cell r="A134">
            <v>800112806</v>
          </cell>
          <cell r="B134">
            <v>2</v>
          </cell>
          <cell r="C134" t="str">
            <v>FONDO DE PASIVO SOCIAL DE FERROCARRILES</v>
          </cell>
        </row>
        <row r="135">
          <cell r="A135">
            <v>899999284</v>
          </cell>
          <cell r="B135">
            <v>4</v>
          </cell>
          <cell r="C135" t="str">
            <v>FONDO NACIONAL DEL AHORRO</v>
          </cell>
        </row>
        <row r="136">
          <cell r="A136">
            <v>800148959</v>
          </cell>
          <cell r="B136">
            <v>6</v>
          </cell>
          <cell r="C136" t="str">
            <v>FONDOS DE PENSIONES Y CESANTÍA SANTANDER S.A</v>
          </cell>
        </row>
        <row r="137">
          <cell r="A137">
            <v>899999734</v>
          </cell>
          <cell r="B137">
            <v>7</v>
          </cell>
          <cell r="C137" t="str">
            <v>FONPRECON</v>
          </cell>
        </row>
        <row r="138">
          <cell r="A138">
            <v>900866471</v>
          </cell>
          <cell r="B138">
            <v>7</v>
          </cell>
          <cell r="C138" t="str">
            <v>FRANJA SOLUCIONES OCUPACIONALES SAS</v>
          </cell>
          <cell r="D138" t="str">
            <v>VDA LA PRADERA SEC EL MIRADOR FCA LAS CRUCES</v>
          </cell>
          <cell r="E138" t="str">
            <v>3001660042</v>
          </cell>
          <cell r="F138" t="str">
            <v>Duitama</v>
          </cell>
        </row>
        <row r="139">
          <cell r="A139">
            <v>800130426</v>
          </cell>
          <cell r="B139">
            <v>3</v>
          </cell>
          <cell r="C139" t="str">
            <v>G Y J FERRETERIAS S.A</v>
          </cell>
          <cell r="D139" t="str">
            <v>VDA PATROCINIO</v>
          </cell>
          <cell r="E139" t="str">
            <v>3208302902</v>
          </cell>
          <cell r="F139" t="str">
            <v>Tibasosa</v>
          </cell>
        </row>
        <row r="140">
          <cell r="A140">
            <v>830045472</v>
          </cell>
          <cell r="B140">
            <v>8</v>
          </cell>
          <cell r="C140" t="str">
            <v>GAS NATURAL CUNDIBOYACENSE S.A ESP</v>
          </cell>
          <cell r="D140" t="str">
            <v>CL 72 5 68</v>
          </cell>
          <cell r="E140" t="str">
            <v>3485500</v>
          </cell>
          <cell r="F140" t="str">
            <v>Bogota D.C.</v>
          </cell>
        </row>
        <row r="141">
          <cell r="A141">
            <v>900341135</v>
          </cell>
          <cell r="B141">
            <v>3</v>
          </cell>
          <cell r="C141" t="str">
            <v>GLASSEC LTDA</v>
          </cell>
          <cell r="D141" t="str">
            <v>PARQUE INDUSTRIAL DE ORIENTE LOTE 62 MANZANA G</v>
          </cell>
          <cell r="E141" t="str">
            <v>3182870647</v>
          </cell>
          <cell r="F141" t="str">
            <v>Tunja</v>
          </cell>
        </row>
        <row r="142">
          <cell r="A142">
            <v>900618676</v>
          </cell>
          <cell r="B142">
            <v>7</v>
          </cell>
          <cell r="C142" t="str">
            <v>GLOBALPLASTICS S.A.S</v>
          </cell>
          <cell r="D142" t="str">
            <v>CL 22 A 130 48 BG 3</v>
          </cell>
          <cell r="E142" t="str">
            <v>3103240865</v>
          </cell>
          <cell r="F142" t="str">
            <v>Bogota D.C.</v>
          </cell>
        </row>
        <row r="143">
          <cell r="A143">
            <v>900072847</v>
          </cell>
          <cell r="B143">
            <v>4</v>
          </cell>
          <cell r="C143" t="str">
            <v>GNE SOLUCIONES S.A.S</v>
          </cell>
          <cell r="D143" t="str">
            <v>CR 14 99 33 PAIPA</v>
          </cell>
          <cell r="F143" t="str">
            <v>Paipa</v>
          </cell>
        </row>
        <row r="144">
          <cell r="A144">
            <v>900074992</v>
          </cell>
          <cell r="B144">
            <v>3</v>
          </cell>
          <cell r="C144" t="str">
            <v>GOLDEN GROUP EPS</v>
          </cell>
        </row>
        <row r="145">
          <cell r="A145">
            <v>901683944</v>
          </cell>
          <cell r="B145">
            <v>6</v>
          </cell>
          <cell r="C145" t="str">
            <v>GRANISTON S.A.S</v>
          </cell>
          <cell r="D145" t="str">
            <v>AV LIBERTADORES 43 110</v>
          </cell>
          <cell r="E145" t="str">
            <v>311200900</v>
          </cell>
          <cell r="F145" t="str">
            <v>Paipa</v>
          </cell>
        </row>
        <row r="146">
          <cell r="A146">
            <v>900459737</v>
          </cell>
          <cell r="B146">
            <v>5</v>
          </cell>
          <cell r="C146" t="str">
            <v>GRUPO EDS AUTOGAS S.A.S</v>
          </cell>
          <cell r="D146" t="str">
            <v>ENVIGADO CR 48 NO SUR 75 INT 129 Y 130</v>
          </cell>
          <cell r="E146" t="str">
            <v>3046071311</v>
          </cell>
          <cell r="F146" t="str">
            <v>Envigado</v>
          </cell>
        </row>
        <row r="147">
          <cell r="A147">
            <v>901902012</v>
          </cell>
          <cell r="B147">
            <v>8</v>
          </cell>
          <cell r="C147" t="str">
            <v>GRUPO VECCO S.A.S</v>
          </cell>
          <cell r="D147" t="str">
            <v>KM 3 VIA SOGAMOSO IZA</v>
          </cell>
          <cell r="E147" t="str">
            <v>3017349585</v>
          </cell>
          <cell r="F147" t="str">
            <v>Paipa</v>
          </cell>
        </row>
        <row r="148">
          <cell r="A148">
            <v>900253422</v>
          </cell>
          <cell r="B148">
            <v>5</v>
          </cell>
          <cell r="C148" t="str">
            <v>HACERCASA LTDA</v>
          </cell>
          <cell r="D148" t="str">
            <v>AK 45 128 C 47</v>
          </cell>
          <cell r="E148" t="str">
            <v>2582097</v>
          </cell>
          <cell r="F148" t="str">
            <v>Bogota D.C.</v>
          </cell>
        </row>
        <row r="149">
          <cell r="A149">
            <v>900447209</v>
          </cell>
          <cell r="B149">
            <v>6</v>
          </cell>
          <cell r="C149" t="str">
            <v>HERRERA JAIME CONSTRUCCIONES SAS</v>
          </cell>
          <cell r="D149" t="str">
            <v>CL 29 19 122</v>
          </cell>
          <cell r="F149" t="str">
            <v>Paipa</v>
          </cell>
        </row>
        <row r="150">
          <cell r="A150">
            <v>900170621</v>
          </cell>
          <cell r="B150">
            <v>7</v>
          </cell>
          <cell r="C150" t="str">
            <v>HIDROPROTECCION S A</v>
          </cell>
          <cell r="D150" t="str">
            <v>KM 1 VDA ISLA VIA LA ARGENTINA PARQUE IND EL DORADO BG 44</v>
          </cell>
          <cell r="E150" t="str">
            <v>3183470687</v>
          </cell>
          <cell r="F150" t="str">
            <v>Funza</v>
          </cell>
        </row>
        <row r="151">
          <cell r="A151">
            <v>890304099</v>
          </cell>
          <cell r="B151">
            <v>3</v>
          </cell>
          <cell r="C151" t="str">
            <v>HOTELES ESTELAR S.A</v>
          </cell>
          <cell r="D151" t="str">
            <v>A ORILLAS DEL LAGO SOCHAGOTA</v>
          </cell>
          <cell r="E151" t="str">
            <v>7625252</v>
          </cell>
          <cell r="F151" t="str">
            <v>Paipa</v>
          </cell>
        </row>
        <row r="152">
          <cell r="A152">
            <v>860050930</v>
          </cell>
          <cell r="B152">
            <v>9</v>
          </cell>
          <cell r="C152" t="str">
            <v>HSBC COLOMBIA</v>
          </cell>
        </row>
        <row r="153">
          <cell r="A153">
            <v>830006404</v>
          </cell>
          <cell r="B153">
            <v>0</v>
          </cell>
          <cell r="C153" t="str">
            <v>HUMANA VIVIR EPS</v>
          </cell>
        </row>
        <row r="154">
          <cell r="A154">
            <v>900825521</v>
          </cell>
          <cell r="B154">
            <v>1</v>
          </cell>
          <cell r="C154" t="str">
            <v>INDUICOPOR S.A.S</v>
          </cell>
          <cell r="D154" t="str">
            <v>VDA  OTRO LADO LT EL TERRENO</v>
          </cell>
          <cell r="E154" t="str">
            <v>3006561616</v>
          </cell>
          <cell r="F154" t="str">
            <v>Soracá</v>
          </cell>
        </row>
        <row r="155">
          <cell r="A155">
            <v>900394820</v>
          </cell>
          <cell r="B155">
            <v>8</v>
          </cell>
          <cell r="C155" t="str">
            <v>INDUSTRIA ALFARERA VERDE DE SOGAMOSO SAS</v>
          </cell>
          <cell r="D155" t="str">
            <v>VDA OMBACHITA</v>
          </cell>
          <cell r="F155" t="str">
            <v>Sogamoso</v>
          </cell>
        </row>
        <row r="156">
          <cell r="A156">
            <v>900937327</v>
          </cell>
          <cell r="B156">
            <v>1</v>
          </cell>
          <cell r="C156" t="str">
            <v>INDUSTRIAS OSPINA SAS</v>
          </cell>
          <cell r="D156" t="str">
            <v>CL 164 16 C 15 IN 9 APT 418 BRR TOBERIN</v>
          </cell>
          <cell r="E156" t="str">
            <v>6747926</v>
          </cell>
          <cell r="F156" t="str">
            <v>Bogota D.C.</v>
          </cell>
        </row>
        <row r="157">
          <cell r="A157">
            <v>900604334</v>
          </cell>
          <cell r="B157">
            <v>2</v>
          </cell>
          <cell r="C157" t="str">
            <v>INGELPARRA SOCIEDAD POR ACCIONES SIMPLIFICADA</v>
          </cell>
          <cell r="D157" t="str">
            <v>CL 15 18 53</v>
          </cell>
          <cell r="E157" t="str">
            <v>3212541085</v>
          </cell>
          <cell r="F157" t="str">
            <v>Paipa</v>
          </cell>
        </row>
        <row r="158">
          <cell r="A158">
            <v>800124185</v>
          </cell>
          <cell r="B158">
            <v>9</v>
          </cell>
          <cell r="C158" t="str">
            <v>INGEMEC S.A.S. .</v>
          </cell>
          <cell r="D158" t="str">
            <v>CR 10 9 64</v>
          </cell>
          <cell r="E158" t="str">
            <v>3124492510</v>
          </cell>
          <cell r="F158" t="str">
            <v>Sogamoso</v>
          </cell>
        </row>
        <row r="159">
          <cell r="A159">
            <v>800112602</v>
          </cell>
          <cell r="B159">
            <v>7</v>
          </cell>
          <cell r="C159" t="str">
            <v>INGENIERIA Y GEOLOGIA S.A.S</v>
          </cell>
          <cell r="D159" t="str">
            <v>CR 11 25 25</v>
          </cell>
          <cell r="E159" t="str">
            <v>3212701139</v>
          </cell>
          <cell r="F159" t="str">
            <v>Sogamoso</v>
          </cell>
        </row>
        <row r="160">
          <cell r="A160">
            <v>860013616</v>
          </cell>
          <cell r="B160">
            <v>1</v>
          </cell>
          <cell r="C160" t="str">
            <v>INSTITUTO DE SEGUROS SOCIALES</v>
          </cell>
        </row>
        <row r="161">
          <cell r="A161">
            <v>800251569</v>
          </cell>
          <cell r="B161">
            <v>7</v>
          </cell>
          <cell r="C161" t="str">
            <v>INTERRAPIDISIMO S.A</v>
          </cell>
          <cell r="D161" t="str">
            <v>CL 18  65 A 03</v>
          </cell>
          <cell r="F161" t="str">
            <v>Bogota D.C.</v>
          </cell>
        </row>
        <row r="162">
          <cell r="A162">
            <v>900624919</v>
          </cell>
          <cell r="B162">
            <v>6</v>
          </cell>
          <cell r="C162" t="str">
            <v>INVERSIONES PALUAN S.A.S</v>
          </cell>
          <cell r="D162" t="str">
            <v>CR 22 25 05</v>
          </cell>
          <cell r="E162" t="str">
            <v>7853730</v>
          </cell>
          <cell r="F162" t="str">
            <v>Paipa</v>
          </cell>
        </row>
        <row r="163">
          <cell r="A163">
            <v>901220387</v>
          </cell>
          <cell r="B163">
            <v>7</v>
          </cell>
          <cell r="C163" t="str">
            <v>ISEK S.A.S</v>
          </cell>
          <cell r="D163" t="str">
            <v>KM 1 VIA TUNJA BOGOTA VDA RUNTA ARRIBA</v>
          </cell>
          <cell r="E163" t="str">
            <v>3223801686</v>
          </cell>
          <cell r="F163" t="str">
            <v>Tunja</v>
          </cell>
        </row>
        <row r="164">
          <cell r="A164">
            <v>900576858</v>
          </cell>
          <cell r="B164">
            <v>9</v>
          </cell>
          <cell r="C164" t="str">
            <v>IT CERTIFICA INSPECCIONES TECNICAS Y CERTIFICACIONES S.A.S</v>
          </cell>
          <cell r="D164" t="str">
            <v>CL 17 9 A 33</v>
          </cell>
          <cell r="E164" t="str">
            <v>3115990784</v>
          </cell>
          <cell r="F164" t="str">
            <v>Sogamoso</v>
          </cell>
        </row>
        <row r="165">
          <cell r="A165">
            <v>830033734</v>
          </cell>
          <cell r="B165">
            <v>0</v>
          </cell>
          <cell r="C165" t="str">
            <v>ITALCUCINA SAS</v>
          </cell>
          <cell r="D165" t="str">
            <v>CL 25 B 68 B 10 LC110</v>
          </cell>
          <cell r="E165" t="str">
            <v>0313381260</v>
          </cell>
          <cell r="F165" t="str">
            <v>Bogota D.C.</v>
          </cell>
        </row>
        <row r="166">
          <cell r="A166">
            <v>901175399</v>
          </cell>
          <cell r="B166">
            <v>2</v>
          </cell>
          <cell r="C166" t="str">
            <v>J&amp;D DOBLECES INDUSTRIALES S.A.S</v>
          </cell>
          <cell r="D166" t="str">
            <v>CR 19 A 12 23</v>
          </cell>
          <cell r="E166" t="str">
            <v>3118204107</v>
          </cell>
          <cell r="F166" t="str">
            <v>Duitama</v>
          </cell>
        </row>
        <row r="167">
          <cell r="A167">
            <v>830008686</v>
          </cell>
          <cell r="B167">
            <v>1</v>
          </cell>
          <cell r="C167" t="str">
            <v>LA EQUIDAD SEGUROS DE VIDA</v>
          </cell>
        </row>
        <row r="168">
          <cell r="A168">
            <v>860002400</v>
          </cell>
          <cell r="B168">
            <v>2</v>
          </cell>
          <cell r="C168" t="str">
            <v>LA PREVISORA SA COMPAÑÍA DE SEGUROS</v>
          </cell>
        </row>
        <row r="169">
          <cell r="A169">
            <v>901724763</v>
          </cell>
          <cell r="B169">
            <v>7</v>
          </cell>
          <cell r="C169" t="str">
            <v>LABORATORIO EN INGENIERIA SAS</v>
          </cell>
          <cell r="D169" t="str">
            <v>CR 21 8 16</v>
          </cell>
          <cell r="E169" t="str">
            <v>3202116242</v>
          </cell>
          <cell r="F169" t="str">
            <v>Duitama</v>
          </cell>
        </row>
        <row r="170">
          <cell r="A170">
            <v>901410058</v>
          </cell>
          <cell r="B170">
            <v>4</v>
          </cell>
          <cell r="C170" t="str">
            <v>LADRILLERA GRESPAN S.A.S</v>
          </cell>
          <cell r="D170" t="str">
            <v>KM 5 VIA ZIPAQUIRA UBATE SEC LOS CERROS</v>
          </cell>
          <cell r="E170" t="str">
            <v>3108751787</v>
          </cell>
          <cell r="F170" t="str">
            <v>Cogua</v>
          </cell>
        </row>
        <row r="171">
          <cell r="A171">
            <v>860029807</v>
          </cell>
          <cell r="B171">
            <v>3</v>
          </cell>
          <cell r="C171" t="str">
            <v>LADRILLERA HELIOS S.A</v>
          </cell>
          <cell r="D171" t="str">
            <v>AK 15 122 39 TO 1 OF 705</v>
          </cell>
          <cell r="E171" t="str">
            <v>61963760</v>
          </cell>
          <cell r="F171" t="str">
            <v>Bogota D.C.</v>
          </cell>
        </row>
        <row r="172">
          <cell r="A172">
            <v>860003328</v>
          </cell>
          <cell r="B172">
            <v>4</v>
          </cell>
          <cell r="C172" t="str">
            <v>LADRILLERAS YOMASA S.A</v>
          </cell>
          <cell r="D172" t="str">
            <v>AK 15 122 39 TO 1 OF 705</v>
          </cell>
          <cell r="E172" t="str">
            <v>2151916</v>
          </cell>
          <cell r="F172" t="str">
            <v>Bogota D.C.</v>
          </cell>
        </row>
        <row r="173">
          <cell r="A173">
            <v>800185511</v>
          </cell>
          <cell r="B173">
            <v>8</v>
          </cell>
          <cell r="C173" t="str">
            <v>LADRILLOS EL ZIPA S.A.S.</v>
          </cell>
          <cell r="D173" t="str">
            <v>VADA DE SATIVA</v>
          </cell>
          <cell r="E173" t="str">
            <v>3102826254</v>
          </cell>
          <cell r="F173" t="str">
            <v>Paipa</v>
          </cell>
        </row>
        <row r="174">
          <cell r="A174">
            <v>901599404</v>
          </cell>
          <cell r="B174">
            <v>1</v>
          </cell>
          <cell r="C174" t="str">
            <v>LAGO VERDE CONSTRUCCIONES S.A.S</v>
          </cell>
          <cell r="D174" t="str">
            <v>CL 24 19 121  OF 301</v>
          </cell>
          <cell r="E174" t="str">
            <v>3214753242</v>
          </cell>
          <cell r="F174" t="str">
            <v>Paipa</v>
          </cell>
        </row>
        <row r="175">
          <cell r="A175">
            <v>901147181</v>
          </cell>
          <cell r="B175">
            <v>5</v>
          </cell>
          <cell r="C175" t="str">
            <v>LATIN LOGISTICS COLOMBIA SAS</v>
          </cell>
          <cell r="D175" t="str">
            <v>AV CL 26 59 15</v>
          </cell>
          <cell r="E175" t="str">
            <v>|</v>
          </cell>
          <cell r="F175" t="str">
            <v>Bogota D.C.</v>
          </cell>
        </row>
        <row r="176">
          <cell r="A176">
            <v>860008645</v>
          </cell>
          <cell r="B176">
            <v>7</v>
          </cell>
          <cell r="C176" t="str">
            <v>LIBERTY SEGUROS DE VIDA SA</v>
          </cell>
        </row>
        <row r="177">
          <cell r="A177">
            <v>900254020</v>
          </cell>
          <cell r="B177">
            <v>2</v>
          </cell>
          <cell r="C177" t="str">
            <v>LISTODO S.A.S</v>
          </cell>
          <cell r="D177" t="str">
            <v>AUT NORTE 131 65</v>
          </cell>
          <cell r="E177" t="str">
            <v>6016267640</v>
          </cell>
          <cell r="F177" t="str">
            <v>Bogota D.C.</v>
          </cell>
        </row>
        <row r="178">
          <cell r="A178">
            <v>901032442</v>
          </cell>
          <cell r="B178">
            <v>8</v>
          </cell>
          <cell r="C178" t="str">
            <v>LUCTRA SAS</v>
          </cell>
          <cell r="D178" t="str">
            <v>CL 22 20 77</v>
          </cell>
          <cell r="E178" t="str">
            <v>3144752589</v>
          </cell>
          <cell r="F178" t="str">
            <v>Paipa</v>
          </cell>
        </row>
        <row r="179">
          <cell r="A179">
            <v>900895905</v>
          </cell>
          <cell r="B179">
            <v>5</v>
          </cell>
          <cell r="C179" t="str">
            <v>M.R DE COLOMBIA SAS</v>
          </cell>
          <cell r="D179" t="str">
            <v>CL 77 59 35 CENTRO EMPRESARIAL LAS AMERICAS</v>
          </cell>
          <cell r="E179" t="str">
            <v>3013587839</v>
          </cell>
          <cell r="F179" t="str">
            <v>Barranquilla</v>
          </cell>
        </row>
        <row r="180">
          <cell r="A180">
            <v>811028650</v>
          </cell>
          <cell r="B180">
            <v>1</v>
          </cell>
          <cell r="C180" t="str">
            <v>MADECENTRO COLOMBIA S.A.S</v>
          </cell>
          <cell r="D180" t="str">
            <v>CL 7 SUR 4270 ED FORUM LA FRANCIA TO 1 OF 505</v>
          </cell>
          <cell r="E180" t="str">
            <v>4442893</v>
          </cell>
          <cell r="F180" t="str">
            <v>Medellín</v>
          </cell>
        </row>
        <row r="181">
          <cell r="A181">
            <v>901172467</v>
          </cell>
          <cell r="B181">
            <v>1</v>
          </cell>
          <cell r="C181" t="str">
            <v>MAKRO ALEJO S.A.S</v>
          </cell>
          <cell r="D181" t="str">
            <v>AV LIBERTADORES 21 78</v>
          </cell>
          <cell r="E181" t="str">
            <v>3123342291</v>
          </cell>
          <cell r="F181" t="str">
            <v>Paipa</v>
          </cell>
        </row>
        <row r="182">
          <cell r="A182">
            <v>900059238</v>
          </cell>
          <cell r="B182">
            <v>5</v>
          </cell>
          <cell r="C182" t="str">
            <v>MAKRO SUPERMAYORISTA S.A.S.</v>
          </cell>
          <cell r="D182" t="str">
            <v>CL 192 19 12</v>
          </cell>
          <cell r="E182" t="str">
            <v>6781616</v>
          </cell>
          <cell r="F182" t="str">
            <v>Bogota D.C.</v>
          </cell>
        </row>
        <row r="183">
          <cell r="A183">
            <v>830054904</v>
          </cell>
          <cell r="B183">
            <v>6</v>
          </cell>
          <cell r="C183" t="str">
            <v>MAPFRE COLOMBIA VIDA SEGUROS SA</v>
          </cell>
          <cell r="D183" t="str">
            <v>CL 57 A  56 11</v>
          </cell>
          <cell r="E183" t="str">
            <v>6013077024</v>
          </cell>
          <cell r="F183" t="str">
            <v>Bogota D.C.</v>
          </cell>
        </row>
        <row r="184">
          <cell r="A184">
            <v>901151787</v>
          </cell>
          <cell r="B184">
            <v>3</v>
          </cell>
          <cell r="C184" t="str">
            <v>MAQUIEQUIPOS DE COLOMBIA SAS</v>
          </cell>
          <cell r="D184" t="str">
            <v>CL 11 15 24</v>
          </cell>
          <cell r="E184" t="str">
            <v>5613382</v>
          </cell>
          <cell r="F184" t="str">
            <v>Bogota D.C.</v>
          </cell>
        </row>
        <row r="185">
          <cell r="A185">
            <v>1052385136</v>
          </cell>
          <cell r="B185">
            <v>5</v>
          </cell>
          <cell r="C185" t="str">
            <v>MAURICIO MENDIVELSO</v>
          </cell>
          <cell r="D185" t="str">
            <v>CR 27 A 5 63 BRR LAURELES</v>
          </cell>
          <cell r="E185" t="str">
            <v>3202864827</v>
          </cell>
          <cell r="F185" t="str">
            <v>Duitama</v>
          </cell>
        </row>
        <row r="186">
          <cell r="A186">
            <v>901622336</v>
          </cell>
          <cell r="B186">
            <v>7</v>
          </cell>
          <cell r="C186" t="str">
            <v>MODULO DISEÑO E INTERIORISMO SOCIEDAD POR ACCIONES SIMPLIFICADA</v>
          </cell>
          <cell r="D186" t="str">
            <v>CR 11 22 A 122</v>
          </cell>
          <cell r="E186" t="str">
            <v>3122589720</v>
          </cell>
          <cell r="F186" t="str">
            <v>Duitama</v>
          </cell>
        </row>
        <row r="187">
          <cell r="A187">
            <v>901422871</v>
          </cell>
          <cell r="B187">
            <v>8</v>
          </cell>
          <cell r="C187" t="str">
            <v>MONTAJES ELECTRICOS MAURICIO ZORRO S.A.S</v>
          </cell>
          <cell r="D187" t="str">
            <v>CL 13 33 60</v>
          </cell>
          <cell r="E187" t="str">
            <v>3104781777</v>
          </cell>
          <cell r="F187" t="str">
            <v>Duitama</v>
          </cell>
        </row>
        <row r="188">
          <cell r="A188">
            <v>901276784</v>
          </cell>
          <cell r="B188">
            <v>9</v>
          </cell>
          <cell r="C188" t="str">
            <v>MSJ GROUP S.A.S</v>
          </cell>
          <cell r="D188" t="str">
            <v>CL 9 24 99</v>
          </cell>
          <cell r="E188" t="str">
            <v>205201473</v>
          </cell>
          <cell r="F188" t="str">
            <v>Duitama</v>
          </cell>
        </row>
        <row r="189">
          <cell r="A189">
            <v>800157339</v>
          </cell>
          <cell r="B189">
            <v>8</v>
          </cell>
          <cell r="C189" t="str">
            <v>MULTIELECTRICOS S.A.S</v>
          </cell>
          <cell r="D189" t="str">
            <v>CL 11 17 46</v>
          </cell>
          <cell r="E189" t="str">
            <v>7654536</v>
          </cell>
          <cell r="F189" t="str">
            <v>Duitama</v>
          </cell>
        </row>
        <row r="190">
          <cell r="A190">
            <v>891801240</v>
          </cell>
          <cell r="B190">
            <v>1</v>
          </cell>
          <cell r="C190" t="str">
            <v>MUNICIPIO DE PAIPA</v>
          </cell>
          <cell r="D190" t="str">
            <v>CR 22 25 14</v>
          </cell>
          <cell r="E190" t="str">
            <v>7850131</v>
          </cell>
          <cell r="F190" t="str">
            <v>Paipa</v>
          </cell>
        </row>
        <row r="191">
          <cell r="A191">
            <v>900778844</v>
          </cell>
          <cell r="B191">
            <v>3</v>
          </cell>
          <cell r="C191" t="str">
            <v>NEUROCES SAS</v>
          </cell>
          <cell r="D191" t="str">
            <v>CR 7 156 80 OFICINA 1104</v>
          </cell>
          <cell r="E191" t="str">
            <v>6955278</v>
          </cell>
          <cell r="F191" t="str">
            <v>Bogota D.C.</v>
          </cell>
        </row>
        <row r="192">
          <cell r="A192">
            <v>826002535</v>
          </cell>
          <cell r="B192">
            <v>4</v>
          </cell>
          <cell r="C192" t="str">
            <v>NEYTEL.COM S.A.S</v>
          </cell>
          <cell r="D192" t="str">
            <v>CL 25 20 77</v>
          </cell>
          <cell r="E192" t="str">
            <v>7850980</v>
          </cell>
          <cell r="F192" t="str">
            <v>Paipa</v>
          </cell>
        </row>
        <row r="193">
          <cell r="A193">
            <v>900156264</v>
          </cell>
          <cell r="B193">
            <v>2</v>
          </cell>
          <cell r="C193" t="str">
            <v>NUEVA EPS</v>
          </cell>
        </row>
        <row r="194">
          <cell r="A194">
            <v>900212557</v>
          </cell>
          <cell r="B194">
            <v>5</v>
          </cell>
          <cell r="C194" t="str">
            <v>OIL &amp; SERVICES SAS</v>
          </cell>
          <cell r="D194" t="str">
            <v>AV LIBERTADORES 23 49</v>
          </cell>
          <cell r="E194" t="str">
            <v>3162581953</v>
          </cell>
          <cell r="F194" t="str">
            <v>Paipa</v>
          </cell>
        </row>
        <row r="195">
          <cell r="A195">
            <v>800148514</v>
          </cell>
          <cell r="B195">
            <v>2</v>
          </cell>
          <cell r="C195" t="str">
            <v>OLD MUTUAL PENSIONES Y CESANTÍAS S.A.</v>
          </cell>
        </row>
        <row r="196">
          <cell r="A196">
            <v>830054539</v>
          </cell>
          <cell r="B196">
            <v>0</v>
          </cell>
          <cell r="C196" t="str">
            <v>PATRIMONIOS AUTONOMOS FIDUCIARIA BANCOLOMBIA SA SOCIEDAD FIDUCIARIA</v>
          </cell>
        </row>
        <row r="197">
          <cell r="A197">
            <v>900076424</v>
          </cell>
          <cell r="B197">
            <v>0</v>
          </cell>
          <cell r="C197" t="str">
            <v>PEGSA LTDA</v>
          </cell>
          <cell r="D197" t="str">
            <v>CL 127 14 54 OF 709</v>
          </cell>
          <cell r="E197" t="str">
            <v>3779000</v>
          </cell>
          <cell r="F197" t="str">
            <v>Bogota D.C.</v>
          </cell>
        </row>
        <row r="198">
          <cell r="A198">
            <v>800216278</v>
          </cell>
          <cell r="B198">
            <v>0</v>
          </cell>
          <cell r="C198" t="str">
            <v>PENSIONES DE ANTIOQUIA</v>
          </cell>
        </row>
        <row r="199">
          <cell r="A199">
            <v>900497080</v>
          </cell>
          <cell r="B199">
            <v>7</v>
          </cell>
          <cell r="C199" t="str">
            <v>PIEDRAS Y GRAVAS SAS</v>
          </cell>
          <cell r="D199" t="str">
            <v>VDA GUAQUIDA SECTOR LAS CALERAS</v>
          </cell>
          <cell r="E199" t="str">
            <v>3125222270</v>
          </cell>
          <cell r="F199" t="str">
            <v>Nobsa</v>
          </cell>
        </row>
        <row r="200">
          <cell r="A200">
            <v>830045034</v>
          </cell>
          <cell r="B200">
            <v>5</v>
          </cell>
          <cell r="C200" t="str">
            <v>PISOTRANS SAS</v>
          </cell>
          <cell r="D200" t="str">
            <v>AV CARACA 35 55</v>
          </cell>
          <cell r="E200" t="str">
            <v>3311515</v>
          </cell>
          <cell r="F200" t="str">
            <v>Bogota D.C.</v>
          </cell>
        </row>
        <row r="201">
          <cell r="A201">
            <v>901609244</v>
          </cell>
          <cell r="B201">
            <v>4</v>
          </cell>
          <cell r="C201" t="str">
            <v>PNP 2010 S.A.S</v>
          </cell>
          <cell r="D201" t="str">
            <v>CL 25 18 43</v>
          </cell>
          <cell r="E201" t="str">
            <v>7853981</v>
          </cell>
          <cell r="F201" t="str">
            <v>Paipa</v>
          </cell>
        </row>
        <row r="202">
          <cell r="A202">
            <v>900076922</v>
          </cell>
          <cell r="B202">
            <v>7</v>
          </cell>
          <cell r="C202" t="str">
            <v>PORCELANATOS Y PISOS DE COLOMBIA S.A.S</v>
          </cell>
          <cell r="D202" t="str">
            <v>CR 21 166 45</v>
          </cell>
          <cell r="E202" t="str">
            <v>7444540</v>
          </cell>
          <cell r="F202" t="str">
            <v>Bogota D.C.</v>
          </cell>
        </row>
        <row r="203">
          <cell r="A203">
            <v>800144331</v>
          </cell>
          <cell r="B203">
            <v>3</v>
          </cell>
          <cell r="C203" t="str">
            <v>PORVENIR S.A. AFPC</v>
          </cell>
        </row>
        <row r="204">
          <cell r="A204">
            <v>860011153</v>
          </cell>
          <cell r="B204">
            <v>6</v>
          </cell>
          <cell r="C204" t="str">
            <v>POSITIVA COMPAÑÍA DE SEGUROS</v>
          </cell>
        </row>
        <row r="205">
          <cell r="A205">
            <v>900827178</v>
          </cell>
          <cell r="B205">
            <v>7</v>
          </cell>
          <cell r="C205" t="str">
            <v>PREFABRICADOS DE DUITAMA COLOMBIA SAS</v>
          </cell>
          <cell r="D205" t="str">
            <v>KM 8 VIA PAIPA DUITAMA</v>
          </cell>
          <cell r="E205" t="str">
            <v>3507810458</v>
          </cell>
          <cell r="F205" t="str">
            <v>Duitama</v>
          </cell>
        </row>
        <row r="206">
          <cell r="A206">
            <v>900319753</v>
          </cell>
          <cell r="B206">
            <v>3</v>
          </cell>
          <cell r="C206" t="str">
            <v>PRICESMART COLOMBIA S.A.S</v>
          </cell>
        </row>
        <row r="207">
          <cell r="A207">
            <v>900759539</v>
          </cell>
          <cell r="B207">
            <v>0</v>
          </cell>
          <cell r="C207" t="str">
            <v>PRINCIPAL DE INVERSIONES Y MANGUERA S.A.S</v>
          </cell>
          <cell r="D207" t="str">
            <v>CR 19 14 45</v>
          </cell>
          <cell r="E207" t="str">
            <v>3115137232</v>
          </cell>
          <cell r="F207" t="str">
            <v>Duitama</v>
          </cell>
        </row>
        <row r="208">
          <cell r="A208">
            <v>800138188</v>
          </cell>
          <cell r="B208">
            <v>1</v>
          </cell>
          <cell r="C208" t="str">
            <v>PROTECCION</v>
          </cell>
        </row>
        <row r="209">
          <cell r="A209">
            <v>800229739</v>
          </cell>
          <cell r="B209">
            <v>0</v>
          </cell>
          <cell r="C209" t="str">
            <v>PROTECCIÓN S.A. AFPC</v>
          </cell>
        </row>
        <row r="210">
          <cell r="A210">
            <v>901875830</v>
          </cell>
          <cell r="B210">
            <v>1</v>
          </cell>
          <cell r="C210" t="str">
            <v>PROYECTOS Y MATERIALES ELECTRICOS S.A.S</v>
          </cell>
          <cell r="D210" t="str">
            <v>CL 16 A 17 02</v>
          </cell>
          <cell r="E210" t="str">
            <v>3134846047</v>
          </cell>
          <cell r="F210" t="str">
            <v>Sogamoso</v>
          </cell>
        </row>
        <row r="211">
          <cell r="A211">
            <v>800141903</v>
          </cell>
          <cell r="B211">
            <v>2</v>
          </cell>
          <cell r="C211" t="str">
            <v>QUIMICOS INDUSTRIALES ASOCIADOS S.A.S</v>
          </cell>
          <cell r="D211" t="str">
            <v>KM 2 VIA PAIPA DUITAMA</v>
          </cell>
          <cell r="E211" t="str">
            <v>3125221487</v>
          </cell>
          <cell r="F211" t="str">
            <v>Paipa</v>
          </cell>
        </row>
        <row r="212">
          <cell r="A212">
            <v>901044874</v>
          </cell>
          <cell r="B212">
            <v>8</v>
          </cell>
          <cell r="C212" t="str">
            <v>R &amp; F ENERGY INSPECTION S.A.S</v>
          </cell>
          <cell r="D212" t="str">
            <v>CL 12 36 50</v>
          </cell>
          <cell r="E212" t="str">
            <v>3118444071</v>
          </cell>
          <cell r="F212" t="str">
            <v>Duitama</v>
          </cell>
        </row>
        <row r="213">
          <cell r="A213">
            <v>830096513</v>
          </cell>
          <cell r="B213">
            <v>1</v>
          </cell>
          <cell r="C213" t="str">
            <v>RED SALUD EPS</v>
          </cell>
        </row>
        <row r="214">
          <cell r="A214">
            <v>900259348</v>
          </cell>
          <cell r="B214">
            <v>5</v>
          </cell>
          <cell r="C214" t="str">
            <v>RED VITAL PAIPA S.A E.S.P</v>
          </cell>
          <cell r="D214" t="str">
            <v>CR 17 A 23A 05</v>
          </cell>
          <cell r="E214" t="str">
            <v>3208585284</v>
          </cell>
          <cell r="F214" t="str">
            <v>Paipa</v>
          </cell>
        </row>
        <row r="215">
          <cell r="A215">
            <v>901162983</v>
          </cell>
          <cell r="B215">
            <v>8</v>
          </cell>
          <cell r="C215" t="str">
            <v>REINA MARIA IPS S.A.S</v>
          </cell>
          <cell r="D215" t="str">
            <v>CR 16 14 54</v>
          </cell>
          <cell r="E215" t="str">
            <v>3115331899</v>
          </cell>
          <cell r="F215" t="str">
            <v>Duitama</v>
          </cell>
        </row>
        <row r="216">
          <cell r="A216">
            <v>805021984</v>
          </cell>
          <cell r="B216">
            <v>2</v>
          </cell>
          <cell r="C216" t="str">
            <v>SALUD COLOMBIA EPS</v>
          </cell>
        </row>
        <row r="217">
          <cell r="A217">
            <v>860512237</v>
          </cell>
          <cell r="B217">
            <v>6</v>
          </cell>
          <cell r="C217" t="str">
            <v>SALUD COLPATRIA EPS</v>
          </cell>
        </row>
        <row r="218">
          <cell r="A218">
            <v>800130907</v>
          </cell>
          <cell r="B218">
            <v>4</v>
          </cell>
          <cell r="C218" t="str">
            <v>SALUD TOTAL EPS</v>
          </cell>
        </row>
        <row r="219">
          <cell r="A219">
            <v>830074184</v>
          </cell>
          <cell r="B219">
            <v>5</v>
          </cell>
          <cell r="C219" t="str">
            <v>SALUD VIDA EPS</v>
          </cell>
        </row>
        <row r="220">
          <cell r="A220">
            <v>800250119</v>
          </cell>
          <cell r="B220">
            <v>1</v>
          </cell>
          <cell r="C220" t="str">
            <v>SALUDCOOP EPS</v>
          </cell>
        </row>
        <row r="221">
          <cell r="A221">
            <v>800088202</v>
          </cell>
          <cell r="B221">
            <v>1</v>
          </cell>
          <cell r="C221" t="str">
            <v>SAN LUIS DSITRIBUIDORA DE VIDRIOS LTDA</v>
          </cell>
          <cell r="D221" t="str">
            <v>CL 20 28 21</v>
          </cell>
          <cell r="E221" t="str">
            <v>7602692</v>
          </cell>
          <cell r="F221" t="str">
            <v>Duitama</v>
          </cell>
        </row>
        <row r="222">
          <cell r="A222">
            <v>800251440</v>
          </cell>
          <cell r="B222">
            <v>6</v>
          </cell>
          <cell r="C222" t="str">
            <v>SANITAS EPS</v>
          </cell>
        </row>
        <row r="223">
          <cell r="A223">
            <v>899999061</v>
          </cell>
          <cell r="B223">
            <v>9</v>
          </cell>
          <cell r="C223" t="str">
            <v>SECRETARIA DE HACIENDA DISTRITAL</v>
          </cell>
        </row>
        <row r="224">
          <cell r="A224">
            <v>860022137</v>
          </cell>
          <cell r="B224">
            <v>5</v>
          </cell>
          <cell r="C224" t="str">
            <v>SEGUROS DE VIDA AURORA</v>
          </cell>
        </row>
        <row r="225">
          <cell r="A225">
            <v>860009174</v>
          </cell>
          <cell r="B225">
            <v>4</v>
          </cell>
          <cell r="C225" t="str">
            <v>SEGUROS DE VIDA DEL ESTADO S.A.</v>
          </cell>
        </row>
        <row r="226">
          <cell r="A226">
            <v>846000244</v>
          </cell>
          <cell r="B226">
            <v>1</v>
          </cell>
          <cell r="C226" t="str">
            <v>SELVASALUD EPS</v>
          </cell>
        </row>
        <row r="227">
          <cell r="A227">
            <v>901200311</v>
          </cell>
          <cell r="B227">
            <v>2</v>
          </cell>
          <cell r="C227" t="str">
            <v>SERVI PRES S.A.S</v>
          </cell>
          <cell r="D227" t="str">
            <v>CR 46 20 33 BRR JUAN GRANDE</v>
          </cell>
          <cell r="E227" t="str">
            <v>3123358333</v>
          </cell>
          <cell r="F227" t="str">
            <v>Duitama</v>
          </cell>
        </row>
        <row r="228">
          <cell r="A228">
            <v>89999034</v>
          </cell>
          <cell r="B228">
            <v>1</v>
          </cell>
          <cell r="C228" t="str">
            <v>SERVICIO NACIONAL DE APRENDIZAJE</v>
          </cell>
          <cell r="D228" t="str">
            <v>CL 57 8 69</v>
          </cell>
          <cell r="E228" t="str">
            <v>5311856</v>
          </cell>
          <cell r="F228" t="str">
            <v>Bogota D.C.</v>
          </cell>
        </row>
        <row r="229">
          <cell r="A229">
            <v>805001157</v>
          </cell>
          <cell r="B229">
            <v>2</v>
          </cell>
          <cell r="C229" t="str">
            <v>SERVICIO OCCIDENTAL DE SALUD</v>
          </cell>
        </row>
        <row r="230">
          <cell r="A230">
            <v>901512283</v>
          </cell>
          <cell r="B230">
            <v>3</v>
          </cell>
          <cell r="C230" t="str">
            <v>SERVICIOS INTEGRALES GUIO SOCIEDAD POR ACCIONES SIMPLIFICADA</v>
          </cell>
          <cell r="D230" t="str">
            <v>KM 7 VIA TRINIDAD VEREDA CRUZ DE BONZA</v>
          </cell>
          <cell r="E230" t="str">
            <v>3115117496</v>
          </cell>
          <cell r="F230" t="str">
            <v>Paipa</v>
          </cell>
        </row>
        <row r="231">
          <cell r="A231">
            <v>860512330</v>
          </cell>
          <cell r="B231">
            <v>3</v>
          </cell>
          <cell r="C231" t="str">
            <v>SERVIENTREGA S.A.</v>
          </cell>
          <cell r="D231" t="str">
            <v>AV CL 6 34 A 11</v>
          </cell>
          <cell r="E231" t="str">
            <v>7700200</v>
          </cell>
          <cell r="F231" t="str">
            <v>Bogota D.C.</v>
          </cell>
        </row>
        <row r="232">
          <cell r="A232">
            <v>900031780</v>
          </cell>
          <cell r="B232">
            <v>4</v>
          </cell>
          <cell r="C232" t="str">
            <v>SM ASOCIADOS S.A</v>
          </cell>
          <cell r="D232" t="str">
            <v>AV LIBERTADORES 22 71</v>
          </cell>
          <cell r="E232" t="str">
            <v>3105518809</v>
          </cell>
          <cell r="F232" t="str">
            <v>Paipa</v>
          </cell>
        </row>
        <row r="233">
          <cell r="A233">
            <v>901128826</v>
          </cell>
          <cell r="B233">
            <v>6</v>
          </cell>
          <cell r="C233" t="str">
            <v>SOCIAL SOLAR S.A.S</v>
          </cell>
          <cell r="D233" t="str">
            <v>CR 19 28 60</v>
          </cell>
          <cell r="E233" t="str">
            <v>3204679942</v>
          </cell>
          <cell r="F233" t="str">
            <v>Paipa</v>
          </cell>
        </row>
        <row r="234">
          <cell r="A234">
            <v>800242106</v>
          </cell>
          <cell r="B234">
            <v>2</v>
          </cell>
          <cell r="C234" t="str">
            <v>SODIMAC COLOMBIA SA</v>
          </cell>
          <cell r="D234" t="str">
            <v>AV UNIVERSITARIA 50 21</v>
          </cell>
          <cell r="E234" t="str">
            <v>018000127373</v>
          </cell>
          <cell r="F234" t="str">
            <v>Tunja</v>
          </cell>
        </row>
        <row r="235">
          <cell r="A235">
            <v>804001273</v>
          </cell>
          <cell r="B235">
            <v>5</v>
          </cell>
          <cell r="C235" t="str">
            <v>SOLSALUD EPS</v>
          </cell>
        </row>
        <row r="236">
          <cell r="A236">
            <v>900474342</v>
          </cell>
          <cell r="B236">
            <v>2</v>
          </cell>
          <cell r="C236" t="str">
            <v>SPORT FITNESS SHOP COLOMBIA S.A.S</v>
          </cell>
          <cell r="D236" t="str">
            <v>CR 43 30 91</v>
          </cell>
          <cell r="E236" t="str">
            <v>4605740</v>
          </cell>
          <cell r="F236" t="str">
            <v>Medellín</v>
          </cell>
        </row>
        <row r="237">
          <cell r="A237">
            <v>899999007</v>
          </cell>
          <cell r="B237">
            <v>0</v>
          </cell>
          <cell r="C237" t="str">
            <v>SUPERINTENDENCIA DE NOTARIADO Y REGISTRO</v>
          </cell>
          <cell r="D237" t="str">
            <v>CL 26 13 49</v>
          </cell>
          <cell r="E237" t="str">
            <v>3822121</v>
          </cell>
          <cell r="F237" t="str">
            <v>Bogota D.C.</v>
          </cell>
        </row>
        <row r="238">
          <cell r="A238">
            <v>900293833</v>
          </cell>
          <cell r="B238">
            <v>1</v>
          </cell>
          <cell r="C238" t="str">
            <v>SURAMERICANA DE ELECTRICOS E ILUMINACION SAS</v>
          </cell>
          <cell r="D238" t="str">
            <v>CR 4 15 86 LC 103 BRR EL DORADO</v>
          </cell>
          <cell r="E238" t="str">
            <v>7227905</v>
          </cell>
          <cell r="F238" t="str">
            <v>Soacha</v>
          </cell>
        </row>
        <row r="239">
          <cell r="A239">
            <v>800088702</v>
          </cell>
          <cell r="B239">
            <v>2</v>
          </cell>
          <cell r="C239" t="str">
            <v>SUSALUD EPS</v>
          </cell>
        </row>
        <row r="240">
          <cell r="A240">
            <v>800025690</v>
          </cell>
          <cell r="B240">
            <v>2</v>
          </cell>
          <cell r="C240" t="str">
            <v>TAX TURISTICO PAIPA S.A.</v>
          </cell>
          <cell r="D240" t="str">
            <v>CR 19 34 12</v>
          </cell>
          <cell r="E240" t="str">
            <v>6087853578</v>
          </cell>
          <cell r="F240" t="str">
            <v>Paipa</v>
          </cell>
        </row>
        <row r="241">
          <cell r="A241">
            <v>901289237</v>
          </cell>
          <cell r="B241">
            <v>8</v>
          </cell>
          <cell r="C241" t="str">
            <v>TERMOVENTANAS S.A.S</v>
          </cell>
          <cell r="D241" t="str">
            <v>CL 3 3 51 CD INDUSTRIAL</v>
          </cell>
          <cell r="E241" t="str">
            <v>3232910645</v>
          </cell>
          <cell r="F241" t="str">
            <v>Duitama</v>
          </cell>
        </row>
        <row r="242">
          <cell r="A242">
            <v>800138218</v>
          </cell>
          <cell r="B242">
            <v>4</v>
          </cell>
          <cell r="C242" t="str">
            <v>TRADICIONALES DULCINEA Y CIA S C A</v>
          </cell>
          <cell r="D242" t="str">
            <v>CL 105 23 89 AP 302</v>
          </cell>
          <cell r="E242" t="str">
            <v>3108193097</v>
          </cell>
          <cell r="F242" t="str">
            <v>Chía</v>
          </cell>
        </row>
        <row r="243">
          <cell r="A243">
            <v>900044414</v>
          </cell>
          <cell r="B243">
            <v>1</v>
          </cell>
          <cell r="C243" t="str">
            <v>TRANSCARGA MUNDIAL SAS</v>
          </cell>
          <cell r="D243" t="str">
            <v>CL 21 68D 46</v>
          </cell>
          <cell r="E243" t="str">
            <v>6533640</v>
          </cell>
          <cell r="F243" t="str">
            <v>Bogota D.C.</v>
          </cell>
        </row>
        <row r="244">
          <cell r="A244">
            <v>811037499</v>
          </cell>
          <cell r="B244">
            <v>3</v>
          </cell>
          <cell r="C244" t="str">
            <v>TRANSPORTE MILCIADES TOBOS S.A.S</v>
          </cell>
          <cell r="D244" t="str">
            <v>CL 26 65 D 35</v>
          </cell>
          <cell r="E244" t="str">
            <v>6042960620</v>
          </cell>
          <cell r="F244" t="str">
            <v>Medellín</v>
          </cell>
        </row>
        <row r="245">
          <cell r="A245">
            <v>900080289</v>
          </cell>
          <cell r="B245">
            <v>8</v>
          </cell>
          <cell r="C245" t="str">
            <v>TUVALREP SAS</v>
          </cell>
          <cell r="D245" t="str">
            <v>AV CL 13 22 72 LC 3</v>
          </cell>
          <cell r="E245" t="str">
            <v>6013713386</v>
          </cell>
          <cell r="F245" t="str">
            <v>Bogota D.C.</v>
          </cell>
        </row>
        <row r="246">
          <cell r="A246">
            <v>901190402</v>
          </cell>
          <cell r="B246">
            <v>1</v>
          </cell>
          <cell r="C246" t="str">
            <v>UNIVERSAL DE TORNILLOS Y FERRETERIA S.A.S</v>
          </cell>
          <cell r="D246" t="str">
            <v>CR 19 14 35</v>
          </cell>
          <cell r="E246" t="str">
            <v>7611777</v>
          </cell>
          <cell r="F246" t="str">
            <v>Duitama</v>
          </cell>
        </row>
        <row r="247">
          <cell r="A247">
            <v>890102257</v>
          </cell>
          <cell r="B247">
            <v>3</v>
          </cell>
          <cell r="C247" t="str">
            <v>UNIVERSIDAD DEL ATLANTICO</v>
          </cell>
        </row>
        <row r="248">
          <cell r="A248">
            <v>890399010</v>
          </cell>
          <cell r="B248">
            <v>6</v>
          </cell>
          <cell r="C248" t="str">
            <v>UNIVERSIDAD DEL VALLE</v>
          </cell>
        </row>
        <row r="249">
          <cell r="A249">
            <v>890203183</v>
          </cell>
          <cell r="B249">
            <v>0</v>
          </cell>
          <cell r="C249" t="str">
            <v>UNIVERSIDAD INDUSTRIAL DE SANTANDER</v>
          </cell>
        </row>
        <row r="250">
          <cell r="A250">
            <v>830087479</v>
          </cell>
          <cell r="B250">
            <v>9</v>
          </cell>
          <cell r="C250" t="str">
            <v>VIALAMBRE SAS</v>
          </cell>
          <cell r="D250" t="str">
            <v>CL 8 30 51</v>
          </cell>
          <cell r="E250" t="str">
            <v>6012374792</v>
          </cell>
          <cell r="F250" t="str">
            <v>Bogota D.C.</v>
          </cell>
        </row>
        <row r="251">
          <cell r="A251">
            <v>901254114</v>
          </cell>
          <cell r="B251">
            <v>1</v>
          </cell>
          <cell r="C251" t="str">
            <v>VIDRIOS SAN LORENZO SAS</v>
          </cell>
          <cell r="D251" t="str">
            <v>CL 20 28 21 LC 2</v>
          </cell>
          <cell r="E251" t="str">
            <v>3153901028</v>
          </cell>
          <cell r="F251" t="str">
            <v>Duitama</v>
          </cell>
        </row>
        <row r="252">
          <cell r="A252">
            <v>900534356</v>
          </cell>
          <cell r="B252">
            <v>3</v>
          </cell>
          <cell r="C252" t="str">
            <v>WORLD OFFICE COLOMBIA SAS</v>
          </cell>
          <cell r="D252" t="str">
            <v>AC CL 26 69D 91 OF 805</v>
          </cell>
          <cell r="E252" t="str">
            <v>7451010</v>
          </cell>
          <cell r="F252" t="str">
            <v>Bogota D.C.</v>
          </cell>
        </row>
        <row r="253">
          <cell r="A253">
            <v>1053609694</v>
          </cell>
          <cell r="B253">
            <v>0</v>
          </cell>
          <cell r="C253" t="str">
            <v>ACERO BAEZ SERGIO DAVID</v>
          </cell>
          <cell r="D253" t="str">
            <v>CR 24 10 416</v>
          </cell>
          <cell r="E253" t="str">
            <v>3244377807</v>
          </cell>
          <cell r="F253" t="str">
            <v>Paipa</v>
          </cell>
        </row>
        <row r="254">
          <cell r="A254">
            <v>40024788</v>
          </cell>
          <cell r="B254">
            <v>4</v>
          </cell>
          <cell r="C254" t="str">
            <v>ACEVEDO GONZALEZ YALILE ESPERANZA</v>
          </cell>
          <cell r="D254" t="str">
            <v>CL 25 68 B 30 CIUDAD SALITRE</v>
          </cell>
          <cell r="E254" t="str">
            <v>3002658167</v>
          </cell>
          <cell r="F254" t="str">
            <v>Paipa</v>
          </cell>
        </row>
        <row r="255">
          <cell r="A255">
            <v>9526962</v>
          </cell>
          <cell r="B255">
            <v>1</v>
          </cell>
          <cell r="C255" t="str">
            <v>ACEVEDO NOSSA HUMBERTO</v>
          </cell>
          <cell r="D255" t="str">
            <v>CL 23 22 27</v>
          </cell>
          <cell r="E255" t="str">
            <v>3103375253</v>
          </cell>
          <cell r="F255" t="str">
            <v>Paipa</v>
          </cell>
        </row>
        <row r="256">
          <cell r="A256">
            <v>23855146</v>
          </cell>
          <cell r="B256">
            <v>1</v>
          </cell>
          <cell r="C256" t="str">
            <v>ACEVEDO TINJACA ELIANA</v>
          </cell>
          <cell r="D256" t="str">
            <v>CL 24 20 75</v>
          </cell>
          <cell r="F256" t="str">
            <v>Paipa</v>
          </cell>
        </row>
        <row r="257">
          <cell r="A257">
            <v>80072803</v>
          </cell>
          <cell r="B257">
            <v>7</v>
          </cell>
          <cell r="C257" t="str">
            <v>ACUÑA PASTRANA JOSE DANUIL</v>
          </cell>
          <cell r="D257" t="str">
            <v>CL 32 B SUR 19 25 SUR 19 25 BRR</v>
          </cell>
          <cell r="F257" t="str">
            <v>Bogota D.C.</v>
          </cell>
        </row>
        <row r="258">
          <cell r="A258">
            <v>40036248</v>
          </cell>
          <cell r="B258">
            <v>0</v>
          </cell>
          <cell r="C258" t="str">
            <v>ACUÑA RODRIGUEZ BLANCA OFELIA</v>
          </cell>
          <cell r="D258" t="str">
            <v>CR 1A  75A  12 CASA 30</v>
          </cell>
          <cell r="E258" t="str">
            <v>3114747055</v>
          </cell>
          <cell r="F258" t="str">
            <v>Bogota D.C.</v>
          </cell>
        </row>
        <row r="259">
          <cell r="A259">
            <v>46375058</v>
          </cell>
          <cell r="B259">
            <v>3</v>
          </cell>
          <cell r="C259" t="str">
            <v>AGUIRRE ALVARADO DORY MILENA</v>
          </cell>
          <cell r="D259" t="str">
            <v>CL 13 16 28</v>
          </cell>
          <cell r="E259" t="str">
            <v>7620926</v>
          </cell>
          <cell r="F259" t="str">
            <v>Duitama</v>
          </cell>
        </row>
        <row r="260">
          <cell r="A260">
            <v>9395644</v>
          </cell>
          <cell r="B260">
            <v>0</v>
          </cell>
          <cell r="C260" t="str">
            <v>ALARCON FERNANDO BARRER</v>
          </cell>
          <cell r="D260" t="str">
            <v>CL 24 20 83</v>
          </cell>
          <cell r="E260" t="str">
            <v>3114747813</v>
          </cell>
          <cell r="F260" t="str">
            <v>Paipa</v>
          </cell>
        </row>
        <row r="261">
          <cell r="A261">
            <v>7227858</v>
          </cell>
          <cell r="C261" t="str">
            <v>ALVARADO ESPITIA HUGO DANILO</v>
          </cell>
          <cell r="D261" t="str">
            <v>CL 24 19 121</v>
          </cell>
          <cell r="E261" t="str">
            <v>3156026130</v>
          </cell>
          <cell r="F261" t="str">
            <v>Paipa</v>
          </cell>
        </row>
        <row r="262">
          <cell r="A262">
            <v>23852473</v>
          </cell>
          <cell r="B262">
            <v>1</v>
          </cell>
          <cell r="C262" t="str">
            <v>ALVARADO FONSECA AMELIA</v>
          </cell>
          <cell r="D262" t="str">
            <v>CR 19 25 41</v>
          </cell>
          <cell r="F262" t="str">
            <v>Paipa</v>
          </cell>
        </row>
        <row r="263">
          <cell r="A263">
            <v>19422106</v>
          </cell>
          <cell r="B263">
            <v>2</v>
          </cell>
          <cell r="C263" t="str">
            <v>ALVAREZ HERNANDEZ JOSE SANTIAGO</v>
          </cell>
          <cell r="D263" t="str">
            <v>CR 10 25 61 APTO 702</v>
          </cell>
          <cell r="E263" t="str">
            <v>3115829409</v>
          </cell>
          <cell r="F263" t="str">
            <v>Paipa</v>
          </cell>
        </row>
        <row r="264">
          <cell r="A264">
            <v>6757636</v>
          </cell>
          <cell r="B264">
            <v>5</v>
          </cell>
          <cell r="C264" t="str">
            <v>AMAYA GUIO GERMAN ALBERTO</v>
          </cell>
          <cell r="D264" t="str">
            <v>CR 1A  75 A  12 CASA 30</v>
          </cell>
          <cell r="E264" t="str">
            <v>3138817531</v>
          </cell>
          <cell r="F264" t="str">
            <v>Bogota D.C.</v>
          </cell>
        </row>
        <row r="265">
          <cell r="A265">
            <v>7224569</v>
          </cell>
          <cell r="B265">
            <v>6</v>
          </cell>
          <cell r="C265" t="str">
            <v>ANGARITA MARTINEZ LUIS ALBERTO</v>
          </cell>
          <cell r="D265" t="str">
            <v>AV AMERICAS 24 72</v>
          </cell>
          <cell r="E265" t="str">
            <v>3105538864</v>
          </cell>
          <cell r="F265" t="str">
            <v>Duitama</v>
          </cell>
        </row>
        <row r="266">
          <cell r="A266">
            <v>9524528</v>
          </cell>
          <cell r="B266">
            <v>9</v>
          </cell>
          <cell r="C266" t="str">
            <v>AREVALO PIÑEROS WILLIAM ISAURO</v>
          </cell>
          <cell r="D266" t="str">
            <v>CL 26 22 31</v>
          </cell>
          <cell r="E266" t="str">
            <v>3208412466</v>
          </cell>
          <cell r="F266" t="str">
            <v>Paipa</v>
          </cell>
        </row>
        <row r="267">
          <cell r="A267">
            <v>1019123220</v>
          </cell>
          <cell r="B267">
            <v>2</v>
          </cell>
          <cell r="C267" t="str">
            <v>AVELLA MERCHAN MARIA CAMILA</v>
          </cell>
          <cell r="D267" t="str">
            <v>CR 24 10 120</v>
          </cell>
          <cell r="E267" t="str">
            <v>3176593280</v>
          </cell>
          <cell r="F267" t="str">
            <v>Paipa</v>
          </cell>
        </row>
        <row r="268">
          <cell r="A268">
            <v>23856659</v>
          </cell>
          <cell r="B268">
            <v>0</v>
          </cell>
          <cell r="C268" t="str">
            <v>AVENDAÑO AVELLA FLOR ALBA</v>
          </cell>
          <cell r="D268" t="str">
            <v>CR 22 25 44</v>
          </cell>
          <cell r="E268" t="str">
            <v>3153523570</v>
          </cell>
          <cell r="F268" t="str">
            <v>Paipa</v>
          </cell>
        </row>
        <row r="269">
          <cell r="A269">
            <v>23856303</v>
          </cell>
          <cell r="B269">
            <v>4</v>
          </cell>
          <cell r="C269" t="str">
            <v>AVENDAÑO AVELLA MARIA NELLY</v>
          </cell>
          <cell r="D269" t="str">
            <v>CR 22 25 44</v>
          </cell>
          <cell r="E269" t="str">
            <v>7853364</v>
          </cell>
          <cell r="F269" t="str">
            <v>Paipa</v>
          </cell>
        </row>
        <row r="270">
          <cell r="A270">
            <v>46680694</v>
          </cell>
          <cell r="C270" t="str">
            <v>AVILA OCHOA MARISOL</v>
          </cell>
          <cell r="D270" t="str">
            <v>CL 26 16 04</v>
          </cell>
          <cell r="E270" t="str">
            <v>3138229642</v>
          </cell>
          <cell r="F270" t="str">
            <v>Paipa</v>
          </cell>
        </row>
        <row r="271">
          <cell r="A271">
            <v>52221230</v>
          </cell>
          <cell r="B271">
            <v>5</v>
          </cell>
          <cell r="C271" t="str">
            <v>BARINAS CORREDOR NANCY ASTRID</v>
          </cell>
          <cell r="D271" t="str">
            <v>CL 16 14 41</v>
          </cell>
          <cell r="E271" t="str">
            <v>7630037</v>
          </cell>
          <cell r="F271" t="str">
            <v>Duitama</v>
          </cell>
        </row>
        <row r="272">
          <cell r="A272">
            <v>1053610469</v>
          </cell>
          <cell r="B272">
            <v>1</v>
          </cell>
          <cell r="C272" t="str">
            <v>BARON DIAZ MARCO ANTONIO</v>
          </cell>
          <cell r="D272" t="str">
            <v>CR 26 26A 65</v>
          </cell>
          <cell r="E272" t="str">
            <v>3142707921</v>
          </cell>
          <cell r="F272" t="str">
            <v>Paipa</v>
          </cell>
        </row>
        <row r="273">
          <cell r="A273">
            <v>1052397695</v>
          </cell>
          <cell r="B273">
            <v>2</v>
          </cell>
          <cell r="C273" t="str">
            <v>BARRERA JIMENEZ JOHAN HERNANDO</v>
          </cell>
          <cell r="D273" t="str">
            <v>CL 9 BIS 10 47</v>
          </cell>
          <cell r="E273" t="str">
            <v>3102965893</v>
          </cell>
          <cell r="F273" t="str">
            <v>Duitama</v>
          </cell>
        </row>
        <row r="274">
          <cell r="A274">
            <v>1052400139</v>
          </cell>
          <cell r="C274" t="str">
            <v>BARRERA PEREZ FERNANDO ALVEIRO</v>
          </cell>
          <cell r="D274" t="str">
            <v>CL 18 A 4 88</v>
          </cell>
          <cell r="E274" t="str">
            <v>3204403895</v>
          </cell>
          <cell r="F274" t="str">
            <v>Duitama</v>
          </cell>
        </row>
        <row r="275">
          <cell r="A275">
            <v>1053606869</v>
          </cell>
          <cell r="B275">
            <v>9</v>
          </cell>
          <cell r="C275" t="str">
            <v>BAUTISTA RAMIREZ EBER AGUSTIN</v>
          </cell>
          <cell r="D275" t="str">
            <v>CL 26 21 54</v>
          </cell>
          <cell r="E275" t="str">
            <v>3115804994</v>
          </cell>
          <cell r="F275" t="str">
            <v>Paipa</v>
          </cell>
        </row>
        <row r="276">
          <cell r="A276">
            <v>74381494</v>
          </cell>
          <cell r="B276">
            <v>8</v>
          </cell>
          <cell r="C276" t="str">
            <v>BECERRA BECERRA HENRY DANIEL</v>
          </cell>
          <cell r="D276" t="str">
            <v>VDA QUEBRADA DE BECERRAS DUITAMA</v>
          </cell>
          <cell r="E276" t="str">
            <v>3124100472</v>
          </cell>
          <cell r="F276" t="str">
            <v>Duitama</v>
          </cell>
        </row>
        <row r="277">
          <cell r="A277">
            <v>1075652298</v>
          </cell>
          <cell r="C277" t="str">
            <v>BECERRA OCHOA JORGE ELIECER</v>
          </cell>
          <cell r="D277" t="str">
            <v>VDA LA VEGA PAIPA</v>
          </cell>
          <cell r="E277" t="str">
            <v>3114926873</v>
          </cell>
          <cell r="F277" t="str">
            <v>Paipa</v>
          </cell>
        </row>
        <row r="278">
          <cell r="A278">
            <v>1052392097</v>
          </cell>
          <cell r="B278">
            <v>5</v>
          </cell>
          <cell r="C278" t="str">
            <v>BECERRA PEDRAZA EDGAR ANDRES</v>
          </cell>
          <cell r="D278" t="str">
            <v>CL 19 A 4 55</v>
          </cell>
          <cell r="E278" t="str">
            <v>3102053609</v>
          </cell>
          <cell r="F278" t="str">
            <v>Duitama</v>
          </cell>
        </row>
        <row r="279">
          <cell r="A279">
            <v>1052406644</v>
          </cell>
          <cell r="B279">
            <v>7</v>
          </cell>
          <cell r="C279" t="str">
            <v>BECERRA PEDRAZA PAULA ANDREA</v>
          </cell>
        </row>
        <row r="280">
          <cell r="A280">
            <v>1052406644</v>
          </cell>
          <cell r="B280">
            <v>7</v>
          </cell>
          <cell r="C280" t="str">
            <v>BECERRA PEDRAZA PAULA ANDREA</v>
          </cell>
          <cell r="D280" t="str">
            <v>CR 17 2 110 CON REFUGIO ALAMOS</v>
          </cell>
          <cell r="E280" t="str">
            <v>3107880073</v>
          </cell>
          <cell r="F280" t="str">
            <v>Paipa</v>
          </cell>
        </row>
        <row r="281">
          <cell r="A281">
            <v>7221776</v>
          </cell>
          <cell r="B281">
            <v>0</v>
          </cell>
          <cell r="C281" t="str">
            <v>BECERRA RAMIREZ JOSE DANIEL</v>
          </cell>
          <cell r="D281" t="str">
            <v>VDA QUEBRADA DE BECERRA</v>
          </cell>
          <cell r="E281" t="str">
            <v>3103421706</v>
          </cell>
          <cell r="F281" t="str">
            <v>Duitama</v>
          </cell>
        </row>
        <row r="282">
          <cell r="A282">
            <v>7222425</v>
          </cell>
          <cell r="C282" t="str">
            <v>BECERRA RAMIREZ JOSE FRANCISCO</v>
          </cell>
          <cell r="D282" t="str">
            <v>VDA QUEBRADA DE BECERRA</v>
          </cell>
          <cell r="E282" t="str">
            <v>3125550686</v>
          </cell>
          <cell r="F282" t="str">
            <v>Paipa</v>
          </cell>
        </row>
        <row r="283">
          <cell r="A283">
            <v>41728846</v>
          </cell>
          <cell r="C283" t="str">
            <v>BOCANEGRA DE JIMENEZ DORIS ANDREA</v>
          </cell>
          <cell r="D283" t="str">
            <v>CR 52 22 39 TA APT 1003</v>
          </cell>
          <cell r="E283" t="str">
            <v>3002152893</v>
          </cell>
          <cell r="F283" t="str">
            <v>Bogota D.C.</v>
          </cell>
        </row>
        <row r="284">
          <cell r="A284">
            <v>46681167</v>
          </cell>
          <cell r="B284">
            <v>1</v>
          </cell>
          <cell r="C284" t="str">
            <v>BOLIVAR CRUZ EMILCE</v>
          </cell>
          <cell r="D284" t="str">
            <v>CL 25 22 49</v>
          </cell>
          <cell r="E284" t="str">
            <v>7851709</v>
          </cell>
          <cell r="F284" t="str">
            <v>Paipa</v>
          </cell>
        </row>
        <row r="285">
          <cell r="A285">
            <v>1053613709</v>
          </cell>
          <cell r="B285">
            <v>8</v>
          </cell>
          <cell r="C285" t="str">
            <v>BUSTAMANTE PALACIOS INGRID NATALIA</v>
          </cell>
          <cell r="D285" t="str">
            <v>CL 25 19 51</v>
          </cell>
          <cell r="E285" t="str">
            <v>3118273173</v>
          </cell>
          <cell r="F285" t="str">
            <v>Paipa</v>
          </cell>
        </row>
        <row r="286">
          <cell r="A286">
            <v>47440709</v>
          </cell>
          <cell r="B286">
            <v>1</v>
          </cell>
          <cell r="C286" t="str">
            <v>CACERES ARISMENDY CLAUDIA PATRICIA</v>
          </cell>
          <cell r="D286" t="str">
            <v>CR 19 26 01</v>
          </cell>
          <cell r="E286" t="str">
            <v>3214137651</v>
          </cell>
          <cell r="F286" t="str">
            <v>Duitama</v>
          </cell>
        </row>
        <row r="287">
          <cell r="A287">
            <v>27949666</v>
          </cell>
          <cell r="B287">
            <v>7</v>
          </cell>
          <cell r="C287" t="str">
            <v>CACERES CACERES GLADYS</v>
          </cell>
          <cell r="D287" t="str">
            <v>CL 21 22 13 APTO 304</v>
          </cell>
          <cell r="E287" t="str">
            <v>3142255526</v>
          </cell>
          <cell r="F287" t="str">
            <v>Paipa</v>
          </cell>
        </row>
        <row r="288">
          <cell r="A288">
            <v>4192929</v>
          </cell>
          <cell r="C288" t="str">
            <v>CADENA CASTRO MIGUEL EDUARDO</v>
          </cell>
          <cell r="D288" t="str">
            <v>CR 14  28 56</v>
          </cell>
          <cell r="E288" t="str">
            <v>3208175405</v>
          </cell>
          <cell r="F288" t="str">
            <v>Paipa</v>
          </cell>
        </row>
        <row r="289">
          <cell r="A289">
            <v>23857672</v>
          </cell>
          <cell r="B289">
            <v>1</v>
          </cell>
          <cell r="C289" t="str">
            <v>CAMACHO BAUTISTA JULIA INES</v>
          </cell>
          <cell r="D289" t="str">
            <v>CR 19 25 65</v>
          </cell>
          <cell r="E289" t="str">
            <v>3224853901</v>
          </cell>
          <cell r="F289" t="str">
            <v>Paipa</v>
          </cell>
        </row>
        <row r="290">
          <cell r="A290">
            <v>46680873</v>
          </cell>
          <cell r="B290">
            <v>7</v>
          </cell>
          <cell r="C290" t="str">
            <v>CAMACHO BAUTISTA NUBIA YANETH</v>
          </cell>
          <cell r="D290" t="str">
            <v>CL 25 22 38</v>
          </cell>
          <cell r="E290" t="str">
            <v>3133328805</v>
          </cell>
          <cell r="F290" t="str">
            <v>Paipa</v>
          </cell>
        </row>
        <row r="291">
          <cell r="A291">
            <v>74324374</v>
          </cell>
          <cell r="C291" t="str">
            <v>CAMACHO FONSECA MOISES</v>
          </cell>
          <cell r="D291" t="str">
            <v>KM 3 VIA TUNJA VDA EL VOLCAN BAJO</v>
          </cell>
          <cell r="E291" t="str">
            <v>3026750317</v>
          </cell>
          <cell r="F291" t="str">
            <v>Tunja</v>
          </cell>
        </row>
        <row r="292">
          <cell r="A292">
            <v>46680612</v>
          </cell>
          <cell r="B292">
            <v>1</v>
          </cell>
          <cell r="C292" t="str">
            <v>CAMARGO CUERVO EDY CRISTINA</v>
          </cell>
          <cell r="D292" t="str">
            <v>CL 23 25 00</v>
          </cell>
          <cell r="E292" t="str">
            <v>3143239509</v>
          </cell>
          <cell r="F292" t="str">
            <v>Paipa</v>
          </cell>
        </row>
        <row r="293">
          <cell r="A293">
            <v>23853741</v>
          </cell>
          <cell r="B293">
            <v>3</v>
          </cell>
          <cell r="C293" t="str">
            <v>CAMARGO DE SALAMANCA ALEJANDRINA</v>
          </cell>
          <cell r="D293" t="str">
            <v>CL 24 19 121 LOCAL 104</v>
          </cell>
          <cell r="E293" t="str">
            <v>3209426633</v>
          </cell>
          <cell r="F293" t="str">
            <v>Paipa</v>
          </cell>
        </row>
        <row r="294">
          <cell r="A294">
            <v>7229352</v>
          </cell>
          <cell r="B294">
            <v>8</v>
          </cell>
          <cell r="C294" t="str">
            <v>CAMARGO HIGUERA MARCO AURELIO</v>
          </cell>
          <cell r="D294" t="str">
            <v>CR 9 A 15 20 BRR SALESIANO</v>
          </cell>
          <cell r="E294" t="str">
            <v>3138131678</v>
          </cell>
          <cell r="F294" t="str">
            <v>Duitama</v>
          </cell>
        </row>
        <row r="295">
          <cell r="A295">
            <v>1053606899</v>
          </cell>
          <cell r="B295">
            <v>1</v>
          </cell>
          <cell r="C295" t="str">
            <v>CAMARGO JOHANA RAMIREZ</v>
          </cell>
        </row>
        <row r="296">
          <cell r="A296">
            <v>4191818</v>
          </cell>
          <cell r="B296">
            <v>0</v>
          </cell>
          <cell r="C296" t="str">
            <v>CAMARGO NIÑO JOSE MOISES</v>
          </cell>
          <cell r="D296" t="str">
            <v>CL 24 119 21</v>
          </cell>
          <cell r="F296" t="str">
            <v>Paipa</v>
          </cell>
        </row>
        <row r="297">
          <cell r="A297">
            <v>1110460096</v>
          </cell>
          <cell r="B297">
            <v>1</v>
          </cell>
          <cell r="C297" t="str">
            <v>CAMARGO PEDRAZA RAFAEL ALEJANDRO</v>
          </cell>
          <cell r="D297" t="str">
            <v>CL 24 17 AA 12 BRR LAS QUINTAS</v>
          </cell>
          <cell r="E297" t="str">
            <v>3164501924</v>
          </cell>
          <cell r="F297" t="str">
            <v>Paipa</v>
          </cell>
        </row>
        <row r="298">
          <cell r="A298">
            <v>900448328</v>
          </cell>
          <cell r="B298">
            <v>9</v>
          </cell>
          <cell r="C298" t="str">
            <v>CAÑATE RAMON ORLANDO</v>
          </cell>
          <cell r="D298" t="str">
            <v>AV LIBERTADORES 26 60</v>
          </cell>
          <cell r="E298" t="str">
            <v>3204556162</v>
          </cell>
          <cell r="F298" t="str">
            <v>Paipa</v>
          </cell>
        </row>
        <row r="299">
          <cell r="A299">
            <v>46359460</v>
          </cell>
          <cell r="B299">
            <v>4</v>
          </cell>
          <cell r="C299" t="str">
            <v>CARDOZO CARDENAS ROSA EMMA</v>
          </cell>
          <cell r="D299" t="str">
            <v>Cl 8 20 30</v>
          </cell>
          <cell r="E299" t="str">
            <v>3112083178</v>
          </cell>
          <cell r="F299" t="str">
            <v>Duitama</v>
          </cell>
        </row>
        <row r="300">
          <cell r="A300">
            <v>46667837</v>
          </cell>
          <cell r="B300">
            <v>8</v>
          </cell>
          <cell r="C300" t="str">
            <v>CARO NIÑO MARIA MERCEDES</v>
          </cell>
          <cell r="D300" t="str">
            <v>Edificio Santa Monika cl 13 13 50</v>
          </cell>
          <cell r="E300" t="str">
            <v>3118263090</v>
          </cell>
          <cell r="F300" t="str">
            <v>Duitama</v>
          </cell>
        </row>
        <row r="301">
          <cell r="A301">
            <v>1016092860</v>
          </cell>
          <cell r="B301">
            <v>0</v>
          </cell>
          <cell r="C301" t="str">
            <v>CASTELLANOS RIOS NELSON YAIR</v>
          </cell>
          <cell r="D301" t="str">
            <v>CL 28 15 09</v>
          </cell>
          <cell r="E301" t="str">
            <v>3123314520</v>
          </cell>
          <cell r="F301" t="str">
            <v>Paipa</v>
          </cell>
        </row>
        <row r="302">
          <cell r="A302">
            <v>1007379412</v>
          </cell>
          <cell r="C302" t="str">
            <v>CASTRO  DAVID MENDOZA</v>
          </cell>
          <cell r="D302" t="str">
            <v>CR 14  28 52</v>
          </cell>
          <cell r="E302" t="str">
            <v>3133737302</v>
          </cell>
          <cell r="F302" t="str">
            <v>Paipa</v>
          </cell>
        </row>
        <row r="303">
          <cell r="A303">
            <v>1126784347</v>
          </cell>
          <cell r="C303" t="str">
            <v>CASTRO TIRIA ALVARO IVAN</v>
          </cell>
          <cell r="D303" t="str">
            <v>CL 19 15 30</v>
          </cell>
          <cell r="F303" t="str">
            <v>Paipa</v>
          </cell>
        </row>
        <row r="304">
          <cell r="A304">
            <v>74359094</v>
          </cell>
          <cell r="B304">
            <v>3</v>
          </cell>
          <cell r="C304" t="str">
            <v>CEPEDA DIAZ PABLO CESAR</v>
          </cell>
          <cell r="D304" t="str">
            <v>CL 25 22 40 EDIFICIO MARIA MERCEDES</v>
          </cell>
          <cell r="E304" t="str">
            <v>3102051660</v>
          </cell>
          <cell r="F304" t="str">
            <v>Paipa</v>
          </cell>
        </row>
        <row r="305">
          <cell r="A305">
            <v>46450687</v>
          </cell>
          <cell r="B305">
            <v>7</v>
          </cell>
          <cell r="C305" t="str">
            <v>CEPEDA RINCON EDNA MARGARITA</v>
          </cell>
          <cell r="D305" t="str">
            <v>CR 19 27 33</v>
          </cell>
          <cell r="E305" t="str">
            <v>7852859</v>
          </cell>
          <cell r="F305" t="str">
            <v>Paipa</v>
          </cell>
        </row>
        <row r="306">
          <cell r="A306">
            <v>1053607408</v>
          </cell>
          <cell r="C306" t="str">
            <v>CESPEDES CORREA INGRID YINETH</v>
          </cell>
          <cell r="D306" t="str">
            <v>DIAG 39 29 19</v>
          </cell>
          <cell r="E306" t="str">
            <v>3228261715</v>
          </cell>
          <cell r="F306" t="str">
            <v>Paipa</v>
          </cell>
        </row>
        <row r="307">
          <cell r="A307">
            <v>23549682</v>
          </cell>
          <cell r="C307" t="str">
            <v>CHAPARRO IGUAVITA BLANCA DORIS</v>
          </cell>
          <cell r="D307" t="str">
            <v>CL 17 10 57</v>
          </cell>
          <cell r="E307" t="str">
            <v>3227911164</v>
          </cell>
          <cell r="F307" t="str">
            <v>Duitama</v>
          </cell>
        </row>
        <row r="308">
          <cell r="A308">
            <v>7219619</v>
          </cell>
          <cell r="B308">
            <v>6</v>
          </cell>
          <cell r="C308" t="str">
            <v>CHIRIVI PITA GUSTAVO</v>
          </cell>
          <cell r="D308" t="str">
            <v>AV LIBERTADORES 26 53</v>
          </cell>
          <cell r="E308" t="str">
            <v>3208014413</v>
          </cell>
          <cell r="F308" t="str">
            <v>Paipa</v>
          </cell>
        </row>
        <row r="309">
          <cell r="A309">
            <v>1052390370</v>
          </cell>
          <cell r="B309">
            <v>2</v>
          </cell>
          <cell r="C309" t="str">
            <v>CHISINO MANOSALVA FABIAN LEONARDO</v>
          </cell>
          <cell r="D309" t="str">
            <v>CL 11 BARR LA TOLOSA</v>
          </cell>
          <cell r="E309" t="str">
            <v>3125906048</v>
          </cell>
          <cell r="F309" t="str">
            <v>Duitama</v>
          </cell>
        </row>
        <row r="310">
          <cell r="A310">
            <v>40030550</v>
          </cell>
          <cell r="B310">
            <v>3</v>
          </cell>
          <cell r="C310" t="str">
            <v>COMBARIZA MARIA YANETH</v>
          </cell>
          <cell r="D310" t="str">
            <v>CL 2 A 15 A 13 BR BALCONES DE LA VILLA</v>
          </cell>
          <cell r="E310" t="str">
            <v>3223452203</v>
          </cell>
          <cell r="F310" t="str">
            <v>Tunja</v>
          </cell>
        </row>
        <row r="311">
          <cell r="A311">
            <v>74359318</v>
          </cell>
          <cell r="B311">
            <v>8</v>
          </cell>
          <cell r="C311" t="str">
            <v>CORONADO BECERRA OMAR ENRIQUE</v>
          </cell>
          <cell r="D311" t="str">
            <v>CL 145 A 12A 09 APTO 609</v>
          </cell>
          <cell r="E311" t="str">
            <v>3124794026</v>
          </cell>
          <cell r="F311" t="str">
            <v>Bogota D.C.</v>
          </cell>
        </row>
        <row r="312">
          <cell r="A312">
            <v>74375905</v>
          </cell>
          <cell r="B312">
            <v>9</v>
          </cell>
          <cell r="C312" t="str">
            <v>CORREDOR JUAN PABLO</v>
          </cell>
          <cell r="D312" t="str">
            <v>TV 14 10 53</v>
          </cell>
          <cell r="E312" t="str">
            <v>3214443245</v>
          </cell>
          <cell r="F312" t="str">
            <v>Duitama</v>
          </cell>
        </row>
        <row r="313">
          <cell r="A313">
            <v>46672064</v>
          </cell>
          <cell r="B313">
            <v>1</v>
          </cell>
          <cell r="C313" t="str">
            <v>CORREDOR QUIJANO LYDA MILENA</v>
          </cell>
          <cell r="D313" t="str">
            <v>KM 6 VIA DUITAMA NOBSA SECTOR PUNTA LARGA</v>
          </cell>
          <cell r="E313" t="str">
            <v>3212078179</v>
          </cell>
          <cell r="F313" t="str">
            <v>Nobsa</v>
          </cell>
        </row>
        <row r="314">
          <cell r="A314">
            <v>74377529</v>
          </cell>
          <cell r="B314">
            <v>1</v>
          </cell>
          <cell r="C314" t="str">
            <v>CRUZ HERNANDEZ GERARDO ALBERTO</v>
          </cell>
          <cell r="D314" t="str">
            <v>CR 14 17 02</v>
          </cell>
          <cell r="E314" t="str">
            <v>3124811048</v>
          </cell>
          <cell r="F314" t="str">
            <v>Duitama</v>
          </cell>
        </row>
        <row r="315">
          <cell r="A315">
            <v>1100525</v>
          </cell>
          <cell r="B315">
            <v>8</v>
          </cell>
          <cell r="C315" t="str">
            <v>CRUZ PIAMONTE JOSE JACINTO</v>
          </cell>
          <cell r="D315" t="str">
            <v>VDA CENTRAL BELLA VISTA</v>
          </cell>
          <cell r="E315" t="str">
            <v>3132765985</v>
          </cell>
          <cell r="F315" t="str">
            <v>Oicatá</v>
          </cell>
        </row>
        <row r="316">
          <cell r="A316">
            <v>40044765</v>
          </cell>
          <cell r="B316">
            <v>0</v>
          </cell>
          <cell r="C316" t="str">
            <v>CUCHIGAVE OLGA LUCIA</v>
          </cell>
          <cell r="D316" t="str">
            <v>CL 15 16 55</v>
          </cell>
          <cell r="E316" t="str">
            <v>74447567</v>
          </cell>
          <cell r="F316" t="str">
            <v>Tunja</v>
          </cell>
        </row>
        <row r="317">
          <cell r="A317">
            <v>74359663</v>
          </cell>
          <cell r="C317" t="str">
            <v>CUENU CIFUENTES WIILLIAM ALBERTO</v>
          </cell>
          <cell r="D317" t="str">
            <v>VDA RIO A RIBO</v>
          </cell>
          <cell r="E317" t="str">
            <v>3008287802</v>
          </cell>
          <cell r="F317" t="str">
            <v>Paipa</v>
          </cell>
        </row>
        <row r="318">
          <cell r="A318">
            <v>1055332675</v>
          </cell>
          <cell r="B318">
            <v>7</v>
          </cell>
          <cell r="C318" t="str">
            <v>CUERVO SUAREZ EDWIN GIOVANNY</v>
          </cell>
          <cell r="D318" t="str">
            <v>VDA EL MORAL</v>
          </cell>
          <cell r="E318" t="str">
            <v>3196306761</v>
          </cell>
          <cell r="F318" t="str">
            <v>Tuta</v>
          </cell>
        </row>
        <row r="319">
          <cell r="A319">
            <v>1002607798</v>
          </cell>
          <cell r="C319" t="str">
            <v>CUERVO SUAREZ SEGUNDO ARLEY</v>
          </cell>
          <cell r="D319" t="str">
            <v>BARRIO LAS QUINTAS PAIPA</v>
          </cell>
          <cell r="E319" t="str">
            <v>3204222171</v>
          </cell>
          <cell r="F319" t="str">
            <v>Paipa</v>
          </cell>
        </row>
        <row r="320">
          <cell r="A320">
            <v>46368344</v>
          </cell>
          <cell r="B320">
            <v>6</v>
          </cell>
          <cell r="C320" t="str">
            <v>CUTA AMARILLO ANA LUCIA</v>
          </cell>
          <cell r="D320" t="str">
            <v>CR 17 26 34</v>
          </cell>
          <cell r="E320" t="str">
            <v>3227268828</v>
          </cell>
          <cell r="F320" t="str">
            <v>Paipa</v>
          </cell>
        </row>
        <row r="321">
          <cell r="A321">
            <v>1018465729</v>
          </cell>
          <cell r="C321" t="str">
            <v>DAZA ACEVEDO HERNAN DARIO</v>
          </cell>
          <cell r="D321" t="str">
            <v>CL 25 68 B 30 CIUDAD SALITRE</v>
          </cell>
          <cell r="E321" t="str">
            <v>3002658167</v>
          </cell>
          <cell r="F321" t="str">
            <v>Bogota D.C.</v>
          </cell>
        </row>
        <row r="322">
          <cell r="A322">
            <v>1018490625</v>
          </cell>
          <cell r="B322">
            <v>0</v>
          </cell>
          <cell r="C322" t="str">
            <v>DAZA ACEVEDO JUAN CAMILO</v>
          </cell>
          <cell r="D322" t="str">
            <v>Cl 25 68 B 30 CIUDAD SALITRE</v>
          </cell>
          <cell r="E322" t="str">
            <v>300 2658167</v>
          </cell>
          <cell r="F322" t="str">
            <v>Bogota D.C.</v>
          </cell>
        </row>
        <row r="323">
          <cell r="A323">
            <v>1010184940</v>
          </cell>
          <cell r="C323" t="str">
            <v>DAZA ACEVEDO PAOLA ANDREA</v>
          </cell>
          <cell r="D323" t="str">
            <v>CL 25 68 B 30 CIUDAD SALITRE</v>
          </cell>
          <cell r="E323" t="str">
            <v>3002658167</v>
          </cell>
          <cell r="F323" t="str">
            <v>Bogota D.C.</v>
          </cell>
        </row>
        <row r="324">
          <cell r="A324">
            <v>4190647</v>
          </cell>
          <cell r="B324">
            <v>3</v>
          </cell>
          <cell r="C324" t="str">
            <v>DAZA HIGUERA HERNAN FELIX</v>
          </cell>
          <cell r="D324" t="str">
            <v>CL 25 68B 30 APTO 706 SALITRE PLAZA</v>
          </cell>
          <cell r="E324" t="str">
            <v>3016950980</v>
          </cell>
          <cell r="F324" t="str">
            <v>Bogota D.C.</v>
          </cell>
        </row>
        <row r="325">
          <cell r="A325">
            <v>1053612288</v>
          </cell>
          <cell r="C325" t="str">
            <v>DIAZ GONZALES JONATHAN BENJAMIN</v>
          </cell>
          <cell r="D325" t="str">
            <v>CL 30 14 26 BARRIO EL BOSQUE PAIPA</v>
          </cell>
          <cell r="E325" t="str">
            <v>3213166774</v>
          </cell>
          <cell r="F325" t="str">
            <v>Paipa</v>
          </cell>
        </row>
        <row r="326">
          <cell r="A326">
            <v>1002538052</v>
          </cell>
          <cell r="B326">
            <v>1</v>
          </cell>
          <cell r="C326" t="str">
            <v>DIAZ MEJIA SALANGEL GERALDIN</v>
          </cell>
          <cell r="D326" t="str">
            <v>CR 20 24 53</v>
          </cell>
          <cell r="F326" t="str">
            <v>Paipa</v>
          </cell>
        </row>
        <row r="327">
          <cell r="A327">
            <v>1057572872</v>
          </cell>
          <cell r="B327">
            <v>8</v>
          </cell>
          <cell r="C327" t="str">
            <v>DIAZ PLAZAS PAULA NATHALIA</v>
          </cell>
          <cell r="D327" t="str">
            <v>CL 13 13 27</v>
          </cell>
          <cell r="E327" t="str">
            <v>3108641953</v>
          </cell>
          <cell r="F327" t="str">
            <v>Duitama</v>
          </cell>
        </row>
        <row r="328">
          <cell r="A328">
            <v>7213708</v>
          </cell>
          <cell r="B328">
            <v>6</v>
          </cell>
          <cell r="C328" t="str">
            <v>ESPEJO CAMARGO JOSE MARIO</v>
          </cell>
          <cell r="D328" t="str">
            <v>CR 20 26 36</v>
          </cell>
          <cell r="E328" t="str">
            <v>7600194</v>
          </cell>
          <cell r="F328" t="str">
            <v>Paipa</v>
          </cell>
        </row>
        <row r="329">
          <cell r="A329">
            <v>32734176</v>
          </cell>
          <cell r="B329">
            <v>4</v>
          </cell>
          <cell r="C329" t="str">
            <v>ESPINOSA CHELA KHENAYZIR</v>
          </cell>
          <cell r="D329" t="str">
            <v>CL 24 19 121 LOCAL 208</v>
          </cell>
          <cell r="E329" t="str">
            <v>3124607593</v>
          </cell>
          <cell r="F329" t="str">
            <v>Paipa</v>
          </cell>
        </row>
        <row r="330">
          <cell r="A330">
            <v>7222514</v>
          </cell>
          <cell r="B330">
            <v>2</v>
          </cell>
          <cell r="C330" t="str">
            <v>ESTUPIÑAN MESA JORGE EDGAR</v>
          </cell>
          <cell r="D330" t="str">
            <v>TRV 29 14 74</v>
          </cell>
          <cell r="E330" t="str">
            <v>7627144</v>
          </cell>
          <cell r="F330" t="str">
            <v>Duitama</v>
          </cell>
        </row>
        <row r="331">
          <cell r="A331">
            <v>1051588410</v>
          </cell>
          <cell r="B331">
            <v>7</v>
          </cell>
          <cell r="C331" t="str">
            <v>FAGUA PORRAS JHON ARLEY</v>
          </cell>
          <cell r="D331" t="str">
            <v>VDA CENTRO</v>
          </cell>
          <cell r="E331" t="str">
            <v>3203602701</v>
          </cell>
          <cell r="F331" t="str">
            <v>Oicatá</v>
          </cell>
        </row>
        <row r="332">
          <cell r="A332">
            <v>1053613555</v>
          </cell>
          <cell r="B332">
            <v>0</v>
          </cell>
          <cell r="C332" t="str">
            <v>FARFAN ORTIZ JAVIER ANDRES</v>
          </cell>
          <cell r="D332" t="str">
            <v>CR 17 23 A 89 BRR LAS QUINTAS</v>
          </cell>
          <cell r="E332" t="str">
            <v>3118688004</v>
          </cell>
          <cell r="F332" t="str">
            <v>Paipa</v>
          </cell>
        </row>
        <row r="333">
          <cell r="A333">
            <v>46683262</v>
          </cell>
          <cell r="B333">
            <v>0</v>
          </cell>
          <cell r="C333" t="str">
            <v>FONSECA AMAYA MAIRELY</v>
          </cell>
          <cell r="D333" t="str">
            <v>CL 24 20 78</v>
          </cell>
          <cell r="E333" t="str">
            <v>3138216651</v>
          </cell>
          <cell r="F333" t="str">
            <v>Paipa</v>
          </cell>
        </row>
        <row r="334">
          <cell r="A334">
            <v>18385806</v>
          </cell>
          <cell r="B334">
            <v>7</v>
          </cell>
          <cell r="C334" t="str">
            <v>FONSECA ECHEVERRIA MARCO</v>
          </cell>
          <cell r="D334" t="str">
            <v>AV LIBERTADORES 26 A 05</v>
          </cell>
          <cell r="E334" t="str">
            <v>3133107339</v>
          </cell>
          <cell r="F334" t="str">
            <v>Paipa</v>
          </cell>
        </row>
        <row r="335">
          <cell r="A335">
            <v>52814494</v>
          </cell>
          <cell r="B335">
            <v>8</v>
          </cell>
          <cell r="C335" t="str">
            <v>FONSECA ROJAS MARIA NANCY</v>
          </cell>
          <cell r="D335" t="str">
            <v>CL 25 13 70 BRR VILLA PANORAMA</v>
          </cell>
          <cell r="E335" t="str">
            <v>3232429386</v>
          </cell>
          <cell r="F335" t="str">
            <v>Paipa</v>
          </cell>
        </row>
        <row r="336">
          <cell r="A336">
            <v>1053604581</v>
          </cell>
          <cell r="B336">
            <v>4</v>
          </cell>
          <cell r="C336" t="str">
            <v>FONSECA SUESCA DIANA CAROLINA</v>
          </cell>
          <cell r="D336" t="str">
            <v>CL 27 17 21</v>
          </cell>
          <cell r="E336" t="str">
            <v>3115662727</v>
          </cell>
          <cell r="F336" t="str">
            <v>Paipa</v>
          </cell>
        </row>
        <row r="337">
          <cell r="A337">
            <v>1051066730</v>
          </cell>
          <cell r="B337">
            <v>9</v>
          </cell>
          <cell r="C337" t="str">
            <v>GALAN MUÑOZ DANIELA</v>
          </cell>
          <cell r="D337" t="str">
            <v>CR 10 25 61</v>
          </cell>
          <cell r="E337" t="str">
            <v>3229448422</v>
          </cell>
          <cell r="F337" t="str">
            <v>Paipa</v>
          </cell>
        </row>
        <row r="338">
          <cell r="A338">
            <v>35</v>
          </cell>
          <cell r="B338">
            <v>3</v>
          </cell>
          <cell r="C338" t="str">
            <v>GAMBOA MORENO JOSE</v>
          </cell>
        </row>
        <row r="339">
          <cell r="A339">
            <v>74323035</v>
          </cell>
          <cell r="B339">
            <v>3</v>
          </cell>
          <cell r="C339" t="str">
            <v>GAMBOA MORENO JOSE ADAN</v>
          </cell>
          <cell r="D339" t="str">
            <v>VDA CRUZ DE BONZA</v>
          </cell>
          <cell r="E339" t="str">
            <v>3132206211</v>
          </cell>
          <cell r="F339" t="str">
            <v>Paipa</v>
          </cell>
        </row>
        <row r="340">
          <cell r="A340">
            <v>41544961</v>
          </cell>
          <cell r="B340">
            <v>7</v>
          </cell>
          <cell r="C340" t="str">
            <v>GARCIA DE VILLAMIL CLARA AYDEE</v>
          </cell>
          <cell r="D340" t="str">
            <v>CL 121 52 75 BARRIO MALYBU</v>
          </cell>
          <cell r="E340" t="str">
            <v>300268666</v>
          </cell>
          <cell r="F340" t="str">
            <v>Bogota D.C.</v>
          </cell>
        </row>
        <row r="341">
          <cell r="A341">
            <v>1049603778</v>
          </cell>
          <cell r="B341">
            <v>9</v>
          </cell>
          <cell r="C341" t="str">
            <v>GARCIA MORCOTE CESAR AUGUSTO</v>
          </cell>
          <cell r="D341" t="str">
            <v>FINCA ALSACIA</v>
          </cell>
          <cell r="E341" t="str">
            <v>3204766319</v>
          </cell>
          <cell r="F341" t="str">
            <v>Sotaquirá</v>
          </cell>
        </row>
        <row r="342">
          <cell r="A342">
            <v>4190424</v>
          </cell>
          <cell r="B342">
            <v>8</v>
          </cell>
          <cell r="C342" t="str">
            <v>GARZON SALAMANCA JOSE DEL CARMEN</v>
          </cell>
          <cell r="D342" t="str">
            <v>VDA EL SALITRE</v>
          </cell>
          <cell r="E342" t="str">
            <v>3204190450</v>
          </cell>
          <cell r="F342" t="str">
            <v>Paipa</v>
          </cell>
        </row>
        <row r="343">
          <cell r="A343">
            <v>52388873</v>
          </cell>
          <cell r="B343">
            <v>8</v>
          </cell>
          <cell r="C343" t="str">
            <v>GAVIRIA BLANCO GLORIA PATRICIA</v>
          </cell>
          <cell r="D343" t="str">
            <v>CL 145 A 12 A 09 APTO 609</v>
          </cell>
          <cell r="E343" t="str">
            <v>3124794026</v>
          </cell>
          <cell r="F343" t="str">
            <v>Bogota D.C.</v>
          </cell>
        </row>
        <row r="344">
          <cell r="A344">
            <v>88180245</v>
          </cell>
          <cell r="B344">
            <v>9</v>
          </cell>
          <cell r="C344" t="str">
            <v>GELVEZ VILLAMIZAR ANGEL TOBIAS</v>
          </cell>
          <cell r="D344" t="str">
            <v>CR 27 23 33</v>
          </cell>
          <cell r="E344" t="str">
            <v>3123723674</v>
          </cell>
          <cell r="F344" t="str">
            <v>Paipa</v>
          </cell>
        </row>
        <row r="345">
          <cell r="A345">
            <v>1122136535</v>
          </cell>
          <cell r="B345">
            <v>7</v>
          </cell>
          <cell r="C345" t="str">
            <v>GOMEZ DANIELA</v>
          </cell>
          <cell r="D345" t="str">
            <v>CR 20 24 38</v>
          </cell>
          <cell r="F345" t="str">
            <v>Paipa</v>
          </cell>
        </row>
        <row r="346">
          <cell r="A346">
            <v>1052405146</v>
          </cell>
          <cell r="B346">
            <v>6</v>
          </cell>
          <cell r="C346" t="str">
            <v>GOMEZ GUTIERREZ JHOAN SEBASTIAN</v>
          </cell>
          <cell r="D346" t="str">
            <v>CR 9 19 23</v>
          </cell>
          <cell r="E346" t="str">
            <v>3115754647</v>
          </cell>
          <cell r="F346" t="str">
            <v>Duitama</v>
          </cell>
        </row>
        <row r="347">
          <cell r="A347">
            <v>46661822</v>
          </cell>
          <cell r="B347">
            <v>0</v>
          </cell>
          <cell r="C347" t="str">
            <v>GOMEZ HIGUERA LIBIA PAULINA</v>
          </cell>
          <cell r="D347" t="str">
            <v>CL 16 14 46</v>
          </cell>
          <cell r="E347" t="str">
            <v>3123788403</v>
          </cell>
          <cell r="F347" t="str">
            <v>Duitama</v>
          </cell>
        </row>
        <row r="348">
          <cell r="A348">
            <v>1052386470</v>
          </cell>
          <cell r="B348">
            <v>5</v>
          </cell>
          <cell r="C348" t="str">
            <v>GOMEZ LARA DIEGO FRANCISCO</v>
          </cell>
          <cell r="D348" t="str">
            <v>CL 10 19 61</v>
          </cell>
          <cell r="E348" t="str">
            <v>3212040516</v>
          </cell>
          <cell r="F348" t="str">
            <v>Duitama</v>
          </cell>
        </row>
        <row r="349">
          <cell r="A349">
            <v>7212963</v>
          </cell>
          <cell r="B349">
            <v>3</v>
          </cell>
          <cell r="C349" t="str">
            <v>GOMEZ LIZARAZO JESUS</v>
          </cell>
          <cell r="D349" t="str">
            <v>Cl 9 19 53</v>
          </cell>
          <cell r="E349" t="str">
            <v>7603312</v>
          </cell>
          <cell r="F349" t="str">
            <v>Duitama</v>
          </cell>
        </row>
        <row r="350">
          <cell r="A350">
            <v>88210623</v>
          </cell>
          <cell r="B350">
            <v>1</v>
          </cell>
          <cell r="C350" t="str">
            <v>GOMEZ PARADA WILLIAM OMAR</v>
          </cell>
          <cell r="D350" t="str">
            <v>CL 27 99 70 LOC 21</v>
          </cell>
          <cell r="E350" t="str">
            <v>4603525</v>
          </cell>
          <cell r="F350" t="str">
            <v>Bogota D.C.</v>
          </cell>
        </row>
        <row r="351">
          <cell r="A351">
            <v>1053615123</v>
          </cell>
          <cell r="B351">
            <v>1</v>
          </cell>
          <cell r="C351" t="str">
            <v>GOMEZ PATARROYO JHOAN CAMILO</v>
          </cell>
          <cell r="D351" t="str">
            <v>ARCABUCO VIA SOTAQUIRA KILOMETRO</v>
          </cell>
          <cell r="E351" t="str">
            <v>3144211191</v>
          </cell>
          <cell r="F351" t="str">
            <v>Arcabuco</v>
          </cell>
        </row>
        <row r="352">
          <cell r="A352">
            <v>52321781</v>
          </cell>
          <cell r="B352">
            <v>0</v>
          </cell>
          <cell r="C352" t="str">
            <v>GONZALES MONTOYA LUZ HELENA</v>
          </cell>
          <cell r="D352" t="str">
            <v>CL 25 20 46</v>
          </cell>
          <cell r="E352" t="str">
            <v>3105669083</v>
          </cell>
          <cell r="F352" t="str">
            <v>Paipa</v>
          </cell>
        </row>
        <row r="353">
          <cell r="A353">
            <v>74372463</v>
          </cell>
          <cell r="B353">
            <v>1</v>
          </cell>
          <cell r="C353" t="str">
            <v>GRANADOS CORREDOR LUIS FERNANDO</v>
          </cell>
          <cell r="D353" t="str">
            <v>CL 25 19 133</v>
          </cell>
          <cell r="F353" t="str">
            <v>Paipa</v>
          </cell>
        </row>
        <row r="354">
          <cell r="A354">
            <v>4190910</v>
          </cell>
          <cell r="B354">
            <v>6</v>
          </cell>
          <cell r="C354" t="str">
            <v>GUATIBONZA HIGUERA JOSE ANTONIO</v>
          </cell>
          <cell r="D354" t="str">
            <v>CR 21 21 79 BRR CENTRO</v>
          </cell>
          <cell r="E354" t="str">
            <v>3164458678</v>
          </cell>
          <cell r="F354" t="str">
            <v>Paipa</v>
          </cell>
        </row>
        <row r="355">
          <cell r="A355">
            <v>7210795</v>
          </cell>
          <cell r="B355">
            <v>3</v>
          </cell>
          <cell r="C355" t="str">
            <v>GUEVARA CAMARGO JUAN AGUSTIN</v>
          </cell>
          <cell r="D355" t="str">
            <v>CL 23 19 20</v>
          </cell>
          <cell r="E355" t="str">
            <v>3132526529</v>
          </cell>
          <cell r="F355" t="str">
            <v>Paipa</v>
          </cell>
        </row>
        <row r="356">
          <cell r="A356">
            <v>1052393629</v>
          </cell>
          <cell r="B356">
            <v>8</v>
          </cell>
          <cell r="C356" t="str">
            <v>GUEVARA NOVA WILSON DAVID</v>
          </cell>
          <cell r="D356" t="str">
            <v>CR 33A 4B AUT OESTE 16</v>
          </cell>
          <cell r="E356" t="str">
            <v>3108633540</v>
          </cell>
          <cell r="F356" t="str">
            <v>Duitama</v>
          </cell>
        </row>
        <row r="357">
          <cell r="A357">
            <v>46451252</v>
          </cell>
          <cell r="B357">
            <v>1</v>
          </cell>
          <cell r="C357" t="str">
            <v>GUEVARA RIVERA YENNY CAROLINA</v>
          </cell>
          <cell r="D357" t="str">
            <v>Cl 44# 8- 11 Apto 201 To 2, Bogotá</v>
          </cell>
          <cell r="E357" t="str">
            <v>310 8693873</v>
          </cell>
          <cell r="F357" t="str">
            <v>Bogota D.C.</v>
          </cell>
        </row>
        <row r="358">
          <cell r="A358">
            <v>1053615764</v>
          </cell>
          <cell r="C358" t="str">
            <v>GUIO CIPAGAUTA JEFERSON ENRIQUE</v>
          </cell>
          <cell r="D358" t="str">
            <v>VDA CRUZ DE BONZA PAIPA</v>
          </cell>
          <cell r="E358" t="str">
            <v>3223141925</v>
          </cell>
          <cell r="F358" t="str">
            <v>Paipa</v>
          </cell>
        </row>
        <row r="359">
          <cell r="A359">
            <v>40011439</v>
          </cell>
          <cell r="B359">
            <v>2</v>
          </cell>
          <cell r="C359" t="str">
            <v>GUTIERREZ CASTILLO DORY CLARETH</v>
          </cell>
          <cell r="D359" t="str">
            <v>CL 2A 17 27</v>
          </cell>
          <cell r="E359" t="str">
            <v>3118126414</v>
          </cell>
          <cell r="F359" t="str">
            <v>Sogamoso</v>
          </cell>
        </row>
        <row r="360">
          <cell r="A360">
            <v>1075666173</v>
          </cell>
          <cell r="B360">
            <v>8</v>
          </cell>
          <cell r="C360" t="str">
            <v>GUTIERREZ PRADA YESSICA</v>
          </cell>
          <cell r="D360" t="str">
            <v>CR 6A 25 A 00 40</v>
          </cell>
          <cell r="E360" t="str">
            <v>3012561295</v>
          </cell>
          <cell r="F360" t="str">
            <v>Paipa</v>
          </cell>
        </row>
        <row r="361">
          <cell r="A361">
            <v>46452280</v>
          </cell>
          <cell r="B361">
            <v>2</v>
          </cell>
          <cell r="C361" t="str">
            <v>GUZMAN ROJAS CLAUDIA MILENA</v>
          </cell>
          <cell r="D361" t="str">
            <v>CR 19 14 17</v>
          </cell>
          <cell r="E361" t="str">
            <v>3108059140</v>
          </cell>
          <cell r="F361" t="str">
            <v>Duitama</v>
          </cell>
        </row>
        <row r="362">
          <cell r="A362">
            <v>3024596</v>
          </cell>
          <cell r="B362">
            <v>2</v>
          </cell>
          <cell r="C362" t="str">
            <v>HERNANDEZ HERNANDEZ RAUL</v>
          </cell>
          <cell r="D362" t="str">
            <v>CR 10 25 46</v>
          </cell>
          <cell r="F362" t="str">
            <v>Paipa</v>
          </cell>
        </row>
        <row r="363">
          <cell r="A363">
            <v>63506123</v>
          </cell>
          <cell r="B363">
            <v>1</v>
          </cell>
          <cell r="C363" t="str">
            <v>HERNANDEZ RODRIGUEZ GENNY LUCIA</v>
          </cell>
          <cell r="D363" t="str">
            <v>CR 52 104 13 CA 58</v>
          </cell>
          <cell r="E363" t="str">
            <v>3216480046</v>
          </cell>
          <cell r="F363" t="str">
            <v>Barranquilla</v>
          </cell>
        </row>
        <row r="364">
          <cell r="A364">
            <v>63482886</v>
          </cell>
          <cell r="B364">
            <v>5</v>
          </cell>
          <cell r="C364" t="str">
            <v>HERNANDEZ RODRIGUEZ SONIA MILENA</v>
          </cell>
        </row>
        <row r="365">
          <cell r="A365">
            <v>4191930</v>
          </cell>
          <cell r="B365">
            <v>8</v>
          </cell>
          <cell r="C365" t="str">
            <v>HERRERA JAIME RICARDO ALFREDO</v>
          </cell>
          <cell r="D365" t="str">
            <v>CL 24 19 121</v>
          </cell>
          <cell r="E365" t="str">
            <v>3214753242</v>
          </cell>
          <cell r="F365" t="str">
            <v>Paipa</v>
          </cell>
        </row>
        <row r="366">
          <cell r="A366">
            <v>1001817603</v>
          </cell>
          <cell r="B366">
            <v>3</v>
          </cell>
          <cell r="C366" t="str">
            <v>HERRERA KHENAYZIR ANDRES RICARDO</v>
          </cell>
          <cell r="D366" t="str">
            <v>CR 10 25 60</v>
          </cell>
          <cell r="E366" t="str">
            <v>3156007442</v>
          </cell>
          <cell r="F366" t="str">
            <v>Paipa</v>
          </cell>
        </row>
        <row r="367">
          <cell r="A367">
            <v>23554705</v>
          </cell>
          <cell r="B367">
            <v>5</v>
          </cell>
          <cell r="C367" t="str">
            <v>JAIMES HERREÑO DORIS HELENA</v>
          </cell>
          <cell r="D367" t="str">
            <v>cra 16 16 63</v>
          </cell>
          <cell r="F367" t="str">
            <v>Duitama</v>
          </cell>
        </row>
        <row r="368">
          <cell r="A368">
            <v>52908150</v>
          </cell>
          <cell r="B368">
            <v>4</v>
          </cell>
          <cell r="C368" t="str">
            <v>JIMENEZ BOCANEGRA SANDRA MARCELA</v>
          </cell>
          <cell r="D368" t="str">
            <v>VDA MIRABAL CONJ RINCON DE TORCORAMA</v>
          </cell>
          <cell r="E368" t="str">
            <v>3123212511</v>
          </cell>
          <cell r="F368" t="str">
            <v>Paipa</v>
          </cell>
        </row>
        <row r="369">
          <cell r="A369">
            <v>23854351</v>
          </cell>
          <cell r="B369">
            <v>9</v>
          </cell>
          <cell r="C369" t="str">
            <v>JIMENEZ MATEUS ROSALBA</v>
          </cell>
          <cell r="D369" t="str">
            <v>CL 24 19 121</v>
          </cell>
          <cell r="E369" t="str">
            <v>3204946948</v>
          </cell>
          <cell r="F369" t="str">
            <v>Paipa</v>
          </cell>
        </row>
        <row r="370">
          <cell r="A370">
            <v>19187570</v>
          </cell>
          <cell r="C370" t="str">
            <v>JIMENEZ PINTO HECTOR BASILIO</v>
          </cell>
          <cell r="D370" t="str">
            <v>CR 52 22 39 TA APT 1003</v>
          </cell>
          <cell r="E370" t="str">
            <v>3003016726</v>
          </cell>
          <cell r="F370" t="str">
            <v>Paipa</v>
          </cell>
        </row>
        <row r="371">
          <cell r="A371">
            <v>1049624193</v>
          </cell>
          <cell r="B371">
            <v>0</v>
          </cell>
          <cell r="C371" t="str">
            <v>JOYA ALVARADO WILMER ASDRUBAL</v>
          </cell>
          <cell r="D371" t="str">
            <v>CR 22 25 47 OF 203</v>
          </cell>
          <cell r="E371" t="str">
            <v>3202637920</v>
          </cell>
          <cell r="F371" t="str">
            <v>Paipa</v>
          </cell>
        </row>
        <row r="372">
          <cell r="A372">
            <v>23854542</v>
          </cell>
          <cell r="B372">
            <v>9</v>
          </cell>
          <cell r="C372" t="str">
            <v>JOYA FONSECA IRMA MATILDE</v>
          </cell>
          <cell r="D372" t="str">
            <v>Sendero 3 Apto 503</v>
          </cell>
          <cell r="E372" t="str">
            <v>3107810655</v>
          </cell>
          <cell r="F372" t="str">
            <v>Paipa</v>
          </cell>
        </row>
        <row r="373">
          <cell r="A373">
            <v>23854000</v>
          </cell>
          <cell r="C373" t="str">
            <v>JOYA FONSECA NIDIA</v>
          </cell>
          <cell r="D373" t="str">
            <v>CR 22 20 A 38</v>
          </cell>
          <cell r="E373" t="str">
            <v>3112316109</v>
          </cell>
          <cell r="F373" t="str">
            <v>Paipa</v>
          </cell>
        </row>
        <row r="374">
          <cell r="A374">
            <v>1053608252</v>
          </cell>
          <cell r="B374">
            <v>4</v>
          </cell>
          <cell r="C374" t="str">
            <v>JUNCO MERCHAN ANNYI KATHERINE</v>
          </cell>
          <cell r="D374" t="str">
            <v>CR 1 ESTE 33 101 BLOQUE 8 APTO 302</v>
          </cell>
          <cell r="E374" t="str">
            <v>3193868553</v>
          </cell>
          <cell r="F374" t="str">
            <v>Tunja</v>
          </cell>
        </row>
        <row r="375">
          <cell r="A375">
            <v>80032704</v>
          </cell>
          <cell r="B375">
            <v>5</v>
          </cell>
          <cell r="C375" t="str">
            <v>LEON CUADRADO JOSE FERNANDO</v>
          </cell>
        </row>
        <row r="376">
          <cell r="A376">
            <v>51882649</v>
          </cell>
          <cell r="B376">
            <v>9</v>
          </cell>
          <cell r="C376" t="str">
            <v>LIMAS SOLANO LUCY MARGARITA</v>
          </cell>
          <cell r="D376" t="str">
            <v>CL 120 16 26 APTO 104</v>
          </cell>
          <cell r="E376" t="str">
            <v>3134200677</v>
          </cell>
          <cell r="F376" t="str">
            <v>Bogota D.C.</v>
          </cell>
        </row>
        <row r="377">
          <cell r="A377">
            <v>51722590</v>
          </cell>
          <cell r="B377">
            <v>8</v>
          </cell>
          <cell r="C377" t="str">
            <v>LIMAS SOLANO MARTHA ROCIO</v>
          </cell>
          <cell r="D377" t="str">
            <v>CL 120 16-26 APTO 104</v>
          </cell>
          <cell r="E377" t="str">
            <v>3134200677</v>
          </cell>
          <cell r="F377" t="str">
            <v>Bogota D.C.</v>
          </cell>
        </row>
        <row r="378">
          <cell r="A378">
            <v>51821999</v>
          </cell>
          <cell r="B378">
            <v>0</v>
          </cell>
          <cell r="C378" t="str">
            <v>LIMAS SOLANO PILAR</v>
          </cell>
          <cell r="D378" t="str">
            <v>CL 120  16  26 APTO 104</v>
          </cell>
          <cell r="E378" t="str">
            <v>3134200677</v>
          </cell>
          <cell r="F378" t="str">
            <v>Bogota D.C.</v>
          </cell>
        </row>
        <row r="379">
          <cell r="A379">
            <v>466655799</v>
          </cell>
          <cell r="B379">
            <v>8</v>
          </cell>
          <cell r="C379" t="str">
            <v>LOPEZ DIAZ ADRIANA SOFIA</v>
          </cell>
          <cell r="D379" t="str">
            <v>CR 18 13 64</v>
          </cell>
          <cell r="E379" t="str">
            <v>3106135056</v>
          </cell>
          <cell r="F379" t="str">
            <v>Duitama</v>
          </cell>
        </row>
        <row r="380">
          <cell r="A380">
            <v>39659204</v>
          </cell>
          <cell r="C380" t="str">
            <v>LOPEZ IBAÑEZ EDMERIS</v>
          </cell>
          <cell r="D380" t="str">
            <v>CR 78 B 116 B 50 CONJUNTO SENDERO DE GRANADA TORE 3 APTO 303</v>
          </cell>
          <cell r="E380" t="str">
            <v>3212329314</v>
          </cell>
          <cell r="F380" t="str">
            <v>Bogota D.C.</v>
          </cell>
        </row>
        <row r="381">
          <cell r="A381">
            <v>7220008</v>
          </cell>
          <cell r="B381">
            <v>8</v>
          </cell>
          <cell r="C381" t="str">
            <v>LOPEZ LOPEZ LUIS HERNANDO</v>
          </cell>
          <cell r="D381" t="str">
            <v>CR 13 3 A 10 P 2</v>
          </cell>
          <cell r="E381" t="str">
            <v>3115385879</v>
          </cell>
          <cell r="F381" t="str">
            <v>Duitama</v>
          </cell>
        </row>
        <row r="382">
          <cell r="A382">
            <v>1193078482</v>
          </cell>
          <cell r="B382">
            <v>4</v>
          </cell>
          <cell r="C382" t="str">
            <v>LOPEZ PULIDO EDUARD STIVEN</v>
          </cell>
          <cell r="D382" t="str">
            <v>CL 2 A 21 24 BRR VILLA DEL SOL</v>
          </cell>
          <cell r="E382" t="str">
            <v>3226825252</v>
          </cell>
          <cell r="F382" t="str">
            <v>Sogamoso</v>
          </cell>
        </row>
        <row r="383">
          <cell r="A383">
            <v>4254691</v>
          </cell>
          <cell r="B383">
            <v>4</v>
          </cell>
          <cell r="C383" t="str">
            <v>MALPICA HERRERA ADAN</v>
          </cell>
          <cell r="D383" t="str">
            <v>CL 48 A 10 A 132</v>
          </cell>
          <cell r="E383" t="str">
            <v>7705230</v>
          </cell>
          <cell r="F383" t="str">
            <v>Sogamoso</v>
          </cell>
        </row>
        <row r="384">
          <cell r="A384">
            <v>7227927</v>
          </cell>
          <cell r="B384">
            <v>3</v>
          </cell>
          <cell r="C384" t="str">
            <v>MARIÑO GARCIA PABLO HERNANDO</v>
          </cell>
          <cell r="D384" t="str">
            <v>CL 13 16 28</v>
          </cell>
          <cell r="E384" t="str">
            <v>3102191633</v>
          </cell>
          <cell r="F384" t="str">
            <v>Duitama</v>
          </cell>
        </row>
        <row r="385">
          <cell r="A385">
            <v>7226683</v>
          </cell>
          <cell r="B385">
            <v>7</v>
          </cell>
          <cell r="C385" t="str">
            <v>MARTINEZ ALVARES DIOMEDES</v>
          </cell>
          <cell r="D385" t="str">
            <v>VDA LA PRADERA</v>
          </cell>
          <cell r="E385" t="str">
            <v>3112550459</v>
          </cell>
          <cell r="F385" t="str">
            <v>Duitama</v>
          </cell>
        </row>
        <row r="386">
          <cell r="A386">
            <v>20571442</v>
          </cell>
          <cell r="B386">
            <v>4</v>
          </cell>
          <cell r="C386" t="str">
            <v>MARTINEZ CORTES CECILIA</v>
          </cell>
          <cell r="D386" t="str">
            <v>VDA EL SALITRE PAIPA</v>
          </cell>
          <cell r="E386" t="str">
            <v>32041904050</v>
          </cell>
          <cell r="F386" t="str">
            <v>Paipa</v>
          </cell>
        </row>
        <row r="387">
          <cell r="A387">
            <v>1052396351</v>
          </cell>
          <cell r="B387">
            <v>1</v>
          </cell>
          <cell r="C387" t="str">
            <v>MARTINEZ GRANADOS JOSE ANTONIO</v>
          </cell>
          <cell r="D387" t="str">
            <v>CR 19 10 A 30</v>
          </cell>
          <cell r="E387" t="str">
            <v>3213464492</v>
          </cell>
          <cell r="F387" t="str">
            <v>Duitama</v>
          </cell>
        </row>
        <row r="388">
          <cell r="A388">
            <v>46682532</v>
          </cell>
          <cell r="B388">
            <v>1</v>
          </cell>
          <cell r="C388" t="str">
            <v>MATA PEÑA BLANCA ICENIA</v>
          </cell>
          <cell r="D388" t="str">
            <v>CLA 24 19 121  LOCAL 111</v>
          </cell>
          <cell r="E388" t="str">
            <v>3102519223</v>
          </cell>
          <cell r="F388" t="str">
            <v>Paipa</v>
          </cell>
        </row>
        <row r="389">
          <cell r="A389">
            <v>1053604352</v>
          </cell>
          <cell r="B389">
            <v>4</v>
          </cell>
          <cell r="C389" t="str">
            <v>MATEUS BENAVIDES JULIA YOLIMA</v>
          </cell>
          <cell r="D389" t="str">
            <v>CL 26 C 17 25</v>
          </cell>
          <cell r="E389" t="str">
            <v>3102384375</v>
          </cell>
          <cell r="F389" t="str">
            <v>Paipa</v>
          </cell>
        </row>
        <row r="390">
          <cell r="A390">
            <v>1053614555</v>
          </cell>
          <cell r="B390">
            <v>5</v>
          </cell>
          <cell r="C390" t="str">
            <v>MATEUS MATEUS OSCAR DAVID</v>
          </cell>
          <cell r="D390" t="str">
            <v>VDA LA ESPERANZA SAN ANTONIO</v>
          </cell>
          <cell r="E390" t="str">
            <v>3177052701</v>
          </cell>
          <cell r="F390" t="str">
            <v>Paipa</v>
          </cell>
        </row>
        <row r="391">
          <cell r="A391">
            <v>79296560</v>
          </cell>
          <cell r="B391">
            <v>0</v>
          </cell>
          <cell r="C391" t="str">
            <v>MEDINA ESCOBAR ORLANDO</v>
          </cell>
          <cell r="D391" t="str">
            <v>CL 19 42 31 BRR JUAN GRANDE</v>
          </cell>
          <cell r="E391" t="str">
            <v>3158379410</v>
          </cell>
          <cell r="F391" t="str">
            <v>Duitama</v>
          </cell>
        </row>
        <row r="392">
          <cell r="A392">
            <v>23853895</v>
          </cell>
          <cell r="B392">
            <v>9</v>
          </cell>
          <cell r="C392" t="str">
            <v>MEDINA PACHECO DORA HILDA</v>
          </cell>
          <cell r="D392" t="str">
            <v>CR 21 20 07</v>
          </cell>
          <cell r="E392" t="str">
            <v>3125863017</v>
          </cell>
          <cell r="F392" t="str">
            <v>Paipa</v>
          </cell>
        </row>
        <row r="393">
          <cell r="A393">
            <v>52076227</v>
          </cell>
          <cell r="C393" t="str">
            <v>MELO  ROSALBA PAEZ</v>
          </cell>
          <cell r="D393" t="str">
            <v>CL 30 12 A 02</v>
          </cell>
          <cell r="E393" t="str">
            <v>3202565062</v>
          </cell>
          <cell r="F393" t="str">
            <v>Paipa</v>
          </cell>
        </row>
        <row r="394">
          <cell r="A394">
            <v>7219252</v>
          </cell>
          <cell r="B394">
            <v>7</v>
          </cell>
          <cell r="C394" t="str">
            <v>MERCHAN HERNANDEZ GILBERTO</v>
          </cell>
          <cell r="D394" t="str">
            <v>CR 17 18 20 CENTRO</v>
          </cell>
          <cell r="E394" t="str">
            <v>7628469</v>
          </cell>
          <cell r="F394" t="str">
            <v>Duitama</v>
          </cell>
        </row>
        <row r="395">
          <cell r="A395">
            <v>23856443</v>
          </cell>
          <cell r="B395">
            <v>7</v>
          </cell>
          <cell r="C395" t="str">
            <v>MERCHAN RUIZ ALVIS MARY</v>
          </cell>
          <cell r="D395" t="str">
            <v>CR 1 ESTE 33 101 BLOQUE 8 APTO 302</v>
          </cell>
          <cell r="E395" t="str">
            <v>3196546443</v>
          </cell>
          <cell r="F395" t="str">
            <v>Tunja</v>
          </cell>
        </row>
        <row r="396">
          <cell r="A396">
            <v>4189658</v>
          </cell>
          <cell r="B396">
            <v>2</v>
          </cell>
          <cell r="C396" t="str">
            <v>MOLANO GRANADOS POLICARPO</v>
          </cell>
          <cell r="D396" t="str">
            <v>CL 6 4 44 E</v>
          </cell>
          <cell r="E396" t="str">
            <v>3124798976</v>
          </cell>
          <cell r="F396" t="str">
            <v>Paipa</v>
          </cell>
        </row>
        <row r="397">
          <cell r="A397">
            <v>7183267</v>
          </cell>
          <cell r="B397">
            <v>1</v>
          </cell>
          <cell r="C397" t="str">
            <v>MOLINA GALINDO CARLOS ANDRES</v>
          </cell>
          <cell r="D397" t="str">
            <v>CL 16 16 37</v>
          </cell>
          <cell r="E397" t="str">
            <v>3108511622</v>
          </cell>
          <cell r="F397" t="str">
            <v>Duitama</v>
          </cell>
        </row>
        <row r="398">
          <cell r="A398">
            <v>23265847</v>
          </cell>
          <cell r="C398" t="str">
            <v>MONROY ESPINOSA MARTHA STELLA DEL PERPETUO SOCORRO</v>
          </cell>
          <cell r="D398" t="str">
            <v>CL 21 22 A 10 APTO 401 EDIFICIO SENDERO 1</v>
          </cell>
          <cell r="E398" t="str">
            <v>3105918818</v>
          </cell>
          <cell r="F398" t="str">
            <v>Paipa</v>
          </cell>
        </row>
        <row r="399">
          <cell r="A399">
            <v>23609340</v>
          </cell>
          <cell r="B399">
            <v>9</v>
          </cell>
          <cell r="C399" t="str">
            <v>MORA WILCHES BLANCA ELVIRA</v>
          </cell>
          <cell r="D399" t="str">
            <v>CL 24 A 57 69 TORRE 8 APTO 602</v>
          </cell>
          <cell r="E399" t="str">
            <v>3112313038</v>
          </cell>
          <cell r="F399" t="str">
            <v>Bogota D.C.</v>
          </cell>
        </row>
        <row r="400">
          <cell r="A400">
            <v>41566903</v>
          </cell>
          <cell r="B400">
            <v>4</v>
          </cell>
          <cell r="C400" t="str">
            <v>MORA WILCHES MARIA ALCIRA</v>
          </cell>
          <cell r="D400" t="str">
            <v>CL 24 A 57 69 TORRE B APTO 602</v>
          </cell>
          <cell r="E400" t="str">
            <v>3107867622</v>
          </cell>
          <cell r="F400" t="str">
            <v>Bogota D.C.</v>
          </cell>
        </row>
        <row r="401">
          <cell r="A401">
            <v>1121828731</v>
          </cell>
          <cell r="B401">
            <v>0</v>
          </cell>
          <cell r="C401" t="str">
            <v>MORALES MANRIQUE MIGUEL ANDRES</v>
          </cell>
          <cell r="D401" t="str">
            <v>CL 15 12 06</v>
          </cell>
          <cell r="E401" t="str">
            <v>3203501463</v>
          </cell>
          <cell r="F401" t="str">
            <v>Duitama</v>
          </cell>
        </row>
        <row r="402">
          <cell r="A402">
            <v>74323060</v>
          </cell>
          <cell r="C402" t="str">
            <v>MORALES RODRIGUEZ GERMAN ALBERTO</v>
          </cell>
          <cell r="D402" t="str">
            <v>CL 20 16 A 15 MZ CS H CS 10</v>
          </cell>
          <cell r="E402" t="str">
            <v>3104926100</v>
          </cell>
          <cell r="F402" t="str">
            <v>Paipa</v>
          </cell>
        </row>
        <row r="403">
          <cell r="A403">
            <v>46454671</v>
          </cell>
          <cell r="C403" t="str">
            <v>MORANTES NUÑEZ LUDY MARITZA</v>
          </cell>
          <cell r="D403" t="str">
            <v>CR 23 A  21 16</v>
          </cell>
          <cell r="E403" t="str">
            <v>3102479275</v>
          </cell>
          <cell r="F403" t="str">
            <v>Duitama</v>
          </cell>
        </row>
        <row r="404">
          <cell r="A404">
            <v>4191765</v>
          </cell>
          <cell r="B404">
            <v>9</v>
          </cell>
          <cell r="C404" t="str">
            <v>MORANTES SANDOVAL LUIS ERNESTO</v>
          </cell>
          <cell r="D404" t="str">
            <v>CL 26 22 12</v>
          </cell>
          <cell r="E404" t="str">
            <v>3158509460</v>
          </cell>
          <cell r="F404" t="str">
            <v>Paipa</v>
          </cell>
        </row>
        <row r="405">
          <cell r="A405">
            <v>40024625</v>
          </cell>
          <cell r="B405">
            <v>2</v>
          </cell>
          <cell r="C405" t="str">
            <v>MORCOTE CORONADO GRACIELA</v>
          </cell>
          <cell r="D405" t="str">
            <v>ALSACICA VDA GAUNZA SOTAQUIRA</v>
          </cell>
          <cell r="E405" t="str">
            <v>3112255405</v>
          </cell>
          <cell r="F405" t="str">
            <v>Sotaquirá</v>
          </cell>
        </row>
        <row r="406">
          <cell r="A406">
            <v>74130828</v>
          </cell>
          <cell r="C406" t="str">
            <v>MORENO CADENA DANIEL</v>
          </cell>
          <cell r="D406" t="str">
            <v>CR 30 23 55 BR LOS ROSALES</v>
          </cell>
          <cell r="E406" t="str">
            <v>3132074857</v>
          </cell>
          <cell r="F406" t="str">
            <v>Paipa</v>
          </cell>
        </row>
        <row r="407">
          <cell r="A407">
            <v>23854330</v>
          </cell>
          <cell r="B407">
            <v>4</v>
          </cell>
          <cell r="C407" t="str">
            <v>MUNEVAR RAMIREZ MARTHA</v>
          </cell>
          <cell r="D407" t="str">
            <v>CR 19 24 33</v>
          </cell>
          <cell r="E407" t="str">
            <v>3118855106</v>
          </cell>
          <cell r="F407" t="str">
            <v>Paipa</v>
          </cell>
        </row>
        <row r="408">
          <cell r="A408">
            <v>52123795</v>
          </cell>
          <cell r="B408">
            <v>4</v>
          </cell>
          <cell r="C408" t="str">
            <v>MUÑOZ GOMEZ SONIA JANNETH</v>
          </cell>
          <cell r="D408" t="str">
            <v>Cl  40 B SUR 72H 38 BRR URAPANES</v>
          </cell>
          <cell r="E408" t="str">
            <v>6013025983</v>
          </cell>
          <cell r="F408" t="str">
            <v>Bogota D.C.</v>
          </cell>
        </row>
        <row r="409">
          <cell r="A409">
            <v>79127950</v>
          </cell>
          <cell r="B409">
            <v>6</v>
          </cell>
          <cell r="C409" t="str">
            <v>NIETO GARCIA JAIRO</v>
          </cell>
          <cell r="D409" t="str">
            <v>CR 16 12 10</v>
          </cell>
          <cell r="E409" t="str">
            <v>3112308708</v>
          </cell>
          <cell r="F409" t="str">
            <v>Duitama</v>
          </cell>
        </row>
        <row r="410">
          <cell r="A410">
            <v>23262888</v>
          </cell>
          <cell r="B410">
            <v>0</v>
          </cell>
          <cell r="C410" t="str">
            <v>NIÑO CARO LUZ MARINA</v>
          </cell>
          <cell r="D410" t="str">
            <v>CL 13 13 50 edificio Santa Monika</v>
          </cell>
          <cell r="E410" t="str">
            <v>3012530487</v>
          </cell>
          <cell r="F410" t="str">
            <v>Duitama</v>
          </cell>
        </row>
        <row r="411">
          <cell r="A411">
            <v>46683221</v>
          </cell>
          <cell r="B411">
            <v>9</v>
          </cell>
          <cell r="C411" t="str">
            <v>NIÑO CATALINA AVELLA</v>
          </cell>
          <cell r="D411" t="str">
            <v>CL 25 22 73</v>
          </cell>
          <cell r="E411" t="str">
            <v>31420327006</v>
          </cell>
          <cell r="F411" t="str">
            <v>Paipa</v>
          </cell>
        </row>
        <row r="412">
          <cell r="A412">
            <v>13818688</v>
          </cell>
          <cell r="B412">
            <v>6</v>
          </cell>
          <cell r="C412" t="str">
            <v>NIÑO HIGUERA CAMILO HERNANDO</v>
          </cell>
          <cell r="D412" t="str">
            <v>RUSTICOS 1 PAIPA</v>
          </cell>
          <cell r="E412" t="str">
            <v>3202717411</v>
          </cell>
          <cell r="F412" t="str">
            <v>Paipa</v>
          </cell>
        </row>
        <row r="413">
          <cell r="A413">
            <v>79841409</v>
          </cell>
          <cell r="B413">
            <v>4</v>
          </cell>
          <cell r="C413" t="str">
            <v>NIÑO ORTIZ MISAEL</v>
          </cell>
          <cell r="D413" t="str">
            <v>CR 18 24 B 25 P 2</v>
          </cell>
          <cell r="E413" t="str">
            <v>3108128755</v>
          </cell>
          <cell r="F413" t="str">
            <v>Duitama</v>
          </cell>
        </row>
        <row r="414">
          <cell r="A414">
            <v>37915249</v>
          </cell>
          <cell r="B414">
            <v>9</v>
          </cell>
          <cell r="C414" t="str">
            <v>NIÑO RINCON HIMELDA</v>
          </cell>
          <cell r="D414" t="str">
            <v>RUSTCOS 1 PAIPA</v>
          </cell>
          <cell r="E414" t="str">
            <v>3202717411</v>
          </cell>
          <cell r="F414" t="str">
            <v>Paipa</v>
          </cell>
        </row>
        <row r="415">
          <cell r="A415">
            <v>1052407779</v>
          </cell>
          <cell r="C415" t="str">
            <v>OCHOA ARDILA JOSE LUIS</v>
          </cell>
          <cell r="D415" t="str">
            <v>CR 34 19 112</v>
          </cell>
          <cell r="E415" t="str">
            <v>3147895117</v>
          </cell>
          <cell r="F415" t="str">
            <v>Duitama</v>
          </cell>
        </row>
        <row r="416">
          <cell r="A416">
            <v>1053616516</v>
          </cell>
          <cell r="C416" t="str">
            <v>OCHOA AVILA ANGELA PATRICIA</v>
          </cell>
          <cell r="D416" t="str">
            <v>CL 26 16 04</v>
          </cell>
          <cell r="E416" t="str">
            <v>3212127597</v>
          </cell>
          <cell r="F416" t="str">
            <v>Paipa</v>
          </cell>
        </row>
        <row r="417">
          <cell r="A417">
            <v>1073698854</v>
          </cell>
          <cell r="C417" t="str">
            <v>OCHOA AVILA YOLANDA</v>
          </cell>
          <cell r="D417" t="str">
            <v>CR 18 A 20 30</v>
          </cell>
          <cell r="E417" t="str">
            <v>3228055931</v>
          </cell>
          <cell r="F417" t="str">
            <v>Paipa</v>
          </cell>
        </row>
        <row r="418">
          <cell r="A418">
            <v>7212487</v>
          </cell>
          <cell r="B418">
            <v>9</v>
          </cell>
          <cell r="C418" t="str">
            <v>OCHOA CAMARGO ARQUIMEDES</v>
          </cell>
          <cell r="D418" t="str">
            <v>CL 25 19 03</v>
          </cell>
          <cell r="E418" t="str">
            <v>7850912</v>
          </cell>
          <cell r="F418" t="str">
            <v>Paipa</v>
          </cell>
        </row>
        <row r="419">
          <cell r="A419">
            <v>1007305372</v>
          </cell>
          <cell r="B419">
            <v>1</v>
          </cell>
          <cell r="C419" t="str">
            <v>OCHOA OCHOA JOSE FERNANDO</v>
          </cell>
        </row>
        <row r="420">
          <cell r="A420">
            <v>1007305372</v>
          </cell>
          <cell r="B420">
            <v>1</v>
          </cell>
          <cell r="C420" t="str">
            <v>OCHOA OCHOA JOSE FERNANDO</v>
          </cell>
          <cell r="D420" t="str">
            <v>CL 23 16 76</v>
          </cell>
          <cell r="E420" t="str">
            <v>3144487711</v>
          </cell>
          <cell r="F420" t="str">
            <v>Duitama</v>
          </cell>
        </row>
        <row r="421">
          <cell r="A421">
            <v>52319038</v>
          </cell>
          <cell r="B421">
            <v>1</v>
          </cell>
          <cell r="C421" t="str">
            <v>OCHOA PENAGOS CONCEPCION DEL PILAR</v>
          </cell>
          <cell r="D421" t="str">
            <v>TRANS 14 11 29</v>
          </cell>
          <cell r="E421" t="str">
            <v>3107740788</v>
          </cell>
          <cell r="F421" t="str">
            <v>Duitama</v>
          </cell>
        </row>
        <row r="422">
          <cell r="A422">
            <v>23854232</v>
          </cell>
          <cell r="B422">
            <v>0</v>
          </cell>
          <cell r="C422" t="str">
            <v>ORTIZ DE FARFAN ANA OTILIA</v>
          </cell>
          <cell r="D422" t="str">
            <v>CR 22 22 79 CENTRO</v>
          </cell>
          <cell r="E422" t="str">
            <v>3132656003</v>
          </cell>
          <cell r="F422" t="str">
            <v>Paipa</v>
          </cell>
        </row>
        <row r="423">
          <cell r="A423">
            <v>74359841</v>
          </cell>
          <cell r="B423">
            <v>9</v>
          </cell>
          <cell r="C423" t="str">
            <v>ORTIZ FONSECA WALDER JAVIER</v>
          </cell>
          <cell r="D423" t="str">
            <v>PAIPA</v>
          </cell>
          <cell r="F423" t="str">
            <v>Paipa</v>
          </cell>
        </row>
        <row r="424">
          <cell r="A424">
            <v>74323995</v>
          </cell>
          <cell r="B424">
            <v>9</v>
          </cell>
          <cell r="C424" t="str">
            <v>ORTIZ RUIZ JOSE MAURICIO</v>
          </cell>
          <cell r="D424" t="str">
            <v>CR 21 23 86</v>
          </cell>
          <cell r="E424" t="str">
            <v>3124519853</v>
          </cell>
          <cell r="F424" t="str">
            <v>Paipa</v>
          </cell>
        </row>
        <row r="425">
          <cell r="A425">
            <v>1053609884</v>
          </cell>
          <cell r="B425">
            <v>3</v>
          </cell>
          <cell r="C425" t="str">
            <v>OSORIO VASQUEZ LEIDY BELEN</v>
          </cell>
          <cell r="D425" t="str">
            <v>CR 9 18 12 AP 502</v>
          </cell>
          <cell r="E425" t="str">
            <v>3152282280</v>
          </cell>
          <cell r="F425" t="str">
            <v>Tunja</v>
          </cell>
        </row>
        <row r="426">
          <cell r="A426">
            <v>1002681798</v>
          </cell>
          <cell r="C426" t="str">
            <v>PAIPILLA FONSECA LEIDY JOHANA</v>
          </cell>
          <cell r="D426" t="str">
            <v>CR 22A 15 93</v>
          </cell>
          <cell r="E426" t="str">
            <v>3102199632</v>
          </cell>
          <cell r="F426" t="str">
            <v>Paipa</v>
          </cell>
        </row>
        <row r="427">
          <cell r="A427">
            <v>71130861</v>
          </cell>
          <cell r="B427">
            <v>0</v>
          </cell>
          <cell r="C427" t="str">
            <v>PALACIOS BENITEZ ETDWAR</v>
          </cell>
          <cell r="D427" t="str">
            <v>CR 24 21 33</v>
          </cell>
          <cell r="E427" t="str">
            <v>3114485807</v>
          </cell>
          <cell r="F427" t="str">
            <v>Paipa</v>
          </cell>
        </row>
        <row r="428">
          <cell r="A428">
            <v>1002364962</v>
          </cell>
          <cell r="C428" t="str">
            <v>PALACIOS RODRIGUEZ CRISTHIAN DAVID</v>
          </cell>
          <cell r="D428" t="str">
            <v>DG 22 22 58</v>
          </cell>
          <cell r="E428" t="str">
            <v>3223776997</v>
          </cell>
          <cell r="F428" t="str">
            <v>Paipa</v>
          </cell>
        </row>
        <row r="429">
          <cell r="A429">
            <v>1053615553</v>
          </cell>
          <cell r="B429">
            <v>5</v>
          </cell>
          <cell r="C429" t="str">
            <v>PATARROYO CAMARGO JESSICA ALEXANDRA</v>
          </cell>
          <cell r="D429" t="str">
            <v>CL 24 19 57</v>
          </cell>
          <cell r="E429" t="str">
            <v>3124499345</v>
          </cell>
          <cell r="F429" t="str">
            <v>Paipa</v>
          </cell>
        </row>
        <row r="430">
          <cell r="A430">
            <v>23552349</v>
          </cell>
          <cell r="B430">
            <v>7</v>
          </cell>
          <cell r="C430" t="str">
            <v>PEÑA SANCHEZ GLORIA ESPERANZA</v>
          </cell>
          <cell r="D430" t="str">
            <v>CR 23 24 17</v>
          </cell>
          <cell r="E430" t="str">
            <v>3103684540</v>
          </cell>
          <cell r="F430" t="str">
            <v>Paipa</v>
          </cell>
        </row>
        <row r="431">
          <cell r="A431">
            <v>7220327</v>
          </cell>
          <cell r="B431">
            <v>2</v>
          </cell>
          <cell r="C431" t="str">
            <v>PEREZ ALVAREZ REINALDO</v>
          </cell>
          <cell r="D431" t="str">
            <v>CL 27 B 15 66</v>
          </cell>
          <cell r="E431" t="str">
            <v>3133963248</v>
          </cell>
          <cell r="F431" t="str">
            <v>Paipa</v>
          </cell>
        </row>
        <row r="432">
          <cell r="A432">
            <v>1018423329</v>
          </cell>
          <cell r="B432">
            <v>1</v>
          </cell>
          <cell r="C432" t="str">
            <v>PEREZ GUTIERREZ JAVIER FERNANDO</v>
          </cell>
          <cell r="D432" t="str">
            <v>CL 6 A  25 A 00</v>
          </cell>
          <cell r="E432" t="str">
            <v>3143201882</v>
          </cell>
          <cell r="F432" t="str">
            <v>Paipa</v>
          </cell>
        </row>
        <row r="433">
          <cell r="A433">
            <v>7216715</v>
          </cell>
          <cell r="B433">
            <v>1</v>
          </cell>
          <cell r="C433" t="str">
            <v>PEREZ MOLANO RAMIRO</v>
          </cell>
          <cell r="D433" t="str">
            <v>CR 10 25 61</v>
          </cell>
          <cell r="E433" t="str">
            <v>3118126414</v>
          </cell>
          <cell r="F433" t="str">
            <v>Paipa</v>
          </cell>
        </row>
        <row r="434">
          <cell r="A434">
            <v>74085634</v>
          </cell>
          <cell r="B434">
            <v>3</v>
          </cell>
          <cell r="C434" t="str">
            <v>PEREZ ORDUZ DIEGO ANDRES</v>
          </cell>
          <cell r="D434" t="str">
            <v>CL 22 36 50</v>
          </cell>
          <cell r="E434" t="str">
            <v>3134959083</v>
          </cell>
          <cell r="F434" t="str">
            <v>Duitama</v>
          </cell>
        </row>
        <row r="435">
          <cell r="A435">
            <v>74372707</v>
          </cell>
          <cell r="B435">
            <v>3</v>
          </cell>
          <cell r="C435" t="str">
            <v>PEREZ PINTO JOSE ABELARDO</v>
          </cell>
          <cell r="D435" t="str">
            <v>CL 26 17 A 46</v>
          </cell>
          <cell r="E435" t="str">
            <v>3142558438</v>
          </cell>
          <cell r="F435" t="str">
            <v>Duitama</v>
          </cell>
        </row>
        <row r="436">
          <cell r="A436">
            <v>51999963</v>
          </cell>
          <cell r="B436">
            <v>0</v>
          </cell>
          <cell r="C436" t="str">
            <v>PINEDA BLANCO PILAR LUCIA</v>
          </cell>
          <cell r="D436" t="str">
            <v>CR 5 ESTE #5A 30</v>
          </cell>
          <cell r="E436" t="str">
            <v>3174319426</v>
          </cell>
          <cell r="F436" t="str">
            <v>Chía</v>
          </cell>
        </row>
        <row r="437">
          <cell r="A437">
            <v>1052415875</v>
          </cell>
          <cell r="C437" t="str">
            <v>PIRAZAN PEÑA KEVIN DAVID</v>
          </cell>
          <cell r="D437" t="str">
            <v>RINCON DEL CARGUA</v>
          </cell>
          <cell r="E437" t="str">
            <v>3138204761</v>
          </cell>
          <cell r="F437" t="str">
            <v>Paipa</v>
          </cell>
        </row>
        <row r="438">
          <cell r="A438">
            <v>1054681194</v>
          </cell>
          <cell r="B438">
            <v>9</v>
          </cell>
          <cell r="C438" t="str">
            <v>PIZA FORERO BRAYAN DANIEL</v>
          </cell>
          <cell r="D438" t="str">
            <v>CL 19 5 45</v>
          </cell>
          <cell r="E438" t="str">
            <v>3122671928</v>
          </cell>
          <cell r="F438" t="str">
            <v>Moniquirá</v>
          </cell>
        </row>
        <row r="439">
          <cell r="A439">
            <v>1235039886</v>
          </cell>
          <cell r="B439">
            <v>1</v>
          </cell>
          <cell r="C439" t="str">
            <v>PUERTO MATEUS CARLOS MARIO</v>
          </cell>
          <cell r="D439" t="str">
            <v>CR 19 24 44</v>
          </cell>
          <cell r="E439" t="str">
            <v>3088751279</v>
          </cell>
          <cell r="F439" t="str">
            <v>Paipa</v>
          </cell>
        </row>
        <row r="440">
          <cell r="A440">
            <v>46664235</v>
          </cell>
          <cell r="B440">
            <v>0</v>
          </cell>
          <cell r="C440" t="str">
            <v>QUINTERO CARDENAS SANDRA PATRICIA</v>
          </cell>
          <cell r="D440" t="str">
            <v>CR 81B 19B 50 APTP 303 BOGOTA</v>
          </cell>
          <cell r="E440" t="str">
            <v>3108847664</v>
          </cell>
          <cell r="F440" t="str">
            <v>Bogota D.C.</v>
          </cell>
        </row>
        <row r="441">
          <cell r="A441">
            <v>17649998</v>
          </cell>
          <cell r="C441" t="str">
            <v>RAMOS GARCIA HECTOR</v>
          </cell>
          <cell r="D441" t="str">
            <v>PANTANO DE VARGAS</v>
          </cell>
          <cell r="E441" t="str">
            <v>3104648470</v>
          </cell>
          <cell r="F441" t="str">
            <v>Paipa</v>
          </cell>
        </row>
        <row r="442">
          <cell r="A442">
            <v>19444770</v>
          </cell>
          <cell r="B442">
            <v>8</v>
          </cell>
          <cell r="C442" t="str">
            <v>REYES PERICO HECTOR PLUTARCO</v>
          </cell>
          <cell r="D442" t="str">
            <v>CR 12 44 83</v>
          </cell>
          <cell r="E442" t="str">
            <v>3102193303</v>
          </cell>
          <cell r="F442" t="str">
            <v>Sogamoso</v>
          </cell>
        </row>
        <row r="443">
          <cell r="A443">
            <v>1020774426</v>
          </cell>
          <cell r="B443">
            <v>9</v>
          </cell>
          <cell r="C443" t="str">
            <v>RIVERA MARIÑO MARIA ISABEL</v>
          </cell>
          <cell r="D443" t="str">
            <v>CL 21 18 27 APT 603 ED PUNTA DE PIEDRA BRR SAN MIGUEL</v>
          </cell>
          <cell r="E443" t="str">
            <v>3214793847</v>
          </cell>
          <cell r="F443" t="str">
            <v>Paipa</v>
          </cell>
        </row>
        <row r="444">
          <cell r="A444">
            <v>23549339</v>
          </cell>
          <cell r="C444" t="str">
            <v>RIVERA SANABRIA OLGA MARIA</v>
          </cell>
        </row>
        <row r="445">
          <cell r="A445">
            <v>23549339</v>
          </cell>
          <cell r="C445" t="str">
            <v>RIVERA SANABRIA OLGA MARIA</v>
          </cell>
          <cell r="D445" t="str">
            <v>CR 35 1 C OESTE 118</v>
          </cell>
          <cell r="E445" t="str">
            <v>3124047097</v>
          </cell>
          <cell r="F445" t="str">
            <v>Duitama</v>
          </cell>
        </row>
        <row r="446">
          <cell r="A446">
            <v>4191297</v>
          </cell>
          <cell r="C446" t="str">
            <v>RIVERA TUTA JOSE OSVALDO</v>
          </cell>
          <cell r="D446" t="str">
            <v>DG 31 31 A 65</v>
          </cell>
          <cell r="E446" t="str">
            <v>3106884430</v>
          </cell>
          <cell r="F446" t="str">
            <v>Paipa</v>
          </cell>
        </row>
        <row r="447">
          <cell r="A447">
            <v>2919619</v>
          </cell>
          <cell r="B447">
            <v>1</v>
          </cell>
          <cell r="C447" t="str">
            <v>RODRIGUEZ ABRIL PABLO</v>
          </cell>
          <cell r="D447" t="str">
            <v>CR 4 5 29</v>
          </cell>
          <cell r="F447" t="str">
            <v>Paipa</v>
          </cell>
        </row>
        <row r="448">
          <cell r="A448">
            <v>46682337</v>
          </cell>
          <cell r="B448">
            <v>1</v>
          </cell>
          <cell r="C448" t="str">
            <v>RODRIGUEZ ALVAREZ RUBY CLARISA</v>
          </cell>
          <cell r="D448" t="str">
            <v>CL 19 22 26</v>
          </cell>
          <cell r="E448" t="str">
            <v>7852586</v>
          </cell>
          <cell r="F448" t="str">
            <v>Paipa</v>
          </cell>
        </row>
        <row r="449">
          <cell r="A449">
            <v>1020827091</v>
          </cell>
          <cell r="B449">
            <v>4</v>
          </cell>
          <cell r="C449" t="str">
            <v>RODRIGUEZ COLLANTE DIANA CAROLINA</v>
          </cell>
          <cell r="D449" t="str">
            <v>AUT MEDELLIN KM 20,5 CONJUNTO RESIDENCIAL FIORENTO</v>
          </cell>
          <cell r="E449" t="str">
            <v>3158294603</v>
          </cell>
          <cell r="F449" t="str">
            <v>El Rosal</v>
          </cell>
        </row>
        <row r="450">
          <cell r="A450">
            <v>1015408057</v>
          </cell>
          <cell r="B450">
            <v>8</v>
          </cell>
          <cell r="C450" t="str">
            <v>RODRIGUEZ COLLANTE HUGO ANDRES</v>
          </cell>
          <cell r="D450" t="str">
            <v>CL 22 22 26</v>
          </cell>
          <cell r="E450" t="str">
            <v>+1(980)866-6376</v>
          </cell>
          <cell r="F450" t="str">
            <v>Paipa</v>
          </cell>
        </row>
        <row r="451">
          <cell r="A451">
            <v>7162055</v>
          </cell>
          <cell r="B451">
            <v>5</v>
          </cell>
          <cell r="C451" t="str">
            <v>RODRIGUEZ FAGUA JOSE EUCLIDES</v>
          </cell>
          <cell r="D451" t="str">
            <v>VDA CENTRO</v>
          </cell>
          <cell r="E451" t="str">
            <v>3123645746</v>
          </cell>
          <cell r="F451" t="str">
            <v>Oicatá</v>
          </cell>
        </row>
        <row r="452">
          <cell r="A452">
            <v>7228216</v>
          </cell>
          <cell r="C452" t="str">
            <v>RODRIGUEZ GARZON ANGEL MARIA</v>
          </cell>
          <cell r="D452" t="str">
            <v>VDA CRUZ DE BONZA PAIPA</v>
          </cell>
          <cell r="E452" t="str">
            <v>3112261062</v>
          </cell>
          <cell r="F452" t="str">
            <v>Paipa</v>
          </cell>
        </row>
        <row r="453">
          <cell r="A453">
            <v>1053614144</v>
          </cell>
          <cell r="C453" t="str">
            <v>RODRIGUEZ MACIAS ANDRES FELIPE</v>
          </cell>
          <cell r="D453" t="str">
            <v>CR 15 A  29 15 B EL BOSQUE</v>
          </cell>
          <cell r="E453" t="str">
            <v>3108789924</v>
          </cell>
          <cell r="F453" t="str">
            <v>Paipa</v>
          </cell>
        </row>
        <row r="454">
          <cell r="A454">
            <v>1053605388</v>
          </cell>
          <cell r="C454" t="str">
            <v>RODRIGUEZ MATA FABIAN RICARDO</v>
          </cell>
          <cell r="D454" t="str">
            <v>BARRIO VILLA PANORAMA</v>
          </cell>
          <cell r="E454" t="str">
            <v>3123593877</v>
          </cell>
          <cell r="F454" t="str">
            <v>Paipa</v>
          </cell>
        </row>
        <row r="455">
          <cell r="A455">
            <v>1053608842</v>
          </cell>
          <cell r="B455">
            <v>1</v>
          </cell>
          <cell r="C455" t="str">
            <v>RODRIGUEZ PAREDES MAGDA XIMENA</v>
          </cell>
          <cell r="D455" t="str">
            <v>CL 24 20 31</v>
          </cell>
          <cell r="E455" t="str">
            <v>3204437083</v>
          </cell>
          <cell r="F455" t="str">
            <v>Paipa</v>
          </cell>
        </row>
        <row r="456">
          <cell r="A456">
            <v>74360618</v>
          </cell>
          <cell r="C456" t="str">
            <v>RODRIGUEZ PINEDA RICARDO</v>
          </cell>
          <cell r="D456" t="str">
            <v>CR 10 24 B 60</v>
          </cell>
          <cell r="E456" t="str">
            <v>3202008191</v>
          </cell>
          <cell r="F456" t="str">
            <v>Paipa</v>
          </cell>
        </row>
        <row r="457">
          <cell r="A457">
            <v>7221759</v>
          </cell>
          <cell r="B457">
            <v>5</v>
          </cell>
          <cell r="C457" t="str">
            <v>RODRIGUEZ RAMIREZ RAUL ERNESTO</v>
          </cell>
          <cell r="D457" t="str">
            <v>CR 31 D 15 22</v>
          </cell>
          <cell r="E457" t="str">
            <v>3114549417</v>
          </cell>
          <cell r="F457" t="str">
            <v>Duitama</v>
          </cell>
        </row>
        <row r="458">
          <cell r="A458">
            <v>7127811</v>
          </cell>
          <cell r="C458" t="str">
            <v>RODRIGUEZ RODRIGUEZ JOSE JAIRO</v>
          </cell>
          <cell r="D458" t="str">
            <v>CL 19 22 55</v>
          </cell>
          <cell r="E458" t="str">
            <v>3172838144</v>
          </cell>
          <cell r="F458" t="str">
            <v>Paipa</v>
          </cell>
        </row>
        <row r="459">
          <cell r="A459">
            <v>4045191</v>
          </cell>
          <cell r="C459" t="str">
            <v>RODRIGUEZ RODRIGUEZ RAUL</v>
          </cell>
          <cell r="D459" t="str">
            <v>DG 22 22 58</v>
          </cell>
          <cell r="E459" t="str">
            <v>3132519791</v>
          </cell>
          <cell r="F459" t="str">
            <v>Paipa</v>
          </cell>
        </row>
        <row r="460">
          <cell r="A460">
            <v>4045327</v>
          </cell>
          <cell r="C460" t="str">
            <v>RODRIGUEZ RODRIGUEZ YERSON JAVIER</v>
          </cell>
          <cell r="D460" t="str">
            <v>CL 24 49 129</v>
          </cell>
          <cell r="E460" t="str">
            <v>3124356311</v>
          </cell>
          <cell r="F460" t="str">
            <v>Paipa</v>
          </cell>
        </row>
        <row r="461">
          <cell r="A461">
            <v>1053609362</v>
          </cell>
          <cell r="B461">
            <v>0</v>
          </cell>
          <cell r="C461" t="str">
            <v>RODRIGUEZ RODRIGUEZ YULI ALEXANDRA</v>
          </cell>
          <cell r="D461" t="str">
            <v>CL 24 20 31</v>
          </cell>
          <cell r="E461" t="str">
            <v>3124682707</v>
          </cell>
          <cell r="F461" t="str">
            <v>Paipa</v>
          </cell>
        </row>
        <row r="462">
          <cell r="A462">
            <v>23853457</v>
          </cell>
          <cell r="B462">
            <v>6</v>
          </cell>
          <cell r="C462" t="str">
            <v>RODRIGUEZ VASQUEZ BLANCA ELCY</v>
          </cell>
          <cell r="D462" t="str">
            <v>CL 22 22 26</v>
          </cell>
          <cell r="E462" t="str">
            <v>3178282342</v>
          </cell>
          <cell r="F462" t="str">
            <v>Paipa</v>
          </cell>
        </row>
        <row r="463">
          <cell r="A463">
            <v>4190578</v>
          </cell>
          <cell r="B463">
            <v>3</v>
          </cell>
          <cell r="C463" t="str">
            <v>RODRIGUEZ VASQUEZ HUGO ALBERTO</v>
          </cell>
          <cell r="D463" t="str">
            <v>CL 22 22 26</v>
          </cell>
          <cell r="E463" t="str">
            <v>3178282342</v>
          </cell>
          <cell r="F463" t="str">
            <v>Paipa</v>
          </cell>
        </row>
        <row r="464">
          <cell r="A464">
            <v>4045137</v>
          </cell>
          <cell r="C464" t="str">
            <v>ROJAS BARAJAS ELBERTH</v>
          </cell>
          <cell r="D464" t="str">
            <v>VDA EL TEJAL PAIPA</v>
          </cell>
          <cell r="E464" t="str">
            <v>3142447323</v>
          </cell>
          <cell r="F464" t="str">
            <v>Paipa</v>
          </cell>
        </row>
        <row r="465">
          <cell r="A465">
            <v>74358890</v>
          </cell>
          <cell r="B465">
            <v>5</v>
          </cell>
          <cell r="C465" t="str">
            <v>ROJAS BOLIVAR CARLOS WILDER</v>
          </cell>
          <cell r="D465" t="str">
            <v>CR 19 14 02</v>
          </cell>
          <cell r="E465" t="str">
            <v>3112252352</v>
          </cell>
          <cell r="F465" t="str">
            <v>Paipa</v>
          </cell>
        </row>
        <row r="466">
          <cell r="A466">
            <v>1051588381</v>
          </cell>
          <cell r="C466" t="str">
            <v>ROJAS PEREZ DANIEL ALFONSO</v>
          </cell>
          <cell r="D466" t="str">
            <v>VDA EL HATO</v>
          </cell>
          <cell r="E466" t="str">
            <v>3134493756</v>
          </cell>
          <cell r="F466" t="str">
            <v>Paipa</v>
          </cell>
        </row>
        <row r="467">
          <cell r="A467">
            <v>4192721</v>
          </cell>
          <cell r="B467">
            <v>1</v>
          </cell>
          <cell r="C467" t="str">
            <v>ROMERO CAMARGO JAVIER ALONSO</v>
          </cell>
          <cell r="D467" t="str">
            <v>VDA CRUZ DE MURCIA</v>
          </cell>
          <cell r="E467" t="str">
            <v>3214620069</v>
          </cell>
          <cell r="F467" t="str">
            <v>Paipa</v>
          </cell>
        </row>
        <row r="468">
          <cell r="A468">
            <v>1096222607</v>
          </cell>
          <cell r="B468">
            <v>3</v>
          </cell>
          <cell r="C468" t="str">
            <v>ROMERO YONI ESTIL</v>
          </cell>
          <cell r="D468" t="str">
            <v>CL 25  20 74</v>
          </cell>
          <cell r="F468" t="str">
            <v>Paipa</v>
          </cell>
        </row>
        <row r="469">
          <cell r="A469">
            <v>52271276</v>
          </cell>
          <cell r="C469" t="str">
            <v>RUIZ JAIMES ROSA MARGARITA</v>
          </cell>
          <cell r="D469" t="str">
            <v>KM 3 VIA TUNJA PAIPA</v>
          </cell>
          <cell r="E469" t="str">
            <v>3026750317</v>
          </cell>
          <cell r="F469" t="str">
            <v>Tunja</v>
          </cell>
        </row>
        <row r="470">
          <cell r="A470">
            <v>4243108</v>
          </cell>
          <cell r="B470">
            <v>4</v>
          </cell>
          <cell r="C470" t="str">
            <v>RUIZ LADINO ADIOSTO</v>
          </cell>
          <cell r="D470" t="str">
            <v>CR 5 19 45 BRR MANZANARES</v>
          </cell>
          <cell r="E470" t="str">
            <v>3118562709</v>
          </cell>
          <cell r="F470" t="str">
            <v>Duitama</v>
          </cell>
        </row>
        <row r="471">
          <cell r="A471">
            <v>23532715</v>
          </cell>
          <cell r="B471">
            <v>4</v>
          </cell>
          <cell r="C471" t="str">
            <v>SAAVEDRA NIÑO GLORIA ASTRID</v>
          </cell>
          <cell r="D471" t="str">
            <v>CL 11 B 74 67 APTO 604</v>
          </cell>
          <cell r="E471" t="str">
            <v>3133330186</v>
          </cell>
          <cell r="F471" t="str">
            <v>Bogota D.C.</v>
          </cell>
        </row>
        <row r="472">
          <cell r="A472">
            <v>74322392</v>
          </cell>
          <cell r="B472">
            <v>3</v>
          </cell>
          <cell r="C472" t="str">
            <v>SAAVEDRA NIÑO SALVADOR</v>
          </cell>
          <cell r="D472" t="str">
            <v>AV LIBERTADORES 20 22</v>
          </cell>
          <cell r="E472" t="str">
            <v>7853854</v>
          </cell>
          <cell r="F472" t="str">
            <v>Paipa</v>
          </cell>
        </row>
        <row r="473">
          <cell r="A473">
            <v>1014208871</v>
          </cell>
          <cell r="B473">
            <v>5</v>
          </cell>
          <cell r="C473" t="str">
            <v>SAENZ PLAZAS JANNA ALEXANDRA</v>
          </cell>
          <cell r="D473" t="str">
            <v>CL 16 17 84</v>
          </cell>
          <cell r="E473" t="str">
            <v>3124972693</v>
          </cell>
          <cell r="F473" t="str">
            <v>Tunja</v>
          </cell>
        </row>
        <row r="474">
          <cell r="A474">
            <v>1075075937</v>
          </cell>
          <cell r="B474">
            <v>1</v>
          </cell>
          <cell r="C474" t="str">
            <v>SALAMANCA PAOLA</v>
          </cell>
          <cell r="D474" t="str">
            <v>CL 24 19 121 SENDERO PLAZA</v>
          </cell>
          <cell r="F474" t="str">
            <v>Paipa</v>
          </cell>
        </row>
        <row r="475">
          <cell r="A475">
            <v>23857766</v>
          </cell>
          <cell r="B475">
            <v>5</v>
          </cell>
          <cell r="C475" t="str">
            <v>SALAZAR CLAUDIA MARCELA</v>
          </cell>
          <cell r="D475" t="str">
            <v>CR 20 24 38</v>
          </cell>
          <cell r="E475" t="str">
            <v>3118462400</v>
          </cell>
          <cell r="F475" t="str">
            <v>Paipa</v>
          </cell>
        </row>
        <row r="476">
          <cell r="A476">
            <v>1053615385</v>
          </cell>
          <cell r="C476" t="str">
            <v>SALCEDO PEREZ GLORIA MARCELA</v>
          </cell>
          <cell r="D476" t="str">
            <v>MANZANA N CASA BARRIO SAN DANIEL</v>
          </cell>
          <cell r="E476" t="str">
            <v>3125841121</v>
          </cell>
          <cell r="F476" t="str">
            <v>Paipa</v>
          </cell>
        </row>
        <row r="477">
          <cell r="A477">
            <v>74130709</v>
          </cell>
          <cell r="B477">
            <v>1</v>
          </cell>
          <cell r="C477" t="str">
            <v>SANA GUZMAN JOSE ORLANDO</v>
          </cell>
          <cell r="D477" t="str">
            <v>PAIPA CENTRO</v>
          </cell>
          <cell r="F477" t="str">
            <v>Paipa</v>
          </cell>
        </row>
        <row r="478">
          <cell r="A478">
            <v>1002539072</v>
          </cell>
          <cell r="C478" t="str">
            <v>SANA PEREZ JOSE LUIS</v>
          </cell>
          <cell r="D478" t="str">
            <v>VDA LLANO GRANDE PAIPA</v>
          </cell>
          <cell r="E478" t="str">
            <v>3142314393</v>
          </cell>
          <cell r="F478" t="str">
            <v>Paipa</v>
          </cell>
        </row>
        <row r="479">
          <cell r="A479">
            <v>7213266</v>
          </cell>
          <cell r="B479">
            <v>2</v>
          </cell>
          <cell r="C479" t="str">
            <v>SANDOVAL BRICEÑO LUIS JAIME</v>
          </cell>
          <cell r="D479" t="str">
            <v>CR 19 13 51</v>
          </cell>
          <cell r="E479" t="str">
            <v>7603454</v>
          </cell>
          <cell r="F479" t="str">
            <v>Duitama</v>
          </cell>
        </row>
        <row r="480">
          <cell r="A480">
            <v>7218346</v>
          </cell>
          <cell r="B480">
            <v>6</v>
          </cell>
          <cell r="C480" t="str">
            <v>SATIVA MEDINA JESUS MARIA</v>
          </cell>
          <cell r="D480" t="str">
            <v>TV 14 12 81 BRR MARIA AUXILIADORA</v>
          </cell>
          <cell r="E480" t="str">
            <v>7605971</v>
          </cell>
          <cell r="F480" t="str">
            <v>Duitama</v>
          </cell>
        </row>
        <row r="481">
          <cell r="A481">
            <v>1094274757</v>
          </cell>
          <cell r="B481">
            <v>5</v>
          </cell>
          <cell r="C481" t="str">
            <v>SIERRA CLAUDIA MILENA</v>
          </cell>
          <cell r="D481" t="str">
            <v>CL 25 20 74</v>
          </cell>
          <cell r="F481" t="str">
            <v>Paipa</v>
          </cell>
        </row>
        <row r="482">
          <cell r="A482">
            <v>1052388658</v>
          </cell>
          <cell r="B482">
            <v>1</v>
          </cell>
          <cell r="C482" t="str">
            <v>SILVA ESPINEL HETZON DANILO</v>
          </cell>
          <cell r="D482" t="str">
            <v>CR 11 22A 122</v>
          </cell>
          <cell r="E482" t="str">
            <v>3132589720</v>
          </cell>
          <cell r="F482" t="str">
            <v>Duitama</v>
          </cell>
        </row>
        <row r="483">
          <cell r="A483">
            <v>16185780</v>
          </cell>
          <cell r="B483">
            <v>9</v>
          </cell>
          <cell r="C483" t="str">
            <v>SILVA HERMIDA FABIAN</v>
          </cell>
          <cell r="D483" t="str">
            <v>VILLA CORINA MZD CA 4</v>
          </cell>
          <cell r="E483" t="str">
            <v>3125793843</v>
          </cell>
          <cell r="F483" t="str">
            <v>Paipa</v>
          </cell>
        </row>
        <row r="484">
          <cell r="A484">
            <v>6801469</v>
          </cell>
          <cell r="B484">
            <v>1</v>
          </cell>
          <cell r="C484" t="str">
            <v>SILVA HERMIDA JHOVANY</v>
          </cell>
          <cell r="D484" t="str">
            <v>VDA PEÑA NEGRA</v>
          </cell>
          <cell r="E484" t="str">
            <v>3214358817</v>
          </cell>
          <cell r="F484" t="str">
            <v>Tibasosa</v>
          </cell>
        </row>
        <row r="485">
          <cell r="A485">
            <v>74379250</v>
          </cell>
          <cell r="B485">
            <v>1</v>
          </cell>
          <cell r="C485" t="str">
            <v>SILVA MONTAÑA ROGGER IVAN</v>
          </cell>
          <cell r="D485" t="str">
            <v>DG 22 1 11 BRR EL COGOLLO</v>
          </cell>
          <cell r="E485" t="str">
            <v>3012879786</v>
          </cell>
          <cell r="F485" t="str">
            <v>Duitama</v>
          </cell>
        </row>
        <row r="486">
          <cell r="A486">
            <v>1052406053</v>
          </cell>
          <cell r="B486">
            <v>4</v>
          </cell>
          <cell r="C486" t="str">
            <v>SISA SILVA MARIA ALEJANDRA</v>
          </cell>
          <cell r="D486" t="str">
            <v>CR 32 19 40 AP 504 TORRE 25</v>
          </cell>
          <cell r="E486" t="str">
            <v>3138395163</v>
          </cell>
          <cell r="F486" t="str">
            <v>Duitama</v>
          </cell>
        </row>
        <row r="487">
          <cell r="A487">
            <v>80148035</v>
          </cell>
          <cell r="B487">
            <v>5</v>
          </cell>
          <cell r="C487" t="str">
            <v>SOGAMOSO SOGAMOSO EDGAR MAURICIO</v>
          </cell>
          <cell r="D487" t="str">
            <v>CL 24 19 121</v>
          </cell>
          <cell r="E487" t="str">
            <v>3156026130</v>
          </cell>
          <cell r="F487" t="str">
            <v>Paipa</v>
          </cell>
        </row>
        <row r="488">
          <cell r="A488">
            <v>74377756</v>
          </cell>
          <cell r="B488">
            <v>7</v>
          </cell>
          <cell r="C488" t="str">
            <v>SOLANO HOLGUIN JESUS ALEXANDER</v>
          </cell>
          <cell r="D488" t="str">
            <v>PRIMERO DE MAYO CL 2 17 21</v>
          </cell>
          <cell r="E488" t="str">
            <v>3208915087</v>
          </cell>
          <cell r="F488" t="str">
            <v>Duitama</v>
          </cell>
        </row>
        <row r="489">
          <cell r="A489">
            <v>6773812</v>
          </cell>
          <cell r="B489">
            <v>2</v>
          </cell>
          <cell r="C489" t="str">
            <v>SUAREZ JIMENEZ FRANCISCO JAVIER</v>
          </cell>
          <cell r="D489" t="str">
            <v>URB PUEBLITO BOYACENSE MZ 6 CA 5</v>
          </cell>
          <cell r="E489" t="str">
            <v>3143455134</v>
          </cell>
          <cell r="F489" t="str">
            <v>Duitama</v>
          </cell>
        </row>
        <row r="490">
          <cell r="A490">
            <v>7174632</v>
          </cell>
          <cell r="B490">
            <v>7</v>
          </cell>
          <cell r="C490" t="str">
            <v>SUAREZ SUAREZ ROLANDO</v>
          </cell>
          <cell r="D490" t="str">
            <v>VDA SAN ONOFRE</v>
          </cell>
          <cell r="F490" t="str">
            <v>Cómbita</v>
          </cell>
        </row>
        <row r="491">
          <cell r="A491">
            <v>79787720</v>
          </cell>
          <cell r="B491">
            <v>1</v>
          </cell>
          <cell r="C491" t="str">
            <v>SUESCA RODRIGUEZ JOSE GONZALO</v>
          </cell>
          <cell r="D491" t="str">
            <v>CL 27 17 27</v>
          </cell>
          <cell r="E491" t="str">
            <v>3124504532</v>
          </cell>
          <cell r="F491" t="str">
            <v>Paipa</v>
          </cell>
        </row>
        <row r="492">
          <cell r="A492">
            <v>93285244</v>
          </cell>
          <cell r="B492">
            <v>1</v>
          </cell>
          <cell r="C492" t="str">
            <v>TIJARO CARO GUSTAVO</v>
          </cell>
          <cell r="D492" t="str">
            <v>CL 17 8 22</v>
          </cell>
          <cell r="E492" t="str">
            <v>3212616922</v>
          </cell>
          <cell r="F492" t="str">
            <v>Duitama</v>
          </cell>
        </row>
        <row r="493">
          <cell r="A493">
            <v>7211669</v>
          </cell>
          <cell r="B493">
            <v>8</v>
          </cell>
          <cell r="C493" t="str">
            <v>TIRIA OCHOA ALVARO</v>
          </cell>
          <cell r="D493" t="str">
            <v>Cr 16 16 63</v>
          </cell>
          <cell r="E493" t="str">
            <v>321351652</v>
          </cell>
          <cell r="F493" t="str">
            <v>Duitama</v>
          </cell>
        </row>
        <row r="494">
          <cell r="A494">
            <v>74370847</v>
          </cell>
          <cell r="B494">
            <v>7</v>
          </cell>
          <cell r="C494" t="str">
            <v>TIRIA TORRES WILSON OSWALDO</v>
          </cell>
          <cell r="D494" t="str">
            <v>CR 28 19A 74</v>
          </cell>
          <cell r="E494" t="str">
            <v>3143682361</v>
          </cell>
          <cell r="F494" t="str">
            <v>Duitama</v>
          </cell>
        </row>
        <row r="495">
          <cell r="A495">
            <v>1052387735</v>
          </cell>
          <cell r="B495">
            <v>6</v>
          </cell>
          <cell r="C495" t="str">
            <v>TORRES AMAYA FABIO ALEXANDER</v>
          </cell>
          <cell r="D495" t="str">
            <v>CL 15 17 71 OF 306 ED CARRARA</v>
          </cell>
          <cell r="E495" t="str">
            <v>3003264221</v>
          </cell>
          <cell r="F495" t="str">
            <v>Duitama</v>
          </cell>
        </row>
        <row r="496">
          <cell r="A496">
            <v>74323442</v>
          </cell>
          <cell r="B496">
            <v>8</v>
          </cell>
          <cell r="C496" t="str">
            <v>VARGAS ALBA NELSON RAMIRO</v>
          </cell>
          <cell r="D496" t="str">
            <v>CL 24 10 97</v>
          </cell>
          <cell r="E496" t="str">
            <v>3204491870</v>
          </cell>
          <cell r="F496" t="str">
            <v>Paipa</v>
          </cell>
        </row>
        <row r="497">
          <cell r="A497">
            <v>7186228</v>
          </cell>
          <cell r="B497">
            <v>6</v>
          </cell>
          <cell r="C497" t="str">
            <v>VARGAS GOMEZ JAVIER YESID</v>
          </cell>
          <cell r="D497" t="str">
            <v>TV 1A 71 03 BRR SUAMOX</v>
          </cell>
          <cell r="E497" t="str">
            <v>3115465396</v>
          </cell>
          <cell r="F497" t="str">
            <v>Tunja</v>
          </cell>
        </row>
        <row r="498">
          <cell r="A498">
            <v>23753596</v>
          </cell>
          <cell r="B498">
            <v>2</v>
          </cell>
          <cell r="C498" t="str">
            <v>VARGAS LEGUIZAMO MARISOL</v>
          </cell>
          <cell r="D498" t="str">
            <v>AV LIBERTADORES 25 65</v>
          </cell>
          <cell r="E498" t="str">
            <v>6457656</v>
          </cell>
          <cell r="F498" t="str">
            <v>Paipa</v>
          </cell>
        </row>
        <row r="499">
          <cell r="A499">
            <v>1052382168</v>
          </cell>
          <cell r="B499">
            <v>7</v>
          </cell>
          <cell r="C499" t="str">
            <v>VARGAS MARTINEZ JAIRO ALBERTO</v>
          </cell>
          <cell r="D499" t="str">
            <v>AV CIRCUNVALAR 20A 39</v>
          </cell>
          <cell r="F499" t="str">
            <v>Duitama</v>
          </cell>
        </row>
        <row r="500">
          <cell r="A500">
            <v>1053607942</v>
          </cell>
          <cell r="C500" t="str">
            <v>VARGAS TUTA ADRIANA ESPERANZA</v>
          </cell>
          <cell r="D500" t="str">
            <v>VDA EL MANZANO</v>
          </cell>
          <cell r="E500" t="str">
            <v>3224629595</v>
          </cell>
          <cell r="F500" t="str">
            <v>Paipa</v>
          </cell>
        </row>
        <row r="501">
          <cell r="A501">
            <v>41913221</v>
          </cell>
          <cell r="B501">
            <v>9</v>
          </cell>
          <cell r="C501" t="str">
            <v>VELANDIA DIAZ LUIS ALBERTO</v>
          </cell>
          <cell r="D501" t="str">
            <v>CL 23 20 55</v>
          </cell>
          <cell r="E501" t="str">
            <v>3144615962</v>
          </cell>
          <cell r="F501" t="str">
            <v>Paipa</v>
          </cell>
        </row>
        <row r="502">
          <cell r="A502">
            <v>4191321</v>
          </cell>
          <cell r="B502">
            <v>2</v>
          </cell>
          <cell r="C502" t="str">
            <v>VELANDIA DIAZ LUIS ALBERTO</v>
          </cell>
          <cell r="D502" t="str">
            <v>calle 23  20 55 centro</v>
          </cell>
          <cell r="E502" t="str">
            <v>3144615962</v>
          </cell>
          <cell r="F502" t="str">
            <v>Paipa</v>
          </cell>
        </row>
        <row r="503">
          <cell r="A503">
            <v>6772509</v>
          </cell>
          <cell r="B503">
            <v>0</v>
          </cell>
          <cell r="C503" t="str">
            <v>VELANDIA INFANTE JAIME ALBERTO</v>
          </cell>
          <cell r="D503" t="str">
            <v>CL 16 14 68 OF 308</v>
          </cell>
          <cell r="E503" t="str">
            <v>3112679721</v>
          </cell>
          <cell r="F503" t="str">
            <v>Duitama</v>
          </cell>
        </row>
        <row r="504">
          <cell r="A504">
            <v>1053605035</v>
          </cell>
          <cell r="B504">
            <v>9</v>
          </cell>
          <cell r="C504" t="str">
            <v>VELASCO ALVARADO OSCAR FERNEY</v>
          </cell>
          <cell r="D504" t="str">
            <v>VDA TOIBITA</v>
          </cell>
          <cell r="E504" t="str">
            <v>3133569092</v>
          </cell>
          <cell r="F504" t="str">
            <v>Paipa</v>
          </cell>
        </row>
        <row r="505">
          <cell r="A505">
            <v>74359947</v>
          </cell>
          <cell r="B505">
            <v>0</v>
          </cell>
          <cell r="C505" t="str">
            <v>VELASQUEZ ROBAYO JORGE ARMANDO</v>
          </cell>
          <cell r="D505" t="str">
            <v>CR 21 23 39</v>
          </cell>
          <cell r="E505" t="str">
            <v>3217818604</v>
          </cell>
          <cell r="F505" t="str">
            <v>Paipa</v>
          </cell>
        </row>
        <row r="506">
          <cell r="A506">
            <v>14735244</v>
          </cell>
          <cell r="B506">
            <v>6</v>
          </cell>
          <cell r="C506" t="str">
            <v>VELASQUEZ SILVESTRE HILDEM ELICEO</v>
          </cell>
          <cell r="D506" t="str">
            <v>CR 21 14 12</v>
          </cell>
          <cell r="E506" t="str">
            <v>3123336594</v>
          </cell>
          <cell r="F506" t="str">
            <v>Duitama</v>
          </cell>
        </row>
        <row r="507">
          <cell r="A507">
            <v>79311432</v>
          </cell>
          <cell r="C507" t="str">
            <v>VENEGAS MENDEZ OSCAR JAVIER</v>
          </cell>
          <cell r="D507" t="str">
            <v>SENDEROS DE GRANADA TORRE 3 APTO 303</v>
          </cell>
          <cell r="F507" t="str">
            <v>Bogota D.C.</v>
          </cell>
        </row>
        <row r="508">
          <cell r="A508">
            <v>1049623787</v>
          </cell>
          <cell r="B508">
            <v>0</v>
          </cell>
          <cell r="C508" t="str">
            <v>VIASUS SUESCA ELIANA ASTRID</v>
          </cell>
          <cell r="D508" t="str">
            <v>CR 22 22 71 APTO 402 EDIFICIO VILLA PARIS</v>
          </cell>
          <cell r="E508" t="str">
            <v>3043887323</v>
          </cell>
          <cell r="F508" t="str">
            <v>Paipa</v>
          </cell>
        </row>
        <row r="509">
          <cell r="A509">
            <v>35263998</v>
          </cell>
          <cell r="B509">
            <v>0</v>
          </cell>
          <cell r="C509" t="str">
            <v>VIATELA MAZABEL CLARA ANDREA</v>
          </cell>
          <cell r="D509" t="str">
            <v>3752 ST PETER AVE</v>
          </cell>
          <cell r="E509" t="str">
            <v>2894079083</v>
          </cell>
          <cell r="F509" t="str">
            <v>Duitama</v>
          </cell>
        </row>
        <row r="510">
          <cell r="A510">
            <v>52419693</v>
          </cell>
          <cell r="B510">
            <v>3</v>
          </cell>
          <cell r="C510" t="str">
            <v>VILLAMIL GARCIA ADRIANA XIMENA</v>
          </cell>
          <cell r="D510" t="str">
            <v>CL 121 52 75</v>
          </cell>
          <cell r="E510" t="str">
            <v>3102139260</v>
          </cell>
          <cell r="F510" t="str">
            <v>Bogota D.C.</v>
          </cell>
        </row>
        <row r="511">
          <cell r="A511">
            <v>1019007155</v>
          </cell>
          <cell r="B511">
            <v>5</v>
          </cell>
          <cell r="C511" t="str">
            <v>VILLAMIL GARCIA ALEXANDRA MARITZA</v>
          </cell>
          <cell r="D511" t="str">
            <v>CL 136 16 60 APTO 306</v>
          </cell>
          <cell r="E511" t="str">
            <v>3104759088</v>
          </cell>
          <cell r="F511" t="str">
            <v>Bogota D.C.</v>
          </cell>
        </row>
        <row r="512">
          <cell r="A512">
            <v>52249927</v>
          </cell>
          <cell r="B512">
            <v>1</v>
          </cell>
          <cell r="C512" t="str">
            <v>VILLAMIL GARCIA SANDRA LILIANA</v>
          </cell>
          <cell r="D512" t="str">
            <v>CL 121 50 22</v>
          </cell>
          <cell r="E512" t="str">
            <v>3104667975</v>
          </cell>
          <cell r="F512" t="str">
            <v>Bogota D.C.</v>
          </cell>
        </row>
        <row r="513">
          <cell r="A513">
            <v>54249927</v>
          </cell>
          <cell r="B513">
            <v>9</v>
          </cell>
          <cell r="C513" t="str">
            <v>VILLAMIL GARCIA SANDRA LILIANA</v>
          </cell>
          <cell r="D513" t="str">
            <v>CL 121 52 75</v>
          </cell>
          <cell r="E513" t="str">
            <v>3104667975</v>
          </cell>
          <cell r="F513" t="str">
            <v>Bogota D.C.</v>
          </cell>
        </row>
        <row r="514">
          <cell r="A514">
            <v>1007196781</v>
          </cell>
          <cell r="C514" t="str">
            <v>VILLAMIL HURTADO DANIEL SEBASTIAN</v>
          </cell>
          <cell r="D514" t="str">
            <v>CL 26 26 60</v>
          </cell>
          <cell r="E514" t="str">
            <v>3132207497</v>
          </cell>
          <cell r="F514" t="str">
            <v>Paipa</v>
          </cell>
        </row>
        <row r="515">
          <cell r="A515">
            <v>35513676</v>
          </cell>
          <cell r="B515">
            <v>8</v>
          </cell>
          <cell r="C515" t="str">
            <v>VILLAR TEJADA ADRIANA</v>
          </cell>
          <cell r="D515" t="str">
            <v>CL 98 68 63</v>
          </cell>
          <cell r="E515" t="str">
            <v>3164457472</v>
          </cell>
          <cell r="F515" t="str">
            <v>Bogota D.C.</v>
          </cell>
        </row>
        <row r="516">
          <cell r="A516">
            <v>74371114</v>
          </cell>
          <cell r="B516">
            <v>1</v>
          </cell>
          <cell r="C516" t="str">
            <v>YANQUEN PARADA JOSE DAVID</v>
          </cell>
          <cell r="D516" t="str">
            <v>CL 8 11B 18</v>
          </cell>
          <cell r="E516" t="str">
            <v>3104801107</v>
          </cell>
          <cell r="F516" t="str">
            <v>Duitama</v>
          </cell>
        </row>
        <row r="517">
          <cell r="A517">
            <v>1053608811</v>
          </cell>
          <cell r="B517">
            <v>1</v>
          </cell>
          <cell r="C517" t="str">
            <v>ZANGUÑA CORREDOR MARIA EUGENIA</v>
          </cell>
          <cell r="D517" t="str">
            <v>CR 20 24 55</v>
          </cell>
          <cell r="E517" t="str">
            <v>3212061712</v>
          </cell>
          <cell r="F517" t="str">
            <v>Paipa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3"/>
  <sheetViews>
    <sheetView tabSelected="1" zoomScale="85" zoomScaleNormal="85" workbookViewId="0">
      <pane ySplit="6" topLeftCell="A94" activePane="bottomLeft" state="frozen"/>
      <selection pane="bottomLeft" activeCell="C100" sqref="C100"/>
    </sheetView>
  </sheetViews>
  <sheetFormatPr baseColWidth="10" defaultColWidth="8.85546875" defaultRowHeight="15" x14ac:dyDescent="0.25"/>
  <cols>
    <col min="1" max="1" width="20" style="9" customWidth="1"/>
    <col min="2" max="2" width="8.85546875" style="9"/>
    <col min="3" max="3" width="45.28515625" style="9" customWidth="1"/>
    <col min="4" max="4" width="35.5703125" style="9" bestFit="1" customWidth="1"/>
    <col min="5" max="5" width="13.28515625" style="9" bestFit="1" customWidth="1"/>
    <col min="6" max="6" width="59.57031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3.14062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0" t="s">
        <v>2244</v>
      </c>
      <c r="B2" s="10"/>
      <c r="C2" s="10"/>
      <c r="D2" s="13">
        <v>901599404</v>
      </c>
      <c r="E2" s="14"/>
      <c r="F2" s="14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15" t="s">
        <v>2348</v>
      </c>
      <c r="E3" s="16"/>
      <c r="F3" s="16"/>
      <c r="G3" s="8"/>
      <c r="H3" s="8"/>
      <c r="I3" s="8"/>
      <c r="J3" s="8"/>
      <c r="K3" s="8"/>
    </row>
    <row r="4" spans="1:11" s="18" customFormat="1" x14ac:dyDescent="0.25">
      <c r="A4" s="21" t="s">
        <v>2246</v>
      </c>
      <c r="B4" s="21"/>
      <c r="C4" s="21"/>
      <c r="D4" s="22">
        <v>2024</v>
      </c>
      <c r="E4" s="23"/>
      <c r="F4" s="23"/>
    </row>
    <row r="5" spans="1:11" s="18" customFormat="1" x14ac:dyDescent="0.25">
      <c r="A5" s="21" t="s">
        <v>2247</v>
      </c>
      <c r="B5" s="21"/>
      <c r="C5" s="21"/>
      <c r="D5" s="24">
        <v>45891</v>
      </c>
      <c r="E5" s="25"/>
      <c r="F5" s="25"/>
    </row>
    <row r="6" spans="1:11" s="18" customFormat="1" ht="60" x14ac:dyDescent="0.25">
      <c r="A6" s="26" t="s">
        <v>2235</v>
      </c>
      <c r="B6" s="27" t="s">
        <v>0</v>
      </c>
      <c r="C6" s="28" t="s">
        <v>2236</v>
      </c>
      <c r="D6" s="29" t="s">
        <v>1</v>
      </c>
      <c r="E6" s="27" t="s">
        <v>2237</v>
      </c>
      <c r="F6" s="28" t="s">
        <v>2238</v>
      </c>
      <c r="G6" s="27" t="s">
        <v>2239</v>
      </c>
      <c r="H6" s="26" t="s">
        <v>2240</v>
      </c>
      <c r="I6" s="26" t="s">
        <v>2243</v>
      </c>
      <c r="J6" s="26" t="s">
        <v>2241</v>
      </c>
      <c r="K6" s="26" t="s">
        <v>2242</v>
      </c>
    </row>
    <row r="7" spans="1:11" s="18" customFormat="1" x14ac:dyDescent="0.25">
      <c r="A7" s="17">
        <v>46681167</v>
      </c>
      <c r="B7" s="18">
        <f>VLOOKUP(A7,'[1]ExportarAExcel (2)'!$A$1:$F$517,2,0)</f>
        <v>1</v>
      </c>
      <c r="C7" s="18" t="s">
        <v>2248</v>
      </c>
      <c r="D7" s="18" t="s">
        <v>2351</v>
      </c>
      <c r="E7" s="18" t="s">
        <v>2451</v>
      </c>
      <c r="F7" s="18" t="s">
        <v>2452</v>
      </c>
      <c r="G7" s="18" t="s">
        <v>724</v>
      </c>
      <c r="H7" s="18">
        <v>326</v>
      </c>
      <c r="I7" s="19">
        <v>12600000</v>
      </c>
      <c r="J7" s="20">
        <v>130904</v>
      </c>
      <c r="K7" s="18">
        <v>0</v>
      </c>
    </row>
    <row r="8" spans="1:11" s="18" customFormat="1" x14ac:dyDescent="0.25">
      <c r="A8" s="17">
        <v>901044874</v>
      </c>
      <c r="B8" s="18">
        <f>VLOOKUP(A8,'[1]ExportarAExcel (2)'!$A$1:$F$517,2,0)</f>
        <v>8</v>
      </c>
      <c r="C8" s="18" t="s">
        <v>2249</v>
      </c>
      <c r="D8" s="18" t="s">
        <v>2352</v>
      </c>
      <c r="E8" s="18" t="s">
        <v>2453</v>
      </c>
      <c r="F8" s="18" t="s">
        <v>2454</v>
      </c>
      <c r="G8" s="18" t="s">
        <v>720</v>
      </c>
      <c r="H8" s="18">
        <v>329</v>
      </c>
      <c r="I8" s="19">
        <v>1200000</v>
      </c>
      <c r="J8" s="20">
        <v>0</v>
      </c>
      <c r="K8" s="18">
        <v>0</v>
      </c>
    </row>
    <row r="9" spans="1:11" s="18" customFormat="1" x14ac:dyDescent="0.25">
      <c r="A9" s="17">
        <v>1100525</v>
      </c>
      <c r="B9" s="18">
        <f>VLOOKUP(A9,'[1]ExportarAExcel (2)'!$A$1:$F$517,2,0)</f>
        <v>8</v>
      </c>
      <c r="C9" s="18" t="s">
        <v>2250</v>
      </c>
      <c r="D9" s="18" t="s">
        <v>2353</v>
      </c>
      <c r="E9" s="18" t="s">
        <v>2455</v>
      </c>
      <c r="F9" s="18" t="s">
        <v>2456</v>
      </c>
      <c r="G9" s="18" t="s">
        <v>511</v>
      </c>
      <c r="H9" s="18">
        <v>329</v>
      </c>
      <c r="I9" s="19">
        <v>282288019</v>
      </c>
      <c r="J9" s="20">
        <v>0</v>
      </c>
      <c r="K9" s="18">
        <v>0</v>
      </c>
    </row>
    <row r="10" spans="1:11" s="18" customFormat="1" x14ac:dyDescent="0.25">
      <c r="A10" s="17">
        <v>4045191</v>
      </c>
      <c r="B10" s="18">
        <f>VLOOKUP(A10,'[1]ExportarAExcel (2)'!$A$1:$F$517,2,0)</f>
        <v>0</v>
      </c>
      <c r="C10" s="18" t="s">
        <v>2251</v>
      </c>
      <c r="D10" s="18" t="s">
        <v>2354</v>
      </c>
      <c r="E10" s="18" t="s">
        <v>2457</v>
      </c>
      <c r="F10" s="18" t="s">
        <v>2458</v>
      </c>
      <c r="G10" s="18" t="s">
        <v>724</v>
      </c>
      <c r="H10" s="18">
        <v>329</v>
      </c>
      <c r="I10" s="19">
        <v>37041152</v>
      </c>
      <c r="J10" s="20">
        <v>296329</v>
      </c>
      <c r="K10" s="18">
        <v>0</v>
      </c>
    </row>
    <row r="11" spans="1:11" s="18" customFormat="1" x14ac:dyDescent="0.25">
      <c r="A11" s="17">
        <v>4243108</v>
      </c>
      <c r="B11" s="18">
        <f>VLOOKUP(A11,'[1]ExportarAExcel (2)'!$A$1:$F$517,2,0)</f>
        <v>4</v>
      </c>
      <c r="C11" s="18" t="s">
        <v>2252</v>
      </c>
      <c r="D11" s="18" t="s">
        <v>2355</v>
      </c>
      <c r="E11" s="18" t="s">
        <v>2459</v>
      </c>
      <c r="F11" s="18" t="s">
        <v>2460</v>
      </c>
      <c r="G11" s="18" t="s">
        <v>720</v>
      </c>
      <c r="H11" s="18">
        <v>301</v>
      </c>
      <c r="I11" s="19">
        <v>1610000</v>
      </c>
      <c r="J11" s="20">
        <v>6160</v>
      </c>
      <c r="K11" s="18">
        <v>0</v>
      </c>
    </row>
    <row r="12" spans="1:11" s="18" customFormat="1" x14ac:dyDescent="0.25">
      <c r="A12" s="17">
        <v>4254691</v>
      </c>
      <c r="B12" s="18">
        <f>VLOOKUP(A12,'[1]ExportarAExcel (2)'!$A$1:$F$517,2,0)</f>
        <v>4</v>
      </c>
      <c r="C12" s="18" t="s">
        <v>2253</v>
      </c>
      <c r="D12" s="18" t="s">
        <v>2356</v>
      </c>
      <c r="E12" s="18" t="s">
        <v>2461</v>
      </c>
      <c r="F12" s="18" t="s">
        <v>2462</v>
      </c>
      <c r="G12" s="18" t="s">
        <v>704</v>
      </c>
      <c r="H12" s="18">
        <v>329</v>
      </c>
      <c r="I12" s="19">
        <v>6000000</v>
      </c>
      <c r="J12" s="20">
        <v>48000</v>
      </c>
      <c r="K12" s="18">
        <v>0</v>
      </c>
    </row>
    <row r="13" spans="1:11" s="18" customFormat="1" x14ac:dyDescent="0.25">
      <c r="A13" s="17">
        <v>6801469</v>
      </c>
      <c r="B13" s="18">
        <f>VLOOKUP(A13,'[1]ExportarAExcel (2)'!$A$1:$F$517,2,0)</f>
        <v>1</v>
      </c>
      <c r="C13" s="18" t="s">
        <v>2254</v>
      </c>
      <c r="D13" s="18" t="s">
        <v>2416</v>
      </c>
      <c r="E13" s="18" t="s">
        <v>2463</v>
      </c>
      <c r="F13" s="18" t="s">
        <v>2464</v>
      </c>
      <c r="G13" s="18" t="s">
        <v>706</v>
      </c>
      <c r="H13" s="18">
        <v>329</v>
      </c>
      <c r="I13" s="19">
        <v>16151708</v>
      </c>
      <c r="J13" s="20">
        <v>129214</v>
      </c>
      <c r="K13" s="18">
        <v>0</v>
      </c>
    </row>
    <row r="14" spans="1:11" s="18" customFormat="1" x14ac:dyDescent="0.25">
      <c r="A14" s="17">
        <v>7162055</v>
      </c>
      <c r="B14" s="18">
        <f>VLOOKUP(A14,'[1]ExportarAExcel (2)'!$A$1:$F$517,2,0)</f>
        <v>5</v>
      </c>
      <c r="C14" s="18" t="s">
        <v>2255</v>
      </c>
      <c r="D14" s="18" t="s">
        <v>2417</v>
      </c>
      <c r="E14" s="18" t="s">
        <v>2465</v>
      </c>
      <c r="F14" s="18" t="s">
        <v>2466</v>
      </c>
      <c r="G14" s="18" t="s">
        <v>511</v>
      </c>
      <c r="H14" s="18">
        <v>329</v>
      </c>
      <c r="I14" s="19">
        <v>25550000</v>
      </c>
      <c r="J14" s="20">
        <v>204400</v>
      </c>
      <c r="K14" s="18">
        <v>0</v>
      </c>
    </row>
    <row r="15" spans="1:11" s="18" customFormat="1" x14ac:dyDescent="0.25">
      <c r="A15" s="17">
        <v>7222514</v>
      </c>
      <c r="B15" s="18">
        <f>VLOOKUP(A15,'[1]ExportarAExcel (2)'!$A$1:$F$517,2,0)</f>
        <v>2</v>
      </c>
      <c r="C15" s="18" t="s">
        <v>2256</v>
      </c>
      <c r="D15" s="18" t="s">
        <v>2418</v>
      </c>
      <c r="E15" s="18" t="s">
        <v>2467</v>
      </c>
      <c r="F15" s="18" t="s">
        <v>2468</v>
      </c>
      <c r="G15" s="18" t="s">
        <v>720</v>
      </c>
      <c r="H15" s="18">
        <v>313</v>
      </c>
      <c r="I15" s="19">
        <v>4959033</v>
      </c>
      <c r="J15" s="20">
        <v>39672</v>
      </c>
      <c r="K15" s="18">
        <v>0</v>
      </c>
    </row>
    <row r="16" spans="1:11" s="18" customFormat="1" x14ac:dyDescent="0.25">
      <c r="A16" s="17">
        <v>7227927</v>
      </c>
      <c r="B16" s="18">
        <f>VLOOKUP(A16,'[1]ExportarAExcel (2)'!$A$1:$F$517,2,0)</f>
        <v>3</v>
      </c>
      <c r="C16" s="18" t="s">
        <v>2257</v>
      </c>
      <c r="D16" s="18" t="s">
        <v>2419</v>
      </c>
      <c r="E16" s="18" t="s">
        <v>2469</v>
      </c>
      <c r="F16" s="18" t="s">
        <v>2470</v>
      </c>
      <c r="G16" s="18" t="s">
        <v>720</v>
      </c>
      <c r="H16" s="18">
        <v>329</v>
      </c>
      <c r="I16" s="19">
        <v>44000000</v>
      </c>
      <c r="J16" s="20">
        <v>352000</v>
      </c>
      <c r="K16" s="18">
        <v>0</v>
      </c>
    </row>
    <row r="17" spans="1:11" s="18" customFormat="1" x14ac:dyDescent="0.25">
      <c r="A17" s="17">
        <v>14735244</v>
      </c>
      <c r="B17" s="18">
        <f>VLOOKUP(A17,'[1]ExportarAExcel (2)'!$A$1:$F$517,2,0)</f>
        <v>6</v>
      </c>
      <c r="C17" s="18" t="s">
        <v>2258</v>
      </c>
      <c r="D17" s="18" t="s">
        <v>2357</v>
      </c>
      <c r="E17" s="18" t="s">
        <v>2471</v>
      </c>
      <c r="F17" s="18" t="s">
        <v>2472</v>
      </c>
      <c r="G17" s="18" t="s">
        <v>720</v>
      </c>
      <c r="H17" s="18">
        <v>219</v>
      </c>
      <c r="I17" s="19">
        <v>23529412</v>
      </c>
      <c r="J17" s="20"/>
      <c r="K17" s="18">
        <v>0</v>
      </c>
    </row>
    <row r="18" spans="1:11" s="18" customFormat="1" x14ac:dyDescent="0.25">
      <c r="A18" s="17">
        <v>16185780</v>
      </c>
      <c r="B18" s="18">
        <f>VLOOKUP(A18,'[1]ExportarAExcel (2)'!$A$1:$F$517,2,0)</f>
        <v>9</v>
      </c>
      <c r="C18" s="18" t="s">
        <v>2259</v>
      </c>
      <c r="D18" s="18" t="s">
        <v>2420</v>
      </c>
      <c r="E18" s="18" t="s">
        <v>2473</v>
      </c>
      <c r="F18" s="18" t="s">
        <v>2474</v>
      </c>
      <c r="G18" s="18" t="s">
        <v>724</v>
      </c>
      <c r="H18" s="18">
        <v>329</v>
      </c>
      <c r="I18" s="19">
        <v>18175000</v>
      </c>
      <c r="J18" s="20">
        <v>139472</v>
      </c>
      <c r="K18" s="18">
        <v>0</v>
      </c>
    </row>
    <row r="19" spans="1:11" s="18" customFormat="1" x14ac:dyDescent="0.25">
      <c r="A19" s="17">
        <v>23854232</v>
      </c>
      <c r="B19" s="18">
        <f>VLOOKUP(A19,'[1]ExportarAExcel (2)'!$A$1:$F$517,2,0)</f>
        <v>0</v>
      </c>
      <c r="C19" s="18" t="s">
        <v>2260</v>
      </c>
      <c r="D19" s="18" t="s">
        <v>2421</v>
      </c>
      <c r="E19" s="18" t="s">
        <v>2475</v>
      </c>
      <c r="F19" s="18" t="s">
        <v>2476</v>
      </c>
      <c r="G19" s="18" t="s">
        <v>724</v>
      </c>
      <c r="H19" s="18">
        <v>313</v>
      </c>
      <c r="I19" s="19">
        <v>13670000</v>
      </c>
      <c r="J19" s="20">
        <v>109360</v>
      </c>
      <c r="K19" s="18">
        <v>0</v>
      </c>
    </row>
    <row r="20" spans="1:11" s="18" customFormat="1" x14ac:dyDescent="0.25">
      <c r="A20" s="17">
        <v>40030550</v>
      </c>
      <c r="B20" s="18">
        <f>VLOOKUP(A20,'[1]ExportarAExcel (2)'!$A$1:$F$517,2,0)</f>
        <v>3</v>
      </c>
      <c r="C20" s="18" t="s">
        <v>2261</v>
      </c>
      <c r="D20" s="18" t="s">
        <v>2422</v>
      </c>
      <c r="E20" s="18" t="s">
        <v>2477</v>
      </c>
      <c r="F20" s="18" t="s">
        <v>2478</v>
      </c>
      <c r="G20" s="18" t="s">
        <v>525</v>
      </c>
      <c r="H20" s="18">
        <v>329</v>
      </c>
      <c r="I20" s="19">
        <v>3000000</v>
      </c>
      <c r="J20" s="20">
        <v>24000</v>
      </c>
      <c r="K20" s="18">
        <v>0</v>
      </c>
    </row>
    <row r="21" spans="1:11" s="18" customFormat="1" x14ac:dyDescent="0.25">
      <c r="A21" s="17">
        <v>74370847</v>
      </c>
      <c r="B21" s="18">
        <f>VLOOKUP(A21,'[1]ExportarAExcel (2)'!$A$1:$F$517,2,0)</f>
        <v>7</v>
      </c>
      <c r="C21" s="18" t="s">
        <v>2262</v>
      </c>
      <c r="D21" s="18" t="s">
        <v>2423</v>
      </c>
      <c r="E21" s="18" t="s">
        <v>2479</v>
      </c>
      <c r="F21" s="18" t="s">
        <v>2480</v>
      </c>
      <c r="G21" s="18" t="s">
        <v>720</v>
      </c>
      <c r="H21" s="18">
        <v>329</v>
      </c>
      <c r="I21" s="19">
        <v>74000000</v>
      </c>
      <c r="J21" s="20">
        <v>592000</v>
      </c>
      <c r="K21" s="18">
        <v>0</v>
      </c>
    </row>
    <row r="22" spans="1:11" s="18" customFormat="1" x14ac:dyDescent="0.25">
      <c r="A22" s="17">
        <v>74371114</v>
      </c>
      <c r="B22" s="18">
        <f>VLOOKUP(A22,'[1]ExportarAExcel (2)'!$A$1:$F$517,2,0)</f>
        <v>1</v>
      </c>
      <c r="C22" s="18" t="s">
        <v>2263</v>
      </c>
      <c r="D22" s="18" t="s">
        <v>2424</v>
      </c>
      <c r="E22" s="18" t="s">
        <v>2481</v>
      </c>
      <c r="F22" s="18" t="s">
        <v>2482</v>
      </c>
      <c r="G22" s="18" t="s">
        <v>720</v>
      </c>
      <c r="H22" s="18">
        <v>329</v>
      </c>
      <c r="I22" s="19">
        <v>66000000</v>
      </c>
      <c r="J22" s="20">
        <v>576000</v>
      </c>
      <c r="K22" s="18">
        <v>0</v>
      </c>
    </row>
    <row r="23" spans="1:11" s="18" customFormat="1" x14ac:dyDescent="0.25">
      <c r="A23" s="17">
        <v>74372707</v>
      </c>
      <c r="B23" s="18">
        <f>VLOOKUP(A23,'[1]ExportarAExcel (2)'!$A$1:$F$517,2,0)</f>
        <v>3</v>
      </c>
      <c r="C23" s="18" t="s">
        <v>2264</v>
      </c>
      <c r="D23" s="18" t="s">
        <v>2425</v>
      </c>
      <c r="E23" s="18" t="s">
        <v>2483</v>
      </c>
      <c r="F23" s="18" t="s">
        <v>2484</v>
      </c>
      <c r="G23" s="18" t="s">
        <v>720</v>
      </c>
      <c r="H23" s="18">
        <v>329</v>
      </c>
      <c r="I23" s="19">
        <v>152610919</v>
      </c>
      <c r="J23" s="20">
        <v>0</v>
      </c>
      <c r="K23" s="18">
        <v>0</v>
      </c>
    </row>
    <row r="24" spans="1:11" s="18" customFormat="1" x14ac:dyDescent="0.25">
      <c r="A24" s="17">
        <v>74375905</v>
      </c>
      <c r="B24" s="18">
        <f>VLOOKUP(A24,'[1]ExportarAExcel (2)'!$A$1:$F$517,2,0)</f>
        <v>9</v>
      </c>
      <c r="C24" s="18" t="s">
        <v>2265</v>
      </c>
      <c r="D24" s="18" t="s">
        <v>2426</v>
      </c>
      <c r="E24" s="18" t="s">
        <v>2485</v>
      </c>
      <c r="F24" s="18" t="s">
        <v>2486</v>
      </c>
      <c r="G24" s="18" t="s">
        <v>720</v>
      </c>
      <c r="H24" s="18">
        <v>329</v>
      </c>
      <c r="I24" s="19">
        <v>18800000</v>
      </c>
      <c r="J24" s="20">
        <v>150400</v>
      </c>
      <c r="K24" s="18">
        <v>0</v>
      </c>
    </row>
    <row r="25" spans="1:11" s="18" customFormat="1" x14ac:dyDescent="0.25">
      <c r="A25" s="17">
        <v>74377756</v>
      </c>
      <c r="B25" s="18">
        <f>VLOOKUP(A25,'[1]ExportarAExcel (2)'!$A$1:$F$517,2,0)</f>
        <v>7</v>
      </c>
      <c r="C25" s="18" t="s">
        <v>2266</v>
      </c>
      <c r="D25" s="18" t="s">
        <v>2358</v>
      </c>
      <c r="E25" s="18" t="s">
        <v>2487</v>
      </c>
      <c r="F25" s="18" t="s">
        <v>2488</v>
      </c>
      <c r="G25" s="18" t="s">
        <v>720</v>
      </c>
      <c r="H25" s="18">
        <v>334</v>
      </c>
      <c r="I25" s="19">
        <v>1340000</v>
      </c>
      <c r="J25" s="20">
        <v>0</v>
      </c>
      <c r="K25" s="18">
        <v>0</v>
      </c>
    </row>
    <row r="26" spans="1:11" s="18" customFormat="1" x14ac:dyDescent="0.25">
      <c r="A26" s="17">
        <v>74381494</v>
      </c>
      <c r="B26" s="18">
        <f>VLOOKUP(A26,'[1]ExportarAExcel (2)'!$A$1:$F$517,2,0)</f>
        <v>8</v>
      </c>
      <c r="C26" s="18" t="s">
        <v>2267</v>
      </c>
      <c r="D26" s="18" t="s">
        <v>2427</v>
      </c>
      <c r="E26" s="18" t="s">
        <v>2489</v>
      </c>
      <c r="F26" s="18" t="s">
        <v>2490</v>
      </c>
      <c r="G26" s="18" t="s">
        <v>720</v>
      </c>
      <c r="H26" s="18">
        <v>301</v>
      </c>
      <c r="I26" s="19">
        <v>7015000</v>
      </c>
      <c r="J26" s="20">
        <v>49105</v>
      </c>
      <c r="K26" s="18">
        <v>0</v>
      </c>
    </row>
    <row r="27" spans="1:11" s="18" customFormat="1" x14ac:dyDescent="0.25">
      <c r="A27" s="17">
        <v>79296560</v>
      </c>
      <c r="B27" s="18">
        <f>VLOOKUP(A27,'[1]ExportarAExcel (2)'!$A$1:$F$517,2,0)</f>
        <v>0</v>
      </c>
      <c r="C27" s="18" t="s">
        <v>2268</v>
      </c>
      <c r="D27" s="18" t="s">
        <v>2428</v>
      </c>
      <c r="E27" s="18" t="s">
        <v>2491</v>
      </c>
      <c r="F27" s="18" t="s">
        <v>2636</v>
      </c>
      <c r="G27" s="18" t="s">
        <v>720</v>
      </c>
      <c r="H27" s="18">
        <v>329</v>
      </c>
      <c r="I27" s="19">
        <v>3500000</v>
      </c>
      <c r="J27" s="20">
        <v>28000</v>
      </c>
      <c r="K27" s="18">
        <v>0</v>
      </c>
    </row>
    <row r="28" spans="1:11" s="18" customFormat="1" x14ac:dyDescent="0.25">
      <c r="A28" s="17">
        <v>79841409</v>
      </c>
      <c r="B28" s="18">
        <f>VLOOKUP(A28,'[1]ExportarAExcel (2)'!$A$1:$F$517,2,0)</f>
        <v>4</v>
      </c>
      <c r="C28" s="18" t="s">
        <v>2269</v>
      </c>
      <c r="D28" s="18" t="s">
        <v>2429</v>
      </c>
      <c r="E28" s="18" t="s">
        <v>2492</v>
      </c>
      <c r="F28" s="18" t="s">
        <v>2493</v>
      </c>
      <c r="G28" s="18" t="s">
        <v>720</v>
      </c>
      <c r="H28" s="18">
        <v>301</v>
      </c>
      <c r="I28" s="19">
        <v>5020000</v>
      </c>
      <c r="J28" s="20">
        <v>10500</v>
      </c>
      <c r="K28" s="18">
        <v>0</v>
      </c>
    </row>
    <row r="29" spans="1:11" s="18" customFormat="1" x14ac:dyDescent="0.25">
      <c r="A29" s="17">
        <v>93285244</v>
      </c>
      <c r="B29" s="18">
        <f>VLOOKUP(A29,'[1]ExportarAExcel (2)'!$A$1:$F$517,2,0)</f>
        <v>1</v>
      </c>
      <c r="C29" s="18" t="s">
        <v>2270</v>
      </c>
      <c r="D29" s="18" t="s">
        <v>2430</v>
      </c>
      <c r="E29" s="18" t="s">
        <v>2494</v>
      </c>
      <c r="F29" s="18" t="s">
        <v>2495</v>
      </c>
      <c r="G29" s="18" t="s">
        <v>720</v>
      </c>
      <c r="H29" s="18">
        <v>329</v>
      </c>
      <c r="I29" s="19">
        <v>1600000</v>
      </c>
      <c r="J29" s="20">
        <v>11520</v>
      </c>
      <c r="K29" s="18">
        <v>0</v>
      </c>
    </row>
    <row r="30" spans="1:11" s="18" customFormat="1" x14ac:dyDescent="0.25">
      <c r="A30" s="17">
        <v>860500480</v>
      </c>
      <c r="B30" s="18">
        <f>VLOOKUP(A30,'[1]ExportarAExcel (2)'!$A$1:$F$517,2,0)</f>
        <v>8</v>
      </c>
      <c r="C30" s="18" t="s">
        <v>2271</v>
      </c>
      <c r="D30" s="18" t="s">
        <v>2359</v>
      </c>
      <c r="E30" s="18" t="s">
        <v>2496</v>
      </c>
      <c r="F30" s="18" t="s">
        <v>2497</v>
      </c>
      <c r="G30" s="18" t="s">
        <v>409</v>
      </c>
      <c r="H30" s="18">
        <v>219</v>
      </c>
      <c r="I30" s="19">
        <v>1496435</v>
      </c>
      <c r="J30" s="20">
        <v>0</v>
      </c>
      <c r="K30" s="18">
        <v>0</v>
      </c>
    </row>
    <row r="31" spans="1:11" s="18" customFormat="1" x14ac:dyDescent="0.25">
      <c r="A31" s="17">
        <v>891800219</v>
      </c>
      <c r="B31" s="18">
        <f>VLOOKUP(A31,'[1]ExportarAExcel (2)'!$A$1:$F$517,2,0)</f>
        <v>0</v>
      </c>
      <c r="C31" s="18" t="s">
        <v>2272</v>
      </c>
      <c r="D31" s="18" t="s">
        <v>2360</v>
      </c>
      <c r="E31" s="18" t="s">
        <v>2498</v>
      </c>
      <c r="F31" s="18" t="s">
        <v>2499</v>
      </c>
      <c r="G31" s="18" t="s">
        <v>525</v>
      </c>
      <c r="H31" s="18">
        <v>334</v>
      </c>
      <c r="I31" s="19">
        <v>3916250</v>
      </c>
      <c r="J31" s="20">
        <v>0</v>
      </c>
      <c r="K31" s="18">
        <v>0</v>
      </c>
    </row>
    <row r="32" spans="1:11" s="18" customFormat="1" x14ac:dyDescent="0.25">
      <c r="A32" s="17">
        <v>900259348</v>
      </c>
      <c r="B32" s="18">
        <f>VLOOKUP(A32,'[1]ExportarAExcel (2)'!$A$1:$F$517,2,0)</f>
        <v>5</v>
      </c>
      <c r="C32" s="18" t="s">
        <v>2273</v>
      </c>
      <c r="D32" s="18" t="s">
        <v>2361</v>
      </c>
      <c r="E32" s="18" t="s">
        <v>2500</v>
      </c>
      <c r="F32" s="18" t="s">
        <v>2501</v>
      </c>
      <c r="G32" s="18" t="s">
        <v>724</v>
      </c>
      <c r="H32" s="18">
        <v>334</v>
      </c>
      <c r="I32" s="19">
        <v>2257400</v>
      </c>
      <c r="J32" s="20">
        <v>0</v>
      </c>
      <c r="K32" s="18">
        <v>0</v>
      </c>
    </row>
    <row r="33" spans="1:11" s="18" customFormat="1" x14ac:dyDescent="0.25">
      <c r="A33" s="17">
        <v>900447209</v>
      </c>
      <c r="B33" s="18">
        <f>VLOOKUP(A33,'[1]ExportarAExcel (2)'!$A$1:$F$517,2,0)</f>
        <v>6</v>
      </c>
      <c r="C33" s="18" t="s">
        <v>2274</v>
      </c>
      <c r="D33" s="18" t="s">
        <v>2371</v>
      </c>
      <c r="E33" s="18">
        <v>3156026130</v>
      </c>
      <c r="F33" s="18" t="s">
        <v>2502</v>
      </c>
      <c r="G33" s="18" t="s">
        <v>724</v>
      </c>
      <c r="H33" s="18">
        <v>329</v>
      </c>
      <c r="I33" s="19">
        <v>665331553</v>
      </c>
      <c r="J33" s="20">
        <v>5322652</v>
      </c>
      <c r="K33" s="18">
        <v>0</v>
      </c>
    </row>
    <row r="34" spans="1:11" s="18" customFormat="1" x14ac:dyDescent="0.25">
      <c r="A34" s="17">
        <v>900813668</v>
      </c>
      <c r="B34" s="18">
        <f>VLOOKUP(A34,'[1]ExportarAExcel (2)'!$A$1:$F$517,2,0)</f>
        <v>3</v>
      </c>
      <c r="C34" s="18" t="s">
        <v>2275</v>
      </c>
      <c r="D34" s="18" t="s">
        <v>2362</v>
      </c>
      <c r="E34" s="18" t="s">
        <v>2503</v>
      </c>
      <c r="F34" s="18" t="s">
        <v>2504</v>
      </c>
      <c r="G34" s="18" t="s">
        <v>724</v>
      </c>
      <c r="H34" s="18">
        <v>334</v>
      </c>
      <c r="I34" s="19">
        <v>1229411</v>
      </c>
      <c r="J34" s="20">
        <v>0</v>
      </c>
      <c r="K34" s="18">
        <v>0</v>
      </c>
    </row>
    <row r="35" spans="1:11" s="18" customFormat="1" x14ac:dyDescent="0.25">
      <c r="A35" s="17">
        <v>900825521</v>
      </c>
      <c r="B35" s="18">
        <f>VLOOKUP(A35,'[1]ExportarAExcel (2)'!$A$1:$F$517,2,0)</f>
        <v>1</v>
      </c>
      <c r="C35" s="18" t="s">
        <v>2276</v>
      </c>
      <c r="D35" s="18" t="s">
        <v>2363</v>
      </c>
      <c r="E35" s="18" t="s">
        <v>2505</v>
      </c>
      <c r="F35" s="18" t="s">
        <v>2506</v>
      </c>
      <c r="G35" s="18" t="s">
        <v>519</v>
      </c>
      <c r="H35" s="18">
        <v>329</v>
      </c>
      <c r="I35" s="19">
        <v>1275277</v>
      </c>
      <c r="J35" s="20">
        <v>0</v>
      </c>
      <c r="K35" s="18">
        <v>0</v>
      </c>
    </row>
    <row r="36" spans="1:11" s="18" customFormat="1" x14ac:dyDescent="0.25">
      <c r="A36" s="17">
        <v>901289237</v>
      </c>
      <c r="B36" s="18">
        <f>VLOOKUP(A36,'[1]ExportarAExcel (2)'!$A$1:$F$517,2,0)</f>
        <v>8</v>
      </c>
      <c r="C36" s="18" t="s">
        <v>2277</v>
      </c>
      <c r="D36" s="18" t="s">
        <v>2364</v>
      </c>
      <c r="E36" s="18" t="s">
        <v>2507</v>
      </c>
      <c r="F36" s="18" t="s">
        <v>2508</v>
      </c>
      <c r="G36" s="18" t="s">
        <v>720</v>
      </c>
      <c r="H36" s="18">
        <v>219</v>
      </c>
      <c r="I36" s="19">
        <v>175183699</v>
      </c>
      <c r="J36" s="20">
        <v>0</v>
      </c>
      <c r="K36" s="18">
        <v>0</v>
      </c>
    </row>
    <row r="37" spans="1:11" s="18" customFormat="1" x14ac:dyDescent="0.25">
      <c r="A37" s="17">
        <v>901333717</v>
      </c>
      <c r="B37" s="18">
        <f>VLOOKUP(A37,'[1]ExportarAExcel (2)'!$A$1:$F$517,2,0)</f>
        <v>1</v>
      </c>
      <c r="C37" s="18" t="s">
        <v>2278</v>
      </c>
      <c r="D37" s="18" t="s">
        <v>2365</v>
      </c>
      <c r="E37" s="18" t="s">
        <v>2509</v>
      </c>
      <c r="F37" s="18" t="s">
        <v>2510</v>
      </c>
      <c r="G37" s="18" t="s">
        <v>525</v>
      </c>
      <c r="H37" s="18">
        <v>219</v>
      </c>
      <c r="I37" s="19">
        <v>4500000</v>
      </c>
      <c r="J37" s="20">
        <v>0</v>
      </c>
      <c r="K37" s="18">
        <v>0</v>
      </c>
    </row>
    <row r="38" spans="1:11" s="18" customFormat="1" x14ac:dyDescent="0.25">
      <c r="A38" s="17">
        <v>901512283</v>
      </c>
      <c r="B38" s="18">
        <f>VLOOKUP(A38,'[1]ExportarAExcel (2)'!$A$1:$F$517,2,0)</f>
        <v>3</v>
      </c>
      <c r="C38" s="18" t="s">
        <v>2279</v>
      </c>
      <c r="D38" s="18" t="s">
        <v>2431</v>
      </c>
      <c r="E38" s="18" t="s">
        <v>2511</v>
      </c>
      <c r="F38" s="18" t="s">
        <v>2512</v>
      </c>
      <c r="G38" s="18" t="s">
        <v>724</v>
      </c>
      <c r="H38" s="18">
        <v>310</v>
      </c>
      <c r="I38" s="19">
        <v>55580967</v>
      </c>
      <c r="J38" s="20">
        <v>40425</v>
      </c>
      <c r="K38" s="18">
        <v>0</v>
      </c>
    </row>
    <row r="39" spans="1:11" s="18" customFormat="1" x14ac:dyDescent="0.25">
      <c r="A39" s="17">
        <v>901622336</v>
      </c>
      <c r="B39" s="18">
        <f>VLOOKUP(A39,'[1]ExportarAExcel (2)'!$A$1:$F$517,2,0)</f>
        <v>7</v>
      </c>
      <c r="C39" s="18" t="s">
        <v>2280</v>
      </c>
      <c r="D39" s="18" t="s">
        <v>2366</v>
      </c>
      <c r="E39" s="18" t="s">
        <v>2513</v>
      </c>
      <c r="F39" s="18" t="s">
        <v>2514</v>
      </c>
      <c r="G39" s="18" t="s">
        <v>720</v>
      </c>
      <c r="H39" s="18">
        <v>219</v>
      </c>
      <c r="I39" s="19">
        <v>40305927</v>
      </c>
      <c r="J39" s="20">
        <v>0</v>
      </c>
      <c r="K39" s="18">
        <v>0</v>
      </c>
    </row>
    <row r="40" spans="1:11" s="18" customFormat="1" x14ac:dyDescent="0.25">
      <c r="A40" s="17">
        <v>901875830</v>
      </c>
      <c r="B40" s="18">
        <f>VLOOKUP(A40,'[1]ExportarAExcel (2)'!$A$1:$F$517,2,0)</f>
        <v>1</v>
      </c>
      <c r="C40" s="18" t="s">
        <v>2281</v>
      </c>
      <c r="D40" s="18" t="s">
        <v>2432</v>
      </c>
      <c r="E40" s="18" t="s">
        <v>2515</v>
      </c>
      <c r="F40" s="18" t="s">
        <v>2516</v>
      </c>
      <c r="G40" s="18" t="s">
        <v>704</v>
      </c>
      <c r="H40" s="18">
        <v>329</v>
      </c>
      <c r="I40" s="19">
        <v>58098941</v>
      </c>
      <c r="J40" s="20">
        <v>245604</v>
      </c>
      <c r="K40" s="18">
        <v>0</v>
      </c>
    </row>
    <row r="41" spans="1:11" s="18" customFormat="1" x14ac:dyDescent="0.25">
      <c r="A41" s="17">
        <v>1051588381</v>
      </c>
      <c r="B41" s="18">
        <f>VLOOKUP(A41,'[1]ExportarAExcel (2)'!$A$1:$F$517,2,0)</f>
        <v>0</v>
      </c>
      <c r="C41" s="18" t="s">
        <v>2282</v>
      </c>
      <c r="D41" s="18" t="s">
        <v>2433</v>
      </c>
      <c r="E41" s="18" t="s">
        <v>2517</v>
      </c>
      <c r="F41" s="18" t="s">
        <v>2518</v>
      </c>
      <c r="G41" s="18" t="s">
        <v>724</v>
      </c>
      <c r="H41" s="18">
        <v>329</v>
      </c>
      <c r="I41" s="19">
        <v>17741000</v>
      </c>
      <c r="J41" s="20">
        <v>136000</v>
      </c>
      <c r="K41" s="18">
        <v>0</v>
      </c>
    </row>
    <row r="42" spans="1:11" s="18" customFormat="1" x14ac:dyDescent="0.25">
      <c r="A42" s="17">
        <v>1052385136</v>
      </c>
      <c r="B42" s="18">
        <f>VLOOKUP(A42,'[1]ExportarAExcel (2)'!$A$1:$F$517,2,0)</f>
        <v>5</v>
      </c>
      <c r="C42" s="18" t="s">
        <v>2283</v>
      </c>
      <c r="D42" s="18" t="s">
        <v>2434</v>
      </c>
      <c r="E42" s="18" t="s">
        <v>2519</v>
      </c>
      <c r="F42" s="18" t="s">
        <v>2520</v>
      </c>
      <c r="G42" s="18" t="s">
        <v>720</v>
      </c>
      <c r="H42" s="18">
        <v>329</v>
      </c>
      <c r="I42" s="19">
        <v>17878000</v>
      </c>
      <c r="J42" s="20">
        <v>143024</v>
      </c>
      <c r="K42" s="18">
        <v>0</v>
      </c>
    </row>
    <row r="43" spans="1:11" s="18" customFormat="1" x14ac:dyDescent="0.25">
      <c r="A43" s="17">
        <v>1052390370</v>
      </c>
      <c r="B43" s="18">
        <f>VLOOKUP(A43,'[1]ExportarAExcel (2)'!$A$1:$F$517,2,0)</f>
        <v>2</v>
      </c>
      <c r="C43" s="18" t="s">
        <v>2284</v>
      </c>
      <c r="D43" s="18" t="s">
        <v>2435</v>
      </c>
      <c r="E43" s="18" t="s">
        <v>2521</v>
      </c>
      <c r="F43" s="18" t="s">
        <v>2522</v>
      </c>
      <c r="G43" s="18" t="s">
        <v>720</v>
      </c>
      <c r="H43" s="18">
        <v>329</v>
      </c>
      <c r="I43" s="19">
        <v>16330900</v>
      </c>
      <c r="J43" s="20">
        <v>123332</v>
      </c>
      <c r="K43" s="18">
        <v>0</v>
      </c>
    </row>
    <row r="44" spans="1:11" s="18" customFormat="1" x14ac:dyDescent="0.25">
      <c r="A44" s="17">
        <v>1052392097</v>
      </c>
      <c r="B44" s="18">
        <f>VLOOKUP(A44,'[1]ExportarAExcel (2)'!$A$1:$F$517,2,0)</f>
        <v>5</v>
      </c>
      <c r="C44" s="18" t="s">
        <v>2285</v>
      </c>
      <c r="D44" s="18" t="s">
        <v>2367</v>
      </c>
      <c r="E44" s="18" t="s">
        <v>2523</v>
      </c>
      <c r="F44" s="18" t="s">
        <v>2524</v>
      </c>
      <c r="G44" s="18" t="s">
        <v>720</v>
      </c>
      <c r="H44" s="18">
        <v>219</v>
      </c>
      <c r="I44" s="19">
        <v>25372000</v>
      </c>
      <c r="J44" s="20">
        <v>0</v>
      </c>
      <c r="K44" s="18">
        <v>0</v>
      </c>
    </row>
    <row r="45" spans="1:11" s="18" customFormat="1" x14ac:dyDescent="0.25">
      <c r="A45" s="17">
        <v>1052397695</v>
      </c>
      <c r="B45" s="18">
        <f>VLOOKUP(A45,'[1]ExportarAExcel (2)'!$A$1:$F$517,2,0)</f>
        <v>2</v>
      </c>
      <c r="C45" s="18" t="s">
        <v>2286</v>
      </c>
      <c r="D45" s="18" t="s">
        <v>2436</v>
      </c>
      <c r="E45" s="18" t="s">
        <v>2525</v>
      </c>
      <c r="F45" s="18" t="s">
        <v>2526</v>
      </c>
      <c r="G45" s="18" t="s">
        <v>720</v>
      </c>
      <c r="H45" s="18">
        <v>329</v>
      </c>
      <c r="I45" s="19">
        <v>6641000</v>
      </c>
      <c r="J45" s="20">
        <v>47200</v>
      </c>
      <c r="K45" s="18">
        <v>0</v>
      </c>
    </row>
    <row r="46" spans="1:11" s="18" customFormat="1" x14ac:dyDescent="0.25">
      <c r="A46" s="17">
        <v>1053614144</v>
      </c>
      <c r="B46" s="18">
        <f>VLOOKUP(A46,'[1]ExportarAExcel (2)'!$A$1:$F$517,2,0)</f>
        <v>0</v>
      </c>
      <c r="C46" s="18" t="s">
        <v>2287</v>
      </c>
      <c r="D46" s="18" t="s">
        <v>2437</v>
      </c>
      <c r="E46" s="18" t="s">
        <v>2527</v>
      </c>
      <c r="F46" s="18" t="s">
        <v>2528</v>
      </c>
      <c r="G46" s="18" t="s">
        <v>724</v>
      </c>
      <c r="H46" s="18">
        <v>329</v>
      </c>
      <c r="I46" s="19">
        <v>15871000</v>
      </c>
      <c r="J46" s="20">
        <v>121040</v>
      </c>
      <c r="K46" s="18">
        <v>0</v>
      </c>
    </row>
    <row r="47" spans="1:11" s="18" customFormat="1" x14ac:dyDescent="0.25">
      <c r="A47" s="17">
        <v>1055332675</v>
      </c>
      <c r="B47" s="18">
        <f>VLOOKUP(A47,'[1]ExportarAExcel (2)'!$A$1:$F$517,2,0)</f>
        <v>7</v>
      </c>
      <c r="C47" s="18" t="s">
        <v>2288</v>
      </c>
      <c r="D47" s="18" t="s">
        <v>2438</v>
      </c>
      <c r="E47" s="18" t="s">
        <v>2529</v>
      </c>
      <c r="F47" s="18" t="s">
        <v>2530</v>
      </c>
      <c r="G47" s="18" t="s">
        <v>527</v>
      </c>
      <c r="H47" s="18">
        <v>329</v>
      </c>
      <c r="I47" s="19">
        <v>5000000</v>
      </c>
      <c r="J47" s="20">
        <v>40000</v>
      </c>
      <c r="K47" s="18">
        <v>0</v>
      </c>
    </row>
    <row r="48" spans="1:11" s="18" customFormat="1" x14ac:dyDescent="0.25">
      <c r="A48" s="17">
        <v>1193078482</v>
      </c>
      <c r="B48" s="18">
        <f>VLOOKUP(A48,'[1]ExportarAExcel (2)'!$A$1:$F$517,2,0)</f>
        <v>4</v>
      </c>
      <c r="C48" s="18" t="s">
        <v>2289</v>
      </c>
      <c r="D48" s="18" t="s">
        <v>2368</v>
      </c>
      <c r="E48" s="18" t="s">
        <v>2531</v>
      </c>
      <c r="F48" s="18" t="s">
        <v>2532</v>
      </c>
      <c r="G48" s="18" t="s">
        <v>704</v>
      </c>
      <c r="H48" s="18">
        <v>329</v>
      </c>
      <c r="I48" s="19">
        <v>1100000</v>
      </c>
      <c r="J48" s="20">
        <v>0</v>
      </c>
      <c r="K48" s="18">
        <v>0</v>
      </c>
    </row>
    <row r="49" spans="1:11" s="18" customFormat="1" x14ac:dyDescent="0.25">
      <c r="A49" s="17">
        <v>32734176</v>
      </c>
      <c r="B49" s="18">
        <f>VLOOKUP(A49,'[1]ExportarAExcel (2)'!$A$1:$F$517,2,0)</f>
        <v>4</v>
      </c>
      <c r="C49" s="18" t="s">
        <v>2290</v>
      </c>
      <c r="D49" s="18" t="s">
        <v>2371</v>
      </c>
      <c r="E49" s="18" t="s">
        <v>2533</v>
      </c>
      <c r="F49" s="18" t="s">
        <v>2534</v>
      </c>
      <c r="G49" s="18" t="s">
        <v>724</v>
      </c>
      <c r="H49" s="18">
        <v>326</v>
      </c>
      <c r="I49" s="19">
        <v>44768816</v>
      </c>
      <c r="J49" s="20">
        <v>447689</v>
      </c>
      <c r="K49" s="18">
        <v>0</v>
      </c>
    </row>
    <row r="50" spans="1:11" s="18" customFormat="1" x14ac:dyDescent="0.25">
      <c r="A50" s="17">
        <v>1001817603</v>
      </c>
      <c r="B50" s="18">
        <f>VLOOKUP(A50,'[1]ExportarAExcel (2)'!$A$1:$F$517,2,0)</f>
        <v>3</v>
      </c>
      <c r="C50" s="18" t="s">
        <v>2291</v>
      </c>
      <c r="D50" s="18" t="s">
        <v>2439</v>
      </c>
      <c r="E50" s="18" t="s">
        <v>2535</v>
      </c>
      <c r="F50" s="18" t="s">
        <v>2536</v>
      </c>
      <c r="G50" s="18" t="s">
        <v>724</v>
      </c>
      <c r="H50" s="18">
        <v>313</v>
      </c>
      <c r="I50" s="19">
        <v>6556800</v>
      </c>
      <c r="J50" s="20">
        <v>114856</v>
      </c>
      <c r="K50" s="18">
        <v>0</v>
      </c>
    </row>
    <row r="51" spans="1:11" s="18" customFormat="1" x14ac:dyDescent="0.25">
      <c r="A51" s="17">
        <v>800242106</v>
      </c>
      <c r="B51" s="18">
        <f>VLOOKUP(A51,'[1]ExportarAExcel (2)'!$A$1:$F$517,2,0)</f>
        <v>2</v>
      </c>
      <c r="C51" s="18" t="s">
        <v>2292</v>
      </c>
      <c r="D51" s="18" t="s">
        <v>2369</v>
      </c>
      <c r="E51" s="18" t="s">
        <v>2537</v>
      </c>
      <c r="F51" s="18" t="s">
        <v>2538</v>
      </c>
      <c r="G51" s="18" t="s">
        <v>525</v>
      </c>
      <c r="H51" s="18">
        <v>219</v>
      </c>
      <c r="I51" s="19">
        <v>2606723</v>
      </c>
      <c r="J51" s="20">
        <v>0</v>
      </c>
      <c r="K51" s="18">
        <v>0</v>
      </c>
    </row>
    <row r="52" spans="1:11" s="18" customFormat="1" x14ac:dyDescent="0.25">
      <c r="A52" s="17">
        <v>46661822</v>
      </c>
      <c r="B52" s="18">
        <f>VLOOKUP(A52,'[1]ExportarAExcel (2)'!$A$1:$F$517,2,0)</f>
        <v>0</v>
      </c>
      <c r="C52" s="18" t="s">
        <v>2293</v>
      </c>
      <c r="D52" s="18" t="s">
        <v>2370</v>
      </c>
      <c r="E52" s="18" t="s">
        <v>2539</v>
      </c>
      <c r="F52" s="18" t="s">
        <v>2540</v>
      </c>
      <c r="G52" s="18" t="s">
        <v>720</v>
      </c>
      <c r="H52" s="18">
        <v>310</v>
      </c>
      <c r="I52" s="19">
        <v>3880500</v>
      </c>
      <c r="J52" s="20">
        <v>0</v>
      </c>
      <c r="K52" s="18">
        <v>0</v>
      </c>
    </row>
    <row r="53" spans="1:11" s="18" customFormat="1" x14ac:dyDescent="0.25">
      <c r="A53" s="17">
        <v>7174632</v>
      </c>
      <c r="B53" s="18">
        <f>VLOOKUP(A53,'[1]ExportarAExcel (2)'!$A$1:$F$517,2,0)</f>
        <v>7</v>
      </c>
      <c r="C53" s="18" t="s">
        <v>2294</v>
      </c>
      <c r="D53" s="18" t="s">
        <v>2350</v>
      </c>
      <c r="E53" s="18">
        <v>3114532962</v>
      </c>
      <c r="F53" s="18" t="s">
        <v>2349</v>
      </c>
      <c r="G53" s="18" t="s">
        <v>505</v>
      </c>
      <c r="H53" s="18">
        <v>219</v>
      </c>
      <c r="I53" s="19">
        <v>3000000</v>
      </c>
      <c r="J53" s="20">
        <v>0</v>
      </c>
      <c r="K53" s="18">
        <v>0</v>
      </c>
    </row>
    <row r="54" spans="1:11" s="18" customFormat="1" x14ac:dyDescent="0.25">
      <c r="A54" s="17">
        <v>7212963</v>
      </c>
      <c r="B54" s="18">
        <f>VLOOKUP(A54,'[1]ExportarAExcel (2)'!$A$1:$F$517,2,0)</f>
        <v>3</v>
      </c>
      <c r="C54" s="18" t="s">
        <v>2295</v>
      </c>
      <c r="D54" s="18" t="s">
        <v>2372</v>
      </c>
      <c r="E54" s="18" t="s">
        <v>2542</v>
      </c>
      <c r="F54" s="18" t="s">
        <v>2543</v>
      </c>
      <c r="G54" s="18" t="s">
        <v>720</v>
      </c>
      <c r="H54" s="18">
        <v>219</v>
      </c>
      <c r="I54" s="19">
        <v>17905363</v>
      </c>
      <c r="J54" s="20">
        <v>0</v>
      </c>
      <c r="K54" s="18">
        <v>0</v>
      </c>
    </row>
    <row r="55" spans="1:11" s="18" customFormat="1" x14ac:dyDescent="0.25">
      <c r="A55" s="17">
        <v>7221759</v>
      </c>
      <c r="B55" s="18">
        <f>VLOOKUP(A55,'[1]ExportarAExcel (2)'!$A$1:$F$517,2,0)</f>
        <v>5</v>
      </c>
      <c r="C55" s="18" t="s">
        <v>2296</v>
      </c>
      <c r="D55" s="18" t="s">
        <v>2373</v>
      </c>
      <c r="E55" s="18" t="s">
        <v>2544</v>
      </c>
      <c r="F55" s="18" t="s">
        <v>2545</v>
      </c>
      <c r="G55" s="18" t="s">
        <v>720</v>
      </c>
      <c r="H55" s="18">
        <v>219</v>
      </c>
      <c r="I55" s="19">
        <v>8720000</v>
      </c>
      <c r="J55" s="20">
        <v>0</v>
      </c>
      <c r="K55" s="18">
        <v>0</v>
      </c>
    </row>
    <row r="56" spans="1:11" s="18" customFormat="1" x14ac:dyDescent="0.25">
      <c r="A56" s="17">
        <v>7224569</v>
      </c>
      <c r="B56" s="18">
        <f>VLOOKUP(A56,'[1]ExportarAExcel (2)'!$A$1:$F$517,2,0)</f>
        <v>6</v>
      </c>
      <c r="C56" s="18" t="s">
        <v>2297</v>
      </c>
      <c r="D56" s="18" t="s">
        <v>2374</v>
      </c>
      <c r="E56" s="18" t="s">
        <v>2546</v>
      </c>
      <c r="F56" s="18" t="s">
        <v>2547</v>
      </c>
      <c r="G56" s="18" t="s">
        <v>720</v>
      </c>
      <c r="H56" s="18">
        <v>219</v>
      </c>
      <c r="I56" s="19">
        <v>3406706</v>
      </c>
      <c r="J56" s="20">
        <v>0</v>
      </c>
      <c r="K56" s="18">
        <v>0</v>
      </c>
    </row>
    <row r="57" spans="1:11" s="18" customFormat="1" x14ac:dyDescent="0.25">
      <c r="A57" s="17">
        <v>7226683</v>
      </c>
      <c r="B57" s="18">
        <f>VLOOKUP(A57,'[1]ExportarAExcel (2)'!$A$1:$F$517,2,0)</f>
        <v>7</v>
      </c>
      <c r="C57" s="18" t="s">
        <v>2298</v>
      </c>
      <c r="D57" s="18" t="s">
        <v>2375</v>
      </c>
      <c r="E57" s="18" t="s">
        <v>2548</v>
      </c>
      <c r="F57" s="18" t="s">
        <v>2549</v>
      </c>
      <c r="G57" s="18" t="s">
        <v>720</v>
      </c>
      <c r="H57" s="18">
        <v>329</v>
      </c>
      <c r="I57" s="19">
        <v>1200000</v>
      </c>
      <c r="J57" s="20">
        <v>0</v>
      </c>
      <c r="K57" s="18">
        <v>0</v>
      </c>
    </row>
    <row r="58" spans="1:11" s="18" customFormat="1" x14ac:dyDescent="0.25">
      <c r="A58" s="17">
        <v>9524528</v>
      </c>
      <c r="B58" s="18">
        <f>VLOOKUP(A58,'[1]ExportarAExcel (2)'!$A$1:$F$517,2,0)</f>
        <v>9</v>
      </c>
      <c r="C58" s="18" t="s">
        <v>2299</v>
      </c>
      <c r="D58" s="18" t="s">
        <v>2440</v>
      </c>
      <c r="E58" s="18" t="s">
        <v>2550</v>
      </c>
      <c r="F58" s="18" t="s">
        <v>2551</v>
      </c>
      <c r="G58" s="18" t="s">
        <v>724</v>
      </c>
      <c r="H58" s="18">
        <v>310</v>
      </c>
      <c r="I58" s="19">
        <v>1570100</v>
      </c>
      <c r="J58" s="20">
        <v>12526</v>
      </c>
      <c r="K58" s="18">
        <v>0</v>
      </c>
    </row>
    <row r="59" spans="1:11" s="18" customFormat="1" x14ac:dyDescent="0.25">
      <c r="A59" s="17">
        <v>23853895</v>
      </c>
      <c r="B59" s="18">
        <f>VLOOKUP(A59,'[1]ExportarAExcel (2)'!$A$1:$F$517,2,0)</f>
        <v>9</v>
      </c>
      <c r="C59" s="18" t="s">
        <v>2300</v>
      </c>
      <c r="D59" s="18" t="s">
        <v>2441</v>
      </c>
      <c r="E59" s="18" t="s">
        <v>2552</v>
      </c>
      <c r="F59" s="18" t="s">
        <v>2553</v>
      </c>
      <c r="G59" s="18" t="s">
        <v>724</v>
      </c>
      <c r="H59" s="18">
        <v>211</v>
      </c>
      <c r="I59" s="19">
        <v>4111000</v>
      </c>
      <c r="J59" s="20">
        <v>32888</v>
      </c>
      <c r="K59" s="18">
        <v>0</v>
      </c>
    </row>
    <row r="60" spans="1:11" s="18" customFormat="1" x14ac:dyDescent="0.25">
      <c r="A60" s="17">
        <v>23856303</v>
      </c>
      <c r="B60" s="18">
        <f>VLOOKUP(A60,'[1]ExportarAExcel (2)'!$A$1:$F$517,2,0)</f>
        <v>4</v>
      </c>
      <c r="C60" s="18" t="s">
        <v>2301</v>
      </c>
      <c r="D60" s="18" t="s">
        <v>2355</v>
      </c>
      <c r="E60" s="18" t="s">
        <v>2554</v>
      </c>
      <c r="F60" s="18" t="s">
        <v>2555</v>
      </c>
      <c r="G60" s="18" t="s">
        <v>724</v>
      </c>
      <c r="H60" s="18">
        <v>219</v>
      </c>
      <c r="I60" s="19">
        <v>1142800</v>
      </c>
      <c r="J60" s="20">
        <v>0</v>
      </c>
      <c r="K60" s="18">
        <v>0</v>
      </c>
    </row>
    <row r="61" spans="1:11" s="18" customFormat="1" x14ac:dyDescent="0.25">
      <c r="A61" s="17">
        <v>32734176</v>
      </c>
      <c r="B61" s="18">
        <f>VLOOKUP(A61,'[1]ExportarAExcel (2)'!$A$1:$F$517,2,0)</f>
        <v>4</v>
      </c>
      <c r="C61" s="18" t="s">
        <v>2290</v>
      </c>
      <c r="D61" s="18" t="s">
        <v>2371</v>
      </c>
      <c r="E61" s="18" t="s">
        <v>2533</v>
      </c>
      <c r="F61" s="18" t="s">
        <v>2534</v>
      </c>
      <c r="G61" s="18" t="s">
        <v>724</v>
      </c>
      <c r="H61" s="18">
        <v>313</v>
      </c>
      <c r="I61" s="19">
        <v>13113600</v>
      </c>
      <c r="J61" s="20">
        <v>104911</v>
      </c>
      <c r="K61" s="18">
        <v>0</v>
      </c>
    </row>
    <row r="62" spans="1:11" s="18" customFormat="1" x14ac:dyDescent="0.25">
      <c r="A62" s="17">
        <v>46375058</v>
      </c>
      <c r="B62" s="18">
        <f>VLOOKUP(A62,'[1]ExportarAExcel (2)'!$A$1:$F$517,2,0)</f>
        <v>3</v>
      </c>
      <c r="C62" s="18" t="s">
        <v>2302</v>
      </c>
      <c r="D62" s="18" t="s">
        <v>2376</v>
      </c>
      <c r="E62" s="18" t="s">
        <v>2556</v>
      </c>
      <c r="F62" s="18" t="s">
        <v>2470</v>
      </c>
      <c r="G62" s="18" t="s">
        <v>720</v>
      </c>
      <c r="H62" s="18">
        <v>219</v>
      </c>
      <c r="I62" s="19">
        <v>68201681</v>
      </c>
      <c r="J62" s="20">
        <v>0</v>
      </c>
      <c r="K62" s="18">
        <v>0</v>
      </c>
    </row>
    <row r="63" spans="1:11" s="18" customFormat="1" x14ac:dyDescent="0.25">
      <c r="A63" s="17">
        <v>46661822</v>
      </c>
      <c r="B63" s="18">
        <f>VLOOKUP(A63,'[1]ExportarAExcel (2)'!$A$1:$F$517,2,0)</f>
        <v>0</v>
      </c>
      <c r="C63" s="18" t="s">
        <v>2293</v>
      </c>
      <c r="D63" s="18" t="s">
        <v>2370</v>
      </c>
      <c r="E63" s="18" t="s">
        <v>2539</v>
      </c>
      <c r="F63" s="18" t="s">
        <v>2540</v>
      </c>
      <c r="G63" s="18" t="s">
        <v>720</v>
      </c>
      <c r="H63" s="18">
        <v>219</v>
      </c>
      <c r="I63" s="19">
        <v>1911248</v>
      </c>
      <c r="J63" s="20">
        <v>0</v>
      </c>
      <c r="K63" s="18">
        <v>0</v>
      </c>
    </row>
    <row r="64" spans="1:11" s="18" customFormat="1" x14ac:dyDescent="0.25">
      <c r="A64" s="17">
        <v>46680612</v>
      </c>
      <c r="B64" s="18">
        <f>VLOOKUP(A64,'[1]ExportarAExcel (2)'!$A$1:$F$517,2,0)</f>
        <v>1</v>
      </c>
      <c r="C64" s="18" t="s">
        <v>2303</v>
      </c>
      <c r="D64" s="18" t="s">
        <v>2442</v>
      </c>
      <c r="E64" s="18" t="s">
        <v>2557</v>
      </c>
      <c r="F64" s="18" t="s">
        <v>2558</v>
      </c>
      <c r="G64" s="18" t="s">
        <v>724</v>
      </c>
      <c r="H64" s="18">
        <v>219</v>
      </c>
      <c r="I64" s="19">
        <v>9922527</v>
      </c>
      <c r="J64" s="20">
        <v>76933</v>
      </c>
      <c r="K64" s="18">
        <v>0</v>
      </c>
    </row>
    <row r="65" spans="1:11" s="18" customFormat="1" x14ac:dyDescent="0.25">
      <c r="A65" s="17">
        <v>74085634</v>
      </c>
      <c r="B65" s="18">
        <f>VLOOKUP(A65,'[1]ExportarAExcel (2)'!$A$1:$F$517,2,0)</f>
        <v>3</v>
      </c>
      <c r="C65" s="18" t="s">
        <v>2304</v>
      </c>
      <c r="D65" s="18" t="s">
        <v>2377</v>
      </c>
      <c r="E65" s="18" t="s">
        <v>2559</v>
      </c>
      <c r="F65" s="18" t="s">
        <v>2560</v>
      </c>
      <c r="G65" s="18" t="s">
        <v>720</v>
      </c>
      <c r="H65" s="18">
        <v>219</v>
      </c>
      <c r="I65" s="19">
        <v>17605000</v>
      </c>
      <c r="J65" s="20">
        <v>0</v>
      </c>
      <c r="K65" s="18">
        <v>0</v>
      </c>
    </row>
    <row r="66" spans="1:11" s="18" customFormat="1" x14ac:dyDescent="0.25">
      <c r="A66" s="17">
        <v>800025690</v>
      </c>
      <c r="B66" s="18">
        <f>VLOOKUP(A66,'[1]ExportarAExcel (2)'!$A$1:$F$517,2,0)</f>
        <v>2</v>
      </c>
      <c r="C66" s="18" t="s">
        <v>2305</v>
      </c>
      <c r="D66" s="18" t="s">
        <v>2443</v>
      </c>
      <c r="E66" s="18" t="s">
        <v>2561</v>
      </c>
      <c r="F66" s="18" t="s">
        <v>2562</v>
      </c>
      <c r="G66" s="18" t="s">
        <v>724</v>
      </c>
      <c r="H66" s="18">
        <v>211</v>
      </c>
      <c r="I66" s="19">
        <v>4865194</v>
      </c>
      <c r="J66" s="20">
        <v>38921</v>
      </c>
      <c r="K66" s="18">
        <v>0</v>
      </c>
    </row>
    <row r="67" spans="1:11" s="18" customFormat="1" x14ac:dyDescent="0.25">
      <c r="A67" s="17">
        <v>800124185</v>
      </c>
      <c r="B67" s="18">
        <f>VLOOKUP(A67,'[1]ExportarAExcel (2)'!$A$1:$F$517,2,0)</f>
        <v>9</v>
      </c>
      <c r="C67" s="18" t="s">
        <v>2306</v>
      </c>
      <c r="D67" s="18" t="s">
        <v>2378</v>
      </c>
      <c r="E67" s="18" t="s">
        <v>2563</v>
      </c>
      <c r="F67" s="18" t="s">
        <v>2564</v>
      </c>
      <c r="G67" s="18" t="s">
        <v>704</v>
      </c>
      <c r="H67" s="18">
        <v>219</v>
      </c>
      <c r="I67" s="19">
        <v>31445378</v>
      </c>
      <c r="J67" s="20">
        <v>0</v>
      </c>
      <c r="K67" s="18">
        <v>0</v>
      </c>
    </row>
    <row r="68" spans="1:11" s="18" customFormat="1" x14ac:dyDescent="0.25">
      <c r="A68" s="17">
        <v>800130426</v>
      </c>
      <c r="B68" s="18">
        <f>VLOOKUP(A68,'[1]ExportarAExcel (2)'!$A$1:$F$517,2,0)</f>
        <v>3</v>
      </c>
      <c r="C68" s="18" t="s">
        <v>2307</v>
      </c>
      <c r="D68" s="18" t="s">
        <v>2379</v>
      </c>
      <c r="E68" s="18" t="s">
        <v>2565</v>
      </c>
      <c r="F68" s="18" t="s">
        <v>2566</v>
      </c>
      <c r="G68" s="18" t="s">
        <v>706</v>
      </c>
      <c r="H68" s="18">
        <v>219</v>
      </c>
      <c r="I68" s="19">
        <v>983198</v>
      </c>
      <c r="J68" s="20">
        <v>0</v>
      </c>
      <c r="K68" s="18">
        <v>0</v>
      </c>
    </row>
    <row r="69" spans="1:11" s="18" customFormat="1" x14ac:dyDescent="0.25">
      <c r="A69" s="17">
        <v>800157339</v>
      </c>
      <c r="B69" s="18">
        <f>VLOOKUP(A69,'[1]ExportarAExcel (2)'!$A$1:$F$517,2,0)</f>
        <v>8</v>
      </c>
      <c r="C69" s="18" t="s">
        <v>2308</v>
      </c>
      <c r="D69" s="18" t="s">
        <v>2380</v>
      </c>
      <c r="E69" s="18" t="s">
        <v>2567</v>
      </c>
      <c r="F69" s="18" t="s">
        <v>2568</v>
      </c>
      <c r="G69" s="18" t="s">
        <v>720</v>
      </c>
      <c r="H69" s="18">
        <v>219</v>
      </c>
      <c r="I69" s="19">
        <v>30143793</v>
      </c>
      <c r="J69" s="20">
        <v>0</v>
      </c>
      <c r="K69" s="18">
        <v>0</v>
      </c>
    </row>
    <row r="70" spans="1:11" s="18" customFormat="1" x14ac:dyDescent="0.25">
      <c r="A70" s="17">
        <v>800185511</v>
      </c>
      <c r="B70" s="18">
        <f>VLOOKUP(A70,'[1]ExportarAExcel (2)'!$A$1:$F$517,2,0)</f>
        <v>8</v>
      </c>
      <c r="C70" s="18" t="s">
        <v>2309</v>
      </c>
      <c r="D70" s="18" t="s">
        <v>2444</v>
      </c>
      <c r="E70" s="18" t="s">
        <v>2569</v>
      </c>
      <c r="F70" s="18" t="s">
        <v>2570</v>
      </c>
      <c r="G70" s="18" t="s">
        <v>724</v>
      </c>
      <c r="H70" s="18">
        <v>219</v>
      </c>
      <c r="I70" s="19">
        <v>18000000</v>
      </c>
      <c r="J70" s="20">
        <v>180000</v>
      </c>
      <c r="K70" s="18">
        <v>0</v>
      </c>
    </row>
    <row r="71" spans="1:11" s="18" customFormat="1" x14ac:dyDescent="0.25">
      <c r="A71" s="17">
        <v>800242106</v>
      </c>
      <c r="B71" s="18">
        <f>VLOOKUP(A71,'[1]ExportarAExcel (2)'!$A$1:$F$517,2,0)</f>
        <v>2</v>
      </c>
      <c r="C71" s="18" t="s">
        <v>2292</v>
      </c>
      <c r="D71" s="18" t="s">
        <v>2381</v>
      </c>
      <c r="E71" s="18" t="s">
        <v>2537</v>
      </c>
      <c r="F71" s="18" t="s">
        <v>2538</v>
      </c>
      <c r="G71" s="18" t="s">
        <v>525</v>
      </c>
      <c r="H71" s="18">
        <v>219</v>
      </c>
      <c r="I71" s="19">
        <v>81191626</v>
      </c>
      <c r="J71" s="20">
        <v>0</v>
      </c>
      <c r="K71" s="18">
        <v>0</v>
      </c>
    </row>
    <row r="72" spans="1:11" s="18" customFormat="1" x14ac:dyDescent="0.25">
      <c r="A72" s="17">
        <v>800242586</v>
      </c>
      <c r="B72" s="18">
        <f>VLOOKUP(A72,'[1]ExportarAExcel (2)'!$A$1:$F$517,2,0)</f>
        <v>4</v>
      </c>
      <c r="C72" s="18" t="s">
        <v>2310</v>
      </c>
      <c r="D72" s="18" t="s">
        <v>2382</v>
      </c>
      <c r="E72" s="18" t="s">
        <v>2571</v>
      </c>
      <c r="F72" s="18" t="s">
        <v>2572</v>
      </c>
      <c r="G72" s="18" t="s">
        <v>720</v>
      </c>
      <c r="H72" s="18">
        <v>219</v>
      </c>
      <c r="I72" s="19">
        <v>3612591</v>
      </c>
      <c r="J72" s="20">
        <v>0</v>
      </c>
      <c r="K72" s="18">
        <v>0</v>
      </c>
    </row>
    <row r="73" spans="1:11" s="18" customFormat="1" x14ac:dyDescent="0.25">
      <c r="A73" s="17">
        <v>805015703</v>
      </c>
      <c r="B73" s="18">
        <f>VLOOKUP(A73,'[1]ExportarAExcel (2)'!$A$1:$F$517,2,0)</f>
        <v>5</v>
      </c>
      <c r="C73" s="18" t="s">
        <v>2311</v>
      </c>
      <c r="D73" s="18" t="s">
        <v>2383</v>
      </c>
      <c r="E73" s="18" t="s">
        <v>2573</v>
      </c>
      <c r="F73" s="18" t="s">
        <v>2574</v>
      </c>
      <c r="G73" s="18" t="s">
        <v>409</v>
      </c>
      <c r="H73" s="18">
        <v>219</v>
      </c>
      <c r="I73" s="19">
        <v>9715967</v>
      </c>
      <c r="J73" s="20">
        <v>0</v>
      </c>
      <c r="K73" s="18">
        <v>0</v>
      </c>
    </row>
    <row r="74" spans="1:11" s="18" customFormat="1" x14ac:dyDescent="0.25">
      <c r="A74" s="17">
        <v>811028650</v>
      </c>
      <c r="B74" s="18">
        <f>VLOOKUP(A74,'[1]ExportarAExcel (2)'!$A$1:$F$517,2,0)</f>
        <v>1</v>
      </c>
      <c r="C74" s="18" t="s">
        <v>2312</v>
      </c>
      <c r="D74" s="18" t="s">
        <v>2384</v>
      </c>
      <c r="E74" s="18" t="s">
        <v>2575</v>
      </c>
      <c r="F74" s="18" t="s">
        <v>2576</v>
      </c>
      <c r="G74" s="18" t="s">
        <v>342</v>
      </c>
      <c r="H74" s="18">
        <v>219</v>
      </c>
      <c r="I74" s="19">
        <v>171483498</v>
      </c>
      <c r="J74" s="20">
        <v>0</v>
      </c>
      <c r="K74" s="18">
        <v>0</v>
      </c>
    </row>
    <row r="75" spans="1:11" s="18" customFormat="1" x14ac:dyDescent="0.25">
      <c r="A75" s="17">
        <v>826000089</v>
      </c>
      <c r="B75" s="18">
        <f>VLOOKUP(A75,'[1]ExportarAExcel (2)'!$A$1:$F$517,2,0)</f>
        <v>1</v>
      </c>
      <c r="C75" s="18" t="s">
        <v>2313</v>
      </c>
      <c r="D75" s="18" t="s">
        <v>2385</v>
      </c>
      <c r="E75" s="18" t="s">
        <v>2577</v>
      </c>
      <c r="F75" s="18" t="s">
        <v>2578</v>
      </c>
      <c r="G75" s="18" t="s">
        <v>409</v>
      </c>
      <c r="H75" s="18">
        <v>219</v>
      </c>
      <c r="I75" s="19">
        <v>60749123</v>
      </c>
      <c r="J75" s="20">
        <v>0</v>
      </c>
      <c r="K75" s="18">
        <v>0</v>
      </c>
    </row>
    <row r="76" spans="1:11" s="18" customFormat="1" x14ac:dyDescent="0.25">
      <c r="A76" s="17">
        <v>830063800</v>
      </c>
      <c r="B76" s="18">
        <f>VLOOKUP(A76,'[1]ExportarAExcel (2)'!$A$1:$F$517,2,0)</f>
        <v>7</v>
      </c>
      <c r="C76" s="18" t="s">
        <v>2314</v>
      </c>
      <c r="D76" s="18" t="s">
        <v>2386</v>
      </c>
      <c r="E76" s="18" t="s">
        <v>2579</v>
      </c>
      <c r="F76" s="18" t="s">
        <v>2580</v>
      </c>
      <c r="G76" s="18" t="s">
        <v>720</v>
      </c>
      <c r="H76" s="18">
        <v>219</v>
      </c>
      <c r="I76" s="19">
        <v>80753407</v>
      </c>
      <c r="J76" s="20">
        <v>0</v>
      </c>
      <c r="K76" s="18">
        <v>0</v>
      </c>
    </row>
    <row r="77" spans="1:11" s="18" customFormat="1" x14ac:dyDescent="0.25">
      <c r="A77" s="17">
        <v>860032550</v>
      </c>
      <c r="B77" s="18">
        <f>VLOOKUP(A77,'[1]ExportarAExcel (2)'!$A$1:$F$517,2,0)</f>
        <v>7</v>
      </c>
      <c r="C77" s="18" t="s">
        <v>2315</v>
      </c>
      <c r="D77" s="18" t="s">
        <v>2387</v>
      </c>
      <c r="E77" s="18" t="s">
        <v>2581</v>
      </c>
      <c r="F77" s="18" t="s">
        <v>2582</v>
      </c>
      <c r="G77" s="18" t="s">
        <v>409</v>
      </c>
      <c r="H77" s="18">
        <v>219</v>
      </c>
      <c r="I77" s="19">
        <v>3461637</v>
      </c>
      <c r="J77" s="20">
        <v>0</v>
      </c>
      <c r="K77" s="18">
        <v>0</v>
      </c>
    </row>
    <row r="78" spans="1:11" s="18" customFormat="1" x14ac:dyDescent="0.25">
      <c r="A78" s="17">
        <v>860034313</v>
      </c>
      <c r="B78" s="18">
        <f>VLOOKUP(A78,'[1]ExportarAExcel (2)'!$A$1:$F$517,2,0)</f>
        <v>7</v>
      </c>
      <c r="C78" s="18" t="s">
        <v>2316</v>
      </c>
      <c r="D78" s="18" t="s">
        <v>2413</v>
      </c>
      <c r="E78" s="18">
        <v>7850272</v>
      </c>
      <c r="F78" s="18" t="s">
        <v>2412</v>
      </c>
      <c r="G78" s="18" t="s">
        <v>720</v>
      </c>
      <c r="H78" s="18">
        <v>219</v>
      </c>
      <c r="I78" s="19">
        <v>12213319</v>
      </c>
      <c r="J78" s="20">
        <v>0</v>
      </c>
      <c r="K78" s="18">
        <v>0</v>
      </c>
    </row>
    <row r="79" spans="1:11" s="18" customFormat="1" x14ac:dyDescent="0.25">
      <c r="A79" s="17">
        <v>860500480</v>
      </c>
      <c r="B79" s="18">
        <f>VLOOKUP(A79,'[1]ExportarAExcel (2)'!$A$1:$F$517,2,0)</f>
        <v>8</v>
      </c>
      <c r="C79" s="18" t="s">
        <v>2271</v>
      </c>
      <c r="D79" s="18" t="s">
        <v>2359</v>
      </c>
      <c r="E79" s="18" t="s">
        <v>2496</v>
      </c>
      <c r="F79" s="18" t="s">
        <v>2497</v>
      </c>
      <c r="G79" s="18" t="s">
        <v>409</v>
      </c>
      <c r="H79" s="18">
        <v>219</v>
      </c>
      <c r="I79" s="19">
        <v>80316856</v>
      </c>
      <c r="J79" s="20">
        <v>0</v>
      </c>
      <c r="K79" s="18">
        <v>0</v>
      </c>
    </row>
    <row r="80" spans="1:11" s="18" customFormat="1" x14ac:dyDescent="0.25">
      <c r="A80" s="17">
        <v>890903938</v>
      </c>
      <c r="B80" s="18">
        <f>VLOOKUP(A80,'[1]ExportarAExcel (2)'!$A$1:$F$517,2,0)</f>
        <v>8</v>
      </c>
      <c r="C80" s="18" t="s">
        <v>2317</v>
      </c>
      <c r="D80" s="18" t="s">
        <v>2415</v>
      </c>
      <c r="E80" s="18">
        <v>8541368</v>
      </c>
      <c r="F80" s="18" t="s">
        <v>2414</v>
      </c>
      <c r="G80" s="18" t="s">
        <v>720</v>
      </c>
      <c r="H80" s="18">
        <v>219</v>
      </c>
      <c r="I80" s="19">
        <v>9091315</v>
      </c>
      <c r="J80" s="20">
        <v>0</v>
      </c>
      <c r="K80" s="18">
        <v>0</v>
      </c>
    </row>
    <row r="81" spans="1:11" s="18" customFormat="1" x14ac:dyDescent="0.25">
      <c r="A81" s="17">
        <v>891800498</v>
      </c>
      <c r="B81" s="18">
        <f>VLOOKUP(A81,'[1]ExportarAExcel (2)'!$A$1:$F$517,2,0)</f>
        <v>1</v>
      </c>
      <c r="C81" s="18" t="s">
        <v>2318</v>
      </c>
      <c r="D81" s="18" t="s">
        <v>2388</v>
      </c>
      <c r="E81" s="18" t="s">
        <v>2583</v>
      </c>
      <c r="F81" s="18" t="s">
        <v>2584</v>
      </c>
      <c r="G81" s="18" t="s">
        <v>525</v>
      </c>
      <c r="H81" s="18">
        <v>219</v>
      </c>
      <c r="I81" s="19">
        <v>16190400</v>
      </c>
      <c r="J81" s="20">
        <v>0</v>
      </c>
      <c r="K81" s="18">
        <v>0</v>
      </c>
    </row>
    <row r="82" spans="1:11" s="18" customFormat="1" x14ac:dyDescent="0.25">
      <c r="A82" s="17">
        <v>891855025</v>
      </c>
      <c r="B82" s="18">
        <f>VLOOKUP(A82,'[1]ExportarAExcel (2)'!$A$1:$F$517,2,0)</f>
        <v>6</v>
      </c>
      <c r="C82" s="18" t="s">
        <v>2319</v>
      </c>
      <c r="D82" s="18" t="s">
        <v>2389</v>
      </c>
      <c r="E82" s="18" t="s">
        <v>2585</v>
      </c>
      <c r="F82" s="18" t="s">
        <v>2586</v>
      </c>
      <c r="G82" s="18" t="s">
        <v>720</v>
      </c>
      <c r="H82" s="18">
        <v>219</v>
      </c>
      <c r="I82" s="19">
        <v>2322800</v>
      </c>
      <c r="J82" s="20">
        <v>0</v>
      </c>
      <c r="K82" s="18">
        <v>0</v>
      </c>
    </row>
    <row r="83" spans="1:11" s="18" customFormat="1" x14ac:dyDescent="0.25">
      <c r="A83" s="17">
        <v>899999007</v>
      </c>
      <c r="B83" s="18">
        <f>VLOOKUP(A83,'[1]ExportarAExcel (2)'!$A$1:$F$517,2,0)</f>
        <v>0</v>
      </c>
      <c r="C83" s="18" t="s">
        <v>2320</v>
      </c>
      <c r="D83" s="18" t="s">
        <v>2390</v>
      </c>
      <c r="E83" s="18" t="s">
        <v>2587</v>
      </c>
      <c r="F83" s="18" t="s">
        <v>2588</v>
      </c>
      <c r="G83" s="18" t="s">
        <v>409</v>
      </c>
      <c r="H83" s="18">
        <v>219</v>
      </c>
      <c r="I83" s="19">
        <v>16006900</v>
      </c>
      <c r="J83" s="20">
        <v>0</v>
      </c>
      <c r="K83" s="18">
        <v>0</v>
      </c>
    </row>
    <row r="84" spans="1:11" s="18" customFormat="1" x14ac:dyDescent="0.25">
      <c r="A84" s="17">
        <v>900013681</v>
      </c>
      <c r="B84" s="18">
        <f>VLOOKUP(A84,'[1]ExportarAExcel (2)'!$A$1:$F$517,2,0)</f>
        <v>7</v>
      </c>
      <c r="C84" s="18" t="s">
        <v>2321</v>
      </c>
      <c r="D84" s="18" t="s">
        <v>2391</v>
      </c>
      <c r="E84" s="18" t="s">
        <v>2589</v>
      </c>
      <c r="F84" s="18" t="s">
        <v>2590</v>
      </c>
      <c r="G84" s="18" t="s">
        <v>409</v>
      </c>
      <c r="H84" s="18">
        <v>219</v>
      </c>
      <c r="I84" s="19">
        <v>75287652</v>
      </c>
      <c r="J84" s="20">
        <v>0</v>
      </c>
      <c r="K84" s="18">
        <v>0</v>
      </c>
    </row>
    <row r="85" spans="1:11" s="18" customFormat="1" x14ac:dyDescent="0.25">
      <c r="A85" s="17">
        <v>900031780</v>
      </c>
      <c r="B85" s="18">
        <f>VLOOKUP(A85,'[1]ExportarAExcel (2)'!$A$1:$F$517,2,0)</f>
        <v>4</v>
      </c>
      <c r="C85" s="18" t="s">
        <v>2322</v>
      </c>
      <c r="D85" s="18" t="s">
        <v>2445</v>
      </c>
      <c r="E85" s="18" t="s">
        <v>2591</v>
      </c>
      <c r="F85" s="18" t="s">
        <v>2592</v>
      </c>
      <c r="G85" s="18" t="s">
        <v>724</v>
      </c>
      <c r="H85" s="18">
        <v>211</v>
      </c>
      <c r="I85" s="19">
        <v>168738945</v>
      </c>
      <c r="J85" s="20">
        <v>1346658</v>
      </c>
      <c r="K85" s="18">
        <v>0</v>
      </c>
    </row>
    <row r="86" spans="1:11" s="18" customFormat="1" x14ac:dyDescent="0.25">
      <c r="A86" s="17">
        <v>900076922</v>
      </c>
      <c r="B86" s="18">
        <f>VLOOKUP(A86,'[1]ExportarAExcel (2)'!$A$1:$F$517,2,0)</f>
        <v>7</v>
      </c>
      <c r="C86" s="18" t="s">
        <v>2323</v>
      </c>
      <c r="D86" s="18" t="s">
        <v>2392</v>
      </c>
      <c r="E86" s="18" t="s">
        <v>2593</v>
      </c>
      <c r="F86" s="18" t="s">
        <v>2594</v>
      </c>
      <c r="G86" s="18" t="s">
        <v>409</v>
      </c>
      <c r="H86" s="18">
        <v>219</v>
      </c>
      <c r="I86" s="19">
        <v>49542687</v>
      </c>
      <c r="J86" s="20">
        <v>0</v>
      </c>
      <c r="K86" s="18">
        <v>0</v>
      </c>
    </row>
    <row r="87" spans="1:11" s="18" customFormat="1" x14ac:dyDescent="0.25">
      <c r="A87" s="17">
        <v>900080289</v>
      </c>
      <c r="B87" s="18">
        <f>VLOOKUP(A87,'[1]ExportarAExcel (2)'!$A$1:$F$517,2,0)</f>
        <v>8</v>
      </c>
      <c r="C87" s="18" t="s">
        <v>2324</v>
      </c>
      <c r="D87" s="18" t="s">
        <v>2393</v>
      </c>
      <c r="E87" s="18" t="s">
        <v>2595</v>
      </c>
      <c r="F87" s="18" t="s">
        <v>2596</v>
      </c>
      <c r="G87" s="18" t="s">
        <v>409</v>
      </c>
      <c r="H87" s="18">
        <v>219</v>
      </c>
      <c r="I87" s="19">
        <v>3539760</v>
      </c>
      <c r="J87" s="20">
        <v>0</v>
      </c>
      <c r="K87" s="18">
        <v>0</v>
      </c>
    </row>
    <row r="88" spans="1:11" s="18" customFormat="1" x14ac:dyDescent="0.25">
      <c r="A88" s="17">
        <v>900170621</v>
      </c>
      <c r="B88" s="18">
        <f>VLOOKUP(A88,'[1]ExportarAExcel (2)'!$A$1:$F$517,2,0)</f>
        <v>7</v>
      </c>
      <c r="C88" s="18" t="s">
        <v>2325</v>
      </c>
      <c r="D88" s="18" t="s">
        <v>2394</v>
      </c>
      <c r="E88" s="18" t="s">
        <v>2597</v>
      </c>
      <c r="F88" s="18" t="s">
        <v>2598</v>
      </c>
      <c r="G88" s="18" t="s">
        <v>1261</v>
      </c>
      <c r="H88" s="18">
        <v>219</v>
      </c>
      <c r="I88" s="19">
        <v>2728571</v>
      </c>
      <c r="J88" s="20">
        <v>0</v>
      </c>
      <c r="K88" s="18">
        <v>0</v>
      </c>
    </row>
    <row r="89" spans="1:11" s="18" customFormat="1" x14ac:dyDescent="0.25">
      <c r="A89" s="17">
        <v>900253422</v>
      </c>
      <c r="B89" s="18">
        <f>VLOOKUP(A89,'[1]ExportarAExcel (2)'!$A$1:$F$517,2,0)</f>
        <v>5</v>
      </c>
      <c r="C89" s="18" t="s">
        <v>2326</v>
      </c>
      <c r="D89" s="18" t="s">
        <v>2395</v>
      </c>
      <c r="E89" s="18" t="s">
        <v>2599</v>
      </c>
      <c r="F89" s="18" t="s">
        <v>2600</v>
      </c>
      <c r="G89" s="18" t="s">
        <v>409</v>
      </c>
      <c r="H89" s="18">
        <v>219</v>
      </c>
      <c r="I89" s="19">
        <v>11924382</v>
      </c>
      <c r="J89" s="20">
        <v>0</v>
      </c>
      <c r="K89" s="18">
        <v>0</v>
      </c>
    </row>
    <row r="90" spans="1:11" s="18" customFormat="1" x14ac:dyDescent="0.25">
      <c r="A90" s="17">
        <v>900254020</v>
      </c>
      <c r="B90" s="18">
        <f>VLOOKUP(A90,'[1]ExportarAExcel (2)'!$A$1:$F$517,2,0)</f>
        <v>2</v>
      </c>
      <c r="C90" s="18" t="s">
        <v>2327</v>
      </c>
      <c r="D90" s="18" t="s">
        <v>2396</v>
      </c>
      <c r="E90" s="18" t="s">
        <v>2601</v>
      </c>
      <c r="F90" s="18" t="s">
        <v>2602</v>
      </c>
      <c r="G90" s="18" t="s">
        <v>409</v>
      </c>
      <c r="H90" s="18">
        <v>219</v>
      </c>
      <c r="I90" s="19">
        <v>134115869</v>
      </c>
      <c r="J90" s="20">
        <v>0</v>
      </c>
      <c r="K90" s="18">
        <v>0</v>
      </c>
    </row>
    <row r="91" spans="1:11" s="18" customFormat="1" x14ac:dyDescent="0.25">
      <c r="A91" s="17">
        <v>900293833</v>
      </c>
      <c r="B91" s="18">
        <f>VLOOKUP(A91,'[1]ExportarAExcel (2)'!$A$1:$F$517,2,0)</f>
        <v>1</v>
      </c>
      <c r="C91" s="18" t="s">
        <v>2328</v>
      </c>
      <c r="D91" s="18" t="s">
        <v>2397</v>
      </c>
      <c r="E91" s="18" t="s">
        <v>2603</v>
      </c>
      <c r="F91" s="18" t="s">
        <v>2604</v>
      </c>
      <c r="G91" s="18" t="s">
        <v>1275</v>
      </c>
      <c r="H91" s="18">
        <v>219</v>
      </c>
      <c r="I91" s="19">
        <v>86167880</v>
      </c>
      <c r="J91" s="20">
        <v>0</v>
      </c>
      <c r="K91" s="18">
        <v>0</v>
      </c>
    </row>
    <row r="92" spans="1:11" s="18" customFormat="1" x14ac:dyDescent="0.25">
      <c r="A92" s="17">
        <v>900341135</v>
      </c>
      <c r="B92" s="18">
        <f>VLOOKUP(A92,'[1]ExportarAExcel (2)'!$A$1:$F$517,2,0)</f>
        <v>3</v>
      </c>
      <c r="C92" s="18" t="s">
        <v>2329</v>
      </c>
      <c r="D92" s="18" t="s">
        <v>2398</v>
      </c>
      <c r="E92" s="18" t="s">
        <v>2605</v>
      </c>
      <c r="F92" s="18" t="s">
        <v>2606</v>
      </c>
      <c r="G92" s="18" t="s">
        <v>525</v>
      </c>
      <c r="H92" s="18">
        <v>219</v>
      </c>
      <c r="I92" s="19">
        <v>16167656</v>
      </c>
      <c r="J92" s="20">
        <v>0</v>
      </c>
      <c r="K92" s="18">
        <v>0</v>
      </c>
    </row>
    <row r="93" spans="1:11" s="18" customFormat="1" x14ac:dyDescent="0.25">
      <c r="A93" s="17">
        <v>900412256</v>
      </c>
      <c r="B93" s="18">
        <f>VLOOKUP(A93,'[1]ExportarAExcel (2)'!$A$1:$F$517,2,0)</f>
        <v>1</v>
      </c>
      <c r="C93" s="18" t="s">
        <v>2330</v>
      </c>
      <c r="D93" s="18" t="s">
        <v>2399</v>
      </c>
      <c r="E93" s="18" t="s">
        <v>2607</v>
      </c>
      <c r="F93" s="18" t="s">
        <v>2608</v>
      </c>
      <c r="G93" s="18" t="s">
        <v>720</v>
      </c>
      <c r="H93" s="18">
        <v>219</v>
      </c>
      <c r="I93" s="19">
        <v>116288350</v>
      </c>
      <c r="J93" s="20">
        <v>0</v>
      </c>
      <c r="K93" s="18">
        <v>0</v>
      </c>
    </row>
    <row r="94" spans="1:11" s="18" customFormat="1" x14ac:dyDescent="0.25">
      <c r="A94" s="17">
        <v>900555902</v>
      </c>
      <c r="B94" s="18">
        <f>VLOOKUP(A94,'[1]ExportarAExcel (2)'!$A$1:$F$517,2,0)</f>
        <v>5</v>
      </c>
      <c r="C94" s="18" t="s">
        <v>2331</v>
      </c>
      <c r="D94" s="18" t="s">
        <v>2400</v>
      </c>
      <c r="E94" s="18" t="s">
        <v>2609</v>
      </c>
      <c r="F94" s="18" t="s">
        <v>2610</v>
      </c>
      <c r="G94" s="18" t="s">
        <v>720</v>
      </c>
      <c r="H94" s="18">
        <v>219</v>
      </c>
      <c r="I94" s="19">
        <v>14118499</v>
      </c>
      <c r="J94" s="20">
        <v>0</v>
      </c>
      <c r="K94" s="18">
        <v>0</v>
      </c>
    </row>
    <row r="95" spans="1:11" s="18" customFormat="1" x14ac:dyDescent="0.25">
      <c r="A95" s="17">
        <v>900827178</v>
      </c>
      <c r="B95" s="18">
        <f>VLOOKUP(A95,'[1]ExportarAExcel (2)'!$A$1:$F$517,2,0)</f>
        <v>7</v>
      </c>
      <c r="C95" s="18" t="s">
        <v>2332</v>
      </c>
      <c r="D95" s="18" t="s">
        <v>2401</v>
      </c>
      <c r="E95" s="18" t="s">
        <v>2611</v>
      </c>
      <c r="F95" s="18" t="s">
        <v>2612</v>
      </c>
      <c r="G95" s="18" t="s">
        <v>720</v>
      </c>
      <c r="H95" s="18">
        <v>219</v>
      </c>
      <c r="I95" s="19">
        <v>6450000</v>
      </c>
      <c r="J95" s="20">
        <v>0</v>
      </c>
      <c r="K95" s="18">
        <v>0</v>
      </c>
    </row>
    <row r="96" spans="1:11" s="18" customFormat="1" x14ac:dyDescent="0.25">
      <c r="A96" s="17">
        <v>901032442</v>
      </c>
      <c r="B96" s="18">
        <f>VLOOKUP(A96,'[1]ExportarAExcel (2)'!$A$1:$F$517,2,0)</f>
        <v>8</v>
      </c>
      <c r="C96" s="18" t="s">
        <v>2333</v>
      </c>
      <c r="D96" s="18" t="s">
        <v>2446</v>
      </c>
      <c r="E96" s="18" t="s">
        <v>2613</v>
      </c>
      <c r="F96" s="18" t="s">
        <v>2614</v>
      </c>
      <c r="G96" s="18" t="s">
        <v>724</v>
      </c>
      <c r="H96" s="18">
        <v>211</v>
      </c>
      <c r="I96" s="19">
        <v>22617413</v>
      </c>
      <c r="J96" s="20">
        <v>180940</v>
      </c>
      <c r="K96" s="18">
        <v>0</v>
      </c>
    </row>
    <row r="97" spans="1:11" s="18" customFormat="1" x14ac:dyDescent="0.25">
      <c r="A97" s="17">
        <v>901041174</v>
      </c>
      <c r="B97" s="18">
        <f>VLOOKUP(A97,'[1]ExportarAExcel (2)'!$A$1:$F$517,2,0)</f>
        <v>7</v>
      </c>
      <c r="C97" s="18" t="s">
        <v>2334</v>
      </c>
      <c r="D97" s="18" t="s">
        <v>2402</v>
      </c>
      <c r="E97" s="18" t="s">
        <v>2577</v>
      </c>
      <c r="F97" s="18" t="s">
        <v>2615</v>
      </c>
      <c r="G97" s="18" t="s">
        <v>409</v>
      </c>
      <c r="H97" s="18">
        <v>219</v>
      </c>
      <c r="I97" s="19">
        <v>5778416</v>
      </c>
      <c r="J97" s="20">
        <v>0</v>
      </c>
      <c r="K97" s="18">
        <v>0</v>
      </c>
    </row>
    <row r="98" spans="1:11" s="18" customFormat="1" x14ac:dyDescent="0.25">
      <c r="A98" s="17">
        <v>901128826</v>
      </c>
      <c r="B98" s="18">
        <f>VLOOKUP(A98,'[1]ExportarAExcel (2)'!$A$1:$F$517,2,0)</f>
        <v>6</v>
      </c>
      <c r="C98" s="18" t="s">
        <v>2335</v>
      </c>
      <c r="D98" s="18" t="s">
        <v>2447</v>
      </c>
      <c r="E98" s="18" t="s">
        <v>2616</v>
      </c>
      <c r="F98" s="18" t="s">
        <v>2617</v>
      </c>
      <c r="G98" s="18" t="s">
        <v>724</v>
      </c>
      <c r="H98" s="18">
        <v>219</v>
      </c>
      <c r="I98" s="19">
        <v>2177943</v>
      </c>
      <c r="J98" s="20">
        <v>21714</v>
      </c>
      <c r="K98" s="18">
        <v>0</v>
      </c>
    </row>
    <row r="99" spans="1:11" s="18" customFormat="1" x14ac:dyDescent="0.25">
      <c r="A99" s="17">
        <v>901200311</v>
      </c>
      <c r="B99" s="18">
        <f>VLOOKUP(A99,'[1]ExportarAExcel (2)'!$A$1:$F$517,2,0)</f>
        <v>2</v>
      </c>
      <c r="C99" s="18" t="s">
        <v>2336</v>
      </c>
      <c r="D99" s="18" t="s">
        <v>2403</v>
      </c>
      <c r="E99" s="18" t="s">
        <v>2618</v>
      </c>
      <c r="F99" s="18" t="s">
        <v>2619</v>
      </c>
      <c r="G99" s="18" t="s">
        <v>720</v>
      </c>
      <c r="H99" s="18">
        <v>219</v>
      </c>
      <c r="I99" s="19">
        <v>7648403</v>
      </c>
      <c r="J99" s="20">
        <v>0</v>
      </c>
      <c r="K99" s="18">
        <v>0</v>
      </c>
    </row>
    <row r="100" spans="1:11" s="18" customFormat="1" x14ac:dyDescent="0.25">
      <c r="A100" s="17">
        <v>901220387</v>
      </c>
      <c r="B100" s="18">
        <f>VLOOKUP(A100,'[1]ExportarAExcel (2)'!$A$1:$F$517,2,0)</f>
        <v>7</v>
      </c>
      <c r="C100" s="18" t="s">
        <v>2337</v>
      </c>
      <c r="D100" s="18" t="s">
        <v>2404</v>
      </c>
      <c r="E100" s="18" t="s">
        <v>2620</v>
      </c>
      <c r="F100" s="18" t="s">
        <v>2621</v>
      </c>
      <c r="G100" s="18" t="s">
        <v>525</v>
      </c>
      <c r="H100" s="18">
        <v>219</v>
      </c>
      <c r="I100" s="19">
        <v>12627310</v>
      </c>
      <c r="J100" s="20">
        <v>0</v>
      </c>
      <c r="K100" s="18">
        <v>0</v>
      </c>
    </row>
    <row r="101" spans="1:11" s="18" customFormat="1" x14ac:dyDescent="0.25">
      <c r="A101" s="17">
        <v>901230211</v>
      </c>
      <c r="B101" s="18">
        <f>VLOOKUP(A101,'[1]ExportarAExcel (2)'!$A$1:$F$517,2,0)</f>
        <v>2</v>
      </c>
      <c r="C101" s="18" t="s">
        <v>2338</v>
      </c>
      <c r="D101" s="18" t="s">
        <v>2405</v>
      </c>
      <c r="E101" s="18">
        <v>3156026130</v>
      </c>
      <c r="F101" s="18" t="s">
        <v>2541</v>
      </c>
      <c r="G101" s="18" t="s">
        <v>724</v>
      </c>
      <c r="H101" s="18">
        <v>219</v>
      </c>
      <c r="I101" s="19">
        <v>6543000</v>
      </c>
      <c r="J101" s="20">
        <v>0</v>
      </c>
      <c r="K101" s="18">
        <v>0</v>
      </c>
    </row>
    <row r="102" spans="1:11" s="18" customFormat="1" x14ac:dyDescent="0.25">
      <c r="A102" s="17">
        <v>901254114</v>
      </c>
      <c r="B102" s="18">
        <f>VLOOKUP(A102,'[1]ExportarAExcel (2)'!$A$1:$F$517,2,0)</f>
        <v>1</v>
      </c>
      <c r="C102" s="18" t="s">
        <v>2339</v>
      </c>
      <c r="D102" s="18" t="s">
        <v>2406</v>
      </c>
      <c r="E102" s="18" t="s">
        <v>2622</v>
      </c>
      <c r="F102" s="18" t="s">
        <v>2623</v>
      </c>
      <c r="G102" s="18" t="s">
        <v>720</v>
      </c>
      <c r="H102" s="18">
        <v>219</v>
      </c>
      <c r="I102" s="19">
        <v>1302521</v>
      </c>
      <c r="J102" s="20">
        <v>0</v>
      </c>
      <c r="K102" s="18">
        <v>0</v>
      </c>
    </row>
    <row r="103" spans="1:11" s="18" customFormat="1" x14ac:dyDescent="0.25">
      <c r="A103" s="17">
        <v>901293343</v>
      </c>
      <c r="B103" s="18">
        <f>VLOOKUP(A103,'[1]ExportarAExcel (2)'!$A$1:$F$517,2,0)</f>
        <v>6</v>
      </c>
      <c r="C103" s="18" t="s">
        <v>2340</v>
      </c>
      <c r="D103" s="18" t="s">
        <v>2407</v>
      </c>
      <c r="E103" s="18" t="s">
        <v>2624</v>
      </c>
      <c r="F103" s="18" t="s">
        <v>2625</v>
      </c>
      <c r="G103" s="18" t="s">
        <v>720</v>
      </c>
      <c r="H103" s="18">
        <v>219</v>
      </c>
      <c r="I103" s="19">
        <v>159663864</v>
      </c>
      <c r="J103" s="20">
        <v>0</v>
      </c>
      <c r="K103" s="18">
        <v>0</v>
      </c>
    </row>
    <row r="104" spans="1:11" s="18" customFormat="1" x14ac:dyDescent="0.25">
      <c r="A104" s="17">
        <v>901410058</v>
      </c>
      <c r="B104" s="18">
        <f>VLOOKUP(A104,'[1]ExportarAExcel (2)'!$A$1:$F$517,2,0)</f>
        <v>4</v>
      </c>
      <c r="C104" s="18" t="s">
        <v>2341</v>
      </c>
      <c r="D104" s="18" t="s">
        <v>2408</v>
      </c>
      <c r="E104" s="18" t="s">
        <v>2626</v>
      </c>
      <c r="F104" s="18" t="s">
        <v>2627</v>
      </c>
      <c r="G104" s="18" t="s">
        <v>1239</v>
      </c>
      <c r="H104" s="18">
        <v>219</v>
      </c>
      <c r="I104" s="19">
        <v>29000000</v>
      </c>
      <c r="J104" s="20">
        <v>0</v>
      </c>
      <c r="K104" s="18">
        <v>0</v>
      </c>
    </row>
    <row r="105" spans="1:11" s="18" customFormat="1" x14ac:dyDescent="0.25">
      <c r="A105" s="17">
        <v>901465361</v>
      </c>
      <c r="B105" s="18">
        <f>VLOOKUP(A105,'[1]ExportarAExcel (2)'!$A$1:$F$517,2,0)</f>
        <v>8</v>
      </c>
      <c r="C105" s="18" t="s">
        <v>2342</v>
      </c>
      <c r="D105" s="18" t="s">
        <v>2448</v>
      </c>
      <c r="E105" s="18" t="s">
        <v>2628</v>
      </c>
      <c r="F105" s="18" t="s">
        <v>2629</v>
      </c>
      <c r="G105" s="18" t="s">
        <v>724</v>
      </c>
      <c r="H105" s="18">
        <v>208</v>
      </c>
      <c r="I105" s="19">
        <v>4811721</v>
      </c>
      <c r="J105" s="20">
        <v>27488</v>
      </c>
      <c r="K105" s="18">
        <v>0</v>
      </c>
    </row>
    <row r="106" spans="1:11" s="18" customFormat="1" x14ac:dyDescent="0.25">
      <c r="A106" s="17">
        <v>901683944</v>
      </c>
      <c r="B106" s="18">
        <f>VLOOKUP(A106,'[1]ExportarAExcel (2)'!$A$1:$F$517,2,0)</f>
        <v>6</v>
      </c>
      <c r="C106" s="18" t="s">
        <v>2343</v>
      </c>
      <c r="D106" s="18" t="s">
        <v>2449</v>
      </c>
      <c r="E106" s="18" t="s">
        <v>2630</v>
      </c>
      <c r="F106" s="18" t="s">
        <v>2631</v>
      </c>
      <c r="G106" s="18" t="s">
        <v>724</v>
      </c>
      <c r="H106" s="18">
        <v>219</v>
      </c>
      <c r="I106" s="19">
        <v>50420706</v>
      </c>
      <c r="J106" s="20">
        <v>504208</v>
      </c>
      <c r="K106" s="18">
        <v>0</v>
      </c>
    </row>
    <row r="107" spans="1:11" s="18" customFormat="1" x14ac:dyDescent="0.25">
      <c r="A107" s="17">
        <v>1007305372</v>
      </c>
      <c r="B107" s="18">
        <f>VLOOKUP(A107,'[1]ExportarAExcel (2)'!$A$1:$F$517,2,0)</f>
        <v>1</v>
      </c>
      <c r="C107" s="18" t="s">
        <v>2344</v>
      </c>
      <c r="D107" s="18" t="s">
        <v>2409</v>
      </c>
      <c r="E107" s="18">
        <v>3114532962</v>
      </c>
      <c r="F107" s="18" t="s">
        <v>2349</v>
      </c>
      <c r="G107" s="18" t="s">
        <v>724</v>
      </c>
      <c r="H107" s="18">
        <v>219</v>
      </c>
      <c r="I107" s="19">
        <v>19548500</v>
      </c>
      <c r="J107" s="20">
        <v>0</v>
      </c>
      <c r="K107" s="18">
        <v>0</v>
      </c>
    </row>
    <row r="108" spans="1:11" s="18" customFormat="1" x14ac:dyDescent="0.25">
      <c r="A108" s="17">
        <v>1052392097</v>
      </c>
      <c r="B108" s="18">
        <f>VLOOKUP(A108,'[1]ExportarAExcel (2)'!$A$1:$F$517,2,0)</f>
        <v>5</v>
      </c>
      <c r="C108" s="18" t="s">
        <v>2285</v>
      </c>
      <c r="D108" s="18" t="s">
        <v>2367</v>
      </c>
      <c r="E108" s="18" t="s">
        <v>2523</v>
      </c>
      <c r="F108" s="18" t="s">
        <v>2524</v>
      </c>
      <c r="G108" s="18" t="s">
        <v>720</v>
      </c>
      <c r="H108" s="18">
        <v>219</v>
      </c>
      <c r="I108" s="19">
        <v>15870000</v>
      </c>
      <c r="J108" s="20">
        <v>0</v>
      </c>
      <c r="K108" s="18">
        <v>0</v>
      </c>
    </row>
    <row r="109" spans="1:11" s="18" customFormat="1" x14ac:dyDescent="0.25">
      <c r="A109" s="17">
        <v>1054681194</v>
      </c>
      <c r="B109" s="18">
        <f>VLOOKUP(A109,'[1]ExportarAExcel (2)'!$A$1:$F$517,2,0)</f>
        <v>9</v>
      </c>
      <c r="C109" s="18" t="s">
        <v>2345</v>
      </c>
      <c r="D109" s="18" t="s">
        <v>2410</v>
      </c>
      <c r="E109" s="18" t="s">
        <v>2632</v>
      </c>
      <c r="F109" s="18" t="s">
        <v>2633</v>
      </c>
      <c r="G109" s="18" t="s">
        <v>666</v>
      </c>
      <c r="H109" s="18">
        <v>219</v>
      </c>
      <c r="I109" s="19">
        <v>1032000</v>
      </c>
      <c r="J109" s="20">
        <v>0</v>
      </c>
      <c r="K109" s="18">
        <v>0</v>
      </c>
    </row>
    <row r="110" spans="1:11" s="18" customFormat="1" x14ac:dyDescent="0.25">
      <c r="A110" s="17">
        <v>1110460096</v>
      </c>
      <c r="B110" s="18">
        <f>VLOOKUP(A110,'[1]ExportarAExcel (2)'!$A$1:$F$517,2,0)</f>
        <v>1</v>
      </c>
      <c r="C110" s="18" t="s">
        <v>2346</v>
      </c>
      <c r="D110" s="18" t="s">
        <v>2450</v>
      </c>
      <c r="E110" s="18" t="s">
        <v>2634</v>
      </c>
      <c r="F110" s="18" t="s">
        <v>2635</v>
      </c>
      <c r="G110" s="18" t="s">
        <v>724</v>
      </c>
      <c r="H110" s="18">
        <v>219</v>
      </c>
      <c r="I110" s="19">
        <v>1341000</v>
      </c>
      <c r="J110" s="20">
        <v>14670</v>
      </c>
      <c r="K110" s="18">
        <v>0</v>
      </c>
    </row>
    <row r="111" spans="1:11" s="18" customFormat="1" x14ac:dyDescent="0.25">
      <c r="A111" s="17">
        <v>222222222</v>
      </c>
      <c r="C111" s="18" t="s">
        <v>2347</v>
      </c>
      <c r="D111" s="18" t="s">
        <v>2355</v>
      </c>
      <c r="E111" s="18">
        <v>3156026130</v>
      </c>
      <c r="F111" s="18" t="s">
        <v>2411</v>
      </c>
      <c r="G111" s="18" t="s">
        <v>720</v>
      </c>
      <c r="H111" s="18">
        <v>329</v>
      </c>
      <c r="I111" s="19">
        <v>21594045</v>
      </c>
      <c r="J111" s="20">
        <v>183839</v>
      </c>
      <c r="K111" s="18">
        <v>0</v>
      </c>
    </row>
    <row r="112" spans="1:11" s="18" customFormat="1" x14ac:dyDescent="0.25"/>
    <row r="113" s="18" customFormat="1" x14ac:dyDescent="0.25"/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4" sqref="B1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3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Contable</cp:lastModifiedBy>
  <dcterms:created xsi:type="dcterms:W3CDTF">2015-06-05T18:19:34Z</dcterms:created>
  <dcterms:modified xsi:type="dcterms:W3CDTF">2025-08-22T16:37:49Z</dcterms:modified>
</cp:coreProperties>
</file>